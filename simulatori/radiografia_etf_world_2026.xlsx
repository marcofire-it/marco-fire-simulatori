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Radiografia" sheetId="2" r:id="rId2"/>
    <sheet name="2 - Stress test" sheetId="3" r:id="rId3"/>
    <sheet name="3 - Precedente 2000-02" sheetId="4" r:id="rId4"/>
    <sheet name="4 - CAPE" sheetId="5" r:id="rId5"/>
    <sheet name="5 - Fonti e limiti" sheetId="6" r:id="rId6"/>
  </sheets>
  <calcPr calcId="144525"/>
</workbook>
</file>

<file path=xl/calcChain.xml><?xml version="1.0" encoding="utf-8"?>
<calcChain xmlns="http://schemas.openxmlformats.org/spreadsheetml/2006/main">
  <c r="B17" i="5" l="1"/>
  <c r="M362" i="4"/>
  <c r="L362" i="4"/>
  <c r="M361" i="4"/>
  <c r="L361" i="4"/>
  <c r="M360" i="4"/>
  <c r="L360" i="4"/>
  <c r="M359" i="4"/>
  <c r="L359" i="4"/>
  <c r="M358" i="4"/>
  <c r="L358" i="4"/>
  <c r="M357" i="4"/>
  <c r="L357" i="4"/>
  <c r="M356" i="4"/>
  <c r="L356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341" i="4"/>
  <c r="L341" i="4"/>
  <c r="M340" i="4"/>
  <c r="L340" i="4"/>
  <c r="M339" i="4"/>
  <c r="L339" i="4"/>
  <c r="M338" i="4"/>
  <c r="L338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326" i="4"/>
  <c r="L326" i="4"/>
  <c r="M325" i="4"/>
  <c r="L325" i="4"/>
  <c r="M324" i="4"/>
  <c r="L324" i="4"/>
  <c r="M323" i="4"/>
  <c r="L323" i="4"/>
  <c r="M322" i="4"/>
  <c r="L322" i="4"/>
  <c r="M321" i="4"/>
  <c r="L321" i="4"/>
  <c r="M320" i="4"/>
  <c r="L320" i="4"/>
  <c r="M319" i="4"/>
  <c r="L319" i="4"/>
  <c r="M318" i="4"/>
  <c r="L318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J42" i="4"/>
  <c r="K42" i="4" s="1"/>
  <c r="B11" i="4"/>
  <c r="G38" i="4" s="1"/>
  <c r="B10" i="4"/>
  <c r="F38" i="4" s="1"/>
  <c r="B9" i="4"/>
  <c r="E38" i="4" s="1"/>
  <c r="B8" i="4"/>
  <c r="D38" i="4" s="1"/>
  <c r="B7" i="4"/>
  <c r="C38" i="4" s="1"/>
  <c r="B6" i="4"/>
  <c r="B38" i="4" s="1"/>
  <c r="B22" i="3"/>
  <c r="B13" i="3"/>
  <c r="B14" i="3" s="1"/>
  <c r="B9" i="3"/>
  <c r="B40" i="2"/>
  <c r="B39" i="2"/>
  <c r="B38" i="2"/>
  <c r="B37" i="2"/>
  <c r="B36" i="2"/>
  <c r="B11" i="2"/>
  <c r="B12" i="2" s="1"/>
  <c r="H70" i="4" l="1"/>
  <c r="H177" i="4"/>
  <c r="H99" i="4"/>
  <c r="B41" i="2"/>
  <c r="B12" i="3" s="1"/>
  <c r="H274" i="4"/>
  <c r="H263" i="4"/>
  <c r="H260" i="4"/>
  <c r="H252" i="4"/>
  <c r="H250" i="4"/>
  <c r="H242" i="4"/>
  <c r="H220" i="4"/>
  <c r="H215" i="4"/>
  <c r="H199" i="4"/>
  <c r="H192" i="4"/>
  <c r="H148" i="4"/>
  <c r="H115" i="4"/>
  <c r="H244" i="4"/>
  <c r="H194" i="4"/>
  <c r="H154" i="4"/>
  <c r="H137" i="4"/>
  <c r="H109" i="4"/>
  <c r="H254" i="4"/>
  <c r="H156" i="4"/>
  <c r="H75" i="4"/>
  <c r="H56" i="4"/>
  <c r="H257" i="4"/>
  <c r="H171" i="4"/>
  <c r="H169" i="4"/>
  <c r="H139" i="4"/>
  <c r="H58" i="4"/>
  <c r="H196" i="4"/>
  <c r="H327" i="4"/>
  <c r="H324" i="4"/>
  <c r="H318" i="4"/>
  <c r="H309" i="4"/>
  <c r="H298" i="4"/>
  <c r="H265" i="4"/>
  <c r="H217" i="4"/>
  <c r="H201" i="4"/>
  <c r="H173" i="4"/>
  <c r="H225" i="4"/>
  <c r="H222" i="4"/>
  <c r="H143" i="4"/>
  <c r="H120" i="4"/>
  <c r="H105" i="4"/>
  <c r="H90" i="4"/>
  <c r="H88" i="4"/>
  <c r="H330" i="4"/>
  <c r="H286" i="4"/>
  <c r="H281" i="4"/>
  <c r="H259" i="4"/>
  <c r="H249" i="4"/>
  <c r="H238" i="4"/>
  <c r="H211" i="4"/>
  <c r="H198" i="4"/>
  <c r="H321" i="4"/>
  <c r="H289" i="4"/>
  <c r="H219" i="4"/>
  <c r="H164" i="4"/>
  <c r="H132" i="4"/>
  <c r="H291" i="4"/>
  <c r="H261" i="4"/>
  <c r="H305" i="4"/>
  <c r="H293" i="4"/>
  <c r="H269" i="4"/>
  <c r="H285" i="4"/>
  <c r="H275" i="4"/>
  <c r="H197" i="4"/>
  <c r="H183" i="4"/>
  <c r="H106" i="4"/>
  <c r="H72" i="4"/>
  <c r="H44" i="4"/>
  <c r="H50" i="4"/>
  <c r="H68" i="4"/>
  <c r="H193" i="4"/>
  <c r="H170" i="4"/>
  <c r="H151" i="4"/>
  <c r="H129" i="4"/>
  <c r="H121" i="4"/>
  <c r="H118" i="4"/>
  <c r="H101" i="4"/>
  <c r="H89" i="4"/>
  <c r="H51" i="4"/>
  <c r="H357" i="4"/>
  <c r="H270" i="4"/>
  <c r="H266" i="4"/>
  <c r="H256" i="4"/>
  <c r="H229" i="4"/>
  <c r="H186" i="4"/>
  <c r="H126" i="4"/>
  <c r="H86" i="4"/>
  <c r="H67" i="4"/>
  <c r="H46" i="4"/>
  <c r="H163" i="4"/>
  <c r="H141" i="4"/>
  <c r="H108" i="4"/>
  <c r="H103" i="4"/>
  <c r="H91" i="4"/>
  <c r="H53" i="4"/>
  <c r="H48" i="4"/>
  <c r="H123" i="4"/>
  <c r="H98" i="4"/>
  <c r="H125" i="4"/>
  <c r="H80" i="4"/>
  <c r="H231" i="4"/>
  <c r="H102" i="4"/>
  <c r="H85" i="4"/>
  <c r="H218" i="4"/>
  <c r="H92" i="4"/>
  <c r="H251" i="4"/>
  <c r="H340" i="4"/>
  <c r="H299" i="4"/>
  <c r="H200" i="4"/>
  <c r="H157" i="4"/>
  <c r="H147" i="4"/>
  <c r="H138" i="4"/>
  <c r="H55" i="4"/>
  <c r="H73" i="4"/>
  <c r="H227" i="4"/>
  <c r="H146" i="4"/>
  <c r="H160" i="4"/>
  <c r="H74" i="4"/>
  <c r="H237" i="4"/>
  <c r="H166" i="4"/>
  <c r="H69" i="4"/>
  <c r="H76" i="4"/>
  <c r="H57" i="4"/>
  <c r="H240" i="4"/>
  <c r="H184" i="4"/>
  <c r="H136" i="4"/>
  <c r="H93" i="4"/>
  <c r="H348" i="4"/>
  <c r="H181" i="4"/>
  <c r="H224" i="4"/>
  <c r="H179" i="4"/>
  <c r="H131" i="4"/>
  <c r="H110" i="4"/>
  <c r="H71" i="4"/>
  <c r="H78" i="4"/>
  <c r="H64" i="4"/>
  <c r="H195" i="4"/>
  <c r="H272" i="4"/>
  <c r="H202" i="4"/>
  <c r="H283" i="4"/>
  <c r="H172" i="4"/>
  <c r="H144" i="4"/>
  <c r="H134" i="4"/>
  <c r="H128" i="4"/>
  <c r="H59" i="4"/>
  <c r="H47" i="4"/>
  <c r="H288" i="4"/>
  <c r="H245" i="4"/>
  <c r="H203" i="4"/>
  <c r="H185" i="4"/>
  <c r="H82" i="4"/>
  <c r="H343" i="4"/>
  <c r="H302" i="4"/>
  <c r="H273" i="4"/>
  <c r="H188" i="4"/>
  <c r="H162" i="4"/>
  <c r="H159" i="4"/>
  <c r="H153" i="4"/>
  <c r="H140" i="4"/>
  <c r="H112" i="4"/>
  <c r="H107" i="4"/>
  <c r="H95" i="4"/>
  <c r="H83" i="4"/>
  <c r="H52" i="4"/>
  <c r="H100" i="4"/>
  <c r="H323" i="4"/>
  <c r="H282" i="4"/>
  <c r="H277" i="4"/>
  <c r="H253" i="4"/>
  <c r="H168" i="4"/>
  <c r="H130" i="4"/>
  <c r="H117" i="4"/>
  <c r="H114" i="4"/>
  <c r="H66" i="4"/>
  <c r="H54" i="4"/>
  <c r="H45" i="4"/>
  <c r="H61" i="4"/>
  <c r="H267" i="4"/>
  <c r="H155" i="4"/>
  <c r="H127" i="4"/>
  <c r="H124" i="4"/>
  <c r="H119" i="4"/>
  <c r="H104" i="4"/>
  <c r="H63" i="4"/>
  <c r="H341" i="4"/>
  <c r="H190" i="4"/>
  <c r="H161" i="4"/>
  <c r="H205" i="4"/>
  <c r="B43" i="2"/>
  <c r="B42" i="2"/>
  <c r="H213" i="4"/>
  <c r="H234" i="4"/>
  <c r="M42" i="4"/>
  <c r="L42" i="4"/>
  <c r="H84" i="4"/>
  <c r="H145" i="4"/>
  <c r="H116" i="4"/>
  <c r="H87" i="4"/>
  <c r="H359" i="4"/>
  <c r="H334" i="4"/>
  <c r="H332" i="4"/>
  <c r="H338" i="4"/>
  <c r="H362" i="4"/>
  <c r="H284" i="4"/>
  <c r="H292" i="4"/>
  <c r="H295" i="4"/>
  <c r="H360" i="4"/>
  <c r="H344" i="4"/>
  <c r="H328" i="4"/>
  <c r="H312" i="4"/>
  <c r="H296" i="4"/>
  <c r="H280" i="4"/>
  <c r="H264" i="4"/>
  <c r="H248" i="4"/>
  <c r="H232" i="4"/>
  <c r="H216" i="4"/>
  <c r="H351" i="4"/>
  <c r="H335" i="4"/>
  <c r="H319" i="4"/>
  <c r="H303" i="4"/>
  <c r="H287" i="4"/>
  <c r="H271" i="4"/>
  <c r="H255" i="4"/>
  <c r="H239" i="4"/>
  <c r="H223" i="4"/>
  <c r="H207" i="4"/>
  <c r="H191" i="4"/>
  <c r="H175" i="4"/>
  <c r="H358" i="4"/>
  <c r="H342" i="4"/>
  <c r="H326" i="4"/>
  <c r="H310" i="4"/>
  <c r="H294" i="4"/>
  <c r="H278" i="4"/>
  <c r="H262" i="4"/>
  <c r="H246" i="4"/>
  <c r="H230" i="4"/>
  <c r="H214" i="4"/>
  <c r="H361" i="4"/>
  <c r="H345" i="4"/>
  <c r="H329" i="4"/>
  <c r="H313" i="4"/>
  <c r="H297" i="4"/>
  <c r="H352" i="4"/>
  <c r="H336" i="4"/>
  <c r="H320" i="4"/>
  <c r="H304" i="4"/>
  <c r="H350" i="4"/>
  <c r="H355" i="4"/>
  <c r="H339" i="4"/>
  <c r="H308" i="4"/>
  <c r="H306" i="4"/>
  <c r="H258" i="4"/>
  <c r="H235" i="4"/>
  <c r="H233" i="4"/>
  <c r="H212" i="4"/>
  <c r="H189" i="4"/>
  <c r="H176" i="4"/>
  <c r="H158" i="4"/>
  <c r="H142" i="4"/>
  <c r="H347" i="4"/>
  <c r="H317" i="4"/>
  <c r="H210" i="4"/>
  <c r="H208" i="4"/>
  <c r="H206" i="4"/>
  <c r="H204" i="4"/>
  <c r="H174" i="4"/>
  <c r="H165" i="4"/>
  <c r="H149" i="4"/>
  <c r="H133" i="4"/>
  <c r="H349" i="4"/>
  <c r="H315" i="4"/>
  <c r="H268" i="4"/>
  <c r="H187" i="4"/>
  <c r="H354" i="4"/>
  <c r="H314" i="4"/>
  <c r="H311" i="4"/>
  <c r="H241" i="4"/>
  <c r="H228" i="4"/>
  <c r="H226" i="4"/>
  <c r="H182" i="4"/>
  <c r="H180" i="4"/>
  <c r="H122" i="4"/>
  <c r="H113" i="4"/>
  <c r="H97" i="4"/>
  <c r="H81" i="4"/>
  <c r="H65" i="4"/>
  <c r="H49" i="4"/>
  <c r="H322" i="4"/>
  <c r="H300" i="4"/>
  <c r="H290" i="4"/>
  <c r="H243" i="4"/>
  <c r="H221" i="4"/>
  <c r="H209" i="4"/>
  <c r="H60" i="4"/>
  <c r="H77" i="4"/>
  <c r="H94" i="4"/>
  <c r="H135" i="4"/>
  <c r="H152" i="4"/>
  <c r="H167" i="4"/>
  <c r="H178" i="4"/>
  <c r="H236" i="4"/>
  <c r="H247" i="4"/>
  <c r="H276" i="4"/>
  <c r="H356" i="4"/>
  <c r="H43" i="4"/>
  <c r="I43" i="4" s="1"/>
  <c r="H62" i="4"/>
  <c r="H79" i="4"/>
  <c r="H96" i="4"/>
  <c r="H111" i="4"/>
  <c r="H150" i="4"/>
  <c r="H279" i="4"/>
  <c r="H301" i="4"/>
  <c r="H331" i="4"/>
  <c r="H333" i="4"/>
  <c r="H346" i="4"/>
  <c r="H353" i="4"/>
  <c r="H307" i="4"/>
  <c r="H316" i="4"/>
  <c r="H325" i="4"/>
  <c r="H337" i="4"/>
  <c r="B22" i="5"/>
  <c r="B21" i="5"/>
  <c r="B20" i="5"/>
  <c r="B18" i="5"/>
  <c r="B19" i="5"/>
  <c r="B47" i="2" l="1"/>
  <c r="B44" i="2"/>
  <c r="D21" i="3"/>
  <c r="E21" i="3" s="1"/>
  <c r="F21" i="3" s="1"/>
  <c r="D18" i="3"/>
  <c r="E18" i="3" s="1"/>
  <c r="F18" i="3" s="1"/>
  <c r="D22" i="3"/>
  <c r="E22" i="3" s="1"/>
  <c r="F22" i="3" s="1"/>
  <c r="D20" i="3"/>
  <c r="E20" i="3" s="1"/>
  <c r="F20" i="3" s="1"/>
  <c r="D19" i="3"/>
  <c r="E19" i="3" s="1"/>
  <c r="F19" i="3" s="1"/>
  <c r="J43" i="4"/>
  <c r="K43" i="4" s="1"/>
  <c r="I44" i="4"/>
  <c r="B45" i="2"/>
  <c r="B46" i="2"/>
  <c r="J44" i="4" l="1"/>
  <c r="M43" i="4"/>
  <c r="L43" i="4"/>
  <c r="I45" i="4"/>
  <c r="K44" i="4"/>
  <c r="L44" i="4" l="1"/>
  <c r="M44" i="4"/>
  <c r="I46" i="4"/>
  <c r="J45" i="4"/>
  <c r="K45" i="4" s="1"/>
  <c r="L45" i="4" l="1"/>
  <c r="M45" i="4"/>
  <c r="I47" i="4"/>
  <c r="J47" i="4" s="1"/>
  <c r="J46" i="4"/>
  <c r="K46" i="4" s="1"/>
  <c r="M46" i="4" l="1"/>
  <c r="L46" i="4"/>
  <c r="I48" i="4"/>
  <c r="K47" i="4"/>
  <c r="L47" i="4" l="1"/>
  <c r="M47" i="4"/>
  <c r="I49" i="4"/>
  <c r="J48" i="4"/>
  <c r="K48" i="4" s="1"/>
  <c r="J49" i="4"/>
  <c r="M48" i="4" l="1"/>
  <c r="L48" i="4"/>
  <c r="I50" i="4"/>
  <c r="K49" i="4"/>
  <c r="I51" i="4" l="1"/>
  <c r="J50" i="4"/>
  <c r="K50" i="4" s="1"/>
  <c r="L49" i="4"/>
  <c r="M49" i="4"/>
  <c r="M50" i="4" l="1"/>
  <c r="L50" i="4"/>
  <c r="I52" i="4"/>
  <c r="J51" i="4"/>
  <c r="K51" i="4" s="1"/>
  <c r="M51" i="4" l="1"/>
  <c r="L51" i="4"/>
  <c r="I53" i="4"/>
  <c r="J52" i="4"/>
  <c r="K52" i="4" s="1"/>
  <c r="M52" i="4" l="1"/>
  <c r="L52" i="4"/>
  <c r="I54" i="4"/>
  <c r="J53" i="4"/>
  <c r="K53" i="4" s="1"/>
  <c r="M53" i="4" l="1"/>
  <c r="L53" i="4"/>
  <c r="I55" i="4"/>
  <c r="J54" i="4"/>
  <c r="K54" i="4" s="1"/>
  <c r="L54" i="4" l="1"/>
  <c r="M54" i="4"/>
  <c r="I56" i="4"/>
  <c r="J55" i="4"/>
  <c r="K55" i="4" s="1"/>
  <c r="M55" i="4" l="1"/>
  <c r="L55" i="4"/>
  <c r="I57" i="4"/>
  <c r="J56" i="4"/>
  <c r="K56" i="4" s="1"/>
  <c r="L56" i="4" l="1"/>
  <c r="M56" i="4"/>
  <c r="I58" i="4"/>
  <c r="J57" i="4"/>
  <c r="K57" i="4" s="1"/>
  <c r="L57" i="4" l="1"/>
  <c r="M57" i="4"/>
  <c r="I59" i="4"/>
  <c r="J58" i="4"/>
  <c r="K58" i="4" s="1"/>
  <c r="M58" i="4" l="1"/>
  <c r="L58" i="4"/>
  <c r="I60" i="4"/>
  <c r="J59" i="4"/>
  <c r="K59" i="4" s="1"/>
  <c r="M59" i="4" l="1"/>
  <c r="L59" i="4"/>
  <c r="I61" i="4"/>
  <c r="J60" i="4"/>
  <c r="K60" i="4" s="1"/>
  <c r="L60" i="4" l="1"/>
  <c r="M60" i="4"/>
  <c r="I62" i="4"/>
  <c r="J61" i="4"/>
  <c r="K61" i="4" s="1"/>
  <c r="L61" i="4" l="1"/>
  <c r="M61" i="4"/>
  <c r="I63" i="4"/>
  <c r="J62" i="4"/>
  <c r="K62" i="4" s="1"/>
  <c r="M62" i="4" l="1"/>
  <c r="L62" i="4"/>
  <c r="I64" i="4"/>
  <c r="J63" i="4"/>
  <c r="K63" i="4" s="1"/>
  <c r="M63" i="4" l="1"/>
  <c r="L63" i="4"/>
  <c r="I65" i="4"/>
  <c r="J64" i="4"/>
  <c r="K64" i="4" s="1"/>
  <c r="L64" i="4" l="1"/>
  <c r="M64" i="4"/>
  <c r="I66" i="4"/>
  <c r="J65" i="4"/>
  <c r="K65" i="4" s="1"/>
  <c r="M65" i="4" l="1"/>
  <c r="L65" i="4"/>
  <c r="I67" i="4"/>
  <c r="J66" i="4"/>
  <c r="K66" i="4" s="1"/>
  <c r="M66" i="4" l="1"/>
  <c r="L66" i="4"/>
  <c r="I68" i="4"/>
  <c r="J67" i="4"/>
  <c r="K67" i="4" s="1"/>
  <c r="M67" i="4" l="1"/>
  <c r="L67" i="4"/>
  <c r="I69" i="4"/>
  <c r="J68" i="4"/>
  <c r="K68" i="4" s="1"/>
  <c r="M68" i="4" l="1"/>
  <c r="L68" i="4"/>
  <c r="I70" i="4"/>
  <c r="J69" i="4"/>
  <c r="K69" i="4" s="1"/>
  <c r="M69" i="4" l="1"/>
  <c r="L69" i="4"/>
  <c r="I71" i="4"/>
  <c r="J70" i="4"/>
  <c r="K70" i="4" s="1"/>
  <c r="L70" i="4" l="1"/>
  <c r="M70" i="4"/>
  <c r="I72" i="4"/>
  <c r="J71" i="4"/>
  <c r="K71" i="4" s="1"/>
  <c r="L71" i="4" l="1"/>
  <c r="M71" i="4"/>
  <c r="I73" i="4"/>
  <c r="J72" i="4"/>
  <c r="K72" i="4" s="1"/>
  <c r="M72" i="4" l="1"/>
  <c r="L72" i="4"/>
  <c r="I74" i="4"/>
  <c r="J73" i="4"/>
  <c r="K73" i="4" s="1"/>
  <c r="M73" i="4" l="1"/>
  <c r="L73" i="4"/>
  <c r="I75" i="4"/>
  <c r="J74" i="4"/>
  <c r="K74" i="4" s="1"/>
  <c r="M74" i="4" l="1"/>
  <c r="L74" i="4"/>
  <c r="I76" i="4"/>
  <c r="J75" i="4"/>
  <c r="K75" i="4" s="1"/>
  <c r="M75" i="4" l="1"/>
  <c r="L75" i="4"/>
  <c r="I77" i="4"/>
  <c r="J76" i="4"/>
  <c r="K76" i="4" s="1"/>
  <c r="M76" i="4" l="1"/>
  <c r="L76" i="4"/>
  <c r="I78" i="4"/>
  <c r="J77" i="4"/>
  <c r="K77" i="4" s="1"/>
  <c r="L77" i="4" l="1"/>
  <c r="M77" i="4"/>
  <c r="I79" i="4"/>
  <c r="J78" i="4"/>
  <c r="K78" i="4" s="1"/>
  <c r="M78" i="4" l="1"/>
  <c r="L78" i="4"/>
  <c r="I80" i="4"/>
  <c r="J79" i="4"/>
  <c r="K79" i="4" s="1"/>
  <c r="M79" i="4" l="1"/>
  <c r="L79" i="4"/>
  <c r="I81" i="4"/>
  <c r="J80" i="4"/>
  <c r="K80" i="4" s="1"/>
  <c r="L80" i="4" l="1"/>
  <c r="M80" i="4"/>
  <c r="I82" i="4"/>
  <c r="J81" i="4"/>
  <c r="K81" i="4" s="1"/>
  <c r="M81" i="4" l="1"/>
  <c r="L81" i="4"/>
  <c r="I83" i="4"/>
  <c r="J82" i="4"/>
  <c r="K82" i="4" s="1"/>
  <c r="M82" i="4" l="1"/>
  <c r="L82" i="4"/>
  <c r="I84" i="4"/>
  <c r="J83" i="4"/>
  <c r="K83" i="4" s="1"/>
  <c r="L83" i="4" l="1"/>
  <c r="M83" i="4"/>
  <c r="I85" i="4"/>
  <c r="J84" i="4"/>
  <c r="K84" i="4" s="1"/>
  <c r="M84" i="4" l="1"/>
  <c r="L84" i="4"/>
  <c r="I86" i="4"/>
  <c r="J85" i="4"/>
  <c r="K85" i="4" s="1"/>
  <c r="M85" i="4" l="1"/>
  <c r="L85" i="4"/>
  <c r="I87" i="4"/>
  <c r="J86" i="4"/>
  <c r="K86" i="4" s="1"/>
  <c r="M86" i="4" l="1"/>
  <c r="L86" i="4"/>
  <c r="I88" i="4"/>
  <c r="J87" i="4"/>
  <c r="K87" i="4" s="1"/>
  <c r="M87" i="4" l="1"/>
  <c r="L87" i="4"/>
  <c r="I89" i="4"/>
  <c r="J88" i="4"/>
  <c r="K88" i="4" s="1"/>
  <c r="M88" i="4" l="1"/>
  <c r="L88" i="4"/>
  <c r="I90" i="4"/>
  <c r="J89" i="4"/>
  <c r="K89" i="4" s="1"/>
  <c r="M89" i="4" l="1"/>
  <c r="L89" i="4"/>
  <c r="B15" i="4" s="1"/>
  <c r="I91" i="4"/>
  <c r="J90" i="4"/>
  <c r="K90" i="4" s="1"/>
  <c r="M90" i="4" s="1"/>
  <c r="I92" i="4" l="1"/>
  <c r="J91" i="4"/>
  <c r="K91" i="4" s="1"/>
  <c r="M91" i="4" s="1"/>
  <c r="B16" i="4"/>
  <c r="B17" i="4" s="1"/>
  <c r="B18" i="4"/>
  <c r="N91" i="4" l="1"/>
  <c r="N75" i="4"/>
  <c r="N59" i="4"/>
  <c r="N43" i="4"/>
  <c r="N86" i="4"/>
  <c r="N67" i="4"/>
  <c r="N48" i="4"/>
  <c r="B19" i="4"/>
  <c r="N84" i="4"/>
  <c r="N82" i="4"/>
  <c r="N65" i="4"/>
  <c r="N46" i="4"/>
  <c r="N80" i="4"/>
  <c r="N63" i="4"/>
  <c r="N44" i="4"/>
  <c r="N93" i="4"/>
  <c r="N62" i="4"/>
  <c r="N71" i="4"/>
  <c r="N50" i="4"/>
  <c r="N85" i="4"/>
  <c r="N45" i="4"/>
  <c r="N68" i="4"/>
  <c r="N78" i="4"/>
  <c r="N69" i="4"/>
  <c r="N57" i="4"/>
  <c r="N83" i="4"/>
  <c r="N64" i="4"/>
  <c r="N47" i="4"/>
  <c r="N54" i="4"/>
  <c r="N66" i="4"/>
  <c r="N61" i="4"/>
  <c r="N52" i="4"/>
  <c r="N88" i="4"/>
  <c r="N92" i="4"/>
  <c r="N70" i="4"/>
  <c r="N49" i="4"/>
  <c r="N73" i="4"/>
  <c r="N90" i="4"/>
  <c r="N72" i="4"/>
  <c r="N51" i="4"/>
  <c r="N79" i="4"/>
  <c r="N58" i="4"/>
  <c r="N87" i="4"/>
  <c r="N89" i="4"/>
  <c r="N77" i="4"/>
  <c r="N56" i="4"/>
  <c r="N74" i="4"/>
  <c r="N53" i="4"/>
  <c r="N81" i="4"/>
  <c r="N60" i="4"/>
  <c r="N76" i="4"/>
  <c r="N55" i="4"/>
  <c r="I93" i="4"/>
  <c r="J92" i="4"/>
  <c r="K92" i="4" s="1"/>
  <c r="M92" i="4" s="1"/>
  <c r="I94" i="4" l="1"/>
  <c r="J93" i="4"/>
  <c r="K93" i="4" s="1"/>
  <c r="M93" i="4" s="1"/>
  <c r="I95" i="4" l="1"/>
  <c r="J94" i="4"/>
  <c r="K94" i="4" s="1"/>
  <c r="M94" i="4" s="1"/>
  <c r="N94" i="4"/>
  <c r="I96" i="4" l="1"/>
  <c r="J95" i="4"/>
  <c r="K95" i="4" s="1"/>
  <c r="M95" i="4" s="1"/>
  <c r="N95" i="4"/>
  <c r="I97" i="4" l="1"/>
  <c r="J96" i="4"/>
  <c r="K96" i="4" s="1"/>
  <c r="M96" i="4" s="1"/>
  <c r="N96" i="4"/>
  <c r="I98" i="4" l="1"/>
  <c r="J97" i="4"/>
  <c r="K97" i="4" s="1"/>
  <c r="M97" i="4" s="1"/>
  <c r="N97" i="4"/>
  <c r="I99" i="4" l="1"/>
  <c r="J98" i="4"/>
  <c r="K98" i="4" s="1"/>
  <c r="M98" i="4" s="1"/>
  <c r="N98" i="4"/>
  <c r="I100" i="4" l="1"/>
  <c r="J99" i="4"/>
  <c r="K99" i="4" s="1"/>
  <c r="M99" i="4" s="1"/>
  <c r="N99" i="4"/>
  <c r="I101" i="4" l="1"/>
  <c r="J100" i="4"/>
  <c r="K100" i="4" s="1"/>
  <c r="M100" i="4" s="1"/>
  <c r="N100" i="4"/>
  <c r="I102" i="4" l="1"/>
  <c r="J101" i="4"/>
  <c r="K101" i="4" s="1"/>
  <c r="M101" i="4" s="1"/>
  <c r="N101" i="4"/>
  <c r="I103" i="4" l="1"/>
  <c r="J102" i="4"/>
  <c r="K102" i="4" s="1"/>
  <c r="M102" i="4" s="1"/>
  <c r="N102" i="4"/>
  <c r="I104" i="4" l="1"/>
  <c r="J103" i="4"/>
  <c r="K103" i="4" s="1"/>
  <c r="M103" i="4" s="1"/>
  <c r="N103" i="4"/>
  <c r="I105" i="4" l="1"/>
  <c r="J104" i="4"/>
  <c r="K104" i="4" s="1"/>
  <c r="M104" i="4" s="1"/>
  <c r="N104" i="4"/>
  <c r="I106" i="4" l="1"/>
  <c r="J105" i="4"/>
  <c r="K105" i="4" s="1"/>
  <c r="M105" i="4" s="1"/>
  <c r="N105" i="4"/>
  <c r="I107" i="4" l="1"/>
  <c r="J106" i="4"/>
  <c r="K106" i="4" s="1"/>
  <c r="M106" i="4" s="1"/>
  <c r="N106" i="4"/>
  <c r="I108" i="4" l="1"/>
  <c r="J107" i="4"/>
  <c r="K107" i="4" s="1"/>
  <c r="M107" i="4" s="1"/>
  <c r="N107" i="4"/>
  <c r="I109" i="4" l="1"/>
  <c r="J108" i="4"/>
  <c r="K108" i="4" s="1"/>
  <c r="M108" i="4" s="1"/>
  <c r="N108" i="4"/>
  <c r="I110" i="4" l="1"/>
  <c r="J109" i="4"/>
  <c r="K109" i="4" s="1"/>
  <c r="M109" i="4" s="1"/>
  <c r="N109" i="4"/>
  <c r="I111" i="4" l="1"/>
  <c r="J110" i="4"/>
  <c r="K110" i="4" s="1"/>
  <c r="M110" i="4" s="1"/>
  <c r="N110" i="4"/>
  <c r="I112" i="4" l="1"/>
  <c r="J111" i="4"/>
  <c r="K111" i="4" s="1"/>
  <c r="M111" i="4" s="1"/>
  <c r="N111" i="4"/>
  <c r="I113" i="4" l="1"/>
  <c r="J112" i="4"/>
  <c r="K112" i="4" s="1"/>
  <c r="M112" i="4" s="1"/>
  <c r="N112" i="4"/>
  <c r="I114" i="4" l="1"/>
  <c r="J113" i="4"/>
  <c r="K113" i="4" s="1"/>
  <c r="M113" i="4" s="1"/>
  <c r="N113" i="4"/>
  <c r="I115" i="4" l="1"/>
  <c r="J114" i="4"/>
  <c r="K114" i="4" s="1"/>
  <c r="M114" i="4" s="1"/>
  <c r="N114" i="4"/>
  <c r="I116" i="4" l="1"/>
  <c r="J115" i="4"/>
  <c r="K115" i="4" s="1"/>
  <c r="M115" i="4" s="1"/>
  <c r="N115" i="4"/>
  <c r="I117" i="4" l="1"/>
  <c r="J116" i="4"/>
  <c r="K116" i="4" s="1"/>
  <c r="M116" i="4" s="1"/>
  <c r="N116" i="4"/>
  <c r="I118" i="4" l="1"/>
  <c r="J117" i="4"/>
  <c r="K117" i="4" s="1"/>
  <c r="M117" i="4" s="1"/>
  <c r="N117" i="4"/>
  <c r="I119" i="4" l="1"/>
  <c r="J118" i="4"/>
  <c r="K118" i="4" s="1"/>
  <c r="M118" i="4" s="1"/>
  <c r="N118" i="4"/>
  <c r="I120" i="4" l="1"/>
  <c r="J119" i="4"/>
  <c r="K119" i="4" s="1"/>
  <c r="M119" i="4" s="1"/>
  <c r="N119" i="4"/>
  <c r="I121" i="4" l="1"/>
  <c r="J120" i="4"/>
  <c r="K120" i="4" s="1"/>
  <c r="M120" i="4" s="1"/>
  <c r="N120" i="4"/>
  <c r="I122" i="4" l="1"/>
  <c r="J121" i="4"/>
  <c r="K121" i="4" s="1"/>
  <c r="M121" i="4" s="1"/>
  <c r="N121" i="4"/>
  <c r="I123" i="4" l="1"/>
  <c r="J122" i="4"/>
  <c r="K122" i="4" s="1"/>
  <c r="M122" i="4" s="1"/>
  <c r="N122" i="4"/>
  <c r="I124" i="4" l="1"/>
  <c r="J123" i="4"/>
  <c r="K123" i="4" s="1"/>
  <c r="M123" i="4" s="1"/>
  <c r="N123" i="4"/>
  <c r="I125" i="4" l="1"/>
  <c r="J124" i="4"/>
  <c r="K124" i="4" s="1"/>
  <c r="M124" i="4" s="1"/>
  <c r="N124" i="4"/>
  <c r="I126" i="4" l="1"/>
  <c r="J125" i="4"/>
  <c r="K125" i="4" s="1"/>
  <c r="M125" i="4" s="1"/>
  <c r="N125" i="4"/>
  <c r="I127" i="4" l="1"/>
  <c r="J126" i="4"/>
  <c r="K126" i="4" s="1"/>
  <c r="M126" i="4" s="1"/>
  <c r="N126" i="4"/>
  <c r="I128" i="4" l="1"/>
  <c r="J127" i="4"/>
  <c r="K127" i="4" s="1"/>
  <c r="M127" i="4" s="1"/>
  <c r="N127" i="4"/>
  <c r="I129" i="4" l="1"/>
  <c r="J128" i="4"/>
  <c r="K128" i="4" s="1"/>
  <c r="M128" i="4" s="1"/>
  <c r="N128" i="4"/>
  <c r="I130" i="4" l="1"/>
  <c r="J129" i="4"/>
  <c r="K129" i="4" s="1"/>
  <c r="M129" i="4" s="1"/>
  <c r="N129" i="4"/>
  <c r="I131" i="4" l="1"/>
  <c r="J130" i="4"/>
  <c r="K130" i="4" s="1"/>
  <c r="M130" i="4" s="1"/>
  <c r="N130" i="4"/>
  <c r="I132" i="4" l="1"/>
  <c r="J131" i="4"/>
  <c r="K131" i="4" s="1"/>
  <c r="M131" i="4" s="1"/>
  <c r="N131" i="4"/>
  <c r="I133" i="4" l="1"/>
  <c r="J132" i="4"/>
  <c r="K132" i="4" s="1"/>
  <c r="M132" i="4" s="1"/>
  <c r="N132" i="4"/>
  <c r="I134" i="4" l="1"/>
  <c r="J133" i="4"/>
  <c r="K133" i="4" s="1"/>
  <c r="M133" i="4" s="1"/>
  <c r="N133" i="4"/>
  <c r="I135" i="4" l="1"/>
  <c r="J134" i="4"/>
  <c r="K134" i="4" s="1"/>
  <c r="M134" i="4" s="1"/>
  <c r="N134" i="4"/>
  <c r="I136" i="4" l="1"/>
  <c r="J135" i="4"/>
  <c r="K135" i="4" s="1"/>
  <c r="M135" i="4" s="1"/>
  <c r="N135" i="4"/>
  <c r="I137" i="4" l="1"/>
  <c r="J136" i="4"/>
  <c r="K136" i="4" s="1"/>
  <c r="M136" i="4" s="1"/>
  <c r="N136" i="4"/>
  <c r="I138" i="4" l="1"/>
  <c r="J137" i="4"/>
  <c r="K137" i="4" s="1"/>
  <c r="M137" i="4" s="1"/>
  <c r="N137" i="4"/>
  <c r="I139" i="4" l="1"/>
  <c r="J138" i="4"/>
  <c r="K138" i="4" s="1"/>
  <c r="M138" i="4" s="1"/>
  <c r="N138" i="4"/>
  <c r="I140" i="4" l="1"/>
  <c r="J139" i="4"/>
  <c r="K139" i="4" s="1"/>
  <c r="M139" i="4" s="1"/>
  <c r="N139" i="4"/>
  <c r="I141" i="4" l="1"/>
  <c r="J140" i="4"/>
  <c r="K140" i="4" s="1"/>
  <c r="M140" i="4" s="1"/>
  <c r="N140" i="4"/>
  <c r="I142" i="4" l="1"/>
  <c r="J141" i="4"/>
  <c r="K141" i="4" s="1"/>
  <c r="M141" i="4" s="1"/>
  <c r="N141" i="4"/>
  <c r="I143" i="4" l="1"/>
  <c r="J142" i="4"/>
  <c r="K142" i="4" s="1"/>
  <c r="M142" i="4" s="1"/>
  <c r="N142" i="4"/>
  <c r="I144" i="4" l="1"/>
  <c r="J143" i="4"/>
  <c r="K143" i="4" s="1"/>
  <c r="M143" i="4" s="1"/>
  <c r="N143" i="4"/>
  <c r="I145" i="4" l="1"/>
  <c r="J144" i="4"/>
  <c r="K144" i="4" s="1"/>
  <c r="M144" i="4" s="1"/>
  <c r="N144" i="4"/>
  <c r="I146" i="4" l="1"/>
  <c r="J145" i="4"/>
  <c r="K145" i="4" s="1"/>
  <c r="M145" i="4" s="1"/>
  <c r="N145" i="4"/>
  <c r="I147" i="4" l="1"/>
  <c r="J146" i="4"/>
  <c r="K146" i="4" s="1"/>
  <c r="M146" i="4" s="1"/>
  <c r="N146" i="4"/>
  <c r="I148" i="4" l="1"/>
  <c r="J147" i="4"/>
  <c r="K147" i="4" s="1"/>
  <c r="M147" i="4" s="1"/>
  <c r="N147" i="4"/>
  <c r="I149" i="4" l="1"/>
  <c r="J148" i="4"/>
  <c r="K148" i="4" s="1"/>
  <c r="M148" i="4" s="1"/>
  <c r="N148" i="4"/>
  <c r="I150" i="4" l="1"/>
  <c r="J149" i="4"/>
  <c r="K149" i="4" s="1"/>
  <c r="M149" i="4" s="1"/>
  <c r="N149" i="4"/>
  <c r="I151" i="4" l="1"/>
  <c r="J150" i="4"/>
  <c r="K150" i="4" s="1"/>
  <c r="M150" i="4" s="1"/>
  <c r="N150" i="4"/>
  <c r="I152" i="4" l="1"/>
  <c r="J151" i="4"/>
  <c r="K151" i="4" s="1"/>
  <c r="M151" i="4" s="1"/>
  <c r="N151" i="4"/>
  <c r="I153" i="4" l="1"/>
  <c r="J152" i="4"/>
  <c r="K152" i="4" s="1"/>
  <c r="M152" i="4" s="1"/>
  <c r="N152" i="4"/>
  <c r="I154" i="4" l="1"/>
  <c r="J153" i="4"/>
  <c r="K153" i="4" s="1"/>
  <c r="M153" i="4" s="1"/>
  <c r="N153" i="4"/>
  <c r="I155" i="4" l="1"/>
  <c r="J154" i="4"/>
  <c r="K154" i="4" s="1"/>
  <c r="M154" i="4" s="1"/>
  <c r="N154" i="4"/>
  <c r="I156" i="4" l="1"/>
  <c r="J155" i="4"/>
  <c r="K155" i="4" s="1"/>
  <c r="M155" i="4" s="1"/>
  <c r="N155" i="4"/>
  <c r="I157" i="4" l="1"/>
  <c r="J156" i="4"/>
  <c r="K156" i="4" s="1"/>
  <c r="M156" i="4" s="1"/>
  <c r="N156" i="4"/>
  <c r="I158" i="4" l="1"/>
  <c r="J157" i="4"/>
  <c r="K157" i="4" s="1"/>
  <c r="M157" i="4" s="1"/>
  <c r="N157" i="4"/>
  <c r="I159" i="4" l="1"/>
  <c r="J158" i="4"/>
  <c r="K158" i="4" s="1"/>
  <c r="M158" i="4" s="1"/>
  <c r="N158" i="4"/>
  <c r="I160" i="4" l="1"/>
  <c r="J159" i="4"/>
  <c r="K159" i="4" s="1"/>
  <c r="M159" i="4" s="1"/>
  <c r="N159" i="4"/>
  <c r="I161" i="4" l="1"/>
  <c r="J160" i="4"/>
  <c r="K160" i="4" s="1"/>
  <c r="M160" i="4" s="1"/>
  <c r="N160" i="4"/>
  <c r="I162" i="4" l="1"/>
  <c r="J161" i="4"/>
  <c r="K161" i="4" s="1"/>
  <c r="M161" i="4" s="1"/>
  <c r="N161" i="4"/>
  <c r="I163" i="4" l="1"/>
  <c r="J162" i="4"/>
  <c r="K162" i="4" s="1"/>
  <c r="M162" i="4" s="1"/>
  <c r="N162" i="4"/>
  <c r="I164" i="4" l="1"/>
  <c r="J163" i="4"/>
  <c r="K163" i="4" s="1"/>
  <c r="M163" i="4" s="1"/>
  <c r="N163" i="4"/>
  <c r="I165" i="4" l="1"/>
  <c r="J164" i="4"/>
  <c r="K164" i="4" s="1"/>
  <c r="M164" i="4" s="1"/>
  <c r="N164" i="4"/>
  <c r="I166" i="4" l="1"/>
  <c r="J165" i="4"/>
  <c r="K165" i="4" s="1"/>
  <c r="M165" i="4" s="1"/>
  <c r="N165" i="4"/>
  <c r="I167" i="4" l="1"/>
  <c r="J166" i="4"/>
  <c r="K166" i="4" s="1"/>
  <c r="M166" i="4" s="1"/>
  <c r="N166" i="4"/>
  <c r="I168" i="4" l="1"/>
  <c r="J167" i="4"/>
  <c r="K167" i="4" s="1"/>
  <c r="M167" i="4" s="1"/>
  <c r="N167" i="4"/>
  <c r="I169" i="4" l="1"/>
  <c r="J168" i="4"/>
  <c r="K168" i="4" s="1"/>
  <c r="M168" i="4" s="1"/>
  <c r="N168" i="4"/>
  <c r="I170" i="4" l="1"/>
  <c r="J169" i="4"/>
  <c r="K169" i="4" s="1"/>
  <c r="M169" i="4" s="1"/>
  <c r="N169" i="4"/>
  <c r="I171" i="4" l="1"/>
  <c r="J170" i="4"/>
  <c r="K170" i="4" s="1"/>
  <c r="M170" i="4" s="1"/>
  <c r="N170" i="4"/>
  <c r="I172" i="4" l="1"/>
  <c r="J171" i="4"/>
  <c r="K171" i="4" s="1"/>
  <c r="M171" i="4" s="1"/>
  <c r="N171" i="4"/>
  <c r="I173" i="4" l="1"/>
  <c r="J172" i="4"/>
  <c r="K172" i="4" s="1"/>
  <c r="M172" i="4" s="1"/>
  <c r="N172" i="4"/>
  <c r="I174" i="4" l="1"/>
  <c r="J173" i="4"/>
  <c r="K173" i="4" s="1"/>
  <c r="M173" i="4" s="1"/>
  <c r="C15" i="4" s="1"/>
  <c r="N173" i="4"/>
  <c r="C18" i="4" l="1"/>
  <c r="C16" i="4"/>
  <c r="C17" i="4" s="1"/>
  <c r="I175" i="4"/>
  <c r="J174" i="4"/>
  <c r="K174" i="4" s="1"/>
  <c r="N174" i="4"/>
  <c r="I176" i="4" l="1"/>
  <c r="J175" i="4"/>
  <c r="K175" i="4" s="1"/>
  <c r="N175" i="4"/>
  <c r="O176" i="4"/>
  <c r="O159" i="4"/>
  <c r="O143" i="4"/>
  <c r="O166" i="4"/>
  <c r="O150" i="4"/>
  <c r="O134" i="4"/>
  <c r="O175" i="4"/>
  <c r="O127" i="4"/>
  <c r="O125" i="4"/>
  <c r="O114" i="4"/>
  <c r="O98" i="4"/>
  <c r="O82" i="4"/>
  <c r="O66" i="4"/>
  <c r="O50" i="4"/>
  <c r="O162" i="4"/>
  <c r="O160" i="4"/>
  <c r="O130" i="4"/>
  <c r="O128" i="4"/>
  <c r="O126" i="4"/>
  <c r="O124" i="4"/>
  <c r="O122" i="4"/>
  <c r="O120" i="4"/>
  <c r="O118" i="4"/>
  <c r="O164" i="4"/>
  <c r="O145" i="4"/>
  <c r="O132" i="4"/>
  <c r="O116" i="4"/>
  <c r="O99" i="4"/>
  <c r="O84" i="4"/>
  <c r="O65" i="4"/>
  <c r="O46" i="4"/>
  <c r="O147" i="4"/>
  <c r="O112" i="4"/>
  <c r="O97" i="4"/>
  <c r="O80" i="4"/>
  <c r="O63" i="4"/>
  <c r="O44" i="4"/>
  <c r="O95" i="4"/>
  <c r="O149" i="4"/>
  <c r="O110" i="4"/>
  <c r="O78" i="4"/>
  <c r="O61" i="4"/>
  <c r="O170" i="4"/>
  <c r="O168" i="4"/>
  <c r="O155" i="4"/>
  <c r="O153" i="4"/>
  <c r="O138" i="4"/>
  <c r="O136" i="4"/>
  <c r="O108" i="4"/>
  <c r="O174" i="4"/>
  <c r="O146" i="4"/>
  <c r="O144" i="4"/>
  <c r="O173" i="4"/>
  <c r="O141" i="4"/>
  <c r="O115" i="4"/>
  <c r="O93" i="4"/>
  <c r="O86" i="4"/>
  <c r="O69" i="4"/>
  <c r="O57" i="4"/>
  <c r="O48" i="4"/>
  <c r="O140" i="4"/>
  <c r="O45" i="4"/>
  <c r="O68" i="4"/>
  <c r="O79" i="4"/>
  <c r="O131" i="4"/>
  <c r="O105" i="4"/>
  <c r="O83" i="4"/>
  <c r="O64" i="4"/>
  <c r="O172" i="4"/>
  <c r="O71" i="4"/>
  <c r="O169" i="4"/>
  <c r="O85" i="4"/>
  <c r="O119" i="4"/>
  <c r="O47" i="4"/>
  <c r="O109" i="4"/>
  <c r="O75" i="4"/>
  <c r="O58" i="4"/>
  <c r="O129" i="4"/>
  <c r="O113" i="4"/>
  <c r="O43" i="4"/>
  <c r="O117" i="4"/>
  <c r="O100" i="4"/>
  <c r="O88" i="4"/>
  <c r="O59" i="4"/>
  <c r="O73" i="4"/>
  <c r="C19" i="4"/>
  <c r="O53" i="4"/>
  <c r="O90" i="4"/>
  <c r="O77" i="4"/>
  <c r="O74" i="4"/>
  <c r="O107" i="4"/>
  <c r="O102" i="4"/>
  <c r="O52" i="4"/>
  <c r="O104" i="4"/>
  <c r="O54" i="4"/>
  <c r="O70" i="4"/>
  <c r="O49" i="4"/>
  <c r="O106" i="4"/>
  <c r="O56" i="4"/>
  <c r="O156" i="4"/>
  <c r="O137" i="4"/>
  <c r="O161" i="4"/>
  <c r="O165" i="4"/>
  <c r="O87" i="4"/>
  <c r="O167" i="4"/>
  <c r="O171" i="4"/>
  <c r="O133" i="4"/>
  <c r="O92" i="4"/>
  <c r="O148" i="4"/>
  <c r="O158" i="4"/>
  <c r="O152" i="4"/>
  <c r="O142" i="4"/>
  <c r="O139" i="4"/>
  <c r="O121" i="4"/>
  <c r="O111" i="4"/>
  <c r="O94" i="4"/>
  <c r="O89" i="4"/>
  <c r="O72" i="4"/>
  <c r="O51" i="4"/>
  <c r="O157" i="4"/>
  <c r="O151" i="4"/>
  <c r="O101" i="4"/>
  <c r="O96" i="4"/>
  <c r="O91" i="4"/>
  <c r="O60" i="4"/>
  <c r="O67" i="4"/>
  <c r="O135" i="4"/>
  <c r="O81" i="4"/>
  <c r="O123" i="4"/>
  <c r="O62" i="4"/>
  <c r="O154" i="4"/>
  <c r="O103" i="4"/>
  <c r="O76" i="4"/>
  <c r="O163" i="4"/>
  <c r="O55" i="4"/>
  <c r="I177" i="4" l="1"/>
  <c r="J176" i="4"/>
  <c r="K176" i="4" s="1"/>
  <c r="N176" i="4"/>
  <c r="I178" i="4" l="1"/>
  <c r="J177" i="4"/>
  <c r="K177" i="4" s="1"/>
  <c r="N177" i="4"/>
  <c r="O177" i="4"/>
  <c r="I179" i="4" l="1"/>
  <c r="J178" i="4"/>
  <c r="K178" i="4" s="1"/>
  <c r="N178" i="4"/>
  <c r="O178" i="4"/>
  <c r="I180" i="4" l="1"/>
  <c r="J179" i="4"/>
  <c r="K179" i="4" s="1"/>
  <c r="N179" i="4"/>
  <c r="O179" i="4"/>
  <c r="I181" i="4" l="1"/>
  <c r="J180" i="4"/>
  <c r="K180" i="4" s="1"/>
  <c r="N180" i="4"/>
  <c r="O180" i="4"/>
  <c r="I182" i="4" l="1"/>
  <c r="J181" i="4"/>
  <c r="K181" i="4" s="1"/>
  <c r="N181" i="4"/>
  <c r="O181" i="4"/>
  <c r="I183" i="4" l="1"/>
  <c r="J182" i="4"/>
  <c r="K182" i="4" s="1"/>
  <c r="N182" i="4"/>
  <c r="O182" i="4"/>
  <c r="I184" i="4" l="1"/>
  <c r="J183" i="4"/>
  <c r="K183" i="4" s="1"/>
  <c r="N183" i="4"/>
  <c r="O183" i="4"/>
  <c r="I185" i="4" l="1"/>
  <c r="J184" i="4"/>
  <c r="K184" i="4" s="1"/>
  <c r="N184" i="4"/>
  <c r="O184" i="4"/>
  <c r="I186" i="4" l="1"/>
  <c r="J185" i="4"/>
  <c r="K185" i="4" s="1"/>
  <c r="N185" i="4"/>
  <c r="O185" i="4"/>
  <c r="I187" i="4" l="1"/>
  <c r="J186" i="4"/>
  <c r="K186" i="4" s="1"/>
  <c r="N186" i="4"/>
  <c r="O186" i="4"/>
  <c r="I188" i="4" l="1"/>
  <c r="J187" i="4"/>
  <c r="K187" i="4" s="1"/>
  <c r="N187" i="4"/>
  <c r="O187" i="4"/>
  <c r="I189" i="4" l="1"/>
  <c r="J188" i="4"/>
  <c r="K188" i="4" s="1"/>
  <c r="N188" i="4"/>
  <c r="O188" i="4"/>
  <c r="I190" i="4" l="1"/>
  <c r="J189" i="4"/>
  <c r="K189" i="4" s="1"/>
  <c r="N189" i="4"/>
  <c r="O189" i="4"/>
  <c r="I191" i="4" l="1"/>
  <c r="J190" i="4"/>
  <c r="K190" i="4" s="1"/>
  <c r="N190" i="4"/>
  <c r="O190" i="4"/>
  <c r="I192" i="4" l="1"/>
  <c r="J191" i="4"/>
  <c r="K191" i="4" s="1"/>
  <c r="N191" i="4"/>
  <c r="O191" i="4"/>
  <c r="I193" i="4" l="1"/>
  <c r="J192" i="4"/>
  <c r="K192" i="4" s="1"/>
  <c r="N192" i="4"/>
  <c r="O192" i="4"/>
  <c r="I194" i="4" l="1"/>
  <c r="J193" i="4"/>
  <c r="K193" i="4" s="1"/>
  <c r="N193" i="4"/>
  <c r="O193" i="4"/>
  <c r="I195" i="4" l="1"/>
  <c r="J194" i="4"/>
  <c r="K194" i="4" s="1"/>
  <c r="N194" i="4"/>
  <c r="O194" i="4"/>
  <c r="I196" i="4" l="1"/>
  <c r="J195" i="4"/>
  <c r="K195" i="4" s="1"/>
  <c r="N195" i="4"/>
  <c r="O195" i="4"/>
  <c r="I197" i="4" l="1"/>
  <c r="J196" i="4"/>
  <c r="K196" i="4" s="1"/>
  <c r="N196" i="4"/>
  <c r="O196" i="4"/>
  <c r="I198" i="4" l="1"/>
  <c r="J197" i="4"/>
  <c r="K197" i="4" s="1"/>
  <c r="N197" i="4"/>
  <c r="O197" i="4"/>
  <c r="I199" i="4" l="1"/>
  <c r="J198" i="4"/>
  <c r="K198" i="4" s="1"/>
  <c r="N198" i="4"/>
  <c r="O198" i="4"/>
  <c r="I200" i="4" l="1"/>
  <c r="J199" i="4"/>
  <c r="K199" i="4" s="1"/>
  <c r="N199" i="4"/>
  <c r="O199" i="4"/>
  <c r="I201" i="4" l="1"/>
  <c r="J200" i="4"/>
  <c r="K200" i="4" s="1"/>
  <c r="N200" i="4"/>
  <c r="O200" i="4"/>
  <c r="I202" i="4" l="1"/>
  <c r="J201" i="4"/>
  <c r="K201" i="4" s="1"/>
  <c r="N201" i="4"/>
  <c r="O201" i="4"/>
  <c r="I203" i="4" l="1"/>
  <c r="J202" i="4"/>
  <c r="K202" i="4" s="1"/>
  <c r="N202" i="4"/>
  <c r="O202" i="4"/>
  <c r="I204" i="4" l="1"/>
  <c r="J203" i="4"/>
  <c r="K203" i="4" s="1"/>
  <c r="N203" i="4"/>
  <c r="O203" i="4"/>
  <c r="I205" i="4" l="1"/>
  <c r="J204" i="4"/>
  <c r="K204" i="4" s="1"/>
  <c r="N204" i="4"/>
  <c r="O204" i="4"/>
  <c r="I206" i="4" l="1"/>
  <c r="J205" i="4"/>
  <c r="K205" i="4" s="1"/>
  <c r="N205" i="4"/>
  <c r="O205" i="4"/>
  <c r="I207" i="4" l="1"/>
  <c r="J206" i="4"/>
  <c r="K206" i="4" s="1"/>
  <c r="N206" i="4"/>
  <c r="O206" i="4"/>
  <c r="I208" i="4" l="1"/>
  <c r="J207" i="4"/>
  <c r="K207" i="4" s="1"/>
  <c r="N207" i="4"/>
  <c r="O207" i="4"/>
  <c r="I209" i="4" l="1"/>
  <c r="J208" i="4"/>
  <c r="K208" i="4" s="1"/>
  <c r="N208" i="4"/>
  <c r="O208" i="4"/>
  <c r="I210" i="4" l="1"/>
  <c r="J209" i="4"/>
  <c r="K209" i="4" s="1"/>
  <c r="N209" i="4"/>
  <c r="O209" i="4"/>
  <c r="I211" i="4" l="1"/>
  <c r="J210" i="4"/>
  <c r="K210" i="4" s="1"/>
  <c r="N210" i="4"/>
  <c r="O210" i="4"/>
  <c r="I212" i="4" l="1"/>
  <c r="J211" i="4"/>
  <c r="K211" i="4" s="1"/>
  <c r="N211" i="4"/>
  <c r="O211" i="4"/>
  <c r="I213" i="4" l="1"/>
  <c r="J212" i="4"/>
  <c r="K212" i="4" s="1"/>
  <c r="N212" i="4"/>
  <c r="O212" i="4"/>
  <c r="I214" i="4" l="1"/>
  <c r="J213" i="4"/>
  <c r="K213" i="4" s="1"/>
  <c r="N213" i="4"/>
  <c r="O213" i="4"/>
  <c r="I215" i="4" l="1"/>
  <c r="J214" i="4"/>
  <c r="K214" i="4" s="1"/>
  <c r="N214" i="4"/>
  <c r="O214" i="4"/>
  <c r="I216" i="4" l="1"/>
  <c r="J215" i="4"/>
  <c r="K215" i="4" s="1"/>
  <c r="N215" i="4"/>
  <c r="O215" i="4"/>
  <c r="I217" i="4" l="1"/>
  <c r="J216" i="4"/>
  <c r="K216" i="4" s="1"/>
  <c r="N216" i="4"/>
  <c r="O216" i="4"/>
  <c r="I218" i="4" l="1"/>
  <c r="J217" i="4"/>
  <c r="K217" i="4" s="1"/>
  <c r="N217" i="4"/>
  <c r="O217" i="4"/>
  <c r="I219" i="4" l="1"/>
  <c r="J218" i="4"/>
  <c r="K218" i="4" s="1"/>
  <c r="N218" i="4"/>
  <c r="O218" i="4"/>
  <c r="I220" i="4" l="1"/>
  <c r="J219" i="4"/>
  <c r="K219" i="4" s="1"/>
  <c r="N219" i="4"/>
  <c r="O219" i="4"/>
  <c r="I221" i="4" l="1"/>
  <c r="J220" i="4"/>
  <c r="K220" i="4" s="1"/>
  <c r="N220" i="4"/>
  <c r="O220" i="4"/>
  <c r="I222" i="4" l="1"/>
  <c r="J221" i="4"/>
  <c r="K221" i="4" s="1"/>
  <c r="N221" i="4"/>
  <c r="O221" i="4"/>
  <c r="I223" i="4" l="1"/>
  <c r="J222" i="4"/>
  <c r="K222" i="4" s="1"/>
  <c r="N222" i="4"/>
  <c r="O222" i="4"/>
  <c r="I224" i="4" l="1"/>
  <c r="J223" i="4"/>
  <c r="K223" i="4" s="1"/>
  <c r="N223" i="4"/>
  <c r="O223" i="4"/>
  <c r="I225" i="4" l="1"/>
  <c r="J224" i="4"/>
  <c r="K224" i="4" s="1"/>
  <c r="N224" i="4"/>
  <c r="O224" i="4"/>
  <c r="I226" i="4" l="1"/>
  <c r="J225" i="4"/>
  <c r="K225" i="4" s="1"/>
  <c r="N225" i="4"/>
  <c r="O225" i="4"/>
  <c r="I227" i="4" l="1"/>
  <c r="J226" i="4"/>
  <c r="K226" i="4" s="1"/>
  <c r="N226" i="4"/>
  <c r="O226" i="4"/>
  <c r="I228" i="4" l="1"/>
  <c r="J227" i="4"/>
  <c r="K227" i="4" s="1"/>
  <c r="N227" i="4"/>
  <c r="O227" i="4"/>
  <c r="I229" i="4" l="1"/>
  <c r="J228" i="4"/>
  <c r="K228" i="4" s="1"/>
  <c r="N228" i="4"/>
  <c r="O228" i="4"/>
  <c r="I230" i="4" l="1"/>
  <c r="J229" i="4"/>
  <c r="K229" i="4" s="1"/>
  <c r="N229" i="4"/>
  <c r="O229" i="4"/>
  <c r="I231" i="4" l="1"/>
  <c r="J230" i="4"/>
  <c r="K230" i="4" s="1"/>
  <c r="N230" i="4"/>
  <c r="O230" i="4"/>
  <c r="I232" i="4" l="1"/>
  <c r="J231" i="4"/>
  <c r="K231" i="4" s="1"/>
  <c r="N231" i="4"/>
  <c r="O231" i="4"/>
  <c r="I233" i="4" l="1"/>
  <c r="J232" i="4"/>
  <c r="K232" i="4" s="1"/>
  <c r="N232" i="4"/>
  <c r="O232" i="4"/>
  <c r="I234" i="4" l="1"/>
  <c r="J233" i="4"/>
  <c r="K233" i="4" s="1"/>
  <c r="N233" i="4"/>
  <c r="O233" i="4"/>
  <c r="I235" i="4" l="1"/>
  <c r="J234" i="4"/>
  <c r="K234" i="4" s="1"/>
  <c r="N234" i="4"/>
  <c r="O234" i="4"/>
  <c r="I236" i="4" l="1"/>
  <c r="J235" i="4"/>
  <c r="K235" i="4" s="1"/>
  <c r="N235" i="4"/>
  <c r="O235" i="4"/>
  <c r="I237" i="4" l="1"/>
  <c r="J236" i="4"/>
  <c r="K236" i="4" s="1"/>
  <c r="N236" i="4"/>
  <c r="O236" i="4"/>
  <c r="I238" i="4" l="1"/>
  <c r="J237" i="4"/>
  <c r="K237" i="4" s="1"/>
  <c r="N237" i="4"/>
  <c r="O237" i="4"/>
  <c r="I239" i="4" l="1"/>
  <c r="J238" i="4"/>
  <c r="K238" i="4" s="1"/>
  <c r="N238" i="4"/>
  <c r="O238" i="4"/>
  <c r="I240" i="4" l="1"/>
  <c r="J239" i="4"/>
  <c r="K239" i="4" s="1"/>
  <c r="N239" i="4"/>
  <c r="O239" i="4"/>
  <c r="I241" i="4" l="1"/>
  <c r="J240" i="4"/>
  <c r="K240" i="4" s="1"/>
  <c r="N240" i="4"/>
  <c r="O240" i="4"/>
  <c r="I242" i="4" l="1"/>
  <c r="J241" i="4"/>
  <c r="K241" i="4" s="1"/>
  <c r="N241" i="4"/>
  <c r="O241" i="4"/>
  <c r="I243" i="4" l="1"/>
  <c r="J242" i="4"/>
  <c r="K242" i="4" s="1"/>
  <c r="N242" i="4"/>
  <c r="O242" i="4"/>
  <c r="I244" i="4" l="1"/>
  <c r="J243" i="4"/>
  <c r="K243" i="4" s="1"/>
  <c r="N243" i="4"/>
  <c r="O243" i="4"/>
  <c r="I245" i="4" l="1"/>
  <c r="J244" i="4"/>
  <c r="K244" i="4" s="1"/>
  <c r="N244" i="4"/>
  <c r="O244" i="4"/>
  <c r="I246" i="4" l="1"/>
  <c r="J245" i="4"/>
  <c r="K245" i="4" s="1"/>
  <c r="N245" i="4"/>
  <c r="O245" i="4"/>
  <c r="I247" i="4" l="1"/>
  <c r="J246" i="4"/>
  <c r="K246" i="4" s="1"/>
  <c r="N246" i="4"/>
  <c r="O246" i="4"/>
  <c r="I248" i="4" l="1"/>
  <c r="J247" i="4"/>
  <c r="K247" i="4" s="1"/>
  <c r="N247" i="4"/>
  <c r="O247" i="4"/>
  <c r="I249" i="4" l="1"/>
  <c r="J248" i="4"/>
  <c r="K248" i="4" s="1"/>
  <c r="N248" i="4"/>
  <c r="O248" i="4"/>
  <c r="I250" i="4" l="1"/>
  <c r="J249" i="4"/>
  <c r="K249" i="4" s="1"/>
  <c r="N249" i="4"/>
  <c r="O249" i="4"/>
  <c r="I251" i="4" l="1"/>
  <c r="J250" i="4"/>
  <c r="K250" i="4" s="1"/>
  <c r="N250" i="4"/>
  <c r="O250" i="4"/>
  <c r="I252" i="4" l="1"/>
  <c r="J251" i="4"/>
  <c r="K251" i="4" s="1"/>
  <c r="N251" i="4"/>
  <c r="O251" i="4"/>
  <c r="I253" i="4" l="1"/>
  <c r="J252" i="4"/>
  <c r="K252" i="4" s="1"/>
  <c r="N252" i="4"/>
  <c r="O252" i="4"/>
  <c r="I254" i="4" l="1"/>
  <c r="J253" i="4"/>
  <c r="K253" i="4" s="1"/>
  <c r="N253" i="4"/>
  <c r="O253" i="4"/>
  <c r="I255" i="4" l="1"/>
  <c r="J254" i="4"/>
  <c r="K254" i="4" s="1"/>
  <c r="N254" i="4"/>
  <c r="O254" i="4"/>
  <c r="I256" i="4" l="1"/>
  <c r="J255" i="4"/>
  <c r="K255" i="4" s="1"/>
  <c r="N255" i="4"/>
  <c r="O255" i="4"/>
  <c r="I257" i="4" l="1"/>
  <c r="J256" i="4"/>
  <c r="K256" i="4" s="1"/>
  <c r="N256" i="4"/>
  <c r="O256" i="4"/>
  <c r="I258" i="4" l="1"/>
  <c r="J257" i="4"/>
  <c r="K257" i="4" s="1"/>
  <c r="N257" i="4"/>
  <c r="O257" i="4"/>
  <c r="I259" i="4" l="1"/>
  <c r="J258" i="4"/>
  <c r="K258" i="4" s="1"/>
  <c r="N258" i="4"/>
  <c r="O258" i="4"/>
  <c r="I260" i="4" l="1"/>
  <c r="J259" i="4"/>
  <c r="K259" i="4" s="1"/>
  <c r="N259" i="4"/>
  <c r="O259" i="4"/>
  <c r="I261" i="4" l="1"/>
  <c r="J260" i="4"/>
  <c r="K260" i="4" s="1"/>
  <c r="N260" i="4"/>
  <c r="O260" i="4"/>
  <c r="I262" i="4" l="1"/>
  <c r="J261" i="4"/>
  <c r="K261" i="4" s="1"/>
  <c r="N261" i="4"/>
  <c r="O261" i="4"/>
  <c r="I263" i="4" l="1"/>
  <c r="J262" i="4"/>
  <c r="K262" i="4" s="1"/>
  <c r="N262" i="4"/>
  <c r="O262" i="4"/>
  <c r="I264" i="4" l="1"/>
  <c r="J263" i="4"/>
  <c r="K263" i="4" s="1"/>
  <c r="N263" i="4"/>
  <c r="O263" i="4"/>
  <c r="I265" i="4" l="1"/>
  <c r="J264" i="4"/>
  <c r="K264" i="4" s="1"/>
  <c r="N264" i="4"/>
  <c r="O264" i="4"/>
  <c r="I266" i="4" l="1"/>
  <c r="J265" i="4"/>
  <c r="K265" i="4" s="1"/>
  <c r="N265" i="4"/>
  <c r="O265" i="4"/>
  <c r="I267" i="4" l="1"/>
  <c r="J266" i="4"/>
  <c r="K266" i="4" s="1"/>
  <c r="N266" i="4"/>
  <c r="O266" i="4"/>
  <c r="I268" i="4" l="1"/>
  <c r="J267" i="4"/>
  <c r="K267" i="4" s="1"/>
  <c r="N267" i="4"/>
  <c r="O267" i="4"/>
  <c r="I269" i="4" l="1"/>
  <c r="J268" i="4"/>
  <c r="K268" i="4" s="1"/>
  <c r="N268" i="4"/>
  <c r="O268" i="4"/>
  <c r="I270" i="4" l="1"/>
  <c r="J269" i="4"/>
  <c r="K269" i="4" s="1"/>
  <c r="N269" i="4"/>
  <c r="O269" i="4"/>
  <c r="I271" i="4" l="1"/>
  <c r="J270" i="4"/>
  <c r="K270" i="4" s="1"/>
  <c r="N270" i="4"/>
  <c r="O270" i="4"/>
  <c r="I272" i="4" l="1"/>
  <c r="J271" i="4"/>
  <c r="K271" i="4" s="1"/>
  <c r="N271" i="4"/>
  <c r="O271" i="4"/>
  <c r="I273" i="4" l="1"/>
  <c r="J272" i="4"/>
  <c r="K272" i="4" s="1"/>
  <c r="N272" i="4"/>
  <c r="O272" i="4"/>
  <c r="I274" i="4" l="1"/>
  <c r="J273" i="4"/>
  <c r="K273" i="4" s="1"/>
  <c r="N273" i="4"/>
  <c r="O273" i="4"/>
  <c r="I275" i="4" l="1"/>
  <c r="J274" i="4"/>
  <c r="K274" i="4" s="1"/>
  <c r="N274" i="4"/>
  <c r="O274" i="4"/>
  <c r="I276" i="4" l="1"/>
  <c r="J275" i="4"/>
  <c r="K275" i="4" s="1"/>
  <c r="N275" i="4"/>
  <c r="O275" i="4"/>
  <c r="I277" i="4" l="1"/>
  <c r="J276" i="4"/>
  <c r="K276" i="4" s="1"/>
  <c r="N276" i="4"/>
  <c r="O276" i="4"/>
  <c r="I278" i="4" l="1"/>
  <c r="J277" i="4"/>
  <c r="K277" i="4" s="1"/>
  <c r="N277" i="4"/>
  <c r="O277" i="4"/>
  <c r="I279" i="4" l="1"/>
  <c r="J278" i="4"/>
  <c r="K278" i="4" s="1"/>
  <c r="N278" i="4"/>
  <c r="O278" i="4"/>
  <c r="I280" i="4" l="1"/>
  <c r="J279" i="4"/>
  <c r="K279" i="4" s="1"/>
  <c r="N279" i="4"/>
  <c r="O279" i="4"/>
  <c r="I281" i="4" l="1"/>
  <c r="J280" i="4"/>
  <c r="K280" i="4" s="1"/>
  <c r="N280" i="4"/>
  <c r="O280" i="4"/>
  <c r="I282" i="4" l="1"/>
  <c r="J281" i="4"/>
  <c r="K281" i="4" s="1"/>
  <c r="N281" i="4"/>
  <c r="O281" i="4"/>
  <c r="I283" i="4" l="1"/>
  <c r="J282" i="4"/>
  <c r="K282" i="4" s="1"/>
  <c r="N282" i="4"/>
  <c r="O282" i="4"/>
  <c r="I284" i="4" l="1"/>
  <c r="J283" i="4"/>
  <c r="K283" i="4" s="1"/>
  <c r="N283" i="4"/>
  <c r="O283" i="4"/>
  <c r="I285" i="4" l="1"/>
  <c r="J284" i="4"/>
  <c r="K284" i="4" s="1"/>
  <c r="N284" i="4"/>
  <c r="O284" i="4"/>
  <c r="I286" i="4" l="1"/>
  <c r="J285" i="4"/>
  <c r="K285" i="4" s="1"/>
  <c r="N285" i="4"/>
  <c r="O285" i="4"/>
  <c r="I287" i="4" l="1"/>
  <c r="J286" i="4"/>
  <c r="K286" i="4" s="1"/>
  <c r="N286" i="4"/>
  <c r="O286" i="4"/>
  <c r="I288" i="4" l="1"/>
  <c r="J287" i="4"/>
  <c r="K287" i="4" s="1"/>
  <c r="N287" i="4"/>
  <c r="O287" i="4"/>
  <c r="I289" i="4" l="1"/>
  <c r="J288" i="4"/>
  <c r="K288" i="4" s="1"/>
  <c r="N288" i="4"/>
  <c r="O288" i="4"/>
  <c r="I290" i="4" l="1"/>
  <c r="J289" i="4"/>
  <c r="K289" i="4" s="1"/>
  <c r="N289" i="4"/>
  <c r="O289" i="4"/>
  <c r="I291" i="4" l="1"/>
  <c r="J290" i="4"/>
  <c r="K290" i="4" s="1"/>
  <c r="N290" i="4"/>
  <c r="O290" i="4"/>
  <c r="I292" i="4" l="1"/>
  <c r="J291" i="4"/>
  <c r="K291" i="4" s="1"/>
  <c r="N291" i="4"/>
  <c r="O291" i="4"/>
  <c r="I293" i="4" l="1"/>
  <c r="J292" i="4"/>
  <c r="K292" i="4" s="1"/>
  <c r="N292" i="4"/>
  <c r="O292" i="4"/>
  <c r="I294" i="4" l="1"/>
  <c r="J293" i="4"/>
  <c r="K293" i="4" s="1"/>
  <c r="N293" i="4"/>
  <c r="O293" i="4"/>
  <c r="I295" i="4" l="1"/>
  <c r="J294" i="4"/>
  <c r="K294" i="4" s="1"/>
  <c r="N294" i="4"/>
  <c r="O294" i="4"/>
  <c r="I296" i="4" l="1"/>
  <c r="J295" i="4"/>
  <c r="K295" i="4" s="1"/>
  <c r="N295" i="4"/>
  <c r="O295" i="4"/>
  <c r="I297" i="4" l="1"/>
  <c r="J296" i="4"/>
  <c r="K296" i="4" s="1"/>
  <c r="N296" i="4"/>
  <c r="O296" i="4"/>
  <c r="I298" i="4" l="1"/>
  <c r="J297" i="4"/>
  <c r="K297" i="4" s="1"/>
  <c r="N297" i="4"/>
  <c r="O297" i="4"/>
  <c r="I299" i="4" l="1"/>
  <c r="J298" i="4"/>
  <c r="K298" i="4" s="1"/>
  <c r="N298" i="4"/>
  <c r="O298" i="4"/>
  <c r="I300" i="4" l="1"/>
  <c r="J299" i="4"/>
  <c r="K299" i="4" s="1"/>
  <c r="N299" i="4"/>
  <c r="O299" i="4"/>
  <c r="I301" i="4" l="1"/>
  <c r="J300" i="4"/>
  <c r="K300" i="4" s="1"/>
  <c r="N300" i="4"/>
  <c r="O300" i="4"/>
  <c r="I302" i="4" l="1"/>
  <c r="J301" i="4"/>
  <c r="K301" i="4" s="1"/>
  <c r="N301" i="4"/>
  <c r="O301" i="4"/>
  <c r="I303" i="4" l="1"/>
  <c r="J302" i="4"/>
  <c r="K302" i="4" s="1"/>
  <c r="N302" i="4"/>
  <c r="O302" i="4"/>
  <c r="I304" i="4" l="1"/>
  <c r="J303" i="4"/>
  <c r="K303" i="4" s="1"/>
  <c r="N303" i="4"/>
  <c r="O303" i="4"/>
  <c r="I305" i="4" l="1"/>
  <c r="J304" i="4"/>
  <c r="K304" i="4" s="1"/>
  <c r="N304" i="4"/>
  <c r="O304" i="4"/>
  <c r="I306" i="4" l="1"/>
  <c r="J305" i="4"/>
  <c r="K305" i="4" s="1"/>
  <c r="N305" i="4"/>
  <c r="O305" i="4"/>
  <c r="I307" i="4" l="1"/>
  <c r="J306" i="4"/>
  <c r="K306" i="4" s="1"/>
  <c r="N306" i="4"/>
  <c r="O306" i="4"/>
  <c r="I308" i="4" l="1"/>
  <c r="J307" i="4"/>
  <c r="K307" i="4" s="1"/>
  <c r="N307" i="4"/>
  <c r="O307" i="4"/>
  <c r="I309" i="4" l="1"/>
  <c r="J308" i="4"/>
  <c r="K308" i="4" s="1"/>
  <c r="N308" i="4"/>
  <c r="O308" i="4"/>
  <c r="I310" i="4" l="1"/>
  <c r="J309" i="4"/>
  <c r="K309" i="4" s="1"/>
  <c r="N309" i="4"/>
  <c r="O309" i="4"/>
  <c r="I311" i="4" l="1"/>
  <c r="J310" i="4"/>
  <c r="K310" i="4" s="1"/>
  <c r="N310" i="4"/>
  <c r="O310" i="4"/>
  <c r="I312" i="4" l="1"/>
  <c r="J311" i="4"/>
  <c r="K311" i="4" s="1"/>
  <c r="N311" i="4"/>
  <c r="O311" i="4"/>
  <c r="I313" i="4" l="1"/>
  <c r="J312" i="4"/>
  <c r="K312" i="4" s="1"/>
  <c r="N312" i="4"/>
  <c r="O312" i="4"/>
  <c r="I314" i="4" l="1"/>
  <c r="J313" i="4"/>
  <c r="K313" i="4" s="1"/>
  <c r="N313" i="4"/>
  <c r="O313" i="4"/>
  <c r="I315" i="4" l="1"/>
  <c r="J314" i="4"/>
  <c r="K314" i="4" s="1"/>
  <c r="N314" i="4"/>
  <c r="O314" i="4"/>
  <c r="I316" i="4" l="1"/>
  <c r="J315" i="4"/>
  <c r="K315" i="4" s="1"/>
  <c r="N315" i="4"/>
  <c r="O315" i="4"/>
  <c r="I317" i="4" l="1"/>
  <c r="J316" i="4"/>
  <c r="K316" i="4" s="1"/>
  <c r="N316" i="4"/>
  <c r="O316" i="4"/>
  <c r="I318" i="4" l="1"/>
  <c r="J317" i="4"/>
  <c r="K317" i="4" s="1"/>
  <c r="N317" i="4"/>
  <c r="O317" i="4"/>
  <c r="I319" i="4" l="1"/>
  <c r="J318" i="4"/>
  <c r="K318" i="4" s="1"/>
  <c r="N318" i="4"/>
  <c r="O318" i="4"/>
  <c r="I320" i="4" l="1"/>
  <c r="J319" i="4"/>
  <c r="K319" i="4" s="1"/>
  <c r="N319" i="4"/>
  <c r="O319" i="4"/>
  <c r="I321" i="4" l="1"/>
  <c r="J320" i="4"/>
  <c r="K320" i="4" s="1"/>
  <c r="N320" i="4"/>
  <c r="O320" i="4"/>
  <c r="I322" i="4" l="1"/>
  <c r="J321" i="4"/>
  <c r="K321" i="4" s="1"/>
  <c r="N321" i="4"/>
  <c r="O321" i="4"/>
  <c r="I323" i="4" l="1"/>
  <c r="J322" i="4"/>
  <c r="K322" i="4" s="1"/>
  <c r="N322" i="4"/>
  <c r="O322" i="4"/>
  <c r="I324" i="4" l="1"/>
  <c r="J323" i="4"/>
  <c r="K323" i="4" s="1"/>
  <c r="N323" i="4"/>
  <c r="O323" i="4"/>
  <c r="I325" i="4" l="1"/>
  <c r="J324" i="4"/>
  <c r="K324" i="4" s="1"/>
  <c r="N324" i="4"/>
  <c r="O324" i="4"/>
  <c r="I326" i="4" l="1"/>
  <c r="J325" i="4"/>
  <c r="K325" i="4" s="1"/>
  <c r="N325" i="4"/>
  <c r="O325" i="4"/>
  <c r="I327" i="4" l="1"/>
  <c r="J326" i="4"/>
  <c r="K326" i="4" s="1"/>
  <c r="N326" i="4"/>
  <c r="O326" i="4"/>
  <c r="I328" i="4" l="1"/>
  <c r="J327" i="4"/>
  <c r="K327" i="4" s="1"/>
  <c r="N327" i="4"/>
  <c r="O327" i="4"/>
  <c r="I329" i="4" l="1"/>
  <c r="J328" i="4"/>
  <c r="K328" i="4" s="1"/>
  <c r="N328" i="4"/>
  <c r="O328" i="4"/>
  <c r="I330" i="4" l="1"/>
  <c r="J329" i="4"/>
  <c r="K329" i="4" s="1"/>
  <c r="N329" i="4"/>
  <c r="O329" i="4"/>
  <c r="I331" i="4" l="1"/>
  <c r="J330" i="4"/>
  <c r="K330" i="4" s="1"/>
  <c r="N330" i="4"/>
  <c r="O330" i="4"/>
  <c r="I332" i="4" l="1"/>
  <c r="J331" i="4"/>
  <c r="K331" i="4" s="1"/>
  <c r="N331" i="4"/>
  <c r="O331" i="4"/>
  <c r="I333" i="4" l="1"/>
  <c r="J332" i="4"/>
  <c r="K332" i="4" s="1"/>
  <c r="N332" i="4"/>
  <c r="O332" i="4"/>
  <c r="I334" i="4" l="1"/>
  <c r="J333" i="4"/>
  <c r="K333" i="4" s="1"/>
  <c r="N333" i="4"/>
  <c r="O333" i="4"/>
  <c r="I335" i="4" l="1"/>
  <c r="J334" i="4"/>
  <c r="K334" i="4" s="1"/>
  <c r="N334" i="4"/>
  <c r="O334" i="4"/>
  <c r="I336" i="4" l="1"/>
  <c r="J335" i="4"/>
  <c r="K335" i="4" s="1"/>
  <c r="N335" i="4"/>
  <c r="O335" i="4"/>
  <c r="I337" i="4" l="1"/>
  <c r="J336" i="4"/>
  <c r="K336" i="4" s="1"/>
  <c r="N336" i="4"/>
  <c r="O336" i="4"/>
  <c r="I338" i="4" l="1"/>
  <c r="J337" i="4"/>
  <c r="K337" i="4" s="1"/>
  <c r="N337" i="4"/>
  <c r="O337" i="4"/>
  <c r="I339" i="4" l="1"/>
  <c r="J338" i="4"/>
  <c r="K338" i="4" s="1"/>
  <c r="N338" i="4"/>
  <c r="O338" i="4"/>
  <c r="I340" i="4" l="1"/>
  <c r="J339" i="4"/>
  <c r="K339" i="4" s="1"/>
  <c r="N339" i="4"/>
  <c r="O339" i="4"/>
  <c r="I341" i="4" l="1"/>
  <c r="J340" i="4"/>
  <c r="K340" i="4" s="1"/>
  <c r="N340" i="4"/>
  <c r="O340" i="4"/>
  <c r="I342" i="4" l="1"/>
  <c r="J341" i="4"/>
  <c r="K341" i="4" s="1"/>
  <c r="N341" i="4"/>
  <c r="O341" i="4"/>
  <c r="I343" i="4" l="1"/>
  <c r="J342" i="4"/>
  <c r="K342" i="4" s="1"/>
  <c r="N342" i="4"/>
  <c r="O342" i="4"/>
  <c r="I344" i="4" l="1"/>
  <c r="J343" i="4"/>
  <c r="K343" i="4" s="1"/>
  <c r="N343" i="4"/>
  <c r="O343" i="4"/>
  <c r="I345" i="4" l="1"/>
  <c r="J344" i="4"/>
  <c r="K344" i="4" s="1"/>
  <c r="N344" i="4"/>
  <c r="O344" i="4"/>
  <c r="I346" i="4" l="1"/>
  <c r="J345" i="4"/>
  <c r="K345" i="4" s="1"/>
  <c r="N345" i="4"/>
  <c r="O345" i="4"/>
  <c r="I347" i="4" l="1"/>
  <c r="J346" i="4"/>
  <c r="K346" i="4" s="1"/>
  <c r="N346" i="4"/>
  <c r="O346" i="4"/>
  <c r="I348" i="4" l="1"/>
  <c r="J347" i="4"/>
  <c r="K347" i="4" s="1"/>
  <c r="N347" i="4"/>
  <c r="O347" i="4"/>
  <c r="I349" i="4" l="1"/>
  <c r="J348" i="4"/>
  <c r="K348" i="4" s="1"/>
  <c r="N348" i="4"/>
  <c r="O348" i="4"/>
  <c r="I350" i="4" l="1"/>
  <c r="J349" i="4"/>
  <c r="K349" i="4" s="1"/>
  <c r="N349" i="4"/>
  <c r="O349" i="4"/>
  <c r="I351" i="4" l="1"/>
  <c r="J350" i="4"/>
  <c r="K350" i="4" s="1"/>
  <c r="N350" i="4"/>
  <c r="O350" i="4"/>
  <c r="I352" i="4" l="1"/>
  <c r="J351" i="4"/>
  <c r="K351" i="4" s="1"/>
  <c r="N351" i="4"/>
  <c r="O351" i="4"/>
  <c r="I353" i="4" l="1"/>
  <c r="J352" i="4"/>
  <c r="K352" i="4" s="1"/>
  <c r="N352" i="4"/>
  <c r="O352" i="4"/>
  <c r="I354" i="4" l="1"/>
  <c r="J353" i="4"/>
  <c r="K353" i="4" s="1"/>
  <c r="N353" i="4"/>
  <c r="O353" i="4"/>
  <c r="I355" i="4" l="1"/>
  <c r="J354" i="4"/>
  <c r="K354" i="4" s="1"/>
  <c r="N354" i="4"/>
  <c r="O354" i="4"/>
  <c r="I356" i="4" l="1"/>
  <c r="J355" i="4"/>
  <c r="K355" i="4" s="1"/>
  <c r="N355" i="4"/>
  <c r="O355" i="4"/>
  <c r="I357" i="4" l="1"/>
  <c r="J356" i="4"/>
  <c r="K356" i="4" s="1"/>
  <c r="N356" i="4"/>
  <c r="O356" i="4"/>
  <c r="I358" i="4" l="1"/>
  <c r="J357" i="4"/>
  <c r="K357" i="4" s="1"/>
  <c r="N357" i="4"/>
  <c r="O357" i="4"/>
  <c r="I359" i="4" l="1"/>
  <c r="J358" i="4"/>
  <c r="K358" i="4" s="1"/>
  <c r="N358" i="4"/>
  <c r="O358" i="4"/>
  <c r="I360" i="4" l="1"/>
  <c r="J359" i="4"/>
  <c r="K359" i="4" s="1"/>
  <c r="N359" i="4"/>
  <c r="O359" i="4"/>
  <c r="I361" i="4" l="1"/>
  <c r="J360" i="4"/>
  <c r="K360" i="4" s="1"/>
  <c r="N360" i="4"/>
  <c r="O360" i="4"/>
  <c r="I362" i="4" l="1"/>
  <c r="J361" i="4"/>
  <c r="K361" i="4" s="1"/>
  <c r="N361" i="4"/>
  <c r="O361" i="4"/>
  <c r="B21" i="4" l="1"/>
  <c r="J362" i="4"/>
  <c r="K362" i="4" s="1"/>
  <c r="D15" i="4" s="1"/>
  <c r="N362" i="4"/>
  <c r="B20" i="4" s="1"/>
  <c r="O362" i="4"/>
  <c r="C20" i="4" s="1"/>
  <c r="D18" i="4" l="1"/>
  <c r="D16" i="4"/>
  <c r="D17" i="4" s="1"/>
  <c r="P352" i="4" l="1"/>
  <c r="P336" i="4"/>
  <c r="P320" i="4"/>
  <c r="P304" i="4"/>
  <c r="P288" i="4"/>
  <c r="P272" i="4"/>
  <c r="P256" i="4"/>
  <c r="P240" i="4"/>
  <c r="P224" i="4"/>
  <c r="P208" i="4"/>
  <c r="P359" i="4"/>
  <c r="P343" i="4"/>
  <c r="P327" i="4"/>
  <c r="P311" i="4"/>
  <c r="P295" i="4"/>
  <c r="P279" i="4"/>
  <c r="P263" i="4"/>
  <c r="P247" i="4"/>
  <c r="P231" i="4"/>
  <c r="P215" i="4"/>
  <c r="P199" i="4"/>
  <c r="P183" i="4"/>
  <c r="P350" i="4"/>
  <c r="P334" i="4"/>
  <c r="P318" i="4"/>
  <c r="P302" i="4"/>
  <c r="P286" i="4"/>
  <c r="P270" i="4"/>
  <c r="P254" i="4"/>
  <c r="P238" i="4"/>
  <c r="P222" i="4"/>
  <c r="P353" i="4"/>
  <c r="P337" i="4"/>
  <c r="P321" i="4"/>
  <c r="P305" i="4"/>
  <c r="P289" i="4"/>
  <c r="P360" i="4"/>
  <c r="P344" i="4"/>
  <c r="P328" i="4"/>
  <c r="P312" i="4"/>
  <c r="P296" i="4"/>
  <c r="P358" i="4"/>
  <c r="P342" i="4"/>
  <c r="P347" i="4"/>
  <c r="P338" i="4"/>
  <c r="P298" i="4"/>
  <c r="P282" i="4"/>
  <c r="P280" i="4"/>
  <c r="P261" i="4"/>
  <c r="P259" i="4"/>
  <c r="P255" i="4"/>
  <c r="P236" i="4"/>
  <c r="P230" i="4"/>
  <c r="P192" i="4"/>
  <c r="P190" i="4"/>
  <c r="P177" i="4"/>
  <c r="P166" i="4"/>
  <c r="P150" i="4"/>
  <c r="P134" i="4"/>
  <c r="P354" i="4"/>
  <c r="P307" i="4"/>
  <c r="P257" i="4"/>
  <c r="P234" i="4"/>
  <c r="P232" i="4"/>
  <c r="P213" i="4"/>
  <c r="P211" i="4"/>
  <c r="P188" i="4"/>
  <c r="P175" i="4"/>
  <c r="P157" i="4"/>
  <c r="P141" i="4"/>
  <c r="P125" i="4"/>
  <c r="P346" i="4"/>
  <c r="P335" i="4"/>
  <c r="P316" i="4"/>
  <c r="P309" i="4"/>
  <c r="P209" i="4"/>
  <c r="P207" i="4"/>
  <c r="P205" i="4"/>
  <c r="P203" i="4"/>
  <c r="P362" i="4"/>
  <c r="P356" i="4"/>
  <c r="P297" i="4"/>
  <c r="P294" i="4"/>
  <c r="P262" i="4"/>
  <c r="P218" i="4"/>
  <c r="P123" i="4"/>
  <c r="P105" i="4"/>
  <c r="P89" i="4"/>
  <c r="P73" i="4"/>
  <c r="P57" i="4"/>
  <c r="P313" i="4"/>
  <c r="P310" i="4"/>
  <c r="P227" i="4"/>
  <c r="P225" i="4"/>
  <c r="P339" i="4"/>
  <c r="P281" i="4"/>
  <c r="P265" i="4"/>
  <c r="P164" i="4"/>
  <c r="P145" i="4"/>
  <c r="P143" i="4"/>
  <c r="P132" i="4"/>
  <c r="P116" i="4"/>
  <c r="P324" i="4"/>
  <c r="P315" i="4"/>
  <c r="P306" i="4"/>
  <c r="P273" i="4"/>
  <c r="P251" i="4"/>
  <c r="P249" i="4"/>
  <c r="P241" i="4"/>
  <c r="P219" i="4"/>
  <c r="P214" i="4"/>
  <c r="P198" i="4"/>
  <c r="P191" i="4"/>
  <c r="P186" i="4"/>
  <c r="P147" i="4"/>
  <c r="P114" i="4"/>
  <c r="P112" i="4"/>
  <c r="P97" i="4"/>
  <c r="P82" i="4"/>
  <c r="P80" i="4"/>
  <c r="P63" i="4"/>
  <c r="P44" i="4"/>
  <c r="P348" i="4"/>
  <c r="P345" i="4"/>
  <c r="P332" i="4"/>
  <c r="P330" i="4"/>
  <c r="P303" i="4"/>
  <c r="P300" i="4"/>
  <c r="P278" i="4"/>
  <c r="P149" i="4"/>
  <c r="P110" i="4"/>
  <c r="P95" i="4"/>
  <c r="P78" i="4"/>
  <c r="P61" i="4"/>
  <c r="P246" i="4"/>
  <c r="P235" i="4"/>
  <c r="P229" i="4"/>
  <c r="P179" i="4"/>
  <c r="P193" i="4"/>
  <c r="P76" i="4"/>
  <c r="P59" i="4"/>
  <c r="P355" i="4"/>
  <c r="P275" i="4"/>
  <c r="P151" i="4"/>
  <c r="P93" i="4"/>
  <c r="P351" i="4"/>
  <c r="P341" i="4"/>
  <c r="P291" i="4"/>
  <c r="P283" i="4"/>
  <c r="P267" i="4"/>
  <c r="P253" i="4"/>
  <c r="P243" i="4"/>
  <c r="P181" i="4"/>
  <c r="P326" i="4"/>
  <c r="P323" i="4"/>
  <c r="P317" i="4"/>
  <c r="P308" i="4"/>
  <c r="P264" i="4"/>
  <c r="P216" i="4"/>
  <c r="P200" i="4"/>
  <c r="P195" i="4"/>
  <c r="P172" i="4"/>
  <c r="P140" i="4"/>
  <c r="P106" i="4"/>
  <c r="P91" i="4"/>
  <c r="P361" i="4"/>
  <c r="P314" i="4"/>
  <c r="P277" i="4"/>
  <c r="P221" i="4"/>
  <c r="P329" i="4"/>
  <c r="P299" i="4"/>
  <c r="P285" i="4"/>
  <c r="P293" i="4"/>
  <c r="P269" i="4"/>
  <c r="P252" i="4"/>
  <c r="P250" i="4"/>
  <c r="P226" i="4"/>
  <c r="P202" i="4"/>
  <c r="P161" i="4"/>
  <c r="P159" i="4"/>
  <c r="P148" i="4"/>
  <c r="P340" i="4"/>
  <c r="P274" i="4"/>
  <c r="P266" i="4"/>
  <c r="P322" i="4"/>
  <c r="P287" i="4"/>
  <c r="P284" i="4"/>
  <c r="P276" i="4"/>
  <c r="P244" i="4"/>
  <c r="P239" i="4"/>
  <c r="P237" i="4"/>
  <c r="P233" i="4"/>
  <c r="P220" i="4"/>
  <c r="P212" i="4"/>
  <c r="P204" i="4"/>
  <c r="P176" i="4"/>
  <c r="P131" i="4"/>
  <c r="P83" i="4"/>
  <c r="P64" i="4"/>
  <c r="P85" i="4"/>
  <c r="P66" i="4"/>
  <c r="P45" i="4"/>
  <c r="P146" i="4"/>
  <c r="P137" i="4"/>
  <c r="P107" i="4"/>
  <c r="P122" i="4"/>
  <c r="P49" i="4"/>
  <c r="P331" i="4"/>
  <c r="P180" i="4"/>
  <c r="P196" i="4"/>
  <c r="P182" i="4"/>
  <c r="P71" i="4"/>
  <c r="P43" i="4"/>
  <c r="P260" i="4"/>
  <c r="P169" i="4"/>
  <c r="P128" i="4"/>
  <c r="P120" i="4"/>
  <c r="P117" i="4"/>
  <c r="P100" i="4"/>
  <c r="P88" i="4"/>
  <c r="P50" i="4"/>
  <c r="P228" i="4"/>
  <c r="P185" i="4"/>
  <c r="P153" i="4"/>
  <c r="P156" i="4"/>
  <c r="P102" i="4"/>
  <c r="P47" i="4"/>
  <c r="P109" i="4"/>
  <c r="P75" i="4"/>
  <c r="P54" i="4"/>
  <c r="P139" i="4"/>
  <c r="P319" i="4"/>
  <c r="D19" i="4"/>
  <c r="P245" i="4"/>
  <c r="P90" i="4"/>
  <c r="P68" i="4"/>
  <c r="P158" i="4"/>
  <c r="P167" i="4"/>
  <c r="P129" i="4"/>
  <c r="P113" i="4"/>
  <c r="P133" i="4"/>
  <c r="P127" i="4"/>
  <c r="P174" i="4"/>
  <c r="P197" i="4"/>
  <c r="P65" i="4"/>
  <c r="P53" i="4"/>
  <c r="P84" i="4"/>
  <c r="P162" i="4"/>
  <c r="P52" i="4"/>
  <c r="P119" i="4"/>
  <c r="P104" i="4"/>
  <c r="P301" i="4"/>
  <c r="P187" i="4"/>
  <c r="P142" i="4"/>
  <c r="P94" i="4"/>
  <c r="P51" i="4"/>
  <c r="P60" i="4"/>
  <c r="P349" i="4"/>
  <c r="P165" i="4"/>
  <c r="P87" i="4"/>
  <c r="P74" i="4"/>
  <c r="P271" i="4"/>
  <c r="P108" i="4"/>
  <c r="P101" i="4"/>
  <c r="P96" i="4"/>
  <c r="P333" i="4"/>
  <c r="P292" i="4"/>
  <c r="P268" i="4"/>
  <c r="P223" i="4"/>
  <c r="P178" i="4"/>
  <c r="P168" i="4"/>
  <c r="P130" i="4"/>
  <c r="P171" i="4"/>
  <c r="P152" i="4"/>
  <c r="P111" i="4"/>
  <c r="P210" i="4"/>
  <c r="P92" i="4"/>
  <c r="P70" i="4"/>
  <c r="P56" i="4"/>
  <c r="P121" i="4"/>
  <c r="P72" i="4"/>
  <c r="P170" i="4"/>
  <c r="P258" i="4"/>
  <c r="P206" i="4"/>
  <c r="P184" i="4"/>
  <c r="P155" i="4"/>
  <c r="P136" i="4"/>
  <c r="P77" i="4"/>
  <c r="P248" i="4"/>
  <c r="P194" i="4"/>
  <c r="P124" i="4"/>
  <c r="P99" i="4"/>
  <c r="P79" i="4"/>
  <c r="P58" i="4"/>
  <c r="P290" i="4"/>
  <c r="P217" i="4"/>
  <c r="P201" i="4"/>
  <c r="P138" i="4"/>
  <c r="P135" i="4"/>
  <c r="P81" i="4"/>
  <c r="P67" i="4"/>
  <c r="P55" i="4"/>
  <c r="P46" i="4"/>
  <c r="P325" i="4"/>
  <c r="P242" i="4"/>
  <c r="P163" i="4"/>
  <c r="P126" i="4"/>
  <c r="P86" i="4"/>
  <c r="P48" i="4"/>
  <c r="P115" i="4"/>
  <c r="P144" i="4"/>
  <c r="P62" i="4"/>
  <c r="P154" i="4"/>
  <c r="P103" i="4"/>
  <c r="P173" i="4"/>
  <c r="P160" i="4"/>
  <c r="P118" i="4"/>
  <c r="P98" i="4"/>
  <c r="P189" i="4"/>
  <c r="P357" i="4"/>
  <c r="P69" i="4"/>
  <c r="D20" i="4" l="1"/>
</calcChain>
</file>

<file path=xl/sharedStrings.xml><?xml version="1.0" encoding="utf-8"?>
<sst xmlns="http://schemas.openxmlformats.org/spreadsheetml/2006/main" count="254" uniqueCount="212">
  <si>
    <t>Radiografia del fondo World: quanta tecnologia hai davvero dentro</t>
  </si>
  <si>
    <t>Strumento didattico, non consulenza; dati storici, non previsioni.</t>
  </si>
  <si>
    <t>Indice</t>
  </si>
  <si>
    <t>1 - Radiografia</t>
  </si>
  <si>
    <t>Pesi di sei blocchi → USA, primi 10 titoli, tecnologia, comunicazione, euro su 1.000 € e sul tuo importo</t>
  </si>
  <si>
    <t>2 - Stress test</t>
  </si>
  <si>
    <t>Che cosa succede se il blocco tecnologia + comunicazione dimezza: quattro scenari di trascinamento</t>
  </si>
  <si>
    <t>3 - Precedente 2000-02</t>
  </si>
  <si>
    <t>Calo massimo del tuo mix a fine mese, 320 mesi in euro, e i dati giornalieri del video</t>
  </si>
  <si>
    <t>4 - CAPE</t>
  </si>
  <si>
    <t>Rendimento reale a 10 anni per fascia del rapporto prezzo-utili di Shiller (relazione storica)</t>
  </si>
  <si>
    <t>5 - Fonti e limiti</t>
  </si>
  <si>
    <t>Fonte e data di ogni parametro, limiti dichiarati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</si>
  <si>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</si>
  <si>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</si>
  <si>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</si>
  <si>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</si>
  <si>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</si>
  <si>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</si>
  <si>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Pesi per paese, settore e primi 10 titoli: schede degli indici MSCI World, USA, World ex USA, World Equal Weight, Emergenti, 30/09/2026</t>
  </si>
  <si>
    <t>• Rapporto prezzo-utili di Shiller (CAPE) dell'S&amp;P 500: dati di R. Shiller, verifica del 16/10/2026; settembre 2026 = 40,58</t>
  </si>
  <si>
    <t>• Rendimenti mensili 2000-02 → 2026-09 in euro, rendimento totale: serie MSCI; obbligazioni = proxy Bund 10 anni (curva Svensson, Bundesbank)</t>
  </si>
  <si>
    <t>• Nasdaq cento e Composite: serie Nasdaq a prezzo, convertite in euro col cambio implicito delle serie MSCI</t>
  </si>
  <si>
    <t>• Calcoli miei: dossier del video e questo foglio. Dati storici, non previsioni. Data dei dati: 30/09/2026</t>
  </si>
  <si>
    <t>Aggiornamenti: github.com/marcofire-it/marco-fire-simulatori</t>
  </si>
  <si>
    <t>Limiti: il calo del foglio 3 è a fine mese, quindi minore di quello giornaliero del video; il raccordo dei dividendi prima di dicembre 2000 è una stima; il World a pesi uguali prima del 2008 è una simulazione; le obbligazioni sono un proxy a duration costante, non un fondo. Vedi il foglio 5.</t>
  </si>
  <si>
    <t>Radiografia: quanta tecnologia c'è nel tuo portafoglio</t>
  </si>
  <si>
    <t>Il tuo portafoglio (celle gialle = input)</t>
  </si>
  <si>
    <t>Peso: World</t>
  </si>
  <si>
    <t>Peso: USA</t>
  </si>
  <si>
    <t>Peso: World escluso USA</t>
  </si>
  <si>
    <t>Peso: World a pesi uguali (Equal Weight)</t>
  </si>
  <si>
    <t>Peso: Mercati emergenti</t>
  </si>
  <si>
    <t>Peso: Obbligazioni (proxy Bund 10 anni)</t>
  </si>
  <si>
    <t>Somma dei pesi</t>
  </si>
  <si>
    <t>Controllo</t>
  </si>
  <si>
    <t>Quota del Consumo discrezionale contata come «intelligenza artificiale» (k)</t>
  </si>
  <si>
    <t>Importo del portafoglio (€)</t>
  </si>
  <si>
    <t>Parametri dei sei blocchi (dati di fonte, azzurri): peso % di ciascuna voce dentro il blocco</t>
  </si>
  <si>
    <t>Blocco</t>
  </si>
  <si>
    <t>USA</t>
  </si>
  <si>
    <t>Lista dei 10 del World (calcolo)</t>
  </si>
  <si>
    <t>Tecnologia</t>
  </si>
  <si>
    <t>Comunicazione</t>
  </si>
  <si>
    <t>Consumo discrezionale</t>
  </si>
  <si>
    <t>Fonte</t>
  </si>
  <si>
    <t>Data factsheet</t>
  </si>
  <si>
    <t>World</t>
  </si>
  <si>
    <t>MSCI, scheda dell'indice</t>
  </si>
  <si>
    <t>World escluso USA</t>
  </si>
  <si>
    <t>World a pesi uguali (Equal Weight)</t>
  </si>
  <si>
    <t>Mercati emergenti</t>
  </si>
  <si>
    <t>Obbligazioni (proxy Bund 10 anni)</t>
  </si>
  <si>
    <t>nessuna azione: zero per definizione</t>
  </si>
  <si>
    <t>La «lista dei 10» è la lista fissa dei dieci titoli di testa del World al 30/09/2026: nell'indice USA gli stessi nomi pesano 38,19%; nel World a pesi uguali 0,80% (calcolo: 10 titoli × 1/1.249); fuori dagli Stati Uniti e nei Mercati emergenti zero. È una quota di mix, non il peso dei primi 10 del tuo portafoglio.</t>
  </si>
  <si>
    <t>Primi 10 titoli di ciascun indice (dato di factsheet 30/09/2026, quello del video; un solo valore per indice)</t>
  </si>
  <si>
    <t>Primi 10 dell'indice</t>
  </si>
  <si>
    <t>Nel World i primi 10 sono nove società, perché una compare con due classi di azioni. Questi valori sono solo di lettura: il calcolo del tuo portafoglio usa la lista dei 10 qui sopra.</t>
  </si>
  <si>
    <t>Il risultato per il tuo portafoglio (celle verdi = formule)</t>
  </si>
  <si>
    <t>Esposizione agli Stati Uniti</t>
  </si>
  <si>
    <t>Quota della lista dei 10 titoli di testa del World nel tuo mix</t>
  </si>
  <si>
    <t>Tecnologia + Comunicazione</t>
  </si>
  <si>
    <t>Tecnologia + Comunicazione + k × Consumo discrezionale</t>
  </si>
  <si>
    <t>Euro in Tecnologia + Comunicazione, su 1.000 € investiti</t>
  </si>
  <si>
    <t>Euro in Tecnologia + Comunicazione, sul tuo importo</t>
  </si>
  <si>
    <t>Euro con la quota k del Consumo discrezionale, su 1.000 €</t>
  </si>
  <si>
    <t>Euro con la quota k del Consumo discrezionale, sul tuo importo</t>
  </si>
  <si>
    <t>Differenza in punti dal World puro (Tecnologia + Comunicazione)</t>
  </si>
  <si>
    <t>Dentro Tecnologia ci sono anche software gestionali, hardware e memorie; dentro Comunicazione anche media e telecomunicazioni: non sono tutti euro di intelligenza artificiale. Tre definizioni, nessuna è «la» definizione.</t>
  </si>
  <si>
    <t>Stress test: che cosa succede se il blocco dimezza</t>
  </si>
  <si>
    <t>Ipotesi (celle gialle = input)</t>
  </si>
  <si>
    <t>Shock sul blocco (da −90% a 0%)</t>
  </si>
  <si>
    <t>Blocco che subisce lo shock</t>
  </si>
  <si>
    <t>Trascinamento personalizzato φ (da 0 a 1)</t>
  </si>
  <si>
    <t>Rendimento delle obbligazioni nello scenario (da −20% a +20%)</t>
  </si>
  <si>
    <t>Importo del portafoglio (dal foglio 1)</t>
  </si>
  <si>
    <t>Esposizione del tuo portafoglio (dal foglio 1)</t>
  </si>
  <si>
    <t>b = esposizione del blocco scelto</t>
  </si>
  <si>
    <t>Peso delle obbligazioni</t>
  </si>
  <si>
    <t>E = quota azionaria (1 − peso delle obbligazioni)</t>
  </si>
  <si>
    <t>Perdita = shock × [ b + (E − b) × φ ] + peso obbligazioni × rendimento obbligazioni</t>
  </si>
  <si>
    <t>Scenario</t>
  </si>
  <si>
    <t>φ</t>
  </si>
  <si>
    <t>Etichetta</t>
  </si>
  <si>
    <t>Perdita %</t>
  </si>
  <si>
    <t>Perdita in €</t>
  </si>
  <si>
    <t>Valore dopo lo shock</t>
  </si>
  <si>
    <t>Passo didattico</t>
  </si>
  <si>
    <t>tech isolato (passo didattico)</t>
  </si>
  <si>
    <t>Giorni normali</t>
  </si>
  <si>
    <t>correlazione dei giorni normali, non dei crolli (beta giornaliero 2023-26)</t>
  </si>
  <si>
    <t>Come nel 2000-02</t>
  </si>
  <si>
    <t>come nel 2000-02 (intervallo ricostruito 0,35-0,52)</t>
  </si>
  <si>
    <t>Crisi generale</t>
  </si>
  <si>
    <t>crisi generale (2007-09 e 2020 intorno a 1,1; 2022: 0,62)</t>
  </si>
  <si>
    <t>Il tuo φ</t>
  </si>
  <si>
    <t>trascinamento personalizzato (cella B7)</t>
  </si>
  <si>
    <t>Scenario «che cosa succede se», non una previsione. φ è il trascinamento del resto delle azioni per unità di shock del blocco: 0,45 è la stima per lo scoppio del 2000-02 (intervallo 0,35-0,52, pesi storici ricostruiti, ±5 punti); 0,8 è una convenzione fra 2022 (0,62) e 2007-09 e 2020 (intorno a 1,1). Le obbligazioni a zero sono prudenti nel 2000-02, non nel 2022.</t>
  </si>
  <si>
    <t>Il precedente 2000-02: il calo massimo del tuo mix</t>
  </si>
  <si>
    <t>Parametri</t>
  </si>
  <si>
    <t>Costo annuo c (da 0% a 3%), sottratto come c/12 al mese</t>
  </si>
  <si>
    <t>Peso: World (dal foglio 1)</t>
  </si>
  <si>
    <t>Peso: USA (dal foglio 1)</t>
  </si>
  <si>
    <t>Peso: World escluso USA (dal foglio 1)</t>
  </si>
  <si>
    <t>Peso: World a pesi uguali (Equal Weight) (dal foglio 1)</t>
  </si>
  <si>
    <t>Peso: Mercati emergenti (dal foglio 1)</t>
  </si>
  <si>
    <t>Peso: Obbligazioni (proxy Bund 10 anni) (dal foglio 1)</t>
  </si>
  <si>
    <t>Il tuo portafoglio: calo massimo a fine mese (minore del giornaliero del video)</t>
  </si>
  <si>
    <t>Voce</t>
  </si>
  <si>
    <t>Fino a dic 2003</t>
  </si>
  <si>
    <t>Fino a dic 2010</t>
  </si>
  <si>
    <t>Fino a set 2026</t>
  </si>
  <si>
    <t>Calo massimo a fine mese</t>
  </si>
  <si>
    <t>Indice al picco</t>
  </si>
  <si>
    <t>Mese del picco</t>
  </si>
  <si>
    <t>Mese del minimo</t>
  </si>
  <si>
    <t>Mesi dal picco al minimo</t>
  </si>
  <si>
    <t>Mese di ritorno al picco</t>
  </si>
  <si>
    <t>Moltiplicatore feb 2000 → set 2026 (con il costo c)</t>
  </si>
  <si>
    <t>Calo massimo a fine mese: usa solo i dati dell'ultimo giorno di ogni mese, quindi è minore del calo giornaliero del video. Mix costante: ribilanciato ogni mese. Rendimento del portafoglio = somma pesata dei rendimenti − c/12.</t>
  </si>
  <si>
    <t>Dati del video, giornalieri (EUR, rendimento totale, lordi di costi): dati di fonte, non cambiano</t>
  </si>
  <si>
    <t>Calo massimo</t>
  </si>
  <si>
    <t>Picco</t>
  </si>
  <si>
    <t>Minimo</t>
  </si>
  <si>
    <t>Ritorno al picco</t>
  </si>
  <si>
    <t>Anni dal picco al ritorno</t>
  </si>
  <si>
    <t>Nasdaq cento (a prezzo)</t>
  </si>
  <si>
    <t>Nasdaq Composite (a prezzo)</t>
  </si>
  <si>
    <t>World a pesi uguali (simulazione prima del 2008)</t>
  </si>
  <si>
    <t>60% World, 40% obbligazioni</t>
  </si>
  <si>
    <t>80% World, 20% obbligazioni</t>
  </si>
  <si>
    <t>40% World, 60% obbligazioni</t>
  </si>
  <si>
    <t>Nasdaq in euro = prezzo, col cambio implicito delle serie MSCI (nessun rendimento totale pubblico). Obbligazioni = proxy Bund a duration costante, non un fondo. Raccordo dei dividendi prima di dicembre 2000 = stima (±1 punto sul World). World a pesi uguali: indice lanciato nel 2008, prima è una simulazione.</t>
  </si>
  <si>
    <t>Motore del calcolo, non modificare: rendimenti mensili in euro (azzurri) e calcolo del tuo mix</t>
  </si>
  <si>
    <t>320 righe, da fine febbraio 2000 a fine settembre 2026. Indice = 1 a fine gennaio 2000. Drawdown = indice / massimo precedente − 1.</t>
  </si>
  <si>
    <t>Pesi del mix (dalle celle B6:B11)</t>
  </si>
  <si>
    <t>Fine mese</t>
  </si>
  <si>
    <t>World a pesi uguali</t>
  </si>
  <si>
    <t>Emergenti</t>
  </si>
  <si>
    <t>Obbligazioni (proxy)</t>
  </si>
  <si>
    <t>Rendimento del mix</t>
  </si>
  <si>
    <t>Massimo precedente</t>
  </si>
  <si>
    <t>Calo dal massimo</t>
  </si>
  <si>
    <t>Calo (fino a dic 2003)</t>
  </si>
  <si>
    <t>Calo (fino a dic 2010)</t>
  </si>
  <si>
    <t>Ritorno 2003</t>
  </si>
  <si>
    <t>Ritorno 2010</t>
  </si>
  <si>
    <t>Ritorno 2026</t>
  </si>
  <si>
    <t>Il rapporto prezzo-utili di Shiller (CAPE) e il rendimento dei dieci anni dopo</t>
  </si>
  <si>
    <t>Il valore da guardare (cella gialla = input)</t>
  </si>
  <si>
    <t>CAPE di riferimento (da 5 a 60); set 2026 = 40,58</t>
  </si>
  <si>
    <t>Rendimento reale annuo a 10 anni, per fascia del CAPE (S&amp;P 500, 1881-2016: 1.630 mesi con risultato noto)</t>
  </si>
  <si>
    <t>Fascia</t>
  </si>
  <si>
    <t>Fino a (incluso)</t>
  </si>
  <si>
    <t>Mesi</t>
  </si>
  <si>
    <t>Peggiore</t>
  </si>
  <si>
    <t>Mediana</t>
  </si>
  <si>
    <t>Migliore</t>
  </si>
  <si>
    <t>fino a 10</t>
  </si>
  <si>
    <t>da 10 a 15</t>
  </si>
  <si>
    <t>da 15 a 20</t>
  </si>
  <si>
    <t>da 20 a 25</t>
  </si>
  <si>
    <t>da 25 a 30</t>
  </si>
  <si>
    <t>oltre 30</t>
  </si>
  <si>
    <t>—</t>
  </si>
  <si>
    <t>campione insufficiente (2 episodi con risultato noto: 1929 e 1997-2002)</t>
  </si>
  <si>
    <t>La fascia del tuo CAPE</t>
  </si>
  <si>
    <t>Numero della fascia (1-6)</t>
  </si>
  <si>
    <t>Mesi nel campione</t>
  </si>
  <si>
    <t>Quanto spiega il CAPE (dati di fonte, azzurri)</t>
  </si>
  <si>
    <t>Episodi indipendenti sopra 30, con risultato a 10 anni noto</t>
  </si>
  <si>
    <t>R² sui mesi sovrapposti (non è un campione indipendente)</t>
  </si>
  <si>
    <t>R² su 120 sottocampioni non sovrapposti: minimo</t>
  </si>
  <si>
    <t>R² su 120 sottocampioni non sovrapposti: mediana</t>
  </si>
  <si>
    <t>R² su 120 sottocampioni non sovrapposti: massimo</t>
  </si>
  <si>
    <t>CAPE di settembre 2026</t>
  </si>
  <si>
    <t>CAPE massimo (dicembre 1999)</t>
  </si>
  <si>
    <t>CAPE medio della serie</t>
  </si>
  <si>
    <t>Giugno 1997: CAPE 31,26 → rendimento reale annuo a 10 anni (fino al 2007)</t>
  </si>
  <si>
    <t>Giugno 1997 → dicembre 1999: rendimento reale annuo</t>
  </si>
  <si>
    <t>Luglio 2017: CAPE 30,00 → rendimento reale annuo fino a settembre 2026</t>
  </si>
  <si>
    <t>Relazione storica, non previsione. CAPE dell'S&amp;P 500, non del World; utili del 2026 in parte stimati; set 2026. Sopra 30 gli episodi con risultato noto sono due (1929 e 1997-2002): due non fanno una statistica. Percentile del CAPE di set 2026: intorno al 99° (98,91% sui 1.748 mesi 1881-gennaio → agosto 2026).</t>
  </si>
  <si>
    <t>Fonti e limiti</t>
  </si>
  <si>
    <t>Ogni parametro con la sua fonte</t>
  </si>
  <si>
    <t>Parametro</t>
  </si>
  <si>
    <t>Data</t>
  </si>
  <si>
    <t>Pesi per paese, settore, primi 10 titoli (sei blocchi)</t>
  </si>
  <si>
    <t>MSCI, schede degli indici World, USA, World ex USA, World Equal Weight, Emergenti</t>
  </si>
  <si>
    <t>30/09/2026</t>
  </si>
  <si>
    <t>CAPE, medie e fasce</t>
  </si>
  <si>
    <t>R. Shiller, dati mensili dell'S&amp;P 500, calcoli miei</t>
  </si>
  <si>
    <t>16/10/2026</t>
  </si>
  <si>
    <t>Rendimenti mensili in euro 2000-2026</t>
  </si>
  <si>
    <t>Serie MSCI di rendimento totale; prima di dicembre 2000 raccordo dei dividendi stimato</t>
  </si>
  <si>
    <t>Obbligazioni</t>
  </si>
  <si>
    <t>Proxy: Bund a 10 anni, curva Svensson della Bundesbank, duration costante</t>
  </si>
  <si>
    <t>Nasdaq cento e Composite</t>
  </si>
  <si>
    <t>Serie Nasdaq a prezzo, cambio implicito delle serie MSCI</t>
  </si>
  <si>
    <t>ottobre 2026</t>
  </si>
  <si>
    <t>Costo annuo c</t>
  </si>
  <si>
    <t>Parametro ipotetico (default 0,40% = 0,20% di gestione + 0,20% di bollo): non è il costo di un prodotto</t>
  </si>
  <si>
    <t>Trascinamento φ</t>
  </si>
  <si>
    <t>Stima mia sul 2000-02 (0,35-0,52), 2007-09, 2020, 2022</t>
  </si>
  <si>
    <t>Limiti dichiarati</t>
  </si>
  <si>
    <t>1. Il calo del foglio 3 è a fine mese: è minore di quello giornaliero mostrato nel video (il World passa da −54,18% a fine mese a −57,43% in giornata).</t>
  </si>
  <si>
    <t>2. Raccordo dei dividendi prima di dicembre 2000: stima, con incertezza intorno a un punto sul calo del World. Il World a pesi uguali non ha raccordo.</t>
  </si>
  <si>
    <t>3. World a pesi uguali: indice lanciato nel 2008; prima è una simulazione fatta a posteriori.</t>
  </si>
  <si>
    <t>4. Obbligazioni: proxy a duration costante, non un fondo.</t>
  </si>
  <si>
    <t>5. Peso degli Stati Uniti e della tecnologia nel World del 2000: ricostruzione dai prezzi, nessuna fonte primaria, errore fino a cinque punti.</t>
  </si>
  <si>
    <t>6. CAPE: S&amp;P 500; l'unico dato dell'analisi che non riguarda il World. Sopra 30 il campione è insufficiente.</t>
  </si>
  <si>
    <t>7. I pesi dei settori cambiano con la classificazione: nel 2018 il settore delle comunicazioni è stato ridefinito, e il suo peso è salito senza movimenti di prezzo.</t>
  </si>
  <si>
    <t>8. Tutto è storico: nessuna previsione, nessun invito a comprare o vendere.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</si>
</sst>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&quot; €&quot;"/>
    <numFmt numFmtId="166" formatCode="\+0.00;\-0.00;0.00"/>
    <numFmt numFmtId="167" formatCode="0.0000"/>
    <numFmt numFmtId="168" formatCode="0.000"/>
    <numFmt numFmtId="169" formatCode="0.0"/>
    <numFmt numFmtId="170" formatCode="0.0000%"/>
    <numFmt numFmtId="171" formatCode="\+0.0%;\-0.0%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  <fill>
      <patternFill patternType="solid">
        <fgColor rgb="FFE0F2FE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0" fontId="5" fillId="8" borderId="1" xfId="0" applyNumberFormat="1" applyFont="1" applyFill="1" applyBorder="1" applyAlignment="1">
      <alignment horizontal="right" vertical="center"/>
    </xf>
    <xf numFmtId="14" fontId="0" fillId="8" borderId="1" xfId="0" applyNumberFormat="1" applyFill="1" applyBorder="1"/>
    <xf numFmtId="164" fontId="5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4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14" fontId="5" fillId="8" borderId="1" xfId="0" applyNumberFormat="1" applyFont="1" applyFill="1" applyBorder="1" applyAlignment="1">
      <alignment horizontal="right" vertical="center"/>
    </xf>
    <xf numFmtId="169" fontId="5" fillId="8" borderId="1" xfId="0" applyNumberFormat="1" applyFont="1" applyFill="1" applyBorder="1" applyAlignment="1">
      <alignment horizontal="right" vertical="center"/>
    </xf>
    <xf numFmtId="170" fontId="5" fillId="8" borderId="1" xfId="0" applyNumberFormat="1" applyFont="1" applyFill="1" applyBorder="1" applyAlignment="1">
      <alignment horizontal="right" vertical="center"/>
    </xf>
    <xf numFmtId="170" fontId="5" fillId="6" borderId="1" xfId="0" applyNumberFormat="1" applyFont="1" applyFill="1" applyBorder="1" applyAlignment="1">
      <alignment horizontal="right" vertical="center"/>
    </xf>
    <xf numFmtId="1" fontId="5" fillId="8" borderId="1" xfId="0" applyNumberFormat="1" applyFont="1" applyFill="1" applyBorder="1" applyAlignment="1">
      <alignment horizontal="right" vertical="center"/>
    </xf>
    <xf numFmtId="171" fontId="5" fillId="8" borderId="1" xfId="0" applyNumberFormat="1" applyFont="1" applyFill="1" applyBorder="1" applyAlignment="1">
      <alignment horizontal="right" vertical="center"/>
    </xf>
    <xf numFmtId="171" fontId="5" fillId="6" borderId="1" xfId="0" applyNumberFormat="1" applyFont="1" applyFill="1" applyBorder="1" applyAlignment="1">
      <alignment horizontal="right" vertical="center"/>
    </xf>
    <xf numFmtId="168" fontId="5" fillId="8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0" borderId="0" xfId="0" applyFont="1"/>
    <xf numFmtId="0" fontId="7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</cols>
  <sheetData>
    <row r="1" spans="1:2" ht="32.1" customHeight="1">
      <c r="A1" s="35" t="s">
        <v>0</v>
      </c>
      <c r="B1" s="33"/>
    </row>
    <row r="2" spans="1:2" ht="32.1" customHeight="1">
      <c r="A2" s="34" t="s">
        <v>1</v>
      </c>
      <c r="B2" s="33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7" spans="1:2" ht="18.75">
      <c r="A17" s="1" t="s">
        <v>18</v>
      </c>
    </row>
    <row r="18" spans="1:2">
      <c r="A18" s="3" t="s">
        <v>19</v>
      </c>
    </row>
    <row r="19" spans="1:2">
      <c r="A19" s="3" t="s">
        <v>20</v>
      </c>
    </row>
    <row r="20" spans="1:2">
      <c r="A20" s="3" t="s">
        <v>21</v>
      </c>
    </row>
    <row r="21" spans="1:2">
      <c r="A21" s="3" t="s">
        <v>22</v>
      </c>
    </row>
    <row r="22" spans="1:2">
      <c r="A22" s="3" t="s">
        <v>23</v>
      </c>
    </row>
    <row r="24" spans="1:2">
      <c r="A24" s="4" t="s">
        <v>24</v>
      </c>
    </row>
    <row r="30" spans="1:2" ht="60" customHeight="1">
      <c r="A30" s="32" t="s">
        <v>25</v>
      </c>
      <c r="B30" s="33"/>
    </row>
  </sheetData>
  <mergeCells count="3">
    <mergeCell ref="A30:B30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/>
  </sheetViews>
  <sheetFormatPr defaultRowHeight="15"/>
  <cols>
    <col min="1" max="1" width="62" customWidth="1"/>
    <col min="2" max="2" width="23" customWidth="1"/>
    <col min="3" max="3" width="25" customWidth="1"/>
    <col min="4" max="4" width="17" customWidth="1"/>
    <col min="5" max="5" width="16" customWidth="1"/>
    <col min="6" max="6" width="24" customWidth="1"/>
    <col min="7" max="7" width="25" customWidth="1"/>
    <col min="8" max="8" width="17" customWidth="1"/>
  </cols>
  <sheetData>
    <row r="1" spans="1:8" ht="24.95" customHeight="1">
      <c r="A1" s="35" t="s">
        <v>26</v>
      </c>
      <c r="B1" s="33"/>
      <c r="C1" s="33"/>
      <c r="D1" s="33"/>
      <c r="E1" s="33"/>
      <c r="F1" s="33"/>
      <c r="G1" s="33"/>
      <c r="H1" s="33"/>
    </row>
    <row r="2" spans="1:8" ht="32.1" customHeight="1">
      <c r="A2" s="34" t="s">
        <v>1</v>
      </c>
      <c r="B2" s="33"/>
      <c r="C2" s="33"/>
      <c r="D2" s="33"/>
      <c r="E2" s="33"/>
      <c r="F2" s="33"/>
      <c r="G2" s="33"/>
      <c r="H2" s="33"/>
    </row>
    <row r="4" spans="1:8">
      <c r="A4" s="36" t="s">
        <v>27</v>
      </c>
      <c r="B4" s="33"/>
      <c r="C4" s="33"/>
      <c r="D4" s="33"/>
      <c r="E4" s="33"/>
      <c r="F4" s="33"/>
      <c r="G4" s="33"/>
      <c r="H4" s="33"/>
    </row>
    <row r="5" spans="1:8">
      <c r="A5" s="5" t="s">
        <v>28</v>
      </c>
      <c r="B5" s="6">
        <v>1</v>
      </c>
    </row>
    <row r="6" spans="1:8">
      <c r="A6" s="5" t="s">
        <v>29</v>
      </c>
      <c r="B6" s="6">
        <v>0</v>
      </c>
    </row>
    <row r="7" spans="1:8">
      <c r="A7" s="5" t="s">
        <v>30</v>
      </c>
      <c r="B7" s="6">
        <v>0</v>
      </c>
    </row>
    <row r="8" spans="1:8">
      <c r="A8" s="5" t="s">
        <v>31</v>
      </c>
      <c r="B8" s="6">
        <v>0</v>
      </c>
    </row>
    <row r="9" spans="1:8">
      <c r="A9" s="5" t="s">
        <v>32</v>
      </c>
      <c r="B9" s="6">
        <v>0</v>
      </c>
    </row>
    <row r="10" spans="1:8">
      <c r="A10" s="5" t="s">
        <v>33</v>
      </c>
      <c r="B10" s="6">
        <v>0</v>
      </c>
    </row>
    <row r="11" spans="1:8">
      <c r="A11" s="5" t="s">
        <v>34</v>
      </c>
      <c r="B11" s="7">
        <f>SUM(B5:B10)</f>
        <v>1</v>
      </c>
    </row>
    <row r="12" spans="1:8">
      <c r="A12" s="5" t="s">
        <v>35</v>
      </c>
      <c r="B12" s="8" t="str">
        <f>IF(ABS(B11-1)&lt;0.00001,"OK: somma 100%","ATTENZIONE: la somma deve fare 100%")</f>
        <v>OK: somma 100%</v>
      </c>
    </row>
    <row r="13" spans="1:8" ht="30">
      <c r="A13" s="5" t="s">
        <v>36</v>
      </c>
      <c r="B13" s="6">
        <v>0.5</v>
      </c>
    </row>
    <row r="14" spans="1:8">
      <c r="A14" s="5" t="s">
        <v>37</v>
      </c>
      <c r="B14" s="9">
        <v>117000</v>
      </c>
    </row>
    <row r="16" spans="1:8">
      <c r="A16" s="36" t="s">
        <v>38</v>
      </c>
      <c r="B16" s="33"/>
      <c r="C16" s="33"/>
      <c r="D16" s="33"/>
      <c r="E16" s="33"/>
      <c r="F16" s="33"/>
      <c r="G16" s="33"/>
      <c r="H16" s="33"/>
    </row>
    <row r="17" spans="1:8" ht="33.950000000000003" customHeight="1">
      <c r="A17" s="10" t="s">
        <v>39</v>
      </c>
      <c r="B17" s="10" t="s">
        <v>40</v>
      </c>
      <c r="C17" s="10" t="s">
        <v>41</v>
      </c>
      <c r="D17" s="10" t="s">
        <v>42</v>
      </c>
      <c r="E17" s="10" t="s">
        <v>43</v>
      </c>
      <c r="F17" s="10" t="s">
        <v>44</v>
      </c>
      <c r="G17" s="10" t="s">
        <v>45</v>
      </c>
      <c r="H17" s="10" t="s">
        <v>46</v>
      </c>
    </row>
    <row r="18" spans="1:8">
      <c r="A18" s="11" t="s">
        <v>47</v>
      </c>
      <c r="B18" s="12">
        <v>0.72939999999999994</v>
      </c>
      <c r="C18" s="12">
        <v>0.27850000000000003</v>
      </c>
      <c r="D18" s="12">
        <v>0.31780000000000003</v>
      </c>
      <c r="E18" s="12">
        <v>8.3100000000000007E-2</v>
      </c>
      <c r="F18" s="12">
        <v>8.3599999999999994E-2</v>
      </c>
      <c r="G18" s="11" t="s">
        <v>48</v>
      </c>
      <c r="H18" s="13">
        <v>46295</v>
      </c>
    </row>
    <row r="19" spans="1:8">
      <c r="A19" s="11" t="s">
        <v>40</v>
      </c>
      <c r="B19" s="12">
        <v>1</v>
      </c>
      <c r="C19" s="12">
        <v>0.38190000000000002</v>
      </c>
      <c r="D19" s="12">
        <v>0.39500000000000002</v>
      </c>
      <c r="E19" s="12">
        <v>0.1007</v>
      </c>
      <c r="F19" s="12">
        <v>8.6999999999999994E-2</v>
      </c>
      <c r="G19" s="11" t="s">
        <v>48</v>
      </c>
      <c r="H19" s="13">
        <v>46295</v>
      </c>
    </row>
    <row r="20" spans="1:8">
      <c r="A20" s="11" t="s">
        <v>49</v>
      </c>
      <c r="B20" s="12">
        <v>0</v>
      </c>
      <c r="C20" s="12">
        <v>0</v>
      </c>
      <c r="D20" s="12">
        <v>0.1096</v>
      </c>
      <c r="E20" s="12">
        <v>3.5499999999999997E-2</v>
      </c>
      <c r="F20" s="12">
        <v>7.4400000000000008E-2</v>
      </c>
      <c r="G20" s="11" t="s">
        <v>48</v>
      </c>
      <c r="H20" s="13">
        <v>46295</v>
      </c>
    </row>
    <row r="21" spans="1:8">
      <c r="A21" s="11" t="s">
        <v>50</v>
      </c>
      <c r="B21" s="12">
        <v>0.40610000000000002</v>
      </c>
      <c r="C21" s="12">
        <v>8.0000000000000002E-3</v>
      </c>
      <c r="D21" s="12">
        <v>0.1138</v>
      </c>
      <c r="E21" s="12">
        <v>4.6600000000000003E-2</v>
      </c>
      <c r="F21" s="12">
        <v>9.06E-2</v>
      </c>
      <c r="G21" s="11" t="s">
        <v>48</v>
      </c>
      <c r="H21" s="13">
        <v>46295</v>
      </c>
    </row>
    <row r="22" spans="1:8">
      <c r="A22" s="11" t="s">
        <v>51</v>
      </c>
      <c r="B22" s="12">
        <v>0</v>
      </c>
      <c r="C22" s="12">
        <v>0</v>
      </c>
      <c r="D22" s="12">
        <v>0.43780000000000002</v>
      </c>
      <c r="E22" s="12">
        <v>5.8600000000000013E-2</v>
      </c>
      <c r="F22" s="12">
        <v>7.3899999999999993E-2</v>
      </c>
      <c r="G22" s="11" t="s">
        <v>48</v>
      </c>
      <c r="H22" s="13">
        <v>46295</v>
      </c>
    </row>
    <row r="23" spans="1:8" ht="30">
      <c r="A23" s="11" t="s">
        <v>52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1" t="s">
        <v>53</v>
      </c>
      <c r="H23" s="13"/>
    </row>
    <row r="24" spans="1:8" ht="75" customHeight="1">
      <c r="A24" s="32" t="s">
        <v>54</v>
      </c>
      <c r="B24" s="33"/>
      <c r="C24" s="33"/>
      <c r="D24" s="33"/>
      <c r="E24" s="33"/>
      <c r="F24" s="33"/>
      <c r="G24" s="33"/>
      <c r="H24" s="33"/>
    </row>
    <row r="26" spans="1:8">
      <c r="A26" s="36" t="s">
        <v>55</v>
      </c>
      <c r="B26" s="33"/>
      <c r="C26" s="33"/>
      <c r="D26" s="33"/>
      <c r="E26" s="33"/>
      <c r="F26" s="33"/>
      <c r="G26" s="33"/>
      <c r="H26" s="33"/>
    </row>
    <row r="27" spans="1:8" ht="33.950000000000003" customHeight="1">
      <c r="A27" s="10" t="s">
        <v>2</v>
      </c>
      <c r="B27" s="10" t="s">
        <v>56</v>
      </c>
      <c r="C27" s="10" t="s">
        <v>45</v>
      </c>
      <c r="D27" s="10" t="s">
        <v>46</v>
      </c>
    </row>
    <row r="28" spans="1:8">
      <c r="A28" s="11" t="s">
        <v>47</v>
      </c>
      <c r="B28" s="12">
        <v>0.27850000000000003</v>
      </c>
      <c r="C28" s="11" t="s">
        <v>48</v>
      </c>
      <c r="D28" s="13">
        <v>46295</v>
      </c>
    </row>
    <row r="29" spans="1:8">
      <c r="A29" s="11" t="s">
        <v>40</v>
      </c>
      <c r="B29" s="12">
        <v>0.38190000000000002</v>
      </c>
      <c r="C29" s="11" t="s">
        <v>48</v>
      </c>
      <c r="D29" s="13">
        <v>46295</v>
      </c>
    </row>
    <row r="30" spans="1:8">
      <c r="A30" s="11" t="s">
        <v>49</v>
      </c>
      <c r="B30" s="12">
        <v>0.12709999999999999</v>
      </c>
      <c r="C30" s="11" t="s">
        <v>48</v>
      </c>
      <c r="D30" s="13">
        <v>46295</v>
      </c>
    </row>
    <row r="31" spans="1:8">
      <c r="A31" s="11" t="s">
        <v>50</v>
      </c>
      <c r="B31" s="12">
        <v>1.18E-2</v>
      </c>
      <c r="C31" s="11" t="s">
        <v>48</v>
      </c>
      <c r="D31" s="13">
        <v>46295</v>
      </c>
    </row>
    <row r="32" spans="1:8">
      <c r="A32" s="11" t="s">
        <v>51</v>
      </c>
      <c r="B32" s="12">
        <v>0.39029999999999998</v>
      </c>
      <c r="C32" s="11" t="s">
        <v>48</v>
      </c>
      <c r="D32" s="13">
        <v>46295</v>
      </c>
    </row>
    <row r="33" spans="1:8" ht="45" customHeight="1">
      <c r="A33" s="32" t="s">
        <v>57</v>
      </c>
      <c r="B33" s="33"/>
      <c r="C33" s="33"/>
      <c r="D33" s="33"/>
      <c r="E33" s="33"/>
      <c r="F33" s="33"/>
      <c r="G33" s="33"/>
      <c r="H33" s="33"/>
    </row>
    <row r="35" spans="1:8">
      <c r="A35" s="36" t="s">
        <v>58</v>
      </c>
      <c r="B35" s="33"/>
      <c r="C35" s="33"/>
      <c r="D35" s="33"/>
      <c r="E35" s="33"/>
      <c r="F35" s="33"/>
      <c r="G35" s="33"/>
      <c r="H35" s="33"/>
    </row>
    <row r="36" spans="1:8">
      <c r="A36" s="5" t="s">
        <v>59</v>
      </c>
      <c r="B36" s="7">
        <f>SUMPRODUCT($B$5:$B$10,B18:B23)</f>
        <v>0.72939999999999994</v>
      </c>
    </row>
    <row r="37" spans="1:8">
      <c r="A37" s="5" t="s">
        <v>60</v>
      </c>
      <c r="B37" s="7">
        <f>SUMPRODUCT($B$5:$B$10,C18:C23)</f>
        <v>0.27850000000000003</v>
      </c>
    </row>
    <row r="38" spans="1:8">
      <c r="A38" s="5" t="s">
        <v>42</v>
      </c>
      <c r="B38" s="7">
        <f>SUMPRODUCT($B$5:$B$10,D18:D23)</f>
        <v>0.31780000000000003</v>
      </c>
    </row>
    <row r="39" spans="1:8">
      <c r="A39" s="5" t="s">
        <v>43</v>
      </c>
      <c r="B39" s="7">
        <f>SUMPRODUCT($B$5:$B$10,E18:E23)</f>
        <v>8.3100000000000007E-2</v>
      </c>
    </row>
    <row r="40" spans="1:8">
      <c r="A40" s="5" t="s">
        <v>44</v>
      </c>
      <c r="B40" s="7">
        <f>SUMPRODUCT($B$5:$B$10,F18:F23)</f>
        <v>8.3599999999999994E-2</v>
      </c>
    </row>
    <row r="41" spans="1:8">
      <c r="A41" s="5" t="s">
        <v>61</v>
      </c>
      <c r="B41" s="7">
        <f>B38+B39</f>
        <v>0.40090000000000003</v>
      </c>
    </row>
    <row r="42" spans="1:8">
      <c r="A42" s="5" t="s">
        <v>62</v>
      </c>
      <c r="B42" s="7">
        <f>B41+B13*B40</f>
        <v>0.44270000000000004</v>
      </c>
    </row>
    <row r="43" spans="1:8">
      <c r="A43" s="5" t="s">
        <v>63</v>
      </c>
      <c r="B43" s="14">
        <f>1000*B41</f>
        <v>400.90000000000003</v>
      </c>
    </row>
    <row r="44" spans="1:8">
      <c r="A44" s="5" t="s">
        <v>64</v>
      </c>
      <c r="B44" s="14">
        <f>B14*B41</f>
        <v>46905.3</v>
      </c>
    </row>
    <row r="45" spans="1:8">
      <c r="A45" s="5" t="s">
        <v>65</v>
      </c>
      <c r="B45" s="14">
        <f>1000*B42</f>
        <v>442.70000000000005</v>
      </c>
    </row>
    <row r="46" spans="1:8">
      <c r="A46" s="5" t="s">
        <v>66</v>
      </c>
      <c r="B46" s="14">
        <f>B14*B42</f>
        <v>51795.9</v>
      </c>
    </row>
    <row r="47" spans="1:8">
      <c r="A47" s="5" t="s">
        <v>67</v>
      </c>
      <c r="B47" s="15">
        <f>(B41-$D$18-$E$18)*100</f>
        <v>0</v>
      </c>
    </row>
    <row r="48" spans="1:8" ht="45" customHeight="1">
      <c r="A48" s="32" t="s">
        <v>68</v>
      </c>
      <c r="B48" s="33"/>
      <c r="C48" s="33"/>
      <c r="D48" s="33"/>
      <c r="E48" s="33"/>
      <c r="F48" s="33"/>
      <c r="G48" s="33"/>
      <c r="H48" s="33"/>
    </row>
  </sheetData>
  <mergeCells count="9">
    <mergeCell ref="A2:H2"/>
    <mergeCell ref="A33:H33"/>
    <mergeCell ref="A1:H1"/>
    <mergeCell ref="A4:H4"/>
    <mergeCell ref="A48:H48"/>
    <mergeCell ref="A26:H26"/>
    <mergeCell ref="A35:H35"/>
    <mergeCell ref="A24:H24"/>
    <mergeCell ref="A16:H16"/>
  </mergeCells>
  <dataValidations count="3">
    <dataValidation type="decimal" showErrorMessage="1" errorTitle="Peso non valido" error="Inserisci un peso fra 0% e 100%." sqref="B5 B6 B7 B8 B9 B10">
      <formula1>0</formula1>
      <formula2>1</formula2>
    </dataValidation>
    <dataValidation type="decimal" showErrorMessage="1" errorTitle="k non valido" error="Inserisci una quota fra 0% e 100%." sqref="B13">
      <formula1>0</formula1>
      <formula2>1</formula2>
    </dataValidation>
    <dataValidation type="decimal" operator="greaterThanOrEqual" showErrorMessage="1" errorTitle="Importo non valido" error="Inserisci un importo maggiore o uguale a zero." sqref="B14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cols>
    <col min="1" max="1" width="58" customWidth="1"/>
    <col min="2" max="2" width="29" customWidth="1"/>
    <col min="3" max="3" width="62" customWidth="1"/>
    <col min="4" max="5" width="17" customWidth="1"/>
    <col min="6" max="6" width="23" customWidth="1"/>
  </cols>
  <sheetData>
    <row r="1" spans="1:7" ht="24.95" customHeight="1">
      <c r="A1" s="35" t="s">
        <v>69</v>
      </c>
      <c r="B1" s="33"/>
      <c r="C1" s="33"/>
      <c r="D1" s="33"/>
      <c r="E1" s="33"/>
      <c r="F1" s="33"/>
      <c r="G1" s="33"/>
    </row>
    <row r="2" spans="1:7" ht="32.1" customHeight="1">
      <c r="A2" s="34" t="s">
        <v>1</v>
      </c>
      <c r="B2" s="33"/>
      <c r="C2" s="33"/>
      <c r="D2" s="33"/>
      <c r="E2" s="33"/>
      <c r="F2" s="33"/>
      <c r="G2" s="33"/>
    </row>
    <row r="4" spans="1:7">
      <c r="A4" s="36" t="s">
        <v>70</v>
      </c>
      <c r="B4" s="33"/>
      <c r="C4" s="33"/>
      <c r="D4" s="33"/>
      <c r="E4" s="33"/>
      <c r="F4" s="33"/>
      <c r="G4" s="33"/>
    </row>
    <row r="5" spans="1:7">
      <c r="A5" s="5" t="s">
        <v>71</v>
      </c>
      <c r="B5" s="6">
        <v>-0.5</v>
      </c>
    </row>
    <row r="6" spans="1:7">
      <c r="A6" s="5" t="s">
        <v>72</v>
      </c>
      <c r="B6" s="16" t="s">
        <v>61</v>
      </c>
    </row>
    <row r="7" spans="1:7">
      <c r="A7" s="5" t="s">
        <v>73</v>
      </c>
      <c r="B7" s="17">
        <v>0.5</v>
      </c>
    </row>
    <row r="8" spans="1:7" ht="30">
      <c r="A8" s="5" t="s">
        <v>74</v>
      </c>
      <c r="B8" s="6">
        <v>0</v>
      </c>
    </row>
    <row r="9" spans="1:7">
      <c r="A9" s="5" t="s">
        <v>75</v>
      </c>
      <c r="B9" s="14">
        <f>'1 - Radiografia'!B14</f>
        <v>117000</v>
      </c>
    </row>
    <row r="11" spans="1:7">
      <c r="A11" s="36" t="s">
        <v>76</v>
      </c>
      <c r="B11" s="33"/>
      <c r="C11" s="33"/>
      <c r="D11" s="33"/>
      <c r="E11" s="33"/>
      <c r="F11" s="33"/>
      <c r="G11" s="33"/>
    </row>
    <row r="12" spans="1:7">
      <c r="A12" s="5" t="s">
        <v>77</v>
      </c>
      <c r="B12" s="7">
        <f>IF(B6="Tecnologia",'1 - Radiografia'!B38,IF(B6="Tecnologia + Comunicazione",'1 - Radiografia'!B41,'1 - Radiografia'!B42))</f>
        <v>0.40090000000000003</v>
      </c>
    </row>
    <row r="13" spans="1:7">
      <c r="A13" s="5" t="s">
        <v>78</v>
      </c>
      <c r="B13" s="7">
        <f>'1 - Radiografia'!B10</f>
        <v>0</v>
      </c>
    </row>
    <row r="14" spans="1:7">
      <c r="A14" s="5" t="s">
        <v>79</v>
      </c>
      <c r="B14" s="7">
        <f>1-B13</f>
        <v>1</v>
      </c>
    </row>
    <row r="16" spans="1:7">
      <c r="A16" s="36" t="s">
        <v>80</v>
      </c>
      <c r="B16" s="33"/>
      <c r="C16" s="33"/>
      <c r="D16" s="33"/>
      <c r="E16" s="33"/>
      <c r="F16" s="33"/>
      <c r="G16" s="33"/>
    </row>
    <row r="17" spans="1:7" ht="33.950000000000003" customHeight="1">
      <c r="A17" s="10" t="s">
        <v>81</v>
      </c>
      <c r="B17" s="10" t="s">
        <v>82</v>
      </c>
      <c r="C17" s="10" t="s">
        <v>83</v>
      </c>
      <c r="D17" s="10" t="s">
        <v>84</v>
      </c>
      <c r="E17" s="10" t="s">
        <v>85</v>
      </c>
      <c r="F17" s="10" t="s">
        <v>86</v>
      </c>
    </row>
    <row r="18" spans="1:7">
      <c r="A18" s="11" t="s">
        <v>87</v>
      </c>
      <c r="B18" s="18">
        <v>0</v>
      </c>
      <c r="C18" s="11" t="s">
        <v>88</v>
      </c>
      <c r="D18" s="7">
        <f>$B$5*($B$12+($B$14-$B$12)*B18)+$B$13*$B$8</f>
        <v>-0.20045000000000002</v>
      </c>
      <c r="E18" s="14">
        <f>D18*$B$9</f>
        <v>-23452.65</v>
      </c>
      <c r="F18" s="14">
        <f>$B$9+E18</f>
        <v>93547.35</v>
      </c>
    </row>
    <row r="19" spans="1:7" ht="30">
      <c r="A19" s="11" t="s">
        <v>89</v>
      </c>
      <c r="B19" s="18">
        <v>0.21</v>
      </c>
      <c r="C19" s="11" t="s">
        <v>90</v>
      </c>
      <c r="D19" s="7">
        <f>$B$5*($B$12+($B$14-$B$12)*B19)+$B$13*$B$8</f>
        <v>-0.26335550000000002</v>
      </c>
      <c r="E19" s="14">
        <f>D19*$B$9</f>
        <v>-30812.593500000003</v>
      </c>
      <c r="F19" s="14">
        <f>$B$9+E19</f>
        <v>86187.406499999997</v>
      </c>
    </row>
    <row r="20" spans="1:7">
      <c r="A20" s="11" t="s">
        <v>91</v>
      </c>
      <c r="B20" s="18">
        <v>0.45</v>
      </c>
      <c r="C20" s="11" t="s">
        <v>92</v>
      </c>
      <c r="D20" s="7">
        <f>$B$5*($B$12+($B$14-$B$12)*B20)+$B$13*$B$8</f>
        <v>-0.33524750000000003</v>
      </c>
      <c r="E20" s="14">
        <f>D20*$B$9</f>
        <v>-39223.957500000004</v>
      </c>
      <c r="F20" s="14">
        <f>$B$9+E20</f>
        <v>77776.042499999996</v>
      </c>
    </row>
    <row r="21" spans="1:7">
      <c r="A21" s="11" t="s">
        <v>93</v>
      </c>
      <c r="B21" s="18">
        <v>0.8</v>
      </c>
      <c r="C21" s="11" t="s">
        <v>94</v>
      </c>
      <c r="D21" s="7">
        <f>$B$5*($B$12+($B$14-$B$12)*B21)+$B$13*$B$8</f>
        <v>-0.44008999999999998</v>
      </c>
      <c r="E21" s="14">
        <f>D21*$B$9</f>
        <v>-51490.53</v>
      </c>
      <c r="F21" s="14">
        <f>$B$9+E21</f>
        <v>65509.47</v>
      </c>
    </row>
    <row r="22" spans="1:7">
      <c r="A22" s="11" t="s">
        <v>95</v>
      </c>
      <c r="B22" s="19">
        <f>B7</f>
        <v>0.5</v>
      </c>
      <c r="C22" s="11" t="s">
        <v>96</v>
      </c>
      <c r="D22" s="7">
        <f>$B$5*($B$12+($B$14-$B$12)*B22)+$B$13*$B$8</f>
        <v>-0.35022500000000001</v>
      </c>
      <c r="E22" s="14">
        <f>D22*$B$9</f>
        <v>-40976.325000000004</v>
      </c>
      <c r="F22" s="14">
        <f>$B$9+E22</f>
        <v>76023.674999999988</v>
      </c>
    </row>
    <row r="24" spans="1:7" ht="90" customHeight="1">
      <c r="A24" s="32" t="s">
        <v>97</v>
      </c>
      <c r="B24" s="33"/>
      <c r="C24" s="33"/>
      <c r="D24" s="33"/>
      <c r="E24" s="33"/>
      <c r="F24" s="33"/>
      <c r="G24" s="33"/>
    </row>
  </sheetData>
  <mergeCells count="6">
    <mergeCell ref="A1:G1"/>
    <mergeCell ref="A4:G4"/>
    <mergeCell ref="A24:G24"/>
    <mergeCell ref="A16:G16"/>
    <mergeCell ref="A2:G2"/>
    <mergeCell ref="A11:G11"/>
  </mergeCells>
  <dataValidations count="4">
    <dataValidation type="decimal" showErrorMessage="1" errorTitle="Shock non valido" error="Inserisci uno shock fra −90% e 0%." sqref="B5">
      <formula1>-0.9</formula1>
      <formula2>0</formula2>
    </dataValidation>
    <dataValidation type="list" showErrorMessage="1" errorTitle="Scelta non valida" error="Scegli una voce dall'elenco." sqref="B6">
      <formula1>"Tecnologia,Tecnologia + Comunicazione,Tecnologia + Comunicazione + quota k di Consumo"</formula1>
    </dataValidation>
    <dataValidation type="decimal" showErrorMessage="1" errorTitle="φ non valido" error="Inserisci un valore fra 0 e 1." sqref="B7">
      <formula1>0</formula1>
      <formula2>1</formula2>
    </dataValidation>
    <dataValidation type="decimal" showErrorMessage="1" errorTitle="Rendimento non valido" error="Inserisci un valore fra −20% e +20%." sqref="B8">
      <formula1>-0.2</formula1>
      <formula2>0.2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2"/>
  <sheetViews>
    <sheetView workbookViewId="0"/>
  </sheetViews>
  <sheetFormatPr defaultRowHeight="15"/>
  <cols>
    <col min="1" max="1" width="58" customWidth="1"/>
    <col min="2" max="3" width="18" customWidth="1"/>
    <col min="4" max="4" width="20" customWidth="1"/>
    <col min="5" max="5" width="22" customWidth="1"/>
    <col min="6" max="6" width="25" customWidth="1"/>
    <col min="7" max="7" width="23" customWidth="1"/>
    <col min="8" max="8" width="21" customWidth="1"/>
    <col min="9" max="9" width="17" customWidth="1"/>
    <col min="10" max="10" width="21" customWidth="1"/>
    <col min="11" max="11" width="19" customWidth="1"/>
    <col min="12" max="13" width="25" customWidth="1"/>
    <col min="14" max="16" width="17" customWidth="1"/>
  </cols>
  <sheetData>
    <row r="1" spans="1:8" ht="24.95" customHeight="1">
      <c r="A1" s="35" t="s">
        <v>98</v>
      </c>
      <c r="B1" s="33"/>
      <c r="C1" s="33"/>
      <c r="D1" s="33"/>
      <c r="E1" s="33"/>
      <c r="F1" s="33"/>
      <c r="G1" s="33"/>
      <c r="H1" s="33"/>
    </row>
    <row r="2" spans="1:8" ht="32.1" customHeight="1">
      <c r="A2" s="34" t="s">
        <v>1</v>
      </c>
      <c r="B2" s="33"/>
      <c r="C2" s="33"/>
      <c r="D2" s="33"/>
      <c r="E2" s="33"/>
      <c r="F2" s="33"/>
      <c r="G2" s="33"/>
      <c r="H2" s="33"/>
    </row>
    <row r="4" spans="1:8">
      <c r="A4" s="36" t="s">
        <v>99</v>
      </c>
      <c r="B4" s="33"/>
      <c r="C4" s="33"/>
      <c r="D4" s="33"/>
      <c r="E4" s="33"/>
      <c r="F4" s="33"/>
      <c r="G4" s="33"/>
      <c r="H4" s="33"/>
    </row>
    <row r="5" spans="1:8">
      <c r="A5" s="5" t="s">
        <v>100</v>
      </c>
      <c r="B5" s="6">
        <v>4.0000000000000001E-3</v>
      </c>
    </row>
    <row r="6" spans="1:8">
      <c r="A6" s="5" t="s">
        <v>101</v>
      </c>
      <c r="B6" s="7">
        <f>'1 - Radiografia'!B5</f>
        <v>1</v>
      </c>
    </row>
    <row r="7" spans="1:8">
      <c r="A7" s="5" t="s">
        <v>102</v>
      </c>
      <c r="B7" s="7">
        <f>'1 - Radiografia'!B6</f>
        <v>0</v>
      </c>
    </row>
    <row r="8" spans="1:8">
      <c r="A8" s="5" t="s">
        <v>103</v>
      </c>
      <c r="B8" s="7">
        <f>'1 - Radiografia'!B7</f>
        <v>0</v>
      </c>
    </row>
    <row r="9" spans="1:8">
      <c r="A9" s="5" t="s">
        <v>104</v>
      </c>
      <c r="B9" s="7">
        <f>'1 - Radiografia'!B8</f>
        <v>0</v>
      </c>
    </row>
    <row r="10" spans="1:8">
      <c r="A10" s="5" t="s">
        <v>105</v>
      </c>
      <c r="B10" s="7">
        <f>'1 - Radiografia'!B9</f>
        <v>0</v>
      </c>
    </row>
    <row r="11" spans="1:8">
      <c r="A11" s="5" t="s">
        <v>106</v>
      </c>
      <c r="B11" s="7">
        <f>'1 - Radiografia'!B10</f>
        <v>0</v>
      </c>
    </row>
    <row r="13" spans="1:8">
      <c r="A13" s="36" t="s">
        <v>107</v>
      </c>
      <c r="B13" s="33"/>
      <c r="C13" s="33"/>
      <c r="D13" s="33"/>
      <c r="E13" s="33"/>
      <c r="F13" s="33"/>
      <c r="G13" s="33"/>
      <c r="H13" s="33"/>
    </row>
    <row r="14" spans="1:8" ht="33.950000000000003" customHeight="1">
      <c r="A14" s="10" t="s">
        <v>108</v>
      </c>
      <c r="B14" s="10" t="s">
        <v>109</v>
      </c>
      <c r="C14" s="10" t="s">
        <v>110</v>
      </c>
      <c r="D14" s="10" t="s">
        <v>111</v>
      </c>
    </row>
    <row r="15" spans="1:8">
      <c r="A15" s="5" t="s">
        <v>112</v>
      </c>
      <c r="B15" s="7">
        <f>MIN(L$42:L$362)</f>
        <v>-0.54663551524239151</v>
      </c>
      <c r="C15" s="7">
        <f>MIN(M$42:M$362)</f>
        <v>-0.57418576947986921</v>
      </c>
      <c r="D15" s="7">
        <f>MIN(K$42:K$362)</f>
        <v>-0.57418576947986921</v>
      </c>
    </row>
    <row r="16" spans="1:8">
      <c r="A16" s="5" t="s">
        <v>113</v>
      </c>
      <c r="B16" s="20">
        <f>INDEX(J$42:J$362,MATCH(B15,L$42:L$362,0))</f>
        <v>1.1409645468253968</v>
      </c>
      <c r="C16" s="20">
        <f>INDEX(J$42:J$362,MATCH(C15,M$42:M$362,0))</f>
        <v>1.1409645468253968</v>
      </c>
      <c r="D16" s="20">
        <f>INDEX(J$42:J$362,MATCH(D15,K$42:K$362,0))</f>
        <v>1.1409645468253968</v>
      </c>
    </row>
    <row r="17" spans="1:8">
      <c r="A17" s="5" t="s">
        <v>114</v>
      </c>
      <c r="B17" s="21">
        <f>INDEX(A$42:A$362,MATCH(B16,I$42:I$362,0))</f>
        <v>36769</v>
      </c>
      <c r="C17" s="21">
        <f>INDEX(A$42:A$362,MATCH(C16,I$42:I$362,0))</f>
        <v>36769</v>
      </c>
      <c r="D17" s="21">
        <f>INDEX(A$42:A$362,MATCH(D16,I$42:I$362,0))</f>
        <v>36769</v>
      </c>
    </row>
    <row r="18" spans="1:8">
      <c r="A18" s="5" t="s">
        <v>115</v>
      </c>
      <c r="B18" s="21">
        <f>INDEX(A$42:A$362,MATCH(B15,L$42:L$362,0))</f>
        <v>37711</v>
      </c>
      <c r="C18" s="21">
        <f>INDEX(A$42:A$362,MATCH(C15,M$42:M$362,0))</f>
        <v>39872</v>
      </c>
      <c r="D18" s="21">
        <f>INDEX(A$42:A$362,MATCH(D15,K$42:K$362,0))</f>
        <v>39872</v>
      </c>
    </row>
    <row r="19" spans="1:8">
      <c r="A19" s="5" t="s">
        <v>116</v>
      </c>
      <c r="B19" s="22">
        <f>(YEAR(B18)-YEAR(B17))*12+MONTH(B18)-MONTH(B17)</f>
        <v>31</v>
      </c>
      <c r="C19" s="22">
        <f>(YEAR(C18)-YEAR(C17))*12+MONTH(C18)-MONTH(C17)</f>
        <v>102</v>
      </c>
      <c r="D19" s="22">
        <f>(YEAR(D18)-YEAR(D17))*12+MONTH(D18)-MONTH(D17)</f>
        <v>102</v>
      </c>
    </row>
    <row r="20" spans="1:8">
      <c r="A20" s="5" t="s">
        <v>117</v>
      </c>
      <c r="B20" s="21">
        <f>IF(COUNT(N$42:N$362)=0,"oltre set 2026",MIN(N$42:N$362))</f>
        <v>41820</v>
      </c>
      <c r="C20" s="21">
        <f>IF(COUNT(O$42:O$362)=0,"oltre set 2026",MIN(O$42:O$362))</f>
        <v>41820</v>
      </c>
      <c r="D20" s="21">
        <f>IF(COUNT(P$42:P$362)=0,"oltre set 2026",MIN(P$42:P$362))</f>
        <v>41820</v>
      </c>
    </row>
    <row r="21" spans="1:8">
      <c r="A21" s="5" t="s">
        <v>118</v>
      </c>
      <c r="B21" s="23">
        <f>I362</f>
        <v>4.5662034296531848</v>
      </c>
    </row>
    <row r="22" spans="1:8" ht="45" customHeight="1">
      <c r="A22" s="32" t="s">
        <v>119</v>
      </c>
      <c r="B22" s="33"/>
      <c r="C22" s="33"/>
      <c r="D22" s="33"/>
      <c r="E22" s="33"/>
      <c r="F22" s="33"/>
      <c r="G22" s="33"/>
      <c r="H22" s="33"/>
    </row>
    <row r="24" spans="1:8">
      <c r="A24" s="36" t="s">
        <v>120</v>
      </c>
      <c r="B24" s="33"/>
      <c r="C24" s="33"/>
      <c r="D24" s="33"/>
      <c r="E24" s="33"/>
      <c r="F24" s="33"/>
      <c r="G24" s="33"/>
      <c r="H24" s="33"/>
    </row>
    <row r="25" spans="1:8" ht="33.950000000000003" customHeight="1">
      <c r="A25" s="10" t="s">
        <v>2</v>
      </c>
      <c r="B25" s="10" t="s">
        <v>121</v>
      </c>
      <c r="C25" s="10" t="s">
        <v>122</v>
      </c>
      <c r="D25" s="10" t="s">
        <v>123</v>
      </c>
      <c r="E25" s="10" t="s">
        <v>124</v>
      </c>
      <c r="F25" s="10" t="s">
        <v>125</v>
      </c>
    </row>
    <row r="26" spans="1:8">
      <c r="A26" s="11" t="s">
        <v>126</v>
      </c>
      <c r="B26" s="12">
        <v>-0.83120000000000005</v>
      </c>
      <c r="C26" s="24">
        <v>36612</v>
      </c>
      <c r="D26" s="24">
        <v>37538</v>
      </c>
      <c r="E26" s="24">
        <v>42773</v>
      </c>
      <c r="F26" s="25">
        <v>16.899999999999999</v>
      </c>
    </row>
    <row r="27" spans="1:8">
      <c r="A27" s="11" t="s">
        <v>127</v>
      </c>
      <c r="B27" s="12">
        <v>-0.78430000000000011</v>
      </c>
      <c r="C27" s="24">
        <v>36595</v>
      </c>
      <c r="D27" s="24">
        <v>37538</v>
      </c>
      <c r="E27" s="24">
        <v>42719</v>
      </c>
      <c r="F27" s="25">
        <v>16.8</v>
      </c>
    </row>
    <row r="28" spans="1:8">
      <c r="A28" s="11" t="s">
        <v>47</v>
      </c>
      <c r="B28" s="12">
        <v>-0.57430000000000003</v>
      </c>
      <c r="C28" s="24">
        <v>36776</v>
      </c>
      <c r="D28" s="24">
        <v>37692</v>
      </c>
      <c r="E28" s="24">
        <v>41654</v>
      </c>
      <c r="F28" s="25">
        <v>13.4</v>
      </c>
    </row>
    <row r="29" spans="1:8">
      <c r="A29" s="11" t="s">
        <v>128</v>
      </c>
      <c r="B29" s="12">
        <v>-0.4718</v>
      </c>
      <c r="C29" s="24">
        <v>36777</v>
      </c>
      <c r="D29" s="24">
        <v>37692</v>
      </c>
      <c r="E29" s="24">
        <v>38548</v>
      </c>
      <c r="F29" s="25">
        <v>4.8</v>
      </c>
    </row>
    <row r="30" spans="1:8">
      <c r="A30" s="11" t="s">
        <v>129</v>
      </c>
      <c r="B30" s="12">
        <v>-0.33129999999999998</v>
      </c>
      <c r="C30" s="24">
        <v>36776</v>
      </c>
      <c r="D30" s="24">
        <v>37692</v>
      </c>
      <c r="E30" s="24">
        <v>38721</v>
      </c>
      <c r="F30" s="25">
        <v>5.3</v>
      </c>
    </row>
    <row r="31" spans="1:8">
      <c r="A31" s="11" t="s">
        <v>130</v>
      </c>
      <c r="B31" s="12">
        <v>-0.46450000000000002</v>
      </c>
      <c r="C31" s="24">
        <v>36776</v>
      </c>
      <c r="D31" s="24">
        <v>37692</v>
      </c>
      <c r="E31" s="24">
        <v>41094</v>
      </c>
      <c r="F31" s="25">
        <v>11.8</v>
      </c>
    </row>
    <row r="32" spans="1:8">
      <c r="A32" s="11" t="s">
        <v>131</v>
      </c>
      <c r="B32" s="12">
        <v>-0.17169999999999999</v>
      </c>
      <c r="C32" s="24">
        <v>36773</v>
      </c>
      <c r="D32" s="24">
        <v>37460</v>
      </c>
      <c r="E32" s="24">
        <v>38334</v>
      </c>
      <c r="F32" s="25">
        <v>4.3</v>
      </c>
    </row>
    <row r="34" spans="1:16" ht="75" customHeight="1">
      <c r="A34" s="32" t="s">
        <v>132</v>
      </c>
      <c r="B34" s="33"/>
      <c r="C34" s="33"/>
      <c r="D34" s="33"/>
      <c r="E34" s="33"/>
      <c r="F34" s="33"/>
      <c r="G34" s="33"/>
      <c r="H34" s="33"/>
    </row>
    <row r="36" spans="1:16">
      <c r="A36" s="36" t="s">
        <v>133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16" ht="30" customHeight="1">
      <c r="A37" s="32" t="s">
        <v>134</v>
      </c>
      <c r="B37" s="33"/>
      <c r="C37" s="33"/>
      <c r="D37" s="33"/>
      <c r="E37" s="33"/>
      <c r="F37" s="33"/>
      <c r="G37" s="33"/>
      <c r="H37" s="33"/>
    </row>
    <row r="38" spans="1:16">
      <c r="A38" s="5" t="s">
        <v>135</v>
      </c>
      <c r="B38" s="7">
        <f>$B$6</f>
        <v>1</v>
      </c>
      <c r="C38" s="7">
        <f>$B$7</f>
        <v>0</v>
      </c>
      <c r="D38" s="7">
        <f>$B$8</f>
        <v>0</v>
      </c>
      <c r="E38" s="7">
        <f>$B$9</f>
        <v>0</v>
      </c>
      <c r="F38" s="7">
        <f>$B$10</f>
        <v>0</v>
      </c>
      <c r="G38" s="7">
        <f>$B$11</f>
        <v>0</v>
      </c>
    </row>
    <row r="41" spans="1:16" ht="33.950000000000003" customHeight="1">
      <c r="A41" s="10" t="s">
        <v>136</v>
      </c>
      <c r="B41" s="10" t="s">
        <v>47</v>
      </c>
      <c r="C41" s="10" t="s">
        <v>40</v>
      </c>
      <c r="D41" s="10" t="s">
        <v>49</v>
      </c>
      <c r="E41" s="10" t="s">
        <v>137</v>
      </c>
      <c r="F41" s="10" t="s">
        <v>138</v>
      </c>
      <c r="G41" s="10" t="s">
        <v>139</v>
      </c>
      <c r="H41" s="10" t="s">
        <v>140</v>
      </c>
      <c r="I41" s="10" t="s">
        <v>2</v>
      </c>
      <c r="J41" s="10" t="s">
        <v>141</v>
      </c>
      <c r="K41" s="10" t="s">
        <v>142</v>
      </c>
      <c r="L41" s="10" t="s">
        <v>143</v>
      </c>
      <c r="M41" s="10" t="s">
        <v>144</v>
      </c>
      <c r="N41" s="10" t="s">
        <v>145</v>
      </c>
      <c r="O41" s="10" t="s">
        <v>146</v>
      </c>
      <c r="P41" s="10" t="s">
        <v>147</v>
      </c>
    </row>
    <row r="42" spans="1:16">
      <c r="A42" s="13">
        <v>36556</v>
      </c>
      <c r="I42" s="20">
        <v>1</v>
      </c>
      <c r="J42" s="20">
        <f>MAX(I$42:I42)</f>
        <v>1</v>
      </c>
      <c r="K42" s="7">
        <f t="shared" ref="K42:K105" si="0">I42/J42-1</f>
        <v>0</v>
      </c>
      <c r="L42" s="7">
        <f t="shared" ref="L42:L105" si="1">IF(A42&lt;=DATE(2003,12,31),K42,"")</f>
        <v>0</v>
      </c>
      <c r="M42" s="7">
        <f t="shared" ref="M42:M105" si="2">IF(A42&lt;=DATE(2010,12,31),K42,"")</f>
        <v>0</v>
      </c>
    </row>
    <row r="43" spans="1:16">
      <c r="A43" s="24">
        <v>36585</v>
      </c>
      <c r="B43" s="26">
        <v>1.9061000000000002E-2</v>
      </c>
      <c r="C43" s="26">
        <v>-8.1019999999999998E-3</v>
      </c>
      <c r="D43" s="26">
        <v>4.5413000000000002E-2</v>
      </c>
      <c r="E43" s="26">
        <v>-1.6199999999999999E-3</v>
      </c>
      <c r="F43" s="26">
        <v>3.1095999999999999E-2</v>
      </c>
      <c r="G43" s="26">
        <v>1.2963000000000001E-2</v>
      </c>
      <c r="H43" s="27">
        <f t="shared" ref="H43:H106" si="3">SUMPRODUCT($B$38:$G$38,B43:G43)-$B$5/12</f>
        <v>1.8727666666666667E-2</v>
      </c>
      <c r="I43" s="20">
        <f t="shared" ref="I43:I106" si="4">I42*(1+H43)</f>
        <v>1.0187276666666667</v>
      </c>
      <c r="J43" s="20">
        <f>MAX(I$42:I43)</f>
        <v>1.0187276666666667</v>
      </c>
      <c r="K43" s="7">
        <f t="shared" si="0"/>
        <v>0</v>
      </c>
      <c r="L43" s="7">
        <f t="shared" si="1"/>
        <v>0</v>
      </c>
      <c r="M43" s="7">
        <f t="shared" si="2"/>
        <v>0</v>
      </c>
      <c r="N43" s="21" t="str">
        <f t="shared" ref="N43:N106" si="5">IF(AND(A43&gt;$B$18,I43&gt;=$B$16),A43,"")</f>
        <v/>
      </c>
      <c r="O43" s="21" t="str">
        <f t="shared" ref="O43:O106" si="6">IF(AND(A43&gt;$C$18,I43&gt;=$C$16),A43,"")</f>
        <v/>
      </c>
      <c r="P43" s="21" t="str">
        <f t="shared" ref="P43:P106" si="7">IF(AND(A43&gt;$D$18,I43&gt;=$D$16),A43,"")</f>
        <v/>
      </c>
    </row>
    <row r="44" spans="1:16">
      <c r="A44" s="24">
        <v>36616</v>
      </c>
      <c r="B44" s="26">
        <v>7.5899999999999995E-2</v>
      </c>
      <c r="C44" s="26">
        <v>0.10653600000000001</v>
      </c>
      <c r="D44" s="26">
        <v>4.7913999999999998E-2</v>
      </c>
      <c r="E44" s="26">
        <v>7.9719999999999999E-2</v>
      </c>
      <c r="F44" s="26">
        <v>1.1325999999999999E-2</v>
      </c>
      <c r="G44" s="26">
        <v>2.6584E-2</v>
      </c>
      <c r="H44" s="27">
        <f t="shared" si="3"/>
        <v>7.5566666666666657E-2</v>
      </c>
      <c r="I44" s="20">
        <f t="shared" si="4"/>
        <v>1.0957095206777776</v>
      </c>
      <c r="J44" s="20">
        <f>MAX(I$42:I44)</f>
        <v>1.0957095206777776</v>
      </c>
      <c r="K44" s="7">
        <f t="shared" si="0"/>
        <v>0</v>
      </c>
      <c r="L44" s="7">
        <f t="shared" si="1"/>
        <v>0</v>
      </c>
      <c r="M44" s="7">
        <f t="shared" si="2"/>
        <v>0</v>
      </c>
      <c r="N44" s="21" t="str">
        <f t="shared" si="5"/>
        <v/>
      </c>
      <c r="O44" s="21" t="str">
        <f t="shared" si="6"/>
        <v/>
      </c>
      <c r="P44" s="21" t="str">
        <f t="shared" si="7"/>
        <v/>
      </c>
    </row>
    <row r="45" spans="1:16">
      <c r="A45" s="24">
        <v>36646</v>
      </c>
      <c r="B45" s="26">
        <v>5.7910000000000001E-3</v>
      </c>
      <c r="C45" s="26">
        <v>1.6004999999999998E-2</v>
      </c>
      <c r="D45" s="26">
        <v>-4.0600000000000002E-3</v>
      </c>
      <c r="E45" s="26">
        <v>2.6681E-2</v>
      </c>
      <c r="F45" s="26">
        <v>-4.9359E-2</v>
      </c>
      <c r="G45" s="26">
        <v>-7.5620000000000001E-3</v>
      </c>
      <c r="H45" s="27">
        <f t="shared" si="3"/>
        <v>5.4576666666666671E-3</v>
      </c>
      <c r="I45" s="20">
        <f t="shared" si="4"/>
        <v>1.1016895380051299</v>
      </c>
      <c r="J45" s="20">
        <f>MAX(I$42:I45)</f>
        <v>1.1016895380051299</v>
      </c>
      <c r="K45" s="7">
        <f t="shared" si="0"/>
        <v>0</v>
      </c>
      <c r="L45" s="7">
        <f t="shared" si="1"/>
        <v>0</v>
      </c>
      <c r="M45" s="7">
        <f t="shared" si="2"/>
        <v>0</v>
      </c>
      <c r="N45" s="21" t="str">
        <f t="shared" si="5"/>
        <v/>
      </c>
      <c r="O45" s="21" t="str">
        <f t="shared" si="6"/>
        <v/>
      </c>
      <c r="P45" s="21" t="str">
        <f t="shared" si="7"/>
        <v/>
      </c>
    </row>
    <row r="46" spans="1:16">
      <c r="A46" s="24">
        <v>36677</v>
      </c>
      <c r="B46" s="26">
        <v>-4.2056000000000003E-2</v>
      </c>
      <c r="C46" s="26">
        <v>-4.3401000000000002E-2</v>
      </c>
      <c r="D46" s="26">
        <v>-4.0725999999999998E-2</v>
      </c>
      <c r="E46" s="26">
        <v>-1.3192000000000001E-2</v>
      </c>
      <c r="F46" s="26">
        <v>-5.8368000000000003E-2</v>
      </c>
      <c r="G46" s="26">
        <v>1.2857E-2</v>
      </c>
      <c r="H46" s="27">
        <f t="shared" si="3"/>
        <v>-4.2389333333333334E-2</v>
      </c>
      <c r="I46" s="20">
        <f t="shared" si="4"/>
        <v>1.0549896529487843</v>
      </c>
      <c r="J46" s="20">
        <f>MAX(I$42:I46)</f>
        <v>1.1016895380051299</v>
      </c>
      <c r="K46" s="7">
        <f t="shared" si="0"/>
        <v>-4.2389333333333501E-2</v>
      </c>
      <c r="L46" s="7">
        <f t="shared" si="1"/>
        <v>-4.2389333333333501E-2</v>
      </c>
      <c r="M46" s="7">
        <f t="shared" si="2"/>
        <v>-4.2389333333333501E-2</v>
      </c>
      <c r="N46" s="21" t="str">
        <f t="shared" si="5"/>
        <v/>
      </c>
      <c r="O46" s="21" t="str">
        <f t="shared" si="6"/>
        <v/>
      </c>
      <c r="P46" s="21" t="str">
        <f t="shared" si="7"/>
        <v/>
      </c>
    </row>
    <row r="47" spans="1:16">
      <c r="A47" s="24">
        <v>36707</v>
      </c>
      <c r="B47" s="26">
        <v>2.1599999999999999E-4</v>
      </c>
      <c r="C47" s="26">
        <v>-9.3489999999999997E-3</v>
      </c>
      <c r="D47" s="26">
        <v>9.6740000000000003E-3</v>
      </c>
      <c r="E47" s="26">
        <v>1.4615E-2</v>
      </c>
      <c r="F47" s="26">
        <v>2.3499999999999999E-4</v>
      </c>
      <c r="G47" s="26">
        <v>6.7390000000000002E-3</v>
      </c>
      <c r="H47" s="27">
        <f t="shared" si="3"/>
        <v>-1.1733333333333333E-4</v>
      </c>
      <c r="I47" s="20">
        <f t="shared" si="4"/>
        <v>1.0548658674961717</v>
      </c>
      <c r="J47" s="20">
        <f>MAX(I$42:I47)</f>
        <v>1.1016895380051299</v>
      </c>
      <c r="K47" s="7">
        <f t="shared" si="0"/>
        <v>-4.2501692984888928E-2</v>
      </c>
      <c r="L47" s="7">
        <f t="shared" si="1"/>
        <v>-4.2501692984888928E-2</v>
      </c>
      <c r="M47" s="7">
        <f t="shared" si="2"/>
        <v>-4.2501692984888928E-2</v>
      </c>
      <c r="N47" s="21" t="str">
        <f t="shared" si="5"/>
        <v/>
      </c>
      <c r="O47" s="21" t="str">
        <f t="shared" si="6"/>
        <v/>
      </c>
      <c r="P47" s="21" t="str">
        <f t="shared" si="7"/>
        <v/>
      </c>
    </row>
    <row r="48" spans="1:16">
      <c r="A48" s="24">
        <v>36738</v>
      </c>
      <c r="B48" s="26">
        <v>5.5310000000000003E-3</v>
      </c>
      <c r="C48" s="26">
        <v>1.5917000000000001E-2</v>
      </c>
      <c r="D48" s="26">
        <v>-4.633E-3</v>
      </c>
      <c r="E48" s="26">
        <v>2.147E-3</v>
      </c>
      <c r="F48" s="26">
        <v>-1.8137E-2</v>
      </c>
      <c r="G48" s="26">
        <v>5.2050000000000004E-3</v>
      </c>
      <c r="H48" s="27">
        <f t="shared" si="3"/>
        <v>5.1976666666666673E-3</v>
      </c>
      <c r="I48" s="20">
        <f t="shared" si="4"/>
        <v>1.0603487086534611</v>
      </c>
      <c r="J48" s="20">
        <f>MAX(I$42:I48)</f>
        <v>1.1016895380051299</v>
      </c>
      <c r="K48" s="7">
        <f t="shared" si="0"/>
        <v>-3.7524935951126714E-2</v>
      </c>
      <c r="L48" s="7">
        <f t="shared" si="1"/>
        <v>-3.7524935951126714E-2</v>
      </c>
      <c r="M48" s="7">
        <f t="shared" si="2"/>
        <v>-3.7524935951126714E-2</v>
      </c>
      <c r="N48" s="21" t="str">
        <f t="shared" si="5"/>
        <v/>
      </c>
      <c r="O48" s="21" t="str">
        <f t="shared" si="6"/>
        <v/>
      </c>
      <c r="P48" s="21" t="str">
        <f t="shared" si="7"/>
        <v/>
      </c>
    </row>
    <row r="49" spans="1:16">
      <c r="A49" s="24">
        <v>36769</v>
      </c>
      <c r="B49" s="26">
        <v>7.6360999999999998E-2</v>
      </c>
      <c r="C49" s="26">
        <v>9.6401000000000001E-2</v>
      </c>
      <c r="D49" s="26">
        <v>5.6321999999999997E-2</v>
      </c>
      <c r="E49" s="26">
        <v>7.5359999999999996E-2</v>
      </c>
      <c r="F49" s="26">
        <v>4.7801000000000003E-2</v>
      </c>
      <c r="G49" s="26">
        <v>2.1800000000000001E-3</v>
      </c>
      <c r="H49" s="27">
        <f t="shared" si="3"/>
        <v>7.602766666666666E-2</v>
      </c>
      <c r="I49" s="20">
        <f t="shared" si="4"/>
        <v>1.1409645468253968</v>
      </c>
      <c r="J49" s="20">
        <f>MAX(I$42:I49)</f>
        <v>1.1409645468253968</v>
      </c>
      <c r="K49" s="7">
        <f t="shared" si="0"/>
        <v>0</v>
      </c>
      <c r="L49" s="7">
        <f t="shared" si="1"/>
        <v>0</v>
      </c>
      <c r="M49" s="7">
        <f t="shared" si="2"/>
        <v>0</v>
      </c>
      <c r="N49" s="21" t="str">
        <f t="shared" si="5"/>
        <v/>
      </c>
      <c r="O49" s="21" t="str">
        <f t="shared" si="6"/>
        <v/>
      </c>
      <c r="P49" s="21" t="str">
        <f t="shared" si="7"/>
        <v/>
      </c>
    </row>
    <row r="50" spans="1:16">
      <c r="A50" s="24">
        <v>36799</v>
      </c>
      <c r="B50" s="26">
        <v>-4.5991999999999998E-2</v>
      </c>
      <c r="C50" s="26">
        <v>-4.7411000000000002E-2</v>
      </c>
      <c r="D50" s="26">
        <v>-4.4424999999999999E-2</v>
      </c>
      <c r="E50" s="26">
        <v>-2.5904E-2</v>
      </c>
      <c r="F50" s="26">
        <v>-8.0212000000000006E-2</v>
      </c>
      <c r="G50" s="26">
        <v>8.2459999999999999E-3</v>
      </c>
      <c r="H50" s="27">
        <f t="shared" si="3"/>
        <v>-4.6325333333333329E-2</v>
      </c>
      <c r="I50" s="20">
        <f t="shared" si="4"/>
        <v>1.0881089838721947</v>
      </c>
      <c r="J50" s="20">
        <f>MAX(I$42:I50)</f>
        <v>1.1409645468253968</v>
      </c>
      <c r="K50" s="7">
        <f t="shared" si="0"/>
        <v>-4.6325333333333329E-2</v>
      </c>
      <c r="L50" s="7">
        <f t="shared" si="1"/>
        <v>-4.6325333333333329E-2</v>
      </c>
      <c r="M50" s="7">
        <f t="shared" si="2"/>
        <v>-4.6325333333333329E-2</v>
      </c>
      <c r="N50" s="21" t="str">
        <f t="shared" si="5"/>
        <v/>
      </c>
      <c r="O50" s="21" t="str">
        <f t="shared" si="6"/>
        <v/>
      </c>
      <c r="P50" s="21" t="str">
        <f t="shared" si="7"/>
        <v/>
      </c>
    </row>
    <row r="51" spans="1:16">
      <c r="A51" s="24">
        <v>36830</v>
      </c>
      <c r="B51" s="26">
        <v>2.3885E-2</v>
      </c>
      <c r="C51" s="26">
        <v>3.3680000000000002E-2</v>
      </c>
      <c r="D51" s="26">
        <v>1.319E-2</v>
      </c>
      <c r="E51" s="26">
        <v>1.8983E-2</v>
      </c>
      <c r="F51" s="26">
        <v>-3.3071000000000003E-2</v>
      </c>
      <c r="G51" s="26">
        <v>4.4250000000000001E-3</v>
      </c>
      <c r="H51" s="27">
        <f t="shared" si="3"/>
        <v>2.3551666666666665E-2</v>
      </c>
      <c r="I51" s="20">
        <f t="shared" si="4"/>
        <v>1.113735763957358</v>
      </c>
      <c r="J51" s="20">
        <f>MAX(I$42:I51)</f>
        <v>1.1409645468253968</v>
      </c>
      <c r="K51" s="7">
        <f t="shared" si="0"/>
        <v>-2.3864705475555636E-2</v>
      </c>
      <c r="L51" s="7">
        <f t="shared" si="1"/>
        <v>-2.3864705475555636E-2</v>
      </c>
      <c r="M51" s="7">
        <f t="shared" si="2"/>
        <v>-2.3864705475555636E-2</v>
      </c>
      <c r="N51" s="21" t="str">
        <f t="shared" si="5"/>
        <v/>
      </c>
      <c r="O51" s="21" t="str">
        <f t="shared" si="6"/>
        <v/>
      </c>
      <c r="P51" s="21" t="str">
        <f t="shared" si="7"/>
        <v/>
      </c>
    </row>
    <row r="52" spans="1:16">
      <c r="A52" s="24">
        <v>36860</v>
      </c>
      <c r="B52" s="26">
        <v>-8.5357000000000002E-2</v>
      </c>
      <c r="C52" s="26">
        <v>-0.103355</v>
      </c>
      <c r="D52" s="26">
        <v>-6.5261E-2</v>
      </c>
      <c r="E52" s="26">
        <v>-4.5561999999999998E-2</v>
      </c>
      <c r="F52" s="26">
        <v>-0.110414</v>
      </c>
      <c r="G52" s="26">
        <v>1.7378999999999999E-2</v>
      </c>
      <c r="H52" s="27">
        <f t="shared" si="3"/>
        <v>-8.5690333333333341E-2</v>
      </c>
      <c r="I52" s="20">
        <f t="shared" si="4"/>
        <v>1.0182993750985974</v>
      </c>
      <c r="J52" s="20">
        <f>MAX(I$42:I52)</f>
        <v>1.1409645468253968</v>
      </c>
      <c r="K52" s="7">
        <f t="shared" si="0"/>
        <v>-0.10751006424178666</v>
      </c>
      <c r="L52" s="7">
        <f t="shared" si="1"/>
        <v>-0.10751006424178666</v>
      </c>
      <c r="M52" s="7">
        <f t="shared" si="2"/>
        <v>-0.10751006424178666</v>
      </c>
      <c r="N52" s="21" t="str">
        <f t="shared" si="5"/>
        <v/>
      </c>
      <c r="O52" s="21" t="str">
        <f t="shared" si="6"/>
        <v/>
      </c>
      <c r="P52" s="21" t="str">
        <f t="shared" si="7"/>
        <v/>
      </c>
    </row>
    <row r="53" spans="1:16">
      <c r="A53" s="24">
        <v>36891</v>
      </c>
      <c r="B53" s="26">
        <v>-5.7776000000000001E-2</v>
      </c>
      <c r="C53" s="26">
        <v>-7.4417999999999998E-2</v>
      </c>
      <c r="D53" s="26">
        <v>-4.0098000000000002E-2</v>
      </c>
      <c r="E53" s="26">
        <v>-3.8217000000000001E-2</v>
      </c>
      <c r="F53" s="26">
        <v>-5.0048000000000002E-2</v>
      </c>
      <c r="G53" s="26">
        <v>1.8119E-2</v>
      </c>
      <c r="H53" s="27">
        <f t="shared" si="3"/>
        <v>-5.8109333333333332E-2</v>
      </c>
      <c r="I53" s="20">
        <f t="shared" si="4"/>
        <v>0.95912667727786793</v>
      </c>
      <c r="J53" s="20">
        <f>MAX(I$42:I53)</f>
        <v>1.1409645468253968</v>
      </c>
      <c r="K53" s="7">
        <f t="shared" si="0"/>
        <v>-0.159372059415406</v>
      </c>
      <c r="L53" s="7">
        <f t="shared" si="1"/>
        <v>-0.159372059415406</v>
      </c>
      <c r="M53" s="7">
        <f t="shared" si="2"/>
        <v>-0.159372059415406</v>
      </c>
      <c r="N53" s="21" t="str">
        <f t="shared" si="5"/>
        <v/>
      </c>
      <c r="O53" s="21" t="str">
        <f t="shared" si="6"/>
        <v/>
      </c>
      <c r="P53" s="21" t="str">
        <f t="shared" si="7"/>
        <v/>
      </c>
    </row>
    <row r="54" spans="1:16">
      <c r="A54" s="24">
        <v>36922</v>
      </c>
      <c r="B54" s="26">
        <v>2.9005E-2</v>
      </c>
      <c r="C54" s="26">
        <v>4.6205000000000003E-2</v>
      </c>
      <c r="D54" s="26">
        <v>1.1428000000000001E-2</v>
      </c>
      <c r="E54" s="26">
        <v>3.7054999999999998E-2</v>
      </c>
      <c r="F54" s="26">
        <v>0.14846999999999999</v>
      </c>
      <c r="G54" s="26">
        <v>9.5320000000000005E-3</v>
      </c>
      <c r="H54" s="27">
        <f t="shared" si="3"/>
        <v>2.8671666666666665E-2</v>
      </c>
      <c r="I54" s="20">
        <f t="shared" si="4"/>
        <v>0.98662643765988656</v>
      </c>
      <c r="J54" s="20">
        <f>MAX(I$42:I54)</f>
        <v>1.1409645468253968</v>
      </c>
      <c r="K54" s="7">
        <f t="shared" si="0"/>
        <v>-0.13526985531227798</v>
      </c>
      <c r="L54" s="7">
        <f t="shared" si="1"/>
        <v>-0.13526985531227798</v>
      </c>
      <c r="M54" s="7">
        <f t="shared" si="2"/>
        <v>-0.13526985531227798</v>
      </c>
      <c r="N54" s="21" t="str">
        <f t="shared" si="5"/>
        <v/>
      </c>
      <c r="O54" s="21" t="str">
        <f t="shared" si="6"/>
        <v/>
      </c>
      <c r="P54" s="21" t="str">
        <f t="shared" si="7"/>
        <v/>
      </c>
    </row>
    <row r="55" spans="1:16">
      <c r="A55" s="24">
        <v>36950</v>
      </c>
      <c r="B55" s="26">
        <v>-7.4317999999999995E-2</v>
      </c>
      <c r="C55" s="26">
        <v>-7.9476000000000005E-2</v>
      </c>
      <c r="D55" s="26">
        <v>-6.8834999999999993E-2</v>
      </c>
      <c r="E55" s="26">
        <v>-2.7348999999999998E-2</v>
      </c>
      <c r="F55" s="26">
        <v>-6.8012000000000003E-2</v>
      </c>
      <c r="G55" s="26">
        <v>8.7159999999999998E-3</v>
      </c>
      <c r="H55" s="27">
        <f t="shared" si="3"/>
        <v>-7.4651333333333333E-2</v>
      </c>
      <c r="I55" s="20">
        <f t="shared" si="4"/>
        <v>0.91297345858665924</v>
      </c>
      <c r="J55" s="20">
        <f>MAX(I$42:I55)</f>
        <v>1.1409645468253968</v>
      </c>
      <c r="K55" s="7">
        <f t="shared" si="0"/>
        <v>-0.19982311358674265</v>
      </c>
      <c r="L55" s="7">
        <f t="shared" si="1"/>
        <v>-0.19982311358674265</v>
      </c>
      <c r="M55" s="7">
        <f t="shared" si="2"/>
        <v>-0.19982311358674265</v>
      </c>
      <c r="N55" s="21" t="str">
        <f t="shared" si="5"/>
        <v/>
      </c>
      <c r="O55" s="21" t="str">
        <f t="shared" si="6"/>
        <v/>
      </c>
      <c r="P55" s="21" t="str">
        <f t="shared" si="7"/>
        <v/>
      </c>
    </row>
    <row r="56" spans="1:16">
      <c r="A56" s="24">
        <v>36981</v>
      </c>
      <c r="B56" s="26">
        <v>-2.8229000000000001E-2</v>
      </c>
      <c r="C56" s="26">
        <v>-2.6321000000000001E-2</v>
      </c>
      <c r="D56" s="26">
        <v>-3.0259000000000001E-2</v>
      </c>
      <c r="E56" s="26">
        <v>-3.2839E-2</v>
      </c>
      <c r="F56" s="26">
        <v>-6.2371999999999997E-2</v>
      </c>
      <c r="G56" s="26">
        <v>4.7990000000000003E-3</v>
      </c>
      <c r="H56" s="27">
        <f t="shared" si="3"/>
        <v>-2.8562333333333335E-2</v>
      </c>
      <c r="I56" s="20">
        <f t="shared" si="4"/>
        <v>0.88689680633802082</v>
      </c>
      <c r="J56" s="20">
        <f>MAX(I$42:I56)</f>
        <v>1.1409645468253968</v>
      </c>
      <c r="K56" s="7">
        <f t="shared" si="0"/>
        <v>-0.22267803254210694</v>
      </c>
      <c r="L56" s="7">
        <f t="shared" si="1"/>
        <v>-0.22267803254210694</v>
      </c>
      <c r="M56" s="7">
        <f t="shared" si="2"/>
        <v>-0.22267803254210694</v>
      </c>
      <c r="N56" s="21" t="str">
        <f t="shared" si="5"/>
        <v/>
      </c>
      <c r="O56" s="21" t="str">
        <f t="shared" si="6"/>
        <v/>
      </c>
      <c r="P56" s="21" t="str">
        <f t="shared" si="7"/>
        <v/>
      </c>
    </row>
    <row r="57" spans="1:16">
      <c r="A57" s="24">
        <v>37011</v>
      </c>
      <c r="B57" s="26">
        <v>7.0624000000000006E-2</v>
      </c>
      <c r="C57" s="26">
        <v>7.4524999999999994E-2</v>
      </c>
      <c r="D57" s="26">
        <v>6.6498000000000002E-2</v>
      </c>
      <c r="E57" s="26">
        <v>7.6605000000000006E-2</v>
      </c>
      <c r="F57" s="26">
        <v>4.6273000000000002E-2</v>
      </c>
      <c r="G57" s="26">
        <v>-2.1867000000000001E-2</v>
      </c>
      <c r="H57" s="27">
        <f t="shared" si="3"/>
        <v>7.0290666666666668E-2</v>
      </c>
      <c r="I57" s="20">
        <f t="shared" si="4"/>
        <v>0.94923737412005793</v>
      </c>
      <c r="J57" s="20">
        <f>MAX(I$42:I57)</f>
        <v>1.1409645468253968</v>
      </c>
      <c r="K57" s="7">
        <f t="shared" si="0"/>
        <v>-0.16803955323484665</v>
      </c>
      <c r="L57" s="7">
        <f t="shared" si="1"/>
        <v>-0.16803955323484665</v>
      </c>
      <c r="M57" s="7">
        <f t="shared" si="2"/>
        <v>-0.16803955323484665</v>
      </c>
      <c r="N57" s="21" t="str">
        <f t="shared" si="5"/>
        <v/>
      </c>
      <c r="O57" s="21" t="str">
        <f t="shared" si="6"/>
        <v/>
      </c>
      <c r="P57" s="21" t="str">
        <f t="shared" si="7"/>
        <v/>
      </c>
    </row>
    <row r="58" spans="1:16">
      <c r="A58" s="24">
        <v>37042</v>
      </c>
      <c r="B58" s="26">
        <v>3.2325E-2</v>
      </c>
      <c r="C58" s="26">
        <v>5.1770999999999998E-2</v>
      </c>
      <c r="D58" s="26">
        <v>1.1518E-2</v>
      </c>
      <c r="E58" s="26">
        <v>3.9542000000000001E-2</v>
      </c>
      <c r="F58" s="26">
        <v>5.8074000000000001E-2</v>
      </c>
      <c r="G58" s="26">
        <v>-1.0033E-2</v>
      </c>
      <c r="H58" s="27">
        <f t="shared" si="3"/>
        <v>3.1991666666666668E-2</v>
      </c>
      <c r="I58" s="20">
        <f t="shared" si="4"/>
        <v>0.97960505978044876</v>
      </c>
      <c r="J58" s="20">
        <f>MAX(I$42:I58)</f>
        <v>1.1409645468253968</v>
      </c>
      <c r="K58" s="7">
        <f t="shared" si="0"/>
        <v>-0.14142375194208479</v>
      </c>
      <c r="L58" s="7">
        <f t="shared" si="1"/>
        <v>-0.14142375194208479</v>
      </c>
      <c r="M58" s="7">
        <f t="shared" si="2"/>
        <v>-0.14142375194208479</v>
      </c>
      <c r="N58" s="21" t="str">
        <f t="shared" si="5"/>
        <v/>
      </c>
      <c r="O58" s="21" t="str">
        <f t="shared" si="6"/>
        <v/>
      </c>
      <c r="P58" s="21" t="str">
        <f t="shared" si="7"/>
        <v/>
      </c>
    </row>
    <row r="59" spans="1:16">
      <c r="A59" s="24">
        <v>37072</v>
      </c>
      <c r="B59" s="26">
        <v>-3.0275E-2</v>
      </c>
      <c r="C59" s="26">
        <v>-2.1867000000000001E-2</v>
      </c>
      <c r="D59" s="26">
        <v>-3.9593000000000003E-2</v>
      </c>
      <c r="E59" s="26">
        <v>-3.3161999999999997E-2</v>
      </c>
      <c r="F59" s="26">
        <v>-1.9675999999999999E-2</v>
      </c>
      <c r="G59" s="26">
        <v>1.4326999999999999E-2</v>
      </c>
      <c r="H59" s="27">
        <f t="shared" si="3"/>
        <v>-3.0608333333333335E-2</v>
      </c>
      <c r="I59" s="20">
        <f t="shared" si="4"/>
        <v>0.94962098157566888</v>
      </c>
      <c r="J59" s="20">
        <f>MAX(I$42:I59)</f>
        <v>1.1409645468253968</v>
      </c>
      <c r="K59" s="7">
        <f t="shared" si="0"/>
        <v>-0.16770333993472408</v>
      </c>
      <c r="L59" s="7">
        <f t="shared" si="1"/>
        <v>-0.16770333993472408</v>
      </c>
      <c r="M59" s="7">
        <f t="shared" si="2"/>
        <v>-0.16770333993472408</v>
      </c>
      <c r="N59" s="21" t="str">
        <f t="shared" si="5"/>
        <v/>
      </c>
      <c r="O59" s="21" t="str">
        <f t="shared" si="6"/>
        <v/>
      </c>
      <c r="P59" s="21" t="str">
        <f t="shared" si="7"/>
        <v/>
      </c>
    </row>
    <row r="60" spans="1:16">
      <c r="A60" s="24">
        <v>37103</v>
      </c>
      <c r="B60" s="26">
        <v>-4.5388999999999999E-2</v>
      </c>
      <c r="C60" s="26">
        <v>-4.1772999999999998E-2</v>
      </c>
      <c r="D60" s="26">
        <v>-4.9445000000000003E-2</v>
      </c>
      <c r="E60" s="26">
        <v>-4.9732999999999999E-2</v>
      </c>
      <c r="F60" s="26">
        <v>-9.4026999999999999E-2</v>
      </c>
      <c r="G60" s="26">
        <v>1.5049E-2</v>
      </c>
      <c r="H60" s="27">
        <f t="shared" si="3"/>
        <v>-4.572233333333333E-2</v>
      </c>
      <c r="I60" s="20">
        <f t="shared" si="4"/>
        <v>0.90620209451573897</v>
      </c>
      <c r="J60" s="20">
        <f>MAX(I$42:I60)</f>
        <v>1.1409645468253968</v>
      </c>
      <c r="K60" s="7">
        <f t="shared" si="0"/>
        <v>-0.20575788525844863</v>
      </c>
      <c r="L60" s="7">
        <f t="shared" si="1"/>
        <v>-0.20575788525844863</v>
      </c>
      <c r="M60" s="7">
        <f t="shared" si="2"/>
        <v>-0.20575788525844863</v>
      </c>
      <c r="N60" s="21" t="str">
        <f t="shared" si="5"/>
        <v/>
      </c>
      <c r="O60" s="21" t="str">
        <f t="shared" si="6"/>
        <v/>
      </c>
      <c r="P60" s="21" t="str">
        <f t="shared" si="7"/>
        <v/>
      </c>
    </row>
    <row r="61" spans="1:16">
      <c r="A61" s="24">
        <v>37134</v>
      </c>
      <c r="B61" s="26">
        <v>-8.3146999999999999E-2</v>
      </c>
      <c r="C61" s="26">
        <v>-0.101163</v>
      </c>
      <c r="D61" s="26">
        <v>-6.2491999999999999E-2</v>
      </c>
      <c r="E61" s="26">
        <v>-5.654E-2</v>
      </c>
      <c r="F61" s="26">
        <v>-4.6425000000000001E-2</v>
      </c>
      <c r="G61" s="26">
        <v>1.3457E-2</v>
      </c>
      <c r="H61" s="27">
        <f t="shared" si="3"/>
        <v>-8.3480333333333337E-2</v>
      </c>
      <c r="I61" s="20">
        <f t="shared" si="4"/>
        <v>0.83055204159820017</v>
      </c>
      <c r="J61" s="20">
        <f>MAX(I$42:I61)</f>
        <v>1.1409645468253968</v>
      </c>
      <c r="K61" s="7">
        <f t="shared" si="0"/>
        <v>-0.272061481744445</v>
      </c>
      <c r="L61" s="7">
        <f t="shared" si="1"/>
        <v>-0.272061481744445</v>
      </c>
      <c r="M61" s="7">
        <f t="shared" si="2"/>
        <v>-0.272061481744445</v>
      </c>
      <c r="N61" s="21" t="str">
        <f t="shared" si="5"/>
        <v/>
      </c>
      <c r="O61" s="21" t="str">
        <f t="shared" si="6"/>
        <v/>
      </c>
      <c r="P61" s="21" t="str">
        <f t="shared" si="7"/>
        <v/>
      </c>
    </row>
    <row r="62" spans="1:16">
      <c r="A62" s="24">
        <v>37164</v>
      </c>
      <c r="B62" s="26">
        <v>-9.0602000000000002E-2</v>
      </c>
      <c r="C62" s="26">
        <v>-7.9125000000000001E-2</v>
      </c>
      <c r="D62" s="26">
        <v>-0.10324999999999999</v>
      </c>
      <c r="E62" s="26">
        <v>-0.13267999999999999</v>
      </c>
      <c r="F62" s="26">
        <v>-0.15709799999999999</v>
      </c>
      <c r="G62" s="26">
        <v>1.8309999999999999E-3</v>
      </c>
      <c r="H62" s="27">
        <f t="shared" si="3"/>
        <v>-9.093533333333334E-2</v>
      </c>
      <c r="I62" s="20">
        <f t="shared" si="4"/>
        <v>0.7550255148447873</v>
      </c>
      <c r="J62" s="20">
        <f>MAX(I$42:I62)</f>
        <v>1.1409645468253968</v>
      </c>
      <c r="K62" s="7">
        <f t="shared" si="0"/>
        <v>-0.3382568135481866</v>
      </c>
      <c r="L62" s="7">
        <f t="shared" si="1"/>
        <v>-0.3382568135481866</v>
      </c>
      <c r="M62" s="7">
        <f t="shared" si="2"/>
        <v>-0.3382568135481866</v>
      </c>
      <c r="N62" s="21" t="str">
        <f t="shared" si="5"/>
        <v/>
      </c>
      <c r="O62" s="21" t="str">
        <f t="shared" si="6"/>
        <v/>
      </c>
      <c r="P62" s="21" t="str">
        <f t="shared" si="7"/>
        <v/>
      </c>
    </row>
    <row r="63" spans="1:16">
      <c r="A63" s="24">
        <v>37195</v>
      </c>
      <c r="B63" s="26">
        <v>3.0412000000000002E-2</v>
      </c>
      <c r="C63" s="26">
        <v>2.5579000000000001E-2</v>
      </c>
      <c r="D63" s="26">
        <v>3.5873000000000002E-2</v>
      </c>
      <c r="E63" s="26">
        <v>4.5684000000000002E-2</v>
      </c>
      <c r="F63" s="26">
        <v>7.3797000000000001E-2</v>
      </c>
      <c r="G63" s="26">
        <v>3.3071000000000003E-2</v>
      </c>
      <c r="H63" s="27">
        <f t="shared" si="3"/>
        <v>3.0078666666666667E-2</v>
      </c>
      <c r="I63" s="20">
        <f t="shared" si="4"/>
        <v>0.77773567563063195</v>
      </c>
      <c r="J63" s="20">
        <f>MAX(I$42:I63)</f>
        <v>1.1409645468253968</v>
      </c>
      <c r="K63" s="7">
        <f t="shared" si="0"/>
        <v>-0.31835246082396473</v>
      </c>
      <c r="L63" s="7">
        <f t="shared" si="1"/>
        <v>-0.31835246082396473</v>
      </c>
      <c r="M63" s="7">
        <f t="shared" si="2"/>
        <v>-0.31835246082396473</v>
      </c>
      <c r="N63" s="21" t="str">
        <f t="shared" si="5"/>
        <v/>
      </c>
      <c r="O63" s="21" t="str">
        <f t="shared" si="6"/>
        <v/>
      </c>
      <c r="P63" s="21" t="str">
        <f t="shared" si="7"/>
        <v/>
      </c>
    </row>
    <row r="64" spans="1:16">
      <c r="A64" s="24">
        <v>37225</v>
      </c>
      <c r="B64" s="26">
        <v>6.5334000000000003E-2</v>
      </c>
      <c r="C64" s="26">
        <v>8.3004999999999995E-2</v>
      </c>
      <c r="D64" s="26">
        <v>4.5509000000000001E-2</v>
      </c>
      <c r="E64" s="26">
        <v>7.4512999999999996E-2</v>
      </c>
      <c r="F64" s="26">
        <v>0.11093799999999999</v>
      </c>
      <c r="G64" s="26">
        <v>-7.7860000000000004E-3</v>
      </c>
      <c r="H64" s="27">
        <f t="shared" si="3"/>
        <v>6.5000666666666665E-2</v>
      </c>
      <c r="I64" s="20">
        <f t="shared" si="4"/>
        <v>0.82828901303707347</v>
      </c>
      <c r="J64" s="20">
        <f>MAX(I$42:I64)</f>
        <v>1.1409645468253968</v>
      </c>
      <c r="K64" s="7">
        <f t="shared" si="0"/>
        <v>-0.27404491634582973</v>
      </c>
      <c r="L64" s="7">
        <f t="shared" si="1"/>
        <v>-0.27404491634582973</v>
      </c>
      <c r="M64" s="7">
        <f t="shared" si="2"/>
        <v>-0.27404491634582973</v>
      </c>
      <c r="N64" s="21" t="str">
        <f t="shared" si="5"/>
        <v/>
      </c>
      <c r="O64" s="21" t="str">
        <f t="shared" si="6"/>
        <v/>
      </c>
      <c r="P64" s="21" t="str">
        <f t="shared" si="7"/>
        <v/>
      </c>
    </row>
    <row r="65" spans="1:16">
      <c r="A65" s="24">
        <v>37256</v>
      </c>
      <c r="B65" s="26">
        <v>1.1776999999999999E-2</v>
      </c>
      <c r="C65" s="26">
        <v>1.1585E-2</v>
      </c>
      <c r="D65" s="26">
        <v>1.2016000000000001E-2</v>
      </c>
      <c r="E65" s="26">
        <v>7.4110000000000001E-3</v>
      </c>
      <c r="F65" s="26">
        <v>8.5305000000000006E-2</v>
      </c>
      <c r="G65" s="26">
        <v>-2.2721000000000002E-2</v>
      </c>
      <c r="H65" s="27">
        <f t="shared" si="3"/>
        <v>1.1443666666666666E-2</v>
      </c>
      <c r="I65" s="20">
        <f t="shared" si="4"/>
        <v>0.83776767640593208</v>
      </c>
      <c r="J65" s="20">
        <f>MAX(I$42:I65)</f>
        <v>1.1409645468253968</v>
      </c>
      <c r="K65" s="7">
        <f t="shared" si="0"/>
        <v>-0.26573732835351926</v>
      </c>
      <c r="L65" s="7">
        <f t="shared" si="1"/>
        <v>-0.26573732835351926</v>
      </c>
      <c r="M65" s="7">
        <f t="shared" si="2"/>
        <v>-0.26573732835351926</v>
      </c>
      <c r="N65" s="21" t="str">
        <f t="shared" si="5"/>
        <v/>
      </c>
      <c r="O65" s="21" t="str">
        <f t="shared" si="6"/>
        <v/>
      </c>
      <c r="P65" s="21" t="str">
        <f t="shared" si="7"/>
        <v/>
      </c>
    </row>
    <row r="66" spans="1:16">
      <c r="A66" s="24">
        <v>37287</v>
      </c>
      <c r="B66" s="26">
        <v>2.8319999999999999E-3</v>
      </c>
      <c r="C66" s="26">
        <v>1.9361E-2</v>
      </c>
      <c r="D66" s="26">
        <v>-1.8341E-2</v>
      </c>
      <c r="E66" s="26">
        <v>1.0426E-2</v>
      </c>
      <c r="F66" s="26">
        <v>6.9164000000000003E-2</v>
      </c>
      <c r="G66" s="26">
        <v>7.3239999999999998E-3</v>
      </c>
      <c r="H66" s="27">
        <f t="shared" si="3"/>
        <v>2.4986666666666664E-3</v>
      </c>
      <c r="I66" s="20">
        <f t="shared" si="4"/>
        <v>0.83986097857337838</v>
      </c>
      <c r="J66" s="20">
        <f>MAX(I$42:I66)</f>
        <v>1.1409645468253968</v>
      </c>
      <c r="K66" s="7">
        <f t="shared" si="0"/>
        <v>-0.26390265069129859</v>
      </c>
      <c r="L66" s="7">
        <f t="shared" si="1"/>
        <v>-0.26390265069129859</v>
      </c>
      <c r="M66" s="7">
        <f t="shared" si="2"/>
        <v>-0.26390265069129859</v>
      </c>
      <c r="N66" s="21" t="str">
        <f t="shared" si="5"/>
        <v/>
      </c>
      <c r="O66" s="21" t="str">
        <f t="shared" si="6"/>
        <v/>
      </c>
      <c r="P66" s="21" t="str">
        <f t="shared" si="7"/>
        <v/>
      </c>
    </row>
    <row r="67" spans="1:16">
      <c r="A67" s="24">
        <v>37315</v>
      </c>
      <c r="B67" s="26">
        <v>-1.3493E-2</v>
      </c>
      <c r="C67" s="26">
        <v>-2.4642000000000001E-2</v>
      </c>
      <c r="D67" s="26">
        <v>1.3209999999999999E-3</v>
      </c>
      <c r="E67" s="26">
        <v>-1.4400000000000001E-3</v>
      </c>
      <c r="F67" s="26">
        <v>1.1395000000000001E-2</v>
      </c>
      <c r="G67" s="26">
        <v>4.9979999999999998E-3</v>
      </c>
      <c r="H67" s="27">
        <f t="shared" si="3"/>
        <v>-1.3826333333333333E-2</v>
      </c>
      <c r="I67" s="20">
        <f t="shared" si="4"/>
        <v>0.82824878072996333</v>
      </c>
      <c r="J67" s="20">
        <f>MAX(I$42:I67)</f>
        <v>1.1409645468253968</v>
      </c>
      <c r="K67" s="7">
        <f t="shared" si="0"/>
        <v>-0.27408017800862372</v>
      </c>
      <c r="L67" s="7">
        <f t="shared" si="1"/>
        <v>-0.27408017800862372</v>
      </c>
      <c r="M67" s="7">
        <f t="shared" si="2"/>
        <v>-0.27408017800862372</v>
      </c>
      <c r="N67" s="21" t="str">
        <f t="shared" si="5"/>
        <v/>
      </c>
      <c r="O67" s="21" t="str">
        <f t="shared" si="6"/>
        <v/>
      </c>
      <c r="P67" s="21" t="str">
        <f t="shared" si="7"/>
        <v/>
      </c>
    </row>
    <row r="68" spans="1:16">
      <c r="A68" s="24">
        <v>37346</v>
      </c>
      <c r="B68" s="26">
        <v>3.5187999999999997E-2</v>
      </c>
      <c r="C68" s="26">
        <v>2.8230000000000002E-2</v>
      </c>
      <c r="D68" s="26">
        <v>4.4226000000000001E-2</v>
      </c>
      <c r="E68" s="26">
        <v>5.5557000000000002E-2</v>
      </c>
      <c r="F68" s="26">
        <v>5.0847999999999997E-2</v>
      </c>
      <c r="G68" s="26">
        <v>-1.6898E-2</v>
      </c>
      <c r="H68" s="27">
        <f t="shared" si="3"/>
        <v>3.4854666666666666E-2</v>
      </c>
      <c r="I68" s="20">
        <f t="shared" si="4"/>
        <v>0.85711711589937933</v>
      </c>
      <c r="J68" s="20">
        <f>MAX(I$42:I68)</f>
        <v>1.1409645468253968</v>
      </c>
      <c r="K68" s="7">
        <f t="shared" si="0"/>
        <v>-0.24877848458638829</v>
      </c>
      <c r="L68" s="7">
        <f t="shared" si="1"/>
        <v>-0.24877848458638829</v>
      </c>
      <c r="M68" s="7">
        <f t="shared" si="2"/>
        <v>-0.24877848458638829</v>
      </c>
      <c r="N68" s="21" t="str">
        <f t="shared" si="5"/>
        <v/>
      </c>
      <c r="O68" s="21" t="str">
        <f t="shared" si="6"/>
        <v/>
      </c>
      <c r="P68" s="21" t="str">
        <f t="shared" si="7"/>
        <v/>
      </c>
    </row>
    <row r="69" spans="1:16">
      <c r="A69" s="24">
        <v>37376</v>
      </c>
      <c r="B69" s="26">
        <v>-6.4758999999999997E-2</v>
      </c>
      <c r="C69" s="26">
        <v>-9.4875000000000001E-2</v>
      </c>
      <c r="D69" s="26">
        <v>-2.6128999999999999E-2</v>
      </c>
      <c r="E69" s="26">
        <v>-3.0634999999999999E-2</v>
      </c>
      <c r="F69" s="26">
        <v>-2.5642000000000002E-2</v>
      </c>
      <c r="G69" s="26">
        <v>1.3563E-2</v>
      </c>
      <c r="H69" s="27">
        <f t="shared" si="3"/>
        <v>-6.5092333333333335E-2</v>
      </c>
      <c r="I69" s="20">
        <f t="shared" si="4"/>
        <v>0.80132536288555167</v>
      </c>
      <c r="J69" s="20">
        <f>MAX(I$42:I69)</f>
        <v>1.1409645468253968</v>
      </c>
      <c r="K69" s="7">
        <f t="shared" si="0"/>
        <v>-0.29767724587486288</v>
      </c>
      <c r="L69" s="7">
        <f t="shared" si="1"/>
        <v>-0.29767724587486288</v>
      </c>
      <c r="M69" s="7">
        <f t="shared" si="2"/>
        <v>-0.29767724587486288</v>
      </c>
      <c r="N69" s="21" t="str">
        <f t="shared" si="5"/>
        <v/>
      </c>
      <c r="O69" s="21" t="str">
        <f t="shared" si="6"/>
        <v/>
      </c>
      <c r="P69" s="21" t="str">
        <f t="shared" si="7"/>
        <v/>
      </c>
    </row>
    <row r="70" spans="1:16">
      <c r="A70" s="24">
        <v>37407</v>
      </c>
      <c r="B70" s="26">
        <v>-3.3870999999999998E-2</v>
      </c>
      <c r="C70" s="26">
        <v>-4.3114E-2</v>
      </c>
      <c r="D70" s="26">
        <v>-2.2851E-2</v>
      </c>
      <c r="E70" s="26">
        <v>-1.2278000000000001E-2</v>
      </c>
      <c r="F70" s="26">
        <v>-5.1076999999999997E-2</v>
      </c>
      <c r="G70" s="26">
        <v>1.3290000000000001E-3</v>
      </c>
      <c r="H70" s="27">
        <f t="shared" si="3"/>
        <v>-3.420433333333333E-2</v>
      </c>
      <c r="I70" s="20">
        <f t="shared" si="4"/>
        <v>0.77391656306496004</v>
      </c>
      <c r="J70" s="20">
        <f>MAX(I$42:I70)</f>
        <v>1.1409645468253968</v>
      </c>
      <c r="K70" s="7">
        <f t="shared" si="0"/>
        <v>-0.32169972746454367</v>
      </c>
      <c r="L70" s="7">
        <f t="shared" si="1"/>
        <v>-0.32169972746454367</v>
      </c>
      <c r="M70" s="7">
        <f t="shared" si="2"/>
        <v>-0.32169972746454367</v>
      </c>
      <c r="N70" s="21" t="str">
        <f t="shared" si="5"/>
        <v/>
      </c>
      <c r="O70" s="21" t="str">
        <f t="shared" si="6"/>
        <v/>
      </c>
      <c r="P70" s="21" t="str">
        <f t="shared" si="7"/>
        <v/>
      </c>
    </row>
    <row r="71" spans="1:16">
      <c r="A71" s="24">
        <v>37437</v>
      </c>
      <c r="B71" s="26">
        <v>-0.111579</v>
      </c>
      <c r="C71" s="26">
        <v>-0.126468</v>
      </c>
      <c r="D71" s="26">
        <v>-9.2496999999999996E-2</v>
      </c>
      <c r="E71" s="26">
        <v>-0.10732899999999999</v>
      </c>
      <c r="F71" s="26">
        <v>-0.125246</v>
      </c>
      <c r="G71" s="26">
        <v>1.9682999999999999E-2</v>
      </c>
      <c r="H71" s="27">
        <f t="shared" si="3"/>
        <v>-0.11191233333333334</v>
      </c>
      <c r="I71" s="20">
        <f t="shared" si="4"/>
        <v>0.68730575468704647</v>
      </c>
      <c r="J71" s="20">
        <f>MAX(I$42:I71)</f>
        <v>1.1409645468253968</v>
      </c>
      <c r="K71" s="7">
        <f t="shared" si="0"/>
        <v>-0.39760989366462263</v>
      </c>
      <c r="L71" s="7">
        <f t="shared" si="1"/>
        <v>-0.39760989366462263</v>
      </c>
      <c r="M71" s="7">
        <f t="shared" si="2"/>
        <v>-0.39760989366462263</v>
      </c>
      <c r="N71" s="21" t="str">
        <f t="shared" si="5"/>
        <v/>
      </c>
      <c r="O71" s="21" t="str">
        <f t="shared" si="6"/>
        <v/>
      </c>
      <c r="P71" s="21" t="str">
        <f t="shared" si="7"/>
        <v/>
      </c>
    </row>
    <row r="72" spans="1:16">
      <c r="A72" s="24">
        <v>37468</v>
      </c>
      <c r="B72" s="26">
        <v>-7.7656000000000003E-2</v>
      </c>
      <c r="C72" s="26">
        <v>-6.5386E-2</v>
      </c>
      <c r="D72" s="26">
        <v>-9.2801999999999996E-2</v>
      </c>
      <c r="E72" s="26">
        <v>-8.9636999999999994E-2</v>
      </c>
      <c r="F72" s="26">
        <v>-6.9670999999999997E-2</v>
      </c>
      <c r="G72" s="26">
        <v>1.1136E-2</v>
      </c>
      <c r="H72" s="27">
        <f t="shared" si="3"/>
        <v>-7.7989333333333341E-2</v>
      </c>
      <c r="I72" s="20">
        <f t="shared" si="4"/>
        <v>0.63370323708284015</v>
      </c>
      <c r="J72" s="20">
        <f>MAX(I$42:I72)</f>
        <v>1.1409645468253968</v>
      </c>
      <c r="K72" s="7">
        <f t="shared" si="0"/>
        <v>-0.44458989646431446</v>
      </c>
      <c r="L72" s="7">
        <f t="shared" si="1"/>
        <v>-0.44458989646431446</v>
      </c>
      <c r="M72" s="7">
        <f t="shared" si="2"/>
        <v>-0.44458989646431446</v>
      </c>
      <c r="N72" s="21" t="str">
        <f t="shared" si="5"/>
        <v/>
      </c>
      <c r="O72" s="21" t="str">
        <f t="shared" si="6"/>
        <v/>
      </c>
      <c r="P72" s="21" t="str">
        <f t="shared" si="7"/>
        <v/>
      </c>
    </row>
    <row r="73" spans="1:16">
      <c r="A73" s="24">
        <v>37499</v>
      </c>
      <c r="B73" s="26">
        <v>1.408E-3</v>
      </c>
      <c r="C73" s="26">
        <v>3.9769999999999996E-3</v>
      </c>
      <c r="D73" s="26">
        <v>-1.851E-3</v>
      </c>
      <c r="E73" s="26">
        <v>-6.9849999999999999E-3</v>
      </c>
      <c r="F73" s="26">
        <v>1.4978E-2</v>
      </c>
      <c r="G73" s="26">
        <v>2.5944999999999999E-2</v>
      </c>
      <c r="H73" s="27">
        <f t="shared" si="3"/>
        <v>1.0746666666666667E-3</v>
      </c>
      <c r="I73" s="20">
        <f t="shared" si="4"/>
        <v>0.6343842568282918</v>
      </c>
      <c r="J73" s="20">
        <f>MAX(I$42:I73)</f>
        <v>1.1409645468253968</v>
      </c>
      <c r="K73" s="7">
        <f t="shared" si="0"/>
        <v>-0.44399301573971484</v>
      </c>
      <c r="L73" s="7">
        <f t="shared" si="1"/>
        <v>-0.44399301573971484</v>
      </c>
      <c r="M73" s="7">
        <f t="shared" si="2"/>
        <v>-0.44399301573971484</v>
      </c>
      <c r="N73" s="21" t="str">
        <f t="shared" si="5"/>
        <v/>
      </c>
      <c r="O73" s="21" t="str">
        <f t="shared" si="6"/>
        <v/>
      </c>
      <c r="P73" s="21" t="str">
        <f t="shared" si="7"/>
        <v/>
      </c>
    </row>
    <row r="74" spans="1:16">
      <c r="A74" s="24">
        <v>37529</v>
      </c>
      <c r="B74" s="26">
        <v>-0.116905</v>
      </c>
      <c r="C74" s="26">
        <v>-0.12003</v>
      </c>
      <c r="D74" s="26">
        <v>-0.112885</v>
      </c>
      <c r="E74" s="26">
        <v>-0.11676</v>
      </c>
      <c r="F74" s="26">
        <v>-0.114743</v>
      </c>
      <c r="G74" s="26">
        <v>2.1225999999999998E-2</v>
      </c>
      <c r="H74" s="27">
        <f t="shared" si="3"/>
        <v>-0.11723833333333333</v>
      </c>
      <c r="I74" s="20">
        <f t="shared" si="4"/>
        <v>0.56001010386483763</v>
      </c>
      <c r="J74" s="20">
        <f>MAX(I$42:I74)</f>
        <v>1.1409645468253968</v>
      </c>
      <c r="K74" s="7">
        <f t="shared" si="0"/>
        <v>-0.50917834789608352</v>
      </c>
      <c r="L74" s="7">
        <f t="shared" si="1"/>
        <v>-0.50917834789608352</v>
      </c>
      <c r="M74" s="7">
        <f t="shared" si="2"/>
        <v>-0.50917834789608352</v>
      </c>
      <c r="N74" s="21" t="str">
        <f t="shared" si="5"/>
        <v/>
      </c>
      <c r="O74" s="21" t="str">
        <f t="shared" si="6"/>
        <v/>
      </c>
      <c r="P74" s="21" t="str">
        <f t="shared" si="7"/>
        <v/>
      </c>
    </row>
    <row r="75" spans="1:16">
      <c r="A75" s="24">
        <v>37560</v>
      </c>
      <c r="B75" s="26">
        <v>7.1467000000000003E-2</v>
      </c>
      <c r="C75" s="26">
        <v>8.8116E-2</v>
      </c>
      <c r="D75" s="26">
        <v>5.0341999999999998E-2</v>
      </c>
      <c r="E75" s="26">
        <v>3.2587999999999999E-2</v>
      </c>
      <c r="F75" s="26">
        <v>6.2772999999999995E-2</v>
      </c>
      <c r="G75" s="26">
        <v>-1.3391E-2</v>
      </c>
      <c r="H75" s="27">
        <f t="shared" si="3"/>
        <v>7.1133666666666664E-2</v>
      </c>
      <c r="I75" s="20">
        <f t="shared" si="4"/>
        <v>0.59984567592312432</v>
      </c>
      <c r="J75" s="20">
        <f>MAX(I$42:I75)</f>
        <v>1.1409645468253968</v>
      </c>
      <c r="K75" s="7">
        <f t="shared" si="0"/>
        <v>-0.474264404102541</v>
      </c>
      <c r="L75" s="7">
        <f t="shared" si="1"/>
        <v>-0.474264404102541</v>
      </c>
      <c r="M75" s="7">
        <f t="shared" si="2"/>
        <v>-0.474264404102541</v>
      </c>
      <c r="N75" s="21" t="str">
        <f t="shared" si="5"/>
        <v/>
      </c>
      <c r="O75" s="21" t="str">
        <f t="shared" si="6"/>
        <v/>
      </c>
      <c r="P75" s="21" t="str">
        <f t="shared" si="7"/>
        <v/>
      </c>
    </row>
    <row r="76" spans="1:16">
      <c r="A76" s="24">
        <v>37590</v>
      </c>
      <c r="B76" s="26">
        <v>4.9048000000000001E-2</v>
      </c>
      <c r="C76" s="26">
        <v>5.4900999999999998E-2</v>
      </c>
      <c r="D76" s="26">
        <v>4.1364999999999999E-2</v>
      </c>
      <c r="E76" s="26">
        <v>6.3893000000000005E-2</v>
      </c>
      <c r="F76" s="26">
        <v>6.4038999999999999E-2</v>
      </c>
      <c r="G76" s="26">
        <v>3.1389999999999999E-3</v>
      </c>
      <c r="H76" s="27">
        <f t="shared" si="3"/>
        <v>4.871466666666667E-2</v>
      </c>
      <c r="I76" s="20">
        <f t="shared" si="4"/>
        <v>0.62906695807716073</v>
      </c>
      <c r="J76" s="20">
        <f>MAX(I$42:I76)</f>
        <v>1.1409645468253968</v>
      </c>
      <c r="K76" s="7">
        <f t="shared" si="0"/>
        <v>-0.44865336979359483</v>
      </c>
      <c r="L76" s="7">
        <f t="shared" si="1"/>
        <v>-0.44865336979359483</v>
      </c>
      <c r="M76" s="7">
        <f t="shared" si="2"/>
        <v>-0.44865336979359483</v>
      </c>
      <c r="N76" s="21" t="str">
        <f t="shared" si="5"/>
        <v/>
      </c>
      <c r="O76" s="21" t="str">
        <f t="shared" si="6"/>
        <v/>
      </c>
      <c r="P76" s="21" t="str">
        <f t="shared" si="7"/>
        <v/>
      </c>
    </row>
    <row r="77" spans="1:16">
      <c r="A77" s="24">
        <v>37621</v>
      </c>
      <c r="B77" s="26">
        <v>-9.8138000000000003E-2</v>
      </c>
      <c r="C77" s="26">
        <v>-0.109788</v>
      </c>
      <c r="D77" s="26">
        <v>-8.2719000000000001E-2</v>
      </c>
      <c r="E77" s="26">
        <v>-8.5181000000000007E-2</v>
      </c>
      <c r="F77" s="26">
        <v>-8.3613999999999994E-2</v>
      </c>
      <c r="G77" s="26">
        <v>2.8410999999999999E-2</v>
      </c>
      <c r="H77" s="27">
        <f t="shared" si="3"/>
        <v>-9.8471333333333341E-2</v>
      </c>
      <c r="I77" s="20">
        <f t="shared" si="4"/>
        <v>0.56712189595935858</v>
      </c>
      <c r="J77" s="20">
        <f>MAX(I$42:I77)</f>
        <v>1.1409645468253968</v>
      </c>
      <c r="K77" s="7">
        <f t="shared" si="0"/>
        <v>-0.50294520759885986</v>
      </c>
      <c r="L77" s="7">
        <f t="shared" si="1"/>
        <v>-0.50294520759885986</v>
      </c>
      <c r="M77" s="7">
        <f t="shared" si="2"/>
        <v>-0.50294520759885986</v>
      </c>
      <c r="N77" s="21" t="str">
        <f t="shared" si="5"/>
        <v/>
      </c>
      <c r="O77" s="21" t="str">
        <f t="shared" si="6"/>
        <v/>
      </c>
      <c r="P77" s="21" t="str">
        <f t="shared" si="7"/>
        <v/>
      </c>
    </row>
    <row r="78" spans="1:16">
      <c r="A78" s="24">
        <v>37652</v>
      </c>
      <c r="B78" s="26">
        <v>-5.2239000000000001E-2</v>
      </c>
      <c r="C78" s="26">
        <v>-4.6442999999999998E-2</v>
      </c>
      <c r="D78" s="26">
        <v>-5.9692000000000002E-2</v>
      </c>
      <c r="E78" s="26">
        <v>-4.1355999999999997E-2</v>
      </c>
      <c r="F78" s="26">
        <v>-2.6752999999999999E-2</v>
      </c>
      <c r="G78" s="26">
        <v>1.8814999999999998E-2</v>
      </c>
      <c r="H78" s="27">
        <f t="shared" si="3"/>
        <v>-5.2572333333333332E-2</v>
      </c>
      <c r="I78" s="20">
        <f t="shared" si="4"/>
        <v>0.53730697460435117</v>
      </c>
      <c r="J78" s="20">
        <f>MAX(I$42:I78)</f>
        <v>1.1409645468253968</v>
      </c>
      <c r="K78" s="7">
        <f t="shared" si="0"/>
        <v>-0.52907653782990338</v>
      </c>
      <c r="L78" s="7">
        <f t="shared" si="1"/>
        <v>-0.52907653782990338</v>
      </c>
      <c r="M78" s="7">
        <f t="shared" si="2"/>
        <v>-0.52907653782990338</v>
      </c>
      <c r="N78" s="21" t="str">
        <f t="shared" si="5"/>
        <v/>
      </c>
      <c r="O78" s="21" t="str">
        <f t="shared" si="6"/>
        <v/>
      </c>
      <c r="P78" s="21" t="str">
        <f t="shared" si="7"/>
        <v/>
      </c>
    </row>
    <row r="79" spans="1:16">
      <c r="A79" s="24">
        <v>37680</v>
      </c>
      <c r="B79" s="26">
        <v>-2.1420999999999999E-2</v>
      </c>
      <c r="C79" s="26">
        <v>-1.9724999999999999E-2</v>
      </c>
      <c r="D79" s="26">
        <v>-2.3623000000000002E-2</v>
      </c>
      <c r="E79" s="26">
        <v>-2.1530000000000001E-2</v>
      </c>
      <c r="F79" s="26">
        <v>-3.1988000000000003E-2</v>
      </c>
      <c r="G79" s="26">
        <v>7.5040000000000003E-3</v>
      </c>
      <c r="H79" s="27">
        <f t="shared" si="3"/>
        <v>-2.1754333333333334E-2</v>
      </c>
      <c r="I79" s="20">
        <f t="shared" si="4"/>
        <v>0.52561821957648325</v>
      </c>
      <c r="J79" s="20">
        <f>MAX(I$42:I79)</f>
        <v>1.1409645468253968</v>
      </c>
      <c r="K79" s="7">
        <f t="shared" si="0"/>
        <v>-0.53932116380043915</v>
      </c>
      <c r="L79" s="7">
        <f t="shared" si="1"/>
        <v>-0.53932116380043915</v>
      </c>
      <c r="M79" s="7">
        <f t="shared" si="2"/>
        <v>-0.53932116380043915</v>
      </c>
      <c r="N79" s="21" t="str">
        <f t="shared" si="5"/>
        <v/>
      </c>
      <c r="O79" s="21" t="str">
        <f t="shared" si="6"/>
        <v/>
      </c>
      <c r="P79" s="21" t="str">
        <f t="shared" si="7"/>
        <v/>
      </c>
    </row>
    <row r="80" spans="1:16">
      <c r="A80" s="24">
        <v>37711</v>
      </c>
      <c r="B80" s="26">
        <v>-1.5544000000000001E-2</v>
      </c>
      <c r="C80" s="26">
        <v>-3.4849999999999998E-3</v>
      </c>
      <c r="D80" s="26">
        <v>-3.1321000000000002E-2</v>
      </c>
      <c r="E80" s="26">
        <v>-2.5738E-2</v>
      </c>
      <c r="F80" s="26">
        <v>-4.0485E-2</v>
      </c>
      <c r="G80" s="26">
        <v>-3.6949999999999999E-3</v>
      </c>
      <c r="H80" s="27">
        <f t="shared" si="3"/>
        <v>-1.5877333333333334E-2</v>
      </c>
      <c r="I80" s="20">
        <f t="shared" si="4"/>
        <v>0.5172728038981943</v>
      </c>
      <c r="J80" s="20">
        <f>MAX(I$42:I80)</f>
        <v>1.1409645468253968</v>
      </c>
      <c r="K80" s="7">
        <f t="shared" si="0"/>
        <v>-0.54663551524239151</v>
      </c>
      <c r="L80" s="7">
        <f t="shared" si="1"/>
        <v>-0.54663551524239151</v>
      </c>
      <c r="M80" s="7">
        <f t="shared" si="2"/>
        <v>-0.54663551524239151</v>
      </c>
      <c r="N80" s="21" t="str">
        <f t="shared" si="5"/>
        <v/>
      </c>
      <c r="O80" s="21" t="str">
        <f t="shared" si="6"/>
        <v/>
      </c>
      <c r="P80" s="21" t="str">
        <f t="shared" si="7"/>
        <v/>
      </c>
    </row>
    <row r="81" spans="1:16">
      <c r="A81" s="24">
        <v>37741</v>
      </c>
      <c r="B81" s="26">
        <v>6.4431000000000002E-2</v>
      </c>
      <c r="C81" s="26">
        <v>5.9076999999999998E-2</v>
      </c>
      <c r="D81" s="26">
        <v>7.1613999999999997E-2</v>
      </c>
      <c r="E81" s="26">
        <v>7.1235000000000007E-2</v>
      </c>
      <c r="F81" s="26">
        <v>6.4737000000000003E-2</v>
      </c>
      <c r="G81" s="26">
        <v>-5.1640000000000002E-3</v>
      </c>
      <c r="H81" s="27">
        <f t="shared" si="3"/>
        <v>6.4097666666666664E-2</v>
      </c>
      <c r="I81" s="20">
        <f t="shared" si="4"/>
        <v>0.55042878365819281</v>
      </c>
      <c r="J81" s="20">
        <f>MAX(I$42:I81)</f>
        <v>1.1409645468253968</v>
      </c>
      <c r="K81" s="7">
        <f t="shared" si="0"/>
        <v>-0.5175759096198933</v>
      </c>
      <c r="L81" s="7">
        <f t="shared" si="1"/>
        <v>-0.5175759096198933</v>
      </c>
      <c r="M81" s="7">
        <f t="shared" si="2"/>
        <v>-0.5175759096198933</v>
      </c>
      <c r="N81" s="21" t="str">
        <f t="shared" si="5"/>
        <v/>
      </c>
      <c r="O81" s="21" t="str">
        <f t="shared" si="6"/>
        <v/>
      </c>
      <c r="P81" s="21" t="str">
        <f t="shared" si="7"/>
        <v/>
      </c>
    </row>
    <row r="82" spans="1:16">
      <c r="A82" s="24">
        <v>37772</v>
      </c>
      <c r="B82" s="26">
        <v>2.8879999999999999E-3</v>
      </c>
      <c r="C82" s="26">
        <v>-7.5900000000000002E-4</v>
      </c>
      <c r="D82" s="26">
        <v>7.7089999999999997E-3</v>
      </c>
      <c r="E82" s="26">
        <v>2.6126E-2</v>
      </c>
      <c r="F82" s="26">
        <v>1.67E-2</v>
      </c>
      <c r="G82" s="26">
        <v>4.0873E-2</v>
      </c>
      <c r="H82" s="27">
        <f t="shared" si="3"/>
        <v>2.5546666666666665E-3</v>
      </c>
      <c r="I82" s="20">
        <f t="shared" si="4"/>
        <v>0.55183494572417835</v>
      </c>
      <c r="J82" s="20">
        <f>MAX(I$42:I82)</f>
        <v>1.1409645468253968</v>
      </c>
      <c r="K82" s="7">
        <f t="shared" si="0"/>
        <v>-0.51634347687700211</v>
      </c>
      <c r="L82" s="7">
        <f t="shared" si="1"/>
        <v>-0.51634347687700211</v>
      </c>
      <c r="M82" s="7">
        <f t="shared" si="2"/>
        <v>-0.51634347687700211</v>
      </c>
      <c r="N82" s="21" t="str">
        <f t="shared" si="5"/>
        <v/>
      </c>
      <c r="O82" s="21" t="str">
        <f t="shared" si="6"/>
        <v/>
      </c>
      <c r="P82" s="21" t="str">
        <f t="shared" si="7"/>
        <v/>
      </c>
    </row>
    <row r="83" spans="1:16">
      <c r="A83" s="24">
        <v>37802</v>
      </c>
      <c r="B83" s="26">
        <v>4.1798000000000002E-2</v>
      </c>
      <c r="C83" s="26">
        <v>3.6464999999999997E-2</v>
      </c>
      <c r="D83" s="26">
        <v>4.9086999999999999E-2</v>
      </c>
      <c r="E83" s="26">
        <v>5.7500999999999997E-2</v>
      </c>
      <c r="F83" s="26">
        <v>8.2266000000000006E-2</v>
      </c>
      <c r="G83" s="26">
        <v>-1.1988E-2</v>
      </c>
      <c r="H83" s="27">
        <f t="shared" si="3"/>
        <v>4.1464666666666671E-2</v>
      </c>
      <c r="I83" s="20">
        <f t="shared" si="4"/>
        <v>0.57471659780364948</v>
      </c>
      <c r="J83" s="20">
        <f>MAX(I$42:I83)</f>
        <v>1.1409645468253968</v>
      </c>
      <c r="K83" s="7">
        <f t="shared" si="0"/>
        <v>-0.49628882036454802</v>
      </c>
      <c r="L83" s="7">
        <f t="shared" si="1"/>
        <v>-0.49628882036454802</v>
      </c>
      <c r="M83" s="7">
        <f t="shared" si="2"/>
        <v>-0.49628882036454802</v>
      </c>
      <c r="N83" s="21" t="str">
        <f t="shared" si="5"/>
        <v/>
      </c>
      <c r="O83" s="21" t="str">
        <f t="shared" si="6"/>
        <v/>
      </c>
      <c r="P83" s="21" t="str">
        <f t="shared" si="7"/>
        <v/>
      </c>
    </row>
    <row r="84" spans="1:16">
      <c r="A84" s="24">
        <v>37833</v>
      </c>
      <c r="B84" s="26">
        <v>4.0851999999999999E-2</v>
      </c>
      <c r="C84" s="26">
        <v>3.8774000000000003E-2</v>
      </c>
      <c r="D84" s="26">
        <v>4.367E-2</v>
      </c>
      <c r="E84" s="26">
        <v>5.4411000000000001E-2</v>
      </c>
      <c r="F84" s="26">
        <v>8.3693000000000004E-2</v>
      </c>
      <c r="G84" s="26">
        <v>-9.3229999999999997E-3</v>
      </c>
      <c r="H84" s="27">
        <f t="shared" si="3"/>
        <v>4.0518666666666668E-2</v>
      </c>
      <c r="I84" s="20">
        <f t="shared" si="4"/>
        <v>0.59800334805785627</v>
      </c>
      <c r="J84" s="20">
        <f>MAX(I$42:I84)</f>
        <v>1.1409645468253968</v>
      </c>
      <c r="K84" s="7">
        <f t="shared" si="0"/>
        <v>-0.47587911498062574</v>
      </c>
      <c r="L84" s="7">
        <f t="shared" si="1"/>
        <v>-0.47587911498062574</v>
      </c>
      <c r="M84" s="7">
        <f t="shared" si="2"/>
        <v>-0.47587911498062574</v>
      </c>
      <c r="N84" s="21" t="str">
        <f t="shared" si="5"/>
        <v/>
      </c>
      <c r="O84" s="21" t="str">
        <f t="shared" si="6"/>
        <v/>
      </c>
      <c r="P84" s="21" t="str">
        <f t="shared" si="7"/>
        <v/>
      </c>
    </row>
    <row r="85" spans="1:16">
      <c r="A85" s="24">
        <v>37864</v>
      </c>
      <c r="B85" s="26">
        <v>4.7215E-2</v>
      </c>
      <c r="C85" s="26">
        <v>4.3923999999999998E-2</v>
      </c>
      <c r="D85" s="26">
        <v>5.1623000000000002E-2</v>
      </c>
      <c r="E85" s="26">
        <v>8.2540000000000002E-2</v>
      </c>
      <c r="F85" s="26">
        <v>9.3793000000000001E-2</v>
      </c>
      <c r="G85" s="26">
        <v>-3.588E-3</v>
      </c>
      <c r="H85" s="27">
        <f t="shared" si="3"/>
        <v>4.6881666666666669E-2</v>
      </c>
      <c r="I85" s="20">
        <f t="shared" si="4"/>
        <v>0.62603874168705531</v>
      </c>
      <c r="J85" s="20">
        <f>MAX(I$42:I85)</f>
        <v>1.1409645468253968</v>
      </c>
      <c r="K85" s="7">
        <f t="shared" si="0"/>
        <v>-0.45130745435610908</v>
      </c>
      <c r="L85" s="7">
        <f t="shared" si="1"/>
        <v>-0.45130745435610908</v>
      </c>
      <c r="M85" s="7">
        <f t="shared" si="2"/>
        <v>-0.45130745435610908</v>
      </c>
      <c r="N85" s="21" t="str">
        <f t="shared" si="5"/>
        <v/>
      </c>
      <c r="O85" s="21" t="str">
        <f t="shared" si="6"/>
        <v/>
      </c>
      <c r="P85" s="21" t="str">
        <f t="shared" si="7"/>
        <v/>
      </c>
    </row>
    <row r="86" spans="1:16">
      <c r="A86" s="24">
        <v>37894</v>
      </c>
      <c r="B86" s="26">
        <v>-5.1554000000000003E-2</v>
      </c>
      <c r="C86" s="26">
        <v>-6.8503999999999995E-2</v>
      </c>
      <c r="D86" s="26">
        <v>-2.8957E-2</v>
      </c>
      <c r="E86" s="26">
        <v>-3.1858999999999998E-2</v>
      </c>
      <c r="F86" s="26">
        <v>-5.0368000000000003E-2</v>
      </c>
      <c r="G86" s="26">
        <v>9.979E-3</v>
      </c>
      <c r="H86" s="27">
        <f t="shared" si="3"/>
        <v>-5.1887333333333334E-2</v>
      </c>
      <c r="I86" s="20">
        <f t="shared" si="4"/>
        <v>0.59355526081755849</v>
      </c>
      <c r="J86" s="20">
        <f>MAX(I$42:I86)</f>
        <v>1.1409645468253968</v>
      </c>
      <c r="K86" s="7">
        <f t="shared" si="0"/>
        <v>-0.47977764736944895</v>
      </c>
      <c r="L86" s="7">
        <f t="shared" si="1"/>
        <v>-0.47977764736944895</v>
      </c>
      <c r="M86" s="7">
        <f t="shared" si="2"/>
        <v>-0.47977764736944895</v>
      </c>
      <c r="N86" s="21" t="str">
        <f t="shared" si="5"/>
        <v/>
      </c>
      <c r="O86" s="21" t="str">
        <f t="shared" si="6"/>
        <v/>
      </c>
      <c r="P86" s="21" t="str">
        <f t="shared" si="7"/>
        <v/>
      </c>
    </row>
    <row r="87" spans="1:16">
      <c r="A87" s="24">
        <v>37925</v>
      </c>
      <c r="B87" s="26">
        <v>6.1106000000000001E-2</v>
      </c>
      <c r="C87" s="26">
        <v>5.8472999999999997E-2</v>
      </c>
      <c r="D87" s="26">
        <v>6.4499000000000001E-2</v>
      </c>
      <c r="E87" s="26">
        <v>7.2500999999999996E-2</v>
      </c>
      <c r="F87" s="26">
        <v>8.6994000000000002E-2</v>
      </c>
      <c r="G87" s="26">
        <v>-1.6865999999999999E-2</v>
      </c>
      <c r="H87" s="27">
        <f t="shared" si="3"/>
        <v>6.0772666666666669E-2</v>
      </c>
      <c r="I87" s="20">
        <f t="shared" si="4"/>
        <v>0.62962719683147028</v>
      </c>
      <c r="J87" s="20">
        <f>MAX(I$42:I87)</f>
        <v>1.1409645468253968</v>
      </c>
      <c r="K87" s="7">
        <f t="shared" si="0"/>
        <v>-0.44816234774048336</v>
      </c>
      <c r="L87" s="7">
        <f t="shared" si="1"/>
        <v>-0.44816234774048336</v>
      </c>
      <c r="M87" s="7">
        <f t="shared" si="2"/>
        <v>-0.44816234774048336</v>
      </c>
      <c r="N87" s="21" t="str">
        <f t="shared" si="5"/>
        <v/>
      </c>
      <c r="O87" s="21" t="str">
        <f t="shared" si="6"/>
        <v/>
      </c>
      <c r="P87" s="21" t="str">
        <f t="shared" si="7"/>
        <v/>
      </c>
    </row>
    <row r="88" spans="1:16">
      <c r="A88" s="24">
        <v>37955</v>
      </c>
      <c r="B88" s="26">
        <v>-1.554E-2</v>
      </c>
      <c r="C88" s="26">
        <v>-2.1297E-2</v>
      </c>
      <c r="D88" s="26">
        <v>-8.2190000000000006E-3</v>
      </c>
      <c r="E88" s="26">
        <v>-1.9791E-2</v>
      </c>
      <c r="F88" s="26">
        <v>-1.8398000000000001E-2</v>
      </c>
      <c r="G88" s="26">
        <v>-3.2699999999999999E-3</v>
      </c>
      <c r="H88" s="27">
        <f t="shared" si="3"/>
        <v>-1.5873333333333333E-2</v>
      </c>
      <c r="I88" s="20">
        <f t="shared" si="4"/>
        <v>0.61963291446043212</v>
      </c>
      <c r="J88" s="20">
        <f>MAX(I$42:I88)</f>
        <v>1.1409645468253968</v>
      </c>
      <c r="K88" s="7">
        <f t="shared" si="0"/>
        <v>-0.45692185074068281</v>
      </c>
      <c r="L88" s="7">
        <f t="shared" si="1"/>
        <v>-0.45692185074068281</v>
      </c>
      <c r="M88" s="7">
        <f t="shared" si="2"/>
        <v>-0.45692185074068281</v>
      </c>
      <c r="N88" s="21" t="str">
        <f t="shared" si="5"/>
        <v/>
      </c>
      <c r="O88" s="21" t="str">
        <f t="shared" si="6"/>
        <v/>
      </c>
      <c r="P88" s="21" t="str">
        <f t="shared" si="7"/>
        <v/>
      </c>
    </row>
    <row r="89" spans="1:16">
      <c r="A89" s="24">
        <v>37986</v>
      </c>
      <c r="B89" s="26">
        <v>9.8770000000000004E-3</v>
      </c>
      <c r="C89" s="26">
        <v>-7.8200000000000003E-4</v>
      </c>
      <c r="D89" s="26">
        <v>2.3205E-2</v>
      </c>
      <c r="E89" s="26">
        <v>9.2329999999999999E-3</v>
      </c>
      <c r="F89" s="26">
        <v>1.9147000000000001E-2</v>
      </c>
      <c r="G89" s="26">
        <v>1.4862E-2</v>
      </c>
      <c r="H89" s="27">
        <f t="shared" si="3"/>
        <v>9.5436666666666673E-3</v>
      </c>
      <c r="I89" s="20">
        <f t="shared" si="4"/>
        <v>0.62554648445173766</v>
      </c>
      <c r="J89" s="20">
        <f>MAX(I$42:I89)</f>
        <v>1.1409645468253968</v>
      </c>
      <c r="K89" s="7">
        <f t="shared" si="0"/>
        <v>-0.45173889391020161</v>
      </c>
      <c r="L89" s="7">
        <f t="shared" si="1"/>
        <v>-0.45173889391020161</v>
      </c>
      <c r="M89" s="7">
        <f t="shared" si="2"/>
        <v>-0.45173889391020161</v>
      </c>
      <c r="N89" s="21" t="str">
        <f t="shared" si="5"/>
        <v/>
      </c>
      <c r="O89" s="21" t="str">
        <f t="shared" si="6"/>
        <v/>
      </c>
      <c r="P89" s="21" t="str">
        <f t="shared" si="7"/>
        <v/>
      </c>
    </row>
    <row r="90" spans="1:16">
      <c r="A90" s="24">
        <v>38017</v>
      </c>
      <c r="B90" s="26">
        <v>3.1629999999999998E-2</v>
      </c>
      <c r="C90" s="26">
        <v>3.3390999999999997E-2</v>
      </c>
      <c r="D90" s="26">
        <v>2.9475000000000001E-2</v>
      </c>
      <c r="E90" s="26">
        <v>4.1985000000000001E-2</v>
      </c>
      <c r="F90" s="26">
        <v>5.0785999999999998E-2</v>
      </c>
      <c r="G90" s="26">
        <v>2.9380000000000001E-3</v>
      </c>
      <c r="H90" s="27">
        <f t="shared" si="3"/>
        <v>3.1296666666666667E-2</v>
      </c>
      <c r="I90" s="20">
        <f t="shared" si="4"/>
        <v>0.64512400426012895</v>
      </c>
      <c r="J90" s="20">
        <f>MAX(I$42:I90)</f>
        <v>1.1409645468253968</v>
      </c>
      <c r="K90" s="7">
        <f t="shared" si="0"/>
        <v>-0.43458014882661111</v>
      </c>
      <c r="L90" s="7" t="str">
        <f t="shared" si="1"/>
        <v/>
      </c>
      <c r="M90" s="7">
        <f t="shared" si="2"/>
        <v>-0.43458014882661111</v>
      </c>
      <c r="N90" s="21" t="str">
        <f t="shared" si="5"/>
        <v/>
      </c>
      <c r="O90" s="21" t="str">
        <f t="shared" si="6"/>
        <v/>
      </c>
      <c r="P90" s="21" t="str">
        <f t="shared" si="7"/>
        <v/>
      </c>
    </row>
    <row r="91" spans="1:16">
      <c r="A91" s="24">
        <v>38046</v>
      </c>
      <c r="B91" s="26">
        <v>1.6580000000000001E-2</v>
      </c>
      <c r="C91" s="26">
        <v>1.1475000000000001E-2</v>
      </c>
      <c r="D91" s="26">
        <v>2.2835999999999999E-2</v>
      </c>
      <c r="E91" s="26">
        <v>2.1687999999999999E-2</v>
      </c>
      <c r="F91" s="26">
        <v>4.5691000000000002E-2</v>
      </c>
      <c r="G91" s="26">
        <v>2.2034000000000002E-2</v>
      </c>
      <c r="H91" s="27">
        <f t="shared" si="3"/>
        <v>1.6246666666666666E-2</v>
      </c>
      <c r="I91" s="20">
        <f t="shared" si="4"/>
        <v>0.65560511891600859</v>
      </c>
      <c r="J91" s="20">
        <f>MAX(I$42:I91)</f>
        <v>1.1409645468253968</v>
      </c>
      <c r="K91" s="7">
        <f t="shared" si="0"/>
        <v>-0.42539396097788074</v>
      </c>
      <c r="L91" s="7" t="str">
        <f t="shared" si="1"/>
        <v/>
      </c>
      <c r="M91" s="7">
        <f t="shared" si="2"/>
        <v>-0.42539396097788074</v>
      </c>
      <c r="N91" s="21" t="str">
        <f t="shared" si="5"/>
        <v/>
      </c>
      <c r="O91" s="21" t="str">
        <f t="shared" si="6"/>
        <v/>
      </c>
      <c r="P91" s="21" t="str">
        <f t="shared" si="7"/>
        <v/>
      </c>
    </row>
    <row r="92" spans="1:16">
      <c r="A92" s="24">
        <v>38077</v>
      </c>
      <c r="B92" s="26">
        <v>4.3540000000000002E-3</v>
      </c>
      <c r="C92" s="26">
        <v>-5.3880000000000004E-3</v>
      </c>
      <c r="D92" s="26">
        <v>1.6121E-2</v>
      </c>
      <c r="E92" s="26">
        <v>3.2460000000000003E-2</v>
      </c>
      <c r="F92" s="26">
        <v>2.3702000000000001E-2</v>
      </c>
      <c r="G92" s="26">
        <v>9.1310000000000002E-3</v>
      </c>
      <c r="H92" s="27">
        <f t="shared" si="3"/>
        <v>4.0206666666666672E-3</v>
      </c>
      <c r="I92" s="20">
        <f t="shared" si="4"/>
        <v>0.65824108856413022</v>
      </c>
      <c r="J92" s="20">
        <f>MAX(I$42:I92)</f>
        <v>1.1409645468253968</v>
      </c>
      <c r="K92" s="7">
        <f t="shared" si="0"/>
        <v>-0.42308366163031919</v>
      </c>
      <c r="L92" s="7" t="str">
        <f t="shared" si="1"/>
        <v/>
      </c>
      <c r="M92" s="7">
        <f t="shared" si="2"/>
        <v>-0.42308366163031919</v>
      </c>
      <c r="N92" s="21" t="str">
        <f t="shared" si="5"/>
        <v/>
      </c>
      <c r="O92" s="21" t="str">
        <f t="shared" si="6"/>
        <v/>
      </c>
      <c r="P92" s="21" t="str">
        <f t="shared" si="7"/>
        <v/>
      </c>
    </row>
    <row r="93" spans="1:16">
      <c r="A93" s="24">
        <v>38107</v>
      </c>
      <c r="B93" s="26">
        <v>4.1549999999999998E-3</v>
      </c>
      <c r="C93" s="26">
        <v>9.0690000000000007E-3</v>
      </c>
      <c r="D93" s="26">
        <v>-1.6789999999999999E-3</v>
      </c>
      <c r="E93" s="26">
        <v>-6.2360000000000002E-3</v>
      </c>
      <c r="F93" s="26">
        <v>-5.8789000000000001E-2</v>
      </c>
      <c r="G93" s="26">
        <v>-1.3894E-2</v>
      </c>
      <c r="H93" s="27">
        <f t="shared" si="3"/>
        <v>3.8216666666666664E-3</v>
      </c>
      <c r="I93" s="20">
        <f t="shared" si="4"/>
        <v>0.66075666659092613</v>
      </c>
      <c r="J93" s="20">
        <f>MAX(I$42:I93)</f>
        <v>1.1409645468253968</v>
      </c>
      <c r="K93" s="7">
        <f t="shared" si="0"/>
        <v>-0.42087887969051629</v>
      </c>
      <c r="L93" s="7" t="str">
        <f t="shared" si="1"/>
        <v/>
      </c>
      <c r="M93" s="7">
        <f t="shared" si="2"/>
        <v>-0.42087887969051629</v>
      </c>
      <c r="N93" s="21" t="str">
        <f t="shared" si="5"/>
        <v/>
      </c>
      <c r="O93" s="21" t="str">
        <f t="shared" si="6"/>
        <v/>
      </c>
      <c r="P93" s="21" t="str">
        <f t="shared" si="7"/>
        <v/>
      </c>
    </row>
    <row r="94" spans="1:16">
      <c r="A94" s="24">
        <v>38138</v>
      </c>
      <c r="B94" s="26">
        <v>-9.4050000000000002E-3</v>
      </c>
      <c r="C94" s="26">
        <v>-5.7580000000000001E-3</v>
      </c>
      <c r="D94" s="26">
        <v>-1.3757999999999999E-2</v>
      </c>
      <c r="E94" s="26">
        <v>-1.3372E-2</v>
      </c>
      <c r="F94" s="26">
        <v>-3.7933000000000001E-2</v>
      </c>
      <c r="G94" s="26">
        <v>-3.411E-3</v>
      </c>
      <c r="H94" s="27">
        <f t="shared" si="3"/>
        <v>-9.7383333333333332E-3</v>
      </c>
      <c r="I94" s="20">
        <f t="shared" si="4"/>
        <v>0.65432199791944157</v>
      </c>
      <c r="J94" s="20">
        <f>MAX(I$42:I94)</f>
        <v>1.1409645468253968</v>
      </c>
      <c r="K94" s="7">
        <f t="shared" si="0"/>
        <v>-0.42651855420046347</v>
      </c>
      <c r="L94" s="7" t="str">
        <f t="shared" si="1"/>
        <v/>
      </c>
      <c r="M94" s="7">
        <f t="shared" si="2"/>
        <v>-0.42651855420046347</v>
      </c>
      <c r="N94" s="21" t="str">
        <f t="shared" si="5"/>
        <v/>
      </c>
      <c r="O94" s="21" t="str">
        <f t="shared" si="6"/>
        <v/>
      </c>
      <c r="P94" s="21" t="str">
        <f t="shared" si="7"/>
        <v/>
      </c>
    </row>
    <row r="95" spans="1:16">
      <c r="A95" s="24">
        <v>38168</v>
      </c>
      <c r="B95" s="26">
        <v>2.4306999999999999E-2</v>
      </c>
      <c r="C95" s="26">
        <v>2.2202E-2</v>
      </c>
      <c r="D95" s="26">
        <v>2.6883000000000001E-2</v>
      </c>
      <c r="E95" s="26">
        <v>3.6768000000000002E-2</v>
      </c>
      <c r="F95" s="26">
        <v>7.9769999999999997E-3</v>
      </c>
      <c r="G95" s="26">
        <v>3.7420000000000001E-3</v>
      </c>
      <c r="H95" s="27">
        <f t="shared" si="3"/>
        <v>2.3973666666666664E-2</v>
      </c>
      <c r="I95" s="20">
        <f t="shared" si="4"/>
        <v>0.67000849539022955</v>
      </c>
      <c r="J95" s="20">
        <f>MAX(I$42:I95)</f>
        <v>1.1409645468253968</v>
      </c>
      <c r="K95" s="7">
        <f t="shared" si="0"/>
        <v>-0.41277010117934743</v>
      </c>
      <c r="L95" s="7" t="str">
        <f t="shared" si="1"/>
        <v/>
      </c>
      <c r="M95" s="7">
        <f t="shared" si="2"/>
        <v>-0.41277010117934743</v>
      </c>
      <c r="N95" s="21" t="str">
        <f t="shared" si="5"/>
        <v/>
      </c>
      <c r="O95" s="21" t="str">
        <f t="shared" si="6"/>
        <v/>
      </c>
      <c r="P95" s="21" t="str">
        <f t="shared" si="7"/>
        <v/>
      </c>
    </row>
    <row r="96" spans="1:16">
      <c r="A96" s="24">
        <v>38199</v>
      </c>
      <c r="B96" s="26">
        <v>-2.2440000000000002E-2</v>
      </c>
      <c r="C96" s="26">
        <v>-2.4218E-2</v>
      </c>
      <c r="D96" s="26">
        <v>-2.0275000000000001E-2</v>
      </c>
      <c r="E96" s="26">
        <v>-2.793E-2</v>
      </c>
      <c r="F96" s="26">
        <v>-7.9500000000000005E-3</v>
      </c>
      <c r="G96" s="26">
        <v>1.1644E-2</v>
      </c>
      <c r="H96" s="27">
        <f t="shared" si="3"/>
        <v>-2.2773333333333336E-2</v>
      </c>
      <c r="I96" s="20">
        <f t="shared" si="4"/>
        <v>0.65475016858854274</v>
      </c>
      <c r="J96" s="20">
        <f>MAX(I$42:I96)</f>
        <v>1.1409645468253968</v>
      </c>
      <c r="K96" s="7">
        <f t="shared" si="0"/>
        <v>-0.42614328340848973</v>
      </c>
      <c r="L96" s="7" t="str">
        <f t="shared" si="1"/>
        <v/>
      </c>
      <c r="M96" s="7">
        <f t="shared" si="2"/>
        <v>-0.42614328340848973</v>
      </c>
      <c r="N96" s="21" t="str">
        <f t="shared" si="5"/>
        <v/>
      </c>
      <c r="O96" s="21" t="str">
        <f t="shared" si="6"/>
        <v/>
      </c>
      <c r="P96" s="21" t="str">
        <f t="shared" si="7"/>
        <v/>
      </c>
    </row>
    <row r="97" spans="1:16">
      <c r="A97" s="24">
        <v>38230</v>
      </c>
      <c r="B97" s="26">
        <v>-4.9909999999999998E-3</v>
      </c>
      <c r="C97" s="26">
        <v>-4.7949999999999998E-3</v>
      </c>
      <c r="D97" s="26">
        <v>-5.2129999999999998E-3</v>
      </c>
      <c r="E97" s="26">
        <v>-3.107E-3</v>
      </c>
      <c r="F97" s="26">
        <v>3.175E-2</v>
      </c>
      <c r="G97" s="26">
        <v>1.8009000000000001E-2</v>
      </c>
      <c r="H97" s="27">
        <f t="shared" si="3"/>
        <v>-5.3243333333333328E-3</v>
      </c>
      <c r="I97" s="20">
        <f t="shared" si="4"/>
        <v>0.65126406044092111</v>
      </c>
      <c r="J97" s="20">
        <f>MAX(I$42:I97)</f>
        <v>1.1409645468253968</v>
      </c>
      <c r="K97" s="7">
        <f t="shared" si="0"/>
        <v>-0.42919868785319515</v>
      </c>
      <c r="L97" s="7" t="str">
        <f t="shared" si="1"/>
        <v/>
      </c>
      <c r="M97" s="7">
        <f t="shared" si="2"/>
        <v>-0.42919868785319515</v>
      </c>
      <c r="N97" s="21" t="str">
        <f t="shared" si="5"/>
        <v/>
      </c>
      <c r="O97" s="21" t="str">
        <f t="shared" si="6"/>
        <v/>
      </c>
      <c r="P97" s="21" t="str">
        <f t="shared" si="7"/>
        <v/>
      </c>
    </row>
    <row r="98" spans="1:16">
      <c r="A98" s="24">
        <v>38260</v>
      </c>
      <c r="B98" s="26">
        <v>-2.9840000000000001E-3</v>
      </c>
      <c r="C98" s="26">
        <v>-1.1194000000000001E-2</v>
      </c>
      <c r="D98" s="26">
        <v>7.0239999999999999E-3</v>
      </c>
      <c r="E98" s="26">
        <v>6.7330000000000003E-3</v>
      </c>
      <c r="F98" s="26">
        <v>3.4948E-2</v>
      </c>
      <c r="G98" s="26">
        <v>9.9120000000000007E-3</v>
      </c>
      <c r="H98" s="27">
        <f t="shared" si="3"/>
        <v>-3.3173333333333336E-3</v>
      </c>
      <c r="I98" s="20">
        <f t="shared" si="4"/>
        <v>0.64910360046441851</v>
      </c>
      <c r="J98" s="20">
        <f>MAX(I$42:I98)</f>
        <v>1.1409645468253968</v>
      </c>
      <c r="K98" s="7">
        <f t="shared" si="0"/>
        <v>-0.43109222607269004</v>
      </c>
      <c r="L98" s="7" t="str">
        <f t="shared" si="1"/>
        <v/>
      </c>
      <c r="M98" s="7">
        <f t="shared" si="2"/>
        <v>-0.43109222607269004</v>
      </c>
      <c r="N98" s="21" t="str">
        <f t="shared" si="5"/>
        <v/>
      </c>
      <c r="O98" s="21" t="str">
        <f t="shared" si="6"/>
        <v/>
      </c>
      <c r="P98" s="21" t="str">
        <f t="shared" si="7"/>
        <v/>
      </c>
    </row>
    <row r="99" spans="1:16">
      <c r="A99" s="24">
        <v>38291</v>
      </c>
      <c r="B99" s="26">
        <v>2.6800000000000001E-4</v>
      </c>
      <c r="C99" s="26">
        <v>-9.0609999999999996E-3</v>
      </c>
      <c r="D99" s="26">
        <v>1.1457E-2</v>
      </c>
      <c r="E99" s="26">
        <v>6.9519999999999998E-3</v>
      </c>
      <c r="F99" s="26">
        <v>-2.8600000000000001E-4</v>
      </c>
      <c r="G99" s="26">
        <v>1.3103999999999999E-2</v>
      </c>
      <c r="H99" s="27">
        <f t="shared" si="3"/>
        <v>-6.5333333333333313E-5</v>
      </c>
      <c r="I99" s="20">
        <f t="shared" si="4"/>
        <v>0.64906119236252147</v>
      </c>
      <c r="J99" s="20">
        <f>MAX(I$42:I99)</f>
        <v>1.1409645468253968</v>
      </c>
      <c r="K99" s="7">
        <f t="shared" si="0"/>
        <v>-0.43112939471391998</v>
      </c>
      <c r="L99" s="7" t="str">
        <f t="shared" si="1"/>
        <v/>
      </c>
      <c r="M99" s="7">
        <f t="shared" si="2"/>
        <v>-0.43112939471391998</v>
      </c>
      <c r="N99" s="21" t="str">
        <f t="shared" si="5"/>
        <v/>
      </c>
      <c r="O99" s="21" t="str">
        <f t="shared" si="6"/>
        <v/>
      </c>
      <c r="P99" s="21" t="str">
        <f t="shared" si="7"/>
        <v/>
      </c>
    </row>
    <row r="100" spans="1:16">
      <c r="A100" s="24">
        <v>38321</v>
      </c>
      <c r="B100" s="26">
        <v>7.3889999999999997E-3</v>
      </c>
      <c r="C100" s="26">
        <v>-4.0769999999999999E-3</v>
      </c>
      <c r="D100" s="26">
        <v>2.0766E-2</v>
      </c>
      <c r="E100" s="26">
        <v>2.4114E-2</v>
      </c>
      <c r="F100" s="26">
        <v>4.5711000000000002E-2</v>
      </c>
      <c r="G100" s="26">
        <v>1.2246999999999999E-2</v>
      </c>
      <c r="H100" s="27">
        <f t="shared" si="3"/>
        <v>7.0556666666666667E-3</v>
      </c>
      <c r="I100" s="20">
        <f t="shared" si="4"/>
        <v>0.65364075178210057</v>
      </c>
      <c r="J100" s="20">
        <f>MAX(I$42:I100)</f>
        <v>1.1409645468253968</v>
      </c>
      <c r="K100" s="7">
        <f t="shared" si="0"/>
        <v>-0.42711563334655656</v>
      </c>
      <c r="L100" s="7" t="str">
        <f t="shared" si="1"/>
        <v/>
      </c>
      <c r="M100" s="7">
        <f t="shared" si="2"/>
        <v>-0.42711563334655656</v>
      </c>
      <c r="N100" s="21" t="str">
        <f t="shared" si="5"/>
        <v/>
      </c>
      <c r="O100" s="21" t="str">
        <f t="shared" si="6"/>
        <v/>
      </c>
      <c r="P100" s="21" t="str">
        <f t="shared" si="7"/>
        <v/>
      </c>
    </row>
    <row r="101" spans="1:16">
      <c r="A101" s="24">
        <v>38352</v>
      </c>
      <c r="B101" s="26">
        <v>1.5107000000000001E-2</v>
      </c>
      <c r="C101" s="26">
        <v>1.1575E-2</v>
      </c>
      <c r="D101" s="26">
        <v>1.9088999999999998E-2</v>
      </c>
      <c r="E101" s="26">
        <v>2.0465000000000001E-2</v>
      </c>
      <c r="F101" s="26">
        <v>2.4740999999999999E-2</v>
      </c>
      <c r="G101" s="26">
        <v>1.2204E-2</v>
      </c>
      <c r="H101" s="27">
        <f t="shared" si="3"/>
        <v>1.4773666666666668E-2</v>
      </c>
      <c r="I101" s="20">
        <f t="shared" si="4"/>
        <v>0.66329742236867872</v>
      </c>
      <c r="J101" s="20">
        <f>MAX(I$42:I101)</f>
        <v>1.1409645468253968</v>
      </c>
      <c r="K101" s="7">
        <f t="shared" si="0"/>
        <v>-0.41865203067507417</v>
      </c>
      <c r="L101" s="7" t="str">
        <f t="shared" si="1"/>
        <v/>
      </c>
      <c r="M101" s="7">
        <f t="shared" si="2"/>
        <v>-0.41865203067507417</v>
      </c>
      <c r="N101" s="21" t="str">
        <f t="shared" si="5"/>
        <v/>
      </c>
      <c r="O101" s="21" t="str">
        <f t="shared" si="6"/>
        <v/>
      </c>
      <c r="P101" s="21" t="str">
        <f t="shared" si="7"/>
        <v/>
      </c>
    </row>
    <row r="102" spans="1:16">
      <c r="A102" s="24">
        <v>38383</v>
      </c>
      <c r="B102" s="26">
        <v>1.9255000000000001E-2</v>
      </c>
      <c r="C102" s="26">
        <v>1.6621E-2</v>
      </c>
      <c r="D102" s="26">
        <v>2.2210000000000001E-2</v>
      </c>
      <c r="E102" s="26">
        <v>2.8601000000000001E-2</v>
      </c>
      <c r="F102" s="26">
        <v>4.5379000000000003E-2</v>
      </c>
      <c r="G102" s="26">
        <v>1.546E-2</v>
      </c>
      <c r="H102" s="27">
        <f t="shared" si="3"/>
        <v>1.8921666666666666E-2</v>
      </c>
      <c r="I102" s="20">
        <f t="shared" si="4"/>
        <v>0.67584811509559817</v>
      </c>
      <c r="J102" s="20">
        <f>MAX(I$42:I102)</f>
        <v>1.1409645468253968</v>
      </c>
      <c r="K102" s="7">
        <f t="shared" si="0"/>
        <v>-0.40765195818216426</v>
      </c>
      <c r="L102" s="7" t="str">
        <f t="shared" si="1"/>
        <v/>
      </c>
      <c r="M102" s="7">
        <f t="shared" si="2"/>
        <v>-0.40765195818216426</v>
      </c>
      <c r="N102" s="21" t="str">
        <f t="shared" si="5"/>
        <v/>
      </c>
      <c r="O102" s="21" t="str">
        <f t="shared" si="6"/>
        <v/>
      </c>
      <c r="P102" s="21" t="str">
        <f t="shared" si="7"/>
        <v/>
      </c>
    </row>
    <row r="103" spans="1:16">
      <c r="A103" s="24">
        <v>38411</v>
      </c>
      <c r="B103" s="26">
        <v>1.3181E-2</v>
      </c>
      <c r="C103" s="26">
        <v>1.923E-3</v>
      </c>
      <c r="D103" s="26">
        <v>2.5756999999999999E-2</v>
      </c>
      <c r="E103" s="26">
        <v>1.6410000000000001E-2</v>
      </c>
      <c r="F103" s="26">
        <v>6.7752000000000007E-2</v>
      </c>
      <c r="G103" s="26">
        <v>-8.3680000000000004E-3</v>
      </c>
      <c r="H103" s="27">
        <f t="shared" si="3"/>
        <v>1.2847666666666667E-2</v>
      </c>
      <c r="I103" s="20">
        <f t="shared" si="4"/>
        <v>0.68453118639564137</v>
      </c>
      <c r="J103" s="20">
        <f>MAX(I$42:I103)</f>
        <v>1.1409645468253968</v>
      </c>
      <c r="K103" s="7">
        <f t="shared" si="0"/>
        <v>-0.40004166799023599</v>
      </c>
      <c r="L103" s="7" t="str">
        <f t="shared" si="1"/>
        <v/>
      </c>
      <c r="M103" s="7">
        <f t="shared" si="2"/>
        <v>-0.40004166799023599</v>
      </c>
      <c r="N103" s="21" t="str">
        <f t="shared" si="5"/>
        <v/>
      </c>
      <c r="O103" s="21" t="str">
        <f t="shared" si="6"/>
        <v/>
      </c>
      <c r="P103" s="21" t="str">
        <f t="shared" si="7"/>
        <v/>
      </c>
    </row>
    <row r="104" spans="1:16">
      <c r="A104" s="24">
        <v>38442</v>
      </c>
      <c r="B104" s="26">
        <v>1.4829999999999999E-3</v>
      </c>
      <c r="C104" s="26">
        <v>4.5560000000000002E-3</v>
      </c>
      <c r="D104" s="26">
        <v>-1.874E-3</v>
      </c>
      <c r="E104" s="26">
        <v>9.7599999999999998E-4</v>
      </c>
      <c r="F104" s="26">
        <v>-4.6184000000000003E-2</v>
      </c>
      <c r="G104" s="26">
        <v>3.15E-3</v>
      </c>
      <c r="H104" s="27">
        <f t="shared" si="3"/>
        <v>1.1496666666666667E-3</v>
      </c>
      <c r="I104" s="20">
        <f t="shared" si="4"/>
        <v>0.68531816908293419</v>
      </c>
      <c r="J104" s="20">
        <f>MAX(I$42:I104)</f>
        <v>1.1409645468253968</v>
      </c>
      <c r="K104" s="7">
        <f t="shared" si="0"/>
        <v>-0.39935191589453545</v>
      </c>
      <c r="L104" s="7" t="str">
        <f t="shared" si="1"/>
        <v/>
      </c>
      <c r="M104" s="7">
        <f t="shared" si="2"/>
        <v>-0.39935191589453545</v>
      </c>
      <c r="N104" s="21" t="str">
        <f t="shared" si="5"/>
        <v/>
      </c>
      <c r="O104" s="21" t="str">
        <f t="shared" si="6"/>
        <v/>
      </c>
      <c r="P104" s="21" t="str">
        <f t="shared" si="7"/>
        <v/>
      </c>
    </row>
    <row r="105" spans="1:16">
      <c r="A105" s="24">
        <v>38472</v>
      </c>
      <c r="B105" s="26">
        <v>-1.5191E-2</v>
      </c>
      <c r="C105" s="26">
        <v>-1.1809E-2</v>
      </c>
      <c r="D105" s="26">
        <v>-1.8931E-2</v>
      </c>
      <c r="E105" s="26">
        <v>-2.2252000000000001E-2</v>
      </c>
      <c r="F105" s="26">
        <v>-2.0281E-2</v>
      </c>
      <c r="G105" s="26">
        <v>2.5437000000000001E-2</v>
      </c>
      <c r="H105" s="27">
        <f t="shared" si="3"/>
        <v>-1.5524333333333333E-2</v>
      </c>
      <c r="I105" s="20">
        <f t="shared" si="4"/>
        <v>0.67467906138670097</v>
      </c>
      <c r="J105" s="20">
        <f>MAX(I$42:I105)</f>
        <v>1.1409645468253968</v>
      </c>
      <c r="K105" s="7">
        <f t="shared" si="0"/>
        <v>-0.4086765769682168</v>
      </c>
      <c r="L105" s="7" t="str">
        <f t="shared" si="1"/>
        <v/>
      </c>
      <c r="M105" s="7">
        <f t="shared" si="2"/>
        <v>-0.4086765769682168</v>
      </c>
      <c r="N105" s="21" t="str">
        <f t="shared" si="5"/>
        <v/>
      </c>
      <c r="O105" s="21" t="str">
        <f t="shared" si="6"/>
        <v/>
      </c>
      <c r="P105" s="21" t="str">
        <f t="shared" si="7"/>
        <v/>
      </c>
    </row>
    <row r="106" spans="1:16">
      <c r="A106" s="24">
        <v>38503</v>
      </c>
      <c r="B106" s="26">
        <v>6.4088999999999993E-2</v>
      </c>
      <c r="C106" s="26">
        <v>7.9115000000000005E-2</v>
      </c>
      <c r="D106" s="26">
        <v>4.7419999999999997E-2</v>
      </c>
      <c r="E106" s="26">
        <v>6.0407000000000002E-2</v>
      </c>
      <c r="F106" s="26">
        <v>8.1902000000000003E-2</v>
      </c>
      <c r="G106" s="26">
        <v>1.54E-2</v>
      </c>
      <c r="H106" s="27">
        <f t="shared" si="3"/>
        <v>6.3755666666666655E-2</v>
      </c>
      <c r="I106" s="20">
        <f t="shared" si="4"/>
        <v>0.71769367473145107</v>
      </c>
      <c r="J106" s="20">
        <f>MAX(I$42:I106)</f>
        <v>1.1409645468253968</v>
      </c>
      <c r="K106" s="7">
        <f t="shared" ref="K106:K169" si="8">I106/J106-1</f>
        <v>-0.37097635791721006</v>
      </c>
      <c r="L106" s="7" t="str">
        <f t="shared" ref="L106:L169" si="9">IF(A106&lt;=DATE(2003,12,31),K106,"")</f>
        <v/>
      </c>
      <c r="M106" s="7">
        <f t="shared" ref="M106:M169" si="10">IF(A106&lt;=DATE(2010,12,31),K106,"")</f>
        <v>-0.37097635791721006</v>
      </c>
      <c r="N106" s="21" t="str">
        <f t="shared" si="5"/>
        <v/>
      </c>
      <c r="O106" s="21" t="str">
        <f t="shared" si="6"/>
        <v/>
      </c>
      <c r="P106" s="21" t="str">
        <f t="shared" si="7"/>
        <v/>
      </c>
    </row>
    <row r="107" spans="1:16">
      <c r="A107" s="24">
        <v>38533</v>
      </c>
      <c r="B107" s="26">
        <v>2.8731E-2</v>
      </c>
      <c r="C107" s="26">
        <v>2.1989999999999999E-2</v>
      </c>
      <c r="D107" s="26">
        <v>3.6582000000000003E-2</v>
      </c>
      <c r="E107" s="26">
        <v>3.882E-2</v>
      </c>
      <c r="F107" s="26">
        <v>5.4559000000000003E-2</v>
      </c>
      <c r="G107" s="26">
        <v>1.2840000000000001E-2</v>
      </c>
      <c r="H107" s="27">
        <f t="shared" ref="H107:H170" si="11">SUMPRODUCT($B$38:$G$38,B107:G107)-$B$5/12</f>
        <v>2.8397666666666665E-2</v>
      </c>
      <c r="I107" s="20">
        <f t="shared" ref="I107:I170" si="12">I106*(1+H107)</f>
        <v>0.73807450047525003</v>
      </c>
      <c r="J107" s="20">
        <f>MAX(I$42:I107)</f>
        <v>1.1409645468253968</v>
      </c>
      <c r="K107" s="7">
        <f t="shared" si="8"/>
        <v>-0.35311355420389023</v>
      </c>
      <c r="L107" s="7" t="str">
        <f t="shared" si="9"/>
        <v/>
      </c>
      <c r="M107" s="7">
        <f t="shared" si="10"/>
        <v>-0.35311355420389023</v>
      </c>
      <c r="N107" s="21" t="str">
        <f t="shared" ref="N107:N170" si="13">IF(AND(A107&gt;$B$18,I107&gt;=$B$16),A107,"")</f>
        <v/>
      </c>
      <c r="O107" s="21" t="str">
        <f t="shared" ref="O107:O170" si="14">IF(AND(A107&gt;$C$18,I107&gt;=$C$16),A107,"")</f>
        <v/>
      </c>
      <c r="P107" s="21" t="str">
        <f t="shared" ref="P107:P170" si="15">IF(AND(A107&gt;$D$18,I107&gt;=$D$16),A107,"")</f>
        <v/>
      </c>
    </row>
    <row r="108" spans="1:16">
      <c r="A108" s="24">
        <v>38564</v>
      </c>
      <c r="B108" s="26">
        <v>3.1522000000000001E-2</v>
      </c>
      <c r="C108" s="26">
        <v>3.3807999999999998E-2</v>
      </c>
      <c r="D108" s="26">
        <v>2.8898E-2</v>
      </c>
      <c r="E108" s="26">
        <v>3.5205E-2</v>
      </c>
      <c r="F108" s="26">
        <v>6.6375000000000003E-2</v>
      </c>
      <c r="G108" s="26">
        <v>1.0280000000000001E-3</v>
      </c>
      <c r="H108" s="27">
        <f t="shared" si="11"/>
        <v>3.1188666666666667E-2</v>
      </c>
      <c r="I108" s="20">
        <f t="shared" si="12"/>
        <v>0.76109406004573921</v>
      </c>
      <c r="J108" s="20">
        <f>MAX(I$42:I108)</f>
        <v>1.1409645468253968</v>
      </c>
      <c r="K108" s="7">
        <f t="shared" si="8"/>
        <v>-0.3329380284747705</v>
      </c>
      <c r="L108" s="7" t="str">
        <f t="shared" si="9"/>
        <v/>
      </c>
      <c r="M108" s="7">
        <f t="shared" si="10"/>
        <v>-0.3329380284747705</v>
      </c>
      <c r="N108" s="21" t="str">
        <f t="shared" si="13"/>
        <v/>
      </c>
      <c r="O108" s="21" t="str">
        <f t="shared" si="14"/>
        <v/>
      </c>
      <c r="P108" s="21" t="str">
        <f t="shared" si="15"/>
        <v/>
      </c>
    </row>
    <row r="109" spans="1:16">
      <c r="A109" s="24">
        <v>38595</v>
      </c>
      <c r="B109" s="26">
        <v>-4.9150000000000001E-3</v>
      </c>
      <c r="C109" s="26">
        <v>-2.2141999999999998E-2</v>
      </c>
      <c r="D109" s="26">
        <v>1.4904000000000001E-2</v>
      </c>
      <c r="E109" s="26">
        <v>5.359E-3</v>
      </c>
      <c r="F109" s="26">
        <v>-3.8990000000000001E-3</v>
      </c>
      <c r="G109" s="26">
        <v>6.9059999999999998E-3</v>
      </c>
      <c r="H109" s="27">
        <f t="shared" si="11"/>
        <v>-5.2483333333333331E-3</v>
      </c>
      <c r="I109" s="20">
        <f t="shared" si="12"/>
        <v>0.75709958472059913</v>
      </c>
      <c r="J109" s="20">
        <f>MAX(I$42:I109)</f>
        <v>1.1409645468253968</v>
      </c>
      <c r="K109" s="7">
        <f t="shared" si="8"/>
        <v>-0.33643899205532546</v>
      </c>
      <c r="L109" s="7" t="str">
        <f t="shared" si="9"/>
        <v/>
      </c>
      <c r="M109" s="7">
        <f t="shared" si="10"/>
        <v>-0.33643899205532546</v>
      </c>
      <c r="N109" s="21" t="str">
        <f t="shared" si="13"/>
        <v/>
      </c>
      <c r="O109" s="21" t="str">
        <f t="shared" si="14"/>
        <v/>
      </c>
      <c r="P109" s="21" t="str">
        <f t="shared" si="15"/>
        <v/>
      </c>
    </row>
    <row r="110" spans="1:16">
      <c r="A110" s="24">
        <v>38625</v>
      </c>
      <c r="B110" s="26">
        <v>4.6563E-2</v>
      </c>
      <c r="C110" s="26">
        <v>2.8454E-2</v>
      </c>
      <c r="D110" s="26">
        <v>6.6624000000000003E-2</v>
      </c>
      <c r="E110" s="26">
        <v>5.4158999999999999E-2</v>
      </c>
      <c r="F110" s="26">
        <v>0.11505</v>
      </c>
      <c r="G110" s="26">
        <v>-1.5039999999999999E-3</v>
      </c>
      <c r="H110" s="27">
        <f t="shared" si="11"/>
        <v>4.6229666666666669E-2</v>
      </c>
      <c r="I110" s="20">
        <f t="shared" si="12"/>
        <v>0.79210004615570417</v>
      </c>
      <c r="J110" s="20">
        <f>MAX(I$42:I110)</f>
        <v>1.1409645468253968</v>
      </c>
      <c r="K110" s="7">
        <f t="shared" si="8"/>
        <v>-0.30576278784504585</v>
      </c>
      <c r="L110" s="7" t="str">
        <f t="shared" si="9"/>
        <v/>
      </c>
      <c r="M110" s="7">
        <f t="shared" si="10"/>
        <v>-0.30576278784504585</v>
      </c>
      <c r="N110" s="21" t="str">
        <f t="shared" si="13"/>
        <v/>
      </c>
      <c r="O110" s="21" t="str">
        <f t="shared" si="14"/>
        <v/>
      </c>
      <c r="P110" s="21" t="str">
        <f t="shared" si="15"/>
        <v/>
      </c>
    </row>
    <row r="111" spans="1:16">
      <c r="A111" s="24">
        <v>38656</v>
      </c>
      <c r="B111" s="26">
        <v>-1.7819000000000002E-2</v>
      </c>
      <c r="C111" s="26">
        <v>-1.0234999999999999E-2</v>
      </c>
      <c r="D111" s="26">
        <v>-2.5930000000000002E-2</v>
      </c>
      <c r="E111" s="26">
        <v>-2.5506999999999998E-2</v>
      </c>
      <c r="F111" s="26">
        <v>-5.9193999999999997E-2</v>
      </c>
      <c r="G111" s="26">
        <v>-1.6286999999999999E-2</v>
      </c>
      <c r="H111" s="27">
        <f t="shared" si="11"/>
        <v>-1.8152333333333336E-2</v>
      </c>
      <c r="I111" s="20">
        <f t="shared" si="12"/>
        <v>0.77772158208453712</v>
      </c>
      <c r="J111" s="20">
        <f>MAX(I$42:I111)</f>
        <v>1.1409645468253968</v>
      </c>
      <c r="K111" s="7">
        <f t="shared" si="8"/>
        <v>-0.31836481313248655</v>
      </c>
      <c r="L111" s="7" t="str">
        <f t="shared" si="9"/>
        <v/>
      </c>
      <c r="M111" s="7">
        <f t="shared" si="10"/>
        <v>-0.31836481313248655</v>
      </c>
      <c r="N111" s="21" t="str">
        <f t="shared" si="13"/>
        <v/>
      </c>
      <c r="O111" s="21" t="str">
        <f t="shared" si="14"/>
        <v/>
      </c>
      <c r="P111" s="21" t="str">
        <f t="shared" si="15"/>
        <v/>
      </c>
    </row>
    <row r="112" spans="1:16">
      <c r="A112" s="24">
        <v>38686</v>
      </c>
      <c r="B112" s="26">
        <v>4.9792000000000003E-2</v>
      </c>
      <c r="C112" s="26">
        <v>5.6204999999999998E-2</v>
      </c>
      <c r="D112" s="26">
        <v>4.2854000000000003E-2</v>
      </c>
      <c r="E112" s="26">
        <v>5.3429999999999998E-2</v>
      </c>
      <c r="F112" s="26">
        <v>9.9990999999999997E-2</v>
      </c>
      <c r="G112" s="26">
        <v>2.908E-3</v>
      </c>
      <c r="H112" s="27">
        <f t="shared" si="11"/>
        <v>4.9458666666666672E-2</v>
      </c>
      <c r="I112" s="20">
        <f t="shared" si="12"/>
        <v>0.81618665457232897</v>
      </c>
      <c r="J112" s="20">
        <f>MAX(I$42:I112)</f>
        <v>1.1409645468253968</v>
      </c>
      <c r="K112" s="7">
        <f t="shared" si="8"/>
        <v>-0.28465204563693514</v>
      </c>
      <c r="L112" s="7" t="str">
        <f t="shared" si="9"/>
        <v/>
      </c>
      <c r="M112" s="7">
        <f t="shared" si="10"/>
        <v>-0.28465204563693514</v>
      </c>
      <c r="N112" s="21" t="str">
        <f t="shared" si="13"/>
        <v/>
      </c>
      <c r="O112" s="21" t="str">
        <f t="shared" si="14"/>
        <v/>
      </c>
      <c r="P112" s="21" t="str">
        <f t="shared" si="15"/>
        <v/>
      </c>
    </row>
    <row r="113" spans="1:16">
      <c r="A113" s="24">
        <v>38717</v>
      </c>
      <c r="B113" s="26">
        <v>2.1638999999999999E-2</v>
      </c>
      <c r="C113" s="26">
        <v>-3.4900000000000003E-4</v>
      </c>
      <c r="D113" s="26">
        <v>4.5834E-2</v>
      </c>
      <c r="E113" s="26">
        <v>4.1173000000000001E-2</v>
      </c>
      <c r="F113" s="26">
        <v>5.8564999999999999E-2</v>
      </c>
      <c r="G113" s="26">
        <v>1.5396E-2</v>
      </c>
      <c r="H113" s="27">
        <f t="shared" si="11"/>
        <v>2.1305666666666664E-2</v>
      </c>
      <c r="I113" s="20">
        <f t="shared" si="12"/>
        <v>0.83357605537242885</v>
      </c>
      <c r="J113" s="20">
        <f>MAX(I$42:I113)</f>
        <v>1.1409645468253968</v>
      </c>
      <c r="K113" s="7">
        <f t="shared" si="8"/>
        <v>-0.26941108057059371</v>
      </c>
      <c r="L113" s="7" t="str">
        <f t="shared" si="9"/>
        <v/>
      </c>
      <c r="M113" s="7">
        <f t="shared" si="10"/>
        <v>-0.26941108057059371</v>
      </c>
      <c r="N113" s="21" t="str">
        <f t="shared" si="13"/>
        <v/>
      </c>
      <c r="O113" s="21" t="str">
        <f t="shared" si="14"/>
        <v/>
      </c>
      <c r="P113" s="21" t="str">
        <f t="shared" si="15"/>
        <v/>
      </c>
    </row>
    <row r="114" spans="1:16">
      <c r="A114" s="24">
        <v>38748</v>
      </c>
      <c r="B114" s="26">
        <v>1.4755000000000001E-2</v>
      </c>
      <c r="C114" s="26">
        <v>-2.3960000000000001E-3</v>
      </c>
      <c r="D114" s="26">
        <v>3.2819000000000001E-2</v>
      </c>
      <c r="E114" s="26">
        <v>2.6890000000000001E-2</v>
      </c>
      <c r="F114" s="26">
        <v>7.9882999999999996E-2</v>
      </c>
      <c r="G114" s="26">
        <v>-1.5330999999999999E-2</v>
      </c>
      <c r="H114" s="27">
        <f t="shared" si="11"/>
        <v>1.4421666666666668E-2</v>
      </c>
      <c r="I114" s="20">
        <f t="shared" si="12"/>
        <v>0.84559761138432499</v>
      </c>
      <c r="J114" s="20">
        <f>MAX(I$42:I114)</f>
        <v>1.1409645468253968</v>
      </c>
      <c r="K114" s="7">
        <f t="shared" si="8"/>
        <v>-0.2588747707042226</v>
      </c>
      <c r="L114" s="7" t="str">
        <f t="shared" si="9"/>
        <v/>
      </c>
      <c r="M114" s="7">
        <f t="shared" si="10"/>
        <v>-0.2588747707042226</v>
      </c>
      <c r="N114" s="21" t="str">
        <f t="shared" si="13"/>
        <v/>
      </c>
      <c r="O114" s="21" t="str">
        <f t="shared" si="14"/>
        <v/>
      </c>
      <c r="P114" s="21" t="str">
        <f t="shared" si="15"/>
        <v/>
      </c>
    </row>
    <row r="115" spans="1:16">
      <c r="A115" s="24">
        <v>38776</v>
      </c>
      <c r="B115" s="26">
        <v>1.6982000000000001E-2</v>
      </c>
      <c r="C115" s="26">
        <v>1.8849000000000001E-2</v>
      </c>
      <c r="D115" s="26">
        <v>1.5074000000000001E-2</v>
      </c>
      <c r="E115" s="26">
        <v>1.8589999999999999E-2</v>
      </c>
      <c r="F115" s="26">
        <v>1.7285999999999999E-2</v>
      </c>
      <c r="G115" s="26">
        <v>1.322E-3</v>
      </c>
      <c r="H115" s="27">
        <f t="shared" si="11"/>
        <v>1.6648666666666666E-2</v>
      </c>
      <c r="I115" s="20">
        <f t="shared" si="12"/>
        <v>0.85967568415039219</v>
      </c>
      <c r="J115" s="20">
        <f>MAX(I$42:I115)</f>
        <v>1.1409645468253968</v>
      </c>
      <c r="K115" s="7">
        <f t="shared" si="8"/>
        <v>-0.24653602380342021</v>
      </c>
      <c r="L115" s="7" t="str">
        <f t="shared" si="9"/>
        <v/>
      </c>
      <c r="M115" s="7">
        <f t="shared" si="10"/>
        <v>-0.24653602380342021</v>
      </c>
      <c r="N115" s="21" t="str">
        <f t="shared" si="13"/>
        <v/>
      </c>
      <c r="O115" s="21" t="str">
        <f t="shared" si="14"/>
        <v/>
      </c>
      <c r="P115" s="21" t="str">
        <f t="shared" si="15"/>
        <v/>
      </c>
    </row>
    <row r="116" spans="1:16">
      <c r="A116" s="24">
        <v>38807</v>
      </c>
      <c r="B116" s="26">
        <v>6.8710000000000004E-3</v>
      </c>
      <c r="C116" s="26">
        <v>-2.562E-3</v>
      </c>
      <c r="D116" s="26">
        <v>1.6455000000000001E-2</v>
      </c>
      <c r="E116" s="26">
        <v>1.5329000000000001E-2</v>
      </c>
      <c r="F116" s="26">
        <v>-6.1110000000000001E-3</v>
      </c>
      <c r="G116" s="26">
        <v>-1.8127999999999998E-2</v>
      </c>
      <c r="H116" s="27">
        <f t="shared" si="11"/>
        <v>6.5376666666666673E-3</v>
      </c>
      <c r="I116" s="20">
        <f t="shared" si="12"/>
        <v>0.86529595721480612</v>
      </c>
      <c r="J116" s="20">
        <f>MAX(I$42:I116)</f>
        <v>1.1409645468253968</v>
      </c>
      <c r="K116" s="7">
        <f t="shared" si="8"/>
        <v>-0.24161012748170574</v>
      </c>
      <c r="L116" s="7" t="str">
        <f t="shared" si="9"/>
        <v/>
      </c>
      <c r="M116" s="7">
        <f t="shared" si="10"/>
        <v>-0.24161012748170574</v>
      </c>
      <c r="N116" s="21" t="str">
        <f t="shared" si="13"/>
        <v/>
      </c>
      <c r="O116" s="21" t="str">
        <f t="shared" si="14"/>
        <v/>
      </c>
      <c r="P116" s="21" t="str">
        <f t="shared" si="15"/>
        <v/>
      </c>
    </row>
    <row r="117" spans="1:16">
      <c r="A117" s="24">
        <v>38837</v>
      </c>
      <c r="B117" s="26">
        <v>-1.0128E-2</v>
      </c>
      <c r="C117" s="26">
        <v>-2.6988999999999999E-2</v>
      </c>
      <c r="D117" s="26">
        <v>6.6420000000000003E-3</v>
      </c>
      <c r="E117" s="26">
        <v>-7.7819999999999999E-3</v>
      </c>
      <c r="F117" s="26">
        <v>2.9116E-2</v>
      </c>
      <c r="G117" s="26">
        <v>-1.6056999999999998E-2</v>
      </c>
      <c r="H117" s="27">
        <f t="shared" si="11"/>
        <v>-1.0461333333333333E-2</v>
      </c>
      <c r="I117" s="20">
        <f t="shared" si="12"/>
        <v>0.85624380777439635</v>
      </c>
      <c r="J117" s="20">
        <f>MAX(I$42:I117)</f>
        <v>1.1409645468253968</v>
      </c>
      <c r="K117" s="7">
        <f t="shared" si="8"/>
        <v>-0.24954389673474375</v>
      </c>
      <c r="L117" s="7" t="str">
        <f t="shared" si="9"/>
        <v/>
      </c>
      <c r="M117" s="7">
        <f t="shared" si="10"/>
        <v>-0.24954389673474375</v>
      </c>
      <c r="N117" s="21" t="str">
        <f t="shared" si="13"/>
        <v/>
      </c>
      <c r="O117" s="21" t="str">
        <f t="shared" si="14"/>
        <v/>
      </c>
      <c r="P117" s="21" t="str">
        <f t="shared" si="15"/>
        <v/>
      </c>
    </row>
    <row r="118" spans="1:16">
      <c r="A118" s="24">
        <v>38868</v>
      </c>
      <c r="B118" s="26">
        <v>-5.2807E-2</v>
      </c>
      <c r="C118" s="26">
        <v>-4.8943E-2</v>
      </c>
      <c r="D118" s="26">
        <v>-5.6570000000000002E-2</v>
      </c>
      <c r="E118" s="26">
        <v>-6.0693999999999998E-2</v>
      </c>
      <c r="F118" s="26">
        <v>-0.122073</v>
      </c>
      <c r="G118" s="26">
        <v>7.4219999999999998E-3</v>
      </c>
      <c r="H118" s="27">
        <f t="shared" si="11"/>
        <v>-5.3140333333333331E-2</v>
      </c>
      <c r="I118" s="20">
        <f t="shared" si="12"/>
        <v>0.81074272641466227</v>
      </c>
      <c r="J118" s="20">
        <f>MAX(I$42:I118)</f>
        <v>1.1409645468253968</v>
      </c>
      <c r="K118" s="7">
        <f t="shared" si="8"/>
        <v>-0.28942338421429392</v>
      </c>
      <c r="L118" s="7" t="str">
        <f t="shared" si="9"/>
        <v/>
      </c>
      <c r="M118" s="7">
        <f t="shared" si="10"/>
        <v>-0.28942338421429392</v>
      </c>
      <c r="N118" s="21" t="str">
        <f t="shared" si="13"/>
        <v/>
      </c>
      <c r="O118" s="21" t="str">
        <f t="shared" si="14"/>
        <v/>
      </c>
      <c r="P118" s="21" t="str">
        <f t="shared" si="15"/>
        <v/>
      </c>
    </row>
    <row r="119" spans="1:16">
      <c r="A119" s="24">
        <v>38898</v>
      </c>
      <c r="B119" s="26">
        <v>4.241E-3</v>
      </c>
      <c r="C119" s="26">
        <v>5.28E-3</v>
      </c>
      <c r="D119" s="26">
        <v>3.2469999999999999E-3</v>
      </c>
      <c r="E119" s="26">
        <v>-2.8040000000000001E-3</v>
      </c>
      <c r="F119" s="26">
        <v>2.0790000000000001E-3</v>
      </c>
      <c r="G119" s="26">
        <v>-7.8250000000000004E-3</v>
      </c>
      <c r="H119" s="27">
        <f t="shared" si="11"/>
        <v>3.9076666666666669E-3</v>
      </c>
      <c r="I119" s="20">
        <f t="shared" si="12"/>
        <v>0.81391083874191528</v>
      </c>
      <c r="J119" s="20">
        <f>MAX(I$42:I119)</f>
        <v>1.1409645468253968</v>
      </c>
      <c r="K119" s="7">
        <f t="shared" si="8"/>
        <v>-0.28664668765867529</v>
      </c>
      <c r="L119" s="7" t="str">
        <f t="shared" si="9"/>
        <v/>
      </c>
      <c r="M119" s="7">
        <f t="shared" si="10"/>
        <v>-0.28664668765867529</v>
      </c>
      <c r="N119" s="21" t="str">
        <f t="shared" si="13"/>
        <v/>
      </c>
      <c r="O119" s="21" t="str">
        <f t="shared" si="14"/>
        <v/>
      </c>
      <c r="P119" s="21" t="str">
        <f t="shared" si="15"/>
        <v/>
      </c>
    </row>
    <row r="120" spans="1:16">
      <c r="A120" s="24">
        <v>38929</v>
      </c>
      <c r="B120" s="26">
        <v>8.208E-3</v>
      </c>
      <c r="C120" s="26">
        <v>5.0020000000000004E-3</v>
      </c>
      <c r="D120" s="26">
        <v>1.1346E-2</v>
      </c>
      <c r="E120" s="26">
        <v>-5.7109999999999999E-3</v>
      </c>
      <c r="F120" s="26">
        <v>1.6104E-2</v>
      </c>
      <c r="G120" s="26">
        <v>1.7170000000000001E-2</v>
      </c>
      <c r="H120" s="27">
        <f t="shared" si="11"/>
        <v>7.874666666666667E-3</v>
      </c>
      <c r="I120" s="20">
        <f t="shared" si="12"/>
        <v>0.82032011529339499</v>
      </c>
      <c r="J120" s="20">
        <f>MAX(I$42:I120)</f>
        <v>1.1409645468253968</v>
      </c>
      <c r="K120" s="7">
        <f t="shared" si="8"/>
        <v>-0.28102926810842477</v>
      </c>
      <c r="L120" s="7" t="str">
        <f t="shared" si="9"/>
        <v/>
      </c>
      <c r="M120" s="7">
        <f t="shared" si="10"/>
        <v>-0.28102926810842477</v>
      </c>
      <c r="N120" s="21" t="str">
        <f t="shared" si="13"/>
        <v/>
      </c>
      <c r="O120" s="21" t="str">
        <f t="shared" si="14"/>
        <v/>
      </c>
      <c r="P120" s="21" t="str">
        <f t="shared" si="15"/>
        <v/>
      </c>
    </row>
    <row r="121" spans="1:16">
      <c r="A121" s="24">
        <v>38960</v>
      </c>
      <c r="B121" s="26">
        <v>2.2838000000000001E-2</v>
      </c>
      <c r="C121" s="26">
        <v>2.0306999999999999E-2</v>
      </c>
      <c r="D121" s="26">
        <v>2.529E-2</v>
      </c>
      <c r="E121" s="26">
        <v>2.7104E-2</v>
      </c>
      <c r="F121" s="26">
        <v>2.2349999999999998E-2</v>
      </c>
      <c r="G121" s="26">
        <v>1.3873E-2</v>
      </c>
      <c r="H121" s="27">
        <f t="shared" si="11"/>
        <v>2.2504666666666666E-2</v>
      </c>
      <c r="I121" s="20">
        <f t="shared" si="12"/>
        <v>0.83878114604803433</v>
      </c>
      <c r="J121" s="20">
        <f>MAX(I$42:I121)</f>
        <v>1.1409645468253968</v>
      </c>
      <c r="K121" s="7">
        <f t="shared" si="8"/>
        <v>-0.26484907144411562</v>
      </c>
      <c r="L121" s="7" t="str">
        <f t="shared" si="9"/>
        <v/>
      </c>
      <c r="M121" s="7">
        <f t="shared" si="10"/>
        <v>-0.26484907144411562</v>
      </c>
      <c r="N121" s="21" t="str">
        <f t="shared" si="13"/>
        <v/>
      </c>
      <c r="O121" s="21" t="str">
        <f t="shared" si="14"/>
        <v/>
      </c>
      <c r="P121" s="21" t="str">
        <f t="shared" si="15"/>
        <v/>
      </c>
    </row>
    <row r="122" spans="1:16">
      <c r="A122" s="24">
        <v>38990</v>
      </c>
      <c r="B122" s="26">
        <v>2.2542E-2</v>
      </c>
      <c r="C122" s="26">
        <v>3.5853999999999997E-2</v>
      </c>
      <c r="D122" s="26">
        <v>9.6819999999999996E-3</v>
      </c>
      <c r="E122" s="26">
        <v>2.2422000000000001E-2</v>
      </c>
      <c r="F122" s="26">
        <v>1.8914E-2</v>
      </c>
      <c r="G122" s="26">
        <v>1.4655E-2</v>
      </c>
      <c r="H122" s="27">
        <f t="shared" si="11"/>
        <v>2.2208666666666665E-2</v>
      </c>
      <c r="I122" s="20">
        <f t="shared" si="12"/>
        <v>0.8574093569268999</v>
      </c>
      <c r="J122" s="20">
        <f>MAX(I$42:I122)</f>
        <v>1.1409645468253968</v>
      </c>
      <c r="K122" s="7">
        <f t="shared" si="8"/>
        <v>-0.24852234952212737</v>
      </c>
      <c r="L122" s="7" t="str">
        <f t="shared" si="9"/>
        <v/>
      </c>
      <c r="M122" s="7">
        <f t="shared" si="10"/>
        <v>-0.24852234952212737</v>
      </c>
      <c r="N122" s="21" t="str">
        <f t="shared" si="13"/>
        <v/>
      </c>
      <c r="O122" s="21" t="str">
        <f t="shared" si="14"/>
        <v/>
      </c>
      <c r="P122" s="21" t="str">
        <f t="shared" si="15"/>
        <v/>
      </c>
    </row>
    <row r="123" spans="1:16">
      <c r="A123" s="24">
        <v>39021</v>
      </c>
      <c r="B123" s="26">
        <v>2.8910000000000002E-2</v>
      </c>
      <c r="C123" s="26">
        <v>2.6089000000000001E-2</v>
      </c>
      <c r="D123" s="26">
        <v>3.1705999999999998E-2</v>
      </c>
      <c r="E123" s="26">
        <v>3.0131000000000002E-2</v>
      </c>
      <c r="F123" s="26">
        <v>3.9616999999999999E-2</v>
      </c>
      <c r="G123" s="26">
        <v>-5.8230000000000001E-3</v>
      </c>
      <c r="H123" s="27">
        <f t="shared" si="11"/>
        <v>2.8576666666666667E-2</v>
      </c>
      <c r="I123" s="20">
        <f t="shared" si="12"/>
        <v>0.88191125831668093</v>
      </c>
      <c r="J123" s="20">
        <f>MAX(I$42:I123)</f>
        <v>1.1409645468253968</v>
      </c>
      <c r="K123" s="7">
        <f t="shared" si="8"/>
        <v>-0.22704762319697136</v>
      </c>
      <c r="L123" s="7" t="str">
        <f t="shared" si="9"/>
        <v/>
      </c>
      <c r="M123" s="7">
        <f t="shared" si="10"/>
        <v>-0.22704762319697136</v>
      </c>
      <c r="N123" s="21" t="str">
        <f t="shared" si="13"/>
        <v/>
      </c>
      <c r="O123" s="21" t="str">
        <f t="shared" si="14"/>
        <v/>
      </c>
      <c r="P123" s="21" t="str">
        <f t="shared" si="15"/>
        <v/>
      </c>
    </row>
    <row r="124" spans="1:16">
      <c r="A124" s="24">
        <v>39051</v>
      </c>
      <c r="B124" s="26">
        <v>-1.354E-2</v>
      </c>
      <c r="C124" s="26">
        <v>-1.8734000000000001E-2</v>
      </c>
      <c r="D124" s="26">
        <v>-8.4370000000000001E-3</v>
      </c>
      <c r="E124" s="26">
        <v>-3.637E-3</v>
      </c>
      <c r="F124" s="26">
        <v>3.4447999999999999E-2</v>
      </c>
      <c r="G124" s="26">
        <v>8.9040000000000005E-3</v>
      </c>
      <c r="H124" s="27">
        <f t="shared" si="11"/>
        <v>-1.3873333333333333E-2</v>
      </c>
      <c r="I124" s="20">
        <f t="shared" si="12"/>
        <v>0.8696762094596342</v>
      </c>
      <c r="J124" s="20">
        <f>MAX(I$42:I124)</f>
        <v>1.1409645468253968</v>
      </c>
      <c r="K124" s="7">
        <f t="shared" si="8"/>
        <v>-0.23777104917115199</v>
      </c>
      <c r="L124" s="7" t="str">
        <f t="shared" si="9"/>
        <v/>
      </c>
      <c r="M124" s="7">
        <f t="shared" si="10"/>
        <v>-0.23777104917115199</v>
      </c>
      <c r="N124" s="21" t="str">
        <f t="shared" si="13"/>
        <v/>
      </c>
      <c r="O124" s="21" t="str">
        <f t="shared" si="14"/>
        <v/>
      </c>
      <c r="P124" s="21" t="str">
        <f t="shared" si="15"/>
        <v/>
      </c>
    </row>
    <row r="125" spans="1:16">
      <c r="A125" s="24">
        <v>39082</v>
      </c>
      <c r="B125" s="26">
        <v>2.5673000000000001E-2</v>
      </c>
      <c r="C125" s="26">
        <v>1.6997000000000002E-2</v>
      </c>
      <c r="D125" s="26">
        <v>3.4054000000000001E-2</v>
      </c>
      <c r="E125" s="26">
        <v>2.8386999999999999E-2</v>
      </c>
      <c r="F125" s="26">
        <v>5.0495999999999999E-2</v>
      </c>
      <c r="G125" s="26">
        <v>-1.4589E-2</v>
      </c>
      <c r="H125" s="27">
        <f t="shared" si="11"/>
        <v>2.5339666666666667E-2</v>
      </c>
      <c r="I125" s="20">
        <f t="shared" si="12"/>
        <v>0.8917135147152716</v>
      </c>
      <c r="J125" s="20">
        <f>MAX(I$42:I125)</f>
        <v>1.1409645468253968</v>
      </c>
      <c r="K125" s="7">
        <f t="shared" si="8"/>
        <v>-0.2184564216334659</v>
      </c>
      <c r="L125" s="7" t="str">
        <f t="shared" si="9"/>
        <v/>
      </c>
      <c r="M125" s="7">
        <f t="shared" si="10"/>
        <v>-0.2184564216334659</v>
      </c>
      <c r="N125" s="21" t="str">
        <f t="shared" si="13"/>
        <v/>
      </c>
      <c r="O125" s="21" t="str">
        <f t="shared" si="14"/>
        <v/>
      </c>
      <c r="P125" s="21" t="str">
        <f t="shared" si="15"/>
        <v/>
      </c>
    </row>
    <row r="126" spans="1:16">
      <c r="A126" s="24">
        <v>39113</v>
      </c>
      <c r="B126" s="26">
        <v>2.6757E-2</v>
      </c>
      <c r="C126" s="26">
        <v>3.2855000000000002E-2</v>
      </c>
      <c r="D126" s="26">
        <v>2.0964E-2</v>
      </c>
      <c r="E126" s="26">
        <v>3.3793999999999998E-2</v>
      </c>
      <c r="F126" s="26">
        <v>4.0600000000000002E-3</v>
      </c>
      <c r="G126" s="26">
        <v>-9.469E-3</v>
      </c>
      <c r="H126" s="27">
        <f t="shared" si="11"/>
        <v>2.6423666666666665E-2</v>
      </c>
      <c r="I126" s="20">
        <f t="shared" si="12"/>
        <v>0.91527585539026968</v>
      </c>
      <c r="J126" s="20">
        <f>MAX(I$42:I126)</f>
        <v>1.1409645468253968</v>
      </c>
      <c r="K126" s="7">
        <f t="shared" si="8"/>
        <v>-0.19780517463323477</v>
      </c>
      <c r="L126" s="7" t="str">
        <f t="shared" si="9"/>
        <v/>
      </c>
      <c r="M126" s="7">
        <f t="shared" si="10"/>
        <v>-0.19780517463323477</v>
      </c>
      <c r="N126" s="21" t="str">
        <f t="shared" si="13"/>
        <v/>
      </c>
      <c r="O126" s="21" t="str">
        <f t="shared" si="14"/>
        <v/>
      </c>
      <c r="P126" s="21" t="str">
        <f t="shared" si="15"/>
        <v/>
      </c>
    </row>
    <row r="127" spans="1:16">
      <c r="A127" s="24">
        <v>39141</v>
      </c>
      <c r="B127" s="26">
        <v>-2.1401E-2</v>
      </c>
      <c r="C127" s="26">
        <v>-3.4936000000000002E-2</v>
      </c>
      <c r="D127" s="26">
        <v>-8.4069999999999995E-3</v>
      </c>
      <c r="E127" s="26">
        <v>-6.1840000000000003E-3</v>
      </c>
      <c r="F127" s="26">
        <v>-2.2114000000000002E-2</v>
      </c>
      <c r="G127" s="26">
        <v>1.4730999999999999E-2</v>
      </c>
      <c r="H127" s="27">
        <f t="shared" si="11"/>
        <v>-2.1734333333333335E-2</v>
      </c>
      <c r="I127" s="20">
        <f t="shared" si="12"/>
        <v>0.89538294485726577</v>
      </c>
      <c r="J127" s="20">
        <f>MAX(I$42:I127)</f>
        <v>1.1409645468253968</v>
      </c>
      <c r="K127" s="7">
        <f t="shared" si="8"/>
        <v>-0.21524034436603112</v>
      </c>
      <c r="L127" s="7" t="str">
        <f t="shared" si="9"/>
        <v/>
      </c>
      <c r="M127" s="7">
        <f t="shared" si="10"/>
        <v>-0.21524034436603112</v>
      </c>
      <c r="N127" s="21" t="str">
        <f t="shared" si="13"/>
        <v/>
      </c>
      <c r="O127" s="21" t="str">
        <f t="shared" si="14"/>
        <v/>
      </c>
      <c r="P127" s="21" t="str">
        <f t="shared" si="15"/>
        <v/>
      </c>
    </row>
    <row r="128" spans="1:16">
      <c r="A128" s="24">
        <v>39172</v>
      </c>
      <c r="B128" s="26">
        <v>1.0507000000000001E-2</v>
      </c>
      <c r="C128" s="26">
        <v>2.7130000000000001E-3</v>
      </c>
      <c r="D128" s="26">
        <v>1.7765E-2</v>
      </c>
      <c r="E128" s="26">
        <v>1.3442000000000001E-2</v>
      </c>
      <c r="F128" s="26">
        <v>3.1711999999999997E-2</v>
      </c>
      <c r="G128" s="26">
        <v>-4.6699999999999997E-3</v>
      </c>
      <c r="H128" s="27">
        <f t="shared" si="11"/>
        <v>1.0173666666666668E-2</v>
      </c>
      <c r="I128" s="20">
        <f t="shared" si="12"/>
        <v>0.90449227247726205</v>
      </c>
      <c r="J128" s="20">
        <f>MAX(I$42:I128)</f>
        <v>1.1409645468253968</v>
      </c>
      <c r="K128" s="7">
        <f t="shared" si="8"/>
        <v>-0.20725646121616292</v>
      </c>
      <c r="L128" s="7" t="str">
        <f t="shared" si="9"/>
        <v/>
      </c>
      <c r="M128" s="7">
        <f t="shared" si="10"/>
        <v>-0.20725646121616292</v>
      </c>
      <c r="N128" s="21" t="str">
        <f t="shared" si="13"/>
        <v/>
      </c>
      <c r="O128" s="21" t="str">
        <f t="shared" si="14"/>
        <v/>
      </c>
      <c r="P128" s="21" t="str">
        <f t="shared" si="15"/>
        <v/>
      </c>
    </row>
    <row r="129" spans="1:16">
      <c r="A129" s="24">
        <v>39202</v>
      </c>
      <c r="B129" s="26">
        <v>1.8402000000000002E-2</v>
      </c>
      <c r="C129" s="26">
        <v>1.6905E-2</v>
      </c>
      <c r="D129" s="26">
        <v>1.9779999999999999E-2</v>
      </c>
      <c r="E129" s="26">
        <v>1.1681E-2</v>
      </c>
      <c r="F129" s="26">
        <v>2.1652000000000001E-2</v>
      </c>
      <c r="G129" s="26">
        <v>-1.0082000000000001E-2</v>
      </c>
      <c r="H129" s="27">
        <f t="shared" si="11"/>
        <v>1.8068666666666667E-2</v>
      </c>
      <c r="I129" s="20">
        <f t="shared" si="12"/>
        <v>0.92083524185122956</v>
      </c>
      <c r="J129" s="20">
        <f>MAX(I$42:I129)</f>
        <v>1.1409645468253968</v>
      </c>
      <c r="K129" s="7">
        <f t="shared" si="8"/>
        <v>-0.19293264246172404</v>
      </c>
      <c r="L129" s="7" t="str">
        <f t="shared" si="9"/>
        <v/>
      </c>
      <c r="M129" s="7">
        <f t="shared" si="10"/>
        <v>-0.19293264246172404</v>
      </c>
      <c r="N129" s="21" t="str">
        <f t="shared" si="13"/>
        <v/>
      </c>
      <c r="O129" s="21" t="str">
        <f t="shared" si="14"/>
        <v/>
      </c>
      <c r="P129" s="21" t="str">
        <f t="shared" si="15"/>
        <v/>
      </c>
    </row>
    <row r="130" spans="1:16">
      <c r="A130" s="24">
        <v>39233</v>
      </c>
      <c r="B130" s="26">
        <v>4.2604999999999997E-2</v>
      </c>
      <c r="C130" s="26">
        <v>4.9022999999999997E-2</v>
      </c>
      <c r="D130" s="26">
        <v>3.6693000000000003E-2</v>
      </c>
      <c r="E130" s="26">
        <v>3.8504999999999998E-2</v>
      </c>
      <c r="F130" s="26">
        <v>6.3425999999999996E-2</v>
      </c>
      <c r="G130" s="26">
        <v>-9.0460000000000002E-3</v>
      </c>
      <c r="H130" s="27">
        <f t="shared" si="11"/>
        <v>4.2271666666666666E-2</v>
      </c>
      <c r="I130" s="20">
        <f t="shared" si="12"/>
        <v>0.95976048224968413</v>
      </c>
      <c r="J130" s="20">
        <f>MAX(I$42:I130)</f>
        <v>1.1409645468253968</v>
      </c>
      <c r="K130" s="7">
        <f t="shared" si="8"/>
        <v>-0.15881656014631851</v>
      </c>
      <c r="L130" s="7" t="str">
        <f t="shared" si="9"/>
        <v/>
      </c>
      <c r="M130" s="7">
        <f t="shared" si="10"/>
        <v>-0.15881656014631851</v>
      </c>
      <c r="N130" s="21" t="str">
        <f t="shared" si="13"/>
        <v/>
      </c>
      <c r="O130" s="21" t="str">
        <f t="shared" si="14"/>
        <v/>
      </c>
      <c r="P130" s="21" t="str">
        <f t="shared" si="15"/>
        <v/>
      </c>
    </row>
    <row r="131" spans="1:16">
      <c r="A131" s="24">
        <v>39263</v>
      </c>
      <c r="B131" s="26">
        <v>-1.1315E-2</v>
      </c>
      <c r="C131" s="26">
        <v>-2.0643999999999999E-2</v>
      </c>
      <c r="D131" s="26">
        <v>-2.6250000000000002E-3</v>
      </c>
      <c r="E131" s="26">
        <v>-1.4086E-2</v>
      </c>
      <c r="F131" s="26">
        <v>4.308E-2</v>
      </c>
      <c r="G131" s="26">
        <v>-9.5910000000000006E-3</v>
      </c>
      <c r="H131" s="27">
        <f t="shared" si="11"/>
        <v>-1.1648333333333333E-2</v>
      </c>
      <c r="I131" s="20">
        <f t="shared" si="12"/>
        <v>0.94858087223227905</v>
      </c>
      <c r="J131" s="20">
        <f>MAX(I$42:I131)</f>
        <v>1.1409645468253968</v>
      </c>
      <c r="K131" s="7">
        <f t="shared" si="8"/>
        <v>-0.16861494524821419</v>
      </c>
      <c r="L131" s="7" t="str">
        <f t="shared" si="9"/>
        <v/>
      </c>
      <c r="M131" s="7">
        <f t="shared" si="10"/>
        <v>-0.16861494524821419</v>
      </c>
      <c r="N131" s="21" t="str">
        <f t="shared" si="13"/>
        <v/>
      </c>
      <c r="O131" s="21" t="str">
        <f t="shared" si="14"/>
        <v/>
      </c>
      <c r="P131" s="21" t="str">
        <f t="shared" si="15"/>
        <v/>
      </c>
    </row>
    <row r="132" spans="1:16">
      <c r="A132" s="24">
        <v>39294</v>
      </c>
      <c r="B132" s="26">
        <v>-3.5217999999999999E-2</v>
      </c>
      <c r="C132" s="26">
        <v>-4.4201999999999998E-2</v>
      </c>
      <c r="D132" s="26">
        <v>-2.7009999999999999E-2</v>
      </c>
      <c r="E132" s="26">
        <v>-3.4029999999999998E-2</v>
      </c>
      <c r="F132" s="26">
        <v>3.8688E-2</v>
      </c>
      <c r="G132" s="26">
        <v>1.8834E-2</v>
      </c>
      <c r="H132" s="27">
        <f t="shared" si="11"/>
        <v>-3.5551333333333331E-2</v>
      </c>
      <c r="I132" s="20">
        <f t="shared" si="12"/>
        <v>0.91485755744992514</v>
      </c>
      <c r="J132" s="20">
        <f>MAX(I$42:I132)</f>
        <v>1.1409645468253968</v>
      </c>
      <c r="K132" s="7">
        <f t="shared" si="8"/>
        <v>-0.19817179245804661</v>
      </c>
      <c r="L132" s="7" t="str">
        <f t="shared" si="9"/>
        <v/>
      </c>
      <c r="M132" s="7">
        <f t="shared" si="10"/>
        <v>-0.19817179245804661</v>
      </c>
      <c r="N132" s="21" t="str">
        <f t="shared" si="13"/>
        <v/>
      </c>
      <c r="O132" s="21" t="str">
        <f t="shared" si="14"/>
        <v/>
      </c>
      <c r="P132" s="21" t="str">
        <f t="shared" si="15"/>
        <v/>
      </c>
    </row>
    <row r="133" spans="1:16">
      <c r="A133" s="24">
        <v>39325</v>
      </c>
      <c r="B133" s="26">
        <v>3.3419999999999999E-3</v>
      </c>
      <c r="C133" s="26">
        <v>1.8717999999999999E-2</v>
      </c>
      <c r="D133" s="26">
        <v>-1.0429000000000001E-2</v>
      </c>
      <c r="E133" s="26">
        <v>-1.0288E-2</v>
      </c>
      <c r="F133" s="26">
        <v>-1.7229999999999999E-2</v>
      </c>
      <c r="G133" s="26">
        <v>8.4320000000000003E-3</v>
      </c>
      <c r="H133" s="27">
        <f t="shared" si="11"/>
        <v>3.0086666666666664E-3</v>
      </c>
      <c r="I133" s="20">
        <f t="shared" si="12"/>
        <v>0.91761005888777281</v>
      </c>
      <c r="J133" s="20">
        <f>MAX(I$42:I133)</f>
        <v>1.1409645468253968</v>
      </c>
      <c r="K133" s="7">
        <f t="shared" si="8"/>
        <v>-0.19575935865762206</v>
      </c>
      <c r="L133" s="7" t="str">
        <f t="shared" si="9"/>
        <v/>
      </c>
      <c r="M133" s="7">
        <f t="shared" si="10"/>
        <v>-0.19575935865762206</v>
      </c>
      <c r="N133" s="21" t="str">
        <f t="shared" si="13"/>
        <v/>
      </c>
      <c r="O133" s="21" t="str">
        <f t="shared" si="14"/>
        <v/>
      </c>
      <c r="P133" s="21" t="str">
        <f t="shared" si="15"/>
        <v/>
      </c>
    </row>
    <row r="134" spans="1:16">
      <c r="A134" s="24">
        <v>39355</v>
      </c>
      <c r="B134" s="26">
        <v>4.1710000000000002E-3</v>
      </c>
      <c r="C134" s="26">
        <v>-5.4819999999999999E-3</v>
      </c>
      <c r="D134" s="26">
        <v>1.3047E-2</v>
      </c>
      <c r="E134" s="26">
        <v>-4.9449999999999997E-3</v>
      </c>
      <c r="F134" s="26">
        <v>6.4447000000000004E-2</v>
      </c>
      <c r="G134" s="26">
        <v>-1.8879999999999999E-3</v>
      </c>
      <c r="H134" s="27">
        <f t="shared" si="11"/>
        <v>3.8376666666666667E-3</v>
      </c>
      <c r="I134" s="20">
        <f t="shared" si="12"/>
        <v>0.92113154042376444</v>
      </c>
      <c r="J134" s="20">
        <f>MAX(I$42:I134)</f>
        <v>1.1409645468253968</v>
      </c>
      <c r="K134" s="7">
        <f t="shared" si="8"/>
        <v>-0.19267295115636374</v>
      </c>
      <c r="L134" s="7" t="str">
        <f t="shared" si="9"/>
        <v/>
      </c>
      <c r="M134" s="7">
        <f t="shared" si="10"/>
        <v>-0.19267295115636374</v>
      </c>
      <c r="N134" s="21" t="str">
        <f t="shared" si="13"/>
        <v/>
      </c>
      <c r="O134" s="21" t="str">
        <f t="shared" si="14"/>
        <v/>
      </c>
      <c r="P134" s="21" t="str">
        <f t="shared" si="15"/>
        <v/>
      </c>
    </row>
    <row r="135" spans="1:16">
      <c r="A135" s="24">
        <v>39386</v>
      </c>
      <c r="B135" s="26">
        <v>1.3148E-2</v>
      </c>
      <c r="C135" s="26">
        <v>-7.3700000000000002E-4</v>
      </c>
      <c r="D135" s="26">
        <v>2.5728999999999998E-2</v>
      </c>
      <c r="E135" s="26">
        <v>1.3671000000000001E-2</v>
      </c>
      <c r="F135" s="26">
        <v>9.2621999999999996E-2</v>
      </c>
      <c r="G135" s="26">
        <v>1.481E-2</v>
      </c>
      <c r="H135" s="27">
        <f t="shared" si="11"/>
        <v>1.2814666666666667E-2</v>
      </c>
      <c r="I135" s="20">
        <f t="shared" si="12"/>
        <v>0.93293553407044816</v>
      </c>
      <c r="J135" s="20">
        <f>MAX(I$42:I135)</f>
        <v>1.1409645468253968</v>
      </c>
      <c r="K135" s="7">
        <f t="shared" si="8"/>
        <v>-0.18232732413444885</v>
      </c>
      <c r="L135" s="7" t="str">
        <f t="shared" si="9"/>
        <v/>
      </c>
      <c r="M135" s="7">
        <f t="shared" si="10"/>
        <v>-0.18232732413444885</v>
      </c>
      <c r="N135" s="21" t="str">
        <f t="shared" si="13"/>
        <v/>
      </c>
      <c r="O135" s="21" t="str">
        <f t="shared" si="14"/>
        <v/>
      </c>
      <c r="P135" s="21" t="str">
        <f t="shared" si="15"/>
        <v/>
      </c>
    </row>
    <row r="136" spans="1:16">
      <c r="A136" s="24">
        <v>39416</v>
      </c>
      <c r="B136" s="26">
        <v>-5.4665999999999999E-2</v>
      </c>
      <c r="C136" s="26">
        <v>-5.6640999999999997E-2</v>
      </c>
      <c r="D136" s="26">
        <v>-5.2919000000000001E-2</v>
      </c>
      <c r="E136" s="26">
        <v>-6.6411999999999999E-2</v>
      </c>
      <c r="F136" s="26">
        <v>-8.4259000000000001E-2</v>
      </c>
      <c r="G136" s="26">
        <v>9.953E-3</v>
      </c>
      <c r="H136" s="27">
        <f t="shared" si="11"/>
        <v>-5.4999333333333331E-2</v>
      </c>
      <c r="I136" s="20">
        <f t="shared" si="12"/>
        <v>0.8816247016535963</v>
      </c>
      <c r="J136" s="20">
        <f>MAX(I$42:I136)</f>
        <v>1.1409645468253968</v>
      </c>
      <c r="K136" s="7">
        <f t="shared" si="8"/>
        <v>-0.22729877619193684</v>
      </c>
      <c r="L136" s="7" t="str">
        <f t="shared" si="9"/>
        <v/>
      </c>
      <c r="M136" s="7">
        <f t="shared" si="10"/>
        <v>-0.22729877619193684</v>
      </c>
      <c r="N136" s="21" t="str">
        <f t="shared" si="13"/>
        <v/>
      </c>
      <c r="O136" s="21" t="str">
        <f t="shared" si="14"/>
        <v/>
      </c>
      <c r="P136" s="21" t="str">
        <f t="shared" si="15"/>
        <v/>
      </c>
    </row>
    <row r="137" spans="1:16">
      <c r="A137" s="24">
        <v>39447</v>
      </c>
      <c r="B137" s="26">
        <v>-8.9849999999999999E-3</v>
      </c>
      <c r="C137" s="26">
        <v>-2.2680000000000001E-3</v>
      </c>
      <c r="D137" s="26">
        <v>-1.4907999999999999E-2</v>
      </c>
      <c r="E137" s="26">
        <v>-1.5428000000000001E-2</v>
      </c>
      <c r="F137" s="26">
        <v>7.5050000000000004E-3</v>
      </c>
      <c r="G137" s="26">
        <v>-1.618E-2</v>
      </c>
      <c r="H137" s="27">
        <f t="shared" si="11"/>
        <v>-9.318333333333333E-3</v>
      </c>
      <c r="I137" s="20">
        <f t="shared" si="12"/>
        <v>0.87340942880868755</v>
      </c>
      <c r="J137" s="20">
        <f>MAX(I$42:I137)</f>
        <v>1.1409645468253968</v>
      </c>
      <c r="K137" s="7">
        <f t="shared" si="8"/>
        <v>-0.234499063762455</v>
      </c>
      <c r="L137" s="7" t="str">
        <f t="shared" si="9"/>
        <v/>
      </c>
      <c r="M137" s="7">
        <f t="shared" si="10"/>
        <v>-0.234499063762455</v>
      </c>
      <c r="N137" s="21" t="str">
        <f t="shared" si="13"/>
        <v/>
      </c>
      <c r="O137" s="21" t="str">
        <f t="shared" si="14"/>
        <v/>
      </c>
      <c r="P137" s="21" t="str">
        <f t="shared" si="15"/>
        <v/>
      </c>
    </row>
    <row r="138" spans="1:16">
      <c r="A138" s="24">
        <v>39478</v>
      </c>
      <c r="B138" s="26">
        <v>-8.7991E-2</v>
      </c>
      <c r="C138" s="26">
        <v>-7.2800000000000004E-2</v>
      </c>
      <c r="D138" s="26">
        <v>-0.10156</v>
      </c>
      <c r="E138" s="26">
        <v>-8.5250999999999993E-2</v>
      </c>
      <c r="F138" s="26">
        <v>-0.13575799999999999</v>
      </c>
      <c r="G138" s="26">
        <v>3.2573999999999999E-2</v>
      </c>
      <c r="H138" s="27">
        <f t="shared" si="11"/>
        <v>-8.8324333333333338E-2</v>
      </c>
      <c r="I138" s="20">
        <f t="shared" si="12"/>
        <v>0.79626612328211277</v>
      </c>
      <c r="J138" s="20">
        <f>MAX(I$42:I138)</f>
        <v>1.1409645468253968</v>
      </c>
      <c r="K138" s="7">
        <f t="shared" si="8"/>
        <v>-0.30211142362167864</v>
      </c>
      <c r="L138" s="7" t="str">
        <f t="shared" si="9"/>
        <v/>
      </c>
      <c r="M138" s="7">
        <f t="shared" si="10"/>
        <v>-0.30211142362167864</v>
      </c>
      <c r="N138" s="21" t="str">
        <f t="shared" si="13"/>
        <v/>
      </c>
      <c r="O138" s="21" t="str">
        <f t="shared" si="14"/>
        <v/>
      </c>
      <c r="P138" s="21" t="str">
        <f t="shared" si="15"/>
        <v/>
      </c>
    </row>
    <row r="139" spans="1:16">
      <c r="A139" s="24">
        <v>39507</v>
      </c>
      <c r="B139" s="26">
        <v>-3.0342000000000001E-2</v>
      </c>
      <c r="C139" s="26">
        <v>-5.5661000000000002E-2</v>
      </c>
      <c r="D139" s="26">
        <v>-7.0270000000000003E-3</v>
      </c>
      <c r="E139" s="26">
        <v>-1.8620999999999999E-2</v>
      </c>
      <c r="F139" s="26">
        <v>4.7287000000000003E-2</v>
      </c>
      <c r="G139" s="26">
        <v>3.4169999999999999E-3</v>
      </c>
      <c r="H139" s="27">
        <f t="shared" si="11"/>
        <v>-3.0675333333333336E-2</v>
      </c>
      <c r="I139" s="20">
        <f t="shared" si="12"/>
        <v>0.77184039452839281</v>
      </c>
      <c r="J139" s="20">
        <f>MAX(I$42:I139)</f>
        <v>1.1409645468253968</v>
      </c>
      <c r="K139" s="7">
        <f t="shared" si="8"/>
        <v>-0.3235193883316092</v>
      </c>
      <c r="L139" s="7" t="str">
        <f t="shared" si="9"/>
        <v/>
      </c>
      <c r="M139" s="7">
        <f t="shared" si="10"/>
        <v>-0.3235193883316092</v>
      </c>
      <c r="N139" s="21" t="str">
        <f t="shared" si="13"/>
        <v/>
      </c>
      <c r="O139" s="21" t="str">
        <f t="shared" si="14"/>
        <v/>
      </c>
      <c r="P139" s="21" t="str">
        <f t="shared" si="15"/>
        <v/>
      </c>
    </row>
    <row r="140" spans="1:16">
      <c r="A140" s="24">
        <v>39538</v>
      </c>
      <c r="B140" s="26">
        <v>-5.1119999999999999E-2</v>
      </c>
      <c r="C140" s="26">
        <v>-4.5929999999999999E-2</v>
      </c>
      <c r="D140" s="26">
        <v>-5.5613999999999997E-2</v>
      </c>
      <c r="E140" s="26">
        <v>-5.3768000000000003E-2</v>
      </c>
      <c r="F140" s="26">
        <v>-9.2638999999999999E-2</v>
      </c>
      <c r="G140" s="26">
        <v>1.815E-3</v>
      </c>
      <c r="H140" s="27">
        <f t="shared" si="11"/>
        <v>-5.145333333333333E-2</v>
      </c>
      <c r="I140" s="20">
        <f t="shared" si="12"/>
        <v>0.73212663342859186</v>
      </c>
      <c r="J140" s="20">
        <f>MAX(I$42:I140)</f>
        <v>1.1409645468253968</v>
      </c>
      <c r="K140" s="7">
        <f t="shared" si="8"/>
        <v>-0.3583265707373201</v>
      </c>
      <c r="L140" s="7" t="str">
        <f t="shared" si="9"/>
        <v/>
      </c>
      <c r="M140" s="7">
        <f t="shared" si="10"/>
        <v>-0.3583265707373201</v>
      </c>
      <c r="N140" s="21" t="str">
        <f t="shared" si="13"/>
        <v/>
      </c>
      <c r="O140" s="21" t="str">
        <f t="shared" si="14"/>
        <v/>
      </c>
      <c r="P140" s="21" t="str">
        <f t="shared" si="15"/>
        <v/>
      </c>
    </row>
    <row r="141" spans="1:16">
      <c r="A141" s="24">
        <v>39568</v>
      </c>
      <c r="B141" s="26">
        <v>7.1253999999999998E-2</v>
      </c>
      <c r="C141" s="26">
        <v>6.7777000000000004E-2</v>
      </c>
      <c r="D141" s="26">
        <v>7.4335999999999999E-2</v>
      </c>
      <c r="E141" s="26">
        <v>6.2373999999999999E-2</v>
      </c>
      <c r="F141" s="26">
        <v>0.100357</v>
      </c>
      <c r="G141" s="26">
        <v>-1.3211000000000001E-2</v>
      </c>
      <c r="H141" s="27">
        <f t="shared" si="11"/>
        <v>7.092066666666666E-2</v>
      </c>
      <c r="I141" s="20">
        <f t="shared" si="12"/>
        <v>0.78404954235576985</v>
      </c>
      <c r="J141" s="20">
        <f>MAX(I$42:I141)</f>
        <v>1.1409645468253968</v>
      </c>
      <c r="K141" s="7">
        <f t="shared" si="8"/>
        <v>-0.3128186633517247</v>
      </c>
      <c r="L141" s="7" t="str">
        <f t="shared" si="9"/>
        <v/>
      </c>
      <c r="M141" s="7">
        <f t="shared" si="10"/>
        <v>-0.3128186633517247</v>
      </c>
      <c r="N141" s="21" t="str">
        <f t="shared" si="13"/>
        <v/>
      </c>
      <c r="O141" s="21" t="str">
        <f t="shared" si="14"/>
        <v/>
      </c>
      <c r="P141" s="21" t="str">
        <f t="shared" si="15"/>
        <v/>
      </c>
    </row>
    <row r="142" spans="1:16">
      <c r="A142" s="24">
        <v>39599</v>
      </c>
      <c r="B142" s="26">
        <v>1.7108000000000002E-2</v>
      </c>
      <c r="C142" s="26">
        <v>1.7186E-2</v>
      </c>
      <c r="D142" s="26">
        <v>1.7037E-2</v>
      </c>
      <c r="E142" s="26">
        <v>2.1751E-2</v>
      </c>
      <c r="F142" s="26">
        <v>2.0419E-2</v>
      </c>
      <c r="G142" s="26">
        <v>-1.3642E-2</v>
      </c>
      <c r="H142" s="27">
        <f t="shared" si="11"/>
        <v>1.6774666666666667E-2</v>
      </c>
      <c r="I142" s="20">
        <f t="shared" si="12"/>
        <v>0.79720171207894042</v>
      </c>
      <c r="J142" s="20">
        <f>MAX(I$42:I142)</f>
        <v>1.1409645468253968</v>
      </c>
      <c r="K142" s="7">
        <f t="shared" si="8"/>
        <v>-0.30129142548989551</v>
      </c>
      <c r="L142" s="7" t="str">
        <f t="shared" si="9"/>
        <v/>
      </c>
      <c r="M142" s="7">
        <f t="shared" si="10"/>
        <v>-0.30129142548989551</v>
      </c>
      <c r="N142" s="21" t="str">
        <f t="shared" si="13"/>
        <v/>
      </c>
      <c r="O142" s="21" t="str">
        <f t="shared" si="14"/>
        <v/>
      </c>
      <c r="P142" s="21" t="str">
        <f t="shared" si="15"/>
        <v/>
      </c>
    </row>
    <row r="143" spans="1:16">
      <c r="A143" s="24">
        <v>39629</v>
      </c>
      <c r="B143" s="26">
        <v>-9.2313999999999993E-2</v>
      </c>
      <c r="C143" s="26">
        <v>-9.4520000000000007E-2</v>
      </c>
      <c r="D143" s="26">
        <v>-9.0346999999999997E-2</v>
      </c>
      <c r="E143" s="26">
        <v>-0.10434</v>
      </c>
      <c r="F143" s="26">
        <v>-0.112038</v>
      </c>
      <c r="G143" s="26">
        <v>-9.4280000000000006E-3</v>
      </c>
      <c r="H143" s="27">
        <f t="shared" si="11"/>
        <v>-9.2647333333333332E-2</v>
      </c>
      <c r="I143" s="20">
        <f t="shared" si="12"/>
        <v>0.72334309932605878</v>
      </c>
      <c r="J143" s="20">
        <f>MAX(I$42:I143)</f>
        <v>1.1409645468253968</v>
      </c>
      <c r="K143" s="7">
        <f t="shared" si="8"/>
        <v>-0.36602491169539131</v>
      </c>
      <c r="L143" s="7" t="str">
        <f t="shared" si="9"/>
        <v/>
      </c>
      <c r="M143" s="7">
        <f t="shared" si="10"/>
        <v>-0.36602491169539131</v>
      </c>
      <c r="N143" s="21" t="str">
        <f t="shared" si="13"/>
        <v/>
      </c>
      <c r="O143" s="21" t="str">
        <f t="shared" si="14"/>
        <v/>
      </c>
      <c r="P143" s="21" t="str">
        <f t="shared" si="15"/>
        <v/>
      </c>
    </row>
    <row r="144" spans="1:16">
      <c r="A144" s="24">
        <v>39660</v>
      </c>
      <c r="B144" s="26">
        <v>-1.487E-2</v>
      </c>
      <c r="C144" s="26">
        <v>-2.1540000000000001E-3</v>
      </c>
      <c r="D144" s="26">
        <v>-2.6134000000000001E-2</v>
      </c>
      <c r="E144" s="26">
        <v>-2.2107999999999999E-2</v>
      </c>
      <c r="F144" s="26">
        <v>-2.8284E-2</v>
      </c>
      <c r="G144" s="26">
        <v>1.6473000000000002E-2</v>
      </c>
      <c r="H144" s="27">
        <f t="shared" si="11"/>
        <v>-1.5203333333333333E-2</v>
      </c>
      <c r="I144" s="20">
        <f t="shared" si="12"/>
        <v>0.7123458730726383</v>
      </c>
      <c r="J144" s="20">
        <f>MAX(I$42:I144)</f>
        <v>1.1409645468253968</v>
      </c>
      <c r="K144" s="7">
        <f t="shared" si="8"/>
        <v>-0.3756634462879157</v>
      </c>
      <c r="L144" s="7" t="str">
        <f t="shared" si="9"/>
        <v/>
      </c>
      <c r="M144" s="7">
        <f t="shared" si="10"/>
        <v>-0.3756634462879157</v>
      </c>
      <c r="N144" s="21" t="str">
        <f t="shared" si="13"/>
        <v/>
      </c>
      <c r="O144" s="21" t="str">
        <f t="shared" si="14"/>
        <v/>
      </c>
      <c r="P144" s="21" t="str">
        <f t="shared" si="15"/>
        <v/>
      </c>
    </row>
    <row r="145" spans="1:16">
      <c r="A145" s="24">
        <v>39691</v>
      </c>
      <c r="B145" s="26">
        <v>4.4880000000000003E-2</v>
      </c>
      <c r="C145" s="26">
        <v>7.3594999999999994E-2</v>
      </c>
      <c r="D145" s="26">
        <v>1.8794999999999999E-2</v>
      </c>
      <c r="E145" s="26">
        <v>4.5876E-2</v>
      </c>
      <c r="F145" s="26">
        <v>-2.4877E-2</v>
      </c>
      <c r="G145" s="26">
        <v>2.6852999999999998E-2</v>
      </c>
      <c r="H145" s="27">
        <f t="shared" si="11"/>
        <v>4.4546666666666672E-2</v>
      </c>
      <c r="I145" s="20">
        <f t="shared" si="12"/>
        <v>0.74407850723178082</v>
      </c>
      <c r="J145" s="20">
        <f>MAX(I$42:I145)</f>
        <v>1.1409645468253968</v>
      </c>
      <c r="K145" s="7">
        <f t="shared" si="8"/>
        <v>-0.34785133394188794</v>
      </c>
      <c r="L145" s="7" t="str">
        <f t="shared" si="9"/>
        <v/>
      </c>
      <c r="M145" s="7">
        <f t="shared" si="10"/>
        <v>-0.34785133394188794</v>
      </c>
      <c r="N145" s="21" t="str">
        <f t="shared" si="13"/>
        <v/>
      </c>
      <c r="O145" s="21" t="str">
        <f t="shared" si="14"/>
        <v/>
      </c>
      <c r="P145" s="21" t="str">
        <f t="shared" si="15"/>
        <v/>
      </c>
    </row>
    <row r="146" spans="1:16">
      <c r="A146" s="24">
        <v>39721</v>
      </c>
      <c r="B146" s="26">
        <v>-7.6535000000000006E-2</v>
      </c>
      <c r="C146" s="26">
        <v>-4.8538999999999999E-2</v>
      </c>
      <c r="D146" s="26">
        <v>-0.103204</v>
      </c>
      <c r="E146" s="26">
        <v>-9.4616000000000006E-2</v>
      </c>
      <c r="F146" s="26">
        <v>-0.135297</v>
      </c>
      <c r="G146" s="26">
        <v>5.1500000000000001E-3</v>
      </c>
      <c r="H146" s="27">
        <f t="shared" si="11"/>
        <v>-7.6868333333333344E-2</v>
      </c>
      <c r="I146" s="20">
        <f t="shared" si="12"/>
        <v>0.68688243251171921</v>
      </c>
      <c r="J146" s="20">
        <f>MAX(I$42:I146)</f>
        <v>1.1409645468253968</v>
      </c>
      <c r="K146" s="7">
        <f t="shared" si="8"/>
        <v>-0.39798091498733168</v>
      </c>
      <c r="L146" s="7" t="str">
        <f t="shared" si="9"/>
        <v/>
      </c>
      <c r="M146" s="7">
        <f t="shared" si="10"/>
        <v>-0.39798091498733168</v>
      </c>
      <c r="N146" s="21" t="str">
        <f t="shared" si="13"/>
        <v/>
      </c>
      <c r="O146" s="21" t="str">
        <f t="shared" si="14"/>
        <v/>
      </c>
      <c r="P146" s="21" t="str">
        <f t="shared" si="15"/>
        <v/>
      </c>
    </row>
    <row r="147" spans="1:16">
      <c r="A147" s="24">
        <v>39752</v>
      </c>
      <c r="B147" s="26">
        <v>-0.102293</v>
      </c>
      <c r="C147" s="26">
        <v>-8.2199999999999995E-2</v>
      </c>
      <c r="D147" s="26">
        <v>-0.122706</v>
      </c>
      <c r="E147" s="26">
        <v>-0.137736</v>
      </c>
      <c r="F147" s="26">
        <v>-0.195438</v>
      </c>
      <c r="G147" s="26">
        <v>1.7181999999999999E-2</v>
      </c>
      <c r="H147" s="27">
        <f t="shared" si="11"/>
        <v>-0.10262633333333333</v>
      </c>
      <c r="I147" s="20">
        <f t="shared" si="12"/>
        <v>0.61639020703196068</v>
      </c>
      <c r="J147" s="20">
        <f>MAX(I$42:I147)</f>
        <v>1.1409645468253968</v>
      </c>
      <c r="K147" s="7">
        <f t="shared" si="8"/>
        <v>-0.45976392627887008</v>
      </c>
      <c r="L147" s="7" t="str">
        <f t="shared" si="9"/>
        <v/>
      </c>
      <c r="M147" s="7">
        <f t="shared" si="10"/>
        <v>-0.45976392627887008</v>
      </c>
      <c r="N147" s="21" t="str">
        <f t="shared" si="13"/>
        <v/>
      </c>
      <c r="O147" s="21" t="str">
        <f t="shared" si="14"/>
        <v/>
      </c>
      <c r="P147" s="21" t="str">
        <f t="shared" si="15"/>
        <v/>
      </c>
    </row>
    <row r="148" spans="1:16">
      <c r="A148" s="24">
        <v>39782</v>
      </c>
      <c r="B148" s="26">
        <v>-6.5360000000000001E-2</v>
      </c>
      <c r="C148" s="26">
        <v>-7.5303999999999996E-2</v>
      </c>
      <c r="D148" s="26">
        <v>-5.4863000000000002E-2</v>
      </c>
      <c r="E148" s="26">
        <v>-4.8406999999999999E-2</v>
      </c>
      <c r="F148" s="26">
        <v>-7.5895000000000004E-2</v>
      </c>
      <c r="G148" s="26">
        <v>4.8752999999999998E-2</v>
      </c>
      <c r="H148" s="27">
        <f t="shared" si="11"/>
        <v>-6.569333333333334E-2</v>
      </c>
      <c r="I148" s="20">
        <f t="shared" si="12"/>
        <v>0.57589747969800775</v>
      </c>
      <c r="J148" s="20">
        <f>MAX(I$42:I148)</f>
        <v>1.1409645468253968</v>
      </c>
      <c r="K148" s="7">
        <f t="shared" si="8"/>
        <v>-0.49525383474852347</v>
      </c>
      <c r="L148" s="7" t="str">
        <f t="shared" si="9"/>
        <v/>
      </c>
      <c r="M148" s="7">
        <f t="shared" si="10"/>
        <v>-0.49525383474852347</v>
      </c>
      <c r="N148" s="21" t="str">
        <f t="shared" si="13"/>
        <v/>
      </c>
      <c r="O148" s="21" t="str">
        <f t="shared" si="14"/>
        <v/>
      </c>
      <c r="P148" s="21" t="str">
        <f t="shared" si="15"/>
        <v/>
      </c>
    </row>
    <row r="149" spans="1:16">
      <c r="A149" s="24">
        <v>39813</v>
      </c>
      <c r="B149" s="26">
        <v>-5.7873000000000001E-2</v>
      </c>
      <c r="C149" s="26">
        <v>-7.6088000000000003E-2</v>
      </c>
      <c r="D149" s="26">
        <v>-3.9036000000000001E-2</v>
      </c>
      <c r="E149" s="26">
        <v>-3.1808999999999997E-2</v>
      </c>
      <c r="F149" s="26">
        <v>-1.5959999999999998E-2</v>
      </c>
      <c r="G149" s="26">
        <v>2.3817000000000001E-2</v>
      </c>
      <c r="H149" s="27">
        <f t="shared" si="11"/>
        <v>-5.8206333333333332E-2</v>
      </c>
      <c r="I149" s="20">
        <f t="shared" si="12"/>
        <v>0.54237659902887891</v>
      </c>
      <c r="J149" s="20">
        <f>MAX(I$42:I149)</f>
        <v>1.1409645468253968</v>
      </c>
      <c r="K149" s="7">
        <f t="shared" si="8"/>
        <v>-0.52463325829187268</v>
      </c>
      <c r="L149" s="7" t="str">
        <f t="shared" si="9"/>
        <v/>
      </c>
      <c r="M149" s="7">
        <f t="shared" si="10"/>
        <v>-0.52463325829187268</v>
      </c>
      <c r="N149" s="21" t="str">
        <f t="shared" si="13"/>
        <v/>
      </c>
      <c r="O149" s="21" t="str">
        <f t="shared" si="14"/>
        <v/>
      </c>
      <c r="P149" s="21" t="str">
        <f t="shared" si="15"/>
        <v/>
      </c>
    </row>
    <row r="150" spans="1:16">
      <c r="A150" s="24">
        <v>39844</v>
      </c>
      <c r="B150" s="26">
        <v>-1.0312E-2</v>
      </c>
      <c r="C150" s="26">
        <v>-4.0800000000000003E-3</v>
      </c>
      <c r="D150" s="26">
        <v>-1.6499E-2</v>
      </c>
      <c r="E150" s="26">
        <v>-7.1939999999999999E-3</v>
      </c>
      <c r="F150" s="26">
        <v>1.4659E-2</v>
      </c>
      <c r="G150" s="26">
        <v>-2.7595000000000001E-2</v>
      </c>
      <c r="H150" s="27">
        <f t="shared" si="11"/>
        <v>-1.0645333333333333E-2</v>
      </c>
      <c r="I150" s="20">
        <f t="shared" si="12"/>
        <v>0.53660281934001686</v>
      </c>
      <c r="J150" s="20">
        <f>MAX(I$42:I150)</f>
        <v>1.1409645468253968</v>
      </c>
      <c r="K150" s="7">
        <f t="shared" si="8"/>
        <v>-0.52969369571293634</v>
      </c>
      <c r="L150" s="7" t="str">
        <f t="shared" si="9"/>
        <v/>
      </c>
      <c r="M150" s="7">
        <f t="shared" si="10"/>
        <v>-0.52969369571293634</v>
      </c>
      <c r="N150" s="21" t="str">
        <f t="shared" si="13"/>
        <v/>
      </c>
      <c r="O150" s="21" t="str">
        <f t="shared" si="14"/>
        <v/>
      </c>
      <c r="P150" s="21" t="str">
        <f t="shared" si="15"/>
        <v/>
      </c>
    </row>
    <row r="151" spans="1:16">
      <c r="A151" s="24">
        <v>39872</v>
      </c>
      <c r="B151" s="26">
        <v>-9.4269000000000006E-2</v>
      </c>
      <c r="C151" s="26">
        <v>-9.5410999999999996E-2</v>
      </c>
      <c r="D151" s="26">
        <v>-9.3130000000000004E-2</v>
      </c>
      <c r="E151" s="26">
        <v>-9.7930000000000003E-2</v>
      </c>
      <c r="F151" s="26">
        <v>-4.7904000000000002E-2</v>
      </c>
      <c r="G151" s="26">
        <v>1.5429E-2</v>
      </c>
      <c r="H151" s="27">
        <f t="shared" si="11"/>
        <v>-9.4602333333333344E-2</v>
      </c>
      <c r="I151" s="20">
        <f t="shared" si="12"/>
        <v>0.48583894055720611</v>
      </c>
      <c r="J151" s="20">
        <f>MAX(I$42:I151)</f>
        <v>1.1409645468253968</v>
      </c>
      <c r="K151" s="7">
        <f t="shared" si="8"/>
        <v>-0.57418576947986921</v>
      </c>
      <c r="L151" s="7" t="str">
        <f t="shared" si="9"/>
        <v/>
      </c>
      <c r="M151" s="7">
        <f t="shared" si="10"/>
        <v>-0.57418576947986921</v>
      </c>
      <c r="N151" s="21" t="str">
        <f t="shared" si="13"/>
        <v/>
      </c>
      <c r="O151" s="21" t="str">
        <f t="shared" si="14"/>
        <v/>
      </c>
      <c r="P151" s="21" t="str">
        <f t="shared" si="15"/>
        <v/>
      </c>
    </row>
    <row r="152" spans="1:16">
      <c r="A152" s="24">
        <v>39903</v>
      </c>
      <c r="B152" s="26">
        <v>2.8708999999999998E-2</v>
      </c>
      <c r="C152" s="26">
        <v>3.7932E-2</v>
      </c>
      <c r="D152" s="26">
        <v>1.9609000000000001E-2</v>
      </c>
      <c r="E152" s="26">
        <v>4.4207000000000003E-2</v>
      </c>
      <c r="F152" s="26">
        <v>9.4043000000000002E-2</v>
      </c>
      <c r="G152" s="26">
        <v>8.7180000000000001E-3</v>
      </c>
      <c r="H152" s="27">
        <f t="shared" si="11"/>
        <v>2.8375666666666664E-2</v>
      </c>
      <c r="I152" s="20">
        <f t="shared" si="12"/>
        <v>0.49962494438814381</v>
      </c>
      <c r="J152" s="20">
        <f>MAX(I$42:I152)</f>
        <v>1.1409645468253968</v>
      </c>
      <c r="K152" s="7">
        <f t="shared" si="8"/>
        <v>-0.56210300681270686</v>
      </c>
      <c r="L152" s="7" t="str">
        <f t="shared" si="9"/>
        <v/>
      </c>
      <c r="M152" s="7">
        <f t="shared" si="10"/>
        <v>-0.56210300681270686</v>
      </c>
      <c r="N152" s="21" t="str">
        <f t="shared" si="13"/>
        <v/>
      </c>
      <c r="O152" s="21" t="str">
        <f t="shared" si="14"/>
        <v/>
      </c>
      <c r="P152" s="21" t="str">
        <f t="shared" si="15"/>
        <v/>
      </c>
    </row>
    <row r="153" spans="1:16">
      <c r="A153" s="24">
        <v>39933</v>
      </c>
      <c r="B153" s="26">
        <v>0.11437</v>
      </c>
      <c r="C153" s="26">
        <v>9.7650000000000001E-2</v>
      </c>
      <c r="D153" s="26">
        <v>0.13118099999999999</v>
      </c>
      <c r="E153" s="26">
        <v>0.16961100000000001</v>
      </c>
      <c r="F153" s="26">
        <v>0.16870199999999999</v>
      </c>
      <c r="G153" s="26">
        <v>-1.1925E-2</v>
      </c>
      <c r="H153" s="27">
        <f t="shared" si="11"/>
        <v>0.11403666666666666</v>
      </c>
      <c r="I153" s="20">
        <f t="shared" si="12"/>
        <v>0.55660050762968638</v>
      </c>
      <c r="J153" s="20">
        <f>MAX(I$42:I153)</f>
        <v>1.1409645468253968</v>
      </c>
      <c r="K153" s="7">
        <f t="shared" si="8"/>
        <v>-0.51216669336627196</v>
      </c>
      <c r="L153" s="7" t="str">
        <f t="shared" si="9"/>
        <v/>
      </c>
      <c r="M153" s="7">
        <f t="shared" si="10"/>
        <v>-0.51216669336627196</v>
      </c>
      <c r="N153" s="21" t="str">
        <f t="shared" si="13"/>
        <v/>
      </c>
      <c r="O153" s="21" t="str">
        <f t="shared" si="14"/>
        <v/>
      </c>
      <c r="P153" s="21" t="str">
        <f t="shared" si="15"/>
        <v/>
      </c>
    </row>
    <row r="154" spans="1:16">
      <c r="A154" s="24">
        <v>39964</v>
      </c>
      <c r="B154" s="26">
        <v>2.0990999999999999E-2</v>
      </c>
      <c r="C154" s="26">
        <v>-1.3088000000000001E-2</v>
      </c>
      <c r="D154" s="26">
        <v>5.4554999999999999E-2</v>
      </c>
      <c r="E154" s="26">
        <v>3.4757000000000003E-2</v>
      </c>
      <c r="F154" s="26">
        <v>9.6128000000000005E-2</v>
      </c>
      <c r="G154" s="26">
        <v>-2.2859000000000001E-2</v>
      </c>
      <c r="H154" s="27">
        <f t="shared" si="11"/>
        <v>2.0657666666666664E-2</v>
      </c>
      <c r="I154" s="20">
        <f t="shared" si="12"/>
        <v>0.56809857538279795</v>
      </c>
      <c r="J154" s="20">
        <f>MAX(I$42:I154)</f>
        <v>1.1409645468253968</v>
      </c>
      <c r="K154" s="7">
        <f t="shared" si="8"/>
        <v>-0.50208919552893461</v>
      </c>
      <c r="L154" s="7" t="str">
        <f t="shared" si="9"/>
        <v/>
      </c>
      <c r="M154" s="7">
        <f t="shared" si="10"/>
        <v>-0.50208919552893461</v>
      </c>
      <c r="N154" s="21" t="str">
        <f t="shared" si="13"/>
        <v/>
      </c>
      <c r="O154" s="21" t="str">
        <f t="shared" si="14"/>
        <v/>
      </c>
      <c r="P154" s="21" t="str">
        <f t="shared" si="15"/>
        <v/>
      </c>
    </row>
    <row r="155" spans="1:16">
      <c r="A155" s="24">
        <v>39994</v>
      </c>
      <c r="B155" s="26">
        <v>4.5710000000000004E-3</v>
      </c>
      <c r="C155" s="26">
        <v>1.0877E-2</v>
      </c>
      <c r="D155" s="26">
        <v>-1.32E-3</v>
      </c>
      <c r="E155" s="26">
        <v>1.1599999999999999E-2</v>
      </c>
      <c r="F155" s="26">
        <v>-4.4710000000000001E-3</v>
      </c>
      <c r="G155" s="26">
        <v>1.8779000000000001E-2</v>
      </c>
      <c r="H155" s="27">
        <f t="shared" si="11"/>
        <v>4.2376666666666674E-3</v>
      </c>
      <c r="I155" s="20">
        <f t="shared" si="12"/>
        <v>0.57050598777907846</v>
      </c>
      <c r="J155" s="20">
        <f>MAX(I$42:I155)</f>
        <v>1.1409645468253968</v>
      </c>
      <c r="K155" s="7">
        <f t="shared" si="8"/>
        <v>-0.49997921550985436</v>
      </c>
      <c r="L155" s="7" t="str">
        <f t="shared" si="9"/>
        <v/>
      </c>
      <c r="M155" s="7">
        <f t="shared" si="10"/>
        <v>-0.49997921550985436</v>
      </c>
      <c r="N155" s="21" t="str">
        <f t="shared" si="13"/>
        <v/>
      </c>
      <c r="O155" s="21" t="str">
        <f t="shared" si="14"/>
        <v/>
      </c>
      <c r="P155" s="21" t="str">
        <f t="shared" si="15"/>
        <v/>
      </c>
    </row>
    <row r="156" spans="1:16">
      <c r="A156" s="24">
        <v>40025</v>
      </c>
      <c r="B156" s="26">
        <v>7.3144000000000001E-2</v>
      </c>
      <c r="C156" s="26">
        <v>6.3494999999999996E-2</v>
      </c>
      <c r="D156" s="26">
        <v>8.2250000000000004E-2</v>
      </c>
      <c r="E156" s="26">
        <v>7.3894000000000001E-2</v>
      </c>
      <c r="F156" s="26">
        <v>0.10059999999999999</v>
      </c>
      <c r="G156" s="26">
        <v>9.6710000000000008E-3</v>
      </c>
      <c r="H156" s="27">
        <f t="shared" si="11"/>
        <v>7.2810666666666662E-2</v>
      </c>
      <c r="I156" s="20">
        <f t="shared" si="12"/>
        <v>0.61204490908659825</v>
      </c>
      <c r="J156" s="20">
        <f>MAX(I$42:I156)</f>
        <v>1.1409645468253968</v>
      </c>
      <c r="K156" s="7">
        <f t="shared" si="8"/>
        <v>-0.46357236884393727</v>
      </c>
      <c r="L156" s="7" t="str">
        <f t="shared" si="9"/>
        <v/>
      </c>
      <c r="M156" s="7">
        <f t="shared" si="10"/>
        <v>-0.46357236884393727</v>
      </c>
      <c r="N156" s="21" t="str">
        <f t="shared" si="13"/>
        <v/>
      </c>
      <c r="O156" s="21" t="str">
        <f t="shared" si="14"/>
        <v/>
      </c>
      <c r="P156" s="21" t="str">
        <f t="shared" si="15"/>
        <v/>
      </c>
    </row>
    <row r="157" spans="1:16">
      <c r="A157" s="24">
        <v>40056</v>
      </c>
      <c r="B157" s="26">
        <v>2.8701000000000001E-2</v>
      </c>
      <c r="C157" s="26">
        <v>2.1588E-2</v>
      </c>
      <c r="D157" s="26">
        <v>3.5291999999999997E-2</v>
      </c>
      <c r="E157" s="26">
        <v>3.8047999999999998E-2</v>
      </c>
      <c r="F157" s="26">
        <v>-1.559E-2</v>
      </c>
      <c r="G157" s="26">
        <v>1.7096E-2</v>
      </c>
      <c r="H157" s="27">
        <f t="shared" si="11"/>
        <v>2.8367666666666666E-2</v>
      </c>
      <c r="I157" s="20">
        <f t="shared" si="12"/>
        <v>0.62940719505259712</v>
      </c>
      <c r="J157" s="20">
        <f>MAX(I$42:I157)</f>
        <v>1.1409645468253968</v>
      </c>
      <c r="K157" s="7">
        <f t="shared" si="8"/>
        <v>-0.44835516861251246</v>
      </c>
      <c r="L157" s="7" t="str">
        <f t="shared" si="9"/>
        <v/>
      </c>
      <c r="M157" s="7">
        <f t="shared" si="10"/>
        <v>-0.44835516861251246</v>
      </c>
      <c r="N157" s="21" t="str">
        <f t="shared" si="13"/>
        <v/>
      </c>
      <c r="O157" s="21" t="str">
        <f t="shared" si="14"/>
        <v/>
      </c>
      <c r="P157" s="21" t="str">
        <f t="shared" si="15"/>
        <v/>
      </c>
    </row>
    <row r="158" spans="1:16">
      <c r="A158" s="24">
        <v>40086</v>
      </c>
      <c r="B158" s="26">
        <v>2.0892999999999998E-2</v>
      </c>
      <c r="C158" s="26">
        <v>1.9383999999999998E-2</v>
      </c>
      <c r="D158" s="26">
        <v>2.2266000000000001E-2</v>
      </c>
      <c r="E158" s="26">
        <v>2.7602000000000002E-2</v>
      </c>
      <c r="F158" s="26">
        <v>7.0881E-2</v>
      </c>
      <c r="G158" s="26">
        <v>2.908E-3</v>
      </c>
      <c r="H158" s="27">
        <f t="shared" si="11"/>
        <v>2.0559666666666664E-2</v>
      </c>
      <c r="I158" s="20">
        <f t="shared" si="12"/>
        <v>0.64234759718048018</v>
      </c>
      <c r="J158" s="20">
        <f>MAX(I$42:I158)</f>
        <v>1.1409645468253968</v>
      </c>
      <c r="K158" s="7">
        <f t="shared" si="8"/>
        <v>-0.43701353476079619</v>
      </c>
      <c r="L158" s="7" t="str">
        <f t="shared" si="9"/>
        <v/>
      </c>
      <c r="M158" s="7">
        <f t="shared" si="10"/>
        <v>-0.43701353476079619</v>
      </c>
      <c r="N158" s="21" t="str">
        <f t="shared" si="13"/>
        <v/>
      </c>
      <c r="O158" s="21" t="str">
        <f t="shared" si="14"/>
        <v/>
      </c>
      <c r="P158" s="21" t="str">
        <f t="shared" si="15"/>
        <v/>
      </c>
    </row>
    <row r="159" spans="1:16">
      <c r="A159" s="24">
        <v>40117</v>
      </c>
      <c r="B159" s="26">
        <v>-2.6936000000000002E-2</v>
      </c>
      <c r="C159" s="26">
        <v>-2.8861000000000001E-2</v>
      </c>
      <c r="D159" s="26">
        <v>-2.5218000000000001E-2</v>
      </c>
      <c r="E159" s="26">
        <v>-3.9107000000000003E-2</v>
      </c>
      <c r="F159" s="26">
        <v>-8.0909999999999992E-3</v>
      </c>
      <c r="G159" s="26">
        <v>-5.313E-3</v>
      </c>
      <c r="H159" s="27">
        <f t="shared" si="11"/>
        <v>-2.7269333333333336E-2</v>
      </c>
      <c r="I159" s="20">
        <f t="shared" si="12"/>
        <v>0.62483120643709988</v>
      </c>
      <c r="J159" s="20">
        <f>MAX(I$42:I159)</f>
        <v>1.1409645468253968</v>
      </c>
      <c r="K159" s="7">
        <f t="shared" si="8"/>
        <v>-0.45236580034355922</v>
      </c>
      <c r="L159" s="7" t="str">
        <f t="shared" si="9"/>
        <v/>
      </c>
      <c r="M159" s="7">
        <f t="shared" si="10"/>
        <v>-0.45236580034355922</v>
      </c>
      <c r="N159" s="21" t="str">
        <f t="shared" si="13"/>
        <v/>
      </c>
      <c r="O159" s="21" t="str">
        <f t="shared" si="14"/>
        <v/>
      </c>
      <c r="P159" s="21" t="str">
        <f t="shared" si="15"/>
        <v/>
      </c>
    </row>
    <row r="160" spans="1:16">
      <c r="A160" s="24">
        <v>40147</v>
      </c>
      <c r="B160" s="26">
        <v>2.2898999999999999E-2</v>
      </c>
      <c r="C160" s="26">
        <v>4.0471E-2</v>
      </c>
      <c r="D160" s="26">
        <v>7.0590000000000002E-3</v>
      </c>
      <c r="E160" s="26">
        <v>1.1284000000000001E-2</v>
      </c>
      <c r="F160" s="26">
        <v>2.4962000000000002E-2</v>
      </c>
      <c r="G160" s="26">
        <v>1.8762000000000001E-2</v>
      </c>
      <c r="H160" s="27">
        <f t="shared" si="11"/>
        <v>2.2565666666666664E-2</v>
      </c>
      <c r="I160" s="20">
        <f t="shared" si="12"/>
        <v>0.63893093916449073</v>
      </c>
      <c r="J160" s="20">
        <f>MAX(I$42:I160)</f>
        <v>1.1409645468253968</v>
      </c>
      <c r="K160" s="7">
        <f t="shared" si="8"/>
        <v>-0.44000806953884508</v>
      </c>
      <c r="L160" s="7" t="str">
        <f t="shared" si="9"/>
        <v/>
      </c>
      <c r="M160" s="7">
        <f t="shared" si="10"/>
        <v>-0.44000806953884508</v>
      </c>
      <c r="N160" s="21" t="str">
        <f t="shared" si="13"/>
        <v/>
      </c>
      <c r="O160" s="21" t="str">
        <f t="shared" si="14"/>
        <v/>
      </c>
      <c r="P160" s="21" t="str">
        <f t="shared" si="15"/>
        <v/>
      </c>
    </row>
    <row r="161" spans="1:16">
      <c r="A161" s="24">
        <v>40178</v>
      </c>
      <c r="B161" s="26">
        <v>6.5215999999999996E-2</v>
      </c>
      <c r="C161" s="26">
        <v>6.7472000000000004E-2</v>
      </c>
      <c r="D161" s="26">
        <v>6.3106999999999996E-2</v>
      </c>
      <c r="E161" s="26">
        <v>7.4535000000000004E-2</v>
      </c>
      <c r="F161" s="26">
        <v>8.7744000000000003E-2</v>
      </c>
      <c r="G161" s="26">
        <v>-1.6038E-2</v>
      </c>
      <c r="H161" s="27">
        <f t="shared" si="11"/>
        <v>6.4882666666666658E-2</v>
      </c>
      <c r="I161" s="20">
        <f t="shared" si="12"/>
        <v>0.68038648231332066</v>
      </c>
      <c r="J161" s="20">
        <f>MAX(I$42:I161)</f>
        <v>1.1409645468253968</v>
      </c>
      <c r="K161" s="7">
        <f t="shared" si="8"/>
        <v>-0.40367429977871083</v>
      </c>
      <c r="L161" s="7" t="str">
        <f t="shared" si="9"/>
        <v/>
      </c>
      <c r="M161" s="7">
        <f t="shared" si="10"/>
        <v>-0.40367429977871083</v>
      </c>
      <c r="N161" s="21" t="str">
        <f t="shared" si="13"/>
        <v/>
      </c>
      <c r="O161" s="21" t="str">
        <f t="shared" si="14"/>
        <v/>
      </c>
      <c r="P161" s="21" t="str">
        <f t="shared" si="15"/>
        <v/>
      </c>
    </row>
    <row r="162" spans="1:16">
      <c r="A162" s="24">
        <v>40209</v>
      </c>
      <c r="B162" s="26">
        <v>-1.0433E-2</v>
      </c>
      <c r="C162" s="26">
        <v>-4.2750000000000002E-3</v>
      </c>
      <c r="D162" s="26">
        <v>-1.6154999999999999E-2</v>
      </c>
      <c r="E162" s="26">
        <v>2.905E-3</v>
      </c>
      <c r="F162" s="26">
        <v>-2.5340999999999999E-2</v>
      </c>
      <c r="G162" s="26">
        <v>1.7093000000000001E-2</v>
      </c>
      <c r="H162" s="27">
        <f t="shared" si="11"/>
        <v>-1.0766333333333333E-2</v>
      </c>
      <c r="I162" s="20">
        <f t="shared" si="12"/>
        <v>0.6730612146492414</v>
      </c>
      <c r="J162" s="20">
        <f>MAX(I$42:I162)</f>
        <v>1.1409645468253968</v>
      </c>
      <c r="K162" s="7">
        <f t="shared" si="8"/>
        <v>-0.41009454104252652</v>
      </c>
      <c r="L162" s="7" t="str">
        <f t="shared" si="9"/>
        <v/>
      </c>
      <c r="M162" s="7">
        <f t="shared" si="10"/>
        <v>-0.41009454104252652</v>
      </c>
      <c r="N162" s="21" t="str">
        <f t="shared" si="13"/>
        <v/>
      </c>
      <c r="O162" s="21" t="str">
        <f t="shared" si="14"/>
        <v/>
      </c>
      <c r="P162" s="21" t="str">
        <f t="shared" si="15"/>
        <v/>
      </c>
    </row>
    <row r="163" spans="1:16">
      <c r="A163" s="24">
        <v>40237</v>
      </c>
      <c r="B163" s="26">
        <v>3.2863000000000003E-2</v>
      </c>
      <c r="C163" s="26">
        <v>4.9221000000000001E-2</v>
      </c>
      <c r="D163" s="26">
        <v>1.7478E-2</v>
      </c>
      <c r="E163" s="26">
        <v>3.5460999999999999E-2</v>
      </c>
      <c r="F163" s="26">
        <v>2.2089000000000001E-2</v>
      </c>
      <c r="G163" s="26">
        <v>8.6960000000000006E-3</v>
      </c>
      <c r="H163" s="27">
        <f t="shared" si="11"/>
        <v>3.2529666666666672E-2</v>
      </c>
      <c r="I163" s="20">
        <f t="shared" si="12"/>
        <v>0.69495567160804295</v>
      </c>
      <c r="J163" s="20">
        <f>MAX(I$42:I163)</f>
        <v>1.1409645468253968</v>
      </c>
      <c r="K163" s="7">
        <f t="shared" si="8"/>
        <v>-0.39090511309779297</v>
      </c>
      <c r="L163" s="7" t="str">
        <f t="shared" si="9"/>
        <v/>
      </c>
      <c r="M163" s="7">
        <f t="shared" si="10"/>
        <v>-0.39090511309779297</v>
      </c>
      <c r="N163" s="21" t="str">
        <f t="shared" si="13"/>
        <v/>
      </c>
      <c r="O163" s="21" t="str">
        <f t="shared" si="14"/>
        <v/>
      </c>
      <c r="P163" s="21" t="str">
        <f t="shared" si="15"/>
        <v/>
      </c>
    </row>
    <row r="164" spans="1:16">
      <c r="A164" s="24">
        <v>40268</v>
      </c>
      <c r="B164" s="26">
        <v>7.1028999999999995E-2</v>
      </c>
      <c r="C164" s="26">
        <v>6.8500000000000005E-2</v>
      </c>
      <c r="D164" s="26">
        <v>7.3497000000000007E-2</v>
      </c>
      <c r="E164" s="26">
        <v>7.4642E-2</v>
      </c>
      <c r="F164" s="26">
        <v>8.9996999999999994E-2</v>
      </c>
      <c r="G164" s="26">
        <v>4.4869999999999997E-3</v>
      </c>
      <c r="H164" s="27">
        <f t="shared" si="11"/>
        <v>7.0695666666666657E-2</v>
      </c>
      <c r="I164" s="20">
        <f t="shared" si="12"/>
        <v>0.7440860261161546</v>
      </c>
      <c r="J164" s="20">
        <f>MAX(I$42:I164)</f>
        <v>1.1409645468253968</v>
      </c>
      <c r="K164" s="7">
        <f t="shared" si="8"/>
        <v>-0.34784474400498355</v>
      </c>
      <c r="L164" s="7" t="str">
        <f t="shared" si="9"/>
        <v/>
      </c>
      <c r="M164" s="7">
        <f t="shared" si="10"/>
        <v>-0.34784474400498355</v>
      </c>
      <c r="N164" s="21" t="str">
        <f t="shared" si="13"/>
        <v/>
      </c>
      <c r="O164" s="21" t="str">
        <f t="shared" si="14"/>
        <v/>
      </c>
      <c r="P164" s="21" t="str">
        <f t="shared" si="15"/>
        <v/>
      </c>
    </row>
    <row r="165" spans="1:16">
      <c r="A165" s="24">
        <v>40298</v>
      </c>
      <c r="B165" s="26">
        <v>1.7779E-2</v>
      </c>
      <c r="C165" s="26">
        <v>3.3634999999999998E-2</v>
      </c>
      <c r="D165" s="26">
        <v>2.467E-3</v>
      </c>
      <c r="E165" s="26">
        <v>2.8183E-2</v>
      </c>
      <c r="F165" s="26">
        <v>2.9964999999999999E-2</v>
      </c>
      <c r="G165" s="26">
        <v>1.1162999999999999E-2</v>
      </c>
      <c r="H165" s="27">
        <f t="shared" si="11"/>
        <v>1.7445666666666665E-2</v>
      </c>
      <c r="I165" s="20">
        <f t="shared" si="12"/>
        <v>0.75706710289910173</v>
      </c>
      <c r="J165" s="20">
        <f>MAX(I$42:I165)</f>
        <v>1.1409645468253968</v>
      </c>
      <c r="K165" s="7">
        <f t="shared" si="8"/>
        <v>-0.33646746079397982</v>
      </c>
      <c r="L165" s="7" t="str">
        <f t="shared" si="9"/>
        <v/>
      </c>
      <c r="M165" s="7">
        <f t="shared" si="10"/>
        <v>-0.33646746079397982</v>
      </c>
      <c r="N165" s="21" t="str">
        <f t="shared" si="13"/>
        <v/>
      </c>
      <c r="O165" s="21" t="str">
        <f t="shared" si="14"/>
        <v/>
      </c>
      <c r="P165" s="21" t="str">
        <f t="shared" si="15"/>
        <v/>
      </c>
    </row>
    <row r="166" spans="1:16">
      <c r="A166" s="24">
        <v>40329</v>
      </c>
      <c r="B166" s="26">
        <v>-2.0185000000000002E-2</v>
      </c>
      <c r="C166" s="26">
        <v>-4.4149999999999997E-3</v>
      </c>
      <c r="D166" s="26">
        <v>-3.5963000000000002E-2</v>
      </c>
      <c r="E166" s="26">
        <v>-1.9970999999999999E-2</v>
      </c>
      <c r="F166" s="26">
        <v>-1.1694E-2</v>
      </c>
      <c r="G166" s="26">
        <v>3.5087E-2</v>
      </c>
      <c r="H166" s="27">
        <f t="shared" si="11"/>
        <v>-2.0518333333333336E-2</v>
      </c>
      <c r="I166" s="20">
        <f t="shared" si="12"/>
        <v>0.74153334772611701</v>
      </c>
      <c r="J166" s="20">
        <f>MAX(I$42:I166)</f>
        <v>1.1409645468253968</v>
      </c>
      <c r="K166" s="7">
        <f t="shared" si="8"/>
        <v>-0.35008204261092191</v>
      </c>
      <c r="L166" s="7" t="str">
        <f t="shared" si="9"/>
        <v/>
      </c>
      <c r="M166" s="7">
        <f t="shared" si="10"/>
        <v>-0.35008204261092191</v>
      </c>
      <c r="N166" s="21" t="str">
        <f t="shared" si="13"/>
        <v/>
      </c>
      <c r="O166" s="21" t="str">
        <f t="shared" si="14"/>
        <v/>
      </c>
      <c r="P166" s="21" t="str">
        <f t="shared" si="15"/>
        <v/>
      </c>
    </row>
    <row r="167" spans="1:16">
      <c r="A167" s="24">
        <v>40359</v>
      </c>
      <c r="B167" s="26">
        <v>-3.2590000000000001E-2</v>
      </c>
      <c r="C167" s="26">
        <v>-5.1971999999999997E-2</v>
      </c>
      <c r="D167" s="26">
        <v>-1.2737999999999999E-2</v>
      </c>
      <c r="E167" s="26">
        <v>-2.6424E-2</v>
      </c>
      <c r="F167" s="26">
        <v>-5.6109999999999997E-3</v>
      </c>
      <c r="G167" s="26">
        <v>8.3909999999999992E-3</v>
      </c>
      <c r="H167" s="27">
        <f t="shared" si="11"/>
        <v>-3.2923333333333332E-2</v>
      </c>
      <c r="I167" s="20">
        <f t="shared" si="12"/>
        <v>0.71711959814114745</v>
      </c>
      <c r="J167" s="20">
        <f>MAX(I$42:I167)</f>
        <v>1.1409645468253968</v>
      </c>
      <c r="K167" s="7">
        <f t="shared" si="8"/>
        <v>-0.37147950816136177</v>
      </c>
      <c r="L167" s="7" t="str">
        <f t="shared" si="9"/>
        <v/>
      </c>
      <c r="M167" s="7">
        <f t="shared" si="10"/>
        <v>-0.37147950816136177</v>
      </c>
      <c r="N167" s="21" t="str">
        <f t="shared" si="13"/>
        <v/>
      </c>
      <c r="O167" s="21" t="str">
        <f t="shared" si="14"/>
        <v/>
      </c>
      <c r="P167" s="21" t="str">
        <f t="shared" si="15"/>
        <v/>
      </c>
    </row>
    <row r="168" spans="1:16">
      <c r="A168" s="24">
        <v>40390</v>
      </c>
      <c r="B168" s="26">
        <v>1.6435999999999999E-2</v>
      </c>
      <c r="C168" s="26">
        <v>5.5620000000000001E-3</v>
      </c>
      <c r="D168" s="26">
        <v>2.7105000000000001E-2</v>
      </c>
      <c r="E168" s="26">
        <v>1.5651000000000002E-2</v>
      </c>
      <c r="F168" s="26">
        <v>1.8502000000000001E-2</v>
      </c>
      <c r="G168" s="26">
        <v>-6.1529999999999996E-3</v>
      </c>
      <c r="H168" s="27">
        <f t="shared" si="11"/>
        <v>1.6102666666666664E-2</v>
      </c>
      <c r="I168" s="20">
        <f t="shared" si="12"/>
        <v>0.72866713599014821</v>
      </c>
      <c r="J168" s="20">
        <f>MAX(I$42:I168)</f>
        <v>1.1409645468253968</v>
      </c>
      <c r="K168" s="7">
        <f t="shared" si="8"/>
        <v>-0.3613586521881148</v>
      </c>
      <c r="L168" s="7" t="str">
        <f t="shared" si="9"/>
        <v/>
      </c>
      <c r="M168" s="7">
        <f t="shared" si="10"/>
        <v>-0.3613586521881148</v>
      </c>
      <c r="N168" s="21" t="str">
        <f t="shared" si="13"/>
        <v/>
      </c>
      <c r="O168" s="21" t="str">
        <f t="shared" si="14"/>
        <v/>
      </c>
      <c r="P168" s="21" t="str">
        <f t="shared" si="15"/>
        <v/>
      </c>
    </row>
    <row r="169" spans="1:16">
      <c r="A169" s="24">
        <v>40421</v>
      </c>
      <c r="B169" s="26">
        <v>-1.3211000000000001E-2</v>
      </c>
      <c r="C169" s="26">
        <v>-2.1145000000000001E-2</v>
      </c>
      <c r="D169" s="26">
        <v>-5.574E-3</v>
      </c>
      <c r="E169" s="26">
        <v>-1.129E-2</v>
      </c>
      <c r="F169" s="26">
        <v>5.1539999999999997E-3</v>
      </c>
      <c r="G169" s="26">
        <v>5.9575999999999997E-2</v>
      </c>
      <c r="H169" s="27">
        <f t="shared" si="11"/>
        <v>-1.3544333333333334E-2</v>
      </c>
      <c r="I169" s="20">
        <f t="shared" si="12"/>
        <v>0.71879782541125226</v>
      </c>
      <c r="J169" s="20">
        <f>MAX(I$42:I169)</f>
        <v>1.1409645468253968</v>
      </c>
      <c r="K169" s="7">
        <f t="shared" si="8"/>
        <v>-0.3700086234833283</v>
      </c>
      <c r="L169" s="7" t="str">
        <f t="shared" si="9"/>
        <v/>
      </c>
      <c r="M169" s="7">
        <f t="shared" si="10"/>
        <v>-0.3700086234833283</v>
      </c>
      <c r="N169" s="21" t="str">
        <f t="shared" si="13"/>
        <v/>
      </c>
      <c r="O169" s="21" t="str">
        <f t="shared" si="14"/>
        <v/>
      </c>
      <c r="P169" s="21" t="str">
        <f t="shared" si="15"/>
        <v/>
      </c>
    </row>
    <row r="170" spans="1:16">
      <c r="A170" s="24">
        <v>40451</v>
      </c>
      <c r="B170" s="26">
        <v>1.7767999999999999E-2</v>
      </c>
      <c r="C170" s="26">
        <v>1.5132E-2</v>
      </c>
      <c r="D170" s="26">
        <v>2.0264000000000001E-2</v>
      </c>
      <c r="E170" s="26">
        <v>2.4215E-2</v>
      </c>
      <c r="F170" s="26">
        <v>3.4417000000000003E-2</v>
      </c>
      <c r="G170" s="26">
        <v>-1.1194000000000001E-2</v>
      </c>
      <c r="H170" s="27">
        <f t="shared" si="11"/>
        <v>1.7434666666666664E-2</v>
      </c>
      <c r="I170" s="20">
        <f t="shared" si="12"/>
        <v>0.73132982589802231</v>
      </c>
      <c r="J170" s="20">
        <f>MAX(I$42:I170)</f>
        <v>1.1409645468253968</v>
      </c>
      <c r="K170" s="7">
        <f t="shared" ref="K170:K233" si="16">I170/J170-1</f>
        <v>-0.35902493383088563</v>
      </c>
      <c r="L170" s="7" t="str">
        <f t="shared" ref="L170:L233" si="17">IF(A170&lt;=DATE(2003,12,31),K170,"")</f>
        <v/>
      </c>
      <c r="M170" s="7">
        <f t="shared" ref="M170:M233" si="18">IF(A170&lt;=DATE(2010,12,31),K170,"")</f>
        <v>-0.35902493383088563</v>
      </c>
      <c r="N170" s="21" t="str">
        <f t="shared" si="13"/>
        <v/>
      </c>
      <c r="O170" s="21" t="str">
        <f t="shared" si="14"/>
        <v/>
      </c>
      <c r="P170" s="21" t="str">
        <f t="shared" si="15"/>
        <v/>
      </c>
    </row>
    <row r="171" spans="1:16">
      <c r="A171" s="24">
        <v>40482</v>
      </c>
      <c r="B171" s="26">
        <v>1.8842999999999999E-2</v>
      </c>
      <c r="C171" s="26">
        <v>2.0560999999999999E-2</v>
      </c>
      <c r="D171" s="26">
        <v>1.7221E-2</v>
      </c>
      <c r="E171" s="26">
        <v>1.6215E-2</v>
      </c>
      <c r="F171" s="26">
        <v>1.0749999999999999E-2</v>
      </c>
      <c r="G171" s="26">
        <v>-2.46E-2</v>
      </c>
      <c r="H171" s="27">
        <f t="shared" ref="H171:H234" si="19">SUMPRODUCT($B$38:$G$38,B171:G171)-$B$5/12</f>
        <v>1.8509666666666664E-2</v>
      </c>
      <c r="I171" s="20">
        <f t="shared" ref="I171:I234" si="20">I170*(1+H171)</f>
        <v>0.74486649719878606</v>
      </c>
      <c r="J171" s="20">
        <f>MAX(I$42:I171)</f>
        <v>1.1409645468253968</v>
      </c>
      <c r="K171" s="7">
        <f t="shared" si="16"/>
        <v>-0.34716069901445068</v>
      </c>
      <c r="L171" s="7" t="str">
        <f t="shared" si="17"/>
        <v/>
      </c>
      <c r="M171" s="7">
        <f t="shared" si="18"/>
        <v>-0.34716069901445068</v>
      </c>
      <c r="N171" s="21" t="str">
        <f t="shared" ref="N171:N234" si="21">IF(AND(A171&gt;$B$18,I171&gt;=$B$16),A171,"")</f>
        <v/>
      </c>
      <c r="O171" s="21" t="str">
        <f t="shared" ref="O171:O234" si="22">IF(AND(A171&gt;$C$18,I171&gt;=$C$16),A171,"")</f>
        <v/>
      </c>
      <c r="P171" s="21" t="str">
        <f t="shared" ref="P171:P234" si="23">IF(AND(A171&gt;$D$18,I171&gt;=$D$16),A171,"")</f>
        <v/>
      </c>
    </row>
    <row r="172" spans="1:16">
      <c r="A172" s="24">
        <v>40512</v>
      </c>
      <c r="B172" s="26">
        <v>4.4662E-2</v>
      </c>
      <c r="C172" s="26">
        <v>6.8170999999999995E-2</v>
      </c>
      <c r="D172" s="26">
        <v>2.2502999999999999E-2</v>
      </c>
      <c r="E172" s="26">
        <v>5.0467999999999999E-2</v>
      </c>
      <c r="F172" s="26">
        <v>3.9532999999999999E-2</v>
      </c>
      <c r="G172" s="26">
        <v>-1.3039E-2</v>
      </c>
      <c r="H172" s="27">
        <f t="shared" si="19"/>
        <v>4.4328666666666669E-2</v>
      </c>
      <c r="I172" s="20">
        <f t="shared" si="20"/>
        <v>0.77788543586427861</v>
      </c>
      <c r="J172" s="20">
        <f>MAX(I$42:I172)</f>
        <v>1.1409645468253968</v>
      </c>
      <c r="K172" s="7">
        <f t="shared" si="16"/>
        <v>-0.3182212032541627</v>
      </c>
      <c r="L172" s="7" t="str">
        <f t="shared" si="17"/>
        <v/>
      </c>
      <c r="M172" s="7">
        <f t="shared" si="18"/>
        <v>-0.3182212032541627</v>
      </c>
      <c r="N172" s="21" t="str">
        <f t="shared" si="21"/>
        <v/>
      </c>
      <c r="O172" s="21" t="str">
        <f t="shared" si="22"/>
        <v/>
      </c>
      <c r="P172" s="21" t="str">
        <f t="shared" si="23"/>
        <v/>
      </c>
    </row>
    <row r="173" spans="1:16">
      <c r="A173" s="24">
        <v>40543</v>
      </c>
      <c r="B173" s="26">
        <v>4.1678E-2</v>
      </c>
      <c r="C173" s="26">
        <v>3.4736999999999997E-2</v>
      </c>
      <c r="D173" s="26">
        <v>4.8462999999999999E-2</v>
      </c>
      <c r="E173" s="26">
        <v>4.7204000000000003E-2</v>
      </c>
      <c r="F173" s="26">
        <v>3.9572999999999997E-2</v>
      </c>
      <c r="G173" s="26">
        <v>-2.1062000000000001E-2</v>
      </c>
      <c r="H173" s="27">
        <f t="shared" si="19"/>
        <v>4.1344666666666668E-2</v>
      </c>
      <c r="I173" s="20">
        <f t="shared" si="20"/>
        <v>0.8100468499149418</v>
      </c>
      <c r="J173" s="20">
        <f>MAX(I$42:I173)</f>
        <v>1.1409645468253968</v>
      </c>
      <c r="K173" s="7">
        <f t="shared" si="16"/>
        <v>-0.29003328616230506</v>
      </c>
      <c r="L173" s="7" t="str">
        <f t="shared" si="17"/>
        <v/>
      </c>
      <c r="M173" s="7">
        <f t="shared" si="18"/>
        <v>-0.29003328616230506</v>
      </c>
      <c r="N173" s="21" t="str">
        <f t="shared" si="21"/>
        <v/>
      </c>
      <c r="O173" s="21" t="str">
        <f t="shared" si="22"/>
        <v/>
      </c>
      <c r="P173" s="21" t="str">
        <f t="shared" si="23"/>
        <v/>
      </c>
    </row>
    <row r="174" spans="1:16">
      <c r="A174" s="24">
        <v>40574</v>
      </c>
      <c r="B174" s="26">
        <v>6.29E-4</v>
      </c>
      <c r="C174" s="26">
        <v>1.6869999999999999E-3</v>
      </c>
      <c r="D174" s="26">
        <v>-4.0499999999999998E-4</v>
      </c>
      <c r="E174" s="26">
        <v>-4.1409999999999997E-3</v>
      </c>
      <c r="F174" s="26">
        <v>-4.8029000000000002E-2</v>
      </c>
      <c r="G174" s="26">
        <v>-1.1480000000000001E-2</v>
      </c>
      <c r="H174" s="27">
        <f t="shared" si="19"/>
        <v>2.9566666666666668E-4</v>
      </c>
      <c r="I174" s="20">
        <f t="shared" si="20"/>
        <v>0.81028635376690006</v>
      </c>
      <c r="J174" s="20">
        <f>MAX(I$42:I174)</f>
        <v>1.1409645468253968</v>
      </c>
      <c r="K174" s="7">
        <f t="shared" si="16"/>
        <v>-0.28982337267058034</v>
      </c>
      <c r="L174" s="7" t="str">
        <f t="shared" si="17"/>
        <v/>
      </c>
      <c r="M174" s="7" t="str">
        <f t="shared" si="18"/>
        <v/>
      </c>
      <c r="N174" s="21" t="str">
        <f t="shared" si="21"/>
        <v/>
      </c>
      <c r="O174" s="21" t="str">
        <f t="shared" si="22"/>
        <v/>
      </c>
      <c r="P174" s="21" t="str">
        <f t="shared" si="23"/>
        <v/>
      </c>
    </row>
    <row r="175" spans="1:16">
      <c r="A175" s="24">
        <v>40602</v>
      </c>
      <c r="B175" s="26">
        <v>2.7366000000000001E-2</v>
      </c>
      <c r="C175" s="26">
        <v>2.5239000000000001E-2</v>
      </c>
      <c r="D175" s="26">
        <v>2.9425E-2</v>
      </c>
      <c r="E175" s="26">
        <v>2.5853000000000001E-2</v>
      </c>
      <c r="F175" s="26">
        <v>-1.6641E-2</v>
      </c>
      <c r="G175" s="26">
        <v>5.2989999999999999E-3</v>
      </c>
      <c r="H175" s="27">
        <f t="shared" si="19"/>
        <v>2.7032666666666667E-2</v>
      </c>
      <c r="I175" s="20">
        <f t="shared" si="20"/>
        <v>0.83219055467282943</v>
      </c>
      <c r="J175" s="20">
        <f>MAX(I$42:I175)</f>
        <v>1.1409645468253968</v>
      </c>
      <c r="K175" s="7">
        <f t="shared" si="16"/>
        <v>-0.27062540462952656</v>
      </c>
      <c r="L175" s="7" t="str">
        <f t="shared" si="17"/>
        <v/>
      </c>
      <c r="M175" s="7" t="str">
        <f t="shared" si="18"/>
        <v/>
      </c>
      <c r="N175" s="21" t="str">
        <f t="shared" si="21"/>
        <v/>
      </c>
      <c r="O175" s="21" t="str">
        <f t="shared" si="22"/>
        <v/>
      </c>
      <c r="P175" s="21" t="str">
        <f t="shared" si="23"/>
        <v/>
      </c>
    </row>
    <row r="176" spans="1:16">
      <c r="A176" s="24">
        <v>40633</v>
      </c>
      <c r="B176" s="26">
        <v>-3.6302000000000001E-2</v>
      </c>
      <c r="C176" s="26">
        <v>-2.5982999999999999E-2</v>
      </c>
      <c r="D176" s="26">
        <v>-4.6209E-2</v>
      </c>
      <c r="E176" s="26">
        <v>-3.4653000000000003E-2</v>
      </c>
      <c r="F176" s="26">
        <v>3.0516999999999999E-2</v>
      </c>
      <c r="G176" s="26">
        <v>-1.4533000000000001E-2</v>
      </c>
      <c r="H176" s="27">
        <f t="shared" si="19"/>
        <v>-3.6635333333333332E-2</v>
      </c>
      <c r="I176" s="20">
        <f t="shared" si="20"/>
        <v>0.80170297630553877</v>
      </c>
      <c r="J176" s="20">
        <f>MAX(I$42:I176)</f>
        <v>1.1409645468253968</v>
      </c>
      <c r="K176" s="7">
        <f t="shared" si="16"/>
        <v>-0.29734628605578894</v>
      </c>
      <c r="L176" s="7" t="str">
        <f t="shared" si="17"/>
        <v/>
      </c>
      <c r="M176" s="7" t="str">
        <f t="shared" si="18"/>
        <v/>
      </c>
      <c r="N176" s="21" t="str">
        <f t="shared" si="21"/>
        <v/>
      </c>
      <c r="O176" s="21" t="str">
        <f t="shared" si="22"/>
        <v/>
      </c>
      <c r="P176" s="21" t="str">
        <f t="shared" si="23"/>
        <v/>
      </c>
    </row>
    <row r="177" spans="1:16">
      <c r="A177" s="24">
        <v>40663</v>
      </c>
      <c r="B177" s="26">
        <v>-2.8440000000000002E-3</v>
      </c>
      <c r="C177" s="26">
        <v>-1.4515E-2</v>
      </c>
      <c r="D177" s="26">
        <v>8.6239999999999997E-3</v>
      </c>
      <c r="E177" s="26">
        <v>-6.9210000000000001E-3</v>
      </c>
      <c r="F177" s="26">
        <v>-1.3802E-2</v>
      </c>
      <c r="G177" s="26">
        <v>1.0401000000000001E-2</v>
      </c>
      <c r="H177" s="27">
        <f t="shared" si="19"/>
        <v>-3.1773333333333337E-3</v>
      </c>
      <c r="I177" s="20">
        <f t="shared" si="20"/>
        <v>0.79915569871549064</v>
      </c>
      <c r="J177" s="20">
        <f>MAX(I$42:I177)</f>
        <v>1.1409645468253968</v>
      </c>
      <c r="K177" s="7">
        <f t="shared" si="16"/>
        <v>-0.2995788511228944</v>
      </c>
      <c r="L177" s="7" t="str">
        <f t="shared" si="17"/>
        <v/>
      </c>
      <c r="M177" s="7" t="str">
        <f t="shared" si="18"/>
        <v/>
      </c>
      <c r="N177" s="21" t="str">
        <f t="shared" si="21"/>
        <v/>
      </c>
      <c r="O177" s="21" t="str">
        <f t="shared" si="22"/>
        <v/>
      </c>
      <c r="P177" s="21" t="str">
        <f t="shared" si="23"/>
        <v/>
      </c>
    </row>
    <row r="178" spans="1:16">
      <c r="A178" s="24">
        <v>40694</v>
      </c>
      <c r="B178" s="26">
        <v>1.0592000000000001E-2</v>
      </c>
      <c r="C178" s="26">
        <v>2.0143000000000001E-2</v>
      </c>
      <c r="D178" s="26">
        <v>1.403E-3</v>
      </c>
      <c r="E178" s="26">
        <v>1.3294E-2</v>
      </c>
      <c r="F178" s="26">
        <v>4.9280000000000001E-3</v>
      </c>
      <c r="G178" s="26">
        <v>2.3834999999999999E-2</v>
      </c>
      <c r="H178" s="27">
        <f t="shared" si="19"/>
        <v>1.0258666666666668E-2</v>
      </c>
      <c r="I178" s="20">
        <f t="shared" si="20"/>
        <v>0.80735397064337988</v>
      </c>
      <c r="J178" s="20">
        <f>MAX(I$42:I178)</f>
        <v>1.1409645468253968</v>
      </c>
      <c r="K178" s="7">
        <f t="shared" si="16"/>
        <v>-0.29239346403028044</v>
      </c>
      <c r="L178" s="7" t="str">
        <f t="shared" si="17"/>
        <v/>
      </c>
      <c r="M178" s="7" t="str">
        <f t="shared" si="18"/>
        <v/>
      </c>
      <c r="N178" s="21" t="str">
        <f t="shared" si="21"/>
        <v/>
      </c>
      <c r="O178" s="21" t="str">
        <f t="shared" si="22"/>
        <v/>
      </c>
      <c r="P178" s="21" t="str">
        <f t="shared" si="23"/>
        <v/>
      </c>
    </row>
    <row r="179" spans="1:16">
      <c r="A179" s="24">
        <v>40724</v>
      </c>
      <c r="B179" s="26">
        <v>-2.4136999999999999E-2</v>
      </c>
      <c r="C179" s="26">
        <v>-2.5735000000000001E-2</v>
      </c>
      <c r="D179" s="26">
        <v>-2.2575000000000001E-2</v>
      </c>
      <c r="E179" s="26">
        <v>-2.3678000000000001E-2</v>
      </c>
      <c r="F179" s="26">
        <v>-2.3703999999999999E-2</v>
      </c>
      <c r="G179" s="26">
        <v>6.0270000000000002E-3</v>
      </c>
      <c r="H179" s="27">
        <f t="shared" si="19"/>
        <v>-2.4470333333333334E-2</v>
      </c>
      <c r="I179" s="20">
        <f t="shared" si="20"/>
        <v>0.78759774986374609</v>
      </c>
      <c r="J179" s="20">
        <f>MAX(I$42:I179)</f>
        <v>1.1409645468253968</v>
      </c>
      <c r="K179" s="7">
        <f t="shared" si="16"/>
        <v>-0.30970883183430487</v>
      </c>
      <c r="L179" s="7" t="str">
        <f t="shared" si="17"/>
        <v/>
      </c>
      <c r="M179" s="7" t="str">
        <f t="shared" si="18"/>
        <v/>
      </c>
      <c r="N179" s="21" t="str">
        <f t="shared" si="21"/>
        <v/>
      </c>
      <c r="O179" s="21" t="str">
        <f t="shared" si="22"/>
        <v/>
      </c>
      <c r="P179" s="21" t="str">
        <f t="shared" si="23"/>
        <v/>
      </c>
    </row>
    <row r="180" spans="1:16">
      <c r="A180" s="24">
        <v>40755</v>
      </c>
      <c r="B180" s="26">
        <v>-9.3550000000000005E-3</v>
      </c>
      <c r="C180" s="26">
        <v>-1.1044999999999999E-2</v>
      </c>
      <c r="D180" s="26">
        <v>-7.6990000000000001E-3</v>
      </c>
      <c r="E180" s="26">
        <v>-6.9639999999999997E-3</v>
      </c>
      <c r="F180" s="26">
        <v>4.463E-3</v>
      </c>
      <c r="G180" s="26">
        <v>3.3432999999999997E-2</v>
      </c>
      <c r="H180" s="27">
        <f t="shared" si="19"/>
        <v>-9.6883333333333335E-3</v>
      </c>
      <c r="I180" s="20">
        <f t="shared" si="20"/>
        <v>0.77996724033048281</v>
      </c>
      <c r="J180" s="20">
        <f>MAX(I$42:I180)</f>
        <v>1.1409645468253968</v>
      </c>
      <c r="K180" s="7">
        <f t="shared" si="16"/>
        <v>-0.31639660276855019</v>
      </c>
      <c r="L180" s="7" t="str">
        <f t="shared" si="17"/>
        <v/>
      </c>
      <c r="M180" s="7" t="str">
        <f t="shared" si="18"/>
        <v/>
      </c>
      <c r="N180" s="21" t="str">
        <f t="shared" si="21"/>
        <v/>
      </c>
      <c r="O180" s="21" t="str">
        <f t="shared" si="22"/>
        <v/>
      </c>
      <c r="P180" s="21" t="str">
        <f t="shared" si="23"/>
        <v/>
      </c>
    </row>
    <row r="181" spans="1:16">
      <c r="A181" s="24">
        <v>40786</v>
      </c>
      <c r="B181" s="26">
        <v>-7.2262000000000007E-2</v>
      </c>
      <c r="C181" s="26">
        <v>-5.7854999999999997E-2</v>
      </c>
      <c r="D181" s="26">
        <v>-8.6323999999999998E-2</v>
      </c>
      <c r="E181" s="26">
        <v>-7.5245999999999993E-2</v>
      </c>
      <c r="F181" s="26">
        <v>-9.1137999999999997E-2</v>
      </c>
      <c r="G181" s="26">
        <v>4.1730999999999997E-2</v>
      </c>
      <c r="H181" s="27">
        <f t="shared" si="19"/>
        <v>-7.2595333333333345E-2</v>
      </c>
      <c r="I181" s="20">
        <f t="shared" si="20"/>
        <v>0.72334525852961129</v>
      </c>
      <c r="J181" s="20">
        <f>MAX(I$42:I181)</f>
        <v>1.1409645468253968</v>
      </c>
      <c r="K181" s="7">
        <f t="shared" si="16"/>
        <v>-0.36602301925836644</v>
      </c>
      <c r="L181" s="7" t="str">
        <f t="shared" si="17"/>
        <v/>
      </c>
      <c r="M181" s="7" t="str">
        <f t="shared" si="18"/>
        <v/>
      </c>
      <c r="N181" s="21" t="str">
        <f t="shared" si="21"/>
        <v/>
      </c>
      <c r="O181" s="21" t="str">
        <f t="shared" si="22"/>
        <v/>
      </c>
      <c r="P181" s="21" t="str">
        <f t="shared" si="23"/>
        <v/>
      </c>
    </row>
    <row r="182" spans="1:16">
      <c r="A182" s="24">
        <v>40816</v>
      </c>
      <c r="B182" s="26">
        <v>-1.9571000000000002E-2</v>
      </c>
      <c r="C182" s="26">
        <v>-4.5240000000000002E-3</v>
      </c>
      <c r="D182" s="26">
        <v>-3.4648999999999999E-2</v>
      </c>
      <c r="E182" s="26">
        <v>-3.0105E-2</v>
      </c>
      <c r="F182" s="26">
        <v>-8.3335999999999993E-2</v>
      </c>
      <c r="G182" s="26">
        <v>2.3231999999999999E-2</v>
      </c>
      <c r="H182" s="27">
        <f t="shared" si="19"/>
        <v>-1.9904333333333336E-2</v>
      </c>
      <c r="I182" s="20">
        <f t="shared" si="20"/>
        <v>0.70894755338875171</v>
      </c>
      <c r="J182" s="20">
        <f>MAX(I$42:I182)</f>
        <v>1.1409645468253968</v>
      </c>
      <c r="K182" s="7">
        <f t="shared" si="16"/>
        <v>-0.37864190840870815</v>
      </c>
      <c r="L182" s="7" t="str">
        <f t="shared" si="17"/>
        <v/>
      </c>
      <c r="M182" s="7" t="str">
        <f t="shared" si="18"/>
        <v/>
      </c>
      <c r="N182" s="21" t="str">
        <f t="shared" si="21"/>
        <v/>
      </c>
      <c r="O182" s="21" t="str">
        <f t="shared" si="22"/>
        <v/>
      </c>
      <c r="P182" s="21" t="str">
        <f t="shared" si="23"/>
        <v/>
      </c>
    </row>
    <row r="183" spans="1:16">
      <c r="A183" s="24">
        <v>40847</v>
      </c>
      <c r="B183" s="26">
        <v>6.1432E-2</v>
      </c>
      <c r="C183" s="26">
        <v>6.7169999999999994E-2</v>
      </c>
      <c r="D183" s="26">
        <v>5.5485E-2</v>
      </c>
      <c r="E183" s="26">
        <v>5.364E-2</v>
      </c>
      <c r="F183" s="26">
        <v>8.9342000000000005E-2</v>
      </c>
      <c r="G183" s="26">
        <v>-1.6655E-2</v>
      </c>
      <c r="H183" s="27">
        <f t="shared" si="19"/>
        <v>6.1098666666666669E-2</v>
      </c>
      <c r="I183" s="20">
        <f t="shared" si="20"/>
        <v>0.7522633036373999</v>
      </c>
      <c r="J183" s="20">
        <f>MAX(I$42:I183)</f>
        <v>1.1409645468253968</v>
      </c>
      <c r="K183" s="7">
        <f t="shared" si="16"/>
        <v>-0.34067775748993567</v>
      </c>
      <c r="L183" s="7" t="str">
        <f t="shared" si="17"/>
        <v/>
      </c>
      <c r="M183" s="7" t="str">
        <f t="shared" si="18"/>
        <v/>
      </c>
      <c r="N183" s="21" t="str">
        <f t="shared" si="21"/>
        <v/>
      </c>
      <c r="O183" s="21" t="str">
        <f t="shared" si="22"/>
        <v/>
      </c>
      <c r="P183" s="21" t="str">
        <f t="shared" si="23"/>
        <v/>
      </c>
    </row>
    <row r="184" spans="1:16">
      <c r="A184" s="24">
        <v>40877</v>
      </c>
      <c r="B184" s="26">
        <v>1.0843E-2</v>
      </c>
      <c r="C184" s="26">
        <v>3.2421999999999999E-2</v>
      </c>
      <c r="D184" s="26">
        <v>-1.1749000000000001E-2</v>
      </c>
      <c r="E184" s="26">
        <v>-1.516E-3</v>
      </c>
      <c r="F184" s="26">
        <v>-3.2912999999999998E-2</v>
      </c>
      <c r="G184" s="26">
        <v>-1.3705E-2</v>
      </c>
      <c r="H184" s="27">
        <f t="shared" si="19"/>
        <v>1.0509666666666667E-2</v>
      </c>
      <c r="I184" s="20">
        <f t="shared" si="20"/>
        <v>0.76016934020419447</v>
      </c>
      <c r="J184" s="20">
        <f>MAX(I$42:I184)</f>
        <v>1.1409645468253968</v>
      </c>
      <c r="K184" s="7">
        <f t="shared" si="16"/>
        <v>-0.33374850049523574</v>
      </c>
      <c r="L184" s="7" t="str">
        <f t="shared" si="17"/>
        <v/>
      </c>
      <c r="M184" s="7" t="str">
        <f t="shared" si="18"/>
        <v/>
      </c>
      <c r="N184" s="21" t="str">
        <f t="shared" si="21"/>
        <v/>
      </c>
      <c r="O184" s="21" t="str">
        <f t="shared" si="22"/>
        <v/>
      </c>
      <c r="P184" s="21" t="str">
        <f t="shared" si="23"/>
        <v/>
      </c>
    </row>
    <row r="185" spans="1:16">
      <c r="A185" s="24">
        <v>40908</v>
      </c>
      <c r="B185" s="26">
        <v>3.6399000000000001E-2</v>
      </c>
      <c r="C185" s="26">
        <v>4.6228999999999999E-2</v>
      </c>
      <c r="D185" s="26">
        <v>2.5662000000000001E-2</v>
      </c>
      <c r="E185" s="26">
        <v>2.7324000000000001E-2</v>
      </c>
      <c r="F185" s="26">
        <v>2.4476999999999999E-2</v>
      </c>
      <c r="G185" s="26">
        <v>4.7572999999999997E-2</v>
      </c>
      <c r="H185" s="27">
        <f t="shared" si="19"/>
        <v>3.6065666666666669E-2</v>
      </c>
      <c r="I185" s="20">
        <f t="shared" si="20"/>
        <v>0.78758535423821896</v>
      </c>
      <c r="J185" s="20">
        <f>MAX(I$42:I185)</f>
        <v>1.1409645468253968</v>
      </c>
      <c r="K185" s="7">
        <f t="shared" si="16"/>
        <v>-0.30971969599793003</v>
      </c>
      <c r="L185" s="7" t="str">
        <f t="shared" si="17"/>
        <v/>
      </c>
      <c r="M185" s="7" t="str">
        <f t="shared" si="18"/>
        <v/>
      </c>
      <c r="N185" s="21" t="str">
        <f t="shared" si="21"/>
        <v/>
      </c>
      <c r="O185" s="21" t="str">
        <f t="shared" si="22"/>
        <v/>
      </c>
      <c r="P185" s="21" t="str">
        <f t="shared" si="23"/>
        <v/>
      </c>
    </row>
    <row r="186" spans="1:16">
      <c r="A186" s="24">
        <v>40939</v>
      </c>
      <c r="B186" s="26">
        <v>4.1433999999999999E-2</v>
      </c>
      <c r="C186" s="26">
        <v>3.8024000000000002E-2</v>
      </c>
      <c r="D186" s="26">
        <v>4.5217E-2</v>
      </c>
      <c r="E186" s="26">
        <v>5.4404000000000001E-2</v>
      </c>
      <c r="F186" s="26">
        <v>0.104154</v>
      </c>
      <c r="G186" s="26">
        <v>1.658E-3</v>
      </c>
      <c r="H186" s="27">
        <f t="shared" si="19"/>
        <v>4.1100666666666667E-2</v>
      </c>
      <c r="I186" s="20">
        <f t="shared" si="20"/>
        <v>0.81995563735431254</v>
      </c>
      <c r="J186" s="20">
        <f>MAX(I$42:I186)</f>
        <v>1.1409645468253968</v>
      </c>
      <c r="K186" s="7">
        <f t="shared" si="16"/>
        <v>-0.28134871531657557</v>
      </c>
      <c r="L186" s="7" t="str">
        <f t="shared" si="17"/>
        <v/>
      </c>
      <c r="M186" s="7" t="str">
        <f t="shared" si="18"/>
        <v/>
      </c>
      <c r="N186" s="21" t="str">
        <f t="shared" si="21"/>
        <v/>
      </c>
      <c r="O186" s="21" t="str">
        <f t="shared" si="22"/>
        <v/>
      </c>
      <c r="P186" s="21" t="str">
        <f t="shared" si="23"/>
        <v/>
      </c>
    </row>
    <row r="187" spans="1:16">
      <c r="A187" s="24">
        <v>40968</v>
      </c>
      <c r="B187" s="26">
        <v>2.6391999999999999E-2</v>
      </c>
      <c r="C187" s="26">
        <v>2.095E-2</v>
      </c>
      <c r="D187" s="26">
        <v>3.2384999999999997E-2</v>
      </c>
      <c r="E187" s="26">
        <v>2.7762999999999999E-2</v>
      </c>
      <c r="F187" s="26">
        <v>3.7199000000000003E-2</v>
      </c>
      <c r="G187" s="26">
        <v>3.444E-3</v>
      </c>
      <c r="H187" s="27">
        <f t="shared" si="19"/>
        <v>2.6058666666666664E-2</v>
      </c>
      <c r="I187" s="20">
        <f t="shared" si="20"/>
        <v>0.84132258798958282</v>
      </c>
      <c r="J187" s="20">
        <f>MAX(I$42:I187)</f>
        <v>1.1409645468253968</v>
      </c>
      <c r="K187" s="7">
        <f t="shared" si="16"/>
        <v>-0.26262162103943842</v>
      </c>
      <c r="L187" s="7" t="str">
        <f t="shared" si="17"/>
        <v/>
      </c>
      <c r="M187" s="7" t="str">
        <f t="shared" si="18"/>
        <v/>
      </c>
      <c r="N187" s="21" t="str">
        <f t="shared" si="21"/>
        <v/>
      </c>
      <c r="O187" s="21" t="str">
        <f t="shared" si="22"/>
        <v/>
      </c>
      <c r="P187" s="21" t="str">
        <f t="shared" si="23"/>
        <v/>
      </c>
    </row>
    <row r="188" spans="1:16">
      <c r="A188" s="24">
        <v>40999</v>
      </c>
      <c r="B188" s="26">
        <v>1.7412E-2</v>
      </c>
      <c r="C188" s="26">
        <v>3.6197E-2</v>
      </c>
      <c r="D188" s="26">
        <v>-2.9290000000000002E-3</v>
      </c>
      <c r="E188" s="26">
        <v>1.2739E-2</v>
      </c>
      <c r="F188" s="26">
        <v>-2.9024000000000001E-2</v>
      </c>
      <c r="G188" s="26">
        <v>-1.4200000000000001E-4</v>
      </c>
      <c r="H188" s="27">
        <f t="shared" si="19"/>
        <v>1.7078666666666666E-2</v>
      </c>
      <c r="I188" s="20">
        <f t="shared" si="20"/>
        <v>0.85569125602899421</v>
      </c>
      <c r="J188" s="20">
        <f>MAX(I$42:I188)</f>
        <v>1.1409645468253968</v>
      </c>
      <c r="K188" s="7">
        <f t="shared" si="16"/>
        <v>-0.25002818149796402</v>
      </c>
      <c r="L188" s="7" t="str">
        <f t="shared" si="17"/>
        <v/>
      </c>
      <c r="M188" s="7" t="str">
        <f t="shared" si="18"/>
        <v/>
      </c>
      <c r="N188" s="21" t="str">
        <f t="shared" si="21"/>
        <v/>
      </c>
      <c r="O188" s="21" t="str">
        <f t="shared" si="22"/>
        <v/>
      </c>
      <c r="P188" s="21" t="str">
        <f t="shared" si="23"/>
        <v/>
      </c>
    </row>
    <row r="189" spans="1:16">
      <c r="A189" s="24">
        <v>41029</v>
      </c>
      <c r="B189" s="26">
        <v>-5.2680000000000001E-3</v>
      </c>
      <c r="C189" s="26">
        <v>-2.6400000000000002E-4</v>
      </c>
      <c r="D189" s="26">
        <v>-1.0923E-2</v>
      </c>
      <c r="E189" s="26">
        <v>-1.0581E-2</v>
      </c>
      <c r="F189" s="26">
        <v>-5.8669999999999998E-3</v>
      </c>
      <c r="G189" s="26">
        <v>1.8773999999999999E-2</v>
      </c>
      <c r="H189" s="27">
        <f t="shared" si="19"/>
        <v>-5.6013333333333332E-3</v>
      </c>
      <c r="I189" s="20">
        <f t="shared" si="20"/>
        <v>0.85089824407355708</v>
      </c>
      <c r="J189" s="20">
        <f>MAX(I$42:I189)</f>
        <v>1.1409645468253968</v>
      </c>
      <c r="K189" s="7">
        <f t="shared" si="16"/>
        <v>-0.25422902364400013</v>
      </c>
      <c r="L189" s="7" t="str">
        <f t="shared" si="17"/>
        <v/>
      </c>
      <c r="M189" s="7" t="str">
        <f t="shared" si="18"/>
        <v/>
      </c>
      <c r="N189" s="21" t="str">
        <f t="shared" si="21"/>
        <v/>
      </c>
      <c r="O189" s="21" t="str">
        <f t="shared" si="22"/>
        <v/>
      </c>
      <c r="P189" s="21" t="str">
        <f t="shared" si="23"/>
        <v/>
      </c>
    </row>
    <row r="190" spans="1:16">
      <c r="A190" s="24">
        <v>41060</v>
      </c>
      <c r="B190" s="26">
        <v>-2.1961000000000001E-2</v>
      </c>
      <c r="C190" s="26">
        <v>3.8899999999999998E-3</v>
      </c>
      <c r="D190" s="26">
        <v>-5.1590999999999998E-2</v>
      </c>
      <c r="E190" s="26">
        <v>-3.6201999999999998E-2</v>
      </c>
      <c r="F190" s="26">
        <v>-4.9599999999999998E-2</v>
      </c>
      <c r="G190" s="26">
        <v>4.0176999999999997E-2</v>
      </c>
      <c r="H190" s="27">
        <f t="shared" si="19"/>
        <v>-2.2294333333333336E-2</v>
      </c>
      <c r="I190" s="20">
        <f t="shared" si="20"/>
        <v>0.83192803498743317</v>
      </c>
      <c r="J190" s="20">
        <f>MAX(I$42:I190)</f>
        <v>1.1409645468253968</v>
      </c>
      <c r="K190" s="7">
        <f t="shared" si="16"/>
        <v>-0.27085549038120627</v>
      </c>
      <c r="L190" s="7" t="str">
        <f t="shared" si="17"/>
        <v/>
      </c>
      <c r="M190" s="7" t="str">
        <f t="shared" si="18"/>
        <v/>
      </c>
      <c r="N190" s="21" t="str">
        <f t="shared" si="21"/>
        <v/>
      </c>
      <c r="O190" s="21" t="str">
        <f t="shared" si="22"/>
        <v/>
      </c>
      <c r="P190" s="21" t="str">
        <f t="shared" si="23"/>
        <v/>
      </c>
    </row>
    <row r="191" spans="1:16">
      <c r="A191" s="24">
        <v>41090</v>
      </c>
      <c r="B191" s="26">
        <v>2.3963999999999999E-2</v>
      </c>
      <c r="C191" s="26">
        <v>1.2312999999999999E-2</v>
      </c>
      <c r="D191" s="26">
        <v>3.8150000000000003E-2</v>
      </c>
      <c r="E191" s="26">
        <v>2.2241E-2</v>
      </c>
      <c r="F191" s="26">
        <v>1.1913E-2</v>
      </c>
      <c r="G191" s="26">
        <v>-3.0494E-2</v>
      </c>
      <c r="H191" s="27">
        <f t="shared" si="19"/>
        <v>2.3630666666666664E-2</v>
      </c>
      <c r="I191" s="20">
        <f t="shared" si="20"/>
        <v>0.85158704907287619</v>
      </c>
      <c r="J191" s="20">
        <f>MAX(I$42:I191)</f>
        <v>1.1409645468253968</v>
      </c>
      <c r="K191" s="7">
        <f t="shared" si="16"/>
        <v>-0.2536253195225745</v>
      </c>
      <c r="L191" s="7" t="str">
        <f t="shared" si="17"/>
        <v/>
      </c>
      <c r="M191" s="7" t="str">
        <f t="shared" si="18"/>
        <v/>
      </c>
      <c r="N191" s="21" t="str">
        <f t="shared" si="21"/>
        <v/>
      </c>
      <c r="O191" s="21" t="str">
        <f t="shared" si="22"/>
        <v/>
      </c>
      <c r="P191" s="21" t="str">
        <f t="shared" si="23"/>
        <v/>
      </c>
    </row>
    <row r="192" spans="1:16">
      <c r="A192" s="24">
        <v>41121</v>
      </c>
      <c r="B192" s="26">
        <v>4.3691000000000001E-2</v>
      </c>
      <c r="C192" s="26">
        <v>4.4037E-2</v>
      </c>
      <c r="D192" s="26">
        <v>4.3281E-2</v>
      </c>
      <c r="E192" s="26">
        <v>3.3456E-2</v>
      </c>
      <c r="F192" s="26">
        <v>5.0553000000000001E-2</v>
      </c>
      <c r="G192" s="26">
        <v>2.7132E-2</v>
      </c>
      <c r="H192" s="27">
        <f t="shared" si="19"/>
        <v>4.3357666666666669E-2</v>
      </c>
      <c r="I192" s="20">
        <f t="shared" si="20"/>
        <v>0.88850987648422819</v>
      </c>
      <c r="J192" s="20">
        <f>MAX(I$42:I192)</f>
        <v>1.1409645468253968</v>
      </c>
      <c r="K192" s="7">
        <f t="shared" si="16"/>
        <v>-0.22126425491799451</v>
      </c>
      <c r="L192" s="7" t="str">
        <f t="shared" si="17"/>
        <v/>
      </c>
      <c r="M192" s="7" t="str">
        <f t="shared" si="18"/>
        <v/>
      </c>
      <c r="N192" s="21" t="str">
        <f t="shared" si="21"/>
        <v/>
      </c>
      <c r="O192" s="21" t="str">
        <f t="shared" si="22"/>
        <v/>
      </c>
      <c r="P192" s="21" t="str">
        <f t="shared" si="23"/>
        <v/>
      </c>
    </row>
    <row r="193" spans="1:16">
      <c r="A193" s="24">
        <v>41152</v>
      </c>
      <c r="B193" s="26">
        <v>1.8079999999999999E-3</v>
      </c>
      <c r="C193" s="26">
        <v>-8.1999999999999998E-4</v>
      </c>
      <c r="D193" s="26">
        <v>4.9109999999999996E-3</v>
      </c>
      <c r="E193" s="26">
        <v>1.201E-3</v>
      </c>
      <c r="F193" s="26">
        <v>-2.6221999999999999E-2</v>
      </c>
      <c r="G193" s="26">
        <v>2.9100000000000003E-4</v>
      </c>
      <c r="H193" s="27">
        <f t="shared" si="19"/>
        <v>1.4746666666666667E-3</v>
      </c>
      <c r="I193" s="20">
        <f t="shared" si="20"/>
        <v>0.88982013238208368</v>
      </c>
      <c r="J193" s="20">
        <f>MAX(I$42:I193)</f>
        <v>1.1409645468253968</v>
      </c>
      <c r="K193" s="7">
        <f t="shared" si="16"/>
        <v>-0.22011587927258014</v>
      </c>
      <c r="L193" s="7" t="str">
        <f t="shared" si="17"/>
        <v/>
      </c>
      <c r="M193" s="7" t="str">
        <f t="shared" si="18"/>
        <v/>
      </c>
      <c r="N193" s="21" t="str">
        <f t="shared" si="21"/>
        <v/>
      </c>
      <c r="O193" s="21" t="str">
        <f t="shared" si="22"/>
        <v/>
      </c>
      <c r="P193" s="21" t="str">
        <f t="shared" si="23"/>
        <v/>
      </c>
    </row>
    <row r="194" spans="1:16">
      <c r="A194" s="24">
        <v>41182</v>
      </c>
      <c r="B194" s="26">
        <v>6.7029999999999998E-3</v>
      </c>
      <c r="C194" s="26">
        <v>4.2969999999999996E-3</v>
      </c>
      <c r="D194" s="26">
        <v>9.5359999999999993E-3</v>
      </c>
      <c r="E194" s="26">
        <v>1.0089000000000001E-2</v>
      </c>
      <c r="F194" s="26">
        <v>3.8913000000000003E-2</v>
      </c>
      <c r="G194" s="26">
        <v>-6.0889999999999998E-3</v>
      </c>
      <c r="H194" s="27">
        <f t="shared" si="19"/>
        <v>6.3696666666666667E-3</v>
      </c>
      <c r="I194" s="20">
        <f t="shared" si="20"/>
        <v>0.89548799001864676</v>
      </c>
      <c r="J194" s="20">
        <f>MAX(I$42:I194)</f>
        <v>1.1409645468253968</v>
      </c>
      <c r="K194" s="7">
        <f t="shared" si="16"/>
        <v>-0.21514827738492004</v>
      </c>
      <c r="L194" s="7" t="str">
        <f t="shared" si="17"/>
        <v/>
      </c>
      <c r="M194" s="7" t="str">
        <f t="shared" si="18"/>
        <v/>
      </c>
      <c r="N194" s="21" t="str">
        <f t="shared" si="21"/>
        <v/>
      </c>
      <c r="O194" s="21" t="str">
        <f t="shared" si="22"/>
        <v/>
      </c>
      <c r="P194" s="21" t="str">
        <f t="shared" si="23"/>
        <v/>
      </c>
    </row>
    <row r="195" spans="1:16">
      <c r="A195" s="24">
        <v>41213</v>
      </c>
      <c r="B195" s="26">
        <v>-1.3880999999999999E-2</v>
      </c>
      <c r="C195" s="26">
        <v>-2.5503999999999999E-2</v>
      </c>
      <c r="D195" s="26">
        <v>-2.22E-4</v>
      </c>
      <c r="E195" s="26">
        <v>-7.2519999999999998E-3</v>
      </c>
      <c r="F195" s="26">
        <v>-1.3205E-2</v>
      </c>
      <c r="G195" s="26">
        <v>-4.1780000000000003E-3</v>
      </c>
      <c r="H195" s="27">
        <f t="shared" si="19"/>
        <v>-1.4214333333333332E-2</v>
      </c>
      <c r="I195" s="20">
        <f t="shared" si="20"/>
        <v>0.88275922523252504</v>
      </c>
      <c r="J195" s="20">
        <f>MAX(I$42:I195)</f>
        <v>1.1409645468253968</v>
      </c>
      <c r="K195" s="7">
        <f t="shared" si="16"/>
        <v>-0.22630442138741169</v>
      </c>
      <c r="L195" s="7" t="str">
        <f t="shared" si="17"/>
        <v/>
      </c>
      <c r="M195" s="7" t="str">
        <f t="shared" si="18"/>
        <v/>
      </c>
      <c r="N195" s="21" t="str">
        <f t="shared" si="21"/>
        <v/>
      </c>
      <c r="O195" s="21" t="str">
        <f t="shared" si="22"/>
        <v/>
      </c>
      <c r="P195" s="21" t="str">
        <f t="shared" si="23"/>
        <v/>
      </c>
    </row>
    <row r="196" spans="1:16">
      <c r="A196" s="24">
        <v>41243</v>
      </c>
      <c r="B196" s="26">
        <v>9.0659999999999994E-3</v>
      </c>
      <c r="C196" s="26">
        <v>1.916E-3</v>
      </c>
      <c r="D196" s="26">
        <v>1.7267000000000001E-2</v>
      </c>
      <c r="E196" s="26">
        <v>1.3032E-2</v>
      </c>
      <c r="F196" s="26">
        <v>8.9569999999999997E-3</v>
      </c>
      <c r="G196" s="26">
        <v>1.3247999999999999E-2</v>
      </c>
      <c r="H196" s="27">
        <f t="shared" si="19"/>
        <v>8.7326666666666664E-3</v>
      </c>
      <c r="I196" s="20">
        <f t="shared" si="20"/>
        <v>0.89046806729340566</v>
      </c>
      <c r="J196" s="20">
        <f>MAX(I$42:I196)</f>
        <v>1.1409645468253968</v>
      </c>
      <c r="K196" s="7">
        <f t="shared" si="16"/>
        <v>-0.21954799579791406</v>
      </c>
      <c r="L196" s="7" t="str">
        <f t="shared" si="17"/>
        <v/>
      </c>
      <c r="M196" s="7" t="str">
        <f t="shared" si="18"/>
        <v/>
      </c>
      <c r="N196" s="21" t="str">
        <f t="shared" si="21"/>
        <v/>
      </c>
      <c r="O196" s="21" t="str">
        <f t="shared" si="22"/>
        <v/>
      </c>
      <c r="P196" s="21" t="str">
        <f t="shared" si="23"/>
        <v/>
      </c>
    </row>
    <row r="197" spans="1:16">
      <c r="A197" s="24">
        <v>41274</v>
      </c>
      <c r="B197" s="26">
        <v>5.0489999999999997E-3</v>
      </c>
      <c r="C197" s="26">
        <v>-4.9319999999999998E-3</v>
      </c>
      <c r="D197" s="26">
        <v>1.6312E-2</v>
      </c>
      <c r="E197" s="26">
        <v>1.6382000000000001E-2</v>
      </c>
      <c r="F197" s="26">
        <v>3.4735000000000002E-2</v>
      </c>
      <c r="G197" s="26">
        <v>9.5130000000000006E-3</v>
      </c>
      <c r="H197" s="27">
        <f t="shared" si="19"/>
        <v>4.7156666666666666E-3</v>
      </c>
      <c r="I197" s="20">
        <f t="shared" si="20"/>
        <v>0.89466721787607217</v>
      </c>
      <c r="J197" s="20">
        <f>MAX(I$42:I197)</f>
        <v>1.1409645468253968</v>
      </c>
      <c r="K197" s="7">
        <f t="shared" si="16"/>
        <v>-0.21586764429676519</v>
      </c>
      <c r="L197" s="7" t="str">
        <f t="shared" si="17"/>
        <v/>
      </c>
      <c r="M197" s="7" t="str">
        <f t="shared" si="18"/>
        <v/>
      </c>
      <c r="N197" s="21" t="str">
        <f t="shared" si="21"/>
        <v/>
      </c>
      <c r="O197" s="21" t="str">
        <f t="shared" si="22"/>
        <v/>
      </c>
      <c r="P197" s="21" t="str">
        <f t="shared" si="23"/>
        <v/>
      </c>
    </row>
    <row r="198" spans="1:16">
      <c r="A198" s="24">
        <v>41305</v>
      </c>
      <c r="B198" s="26">
        <v>2.0747999999999999E-2</v>
      </c>
      <c r="C198" s="26">
        <v>2.2284000000000002E-2</v>
      </c>
      <c r="D198" s="26">
        <v>1.9043000000000001E-2</v>
      </c>
      <c r="E198" s="26">
        <v>2.1394E-2</v>
      </c>
      <c r="F198" s="26">
        <v>-1.5339999999999999E-2</v>
      </c>
      <c r="G198" s="26">
        <v>-2.3363999999999999E-2</v>
      </c>
      <c r="H198" s="27">
        <f t="shared" si="19"/>
        <v>2.0414666666666664E-2</v>
      </c>
      <c r="I198" s="20">
        <f t="shared" si="20"/>
        <v>0.91293155090660627</v>
      </c>
      <c r="J198" s="20">
        <f>MAX(I$42:I198)</f>
        <v>1.1409645468253968</v>
      </c>
      <c r="K198" s="7">
        <f t="shared" si="16"/>
        <v>-0.19985984363253551</v>
      </c>
      <c r="L198" s="7" t="str">
        <f t="shared" si="17"/>
        <v/>
      </c>
      <c r="M198" s="7" t="str">
        <f t="shared" si="18"/>
        <v/>
      </c>
      <c r="N198" s="21" t="str">
        <f t="shared" si="21"/>
        <v/>
      </c>
      <c r="O198" s="21" t="str">
        <f t="shared" si="22"/>
        <v/>
      </c>
      <c r="P198" s="21" t="str">
        <f t="shared" si="23"/>
        <v/>
      </c>
    </row>
    <row r="199" spans="1:16">
      <c r="A199" s="24">
        <v>41333</v>
      </c>
      <c r="B199" s="26">
        <v>3.9996999999999998E-2</v>
      </c>
      <c r="C199" s="26">
        <v>5.0888999999999997E-2</v>
      </c>
      <c r="D199" s="26">
        <v>2.7931999999999998E-2</v>
      </c>
      <c r="E199" s="26">
        <v>4.4365000000000002E-2</v>
      </c>
      <c r="F199" s="26">
        <v>2.5239999999999999E-2</v>
      </c>
      <c r="G199" s="26">
        <v>1.3259E-2</v>
      </c>
      <c r="H199" s="27">
        <f t="shared" si="19"/>
        <v>3.9663666666666667E-2</v>
      </c>
      <c r="I199" s="20">
        <f t="shared" si="20"/>
        <v>0.94914176363124902</v>
      </c>
      <c r="J199" s="20">
        <f>MAX(I$42:I199)</f>
        <v>1.1409645468253968</v>
      </c>
      <c r="K199" s="7">
        <f t="shared" si="16"/>
        <v>-0.16812335118376176</v>
      </c>
      <c r="L199" s="7" t="str">
        <f t="shared" si="17"/>
        <v/>
      </c>
      <c r="M199" s="7" t="str">
        <f t="shared" si="18"/>
        <v/>
      </c>
      <c r="N199" s="21" t="str">
        <f t="shared" si="21"/>
        <v/>
      </c>
      <c r="O199" s="21" t="str">
        <f t="shared" si="22"/>
        <v/>
      </c>
      <c r="P199" s="21" t="str">
        <f t="shared" si="23"/>
        <v/>
      </c>
    </row>
    <row r="200" spans="1:16">
      <c r="A200" s="24">
        <v>41364</v>
      </c>
      <c r="B200" s="26">
        <v>4.1949E-2</v>
      </c>
      <c r="C200" s="26">
        <v>5.5932999999999997E-2</v>
      </c>
      <c r="D200" s="26">
        <v>2.6173999999999999E-2</v>
      </c>
      <c r="E200" s="26">
        <v>4.4060000000000002E-2</v>
      </c>
      <c r="F200" s="26">
        <v>5.71E-4</v>
      </c>
      <c r="G200" s="26">
        <v>1.9743E-2</v>
      </c>
      <c r="H200" s="27">
        <f t="shared" si="19"/>
        <v>4.1615666666666669E-2</v>
      </c>
      <c r="I200" s="20">
        <f t="shared" si="20"/>
        <v>0.9886409308859393</v>
      </c>
      <c r="J200" s="20">
        <f>MAX(I$42:I200)</f>
        <v>1.1409645468253968</v>
      </c>
      <c r="K200" s="7">
        <f t="shared" si="16"/>
        <v>-0.13350424985884146</v>
      </c>
      <c r="L200" s="7" t="str">
        <f t="shared" si="17"/>
        <v/>
      </c>
      <c r="M200" s="7" t="str">
        <f t="shared" si="18"/>
        <v/>
      </c>
      <c r="N200" s="21" t="str">
        <f t="shared" si="21"/>
        <v/>
      </c>
      <c r="O200" s="21" t="str">
        <f t="shared" si="22"/>
        <v/>
      </c>
      <c r="P200" s="21" t="str">
        <f t="shared" si="23"/>
        <v/>
      </c>
    </row>
    <row r="201" spans="1:16">
      <c r="A201" s="24">
        <v>41394</v>
      </c>
      <c r="B201" s="26">
        <v>4.6569999999999997E-3</v>
      </c>
      <c r="C201" s="26">
        <v>-7.0809999999999996E-3</v>
      </c>
      <c r="D201" s="26">
        <v>1.8352E-2</v>
      </c>
      <c r="E201" s="26">
        <v>8.7349999999999997E-3</v>
      </c>
      <c r="F201" s="26">
        <v>-1.8676999999999999E-2</v>
      </c>
      <c r="G201" s="26">
        <v>6.6600000000000001E-3</v>
      </c>
      <c r="H201" s="27">
        <f t="shared" si="19"/>
        <v>4.3236666666666666E-3</v>
      </c>
      <c r="I201" s="20">
        <f t="shared" si="20"/>
        <v>0.99291548472411306</v>
      </c>
      <c r="J201" s="20">
        <f>MAX(I$42:I201)</f>
        <v>1.1409645468253968</v>
      </c>
      <c r="K201" s="7">
        <f t="shared" si="16"/>
        <v>-0.12975781106714779</v>
      </c>
      <c r="L201" s="7" t="str">
        <f t="shared" si="17"/>
        <v/>
      </c>
      <c r="M201" s="7" t="str">
        <f t="shared" si="18"/>
        <v/>
      </c>
      <c r="N201" s="21" t="str">
        <f t="shared" si="21"/>
        <v/>
      </c>
      <c r="O201" s="21" t="str">
        <f t="shared" si="22"/>
        <v/>
      </c>
      <c r="P201" s="21" t="str">
        <f t="shared" si="23"/>
        <v/>
      </c>
    </row>
    <row r="202" spans="1:16">
      <c r="A202" s="24">
        <v>41425</v>
      </c>
      <c r="B202" s="26">
        <v>1.7668E-2</v>
      </c>
      <c r="C202" s="26">
        <v>3.7956999999999998E-2</v>
      </c>
      <c r="D202" s="26">
        <v>-5.4980000000000003E-3</v>
      </c>
      <c r="E202" s="26">
        <v>7.6909999999999999E-3</v>
      </c>
      <c r="F202" s="26">
        <v>-8.8140000000000007E-3</v>
      </c>
      <c r="G202" s="26">
        <v>-2.1815000000000001E-2</v>
      </c>
      <c r="H202" s="27">
        <f t="shared" si="19"/>
        <v>1.7334666666666665E-2</v>
      </c>
      <c r="I202" s="20">
        <f t="shared" si="20"/>
        <v>1.0101273436799774</v>
      </c>
      <c r="J202" s="20">
        <f>MAX(I$42:I202)</f>
        <v>1.1409645468253968</v>
      </c>
      <c r="K202" s="7">
        <f t="shared" si="16"/>
        <v>-0.11467245280272642</v>
      </c>
      <c r="L202" s="7" t="str">
        <f t="shared" si="17"/>
        <v/>
      </c>
      <c r="M202" s="7" t="str">
        <f t="shared" si="18"/>
        <v/>
      </c>
      <c r="N202" s="21" t="str">
        <f t="shared" si="21"/>
        <v/>
      </c>
      <c r="O202" s="21" t="str">
        <f t="shared" si="22"/>
        <v/>
      </c>
      <c r="P202" s="21" t="str">
        <f t="shared" si="23"/>
        <v/>
      </c>
    </row>
    <row r="203" spans="1:16">
      <c r="A203" s="24">
        <v>41455</v>
      </c>
      <c r="B203" s="26">
        <v>-2.7529999999999999E-2</v>
      </c>
      <c r="C203" s="26">
        <v>-1.6747000000000001E-2</v>
      </c>
      <c r="D203" s="26">
        <v>-4.0311E-2</v>
      </c>
      <c r="E203" s="26">
        <v>-2.7345999999999999E-2</v>
      </c>
      <c r="F203" s="26">
        <v>-6.6431000000000004E-2</v>
      </c>
      <c r="G203" s="26">
        <v>-2.1309000000000002E-2</v>
      </c>
      <c r="H203" s="27">
        <f t="shared" si="19"/>
        <v>-2.7863333333333334E-2</v>
      </c>
      <c r="I203" s="20">
        <f t="shared" si="20"/>
        <v>0.98198182879390761</v>
      </c>
      <c r="J203" s="20">
        <f>MAX(I$42:I203)</f>
        <v>1.1409645468253968</v>
      </c>
      <c r="K203" s="7">
        <f t="shared" si="16"/>
        <v>-0.13934062935946645</v>
      </c>
      <c r="L203" s="7" t="str">
        <f t="shared" si="17"/>
        <v/>
      </c>
      <c r="M203" s="7" t="str">
        <f t="shared" si="18"/>
        <v/>
      </c>
      <c r="N203" s="21" t="str">
        <f t="shared" si="21"/>
        <v/>
      </c>
      <c r="O203" s="21" t="str">
        <f t="shared" si="22"/>
        <v/>
      </c>
      <c r="P203" s="21" t="str">
        <f t="shared" si="23"/>
        <v/>
      </c>
    </row>
    <row r="204" spans="1:16">
      <c r="A204" s="24">
        <v>41486</v>
      </c>
      <c r="B204" s="26">
        <v>3.0453000000000001E-2</v>
      </c>
      <c r="C204" s="26">
        <v>3.0002999999999998E-2</v>
      </c>
      <c r="D204" s="26">
        <v>3.0995999999999999E-2</v>
      </c>
      <c r="E204" s="26">
        <v>2.8308E-2</v>
      </c>
      <c r="F204" s="26">
        <v>-1.0861000000000001E-2</v>
      </c>
      <c r="G204" s="26">
        <v>1.467E-3</v>
      </c>
      <c r="H204" s="27">
        <f t="shared" si="19"/>
        <v>3.0119666666666666E-2</v>
      </c>
      <c r="I204" s="20">
        <f t="shared" si="20"/>
        <v>1.011558794149904</v>
      </c>
      <c r="J204" s="20">
        <f>MAX(I$42:I204)</f>
        <v>1.1409645468253968</v>
      </c>
      <c r="K204" s="7">
        <f t="shared" si="16"/>
        <v>-0.11341785600223031</v>
      </c>
      <c r="L204" s="7" t="str">
        <f t="shared" si="17"/>
        <v/>
      </c>
      <c r="M204" s="7" t="str">
        <f t="shared" si="18"/>
        <v/>
      </c>
      <c r="N204" s="21" t="str">
        <f t="shared" si="21"/>
        <v/>
      </c>
      <c r="O204" s="21" t="str">
        <f t="shared" si="22"/>
        <v/>
      </c>
      <c r="P204" s="21" t="str">
        <f t="shared" si="23"/>
        <v/>
      </c>
    </row>
    <row r="205" spans="1:16">
      <c r="A205" s="24">
        <v>41517</v>
      </c>
      <c r="B205" s="26">
        <v>-1.4421E-2</v>
      </c>
      <c r="C205" s="26">
        <v>-2.1425E-2</v>
      </c>
      <c r="D205" s="26">
        <v>-5.9620000000000003E-3</v>
      </c>
      <c r="E205" s="26">
        <v>-1.0617E-2</v>
      </c>
      <c r="F205" s="26">
        <v>-1.0283E-2</v>
      </c>
      <c r="G205" s="26">
        <v>-1.4630000000000001E-2</v>
      </c>
      <c r="H205" s="27">
        <f t="shared" si="19"/>
        <v>-1.4754333333333333E-2</v>
      </c>
      <c r="I205" s="20">
        <f t="shared" si="20"/>
        <v>0.99663391851475158</v>
      </c>
      <c r="J205" s="20">
        <f>MAX(I$42:I205)</f>
        <v>1.1409645468253968</v>
      </c>
      <c r="K205" s="7">
        <f t="shared" si="16"/>
        <v>-0.12649878448215479</v>
      </c>
      <c r="L205" s="7" t="str">
        <f t="shared" si="17"/>
        <v/>
      </c>
      <c r="M205" s="7" t="str">
        <f t="shared" si="18"/>
        <v/>
      </c>
      <c r="N205" s="21" t="str">
        <f t="shared" si="21"/>
        <v/>
      </c>
      <c r="O205" s="21" t="str">
        <f t="shared" si="22"/>
        <v/>
      </c>
      <c r="P205" s="21" t="str">
        <f t="shared" si="23"/>
        <v/>
      </c>
    </row>
    <row r="206" spans="1:16">
      <c r="A206" s="24">
        <v>41547</v>
      </c>
      <c r="B206" s="26">
        <v>2.2825000000000002E-2</v>
      </c>
      <c r="C206" s="26">
        <v>5.901E-3</v>
      </c>
      <c r="D206" s="26">
        <v>4.2946999999999999E-2</v>
      </c>
      <c r="E206" s="26">
        <v>3.4331E-2</v>
      </c>
      <c r="F206" s="26">
        <v>3.7455000000000002E-2</v>
      </c>
      <c r="G206" s="26">
        <v>1.2415000000000001E-2</v>
      </c>
      <c r="H206" s="27">
        <f t="shared" si="19"/>
        <v>2.2491666666666667E-2</v>
      </c>
      <c r="I206" s="20">
        <f t="shared" si="20"/>
        <v>1.0190498763986791</v>
      </c>
      <c r="J206" s="20">
        <f>MAX(I$42:I206)</f>
        <v>1.1409645468253968</v>
      </c>
      <c r="K206" s="7">
        <f t="shared" si="16"/>
        <v>-0.10685228630979937</v>
      </c>
      <c r="L206" s="7" t="str">
        <f t="shared" si="17"/>
        <v/>
      </c>
      <c r="M206" s="7" t="str">
        <f t="shared" si="18"/>
        <v/>
      </c>
      <c r="N206" s="21" t="str">
        <f t="shared" si="21"/>
        <v/>
      </c>
      <c r="O206" s="21" t="str">
        <f t="shared" si="22"/>
        <v/>
      </c>
      <c r="P206" s="21" t="str">
        <f t="shared" si="23"/>
        <v/>
      </c>
    </row>
    <row r="207" spans="1:16">
      <c r="A207" s="24">
        <v>41578</v>
      </c>
      <c r="B207" s="26">
        <v>3.4669999999999999E-2</v>
      </c>
      <c r="C207" s="26">
        <v>3.952E-2</v>
      </c>
      <c r="D207" s="26">
        <v>2.9100999999999998E-2</v>
      </c>
      <c r="E207" s="26">
        <v>2.6747E-2</v>
      </c>
      <c r="F207" s="26">
        <v>4.4072E-2</v>
      </c>
      <c r="G207" s="26">
        <v>7.8390000000000005E-3</v>
      </c>
      <c r="H207" s="27">
        <f t="shared" si="19"/>
        <v>3.4336666666666668E-2</v>
      </c>
      <c r="I207" s="20">
        <f t="shared" si="20"/>
        <v>1.0540406523212884</v>
      </c>
      <c r="J207" s="20">
        <f>MAX(I$42:I207)</f>
        <v>1.1409645468253968</v>
      </c>
      <c r="K207" s="7">
        <f t="shared" si="16"/>
        <v>-7.6184570980723509E-2</v>
      </c>
      <c r="L207" s="7" t="str">
        <f t="shared" si="17"/>
        <v/>
      </c>
      <c r="M207" s="7" t="str">
        <f t="shared" si="18"/>
        <v/>
      </c>
      <c r="N207" s="21" t="str">
        <f t="shared" si="21"/>
        <v/>
      </c>
      <c r="O207" s="21" t="str">
        <f t="shared" si="22"/>
        <v/>
      </c>
      <c r="P207" s="21" t="str">
        <f t="shared" si="23"/>
        <v/>
      </c>
    </row>
    <row r="208" spans="1:16">
      <c r="A208" s="24">
        <v>41608</v>
      </c>
      <c r="B208" s="26">
        <v>1.6240999999999998E-2</v>
      </c>
      <c r="C208" s="26">
        <v>2.6282E-2</v>
      </c>
      <c r="D208" s="26">
        <v>4.6129999999999999E-3</v>
      </c>
      <c r="E208" s="26">
        <v>6.0010000000000003E-3</v>
      </c>
      <c r="F208" s="26">
        <v>-1.6108000000000001E-2</v>
      </c>
      <c r="G208" s="26">
        <v>-4.8409999999999998E-3</v>
      </c>
      <c r="H208" s="27">
        <f t="shared" si="19"/>
        <v>1.5907666666666664E-2</v>
      </c>
      <c r="I208" s="20">
        <f t="shared" si="20"/>
        <v>1.0708079796715313</v>
      </c>
      <c r="J208" s="20">
        <f>MAX(I$42:I208)</f>
        <v>1.1409645468253968</v>
      </c>
      <c r="K208" s="7">
        <f t="shared" si="16"/>
        <v>-6.148882307436121E-2</v>
      </c>
      <c r="L208" s="7" t="str">
        <f t="shared" si="17"/>
        <v/>
      </c>
      <c r="M208" s="7" t="str">
        <f t="shared" si="18"/>
        <v/>
      </c>
      <c r="N208" s="21" t="str">
        <f t="shared" si="21"/>
        <v/>
      </c>
      <c r="O208" s="21" t="str">
        <f t="shared" si="22"/>
        <v/>
      </c>
      <c r="P208" s="21" t="str">
        <f t="shared" si="23"/>
        <v/>
      </c>
    </row>
    <row r="209" spans="1:16">
      <c r="A209" s="24">
        <v>41639</v>
      </c>
      <c r="B209" s="26">
        <v>9.0030000000000006E-3</v>
      </c>
      <c r="C209" s="26">
        <v>1.4121E-2</v>
      </c>
      <c r="D209" s="26">
        <v>2.9870000000000001E-3</v>
      </c>
      <c r="E209" s="26">
        <v>6.894E-3</v>
      </c>
      <c r="F209" s="26">
        <v>-2.6186000000000001E-2</v>
      </c>
      <c r="G209" s="26">
        <v>-2.4188999999999999E-2</v>
      </c>
      <c r="H209" s="27">
        <f t="shared" si="19"/>
        <v>8.6696666666666675E-3</v>
      </c>
      <c r="I209" s="20">
        <f t="shared" si="20"/>
        <v>1.0800915279192902</v>
      </c>
      <c r="J209" s="20">
        <f>MAX(I$42:I209)</f>
        <v>1.1409645468253968</v>
      </c>
      <c r="K209" s="7">
        <f t="shared" si="16"/>
        <v>-5.3352244007474958E-2</v>
      </c>
      <c r="L209" s="7" t="str">
        <f t="shared" si="17"/>
        <v/>
      </c>
      <c r="M209" s="7" t="str">
        <f t="shared" si="18"/>
        <v/>
      </c>
      <c r="N209" s="21" t="str">
        <f t="shared" si="21"/>
        <v/>
      </c>
      <c r="O209" s="21" t="str">
        <f t="shared" si="22"/>
        <v/>
      </c>
      <c r="P209" s="21" t="str">
        <f t="shared" si="23"/>
        <v/>
      </c>
    </row>
    <row r="210" spans="1:16">
      <c r="A210" s="24">
        <v>41670</v>
      </c>
      <c r="B210" s="26">
        <v>-1.6043999999999999E-2</v>
      </c>
      <c r="C210" s="26">
        <v>-1.3192000000000001E-2</v>
      </c>
      <c r="D210" s="26">
        <v>-1.9446999999999999E-2</v>
      </c>
      <c r="E210" s="26">
        <v>-7.9830000000000005E-3</v>
      </c>
      <c r="F210" s="26">
        <v>-4.4548999999999998E-2</v>
      </c>
      <c r="G210" s="26">
        <v>3.6115000000000001E-2</v>
      </c>
      <c r="H210" s="27">
        <f t="shared" si="19"/>
        <v>-1.6377333333333334E-2</v>
      </c>
      <c r="I210" s="20">
        <f t="shared" si="20"/>
        <v>1.0624025089360467</v>
      </c>
      <c r="J210" s="20">
        <f>MAX(I$42:I210)</f>
        <v>1.1409645468253968</v>
      </c>
      <c r="K210" s="7">
        <f t="shared" si="16"/>
        <v>-6.8855809856616434E-2</v>
      </c>
      <c r="L210" s="7" t="str">
        <f t="shared" si="17"/>
        <v/>
      </c>
      <c r="M210" s="7" t="str">
        <f t="shared" si="18"/>
        <v/>
      </c>
      <c r="N210" s="21" t="str">
        <f t="shared" si="21"/>
        <v/>
      </c>
      <c r="O210" s="21" t="str">
        <f t="shared" si="22"/>
        <v/>
      </c>
      <c r="P210" s="21" t="str">
        <f t="shared" si="23"/>
        <v/>
      </c>
    </row>
    <row r="211" spans="1:16">
      <c r="A211" s="24">
        <v>41698</v>
      </c>
      <c r="B211" s="26">
        <v>2.5278999999999999E-2</v>
      </c>
      <c r="C211" s="26">
        <v>2.1579999999999998E-2</v>
      </c>
      <c r="D211" s="26">
        <v>2.9679000000000001E-2</v>
      </c>
      <c r="E211" s="26">
        <v>2.5534999999999999E-2</v>
      </c>
      <c r="F211" s="26">
        <v>8.7419999999999998E-3</v>
      </c>
      <c r="G211" s="26">
        <v>6.8830000000000002E-3</v>
      </c>
      <c r="H211" s="27">
        <f t="shared" si="19"/>
        <v>2.4945666666666665E-2</v>
      </c>
      <c r="I211" s="20">
        <f t="shared" si="20"/>
        <v>1.0889048477897958</v>
      </c>
      <c r="J211" s="20">
        <f>MAX(I$42:I211)</f>
        <v>1.1409645468253968</v>
      </c>
      <c r="K211" s="7">
        <f t="shared" si="16"/>
        <v>-4.5627797270696213E-2</v>
      </c>
      <c r="L211" s="7" t="str">
        <f t="shared" si="17"/>
        <v/>
      </c>
      <c r="M211" s="7" t="str">
        <f t="shared" si="18"/>
        <v/>
      </c>
      <c r="N211" s="21" t="str">
        <f t="shared" si="21"/>
        <v/>
      </c>
      <c r="O211" s="21" t="str">
        <f t="shared" si="22"/>
        <v/>
      </c>
      <c r="P211" s="21" t="str">
        <f t="shared" si="23"/>
        <v/>
      </c>
    </row>
    <row r="212" spans="1:16">
      <c r="A212" s="24">
        <v>41729</v>
      </c>
      <c r="B212" s="26">
        <v>3.5539999999999999E-3</v>
      </c>
      <c r="C212" s="26">
        <v>8.5439999999999995E-3</v>
      </c>
      <c r="D212" s="26">
        <v>-2.3930000000000002E-3</v>
      </c>
      <c r="E212" s="26">
        <v>2.2889999999999998E-3</v>
      </c>
      <c r="F212" s="26">
        <v>3.2863999999999997E-2</v>
      </c>
      <c r="G212" s="26">
        <v>3.2070000000000002E-3</v>
      </c>
      <c r="H212" s="27">
        <f t="shared" si="19"/>
        <v>3.2206666666666664E-3</v>
      </c>
      <c r="I212" s="20">
        <f t="shared" si="20"/>
        <v>1.0924118473362443</v>
      </c>
      <c r="J212" s="20">
        <f>MAX(I$42:I212)</f>
        <v>1.1409645468253968</v>
      </c>
      <c r="K212" s="7">
        <f t="shared" si="16"/>
        <v>-4.2554082529772552E-2</v>
      </c>
      <c r="L212" s="7" t="str">
        <f t="shared" si="17"/>
        <v/>
      </c>
      <c r="M212" s="7" t="str">
        <f t="shared" si="18"/>
        <v/>
      </c>
      <c r="N212" s="21" t="str">
        <f t="shared" si="21"/>
        <v/>
      </c>
      <c r="O212" s="21" t="str">
        <f t="shared" si="22"/>
        <v/>
      </c>
      <c r="P212" s="21" t="str">
        <f t="shared" si="23"/>
        <v/>
      </c>
    </row>
    <row r="213" spans="1:16">
      <c r="A213" s="24">
        <v>41759</v>
      </c>
      <c r="B213" s="26">
        <v>4.1980000000000003E-3</v>
      </c>
      <c r="C213" s="26">
        <v>-3.4099999999999999E-4</v>
      </c>
      <c r="D213" s="26">
        <v>9.7059999999999994E-3</v>
      </c>
      <c r="E213" s="26">
        <v>-5.2999999999999998E-4</v>
      </c>
      <c r="F213" s="26">
        <v>-2.6649999999999998E-3</v>
      </c>
      <c r="G213" s="26">
        <v>5.0140000000000002E-3</v>
      </c>
      <c r="H213" s="27">
        <f t="shared" si="19"/>
        <v>3.8646666666666669E-3</v>
      </c>
      <c r="I213" s="20">
        <f t="shared" si="20"/>
        <v>1.0966336549889164</v>
      </c>
      <c r="J213" s="20">
        <f>MAX(I$42:I213)</f>
        <v>1.1409645468253968</v>
      </c>
      <c r="K213" s="7">
        <f t="shared" si="16"/>
        <v>-3.8853873207389311E-2</v>
      </c>
      <c r="L213" s="7" t="str">
        <f t="shared" si="17"/>
        <v/>
      </c>
      <c r="M213" s="7" t="str">
        <f t="shared" si="18"/>
        <v/>
      </c>
      <c r="N213" s="21" t="str">
        <f t="shared" si="21"/>
        <v/>
      </c>
      <c r="O213" s="21" t="str">
        <f t="shared" si="22"/>
        <v/>
      </c>
      <c r="P213" s="21" t="str">
        <f t="shared" si="23"/>
        <v/>
      </c>
    </row>
    <row r="214" spans="1:16">
      <c r="A214" s="24">
        <v>41790</v>
      </c>
      <c r="B214" s="26">
        <v>3.6115000000000001E-2</v>
      </c>
      <c r="C214" s="26">
        <v>3.9659E-2</v>
      </c>
      <c r="D214" s="26">
        <v>3.1828000000000002E-2</v>
      </c>
      <c r="E214" s="26">
        <v>3.7079000000000001E-2</v>
      </c>
      <c r="F214" s="26">
        <v>5.1590999999999998E-2</v>
      </c>
      <c r="G214" s="26">
        <v>1.8801999999999999E-2</v>
      </c>
      <c r="H214" s="27">
        <f t="shared" si="19"/>
        <v>3.578166666666667E-2</v>
      </c>
      <c r="I214" s="20">
        <f t="shared" si="20"/>
        <v>1.1358730348871782</v>
      </c>
      <c r="J214" s="20">
        <f>MAX(I$42:I214)</f>
        <v>1.1409645468253968</v>
      </c>
      <c r="K214" s="7">
        <f t="shared" si="16"/>
        <v>-4.4624628805384203E-3</v>
      </c>
      <c r="L214" s="7" t="str">
        <f t="shared" si="17"/>
        <v/>
      </c>
      <c r="M214" s="7" t="str">
        <f t="shared" si="18"/>
        <v/>
      </c>
      <c r="N214" s="21" t="str">
        <f t="shared" si="21"/>
        <v/>
      </c>
      <c r="O214" s="21" t="str">
        <f t="shared" si="22"/>
        <v/>
      </c>
      <c r="P214" s="21" t="str">
        <f t="shared" si="23"/>
        <v/>
      </c>
    </row>
    <row r="215" spans="1:16">
      <c r="A215" s="24">
        <v>41820</v>
      </c>
      <c r="B215" s="26">
        <v>1.447E-2</v>
      </c>
      <c r="C215" s="26">
        <v>1.7503999999999999E-2</v>
      </c>
      <c r="D215" s="26">
        <v>1.0807000000000001E-2</v>
      </c>
      <c r="E215" s="26">
        <v>1.9962000000000001E-2</v>
      </c>
      <c r="F215" s="26">
        <v>2.3119000000000001E-2</v>
      </c>
      <c r="G215" s="26">
        <v>1.1351E-2</v>
      </c>
      <c r="H215" s="27">
        <f t="shared" si="19"/>
        <v>1.4136666666666667E-2</v>
      </c>
      <c r="I215" s="20">
        <f t="shared" si="20"/>
        <v>1.1519304933570333</v>
      </c>
      <c r="J215" s="20">
        <f>MAX(I$42:I215)</f>
        <v>1.1519304933570333</v>
      </c>
      <c r="K215" s="7">
        <f t="shared" si="16"/>
        <v>0</v>
      </c>
      <c r="L215" s="7" t="str">
        <f t="shared" si="17"/>
        <v/>
      </c>
      <c r="M215" s="7" t="str">
        <f t="shared" si="18"/>
        <v/>
      </c>
      <c r="N215" s="21">
        <f t="shared" si="21"/>
        <v>41820</v>
      </c>
      <c r="O215" s="21">
        <f t="shared" si="22"/>
        <v>41820</v>
      </c>
      <c r="P215" s="21">
        <f t="shared" si="23"/>
        <v>41820</v>
      </c>
    </row>
    <row r="216" spans="1:16">
      <c r="A216" s="24">
        <v>41851</v>
      </c>
      <c r="B216" s="26">
        <v>6.9490000000000003E-3</v>
      </c>
      <c r="C216" s="26">
        <v>8.5159999999999993E-3</v>
      </c>
      <c r="D216" s="26">
        <v>5.0530000000000002E-3</v>
      </c>
      <c r="E216" s="26">
        <v>5.548E-3</v>
      </c>
      <c r="F216" s="26">
        <v>4.3068000000000002E-2</v>
      </c>
      <c r="G216" s="26">
        <v>1.0383999999999999E-2</v>
      </c>
      <c r="H216" s="27">
        <f t="shared" si="19"/>
        <v>6.6156666666666673E-3</v>
      </c>
      <c r="I216" s="20">
        <f t="shared" si="20"/>
        <v>1.1595512815242524</v>
      </c>
      <c r="J216" s="20">
        <f>MAX(I$42:I216)</f>
        <v>1.1595512815242524</v>
      </c>
      <c r="K216" s="7">
        <f t="shared" si="16"/>
        <v>0</v>
      </c>
      <c r="L216" s="7" t="str">
        <f t="shared" si="17"/>
        <v/>
      </c>
      <c r="M216" s="7" t="str">
        <f t="shared" si="18"/>
        <v/>
      </c>
      <c r="N216" s="21">
        <f t="shared" si="21"/>
        <v>41851</v>
      </c>
      <c r="O216" s="21">
        <f t="shared" si="22"/>
        <v>41851</v>
      </c>
      <c r="P216" s="21">
        <f t="shared" si="23"/>
        <v>41851</v>
      </c>
    </row>
    <row r="217" spans="1:16">
      <c r="A217" s="24">
        <v>41882</v>
      </c>
      <c r="B217" s="26">
        <v>3.8176000000000002E-2</v>
      </c>
      <c r="C217" s="26">
        <v>5.5890000000000002E-2</v>
      </c>
      <c r="D217" s="26">
        <v>1.66E-2</v>
      </c>
      <c r="E217" s="26">
        <v>3.0915999999999999E-2</v>
      </c>
      <c r="F217" s="26">
        <v>3.8681E-2</v>
      </c>
      <c r="G217" s="26">
        <v>2.5503999999999999E-2</v>
      </c>
      <c r="H217" s="27">
        <f t="shared" si="19"/>
        <v>3.784266666666667E-2</v>
      </c>
      <c r="I217" s="20">
        <f t="shared" si="20"/>
        <v>1.2034317941538808</v>
      </c>
      <c r="J217" s="20">
        <f>MAX(I$42:I217)</f>
        <v>1.2034317941538808</v>
      </c>
      <c r="K217" s="7">
        <f t="shared" si="16"/>
        <v>0</v>
      </c>
      <c r="L217" s="7" t="str">
        <f t="shared" si="17"/>
        <v/>
      </c>
      <c r="M217" s="7" t="str">
        <f t="shared" si="18"/>
        <v/>
      </c>
      <c r="N217" s="21">
        <f t="shared" si="21"/>
        <v>41882</v>
      </c>
      <c r="O217" s="21">
        <f t="shared" si="22"/>
        <v>41882</v>
      </c>
      <c r="P217" s="21">
        <f t="shared" si="23"/>
        <v>41882</v>
      </c>
    </row>
    <row r="218" spans="1:16">
      <c r="A218" s="24">
        <v>41912</v>
      </c>
      <c r="B218" s="26">
        <v>1.4406E-2</v>
      </c>
      <c r="C218" s="26">
        <v>2.5951999999999999E-2</v>
      </c>
      <c r="D218" s="26">
        <v>-1.18E-4</v>
      </c>
      <c r="E218" s="26">
        <v>6.1799999999999995E-4</v>
      </c>
      <c r="F218" s="26">
        <v>-3.458E-2</v>
      </c>
      <c r="G218" s="26">
        <v>-2.9689999999999999E-3</v>
      </c>
      <c r="H218" s="27">
        <f t="shared" si="19"/>
        <v>1.4072666666666667E-2</v>
      </c>
      <c r="I218" s="20">
        <f t="shared" si="20"/>
        <v>1.2203672886490768</v>
      </c>
      <c r="J218" s="20">
        <f>MAX(I$42:I218)</f>
        <v>1.2203672886490768</v>
      </c>
      <c r="K218" s="7">
        <f t="shared" si="16"/>
        <v>0</v>
      </c>
      <c r="L218" s="7" t="str">
        <f t="shared" si="17"/>
        <v/>
      </c>
      <c r="M218" s="7" t="str">
        <f t="shared" si="18"/>
        <v/>
      </c>
      <c r="N218" s="21">
        <f t="shared" si="21"/>
        <v>41912</v>
      </c>
      <c r="O218" s="21">
        <f t="shared" si="22"/>
        <v>41912</v>
      </c>
      <c r="P218" s="21">
        <f t="shared" si="23"/>
        <v>41912</v>
      </c>
    </row>
    <row r="219" spans="1:16">
      <c r="A219" s="24">
        <v>41943</v>
      </c>
      <c r="B219" s="26">
        <v>1.4782999999999999E-2</v>
      </c>
      <c r="C219" s="26">
        <v>3.2232999999999998E-2</v>
      </c>
      <c r="D219" s="26">
        <v>-7.7749999999999998E-3</v>
      </c>
      <c r="E219" s="26">
        <v>1.0826000000000001E-2</v>
      </c>
      <c r="F219" s="26">
        <v>2.0147999999999999E-2</v>
      </c>
      <c r="G219" s="26">
        <v>1.0276E-2</v>
      </c>
      <c r="H219" s="27">
        <f t="shared" si="19"/>
        <v>1.4449666666666666E-2</v>
      </c>
      <c r="I219" s="20">
        <f t="shared" si="20"/>
        <v>1.2380011891809599</v>
      </c>
      <c r="J219" s="20">
        <f>MAX(I$42:I219)</f>
        <v>1.2380011891809599</v>
      </c>
      <c r="K219" s="7">
        <f t="shared" si="16"/>
        <v>0</v>
      </c>
      <c r="L219" s="7" t="str">
        <f t="shared" si="17"/>
        <v/>
      </c>
      <c r="M219" s="7" t="str">
        <f t="shared" si="18"/>
        <v/>
      </c>
      <c r="N219" s="21">
        <f t="shared" si="21"/>
        <v>41943</v>
      </c>
      <c r="O219" s="21">
        <f t="shared" si="22"/>
        <v>41943</v>
      </c>
      <c r="P219" s="21">
        <f t="shared" si="23"/>
        <v>41943</v>
      </c>
    </row>
    <row r="220" spans="1:16">
      <c r="A220" s="24">
        <v>41973</v>
      </c>
      <c r="B220" s="26">
        <v>2.5152999999999998E-2</v>
      </c>
      <c r="C220" s="26">
        <v>3.0950999999999999E-2</v>
      </c>
      <c r="D220" s="26">
        <v>1.7375000000000002E-2</v>
      </c>
      <c r="E220" s="26">
        <v>1.9778E-2</v>
      </c>
      <c r="F220" s="26">
        <v>-5.6150000000000002E-3</v>
      </c>
      <c r="G220" s="26">
        <v>1.4073E-2</v>
      </c>
      <c r="H220" s="27">
        <f t="shared" si="19"/>
        <v>2.4819666666666663E-2</v>
      </c>
      <c r="I220" s="20">
        <f t="shared" si="20"/>
        <v>1.2687279660293682</v>
      </c>
      <c r="J220" s="20">
        <f>MAX(I$42:I220)</f>
        <v>1.2687279660293682</v>
      </c>
      <c r="K220" s="7">
        <f t="shared" si="16"/>
        <v>0</v>
      </c>
      <c r="L220" s="7" t="str">
        <f t="shared" si="17"/>
        <v/>
      </c>
      <c r="M220" s="7" t="str">
        <f t="shared" si="18"/>
        <v/>
      </c>
      <c r="N220" s="21">
        <f t="shared" si="21"/>
        <v>41973</v>
      </c>
      <c r="O220" s="21">
        <f t="shared" si="22"/>
        <v>41973</v>
      </c>
      <c r="P220" s="21">
        <f t="shared" si="23"/>
        <v>41973</v>
      </c>
    </row>
    <row r="221" spans="1:16">
      <c r="A221" s="24">
        <v>42004</v>
      </c>
      <c r="B221" s="26">
        <v>1.3636000000000001E-2</v>
      </c>
      <c r="C221" s="26">
        <v>2.6589999999999999E-2</v>
      </c>
      <c r="D221" s="26">
        <v>-4.0099999999999997E-3</v>
      </c>
      <c r="E221" s="26">
        <v>1.6958000000000001E-2</v>
      </c>
      <c r="F221" s="26">
        <v>-1.7233999999999999E-2</v>
      </c>
      <c r="G221" s="26">
        <v>1.5023999999999999E-2</v>
      </c>
      <c r="H221" s="27">
        <f t="shared" si="19"/>
        <v>1.3302666666666667E-2</v>
      </c>
      <c r="I221" s="20">
        <f t="shared" si="20"/>
        <v>1.285605431252135</v>
      </c>
      <c r="J221" s="20">
        <f>MAX(I$42:I221)</f>
        <v>1.285605431252135</v>
      </c>
      <c r="K221" s="7">
        <f t="shared" si="16"/>
        <v>0</v>
      </c>
      <c r="L221" s="7" t="str">
        <f t="shared" si="17"/>
        <v/>
      </c>
      <c r="M221" s="7" t="str">
        <f t="shared" si="18"/>
        <v/>
      </c>
      <c r="N221" s="21">
        <f t="shared" si="21"/>
        <v>42004</v>
      </c>
      <c r="O221" s="21">
        <f t="shared" si="22"/>
        <v>42004</v>
      </c>
      <c r="P221" s="21">
        <f t="shared" si="23"/>
        <v>42004</v>
      </c>
    </row>
    <row r="222" spans="1:16">
      <c r="A222" s="24">
        <v>42035</v>
      </c>
      <c r="B222" s="26">
        <v>5.2882999999999999E-2</v>
      </c>
      <c r="C222" s="26">
        <v>4.1725999999999999E-2</v>
      </c>
      <c r="D222" s="26">
        <v>6.8509E-2</v>
      </c>
      <c r="E222" s="26">
        <v>6.6572000000000006E-2</v>
      </c>
      <c r="F222" s="26">
        <v>7.8740000000000004E-2</v>
      </c>
      <c r="G222" s="26">
        <v>2.4825E-2</v>
      </c>
      <c r="H222" s="27">
        <f t="shared" si="19"/>
        <v>5.2549666666666668E-2</v>
      </c>
      <c r="I222" s="20">
        <f t="shared" si="20"/>
        <v>1.3531635681292911</v>
      </c>
      <c r="J222" s="20">
        <f>MAX(I$42:I222)</f>
        <v>1.3531635681292911</v>
      </c>
      <c r="K222" s="7">
        <f t="shared" si="16"/>
        <v>0</v>
      </c>
      <c r="L222" s="7" t="str">
        <f t="shared" si="17"/>
        <v/>
      </c>
      <c r="M222" s="7" t="str">
        <f t="shared" si="18"/>
        <v/>
      </c>
      <c r="N222" s="21">
        <f t="shared" si="21"/>
        <v>42035</v>
      </c>
      <c r="O222" s="21">
        <f t="shared" si="22"/>
        <v>42035</v>
      </c>
      <c r="P222" s="21">
        <f t="shared" si="23"/>
        <v>42035</v>
      </c>
    </row>
    <row r="223" spans="1:16">
      <c r="A223" s="24">
        <v>42063</v>
      </c>
      <c r="B223" s="26">
        <v>6.5004000000000006E-2</v>
      </c>
      <c r="C223" s="26">
        <v>6.4155000000000004E-2</v>
      </c>
      <c r="D223" s="26">
        <v>6.6168000000000005E-2</v>
      </c>
      <c r="E223" s="26">
        <v>6.4418000000000003E-2</v>
      </c>
      <c r="F223" s="26">
        <v>3.7213000000000003E-2</v>
      </c>
      <c r="G223" s="26">
        <v>2.2399999999999998E-3</v>
      </c>
      <c r="H223" s="27">
        <f t="shared" si="19"/>
        <v>6.4670666666666668E-2</v>
      </c>
      <c r="I223" s="20">
        <f t="shared" si="20"/>
        <v>1.4406735581892578</v>
      </c>
      <c r="J223" s="20">
        <f>MAX(I$42:I223)</f>
        <v>1.4406735581892578</v>
      </c>
      <c r="K223" s="7">
        <f t="shared" si="16"/>
        <v>0</v>
      </c>
      <c r="L223" s="7" t="str">
        <f t="shared" si="17"/>
        <v/>
      </c>
      <c r="M223" s="7" t="str">
        <f t="shared" si="18"/>
        <v/>
      </c>
      <c r="N223" s="21">
        <f t="shared" si="21"/>
        <v>42063</v>
      </c>
      <c r="O223" s="21">
        <f t="shared" si="22"/>
        <v>42063</v>
      </c>
      <c r="P223" s="21">
        <f t="shared" si="23"/>
        <v>42063</v>
      </c>
    </row>
    <row r="224" spans="1:16">
      <c r="A224" s="24">
        <v>42094</v>
      </c>
      <c r="B224" s="26">
        <v>2.8022999999999999E-2</v>
      </c>
      <c r="C224" s="26">
        <v>2.8804E-2</v>
      </c>
      <c r="D224" s="26">
        <v>2.6919999999999999E-2</v>
      </c>
      <c r="E224" s="26">
        <v>3.2543000000000002E-2</v>
      </c>
      <c r="F224" s="26">
        <v>2.9515E-2</v>
      </c>
      <c r="G224" s="26">
        <v>1.1053E-2</v>
      </c>
      <c r="H224" s="27">
        <f t="shared" si="19"/>
        <v>2.7689666666666665E-2</v>
      </c>
      <c r="I224" s="20">
        <f t="shared" si="20"/>
        <v>1.4805653287909988</v>
      </c>
      <c r="J224" s="20">
        <f>MAX(I$42:I224)</f>
        <v>1.4805653287909988</v>
      </c>
      <c r="K224" s="7">
        <f t="shared" si="16"/>
        <v>0</v>
      </c>
      <c r="L224" s="7" t="str">
        <f t="shared" si="17"/>
        <v/>
      </c>
      <c r="M224" s="7" t="str">
        <f t="shared" si="18"/>
        <v/>
      </c>
      <c r="N224" s="21">
        <f t="shared" si="21"/>
        <v>42094</v>
      </c>
      <c r="O224" s="21">
        <f t="shared" si="22"/>
        <v>42094</v>
      </c>
      <c r="P224" s="21">
        <f t="shared" si="23"/>
        <v>42094</v>
      </c>
    </row>
    <row r="225" spans="1:16">
      <c r="A225" s="24">
        <v>42124</v>
      </c>
      <c r="B225" s="26">
        <v>-1.9068000000000002E-2</v>
      </c>
      <c r="C225" s="26">
        <v>-3.3073999999999999E-2</v>
      </c>
      <c r="D225" s="26">
        <v>-4.5000000000000003E-5</v>
      </c>
      <c r="E225" s="26">
        <v>-1.4003E-2</v>
      </c>
      <c r="F225" s="26">
        <v>3.2176999999999997E-2</v>
      </c>
      <c r="G225" s="26">
        <v>-1.3431E-2</v>
      </c>
      <c r="H225" s="27">
        <f t="shared" si="19"/>
        <v>-1.9401333333333336E-2</v>
      </c>
      <c r="I225" s="20">
        <f t="shared" si="20"/>
        <v>1.4518403873253483</v>
      </c>
      <c r="J225" s="20">
        <f>MAX(I$42:I225)</f>
        <v>1.4805653287909988</v>
      </c>
      <c r="K225" s="7">
        <f t="shared" si="16"/>
        <v>-1.9401333333333382E-2</v>
      </c>
      <c r="L225" s="7" t="str">
        <f t="shared" si="17"/>
        <v/>
      </c>
      <c r="M225" s="7" t="str">
        <f t="shared" si="18"/>
        <v/>
      </c>
      <c r="N225" s="21">
        <f t="shared" si="21"/>
        <v>42124</v>
      </c>
      <c r="O225" s="21">
        <f t="shared" si="22"/>
        <v>42124</v>
      </c>
      <c r="P225" s="21">
        <f t="shared" si="23"/>
        <v>42124</v>
      </c>
    </row>
    <row r="226" spans="1:16">
      <c r="A226" s="24">
        <v>42155</v>
      </c>
      <c r="B226" s="26">
        <v>2.5596000000000001E-2</v>
      </c>
      <c r="C226" s="26">
        <v>3.5005000000000001E-2</v>
      </c>
      <c r="D226" s="26">
        <v>1.3202999999999999E-2</v>
      </c>
      <c r="E226" s="26">
        <v>2.0441000000000001E-2</v>
      </c>
      <c r="F226" s="26">
        <v>-1.8858E-2</v>
      </c>
      <c r="G226" s="26">
        <v>-1.8939999999999999E-2</v>
      </c>
      <c r="H226" s="27">
        <f t="shared" si="19"/>
        <v>2.5262666666666666E-2</v>
      </c>
      <c r="I226" s="20">
        <f t="shared" si="20"/>
        <v>1.4885177470835527</v>
      </c>
      <c r="J226" s="20">
        <f>MAX(I$42:I226)</f>
        <v>1.4885177470835527</v>
      </c>
      <c r="K226" s="7">
        <f t="shared" si="16"/>
        <v>0</v>
      </c>
      <c r="L226" s="7" t="str">
        <f t="shared" si="17"/>
        <v/>
      </c>
      <c r="M226" s="7" t="str">
        <f t="shared" si="18"/>
        <v/>
      </c>
      <c r="N226" s="21">
        <f t="shared" si="21"/>
        <v>42155</v>
      </c>
      <c r="O226" s="21">
        <f t="shared" si="22"/>
        <v>42155</v>
      </c>
      <c r="P226" s="21">
        <f t="shared" si="23"/>
        <v>42155</v>
      </c>
    </row>
    <row r="227" spans="1:16">
      <c r="A227" s="24">
        <v>42185</v>
      </c>
      <c r="B227" s="26">
        <v>-3.8900999999999998E-2</v>
      </c>
      <c r="C227" s="26">
        <v>-3.5125000000000003E-2</v>
      </c>
      <c r="D227" s="26">
        <v>-4.3992999999999997E-2</v>
      </c>
      <c r="E227" s="26">
        <v>-4.0917000000000002E-2</v>
      </c>
      <c r="F227" s="26">
        <v>-4.1575000000000001E-2</v>
      </c>
      <c r="G227" s="26">
        <v>-2.7932999999999999E-2</v>
      </c>
      <c r="H227" s="27">
        <f t="shared" si="19"/>
        <v>-3.9234333333333329E-2</v>
      </c>
      <c r="I227" s="20">
        <f t="shared" si="20"/>
        <v>1.4301167456218942</v>
      </c>
      <c r="J227" s="20">
        <f>MAX(I$42:I227)</f>
        <v>1.4885177470835527</v>
      </c>
      <c r="K227" s="7">
        <f t="shared" si="16"/>
        <v>-3.9234333333333371E-2</v>
      </c>
      <c r="L227" s="7" t="str">
        <f t="shared" si="17"/>
        <v/>
      </c>
      <c r="M227" s="7" t="str">
        <f t="shared" si="18"/>
        <v/>
      </c>
      <c r="N227" s="21">
        <f t="shared" si="21"/>
        <v>42185</v>
      </c>
      <c r="O227" s="21">
        <f t="shared" si="22"/>
        <v>42185</v>
      </c>
      <c r="P227" s="21">
        <f t="shared" si="23"/>
        <v>42185</v>
      </c>
    </row>
    <row r="228" spans="1:16">
      <c r="A228" s="24">
        <v>42216</v>
      </c>
      <c r="B228" s="26">
        <v>2.6564000000000001E-2</v>
      </c>
      <c r="C228" s="26">
        <v>2.811E-2</v>
      </c>
      <c r="D228" s="26">
        <v>2.445E-2</v>
      </c>
      <c r="E228" s="26">
        <v>1.6246E-2</v>
      </c>
      <c r="F228" s="26">
        <v>-6.1442999999999998E-2</v>
      </c>
      <c r="G228" s="26">
        <v>1.7922E-2</v>
      </c>
      <c r="H228" s="27">
        <f t="shared" si="19"/>
        <v>2.6230666666666666E-2</v>
      </c>
      <c r="I228" s="20">
        <f t="shared" si="20"/>
        <v>1.4676296612707203</v>
      </c>
      <c r="J228" s="20">
        <f>MAX(I$42:I228)</f>
        <v>1.4885177470835527</v>
      </c>
      <c r="K228" s="7">
        <f t="shared" si="16"/>
        <v>-1.40328093862222E-2</v>
      </c>
      <c r="L228" s="7" t="str">
        <f t="shared" si="17"/>
        <v/>
      </c>
      <c r="M228" s="7" t="str">
        <f t="shared" si="18"/>
        <v/>
      </c>
      <c r="N228" s="21">
        <f t="shared" si="21"/>
        <v>42216</v>
      </c>
      <c r="O228" s="21">
        <f t="shared" si="22"/>
        <v>42216</v>
      </c>
      <c r="P228" s="21">
        <f t="shared" si="23"/>
        <v>42216</v>
      </c>
    </row>
    <row r="229" spans="1:16">
      <c r="A229" s="24">
        <v>42247</v>
      </c>
      <c r="B229" s="26">
        <v>-7.9215999999999995E-2</v>
      </c>
      <c r="C229" s="26">
        <v>-7.4394000000000002E-2</v>
      </c>
      <c r="D229" s="26">
        <v>-8.5792999999999994E-2</v>
      </c>
      <c r="E229" s="26">
        <v>-7.4933E-2</v>
      </c>
      <c r="F229" s="26">
        <v>-0.10315199999999999</v>
      </c>
      <c r="G229" s="26">
        <v>-2.2959999999999999E-3</v>
      </c>
      <c r="H229" s="27">
        <f t="shared" si="19"/>
        <v>-7.9549333333333333E-2</v>
      </c>
      <c r="I229" s="20">
        <f t="shared" si="20"/>
        <v>1.3508807001364087</v>
      </c>
      <c r="J229" s="20">
        <f>MAX(I$42:I229)</f>
        <v>1.4885177470835527</v>
      </c>
      <c r="K229" s="7">
        <f t="shared" si="16"/>
        <v>-9.2465842088087724E-2</v>
      </c>
      <c r="L229" s="7" t="str">
        <f t="shared" si="17"/>
        <v/>
      </c>
      <c r="M229" s="7" t="str">
        <f t="shared" si="18"/>
        <v/>
      </c>
      <c r="N229" s="21">
        <f t="shared" si="21"/>
        <v>42247</v>
      </c>
      <c r="O229" s="21">
        <f t="shared" si="22"/>
        <v>42247</v>
      </c>
      <c r="P229" s="21">
        <f t="shared" si="23"/>
        <v>42247</v>
      </c>
    </row>
    <row r="230" spans="1:16">
      <c r="A230" s="24">
        <v>42277</v>
      </c>
      <c r="B230" s="26">
        <v>-3.3216000000000002E-2</v>
      </c>
      <c r="C230" s="26">
        <v>-2.3279999999999999E-2</v>
      </c>
      <c r="D230" s="26">
        <v>-4.6864999999999997E-2</v>
      </c>
      <c r="E230" s="26">
        <v>-4.2389999999999997E-2</v>
      </c>
      <c r="F230" s="26">
        <v>-2.6388999999999999E-2</v>
      </c>
      <c r="G230" s="26">
        <v>1.0186000000000001E-2</v>
      </c>
      <c r="H230" s="27">
        <f t="shared" si="19"/>
        <v>-3.3549333333333334E-2</v>
      </c>
      <c r="I230" s="20">
        <f t="shared" si="20"/>
        <v>1.3055595532339657</v>
      </c>
      <c r="J230" s="20">
        <f>MAX(I$42:I230)</f>
        <v>1.4885177470835527</v>
      </c>
      <c r="K230" s="7">
        <f t="shared" si="16"/>
        <v>-0.12291300806326044</v>
      </c>
      <c r="L230" s="7" t="str">
        <f t="shared" si="17"/>
        <v/>
      </c>
      <c r="M230" s="7" t="str">
        <f t="shared" si="18"/>
        <v/>
      </c>
      <c r="N230" s="21">
        <f t="shared" si="21"/>
        <v>42277</v>
      </c>
      <c r="O230" s="21">
        <f t="shared" si="22"/>
        <v>42277</v>
      </c>
      <c r="P230" s="21">
        <f t="shared" si="23"/>
        <v>42277</v>
      </c>
    </row>
    <row r="231" spans="1:16">
      <c r="A231" s="24">
        <v>42308</v>
      </c>
      <c r="B231" s="26">
        <v>9.0575000000000003E-2</v>
      </c>
      <c r="C231" s="26">
        <v>9.3466999999999995E-2</v>
      </c>
      <c r="D231" s="26">
        <v>8.6523000000000003E-2</v>
      </c>
      <c r="E231" s="26">
        <v>8.8675000000000004E-2</v>
      </c>
      <c r="F231" s="26">
        <v>8.2582000000000003E-2</v>
      </c>
      <c r="G231" s="26">
        <v>1.0154E-2</v>
      </c>
      <c r="H231" s="27">
        <f t="shared" si="19"/>
        <v>9.0241666666666664E-2</v>
      </c>
      <c r="I231" s="20">
        <f t="shared" si="20"/>
        <v>1.4233754232503872</v>
      </c>
      <c r="J231" s="20">
        <f>MAX(I$42:I231)</f>
        <v>1.4885177470835527</v>
      </c>
      <c r="K231" s="7">
        <f t="shared" si="16"/>
        <v>-4.3763216099235946E-2</v>
      </c>
      <c r="L231" s="7" t="str">
        <f t="shared" si="17"/>
        <v/>
      </c>
      <c r="M231" s="7" t="str">
        <f t="shared" si="18"/>
        <v/>
      </c>
      <c r="N231" s="21">
        <f t="shared" si="21"/>
        <v>42308</v>
      </c>
      <c r="O231" s="21">
        <f t="shared" si="22"/>
        <v>42308</v>
      </c>
      <c r="P231" s="21">
        <f t="shared" si="23"/>
        <v>42308</v>
      </c>
    </row>
    <row r="232" spans="1:16">
      <c r="A232" s="24">
        <v>42338</v>
      </c>
      <c r="B232" s="26">
        <v>4.0721E-2</v>
      </c>
      <c r="C232" s="26">
        <v>4.8813000000000002E-2</v>
      </c>
      <c r="D232" s="26">
        <v>2.9278999999999999E-2</v>
      </c>
      <c r="E232" s="26">
        <v>3.8133E-2</v>
      </c>
      <c r="F232" s="26">
        <v>5.1229999999999999E-3</v>
      </c>
      <c r="G232" s="26">
        <v>2.356E-3</v>
      </c>
      <c r="H232" s="27">
        <f t="shared" si="19"/>
        <v>4.0387666666666669E-2</v>
      </c>
      <c r="I232" s="20">
        <f t="shared" si="20"/>
        <v>1.4808622353861496</v>
      </c>
      <c r="J232" s="20">
        <f>MAX(I$42:I232)</f>
        <v>1.4885177470835527</v>
      </c>
      <c r="K232" s="7">
        <f t="shared" si="16"/>
        <v>-5.1430436166465254E-3</v>
      </c>
      <c r="L232" s="7" t="str">
        <f t="shared" si="17"/>
        <v/>
      </c>
      <c r="M232" s="7" t="str">
        <f t="shared" si="18"/>
        <v/>
      </c>
      <c r="N232" s="21">
        <f t="shared" si="21"/>
        <v>42338</v>
      </c>
      <c r="O232" s="21">
        <f t="shared" si="22"/>
        <v>42338</v>
      </c>
      <c r="P232" s="21">
        <f t="shared" si="23"/>
        <v>42338</v>
      </c>
    </row>
    <row r="233" spans="1:16">
      <c r="A233" s="24">
        <v>42369</v>
      </c>
      <c r="B233" s="26">
        <v>-4.4845000000000003E-2</v>
      </c>
      <c r="C233" s="26">
        <v>-4.4601000000000002E-2</v>
      </c>
      <c r="D233" s="26">
        <v>-4.5192999999999997E-2</v>
      </c>
      <c r="E233" s="26">
        <v>-4.6769999999999999E-2</v>
      </c>
      <c r="F233" s="26">
        <v>-4.9425999999999998E-2</v>
      </c>
      <c r="G233" s="26">
        <v>-1.9643000000000001E-2</v>
      </c>
      <c r="H233" s="27">
        <f t="shared" si="19"/>
        <v>-4.5178333333333334E-2</v>
      </c>
      <c r="I233" s="20">
        <f t="shared" si="20"/>
        <v>1.4139593476951291</v>
      </c>
      <c r="J233" s="20">
        <f>MAX(I$42:I233)</f>
        <v>1.4885177470835527</v>
      </c>
      <c r="K233" s="7">
        <f t="shared" si="16"/>
        <v>-5.0089022811119044E-2</v>
      </c>
      <c r="L233" s="7" t="str">
        <f t="shared" si="17"/>
        <v/>
      </c>
      <c r="M233" s="7" t="str">
        <f t="shared" si="18"/>
        <v/>
      </c>
      <c r="N233" s="21">
        <f t="shared" si="21"/>
        <v>42369</v>
      </c>
      <c r="O233" s="21">
        <f t="shared" si="22"/>
        <v>42369</v>
      </c>
      <c r="P233" s="21">
        <f t="shared" si="23"/>
        <v>42369</v>
      </c>
    </row>
    <row r="234" spans="1:16">
      <c r="A234" s="24">
        <v>42400</v>
      </c>
      <c r="B234" s="26">
        <v>-5.6133000000000002E-2</v>
      </c>
      <c r="C234" s="26">
        <v>-4.9768E-2</v>
      </c>
      <c r="D234" s="26">
        <v>-6.5178E-2</v>
      </c>
      <c r="E234" s="26">
        <v>-6.3288999999999998E-2</v>
      </c>
      <c r="F234" s="26">
        <v>-6.1201999999999999E-2</v>
      </c>
      <c r="G234" s="26">
        <v>3.5630000000000002E-2</v>
      </c>
      <c r="H234" s="27">
        <f t="shared" si="19"/>
        <v>-5.6466333333333334E-2</v>
      </c>
      <c r="I234" s="20">
        <f t="shared" si="20"/>
        <v>1.3341182478483935</v>
      </c>
      <c r="J234" s="20">
        <f>MAX(I$42:I234)</f>
        <v>1.4885177470835527</v>
      </c>
      <c r="K234" s="7">
        <f t="shared" ref="K234:K297" si="24">I234/J234-1</f>
        <v>-0.10372701268605866</v>
      </c>
      <c r="L234" s="7" t="str">
        <f t="shared" ref="L234:L297" si="25">IF(A234&lt;=DATE(2003,12,31),K234,"")</f>
        <v/>
      </c>
      <c r="M234" s="7" t="str">
        <f t="shared" ref="M234:M297" si="26">IF(A234&lt;=DATE(2010,12,31),K234,"")</f>
        <v/>
      </c>
      <c r="N234" s="21">
        <f t="shared" si="21"/>
        <v>42400</v>
      </c>
      <c r="O234" s="21">
        <f t="shared" si="22"/>
        <v>42400</v>
      </c>
      <c r="P234" s="21">
        <f t="shared" si="23"/>
        <v>42400</v>
      </c>
    </row>
    <row r="235" spans="1:16">
      <c r="A235" s="24">
        <v>42429</v>
      </c>
      <c r="B235" s="26">
        <v>-1.1554999999999999E-2</v>
      </c>
      <c r="C235" s="26">
        <v>-7.0299999999999998E-3</v>
      </c>
      <c r="D235" s="26">
        <v>-1.8051999999999999E-2</v>
      </c>
      <c r="E235" s="26">
        <v>4.8099999999999998E-4</v>
      </c>
      <c r="F235" s="26">
        <v>-5.7720000000000002E-3</v>
      </c>
      <c r="G235" s="26">
        <v>2.2955E-2</v>
      </c>
      <c r="H235" s="27">
        <f t="shared" ref="H235:H298" si="27">SUMPRODUCT($B$38:$G$38,B235:G235)-$B$5/12</f>
        <v>-1.1888333333333332E-2</v>
      </c>
      <c r="I235" s="20">
        <f t="shared" ref="I235:I298" si="28">I234*(1+H235)</f>
        <v>1.3182578054118892</v>
      </c>
      <c r="J235" s="20">
        <f>MAX(I$42:I235)</f>
        <v>1.4885177470835527</v>
      </c>
      <c r="K235" s="7">
        <f t="shared" si="24"/>
        <v>-0.1143822047169093</v>
      </c>
      <c r="L235" s="7" t="str">
        <f t="shared" si="25"/>
        <v/>
      </c>
      <c r="M235" s="7" t="str">
        <f t="shared" si="26"/>
        <v/>
      </c>
      <c r="N235" s="21">
        <f t="shared" ref="N235:N298" si="29">IF(AND(A235&gt;$B$18,I235&gt;=$B$16),A235,"")</f>
        <v>42429</v>
      </c>
      <c r="O235" s="21">
        <f t="shared" ref="O235:O298" si="30">IF(AND(A235&gt;$C$18,I235&gt;=$C$16),A235,"")</f>
        <v>42429</v>
      </c>
      <c r="P235" s="21">
        <f t="shared" ref="P235:P298" si="31">IF(AND(A235&gt;$D$18,I235&gt;=$D$16),A235,"")</f>
        <v>42429</v>
      </c>
    </row>
    <row r="236" spans="1:16">
      <c r="A236" s="24">
        <v>42460</v>
      </c>
      <c r="B236" s="26">
        <v>1.8196E-2</v>
      </c>
      <c r="C236" s="26">
        <v>1.8180999999999999E-2</v>
      </c>
      <c r="D236" s="26">
        <v>1.8223E-2</v>
      </c>
      <c r="E236" s="26">
        <v>2.8641E-2</v>
      </c>
      <c r="F236" s="26">
        <v>7.9663999999999999E-2</v>
      </c>
      <c r="G236" s="26">
        <v>-1.8779999999999999E-3</v>
      </c>
      <c r="H236" s="27">
        <f t="shared" si="27"/>
        <v>1.7862666666666666E-2</v>
      </c>
      <c r="I236" s="20">
        <f t="shared" si="28"/>
        <v>1.3418054051706931</v>
      </c>
      <c r="J236" s="20">
        <f>MAX(I$42:I236)</f>
        <v>1.4885177470835527</v>
      </c>
      <c r="K236" s="7">
        <f t="shared" si="24"/>
        <v>-9.856270924569932E-2</v>
      </c>
      <c r="L236" s="7" t="str">
        <f t="shared" si="25"/>
        <v/>
      </c>
      <c r="M236" s="7" t="str">
        <f t="shared" si="26"/>
        <v/>
      </c>
      <c r="N236" s="21">
        <f t="shared" si="29"/>
        <v>42460</v>
      </c>
      <c r="O236" s="21">
        <f t="shared" si="30"/>
        <v>42460</v>
      </c>
      <c r="P236" s="21">
        <f t="shared" si="31"/>
        <v>42460</v>
      </c>
    </row>
    <row r="237" spans="1:16">
      <c r="A237" s="24">
        <v>42490</v>
      </c>
      <c r="B237" s="26">
        <v>1.0678E-2</v>
      </c>
      <c r="C237" s="26">
        <v>-4.8700000000000002E-4</v>
      </c>
      <c r="D237" s="26">
        <v>2.6927E-2</v>
      </c>
      <c r="E237" s="26">
        <v>2.2644000000000001E-2</v>
      </c>
      <c r="F237" s="26">
        <v>3.4299999999999999E-4</v>
      </c>
      <c r="G237" s="26">
        <v>-1.1631000000000001E-2</v>
      </c>
      <c r="H237" s="27">
        <f t="shared" si="27"/>
        <v>1.0344666666666667E-2</v>
      </c>
      <c r="I237" s="20">
        <f t="shared" si="28"/>
        <v>1.3556859348187156</v>
      </c>
      <c r="J237" s="20">
        <f>MAX(I$42:I237)</f>
        <v>1.4885177470835527</v>
      </c>
      <c r="K237" s="7">
        <f t="shared" si="24"/>
        <v>-8.9237640951942976E-2</v>
      </c>
      <c r="L237" s="7" t="str">
        <f t="shared" si="25"/>
        <v/>
      </c>
      <c r="M237" s="7" t="str">
        <f t="shared" si="26"/>
        <v/>
      </c>
      <c r="N237" s="21">
        <f t="shared" si="29"/>
        <v>42490</v>
      </c>
      <c r="O237" s="21">
        <f t="shared" si="30"/>
        <v>42490</v>
      </c>
      <c r="P237" s="21">
        <f t="shared" si="31"/>
        <v>42490</v>
      </c>
    </row>
    <row r="238" spans="1:16">
      <c r="A238" s="24">
        <v>42521</v>
      </c>
      <c r="B238" s="26">
        <v>3.4613999999999999E-2</v>
      </c>
      <c r="C238" s="26">
        <v>4.6898000000000002E-2</v>
      </c>
      <c r="D238" s="26">
        <v>1.7207E-2</v>
      </c>
      <c r="E238" s="26">
        <v>2.4417999999999999E-2</v>
      </c>
      <c r="F238" s="26">
        <v>-9.5420000000000001E-3</v>
      </c>
      <c r="G238" s="26">
        <v>8.0689999999999998E-3</v>
      </c>
      <c r="H238" s="27">
        <f t="shared" si="27"/>
        <v>3.4280666666666668E-2</v>
      </c>
      <c r="I238" s="20">
        <f t="shared" si="28"/>
        <v>1.4021597524549243</v>
      </c>
      <c r="J238" s="20">
        <f>MAX(I$42:I238)</f>
        <v>1.4885177470835527</v>
      </c>
      <c r="K238" s="7">
        <f t="shared" si="24"/>
        <v>-5.8016100108869595E-2</v>
      </c>
      <c r="L238" s="7" t="str">
        <f t="shared" si="25"/>
        <v/>
      </c>
      <c r="M238" s="7" t="str">
        <f t="shared" si="26"/>
        <v/>
      </c>
      <c r="N238" s="21">
        <f t="shared" si="29"/>
        <v>42521</v>
      </c>
      <c r="O238" s="21">
        <f t="shared" si="30"/>
        <v>42521</v>
      </c>
      <c r="P238" s="21">
        <f t="shared" si="31"/>
        <v>42521</v>
      </c>
    </row>
    <row r="239" spans="1:16">
      <c r="A239" s="24">
        <v>42551</v>
      </c>
      <c r="B239" s="26">
        <v>-9.1590000000000005E-3</v>
      </c>
      <c r="C239" s="26">
        <v>4.163E-3</v>
      </c>
      <c r="D239" s="26">
        <v>-2.8385000000000001E-2</v>
      </c>
      <c r="E239" s="26">
        <v>-1.8265E-2</v>
      </c>
      <c r="F239" s="26">
        <v>4.2119999999999998E-2</v>
      </c>
      <c r="G239" s="26">
        <v>3.1119999999999998E-2</v>
      </c>
      <c r="H239" s="27">
        <f t="shared" si="27"/>
        <v>-9.4923333333333335E-3</v>
      </c>
      <c r="I239" s="20">
        <f t="shared" si="28"/>
        <v>1.388849984698038</v>
      </c>
      <c r="J239" s="20">
        <f>MAX(I$42:I239)</f>
        <v>1.4885177470835527</v>
      </c>
      <c r="K239" s="7">
        <f t="shared" si="24"/>
        <v>-6.695772528126942E-2</v>
      </c>
      <c r="L239" s="7" t="str">
        <f t="shared" si="25"/>
        <v/>
      </c>
      <c r="M239" s="7" t="str">
        <f t="shared" si="26"/>
        <v/>
      </c>
      <c r="N239" s="21">
        <f t="shared" si="29"/>
        <v>42551</v>
      </c>
      <c r="O239" s="21">
        <f t="shared" si="30"/>
        <v>42551</v>
      </c>
      <c r="P239" s="21">
        <f t="shared" si="31"/>
        <v>42551</v>
      </c>
    </row>
    <row r="240" spans="1:16">
      <c r="A240" s="24">
        <v>42582</v>
      </c>
      <c r="B240" s="26">
        <v>3.5444999999999997E-2</v>
      </c>
      <c r="C240" s="26">
        <v>3.0814000000000001E-2</v>
      </c>
      <c r="D240" s="26">
        <v>4.2341999999999998E-2</v>
      </c>
      <c r="E240" s="26">
        <v>4.5469999999999997E-2</v>
      </c>
      <c r="F240" s="26">
        <v>4.3464999999999997E-2</v>
      </c>
      <c r="G240" s="26">
        <v>8.83E-4</v>
      </c>
      <c r="H240" s="27">
        <f t="shared" si="27"/>
        <v>3.5111666666666666E-2</v>
      </c>
      <c r="I240" s="20">
        <f t="shared" si="28"/>
        <v>1.4376148224107606</v>
      </c>
      <c r="J240" s="20">
        <f>MAX(I$42:I240)</f>
        <v>1.4885177470835527</v>
      </c>
      <c r="K240" s="7">
        <f t="shared" si="24"/>
        <v>-3.4197055945436983E-2</v>
      </c>
      <c r="L240" s="7" t="str">
        <f t="shared" si="25"/>
        <v/>
      </c>
      <c r="M240" s="7" t="str">
        <f t="shared" si="26"/>
        <v/>
      </c>
      <c r="N240" s="21">
        <f t="shared" si="29"/>
        <v>42582</v>
      </c>
      <c r="O240" s="21">
        <f t="shared" si="30"/>
        <v>42582</v>
      </c>
      <c r="P240" s="21">
        <f t="shared" si="31"/>
        <v>42582</v>
      </c>
    </row>
    <row r="241" spans="1:16">
      <c r="A241" s="24">
        <v>42613</v>
      </c>
      <c r="B241" s="26">
        <v>4.875E-3</v>
      </c>
      <c r="C241" s="26">
        <v>4.8129999999999996E-3</v>
      </c>
      <c r="D241" s="26">
        <v>4.9649999999999998E-3</v>
      </c>
      <c r="E241" s="26">
        <v>3.8479999999999999E-3</v>
      </c>
      <c r="F241" s="26">
        <v>2.8992E-2</v>
      </c>
      <c r="G241" s="26">
        <v>8.7500000000000002E-4</v>
      </c>
      <c r="H241" s="27">
        <f t="shared" si="27"/>
        <v>4.5416666666666669E-3</v>
      </c>
      <c r="I241" s="20">
        <f t="shared" si="28"/>
        <v>1.4441439897292094</v>
      </c>
      <c r="J241" s="20">
        <f>MAX(I$42:I241)</f>
        <v>1.4885177470835527</v>
      </c>
      <c r="K241" s="7">
        <f t="shared" si="24"/>
        <v>-2.9810700907855869E-2</v>
      </c>
      <c r="L241" s="7" t="str">
        <f t="shared" si="25"/>
        <v/>
      </c>
      <c r="M241" s="7" t="str">
        <f t="shared" si="26"/>
        <v/>
      </c>
      <c r="N241" s="21">
        <f t="shared" si="29"/>
        <v>42613</v>
      </c>
      <c r="O241" s="21">
        <f t="shared" si="30"/>
        <v>42613</v>
      </c>
      <c r="P241" s="21">
        <f t="shared" si="31"/>
        <v>42613</v>
      </c>
    </row>
    <row r="242" spans="1:16">
      <c r="A242" s="24">
        <v>42643</v>
      </c>
      <c r="B242" s="26">
        <v>-3.679E-3</v>
      </c>
      <c r="C242" s="26">
        <v>-8.2970000000000006E-3</v>
      </c>
      <c r="D242" s="26">
        <v>3.1220000000000002E-3</v>
      </c>
      <c r="E242" s="26">
        <v>1.8699999999999999E-3</v>
      </c>
      <c r="F242" s="26">
        <v>3.8019999999999998E-3</v>
      </c>
      <c r="G242" s="26">
        <v>4.8820000000000001E-3</v>
      </c>
      <c r="H242" s="27">
        <f t="shared" si="27"/>
        <v>-4.012333333333333E-3</v>
      </c>
      <c r="I242" s="20">
        <f t="shared" si="28"/>
        <v>1.438349602661086</v>
      </c>
      <c r="J242" s="20">
        <f>MAX(I$42:I242)</f>
        <v>1.4885177470835527</v>
      </c>
      <c r="K242" s="7">
        <f t="shared" si="24"/>
        <v>-3.3703423772246555E-2</v>
      </c>
      <c r="L242" s="7" t="str">
        <f t="shared" si="25"/>
        <v/>
      </c>
      <c r="M242" s="7" t="str">
        <f t="shared" si="26"/>
        <v/>
      </c>
      <c r="N242" s="21">
        <f t="shared" si="29"/>
        <v>42643</v>
      </c>
      <c r="O242" s="21">
        <f t="shared" si="30"/>
        <v>42643</v>
      </c>
      <c r="P242" s="21">
        <f t="shared" si="31"/>
        <v>42643</v>
      </c>
    </row>
    <row r="243" spans="1:16">
      <c r="A243" s="24">
        <v>42674</v>
      </c>
      <c r="B243" s="26">
        <v>5.3350000000000003E-3</v>
      </c>
      <c r="C243" s="26">
        <v>5.3819999999999996E-3</v>
      </c>
      <c r="D243" s="26">
        <v>5.2560000000000003E-3</v>
      </c>
      <c r="E243" s="26">
        <v>5.5469999999999998E-3</v>
      </c>
      <c r="F243" s="26">
        <v>2.7622000000000001E-2</v>
      </c>
      <c r="G243" s="26">
        <v>-3.3654000000000003E-2</v>
      </c>
      <c r="H243" s="27">
        <f t="shared" si="27"/>
        <v>5.0016666666666673E-3</v>
      </c>
      <c r="I243" s="20">
        <f t="shared" si="28"/>
        <v>1.4455437479237292</v>
      </c>
      <c r="J243" s="20">
        <f>MAX(I$42:I243)</f>
        <v>1.4885177470835527</v>
      </c>
      <c r="K243" s="7">
        <f t="shared" si="24"/>
        <v>-2.8870330396814081E-2</v>
      </c>
      <c r="L243" s="7" t="str">
        <f t="shared" si="25"/>
        <v/>
      </c>
      <c r="M243" s="7" t="str">
        <f t="shared" si="26"/>
        <v/>
      </c>
      <c r="N243" s="21">
        <f t="shared" si="29"/>
        <v>42674</v>
      </c>
      <c r="O243" s="21">
        <f t="shared" si="30"/>
        <v>42674</v>
      </c>
      <c r="P243" s="21">
        <f t="shared" si="31"/>
        <v>42674</v>
      </c>
    </row>
    <row r="244" spans="1:16">
      <c r="A244" s="24">
        <v>42704</v>
      </c>
      <c r="B244" s="26">
        <v>4.8231999999999997E-2</v>
      </c>
      <c r="C244" s="26">
        <v>6.9841E-2</v>
      </c>
      <c r="D244" s="26">
        <v>1.6806000000000001E-2</v>
      </c>
      <c r="E244" s="26">
        <v>4.2444000000000003E-2</v>
      </c>
      <c r="F244" s="26">
        <v>-1.4194999999999999E-2</v>
      </c>
      <c r="G244" s="26">
        <v>-6.7580000000000001E-3</v>
      </c>
      <c r="H244" s="27">
        <f t="shared" si="27"/>
        <v>4.7898666666666666E-2</v>
      </c>
      <c r="I244" s="20">
        <f t="shared" si="28"/>
        <v>1.514783366057612</v>
      </c>
      <c r="J244" s="20">
        <f>MAX(I$42:I244)</f>
        <v>1.514783366057612</v>
      </c>
      <c r="K244" s="7">
        <f t="shared" si="24"/>
        <v>0</v>
      </c>
      <c r="L244" s="7" t="str">
        <f t="shared" si="25"/>
        <v/>
      </c>
      <c r="M244" s="7" t="str">
        <f t="shared" si="26"/>
        <v/>
      </c>
      <c r="N244" s="21">
        <f t="shared" si="29"/>
        <v>42704</v>
      </c>
      <c r="O244" s="21">
        <f t="shared" si="30"/>
        <v>42704</v>
      </c>
      <c r="P244" s="21">
        <f t="shared" si="31"/>
        <v>42704</v>
      </c>
    </row>
    <row r="245" spans="1:16">
      <c r="A245" s="24">
        <v>42735</v>
      </c>
      <c r="B245" s="26">
        <v>2.9798999999999999E-2</v>
      </c>
      <c r="C245" s="26">
        <v>2.4052E-2</v>
      </c>
      <c r="D245" s="26">
        <v>3.8586000000000002E-2</v>
      </c>
      <c r="E245" s="26">
        <v>2.5777999999999999E-2</v>
      </c>
      <c r="F245" s="26">
        <v>7.9570000000000005E-3</v>
      </c>
      <c r="G245" s="26">
        <v>-1.7930000000000001E-3</v>
      </c>
      <c r="H245" s="27">
        <f t="shared" si="27"/>
        <v>2.9465666666666664E-2</v>
      </c>
      <c r="I245" s="20">
        <f t="shared" si="28"/>
        <v>1.5594174677940769</v>
      </c>
      <c r="J245" s="20">
        <f>MAX(I$42:I245)</f>
        <v>1.5594174677940769</v>
      </c>
      <c r="K245" s="7">
        <f t="shared" si="24"/>
        <v>0</v>
      </c>
      <c r="L245" s="7" t="str">
        <f t="shared" si="25"/>
        <v/>
      </c>
      <c r="M245" s="7" t="str">
        <f t="shared" si="26"/>
        <v/>
      </c>
      <c r="N245" s="21">
        <f t="shared" si="29"/>
        <v>42735</v>
      </c>
      <c r="O245" s="21">
        <f t="shared" si="30"/>
        <v>42735</v>
      </c>
      <c r="P245" s="21">
        <f t="shared" si="31"/>
        <v>42735</v>
      </c>
    </row>
    <row r="246" spans="1:16">
      <c r="A246" s="24">
        <v>42766</v>
      </c>
      <c r="B246" s="26">
        <v>-4.55E-4</v>
      </c>
      <c r="C246" s="26">
        <v>-4.1019999999999997E-3</v>
      </c>
      <c r="D246" s="26">
        <v>5.0299999999999997E-3</v>
      </c>
      <c r="E246" s="26">
        <v>6.6100000000000004E-3</v>
      </c>
      <c r="F246" s="26">
        <v>2.9395999999999999E-2</v>
      </c>
      <c r="G246" s="26">
        <v>-2.3029999999999998E-2</v>
      </c>
      <c r="H246" s="27">
        <f t="shared" si="27"/>
        <v>-7.8833333333333338E-4</v>
      </c>
      <c r="I246" s="20">
        <f t="shared" si="28"/>
        <v>1.5581881270236326</v>
      </c>
      <c r="J246" s="20">
        <f>MAX(I$42:I246)</f>
        <v>1.5594174677940769</v>
      </c>
      <c r="K246" s="7">
        <f t="shared" si="24"/>
        <v>-7.8833333333327982E-4</v>
      </c>
      <c r="L246" s="7" t="str">
        <f t="shared" si="25"/>
        <v/>
      </c>
      <c r="M246" s="7" t="str">
        <f t="shared" si="26"/>
        <v/>
      </c>
      <c r="N246" s="21">
        <f t="shared" si="29"/>
        <v>42766</v>
      </c>
      <c r="O246" s="21">
        <f t="shared" si="30"/>
        <v>42766</v>
      </c>
      <c r="P246" s="21">
        <f t="shared" si="31"/>
        <v>42766</v>
      </c>
    </row>
    <row r="247" spans="1:16">
      <c r="A247" s="24">
        <v>42794</v>
      </c>
      <c r="B247" s="26">
        <v>4.5251E-2</v>
      </c>
      <c r="C247" s="26">
        <v>5.6300000000000003E-2</v>
      </c>
      <c r="D247" s="26">
        <v>2.8771000000000001E-2</v>
      </c>
      <c r="E247" s="26">
        <v>3.7068999999999998E-2</v>
      </c>
      <c r="F247" s="26">
        <v>4.8167000000000001E-2</v>
      </c>
      <c r="G247" s="26">
        <v>2.7879000000000001E-2</v>
      </c>
      <c r="H247" s="27">
        <f t="shared" si="27"/>
        <v>4.4917666666666668E-2</v>
      </c>
      <c r="I247" s="20">
        <f t="shared" si="28"/>
        <v>1.6281783019172378</v>
      </c>
      <c r="J247" s="20">
        <f>MAX(I$42:I247)</f>
        <v>1.6281783019172378</v>
      </c>
      <c r="K247" s="7">
        <f t="shared" si="24"/>
        <v>0</v>
      </c>
      <c r="L247" s="7" t="str">
        <f t="shared" si="25"/>
        <v/>
      </c>
      <c r="M247" s="7" t="str">
        <f t="shared" si="26"/>
        <v/>
      </c>
      <c r="N247" s="21">
        <f t="shared" si="29"/>
        <v>42794</v>
      </c>
      <c r="O247" s="21">
        <f t="shared" si="30"/>
        <v>42794</v>
      </c>
      <c r="P247" s="21">
        <f t="shared" si="31"/>
        <v>42794</v>
      </c>
    </row>
    <row r="248" spans="1:16">
      <c r="A248" s="24">
        <v>42825</v>
      </c>
      <c r="B248" s="26">
        <v>4.0829999999999998E-3</v>
      </c>
      <c r="C248" s="26">
        <v>-5.5449999999999996E-3</v>
      </c>
      <c r="D248" s="26">
        <v>1.8723E-2</v>
      </c>
      <c r="E248" s="26">
        <v>6.3689999999999997E-3</v>
      </c>
      <c r="F248" s="26">
        <v>1.8582999999999999E-2</v>
      </c>
      <c r="G248" s="26">
        <v>-1.4461E-2</v>
      </c>
      <c r="H248" s="27">
        <f t="shared" si="27"/>
        <v>3.7496666666666663E-3</v>
      </c>
      <c r="I248" s="20">
        <f t="shared" si="28"/>
        <v>1.6342834278233269</v>
      </c>
      <c r="J248" s="20">
        <f>MAX(I$42:I248)</f>
        <v>1.6342834278233269</v>
      </c>
      <c r="K248" s="7">
        <f t="shared" si="24"/>
        <v>0</v>
      </c>
      <c r="L248" s="7" t="str">
        <f t="shared" si="25"/>
        <v/>
      </c>
      <c r="M248" s="7" t="str">
        <f t="shared" si="26"/>
        <v/>
      </c>
      <c r="N248" s="21">
        <f t="shared" si="29"/>
        <v>42825</v>
      </c>
      <c r="O248" s="21">
        <f t="shared" si="30"/>
        <v>42825</v>
      </c>
      <c r="P248" s="21">
        <f t="shared" si="31"/>
        <v>42825</v>
      </c>
    </row>
    <row r="249" spans="1:16">
      <c r="A249" s="24">
        <v>42855</v>
      </c>
      <c r="B249" s="26">
        <v>-3.2720000000000002E-3</v>
      </c>
      <c r="C249" s="26">
        <v>-7.5339999999999999E-3</v>
      </c>
      <c r="D249" s="26">
        <v>3.0660000000000001E-3</v>
      </c>
      <c r="E249" s="26">
        <v>1.94E-4</v>
      </c>
      <c r="F249" s="26">
        <v>3.6870000000000002E-3</v>
      </c>
      <c r="G249" s="26">
        <v>-6.9899999999999997E-4</v>
      </c>
      <c r="H249" s="27">
        <f t="shared" si="27"/>
        <v>-3.6053333333333337E-3</v>
      </c>
      <c r="I249" s="20">
        <f t="shared" si="28"/>
        <v>1.6283912913048812</v>
      </c>
      <c r="J249" s="20">
        <f>MAX(I$42:I249)</f>
        <v>1.6342834278233269</v>
      </c>
      <c r="K249" s="7">
        <f t="shared" si="24"/>
        <v>-3.6053333333333493E-3</v>
      </c>
      <c r="L249" s="7" t="str">
        <f t="shared" si="25"/>
        <v/>
      </c>
      <c r="M249" s="7" t="str">
        <f t="shared" si="26"/>
        <v/>
      </c>
      <c r="N249" s="21">
        <f t="shared" si="29"/>
        <v>42855</v>
      </c>
      <c r="O249" s="21">
        <f t="shared" si="30"/>
        <v>42855</v>
      </c>
      <c r="P249" s="21">
        <f t="shared" si="31"/>
        <v>42855</v>
      </c>
    </row>
    <row r="250" spans="1:16">
      <c r="A250" s="24">
        <v>42886</v>
      </c>
      <c r="B250" s="26">
        <v>-1.1129E-2</v>
      </c>
      <c r="C250" s="26">
        <v>-1.9134000000000002E-2</v>
      </c>
      <c r="D250" s="26">
        <v>6.69E-4</v>
      </c>
      <c r="E250" s="26">
        <v>-8.8299999999999993E-3</v>
      </c>
      <c r="F250" s="26">
        <v>-2.9840000000000001E-3</v>
      </c>
      <c r="G250" s="26">
        <v>1.2570000000000001E-3</v>
      </c>
      <c r="H250" s="27">
        <f t="shared" si="27"/>
        <v>-1.1462333333333333E-2</v>
      </c>
      <c r="I250" s="20">
        <f t="shared" si="28"/>
        <v>1.6097261275268475</v>
      </c>
      <c r="J250" s="20">
        <f>MAX(I$42:I250)</f>
        <v>1.6342834278233269</v>
      </c>
      <c r="K250" s="7">
        <f t="shared" si="24"/>
        <v>-1.5026341134222299E-2</v>
      </c>
      <c r="L250" s="7" t="str">
        <f t="shared" si="25"/>
        <v/>
      </c>
      <c r="M250" s="7" t="str">
        <f t="shared" si="26"/>
        <v/>
      </c>
      <c r="N250" s="21">
        <f t="shared" si="29"/>
        <v>42886</v>
      </c>
      <c r="O250" s="21">
        <f t="shared" si="30"/>
        <v>42886</v>
      </c>
      <c r="P250" s="21">
        <f t="shared" si="31"/>
        <v>42886</v>
      </c>
    </row>
    <row r="251" spans="1:16">
      <c r="A251" s="24">
        <v>42916</v>
      </c>
      <c r="B251" s="26">
        <v>-1.0279E-2</v>
      </c>
      <c r="C251" s="26">
        <v>-8.3059999999999991E-3</v>
      </c>
      <c r="D251" s="26">
        <v>-1.3143E-2</v>
      </c>
      <c r="E251" s="26">
        <v>-6.3169999999999997E-3</v>
      </c>
      <c r="F251" s="26">
        <v>-4.1469999999999996E-3</v>
      </c>
      <c r="G251" s="26">
        <v>-1.4218E-2</v>
      </c>
      <c r="H251" s="27">
        <f t="shared" si="27"/>
        <v>-1.0612333333333333E-2</v>
      </c>
      <c r="I251" s="20">
        <f t="shared" si="28"/>
        <v>1.5926431772861567</v>
      </c>
      <c r="J251" s="20">
        <f>MAX(I$42:I251)</f>
        <v>1.6342834278233269</v>
      </c>
      <c r="K251" s="7">
        <f t="shared" si="24"/>
        <v>-2.5479209926658863E-2</v>
      </c>
      <c r="L251" s="7" t="str">
        <f t="shared" si="25"/>
        <v/>
      </c>
      <c r="M251" s="7" t="str">
        <f t="shared" si="26"/>
        <v/>
      </c>
      <c r="N251" s="21">
        <f t="shared" si="29"/>
        <v>42916</v>
      </c>
      <c r="O251" s="21">
        <f t="shared" si="30"/>
        <v>42916</v>
      </c>
      <c r="P251" s="21">
        <f t="shared" si="31"/>
        <v>42916</v>
      </c>
    </row>
    <row r="252" spans="1:16">
      <c r="A252" s="24">
        <v>42947</v>
      </c>
      <c r="B252" s="26">
        <v>-9.4590000000000004E-3</v>
      </c>
      <c r="C252" s="26">
        <v>-1.3344E-2</v>
      </c>
      <c r="D252" s="26">
        <v>-3.8180000000000002E-3</v>
      </c>
      <c r="E252" s="26">
        <v>-9.8829999999999994E-3</v>
      </c>
      <c r="F252" s="26">
        <v>2.5052999999999999E-2</v>
      </c>
      <c r="G252" s="26">
        <v>-6.3379999999999999E-3</v>
      </c>
      <c r="H252" s="27">
        <f t="shared" si="27"/>
        <v>-9.7923333333333334E-3</v>
      </c>
      <c r="I252" s="20">
        <f t="shared" si="28"/>
        <v>1.5770474844131115</v>
      </c>
      <c r="J252" s="20">
        <f>MAX(I$42:I252)</f>
        <v>1.6342834278233269</v>
      </c>
      <c r="K252" s="7">
        <f t="shared" si="24"/>
        <v>-3.5022042343320403E-2</v>
      </c>
      <c r="L252" s="7" t="str">
        <f t="shared" si="25"/>
        <v/>
      </c>
      <c r="M252" s="7" t="str">
        <f t="shared" si="26"/>
        <v/>
      </c>
      <c r="N252" s="21">
        <f t="shared" si="29"/>
        <v>42947</v>
      </c>
      <c r="O252" s="21">
        <f t="shared" si="30"/>
        <v>42947</v>
      </c>
      <c r="P252" s="21">
        <f t="shared" si="31"/>
        <v>42947</v>
      </c>
    </row>
    <row r="253" spans="1:16">
      <c r="A253" s="24">
        <v>42978</v>
      </c>
      <c r="B253" s="26">
        <v>-6.9309999999999997E-3</v>
      </c>
      <c r="C253" s="26">
        <v>-5.8019999999999999E-3</v>
      </c>
      <c r="D253" s="26">
        <v>-8.5599999999999999E-3</v>
      </c>
      <c r="E253" s="26">
        <v>-1.0678999999999999E-2</v>
      </c>
      <c r="F253" s="26">
        <v>1.3792E-2</v>
      </c>
      <c r="G253" s="26">
        <v>1.9918000000000002E-2</v>
      </c>
      <c r="H253" s="27">
        <f t="shared" si="27"/>
        <v>-7.2643333333333327E-3</v>
      </c>
      <c r="I253" s="20">
        <f t="shared" si="28"/>
        <v>1.5655912858038399</v>
      </c>
      <c r="J253" s="20">
        <f>MAX(I$42:I253)</f>
        <v>1.6342834278233269</v>
      </c>
      <c r="K253" s="7">
        <f t="shared" si="24"/>
        <v>-4.2031963887057766E-2</v>
      </c>
      <c r="L253" s="7" t="str">
        <f t="shared" si="25"/>
        <v/>
      </c>
      <c r="M253" s="7" t="str">
        <f t="shared" si="26"/>
        <v/>
      </c>
      <c r="N253" s="21">
        <f t="shared" si="29"/>
        <v>42978</v>
      </c>
      <c r="O253" s="21">
        <f t="shared" si="30"/>
        <v>42978</v>
      </c>
      <c r="P253" s="21">
        <f t="shared" si="31"/>
        <v>42978</v>
      </c>
    </row>
    <row r="254" spans="1:16">
      <c r="A254" s="24">
        <v>43008</v>
      </c>
      <c r="B254" s="26">
        <v>2.8239E-2</v>
      </c>
      <c r="C254" s="26">
        <v>2.5801000000000001E-2</v>
      </c>
      <c r="D254" s="26">
        <v>3.1751000000000001E-2</v>
      </c>
      <c r="E254" s="26">
        <v>2.8212999999999998E-2</v>
      </c>
      <c r="F254" s="26">
        <v>1.668E-3</v>
      </c>
      <c r="G254" s="26">
        <v>-1.0348E-2</v>
      </c>
      <c r="H254" s="27">
        <f t="shared" si="27"/>
        <v>2.7905666666666665E-2</v>
      </c>
      <c r="I254" s="20">
        <f t="shared" si="28"/>
        <v>1.6092801543617199</v>
      </c>
      <c r="J254" s="20">
        <f>MAX(I$42:I254)</f>
        <v>1.6342834278233269</v>
      </c>
      <c r="K254" s="7">
        <f t="shared" si="24"/>
        <v>-1.5299227193968701E-2</v>
      </c>
      <c r="L254" s="7" t="str">
        <f t="shared" si="25"/>
        <v/>
      </c>
      <c r="M254" s="7" t="str">
        <f t="shared" si="26"/>
        <v/>
      </c>
      <c r="N254" s="21">
        <f t="shared" si="29"/>
        <v>43008</v>
      </c>
      <c r="O254" s="21">
        <f t="shared" si="30"/>
        <v>43008</v>
      </c>
      <c r="P254" s="21">
        <f t="shared" si="31"/>
        <v>43008</v>
      </c>
    </row>
    <row r="255" spans="1:16">
      <c r="A255" s="24">
        <v>43039</v>
      </c>
      <c r="B255" s="26">
        <v>3.3985000000000001E-2</v>
      </c>
      <c r="C255" s="26">
        <v>3.7704000000000001E-2</v>
      </c>
      <c r="D255" s="26">
        <v>2.8663999999999999E-2</v>
      </c>
      <c r="E255" s="26">
        <v>2.9904E-2</v>
      </c>
      <c r="F255" s="26">
        <v>5.0382000000000003E-2</v>
      </c>
      <c r="G255" s="26">
        <v>5.2319999999999997E-3</v>
      </c>
      <c r="H255" s="27">
        <f t="shared" si="27"/>
        <v>3.365166666666667E-2</v>
      </c>
      <c r="I255" s="20">
        <f t="shared" si="28"/>
        <v>1.6634351136895824</v>
      </c>
      <c r="J255" s="20">
        <f>MAX(I$42:I255)</f>
        <v>1.6634351136895824</v>
      </c>
      <c r="K255" s="7">
        <f t="shared" si="24"/>
        <v>0</v>
      </c>
      <c r="L255" s="7" t="str">
        <f t="shared" si="25"/>
        <v/>
      </c>
      <c r="M255" s="7" t="str">
        <f t="shared" si="26"/>
        <v/>
      </c>
      <c r="N255" s="21">
        <f t="shared" si="29"/>
        <v>43039</v>
      </c>
      <c r="O255" s="21">
        <f t="shared" si="30"/>
        <v>43039</v>
      </c>
      <c r="P255" s="21">
        <f t="shared" si="31"/>
        <v>43039</v>
      </c>
    </row>
    <row r="256" spans="1:16">
      <c r="A256" s="24">
        <v>43069</v>
      </c>
      <c r="B256" s="26">
        <v>-1.8079999999999999E-3</v>
      </c>
      <c r="C256" s="26">
        <v>6.0260000000000001E-3</v>
      </c>
      <c r="D256" s="26">
        <v>-1.3096999999999999E-2</v>
      </c>
      <c r="E256" s="26">
        <v>-6.8800000000000003E-4</v>
      </c>
      <c r="F256" s="26">
        <v>-2.1016E-2</v>
      </c>
      <c r="G256" s="26">
        <v>-6.2799999999999998E-4</v>
      </c>
      <c r="H256" s="27">
        <f t="shared" si="27"/>
        <v>-2.1413333333333332E-3</v>
      </c>
      <c r="I256" s="20">
        <f t="shared" si="28"/>
        <v>1.6598731446328019</v>
      </c>
      <c r="J256" s="20">
        <f>MAX(I$42:I256)</f>
        <v>1.6634351136895824</v>
      </c>
      <c r="K256" s="7">
        <f t="shared" si="24"/>
        <v>-2.1413333333332174E-3</v>
      </c>
      <c r="L256" s="7" t="str">
        <f t="shared" si="25"/>
        <v/>
      </c>
      <c r="M256" s="7" t="str">
        <f t="shared" si="26"/>
        <v/>
      </c>
      <c r="N256" s="21">
        <f t="shared" si="29"/>
        <v>43069</v>
      </c>
      <c r="O256" s="21">
        <f t="shared" si="30"/>
        <v>43069</v>
      </c>
      <c r="P256" s="21">
        <f t="shared" si="31"/>
        <v>43069</v>
      </c>
    </row>
    <row r="257" spans="1:16">
      <c r="A257" s="24">
        <v>43100</v>
      </c>
      <c r="B257" s="26">
        <v>6.3899999999999998E-3</v>
      </c>
      <c r="C257" s="26">
        <v>3.372E-3</v>
      </c>
      <c r="D257" s="26">
        <v>1.0803999999999999E-2</v>
      </c>
      <c r="E257" s="26">
        <v>9.8499999999999994E-3</v>
      </c>
      <c r="F257" s="26">
        <v>2.8608000000000001E-2</v>
      </c>
      <c r="G257" s="26">
        <v>-5.4469999999999996E-3</v>
      </c>
      <c r="H257" s="27">
        <f t="shared" si="27"/>
        <v>6.0566666666666668E-3</v>
      </c>
      <c r="I257" s="20">
        <f t="shared" si="28"/>
        <v>1.6699264429787946</v>
      </c>
      <c r="J257" s="20">
        <f>MAX(I$42:I257)</f>
        <v>1.6699264429787946</v>
      </c>
      <c r="K257" s="7">
        <f t="shared" si="24"/>
        <v>0</v>
      </c>
      <c r="L257" s="7" t="str">
        <f t="shared" si="25"/>
        <v/>
      </c>
      <c r="M257" s="7" t="str">
        <f t="shared" si="26"/>
        <v/>
      </c>
      <c r="N257" s="21">
        <f t="shared" si="29"/>
        <v>43100</v>
      </c>
      <c r="O257" s="21">
        <f t="shared" si="30"/>
        <v>43100</v>
      </c>
      <c r="P257" s="21">
        <f t="shared" si="31"/>
        <v>43100</v>
      </c>
    </row>
    <row r="258" spans="1:16">
      <c r="A258" s="24">
        <v>43131</v>
      </c>
      <c r="B258" s="26">
        <v>1.4814000000000001E-2</v>
      </c>
      <c r="C258" s="26">
        <v>1.8936000000000001E-2</v>
      </c>
      <c r="D258" s="26">
        <v>8.829E-3</v>
      </c>
      <c r="E258" s="26">
        <v>7.7809999999999997E-3</v>
      </c>
      <c r="F258" s="26">
        <v>4.4255000000000003E-2</v>
      </c>
      <c r="G258" s="26">
        <v>-1.9661999999999999E-2</v>
      </c>
      <c r="H258" s="27">
        <f t="shared" si="27"/>
        <v>1.4480666666666668E-2</v>
      </c>
      <c r="I258" s="20">
        <f t="shared" si="28"/>
        <v>1.6941080911574227</v>
      </c>
      <c r="J258" s="20">
        <f>MAX(I$42:I258)</f>
        <v>1.6941080911574227</v>
      </c>
      <c r="K258" s="7">
        <f t="shared" si="24"/>
        <v>0</v>
      </c>
      <c r="L258" s="7" t="str">
        <f t="shared" si="25"/>
        <v/>
      </c>
      <c r="M258" s="7" t="str">
        <f t="shared" si="26"/>
        <v/>
      </c>
      <c r="N258" s="21">
        <f t="shared" si="29"/>
        <v>43131</v>
      </c>
      <c r="O258" s="21">
        <f t="shared" si="30"/>
        <v>43131</v>
      </c>
      <c r="P258" s="21">
        <f t="shared" si="31"/>
        <v>43131</v>
      </c>
    </row>
    <row r="259" spans="1:16">
      <c r="A259" s="24">
        <v>43159</v>
      </c>
      <c r="B259" s="26">
        <v>-2.0917000000000002E-2</v>
      </c>
      <c r="C259" s="26">
        <v>-1.6687E-2</v>
      </c>
      <c r="D259" s="26">
        <v>-2.7122E-2</v>
      </c>
      <c r="E259" s="26">
        <v>-2.1042000000000002E-2</v>
      </c>
      <c r="F259" s="26">
        <v>-2.5708000000000002E-2</v>
      </c>
      <c r="G259" s="26">
        <v>-3.8000000000000002E-4</v>
      </c>
      <c r="H259" s="27">
        <f t="shared" si="27"/>
        <v>-2.1250333333333336E-2</v>
      </c>
      <c r="I259" s="20">
        <f t="shared" si="28"/>
        <v>1.6581077295176303</v>
      </c>
      <c r="J259" s="20">
        <f>MAX(I$42:I259)</f>
        <v>1.6941080911574227</v>
      </c>
      <c r="K259" s="7">
        <f t="shared" si="24"/>
        <v>-2.1250333333333371E-2</v>
      </c>
      <c r="L259" s="7" t="str">
        <f t="shared" si="25"/>
        <v/>
      </c>
      <c r="M259" s="7" t="str">
        <f t="shared" si="26"/>
        <v/>
      </c>
      <c r="N259" s="21">
        <f t="shared" si="29"/>
        <v>43159</v>
      </c>
      <c r="O259" s="21">
        <f t="shared" si="30"/>
        <v>43159</v>
      </c>
      <c r="P259" s="21">
        <f t="shared" si="31"/>
        <v>43159</v>
      </c>
    </row>
    <row r="260" spans="1:16">
      <c r="A260" s="24">
        <v>43190</v>
      </c>
      <c r="B260" s="26">
        <v>-2.9907E-2</v>
      </c>
      <c r="C260" s="26">
        <v>-3.2923000000000001E-2</v>
      </c>
      <c r="D260" s="26">
        <v>-2.5458000000000001E-2</v>
      </c>
      <c r="E260" s="26">
        <v>-2.0570000000000001E-2</v>
      </c>
      <c r="F260" s="26">
        <v>-2.6733E-2</v>
      </c>
      <c r="G260" s="26">
        <v>1.6964E-2</v>
      </c>
      <c r="H260" s="27">
        <f t="shared" si="27"/>
        <v>-3.0240333333333334E-2</v>
      </c>
      <c r="I260" s="20">
        <f t="shared" si="28"/>
        <v>1.6079659990744406</v>
      </c>
      <c r="J260" s="20">
        <f>MAX(I$42:I260)</f>
        <v>1.6941080911574227</v>
      </c>
      <c r="K260" s="7">
        <f t="shared" si="24"/>
        <v>-5.0848049503222303E-2</v>
      </c>
      <c r="L260" s="7" t="str">
        <f t="shared" si="25"/>
        <v/>
      </c>
      <c r="M260" s="7" t="str">
        <f t="shared" si="26"/>
        <v/>
      </c>
      <c r="N260" s="21">
        <f t="shared" si="29"/>
        <v>43190</v>
      </c>
      <c r="O260" s="21">
        <f t="shared" si="30"/>
        <v>43190</v>
      </c>
      <c r="P260" s="21">
        <f t="shared" si="31"/>
        <v>43190</v>
      </c>
    </row>
    <row r="261" spans="1:16">
      <c r="A261" s="24">
        <v>43220</v>
      </c>
      <c r="B261" s="26">
        <v>2.9614999999999999E-2</v>
      </c>
      <c r="C261" s="26">
        <v>2.1676000000000001E-2</v>
      </c>
      <c r="D261" s="26">
        <v>4.1288999999999999E-2</v>
      </c>
      <c r="E261" s="26">
        <v>3.1165000000000002E-2</v>
      </c>
      <c r="F261" s="26">
        <v>1.3417999999999999E-2</v>
      </c>
      <c r="G261" s="26">
        <v>-6.2779999999999997E-3</v>
      </c>
      <c r="H261" s="27">
        <f t="shared" si="27"/>
        <v>2.9281666666666664E-2</v>
      </c>
      <c r="I261" s="20">
        <f t="shared" si="28"/>
        <v>1.6550499234706719</v>
      </c>
      <c r="J261" s="20">
        <f>MAX(I$42:I261)</f>
        <v>1.6941080911574227</v>
      </c>
      <c r="K261" s="7">
        <f t="shared" si="24"/>
        <v>-2.3055298472759223E-2</v>
      </c>
      <c r="L261" s="7" t="str">
        <f t="shared" si="25"/>
        <v/>
      </c>
      <c r="M261" s="7" t="str">
        <f t="shared" si="26"/>
        <v/>
      </c>
      <c r="N261" s="21">
        <f t="shared" si="29"/>
        <v>43220</v>
      </c>
      <c r="O261" s="21">
        <f t="shared" si="30"/>
        <v>43220</v>
      </c>
      <c r="P261" s="21">
        <f t="shared" si="31"/>
        <v>43220</v>
      </c>
    </row>
    <row r="262" spans="1:16">
      <c r="A262" s="24">
        <v>43251</v>
      </c>
      <c r="B262" s="26">
        <v>4.1526E-2</v>
      </c>
      <c r="C262" s="26">
        <v>5.9540000000000003E-2</v>
      </c>
      <c r="D262" s="26">
        <v>1.5408E-2</v>
      </c>
      <c r="E262" s="26">
        <v>3.3461999999999999E-2</v>
      </c>
      <c r="F262" s="26">
        <v>-1.6379999999999999E-3</v>
      </c>
      <c r="G262" s="26">
        <v>1.5991999999999999E-2</v>
      </c>
      <c r="H262" s="27">
        <f t="shared" si="27"/>
        <v>4.1192666666666669E-2</v>
      </c>
      <c r="I262" s="20">
        <f t="shared" si="28"/>
        <v>1.7232258432848915</v>
      </c>
      <c r="J262" s="20">
        <f>MAX(I$42:I262)</f>
        <v>1.7232258432848915</v>
      </c>
      <c r="K262" s="7">
        <f t="shared" si="24"/>
        <v>0</v>
      </c>
      <c r="L262" s="7" t="str">
        <f t="shared" si="25"/>
        <v/>
      </c>
      <c r="M262" s="7" t="str">
        <f t="shared" si="26"/>
        <v/>
      </c>
      <c r="N262" s="21">
        <f t="shared" si="29"/>
        <v>43251</v>
      </c>
      <c r="O262" s="21">
        <f t="shared" si="30"/>
        <v>43251</v>
      </c>
      <c r="P262" s="21">
        <f t="shared" si="31"/>
        <v>43251</v>
      </c>
    </row>
    <row r="263" spans="1:16">
      <c r="A263" s="24">
        <v>43281</v>
      </c>
      <c r="B263" s="26">
        <v>-6.9300000000000004E-4</v>
      </c>
      <c r="C263" s="26">
        <v>6.2009999999999999E-3</v>
      </c>
      <c r="D263" s="26">
        <v>-1.1185E-2</v>
      </c>
      <c r="E263" s="26">
        <v>-7.6280000000000002E-3</v>
      </c>
      <c r="F263" s="26">
        <v>-4.1751999999999997E-2</v>
      </c>
      <c r="G263" s="26">
        <v>6.195E-3</v>
      </c>
      <c r="H263" s="27">
        <f t="shared" si="27"/>
        <v>-1.0263333333333333E-3</v>
      </c>
      <c r="I263" s="20">
        <f t="shared" si="28"/>
        <v>1.7214572391610667</v>
      </c>
      <c r="J263" s="20">
        <f>MAX(I$42:I263)</f>
        <v>1.7232258432848915</v>
      </c>
      <c r="K263" s="7">
        <f t="shared" si="24"/>
        <v>-1.0263333333333513E-3</v>
      </c>
      <c r="L263" s="7" t="str">
        <f t="shared" si="25"/>
        <v/>
      </c>
      <c r="M263" s="7" t="str">
        <f t="shared" si="26"/>
        <v/>
      </c>
      <c r="N263" s="21">
        <f t="shared" si="29"/>
        <v>43281</v>
      </c>
      <c r="O263" s="21">
        <f t="shared" si="30"/>
        <v>43281</v>
      </c>
      <c r="P263" s="21">
        <f t="shared" si="31"/>
        <v>43281</v>
      </c>
    </row>
    <row r="264" spans="1:16">
      <c r="A264" s="24">
        <v>43312</v>
      </c>
      <c r="B264" s="26">
        <v>2.9028999999999999E-2</v>
      </c>
      <c r="C264" s="26">
        <v>3.3343999999999999E-2</v>
      </c>
      <c r="D264" s="26">
        <v>2.2380000000000001E-2</v>
      </c>
      <c r="E264" s="26">
        <v>1.9604E-2</v>
      </c>
      <c r="F264" s="26">
        <v>1.9782999999999999E-2</v>
      </c>
      <c r="G264" s="26">
        <v>-4.5269999999999998E-3</v>
      </c>
      <c r="H264" s="27">
        <f t="shared" si="27"/>
        <v>2.8695666666666664E-2</v>
      </c>
      <c r="I264" s="20">
        <f t="shared" si="28"/>
        <v>1.770855602276953</v>
      </c>
      <c r="J264" s="20">
        <f>MAX(I$42:I264)</f>
        <v>1.770855602276953</v>
      </c>
      <c r="K264" s="7">
        <f t="shared" si="24"/>
        <v>0</v>
      </c>
      <c r="L264" s="7" t="str">
        <f t="shared" si="25"/>
        <v/>
      </c>
      <c r="M264" s="7" t="str">
        <f t="shared" si="26"/>
        <v/>
      </c>
      <c r="N264" s="21">
        <f t="shared" si="29"/>
        <v>43312</v>
      </c>
      <c r="O264" s="21">
        <f t="shared" si="30"/>
        <v>43312</v>
      </c>
      <c r="P264" s="21">
        <f t="shared" si="31"/>
        <v>43312</v>
      </c>
    </row>
    <row r="265" spans="1:16">
      <c r="A265" s="24">
        <v>43343</v>
      </c>
      <c r="B265" s="26">
        <v>1.8072000000000001E-2</v>
      </c>
      <c r="C265" s="26">
        <v>3.8255999999999998E-2</v>
      </c>
      <c r="D265" s="26">
        <v>-1.3388000000000001E-2</v>
      </c>
      <c r="E265" s="26">
        <v>5.8339999999999998E-3</v>
      </c>
      <c r="F265" s="26">
        <v>-2.1561E-2</v>
      </c>
      <c r="G265" s="26">
        <v>8.1419999999999999E-3</v>
      </c>
      <c r="H265" s="27">
        <f t="shared" si="27"/>
        <v>1.7738666666666666E-2</v>
      </c>
      <c r="I265" s="20">
        <f t="shared" si="28"/>
        <v>1.8022682195205431</v>
      </c>
      <c r="J265" s="20">
        <f>MAX(I$42:I265)</f>
        <v>1.8022682195205431</v>
      </c>
      <c r="K265" s="7">
        <f t="shared" si="24"/>
        <v>0</v>
      </c>
      <c r="L265" s="7" t="str">
        <f t="shared" si="25"/>
        <v/>
      </c>
      <c r="M265" s="7" t="str">
        <f t="shared" si="26"/>
        <v/>
      </c>
      <c r="N265" s="21">
        <f t="shared" si="29"/>
        <v>43343</v>
      </c>
      <c r="O265" s="21">
        <f t="shared" si="30"/>
        <v>43343</v>
      </c>
      <c r="P265" s="21">
        <f t="shared" si="31"/>
        <v>43343</v>
      </c>
    </row>
    <row r="266" spans="1:16">
      <c r="A266" s="24">
        <v>43373</v>
      </c>
      <c r="B266" s="26">
        <v>7.3000000000000001E-3</v>
      </c>
      <c r="C266" s="26">
        <v>5.9059999999999998E-3</v>
      </c>
      <c r="D266" s="26">
        <v>9.5610000000000001E-3</v>
      </c>
      <c r="E266" s="26">
        <v>5.3530000000000001E-3</v>
      </c>
      <c r="F266" s="26">
        <v>-3.5950000000000001E-3</v>
      </c>
      <c r="G266" s="26">
        <v>-1.3226999999999999E-2</v>
      </c>
      <c r="H266" s="27">
        <f t="shared" si="27"/>
        <v>6.966666666666667E-3</v>
      </c>
      <c r="I266" s="20">
        <f t="shared" si="28"/>
        <v>1.8148240214498694</v>
      </c>
      <c r="J266" s="20">
        <f>MAX(I$42:I266)</f>
        <v>1.8148240214498694</v>
      </c>
      <c r="K266" s="7">
        <f t="shared" si="24"/>
        <v>0</v>
      </c>
      <c r="L266" s="7" t="str">
        <f t="shared" si="25"/>
        <v/>
      </c>
      <c r="M266" s="7" t="str">
        <f t="shared" si="26"/>
        <v/>
      </c>
      <c r="N266" s="21">
        <f t="shared" si="29"/>
        <v>43373</v>
      </c>
      <c r="O266" s="21">
        <f t="shared" si="30"/>
        <v>43373</v>
      </c>
      <c r="P266" s="21">
        <f t="shared" si="31"/>
        <v>43373</v>
      </c>
    </row>
    <row r="267" spans="1:16">
      <c r="A267" s="24">
        <v>43404</v>
      </c>
      <c r="B267" s="26">
        <v>-5.0161999999999998E-2</v>
      </c>
      <c r="C267" s="26">
        <v>-4.6372999999999998E-2</v>
      </c>
      <c r="D267" s="26">
        <v>-5.6350999999999998E-2</v>
      </c>
      <c r="E267" s="26">
        <v>-5.9235999999999997E-2</v>
      </c>
      <c r="F267" s="26">
        <v>-6.4159999999999995E-2</v>
      </c>
      <c r="G267" s="26">
        <v>9.1420000000000008E-3</v>
      </c>
      <c r="H267" s="27">
        <f t="shared" si="27"/>
        <v>-5.049533333333333E-2</v>
      </c>
      <c r="I267" s="20">
        <f t="shared" si="28"/>
        <v>1.7231838775454178</v>
      </c>
      <c r="J267" s="20">
        <f>MAX(I$42:I267)</f>
        <v>1.8148240214498694</v>
      </c>
      <c r="K267" s="7">
        <f t="shared" si="24"/>
        <v>-5.0495333333333337E-2</v>
      </c>
      <c r="L267" s="7" t="str">
        <f t="shared" si="25"/>
        <v/>
      </c>
      <c r="M267" s="7" t="str">
        <f t="shared" si="26"/>
        <v/>
      </c>
      <c r="N267" s="21">
        <f t="shared" si="29"/>
        <v>43404</v>
      </c>
      <c r="O267" s="21">
        <f t="shared" si="30"/>
        <v>43404</v>
      </c>
      <c r="P267" s="21">
        <f t="shared" si="31"/>
        <v>43404</v>
      </c>
    </row>
    <row r="268" spans="1:16">
      <c r="A268" s="24">
        <v>43434</v>
      </c>
      <c r="B268" s="26">
        <v>1.2074E-2</v>
      </c>
      <c r="C268" s="26">
        <v>1.9470999999999999E-2</v>
      </c>
      <c r="D268" s="26">
        <v>-1.95E-4</v>
      </c>
      <c r="E268" s="26">
        <v>1.115E-2</v>
      </c>
      <c r="F268" s="26">
        <v>4.1945000000000003E-2</v>
      </c>
      <c r="G268" s="26">
        <v>7.1520000000000004E-3</v>
      </c>
      <c r="H268" s="27">
        <f t="shared" si="27"/>
        <v>1.1740666666666667E-2</v>
      </c>
      <c r="I268" s="20">
        <f t="shared" si="28"/>
        <v>1.7434152050570526</v>
      </c>
      <c r="J268" s="20">
        <f>MAX(I$42:I268)</f>
        <v>1.8148240214498694</v>
      </c>
      <c r="K268" s="7">
        <f t="shared" si="24"/>
        <v>-3.9347515543555645E-2</v>
      </c>
      <c r="L268" s="7" t="str">
        <f t="shared" si="25"/>
        <v/>
      </c>
      <c r="M268" s="7" t="str">
        <f t="shared" si="26"/>
        <v/>
      </c>
      <c r="N268" s="21">
        <f t="shared" si="29"/>
        <v>43434</v>
      </c>
      <c r="O268" s="21">
        <f t="shared" si="30"/>
        <v>43434</v>
      </c>
      <c r="P268" s="21">
        <f t="shared" si="31"/>
        <v>43434</v>
      </c>
    </row>
    <row r="269" spans="1:16">
      <c r="A269" s="24">
        <v>43465</v>
      </c>
      <c r="B269" s="26">
        <v>-8.4848000000000007E-2</v>
      </c>
      <c r="C269" s="26">
        <v>-9.919E-2</v>
      </c>
      <c r="D269" s="26">
        <v>-6.0727000000000003E-2</v>
      </c>
      <c r="E269" s="26">
        <v>-8.0171000000000006E-2</v>
      </c>
      <c r="F269" s="26">
        <v>-3.5772999999999999E-2</v>
      </c>
      <c r="G269" s="26">
        <v>8.1010000000000006E-3</v>
      </c>
      <c r="H269" s="27">
        <f t="shared" si="27"/>
        <v>-8.5181333333333345E-2</v>
      </c>
      <c r="I269" s="20">
        <f t="shared" si="28"/>
        <v>1.5949087733366862</v>
      </c>
      <c r="J269" s="20">
        <f>MAX(I$42:I269)</f>
        <v>1.8148240214498694</v>
      </c>
      <c r="K269" s="7">
        <f t="shared" si="24"/>
        <v>-0.12117717503953473</v>
      </c>
      <c r="L269" s="7" t="str">
        <f t="shared" si="25"/>
        <v/>
      </c>
      <c r="M269" s="7" t="str">
        <f t="shared" si="26"/>
        <v/>
      </c>
      <c r="N269" s="21">
        <f t="shared" si="29"/>
        <v>43465</v>
      </c>
      <c r="O269" s="21">
        <f t="shared" si="30"/>
        <v>43465</v>
      </c>
      <c r="P269" s="21">
        <f t="shared" si="31"/>
        <v>43465</v>
      </c>
    </row>
    <row r="270" spans="1:16">
      <c r="A270" s="24">
        <v>43496</v>
      </c>
      <c r="B270" s="26">
        <v>7.3766999999999999E-2</v>
      </c>
      <c r="C270" s="26">
        <v>7.7755000000000005E-2</v>
      </c>
      <c r="D270" s="26">
        <v>6.7341999999999999E-2</v>
      </c>
      <c r="E270" s="26">
        <v>8.0670000000000006E-2</v>
      </c>
      <c r="F270" s="26">
        <v>8.3483000000000002E-2</v>
      </c>
      <c r="G270" s="26">
        <v>1.1034E-2</v>
      </c>
      <c r="H270" s="27">
        <f t="shared" si="27"/>
        <v>7.3433666666666661E-2</v>
      </c>
      <c r="I270" s="20">
        <f t="shared" si="28"/>
        <v>1.7120287725616345</v>
      </c>
      <c r="J270" s="20">
        <f>MAX(I$42:I270)</f>
        <v>1.8148240214498694</v>
      </c>
      <c r="K270" s="7">
        <f t="shared" si="24"/>
        <v>-5.664199265232972E-2</v>
      </c>
      <c r="L270" s="7" t="str">
        <f t="shared" si="25"/>
        <v/>
      </c>
      <c r="M270" s="7" t="str">
        <f t="shared" si="26"/>
        <v/>
      </c>
      <c r="N270" s="21">
        <f t="shared" si="29"/>
        <v>43496</v>
      </c>
      <c r="O270" s="21">
        <f t="shared" si="30"/>
        <v>43496</v>
      </c>
      <c r="P270" s="21">
        <f t="shared" si="31"/>
        <v>43496</v>
      </c>
    </row>
    <row r="271" spans="1:16">
      <c r="A271" s="24">
        <v>43524</v>
      </c>
      <c r="B271" s="26">
        <v>3.7983999999999997E-2</v>
      </c>
      <c r="C271" s="26">
        <v>4.0693E-2</v>
      </c>
      <c r="D271" s="26">
        <v>3.3578999999999998E-2</v>
      </c>
      <c r="E271" s="26">
        <v>3.415E-2</v>
      </c>
      <c r="F271" s="26">
        <v>9.9489999999999995E-3</v>
      </c>
      <c r="G271" s="26">
        <v>-8.6700000000000004E-4</v>
      </c>
      <c r="H271" s="27">
        <f t="shared" si="27"/>
        <v>3.7650666666666666E-2</v>
      </c>
      <c r="I271" s="20">
        <f t="shared" si="28"/>
        <v>1.7764877972010953</v>
      </c>
      <c r="J271" s="20">
        <f>MAX(I$42:I271)</f>
        <v>1.8148240214498694</v>
      </c>
      <c r="K271" s="7">
        <f t="shared" si="24"/>
        <v>-2.1123934770351571E-2</v>
      </c>
      <c r="L271" s="7" t="str">
        <f t="shared" si="25"/>
        <v/>
      </c>
      <c r="M271" s="7" t="str">
        <f t="shared" si="26"/>
        <v/>
      </c>
      <c r="N271" s="21">
        <f t="shared" si="29"/>
        <v>43524</v>
      </c>
      <c r="O271" s="21">
        <f t="shared" si="30"/>
        <v>43524</v>
      </c>
      <c r="P271" s="21">
        <f t="shared" si="31"/>
        <v>43524</v>
      </c>
    </row>
    <row r="272" spans="1:16">
      <c r="A272" s="24">
        <v>43555</v>
      </c>
      <c r="B272" s="26">
        <v>2.7437E-2</v>
      </c>
      <c r="C272" s="26">
        <v>3.2424000000000001E-2</v>
      </c>
      <c r="D272" s="26">
        <v>1.9279999999999999E-2</v>
      </c>
      <c r="E272" s="26">
        <v>1.6739E-2</v>
      </c>
      <c r="F272" s="26">
        <v>2.2627000000000001E-2</v>
      </c>
      <c r="G272" s="26">
        <v>2.2024999999999999E-2</v>
      </c>
      <c r="H272" s="27">
        <f t="shared" si="27"/>
        <v>2.7103666666666665E-2</v>
      </c>
      <c r="I272" s="20">
        <f t="shared" si="28"/>
        <v>1.8246371302938347</v>
      </c>
      <c r="J272" s="20">
        <f>MAX(I$42:I272)</f>
        <v>1.8246371302938347</v>
      </c>
      <c r="K272" s="7">
        <f t="shared" si="24"/>
        <v>0</v>
      </c>
      <c r="L272" s="7" t="str">
        <f t="shared" si="25"/>
        <v/>
      </c>
      <c r="M272" s="7" t="str">
        <f t="shared" si="26"/>
        <v/>
      </c>
      <c r="N272" s="21">
        <f t="shared" si="29"/>
        <v>43555</v>
      </c>
      <c r="O272" s="21">
        <f t="shared" si="30"/>
        <v>43555</v>
      </c>
      <c r="P272" s="21">
        <f t="shared" si="31"/>
        <v>43555</v>
      </c>
    </row>
    <row r="273" spans="1:16">
      <c r="A273" s="24">
        <v>43585</v>
      </c>
      <c r="B273" s="26">
        <v>3.7442999999999997E-2</v>
      </c>
      <c r="C273" s="26">
        <v>4.1748E-2</v>
      </c>
      <c r="D273" s="26">
        <v>3.0297999999999999E-2</v>
      </c>
      <c r="E273" s="26">
        <v>3.1415999999999999E-2</v>
      </c>
      <c r="F273" s="26">
        <v>2.3011E-2</v>
      </c>
      <c r="G273" s="26">
        <v>-9.9590000000000008E-3</v>
      </c>
      <c r="H273" s="27">
        <f t="shared" si="27"/>
        <v>3.7109666666666666E-2</v>
      </c>
      <c r="I273" s="20">
        <f t="shared" si="28"/>
        <v>1.892348805986662</v>
      </c>
      <c r="J273" s="20">
        <f>MAX(I$42:I273)</f>
        <v>1.892348805986662</v>
      </c>
      <c r="K273" s="7">
        <f t="shared" si="24"/>
        <v>0</v>
      </c>
      <c r="L273" s="7" t="str">
        <f t="shared" si="25"/>
        <v/>
      </c>
      <c r="M273" s="7" t="str">
        <f t="shared" si="26"/>
        <v/>
      </c>
      <c r="N273" s="21">
        <f t="shared" si="29"/>
        <v>43585</v>
      </c>
      <c r="O273" s="21">
        <f t="shared" si="30"/>
        <v>43585</v>
      </c>
      <c r="P273" s="21">
        <f t="shared" si="31"/>
        <v>43585</v>
      </c>
    </row>
    <row r="274" spans="1:16">
      <c r="A274" s="24">
        <v>43616</v>
      </c>
      <c r="B274" s="26">
        <v>-5.2329000000000001E-2</v>
      </c>
      <c r="C274" s="26">
        <v>-5.8532000000000001E-2</v>
      </c>
      <c r="D274" s="26">
        <v>-4.1866E-2</v>
      </c>
      <c r="E274" s="26">
        <v>-5.4259000000000002E-2</v>
      </c>
      <c r="F274" s="26">
        <v>-6.7276000000000002E-2</v>
      </c>
      <c r="G274" s="26">
        <v>2.3084E-2</v>
      </c>
      <c r="H274" s="27">
        <f t="shared" si="27"/>
        <v>-5.2662333333333332E-2</v>
      </c>
      <c r="I274" s="20">
        <f t="shared" si="28"/>
        <v>1.7926933023828571</v>
      </c>
      <c r="J274" s="20">
        <f>MAX(I$42:I274)</f>
        <v>1.892348805986662</v>
      </c>
      <c r="K274" s="7">
        <f t="shared" si="24"/>
        <v>-5.2662333333333367E-2</v>
      </c>
      <c r="L274" s="7" t="str">
        <f t="shared" si="25"/>
        <v/>
      </c>
      <c r="M274" s="7" t="str">
        <f t="shared" si="26"/>
        <v/>
      </c>
      <c r="N274" s="21">
        <f t="shared" si="29"/>
        <v>43616</v>
      </c>
      <c r="O274" s="21">
        <f t="shared" si="30"/>
        <v>43616</v>
      </c>
      <c r="P274" s="21">
        <f t="shared" si="31"/>
        <v>43616</v>
      </c>
    </row>
    <row r="275" spans="1:16">
      <c r="A275" s="24">
        <v>43646</v>
      </c>
      <c r="B275" s="26">
        <v>4.3008999999999999E-2</v>
      </c>
      <c r="C275" s="26">
        <v>4.6826E-2</v>
      </c>
      <c r="D275" s="26">
        <v>3.6678000000000002E-2</v>
      </c>
      <c r="E275" s="26">
        <v>3.9694E-2</v>
      </c>
      <c r="F275" s="26">
        <v>3.9599000000000002E-2</v>
      </c>
      <c r="G275" s="26">
        <v>1.0928999999999999E-2</v>
      </c>
      <c r="H275" s="27">
        <f t="shared" si="27"/>
        <v>4.2675666666666667E-2</v>
      </c>
      <c r="I275" s="20">
        <f t="shared" si="28"/>
        <v>1.8691976841909139</v>
      </c>
      <c r="J275" s="20">
        <f>MAX(I$42:I275)</f>
        <v>1.892348805986662</v>
      </c>
      <c r="K275" s="7">
        <f t="shared" si="24"/>
        <v>-1.2234066849888814E-2</v>
      </c>
      <c r="L275" s="7" t="str">
        <f t="shared" si="25"/>
        <v/>
      </c>
      <c r="M275" s="7" t="str">
        <f t="shared" si="26"/>
        <v/>
      </c>
      <c r="N275" s="21">
        <f t="shared" si="29"/>
        <v>43646</v>
      </c>
      <c r="O275" s="21">
        <f t="shared" si="30"/>
        <v>43646</v>
      </c>
      <c r="P275" s="21">
        <f t="shared" si="31"/>
        <v>43646</v>
      </c>
    </row>
    <row r="276" spans="1:16">
      <c r="A276" s="24">
        <v>43677</v>
      </c>
      <c r="B276" s="26">
        <v>2.7879000000000001E-2</v>
      </c>
      <c r="C276" s="26">
        <v>3.8247999999999997E-2</v>
      </c>
      <c r="D276" s="26">
        <v>1.0477999999999999E-2</v>
      </c>
      <c r="E276" s="26">
        <v>1.8896E-2</v>
      </c>
      <c r="F276" s="26">
        <v>1.0307E-2</v>
      </c>
      <c r="G276" s="26">
        <v>1.1926000000000001E-2</v>
      </c>
      <c r="H276" s="27">
        <f t="shared" si="27"/>
        <v>2.7545666666666666E-2</v>
      </c>
      <c r="I276" s="20">
        <f t="shared" si="28"/>
        <v>1.9206859805337422</v>
      </c>
      <c r="J276" s="20">
        <f>MAX(I$42:I276)</f>
        <v>1.9206859805337422</v>
      </c>
      <c r="K276" s="7">
        <f t="shared" si="24"/>
        <v>0</v>
      </c>
      <c r="L276" s="7" t="str">
        <f t="shared" si="25"/>
        <v/>
      </c>
      <c r="M276" s="7" t="str">
        <f t="shared" si="26"/>
        <v/>
      </c>
      <c r="N276" s="21">
        <f t="shared" si="29"/>
        <v>43677</v>
      </c>
      <c r="O276" s="21">
        <f t="shared" si="30"/>
        <v>43677</v>
      </c>
      <c r="P276" s="21">
        <f t="shared" si="31"/>
        <v>43677</v>
      </c>
    </row>
    <row r="277" spans="1:16">
      <c r="A277" s="24">
        <v>43708</v>
      </c>
      <c r="B277" s="26">
        <v>-9.6480000000000003E-3</v>
      </c>
      <c r="C277" s="26">
        <v>-7.2160000000000002E-3</v>
      </c>
      <c r="D277" s="26">
        <v>-1.3816E-2</v>
      </c>
      <c r="E277" s="26">
        <v>-1.7403999999999999E-2</v>
      </c>
      <c r="F277" s="26">
        <v>-3.8261000000000003E-2</v>
      </c>
      <c r="G277" s="26">
        <v>2.8514999999999999E-2</v>
      </c>
      <c r="H277" s="27">
        <f t="shared" si="27"/>
        <v>-9.9813333333333334E-3</v>
      </c>
      <c r="I277" s="20">
        <f t="shared" si="28"/>
        <v>1.9015149735333747</v>
      </c>
      <c r="J277" s="20">
        <f>MAX(I$42:I277)</f>
        <v>1.9206859805337422</v>
      </c>
      <c r="K277" s="7">
        <f t="shared" si="24"/>
        <v>-9.9813333333332865E-3</v>
      </c>
      <c r="L277" s="7" t="str">
        <f t="shared" si="25"/>
        <v/>
      </c>
      <c r="M277" s="7" t="str">
        <f t="shared" si="26"/>
        <v/>
      </c>
      <c r="N277" s="21">
        <f t="shared" si="29"/>
        <v>43708</v>
      </c>
      <c r="O277" s="21">
        <f t="shared" si="30"/>
        <v>43708</v>
      </c>
      <c r="P277" s="21">
        <f t="shared" si="31"/>
        <v>43708</v>
      </c>
    </row>
    <row r="278" spans="1:16">
      <c r="A278" s="24">
        <v>43738</v>
      </c>
      <c r="B278" s="26">
        <v>3.1632E-2</v>
      </c>
      <c r="C278" s="26">
        <v>2.7661000000000002E-2</v>
      </c>
      <c r="D278" s="26">
        <v>3.848E-2</v>
      </c>
      <c r="E278" s="26">
        <v>4.0967999999999997E-2</v>
      </c>
      <c r="F278" s="26">
        <v>2.9418E-2</v>
      </c>
      <c r="G278" s="26">
        <v>-1.4917E-2</v>
      </c>
      <c r="H278" s="27">
        <f t="shared" si="27"/>
        <v>3.1298666666666669E-2</v>
      </c>
      <c r="I278" s="20">
        <f t="shared" si="28"/>
        <v>1.9610298568516711</v>
      </c>
      <c r="J278" s="20">
        <f>MAX(I$42:I278)</f>
        <v>1.9610298568516711</v>
      </c>
      <c r="K278" s="7">
        <f t="shared" si="24"/>
        <v>0</v>
      </c>
      <c r="L278" s="7" t="str">
        <f t="shared" si="25"/>
        <v/>
      </c>
      <c r="M278" s="7" t="str">
        <f t="shared" si="26"/>
        <v/>
      </c>
      <c r="N278" s="21">
        <f t="shared" si="29"/>
        <v>43738</v>
      </c>
      <c r="O278" s="21">
        <f t="shared" si="30"/>
        <v>43738</v>
      </c>
      <c r="P278" s="21">
        <f t="shared" si="31"/>
        <v>43738</v>
      </c>
    </row>
    <row r="279" spans="1:16">
      <c r="A279" s="24">
        <v>43769</v>
      </c>
      <c r="B279" s="26">
        <v>2.0569999999999998E-3</v>
      </c>
      <c r="C279" s="26">
        <v>-1.8829999999999999E-3</v>
      </c>
      <c r="D279" s="26">
        <v>8.7829999999999991E-3</v>
      </c>
      <c r="E279" s="26">
        <v>5.9959999999999996E-3</v>
      </c>
      <c r="F279" s="26">
        <v>1.8394000000000001E-2</v>
      </c>
      <c r="G279" s="26">
        <v>-1.5696999999999999E-2</v>
      </c>
      <c r="H279" s="27">
        <f t="shared" si="27"/>
        <v>1.7236666666666665E-3</v>
      </c>
      <c r="I279" s="20">
        <f t="shared" si="28"/>
        <v>1.9644100186482645</v>
      </c>
      <c r="J279" s="20">
        <f>MAX(I$42:I279)</f>
        <v>1.9644100186482645</v>
      </c>
      <c r="K279" s="7">
        <f t="shared" si="24"/>
        <v>0</v>
      </c>
      <c r="L279" s="7" t="str">
        <f t="shared" si="25"/>
        <v/>
      </c>
      <c r="M279" s="7" t="str">
        <f t="shared" si="26"/>
        <v/>
      </c>
      <c r="N279" s="21">
        <f t="shared" si="29"/>
        <v>43769</v>
      </c>
      <c r="O279" s="21">
        <f t="shared" si="30"/>
        <v>43769</v>
      </c>
      <c r="P279" s="21">
        <f t="shared" si="31"/>
        <v>43769</v>
      </c>
    </row>
    <row r="280" spans="1:16">
      <c r="A280" s="24">
        <v>43799</v>
      </c>
      <c r="B280" s="26">
        <v>4.0013E-2</v>
      </c>
      <c r="C280" s="26">
        <v>4.9211999999999999E-2</v>
      </c>
      <c r="D280" s="26">
        <v>2.4472000000000001E-2</v>
      </c>
      <c r="E280" s="26">
        <v>3.4678E-2</v>
      </c>
      <c r="F280" s="26">
        <v>1.0442E-2</v>
      </c>
      <c r="G280" s="26">
        <v>-5.4099999999999999E-3</v>
      </c>
      <c r="H280" s="27">
        <f t="shared" si="27"/>
        <v>3.9679666666666669E-2</v>
      </c>
      <c r="I280" s="20">
        <f t="shared" si="28"/>
        <v>2.0423571533848883</v>
      </c>
      <c r="J280" s="20">
        <f>MAX(I$42:I280)</f>
        <v>2.0423571533848883</v>
      </c>
      <c r="K280" s="7">
        <f t="shared" si="24"/>
        <v>0</v>
      </c>
      <c r="L280" s="7" t="str">
        <f t="shared" si="25"/>
        <v/>
      </c>
      <c r="M280" s="7" t="str">
        <f t="shared" si="26"/>
        <v/>
      </c>
      <c r="N280" s="21">
        <f t="shared" si="29"/>
        <v>43799</v>
      </c>
      <c r="O280" s="21">
        <f t="shared" si="30"/>
        <v>43799</v>
      </c>
      <c r="P280" s="21">
        <f t="shared" si="31"/>
        <v>43799</v>
      </c>
    </row>
    <row r="281" spans="1:16">
      <c r="A281" s="24">
        <v>43830</v>
      </c>
      <c r="B281" s="26">
        <v>1.17E-2</v>
      </c>
      <c r="C281" s="26">
        <v>1.0604000000000001E-2</v>
      </c>
      <c r="D281" s="26">
        <v>1.3594999999999999E-2</v>
      </c>
      <c r="E281" s="26">
        <v>9.0050000000000009E-3</v>
      </c>
      <c r="F281" s="26">
        <v>5.5555E-2</v>
      </c>
      <c r="G281" s="26">
        <v>-1.8345E-2</v>
      </c>
      <c r="H281" s="27">
        <f t="shared" si="27"/>
        <v>1.1366666666666667E-2</v>
      </c>
      <c r="I281" s="20">
        <f t="shared" si="28"/>
        <v>2.0655719463616968</v>
      </c>
      <c r="J281" s="20">
        <f>MAX(I$42:I281)</f>
        <v>2.0655719463616968</v>
      </c>
      <c r="K281" s="7">
        <f t="shared" si="24"/>
        <v>0</v>
      </c>
      <c r="L281" s="7" t="str">
        <f t="shared" si="25"/>
        <v/>
      </c>
      <c r="M281" s="7" t="str">
        <f t="shared" si="26"/>
        <v/>
      </c>
      <c r="N281" s="21">
        <f t="shared" si="29"/>
        <v>43830</v>
      </c>
      <c r="O281" s="21">
        <f t="shared" si="30"/>
        <v>43830</v>
      </c>
      <c r="P281" s="21">
        <f t="shared" si="31"/>
        <v>43830</v>
      </c>
    </row>
    <row r="282" spans="1:16">
      <c r="A282" s="24">
        <v>43861</v>
      </c>
      <c r="B282" s="26">
        <v>6.7390000000000002E-3</v>
      </c>
      <c r="C282" s="26">
        <v>1.4520999999999999E-2</v>
      </c>
      <c r="D282" s="26">
        <v>-6.6990000000000001E-3</v>
      </c>
      <c r="E282" s="26">
        <v>-7.1479999999999998E-3</v>
      </c>
      <c r="F282" s="26">
        <v>-3.4312000000000002E-2</v>
      </c>
      <c r="G282" s="26">
        <v>2.3182000000000001E-2</v>
      </c>
      <c r="H282" s="27">
        <f t="shared" si="27"/>
        <v>6.4056666666666671E-3</v>
      </c>
      <c r="I282" s="20">
        <f t="shared" si="28"/>
        <v>2.0788033117261078</v>
      </c>
      <c r="J282" s="20">
        <f>MAX(I$42:I282)</f>
        <v>2.0788033117261078</v>
      </c>
      <c r="K282" s="7">
        <f t="shared" si="24"/>
        <v>0</v>
      </c>
      <c r="L282" s="7" t="str">
        <f t="shared" si="25"/>
        <v/>
      </c>
      <c r="M282" s="7" t="str">
        <f t="shared" si="26"/>
        <v/>
      </c>
      <c r="N282" s="21">
        <f t="shared" si="29"/>
        <v>43861</v>
      </c>
      <c r="O282" s="21">
        <f t="shared" si="30"/>
        <v>43861</v>
      </c>
      <c r="P282" s="21">
        <f t="shared" si="31"/>
        <v>43861</v>
      </c>
    </row>
    <row r="283" spans="1:16">
      <c r="A283" s="24">
        <v>43890</v>
      </c>
      <c r="B283" s="26">
        <v>-7.6399999999999996E-2</v>
      </c>
      <c r="C283" s="26">
        <v>-7.3976E-2</v>
      </c>
      <c r="D283" s="26">
        <v>-8.0684000000000006E-2</v>
      </c>
      <c r="E283" s="26">
        <v>-8.3751000000000006E-2</v>
      </c>
      <c r="F283" s="26">
        <v>-4.4325000000000003E-2</v>
      </c>
      <c r="G283" s="26">
        <v>1.9134999999999999E-2</v>
      </c>
      <c r="H283" s="27">
        <f t="shared" si="27"/>
        <v>-7.6733333333333334E-2</v>
      </c>
      <c r="I283" s="20">
        <f t="shared" si="28"/>
        <v>1.9192898042729911</v>
      </c>
      <c r="J283" s="20">
        <f>MAX(I$42:I283)</f>
        <v>2.0788033117261078</v>
      </c>
      <c r="K283" s="7">
        <f t="shared" si="24"/>
        <v>-7.673333333333332E-2</v>
      </c>
      <c r="L283" s="7" t="str">
        <f t="shared" si="25"/>
        <v/>
      </c>
      <c r="M283" s="7" t="str">
        <f t="shared" si="26"/>
        <v/>
      </c>
      <c r="N283" s="21">
        <f t="shared" si="29"/>
        <v>43890</v>
      </c>
      <c r="O283" s="21">
        <f t="shared" si="30"/>
        <v>43890</v>
      </c>
      <c r="P283" s="21">
        <f t="shared" si="31"/>
        <v>43890</v>
      </c>
    </row>
    <row r="284" spans="1:16">
      <c r="A284" s="24">
        <v>43921</v>
      </c>
      <c r="B284" s="26">
        <v>-0.13139500000000001</v>
      </c>
      <c r="C284" s="26">
        <v>-0.12635199999999999</v>
      </c>
      <c r="D284" s="26">
        <v>-0.14028599999999999</v>
      </c>
      <c r="E284" s="26">
        <v>-0.16655</v>
      </c>
      <c r="F284" s="26">
        <v>-0.15309800000000001</v>
      </c>
      <c r="G284" s="26">
        <v>-1.4755000000000001E-2</v>
      </c>
      <c r="H284" s="27">
        <f t="shared" si="27"/>
        <v>-0.13172833333333334</v>
      </c>
      <c r="I284" s="20">
        <f t="shared" si="28"/>
        <v>1.6664649571724504</v>
      </c>
      <c r="J284" s="20">
        <f>MAX(I$42:I284)</f>
        <v>2.0788033117261078</v>
      </c>
      <c r="K284" s="7">
        <f t="shared" si="24"/>
        <v>-0.19835371255555556</v>
      </c>
      <c r="L284" s="7" t="str">
        <f t="shared" si="25"/>
        <v/>
      </c>
      <c r="M284" s="7" t="str">
        <f t="shared" si="26"/>
        <v/>
      </c>
      <c r="N284" s="21">
        <f t="shared" si="29"/>
        <v>43921</v>
      </c>
      <c r="O284" s="21">
        <f t="shared" si="30"/>
        <v>43921</v>
      </c>
      <c r="P284" s="21">
        <f t="shared" si="31"/>
        <v>43921</v>
      </c>
    </row>
    <row r="285" spans="1:16">
      <c r="A285" s="24">
        <v>43951</v>
      </c>
      <c r="B285" s="26">
        <v>0.111221</v>
      </c>
      <c r="C285" s="26">
        <v>0.133164</v>
      </c>
      <c r="D285" s="26">
        <v>7.1637000000000006E-2</v>
      </c>
      <c r="E285" s="26">
        <v>0.104023</v>
      </c>
      <c r="F285" s="26">
        <v>9.3516000000000002E-2</v>
      </c>
      <c r="G285" s="26">
        <v>2.666E-3</v>
      </c>
      <c r="H285" s="27">
        <f t="shared" si="27"/>
        <v>0.11088766666666666</v>
      </c>
      <c r="I285" s="20">
        <f t="shared" si="28"/>
        <v>1.8512553678550701</v>
      </c>
      <c r="J285" s="20">
        <f>MAX(I$42:I285)</f>
        <v>2.0788033117261078</v>
      </c>
      <c r="K285" s="7">
        <f t="shared" si="24"/>
        <v>-0.10946102624884513</v>
      </c>
      <c r="L285" s="7" t="str">
        <f t="shared" si="25"/>
        <v/>
      </c>
      <c r="M285" s="7" t="str">
        <f t="shared" si="26"/>
        <v/>
      </c>
      <c r="N285" s="21">
        <f t="shared" si="29"/>
        <v>43951</v>
      </c>
      <c r="O285" s="21">
        <f t="shared" si="30"/>
        <v>43951</v>
      </c>
      <c r="P285" s="21">
        <f t="shared" si="31"/>
        <v>43951</v>
      </c>
    </row>
    <row r="286" spans="1:16">
      <c r="A286" s="24">
        <v>43982</v>
      </c>
      <c r="B286" s="26">
        <v>3.2238000000000003E-2</v>
      </c>
      <c r="C286" s="26">
        <v>3.5222999999999997E-2</v>
      </c>
      <c r="D286" s="26">
        <v>2.6554000000000001E-2</v>
      </c>
      <c r="E286" s="26">
        <v>3.8975000000000003E-2</v>
      </c>
      <c r="F286" s="26">
        <v>-7.7640000000000001E-3</v>
      </c>
      <c r="G286" s="26">
        <v>-9.5449999999999997E-3</v>
      </c>
      <c r="H286" s="27">
        <f t="shared" si="27"/>
        <v>3.1904666666666671E-2</v>
      </c>
      <c r="I286" s="20">
        <f t="shared" si="28"/>
        <v>1.9103190532813634</v>
      </c>
      <c r="J286" s="20">
        <f>MAX(I$42:I286)</f>
        <v>2.0788033117261078</v>
      </c>
      <c r="K286" s="7">
        <f t="shared" si="24"/>
        <v>-8.1048677137639191E-2</v>
      </c>
      <c r="L286" s="7" t="str">
        <f t="shared" si="25"/>
        <v/>
      </c>
      <c r="M286" s="7" t="str">
        <f t="shared" si="26"/>
        <v/>
      </c>
      <c r="N286" s="21">
        <f t="shared" si="29"/>
        <v>43982</v>
      </c>
      <c r="O286" s="21">
        <f t="shared" si="30"/>
        <v>43982</v>
      </c>
      <c r="P286" s="21">
        <f t="shared" si="31"/>
        <v>43982</v>
      </c>
    </row>
    <row r="287" spans="1:16">
      <c r="A287" s="24">
        <v>44012</v>
      </c>
      <c r="B287" s="26">
        <v>1.6583000000000001E-2</v>
      </c>
      <c r="C287" s="26">
        <v>1.2555999999999999E-2</v>
      </c>
      <c r="D287" s="26">
        <v>2.4296000000000002E-2</v>
      </c>
      <c r="E287" s="26">
        <v>9.4649999999999995E-3</v>
      </c>
      <c r="F287" s="26">
        <v>6.3186000000000006E-2</v>
      </c>
      <c r="G287" s="26">
        <v>8.8319999999999996E-3</v>
      </c>
      <c r="H287" s="27">
        <f t="shared" si="27"/>
        <v>1.6249666666666666E-2</v>
      </c>
      <c r="I287" s="20">
        <f t="shared" si="28"/>
        <v>1.9413611011241678</v>
      </c>
      <c r="J287" s="20">
        <f>MAX(I$42:I287)</f>
        <v>2.0788033117261078</v>
      </c>
      <c r="K287" s="7">
        <f t="shared" si="24"/>
        <v>-6.6116024458233391E-2</v>
      </c>
      <c r="L287" s="7" t="str">
        <f t="shared" si="25"/>
        <v/>
      </c>
      <c r="M287" s="7" t="str">
        <f t="shared" si="26"/>
        <v/>
      </c>
      <c r="N287" s="21">
        <f t="shared" si="29"/>
        <v>44012</v>
      </c>
      <c r="O287" s="21">
        <f t="shared" si="30"/>
        <v>44012</v>
      </c>
      <c r="P287" s="21">
        <f t="shared" si="31"/>
        <v>44012</v>
      </c>
    </row>
    <row r="288" spans="1:16">
      <c r="A288" s="24">
        <v>44043</v>
      </c>
      <c r="B288" s="26">
        <v>-4.7499999999999999E-3</v>
      </c>
      <c r="C288" s="26">
        <v>5.8430000000000001E-3</v>
      </c>
      <c r="D288" s="26">
        <v>-2.4898E-2</v>
      </c>
      <c r="E288" s="26">
        <v>-2.1063999999999999E-2</v>
      </c>
      <c r="F288" s="26">
        <v>3.4687000000000003E-2</v>
      </c>
      <c r="G288" s="26">
        <v>6.7460000000000003E-3</v>
      </c>
      <c r="H288" s="27">
        <f t="shared" si="27"/>
        <v>-5.0833333333333329E-3</v>
      </c>
      <c r="I288" s="20">
        <f t="shared" si="28"/>
        <v>1.9314925155267866</v>
      </c>
      <c r="J288" s="20">
        <f>MAX(I$42:I288)</f>
        <v>2.0788033117261078</v>
      </c>
      <c r="K288" s="7">
        <f t="shared" si="24"/>
        <v>-7.0863268000570745E-2</v>
      </c>
      <c r="L288" s="7" t="str">
        <f t="shared" si="25"/>
        <v/>
      </c>
      <c r="M288" s="7" t="str">
        <f t="shared" si="26"/>
        <v/>
      </c>
      <c r="N288" s="21">
        <f t="shared" si="29"/>
        <v>44043</v>
      </c>
      <c r="O288" s="21">
        <f t="shared" si="30"/>
        <v>44043</v>
      </c>
      <c r="P288" s="21">
        <f t="shared" si="31"/>
        <v>44043</v>
      </c>
    </row>
    <row r="289" spans="1:16">
      <c r="A289" s="24">
        <v>44074</v>
      </c>
      <c r="B289" s="26">
        <v>5.4816999999999998E-2</v>
      </c>
      <c r="C289" s="26">
        <v>6.2479E-2</v>
      </c>
      <c r="D289" s="26">
        <v>3.9768999999999999E-2</v>
      </c>
      <c r="E289" s="26">
        <v>4.5435999999999997E-2</v>
      </c>
      <c r="F289" s="26">
        <v>1.0609E-2</v>
      </c>
      <c r="G289" s="26">
        <v>-1.7707000000000001E-2</v>
      </c>
      <c r="H289" s="27">
        <f t="shared" si="27"/>
        <v>5.4483666666666666E-2</v>
      </c>
      <c r="I289" s="20">
        <f t="shared" si="28"/>
        <v>2.0367273099119094</v>
      </c>
      <c r="J289" s="20">
        <f>MAX(I$42:I289)</f>
        <v>2.0788033117261078</v>
      </c>
      <c r="K289" s="7">
        <f t="shared" si="24"/>
        <v>-2.0240492006557864E-2</v>
      </c>
      <c r="L289" s="7" t="str">
        <f t="shared" si="25"/>
        <v/>
      </c>
      <c r="M289" s="7" t="str">
        <f t="shared" si="26"/>
        <v/>
      </c>
      <c r="N289" s="21">
        <f t="shared" si="29"/>
        <v>44074</v>
      </c>
      <c r="O289" s="21">
        <f t="shared" si="30"/>
        <v>44074</v>
      </c>
      <c r="P289" s="21">
        <f t="shared" si="31"/>
        <v>44074</v>
      </c>
    </row>
    <row r="290" spans="1:16">
      <c r="A290" s="24">
        <v>44104</v>
      </c>
      <c r="B290" s="26">
        <v>-1.5317000000000001E-2</v>
      </c>
      <c r="C290" s="26">
        <v>-1.8533000000000001E-2</v>
      </c>
      <c r="D290" s="26">
        <v>-8.8459999999999997E-3</v>
      </c>
      <c r="E290" s="26">
        <v>-4.6480000000000002E-3</v>
      </c>
      <c r="F290" s="26">
        <v>3.5119999999999999E-3</v>
      </c>
      <c r="G290" s="26">
        <v>1.6029000000000002E-2</v>
      </c>
      <c r="H290" s="27">
        <f t="shared" si="27"/>
        <v>-1.5650333333333336E-2</v>
      </c>
      <c r="I290" s="20">
        <f t="shared" si="28"/>
        <v>2.0048518486026849</v>
      </c>
      <c r="J290" s="20">
        <f>MAX(I$42:I290)</f>
        <v>2.0788033117261078</v>
      </c>
      <c r="K290" s="7">
        <f t="shared" si="24"/>
        <v>-3.5574054893157792E-2</v>
      </c>
      <c r="L290" s="7" t="str">
        <f t="shared" si="25"/>
        <v/>
      </c>
      <c r="M290" s="7" t="str">
        <f t="shared" si="26"/>
        <v/>
      </c>
      <c r="N290" s="21">
        <f t="shared" si="29"/>
        <v>44104</v>
      </c>
      <c r="O290" s="21">
        <f t="shared" si="30"/>
        <v>44104</v>
      </c>
      <c r="P290" s="21">
        <f t="shared" si="31"/>
        <v>44104</v>
      </c>
    </row>
    <row r="291" spans="1:16">
      <c r="A291" s="24">
        <v>44135</v>
      </c>
      <c r="B291" s="26">
        <v>-2.4181999999999999E-2</v>
      </c>
      <c r="C291" s="26">
        <v>-1.9803999999999999E-2</v>
      </c>
      <c r="D291" s="26">
        <v>-3.2877999999999998E-2</v>
      </c>
      <c r="E291" s="26">
        <v>-1.47E-2</v>
      </c>
      <c r="F291" s="26">
        <v>2.7437E-2</v>
      </c>
      <c r="G291" s="26">
        <v>6.7200000000000003E-3</v>
      </c>
      <c r="H291" s="27">
        <f t="shared" si="27"/>
        <v>-2.4515333333333333E-2</v>
      </c>
      <c r="I291" s="20">
        <f t="shared" si="28"/>
        <v>1.9557022372502406</v>
      </c>
      <c r="J291" s="20">
        <f>MAX(I$42:I291)</f>
        <v>2.0788033117261078</v>
      </c>
      <c r="K291" s="7">
        <f t="shared" si="24"/>
        <v>-5.9217278412767027E-2</v>
      </c>
      <c r="L291" s="7" t="str">
        <f t="shared" si="25"/>
        <v/>
      </c>
      <c r="M291" s="7" t="str">
        <f t="shared" si="26"/>
        <v/>
      </c>
      <c r="N291" s="21">
        <f t="shared" si="29"/>
        <v>44135</v>
      </c>
      <c r="O291" s="21">
        <f t="shared" si="30"/>
        <v>44135</v>
      </c>
      <c r="P291" s="21">
        <f t="shared" si="31"/>
        <v>44135</v>
      </c>
    </row>
    <row r="292" spans="1:16">
      <c r="A292" s="24">
        <v>44165</v>
      </c>
      <c r="B292" s="26">
        <v>9.8299999999999998E-2</v>
      </c>
      <c r="C292" s="26">
        <v>8.5928000000000004E-2</v>
      </c>
      <c r="D292" s="26">
        <v>0.12320399999999999</v>
      </c>
      <c r="E292" s="26">
        <v>0.119633</v>
      </c>
      <c r="F292" s="26">
        <v>6.3855999999999996E-2</v>
      </c>
      <c r="G292" s="26">
        <v>-4.6220000000000002E-3</v>
      </c>
      <c r="H292" s="27">
        <f t="shared" si="27"/>
        <v>9.796666666666666E-2</v>
      </c>
      <c r="I292" s="20">
        <f t="shared" si="28"/>
        <v>2.1472958664261892</v>
      </c>
      <c r="J292" s="20">
        <f>MAX(I$42:I292)</f>
        <v>2.1472958664261892</v>
      </c>
      <c r="K292" s="7">
        <f t="shared" si="24"/>
        <v>0</v>
      </c>
      <c r="L292" s="7" t="str">
        <f t="shared" si="25"/>
        <v/>
      </c>
      <c r="M292" s="7" t="str">
        <f t="shared" si="26"/>
        <v/>
      </c>
      <c r="N292" s="21">
        <f t="shared" si="29"/>
        <v>44165</v>
      </c>
      <c r="O292" s="21">
        <f t="shared" si="30"/>
        <v>44165</v>
      </c>
      <c r="P292" s="21">
        <f t="shared" si="31"/>
        <v>44165</v>
      </c>
    </row>
    <row r="293" spans="1:16">
      <c r="A293" s="24">
        <v>44196</v>
      </c>
      <c r="B293" s="26">
        <v>1.9096999999999999E-2</v>
      </c>
      <c r="C293" s="26">
        <v>1.7552000000000002E-2</v>
      </c>
      <c r="D293" s="26">
        <v>2.2114000000000002E-2</v>
      </c>
      <c r="E293" s="26">
        <v>1.9186000000000002E-2</v>
      </c>
      <c r="F293" s="26">
        <v>4.9516999999999999E-2</v>
      </c>
      <c r="G293" s="26">
        <v>-2.5379999999999999E-3</v>
      </c>
      <c r="H293" s="27">
        <f t="shared" si="27"/>
        <v>1.8763666666666665E-2</v>
      </c>
      <c r="I293" s="20">
        <f t="shared" si="28"/>
        <v>2.1875870102985213</v>
      </c>
      <c r="J293" s="20">
        <f>MAX(I$42:I293)</f>
        <v>2.1875870102985213</v>
      </c>
      <c r="K293" s="7">
        <f t="shared" si="24"/>
        <v>0</v>
      </c>
      <c r="L293" s="7" t="str">
        <f t="shared" si="25"/>
        <v/>
      </c>
      <c r="M293" s="7" t="str">
        <f t="shared" si="26"/>
        <v/>
      </c>
      <c r="N293" s="21">
        <f t="shared" si="29"/>
        <v>44196</v>
      </c>
      <c r="O293" s="21">
        <f t="shared" si="30"/>
        <v>44196</v>
      </c>
      <c r="P293" s="21">
        <f t="shared" si="31"/>
        <v>44196</v>
      </c>
    </row>
    <row r="294" spans="1:16">
      <c r="A294" s="24">
        <v>44227</v>
      </c>
      <c r="B294" s="26">
        <v>-2.8879999999999999E-3</v>
      </c>
      <c r="C294" s="26">
        <v>-2.516E-3</v>
      </c>
      <c r="D294" s="26">
        <v>-3.6159999999999999E-3</v>
      </c>
      <c r="E294" s="26">
        <v>4.2000000000000002E-4</v>
      </c>
      <c r="F294" s="26">
        <v>3.7997000000000003E-2</v>
      </c>
      <c r="G294" s="26">
        <v>-3.5400000000000002E-3</v>
      </c>
      <c r="H294" s="27">
        <f t="shared" si="27"/>
        <v>-3.2213333333333334E-3</v>
      </c>
      <c r="I294" s="20">
        <f t="shared" si="28"/>
        <v>2.1805400633426797</v>
      </c>
      <c r="J294" s="20">
        <f>MAX(I$42:I294)</f>
        <v>2.1875870102985213</v>
      </c>
      <c r="K294" s="7">
        <f t="shared" si="24"/>
        <v>-3.2213333333332983E-3</v>
      </c>
      <c r="L294" s="7" t="str">
        <f t="shared" si="25"/>
        <v/>
      </c>
      <c r="M294" s="7" t="str">
        <f t="shared" si="26"/>
        <v/>
      </c>
      <c r="N294" s="21">
        <f t="shared" si="29"/>
        <v>44227</v>
      </c>
      <c r="O294" s="21">
        <f t="shared" si="30"/>
        <v>44227</v>
      </c>
      <c r="P294" s="21">
        <f t="shared" si="31"/>
        <v>44227</v>
      </c>
    </row>
    <row r="295" spans="1:16">
      <c r="A295" s="24">
        <v>44255</v>
      </c>
      <c r="B295" s="26">
        <v>2.6553E-2</v>
      </c>
      <c r="C295" s="26">
        <v>2.6624999999999999E-2</v>
      </c>
      <c r="D295" s="26">
        <v>2.6409999999999999E-2</v>
      </c>
      <c r="E295" s="26">
        <v>3.3866E-2</v>
      </c>
      <c r="F295" s="26">
        <v>8.5620000000000002E-3</v>
      </c>
      <c r="G295" s="26">
        <v>-2.7623999999999999E-2</v>
      </c>
      <c r="H295" s="27">
        <f t="shared" si="27"/>
        <v>2.6219666666666665E-2</v>
      </c>
      <c r="I295" s="20">
        <f t="shared" si="28"/>
        <v>2.2377130969568371</v>
      </c>
      <c r="J295" s="20">
        <f>MAX(I$42:I295)</f>
        <v>2.2377130969568371</v>
      </c>
      <c r="K295" s="7">
        <f t="shared" si="24"/>
        <v>0</v>
      </c>
      <c r="L295" s="7" t="str">
        <f t="shared" si="25"/>
        <v/>
      </c>
      <c r="M295" s="7" t="str">
        <f t="shared" si="26"/>
        <v/>
      </c>
      <c r="N295" s="21">
        <f t="shared" si="29"/>
        <v>44255</v>
      </c>
      <c r="O295" s="21">
        <f t="shared" si="30"/>
        <v>44255</v>
      </c>
      <c r="P295" s="21">
        <f t="shared" si="31"/>
        <v>44255</v>
      </c>
    </row>
    <row r="296" spans="1:16">
      <c r="A296" s="24">
        <v>44286</v>
      </c>
      <c r="B296" s="26">
        <v>6.7121E-2</v>
      </c>
      <c r="C296" s="26">
        <v>7.1210999999999997E-2</v>
      </c>
      <c r="D296" s="26">
        <v>5.9096000000000003E-2</v>
      </c>
      <c r="E296" s="26">
        <v>6.8295999999999996E-2</v>
      </c>
      <c r="F296" s="26">
        <v>1.7159000000000001E-2</v>
      </c>
      <c r="G296" s="26">
        <v>-2.2499999999999999E-4</v>
      </c>
      <c r="H296" s="27">
        <f t="shared" si="27"/>
        <v>6.6787666666666662E-2</v>
      </c>
      <c r="I296" s="20">
        <f t="shared" si="28"/>
        <v>2.3871647333720247</v>
      </c>
      <c r="J296" s="20">
        <f>MAX(I$42:I296)</f>
        <v>2.3871647333720247</v>
      </c>
      <c r="K296" s="7">
        <f t="shared" si="24"/>
        <v>0</v>
      </c>
      <c r="L296" s="7" t="str">
        <f t="shared" si="25"/>
        <v/>
      </c>
      <c r="M296" s="7" t="str">
        <f t="shared" si="26"/>
        <v/>
      </c>
      <c r="N296" s="21">
        <f t="shared" si="29"/>
        <v>44286</v>
      </c>
      <c r="O296" s="21">
        <f t="shared" si="30"/>
        <v>44286</v>
      </c>
      <c r="P296" s="21">
        <f t="shared" si="31"/>
        <v>44286</v>
      </c>
    </row>
    <row r="297" spans="1:16">
      <c r="A297" s="24">
        <v>44316</v>
      </c>
      <c r="B297" s="26">
        <v>2.1760999999999999E-2</v>
      </c>
      <c r="C297" s="26">
        <v>2.9197000000000001E-2</v>
      </c>
      <c r="D297" s="26">
        <v>7.0390000000000001E-3</v>
      </c>
      <c r="E297" s="26">
        <v>9.5209999999999999E-3</v>
      </c>
      <c r="F297" s="26">
        <v>6.3299999999999999E-4</v>
      </c>
      <c r="G297" s="26">
        <v>-6.2440000000000004E-3</v>
      </c>
      <c r="H297" s="27">
        <f t="shared" si="27"/>
        <v>2.1427666666666664E-2</v>
      </c>
      <c r="I297" s="20">
        <f t="shared" si="28"/>
        <v>2.4383161035571428</v>
      </c>
      <c r="J297" s="20">
        <f>MAX(I$42:I297)</f>
        <v>2.4383161035571428</v>
      </c>
      <c r="K297" s="7">
        <f t="shared" si="24"/>
        <v>0</v>
      </c>
      <c r="L297" s="7" t="str">
        <f t="shared" si="25"/>
        <v/>
      </c>
      <c r="M297" s="7" t="str">
        <f t="shared" si="26"/>
        <v/>
      </c>
      <c r="N297" s="21">
        <f t="shared" si="29"/>
        <v>44316</v>
      </c>
      <c r="O297" s="21">
        <f t="shared" si="30"/>
        <v>44316</v>
      </c>
      <c r="P297" s="21">
        <f t="shared" si="31"/>
        <v>44316</v>
      </c>
    </row>
    <row r="298" spans="1:16">
      <c r="A298" s="24">
        <v>44347</v>
      </c>
      <c r="B298" s="26">
        <v>-1.2329999999999999E-3</v>
      </c>
      <c r="C298" s="26">
        <v>-1.1103E-2</v>
      </c>
      <c r="D298" s="26">
        <v>1.8800000000000001E-2</v>
      </c>
      <c r="E298" s="26">
        <v>5.8370000000000002E-3</v>
      </c>
      <c r="F298" s="26">
        <v>7.4149999999999997E-3</v>
      </c>
      <c r="G298" s="26">
        <v>-4.1790000000000004E-3</v>
      </c>
      <c r="H298" s="27">
        <f t="shared" si="27"/>
        <v>-1.5663333333333332E-3</v>
      </c>
      <c r="I298" s="20">
        <f t="shared" si="28"/>
        <v>2.434496887766938</v>
      </c>
      <c r="J298" s="20">
        <f>MAX(I$42:I298)</f>
        <v>2.4383161035571428</v>
      </c>
      <c r="K298" s="7">
        <f t="shared" ref="K298:K361" si="32">I298/J298-1</f>
        <v>-1.5663333333332252E-3</v>
      </c>
      <c r="L298" s="7" t="str">
        <f t="shared" ref="L298:L361" si="33">IF(A298&lt;=DATE(2003,12,31),K298,"")</f>
        <v/>
      </c>
      <c r="M298" s="7" t="str">
        <f t="shared" ref="M298:M362" si="34">IF(A298&lt;=DATE(2010,12,31),K298,"")</f>
        <v/>
      </c>
      <c r="N298" s="21">
        <f t="shared" si="29"/>
        <v>44347</v>
      </c>
      <c r="O298" s="21">
        <f t="shared" si="30"/>
        <v>44347</v>
      </c>
      <c r="P298" s="21">
        <f t="shared" si="31"/>
        <v>44347</v>
      </c>
    </row>
    <row r="299" spans="1:16">
      <c r="A299" s="24">
        <v>44377</v>
      </c>
      <c r="B299" s="26">
        <v>4.6356000000000001E-2</v>
      </c>
      <c r="C299" s="26">
        <v>5.9346000000000003E-2</v>
      </c>
      <c r="D299" s="26">
        <v>2.0508999999999999E-2</v>
      </c>
      <c r="E299" s="26">
        <v>3.0838000000000001E-2</v>
      </c>
      <c r="F299" s="26">
        <v>3.2766000000000003E-2</v>
      </c>
      <c r="G299" s="26">
        <v>5.8840000000000003E-3</v>
      </c>
      <c r="H299" s="27">
        <f t="shared" ref="H299:H362" si="35">SUMPRODUCT($B$38:$G$38,B299:G299)-$B$5/12</f>
        <v>4.602266666666667E-2</v>
      </c>
      <c r="I299" s="20">
        <f t="shared" ref="I299:I362" si="36">I298*(1+H299)</f>
        <v>2.5465389265336733</v>
      </c>
      <c r="J299" s="20">
        <f>MAX(I$42:I299)</f>
        <v>2.5465389265336733</v>
      </c>
      <c r="K299" s="7">
        <f t="shared" si="32"/>
        <v>0</v>
      </c>
      <c r="L299" s="7" t="str">
        <f t="shared" si="33"/>
        <v/>
      </c>
      <c r="M299" s="7" t="str">
        <f t="shared" si="34"/>
        <v/>
      </c>
      <c r="N299" s="21">
        <f t="shared" ref="N299:N362" si="37">IF(AND(A299&gt;$B$18,I299&gt;=$B$16),A299,"")</f>
        <v>44377</v>
      </c>
      <c r="O299" s="21">
        <f t="shared" ref="O299:O362" si="38">IF(AND(A299&gt;$C$18,I299&gt;=$C$16),A299,"")</f>
        <v>44377</v>
      </c>
      <c r="P299" s="21">
        <f t="shared" ref="P299:P362" si="39">IF(AND(A299&gt;$D$18,I299&gt;=$D$16),A299,"")</f>
        <v>44377</v>
      </c>
    </row>
    <row r="300" spans="1:16">
      <c r="A300" s="24">
        <v>44408</v>
      </c>
      <c r="B300" s="26">
        <v>1.7998E-2</v>
      </c>
      <c r="C300" s="26">
        <v>2.3439999999999999E-2</v>
      </c>
      <c r="D300" s="26">
        <v>6.7260000000000002E-3</v>
      </c>
      <c r="E300" s="26">
        <v>7.2199999999999999E-3</v>
      </c>
      <c r="F300" s="26">
        <v>-6.7220000000000002E-2</v>
      </c>
      <c r="G300" s="26">
        <v>2.5262E-2</v>
      </c>
      <c r="H300" s="27">
        <f t="shared" si="35"/>
        <v>1.7664666666666665E-2</v>
      </c>
      <c r="I300" s="20">
        <f t="shared" si="36"/>
        <v>2.5915226878245816</v>
      </c>
      <c r="J300" s="20">
        <f>MAX(I$42:I300)</f>
        <v>2.5915226878245816</v>
      </c>
      <c r="K300" s="7">
        <f t="shared" si="32"/>
        <v>0</v>
      </c>
      <c r="L300" s="7" t="str">
        <f t="shared" si="33"/>
        <v/>
      </c>
      <c r="M300" s="7" t="str">
        <f t="shared" si="34"/>
        <v/>
      </c>
      <c r="N300" s="21">
        <f t="shared" si="37"/>
        <v>44408</v>
      </c>
      <c r="O300" s="21">
        <f t="shared" si="38"/>
        <v>44408</v>
      </c>
      <c r="P300" s="21">
        <f t="shared" si="39"/>
        <v>44408</v>
      </c>
    </row>
    <row r="301" spans="1:16">
      <c r="A301" s="24">
        <v>44439</v>
      </c>
      <c r="B301" s="26">
        <v>2.9534000000000001E-2</v>
      </c>
      <c r="C301" s="26">
        <v>3.3777000000000001E-2</v>
      </c>
      <c r="D301" s="26">
        <v>2.0655E-2</v>
      </c>
      <c r="E301" s="26">
        <v>2.5166000000000001E-2</v>
      </c>
      <c r="F301" s="26">
        <v>3.0825999999999999E-2</v>
      </c>
      <c r="G301" s="26">
        <v>-2.434E-3</v>
      </c>
      <c r="H301" s="27">
        <f t="shared" si="35"/>
        <v>2.9200666666666666E-2</v>
      </c>
      <c r="I301" s="20">
        <f t="shared" si="36"/>
        <v>2.6671968779908513</v>
      </c>
      <c r="J301" s="20">
        <f>MAX(I$42:I301)</f>
        <v>2.6671968779908513</v>
      </c>
      <c r="K301" s="7">
        <f t="shared" si="32"/>
        <v>0</v>
      </c>
      <c r="L301" s="7" t="str">
        <f t="shared" si="33"/>
        <v/>
      </c>
      <c r="M301" s="7" t="str">
        <f t="shared" si="34"/>
        <v/>
      </c>
      <c r="N301" s="21">
        <f t="shared" si="37"/>
        <v>44439</v>
      </c>
      <c r="O301" s="21">
        <f t="shared" si="38"/>
        <v>44439</v>
      </c>
      <c r="P301" s="21">
        <f t="shared" si="39"/>
        <v>44439</v>
      </c>
    </row>
    <row r="302" spans="1:16">
      <c r="A302" s="24">
        <v>44469</v>
      </c>
      <c r="B302" s="26">
        <v>-2.3739E-2</v>
      </c>
      <c r="C302" s="26">
        <v>-2.9849000000000001E-2</v>
      </c>
      <c r="D302" s="26">
        <v>-1.0713E-2</v>
      </c>
      <c r="E302" s="26">
        <v>-1.4043E-2</v>
      </c>
      <c r="F302" s="26">
        <v>-2.1926000000000001E-2</v>
      </c>
      <c r="G302" s="26">
        <v>-2.2488999999999999E-2</v>
      </c>
      <c r="H302" s="27">
        <f t="shared" si="35"/>
        <v>-2.4072333333333334E-2</v>
      </c>
      <c r="I302" s="20">
        <f t="shared" si="36"/>
        <v>2.6029912256782293</v>
      </c>
      <c r="J302" s="20">
        <f>MAX(I$42:I302)</f>
        <v>2.6671968779908513</v>
      </c>
      <c r="K302" s="7">
        <f t="shared" si="32"/>
        <v>-2.4072333333333362E-2</v>
      </c>
      <c r="L302" s="7" t="str">
        <f t="shared" si="33"/>
        <v/>
      </c>
      <c r="M302" s="7" t="str">
        <f t="shared" si="34"/>
        <v/>
      </c>
      <c r="N302" s="21">
        <f t="shared" si="37"/>
        <v>44469</v>
      </c>
      <c r="O302" s="21">
        <f t="shared" si="38"/>
        <v>44469</v>
      </c>
      <c r="P302" s="21">
        <f t="shared" si="39"/>
        <v>44469</v>
      </c>
    </row>
    <row r="303" spans="1:16">
      <c r="A303" s="24">
        <v>44500</v>
      </c>
      <c r="B303" s="26">
        <v>5.8193000000000002E-2</v>
      </c>
      <c r="C303" s="26">
        <v>7.1052000000000004E-2</v>
      </c>
      <c r="D303" s="26">
        <v>3.1272000000000001E-2</v>
      </c>
      <c r="E303" s="26">
        <v>3.3276E-2</v>
      </c>
      <c r="F303" s="26">
        <v>1.1346E-2</v>
      </c>
      <c r="G303" s="26">
        <v>-1.0193000000000001E-2</v>
      </c>
      <c r="H303" s="27">
        <f t="shared" si="35"/>
        <v>5.785966666666667E-2</v>
      </c>
      <c r="I303" s="20">
        <f t="shared" si="36"/>
        <v>2.7535994303322298</v>
      </c>
      <c r="J303" s="20">
        <f>MAX(I$42:I303)</f>
        <v>2.7535994303322298</v>
      </c>
      <c r="K303" s="7">
        <f t="shared" si="32"/>
        <v>0</v>
      </c>
      <c r="L303" s="7" t="str">
        <f t="shared" si="33"/>
        <v/>
      </c>
      <c r="M303" s="7" t="str">
        <f t="shared" si="34"/>
        <v/>
      </c>
      <c r="N303" s="21">
        <f t="shared" si="37"/>
        <v>44500</v>
      </c>
      <c r="O303" s="21">
        <f t="shared" si="38"/>
        <v>44500</v>
      </c>
      <c r="P303" s="21">
        <f t="shared" si="39"/>
        <v>44500</v>
      </c>
    </row>
    <row r="304" spans="1:16">
      <c r="A304" s="24">
        <v>44530</v>
      </c>
      <c r="B304" s="26">
        <v>5.5880000000000001E-3</v>
      </c>
      <c r="C304" s="26">
        <v>1.7347000000000001E-2</v>
      </c>
      <c r="D304" s="26">
        <v>-1.9990999999999998E-2</v>
      </c>
      <c r="E304" s="26">
        <v>-1.5114000000000001E-2</v>
      </c>
      <c r="F304" s="26">
        <v>-1.3781E-2</v>
      </c>
      <c r="G304" s="26">
        <v>2.6238999999999998E-2</v>
      </c>
      <c r="H304" s="27">
        <f t="shared" si="35"/>
        <v>5.254666666666667E-3</v>
      </c>
      <c r="I304" s="20">
        <f t="shared" si="36"/>
        <v>2.7680686774721486</v>
      </c>
      <c r="J304" s="20">
        <f>MAX(I$42:I304)</f>
        <v>2.7680686774721486</v>
      </c>
      <c r="K304" s="7">
        <f t="shared" si="32"/>
        <v>0</v>
      </c>
      <c r="L304" s="7" t="str">
        <f t="shared" si="33"/>
        <v/>
      </c>
      <c r="M304" s="7" t="str">
        <f t="shared" si="34"/>
        <v/>
      </c>
      <c r="N304" s="21">
        <f t="shared" si="37"/>
        <v>44530</v>
      </c>
      <c r="O304" s="21">
        <f t="shared" si="38"/>
        <v>44530</v>
      </c>
      <c r="P304" s="21">
        <f t="shared" si="39"/>
        <v>44530</v>
      </c>
    </row>
    <row r="305" spans="1:16">
      <c r="A305" s="24">
        <v>44561</v>
      </c>
      <c r="B305" s="26">
        <v>3.2104000000000001E-2</v>
      </c>
      <c r="C305" s="26">
        <v>2.8566999999999999E-2</v>
      </c>
      <c r="D305" s="26">
        <v>4.0078999999999997E-2</v>
      </c>
      <c r="E305" s="26">
        <v>3.1487000000000001E-2</v>
      </c>
      <c r="F305" s="26">
        <v>8.371E-3</v>
      </c>
      <c r="G305" s="26">
        <v>-1.6410000000000001E-2</v>
      </c>
      <c r="H305" s="27">
        <f t="shared" si="35"/>
        <v>3.1770666666666669E-2</v>
      </c>
      <c r="I305" s="20">
        <f t="shared" si="36"/>
        <v>2.856012064734557</v>
      </c>
      <c r="J305" s="20">
        <f>MAX(I$42:I305)</f>
        <v>2.856012064734557</v>
      </c>
      <c r="K305" s="7">
        <f t="shared" si="32"/>
        <v>0</v>
      </c>
      <c r="L305" s="7" t="str">
        <f t="shared" si="33"/>
        <v/>
      </c>
      <c r="M305" s="7" t="str">
        <f t="shared" si="34"/>
        <v/>
      </c>
      <c r="N305" s="21">
        <f t="shared" si="37"/>
        <v>44561</v>
      </c>
      <c r="O305" s="21">
        <f t="shared" si="38"/>
        <v>44561</v>
      </c>
      <c r="P305" s="21">
        <f t="shared" si="39"/>
        <v>44561</v>
      </c>
    </row>
    <row r="306" spans="1:16">
      <c r="A306" s="24">
        <v>44592</v>
      </c>
      <c r="B306" s="26">
        <v>-3.9224000000000002E-2</v>
      </c>
      <c r="C306" s="26">
        <v>-4.3226000000000001E-2</v>
      </c>
      <c r="D306" s="26">
        <v>-3.0322999999999999E-2</v>
      </c>
      <c r="E306" s="26">
        <v>-3.8809000000000003E-2</v>
      </c>
      <c r="F306" s="26">
        <v>-4.751E-3</v>
      </c>
      <c r="G306" s="26">
        <v>-1.6136000000000001E-2</v>
      </c>
      <c r="H306" s="27">
        <f t="shared" si="35"/>
        <v>-3.9557333333333333E-2</v>
      </c>
      <c r="I306" s="20">
        <f t="shared" si="36"/>
        <v>2.7430358434858304</v>
      </c>
      <c r="J306" s="20">
        <f>MAX(I$42:I306)</f>
        <v>2.856012064734557</v>
      </c>
      <c r="K306" s="7">
        <f t="shared" si="32"/>
        <v>-3.9557333333333444E-2</v>
      </c>
      <c r="L306" s="7" t="str">
        <f t="shared" si="33"/>
        <v/>
      </c>
      <c r="M306" s="7" t="str">
        <f t="shared" si="34"/>
        <v/>
      </c>
      <c r="N306" s="21">
        <f t="shared" si="37"/>
        <v>44592</v>
      </c>
      <c r="O306" s="21">
        <f t="shared" si="38"/>
        <v>44592</v>
      </c>
      <c r="P306" s="21">
        <f t="shared" si="39"/>
        <v>44592</v>
      </c>
    </row>
    <row r="307" spans="1:16">
      <c r="A307" s="24">
        <v>44620</v>
      </c>
      <c r="B307" s="26">
        <v>-2.7199999999999998E-2</v>
      </c>
      <c r="C307" s="26">
        <v>-3.1609999999999999E-2</v>
      </c>
      <c r="D307" s="26">
        <v>-1.7488E-2</v>
      </c>
      <c r="E307" s="26">
        <v>-1.2156999999999999E-2</v>
      </c>
      <c r="F307" s="26">
        <v>-3.1789999999999999E-2</v>
      </c>
      <c r="G307" s="26">
        <v>-2.2689000000000001E-2</v>
      </c>
      <c r="H307" s="27">
        <f t="shared" si="35"/>
        <v>-2.7533333333333333E-2</v>
      </c>
      <c r="I307" s="20">
        <f t="shared" si="36"/>
        <v>2.6675109232618541</v>
      </c>
      <c r="J307" s="20">
        <f>MAX(I$42:I307)</f>
        <v>2.856012064734557</v>
      </c>
      <c r="K307" s="7">
        <f t="shared" si="32"/>
        <v>-6.6001521422222154E-2</v>
      </c>
      <c r="L307" s="7" t="str">
        <f t="shared" si="33"/>
        <v/>
      </c>
      <c r="M307" s="7" t="str">
        <f t="shared" si="34"/>
        <v/>
      </c>
      <c r="N307" s="21">
        <f t="shared" si="37"/>
        <v>44620</v>
      </c>
      <c r="O307" s="21">
        <f t="shared" si="38"/>
        <v>44620</v>
      </c>
      <c r="P307" s="21">
        <f t="shared" si="39"/>
        <v>44620</v>
      </c>
    </row>
    <row r="308" spans="1:16">
      <c r="A308" s="24">
        <v>44651</v>
      </c>
      <c r="B308" s="26">
        <v>3.7185000000000003E-2</v>
      </c>
      <c r="C308" s="26">
        <v>4.4571E-2</v>
      </c>
      <c r="D308" s="26">
        <v>2.1198000000000002E-2</v>
      </c>
      <c r="E308" s="26">
        <v>2.0166E-2</v>
      </c>
      <c r="F308" s="26">
        <v>-1.3317000000000001E-2</v>
      </c>
      <c r="G308" s="26">
        <v>-4.0258000000000002E-2</v>
      </c>
      <c r="H308" s="27">
        <f t="shared" si="35"/>
        <v>3.6851666666666671E-2</v>
      </c>
      <c r="I308" s="20">
        <f t="shared" si="36"/>
        <v>2.7658131466355922</v>
      </c>
      <c r="J308" s="20">
        <f>MAX(I$42:I308)</f>
        <v>2.856012064734557</v>
      </c>
      <c r="K308" s="7">
        <f t="shared" si="32"/>
        <v>-3.1582120822500115E-2</v>
      </c>
      <c r="L308" s="7" t="str">
        <f t="shared" si="33"/>
        <v/>
      </c>
      <c r="M308" s="7" t="str">
        <f t="shared" si="34"/>
        <v/>
      </c>
      <c r="N308" s="21">
        <f t="shared" si="37"/>
        <v>44651</v>
      </c>
      <c r="O308" s="21">
        <f t="shared" si="38"/>
        <v>44651</v>
      </c>
      <c r="P308" s="21">
        <f t="shared" si="39"/>
        <v>44651</v>
      </c>
    </row>
    <row r="309" spans="1:16">
      <c r="A309" s="24">
        <v>44681</v>
      </c>
      <c r="B309" s="26">
        <v>-3.2923000000000001E-2</v>
      </c>
      <c r="C309" s="26">
        <v>-4.1152000000000001E-2</v>
      </c>
      <c r="D309" s="26">
        <v>-1.4567999999999999E-2</v>
      </c>
      <c r="E309" s="26">
        <v>-2.3453000000000002E-2</v>
      </c>
      <c r="F309" s="26">
        <v>-3.9750000000000002E-3</v>
      </c>
      <c r="G309" s="26">
        <v>-2.3241999999999999E-2</v>
      </c>
      <c r="H309" s="27">
        <f t="shared" si="35"/>
        <v>-3.3256333333333332E-2</v>
      </c>
      <c r="I309" s="20">
        <f t="shared" si="36"/>
        <v>2.6738323426933635</v>
      </c>
      <c r="J309" s="20">
        <f>MAX(I$42:I309)</f>
        <v>2.856012064734557</v>
      </c>
      <c r="K309" s="7">
        <f t="shared" si="32"/>
        <v>-6.3788148618386775E-2</v>
      </c>
      <c r="L309" s="7" t="str">
        <f t="shared" si="33"/>
        <v/>
      </c>
      <c r="M309" s="7" t="str">
        <f t="shared" si="34"/>
        <v/>
      </c>
      <c r="N309" s="21">
        <f t="shared" si="37"/>
        <v>44681</v>
      </c>
      <c r="O309" s="21">
        <f t="shared" si="38"/>
        <v>44681</v>
      </c>
      <c r="P309" s="21">
        <f t="shared" si="39"/>
        <v>44681</v>
      </c>
    </row>
    <row r="310" spans="1:16">
      <c r="A310" s="24">
        <v>44712</v>
      </c>
      <c r="B310" s="26">
        <v>-1.4468999999999999E-2</v>
      </c>
      <c r="C310" s="26">
        <v>-1.7881000000000001E-2</v>
      </c>
      <c r="D310" s="26">
        <v>-7.038E-3</v>
      </c>
      <c r="E310" s="26">
        <v>-1.2222999999999999E-2</v>
      </c>
      <c r="F310" s="26">
        <v>-1.0880000000000001E-2</v>
      </c>
      <c r="G310" s="26">
        <v>-2.3643000000000001E-2</v>
      </c>
      <c r="H310" s="27">
        <f t="shared" si="35"/>
        <v>-1.4802333333333332E-2</v>
      </c>
      <c r="I310" s="20">
        <f t="shared" si="36"/>
        <v>2.6342533850793686</v>
      </c>
      <c r="J310" s="20">
        <f>MAX(I$42:I310)</f>
        <v>2.856012064734557</v>
      </c>
      <c r="K310" s="7">
        <f t="shared" si="32"/>
        <v>-7.7646268513154593E-2</v>
      </c>
      <c r="L310" s="7" t="str">
        <f t="shared" si="33"/>
        <v/>
      </c>
      <c r="M310" s="7" t="str">
        <f t="shared" si="34"/>
        <v/>
      </c>
      <c r="N310" s="21">
        <f t="shared" si="37"/>
        <v>44712</v>
      </c>
      <c r="O310" s="21">
        <f t="shared" si="38"/>
        <v>44712</v>
      </c>
      <c r="P310" s="21">
        <f t="shared" si="39"/>
        <v>44712</v>
      </c>
    </row>
    <row r="311" spans="1:16">
      <c r="A311" s="24">
        <v>44742</v>
      </c>
      <c r="B311" s="26">
        <v>-6.4080999999999999E-2</v>
      </c>
      <c r="C311" s="26">
        <v>-6.0546999999999997E-2</v>
      </c>
      <c r="D311" s="26">
        <v>-7.1737999999999996E-2</v>
      </c>
      <c r="E311" s="26">
        <v>-7.0615999999999998E-2</v>
      </c>
      <c r="F311" s="26">
        <v>-4.3411999999999999E-2</v>
      </c>
      <c r="G311" s="26">
        <v>-3.3047E-2</v>
      </c>
      <c r="H311" s="27">
        <f t="shared" si="35"/>
        <v>-6.4414333333333337E-2</v>
      </c>
      <c r="I311" s="20">
        <f t="shared" si="36"/>
        <v>2.4645697094484045</v>
      </c>
      <c r="J311" s="20">
        <f>MAX(I$42:I311)</f>
        <v>2.856012064734557</v>
      </c>
      <c r="K311" s="7">
        <f t="shared" si="32"/>
        <v>-0.13705906922439204</v>
      </c>
      <c r="L311" s="7" t="str">
        <f t="shared" si="33"/>
        <v/>
      </c>
      <c r="M311" s="7" t="str">
        <f t="shared" si="34"/>
        <v/>
      </c>
      <c r="N311" s="21">
        <f t="shared" si="37"/>
        <v>44742</v>
      </c>
      <c r="O311" s="21">
        <f t="shared" si="38"/>
        <v>44742</v>
      </c>
      <c r="P311" s="21">
        <f t="shared" si="39"/>
        <v>44742</v>
      </c>
    </row>
    <row r="312" spans="1:16">
      <c r="A312" s="24">
        <v>44773</v>
      </c>
      <c r="B312" s="26">
        <v>0.106707</v>
      </c>
      <c r="C312" s="26">
        <v>0.120589</v>
      </c>
      <c r="D312" s="26">
        <v>7.6277999999999999E-2</v>
      </c>
      <c r="E312" s="26">
        <v>9.4889000000000001E-2</v>
      </c>
      <c r="F312" s="26">
        <v>2.2783999999999999E-2</v>
      </c>
      <c r="G312" s="26">
        <v>5.2192000000000002E-2</v>
      </c>
      <c r="H312" s="27">
        <f t="shared" si="35"/>
        <v>0.10637366666666666</v>
      </c>
      <c r="I312" s="20">
        <f t="shared" si="36"/>
        <v>2.7267350261980323</v>
      </c>
      <c r="J312" s="20">
        <f>MAX(I$42:I312)</f>
        <v>2.856012064734557</v>
      </c>
      <c r="K312" s="7">
        <f t="shared" si="32"/>
        <v>-4.5264878301044531E-2</v>
      </c>
      <c r="L312" s="7" t="str">
        <f t="shared" si="33"/>
        <v/>
      </c>
      <c r="M312" s="7" t="str">
        <f t="shared" si="34"/>
        <v/>
      </c>
      <c r="N312" s="21">
        <f t="shared" si="37"/>
        <v>44773</v>
      </c>
      <c r="O312" s="21">
        <f t="shared" si="38"/>
        <v>44773</v>
      </c>
      <c r="P312" s="21">
        <f t="shared" si="39"/>
        <v>44773</v>
      </c>
    </row>
    <row r="313" spans="1:16">
      <c r="A313" s="24">
        <v>44804</v>
      </c>
      <c r="B313" s="26">
        <v>-2.8371E-2</v>
      </c>
      <c r="C313" s="26">
        <v>-2.6186999999999998E-2</v>
      </c>
      <c r="D313" s="26">
        <v>-3.3348000000000003E-2</v>
      </c>
      <c r="E313" s="26">
        <v>-2.6388999999999999E-2</v>
      </c>
      <c r="F313" s="26">
        <v>1.8256999999999999E-2</v>
      </c>
      <c r="G313" s="26">
        <v>-5.5003000000000003E-2</v>
      </c>
      <c r="H313" s="27">
        <f t="shared" si="35"/>
        <v>-2.8704333333333335E-2</v>
      </c>
      <c r="I313" s="20">
        <f t="shared" si="36"/>
        <v>2.6484659150943686</v>
      </c>
      <c r="J313" s="20">
        <f>MAX(I$42:I313)</f>
        <v>2.856012064734557</v>
      </c>
      <c r="K313" s="7">
        <f t="shared" si="32"/>
        <v>-7.2669913479331938E-2</v>
      </c>
      <c r="L313" s="7" t="str">
        <f t="shared" si="33"/>
        <v/>
      </c>
      <c r="M313" s="7" t="str">
        <f t="shared" si="34"/>
        <v/>
      </c>
      <c r="N313" s="21">
        <f t="shared" si="37"/>
        <v>44804</v>
      </c>
      <c r="O313" s="21">
        <f t="shared" si="38"/>
        <v>44804</v>
      </c>
      <c r="P313" s="21">
        <f t="shared" si="39"/>
        <v>44804</v>
      </c>
    </row>
    <row r="314" spans="1:16">
      <c r="A314" s="24">
        <v>44834</v>
      </c>
      <c r="B314" s="26">
        <v>-6.8982000000000002E-2</v>
      </c>
      <c r="C314" s="26">
        <v>-6.9139000000000006E-2</v>
      </c>
      <c r="D314" s="26">
        <v>-6.8575999999999998E-2</v>
      </c>
      <c r="E314" s="26">
        <v>-7.5483999999999996E-2</v>
      </c>
      <c r="F314" s="26">
        <v>-9.3894000000000005E-2</v>
      </c>
      <c r="G314" s="26">
        <v>-5.1891E-2</v>
      </c>
      <c r="H314" s="27">
        <f t="shared" si="35"/>
        <v>-6.931533333333334E-2</v>
      </c>
      <c r="I314" s="20">
        <f t="shared" si="36"/>
        <v>2.4648866173676307</v>
      </c>
      <c r="J314" s="20">
        <f>MAX(I$42:I314)</f>
        <v>2.856012064734557</v>
      </c>
      <c r="K314" s="7">
        <f t="shared" si="32"/>
        <v>-0.13694810753654085</v>
      </c>
      <c r="L314" s="7" t="str">
        <f t="shared" si="33"/>
        <v/>
      </c>
      <c r="M314" s="7" t="str">
        <f t="shared" si="34"/>
        <v/>
      </c>
      <c r="N314" s="21">
        <f t="shared" si="37"/>
        <v>44834</v>
      </c>
      <c r="O314" s="21">
        <f t="shared" si="38"/>
        <v>44834</v>
      </c>
      <c r="P314" s="21">
        <f t="shared" si="39"/>
        <v>44834</v>
      </c>
    </row>
    <row r="315" spans="1:16">
      <c r="A315" s="24">
        <v>44865</v>
      </c>
      <c r="B315" s="26">
        <v>6.2378999999999997E-2</v>
      </c>
      <c r="C315" s="26">
        <v>6.9563E-2</v>
      </c>
      <c r="D315" s="26">
        <v>4.5831999999999998E-2</v>
      </c>
      <c r="E315" s="26">
        <v>5.2590999999999999E-2</v>
      </c>
      <c r="F315" s="26">
        <v>-3.9579000000000003E-2</v>
      </c>
      <c r="G315" s="26">
        <v>-4.4130000000000003E-3</v>
      </c>
      <c r="H315" s="27">
        <f t="shared" si="35"/>
        <v>6.2045666666666666E-2</v>
      </c>
      <c r="I315" s="20">
        <f t="shared" si="36"/>
        <v>2.6178221507999502</v>
      </c>
      <c r="J315" s="20">
        <f>MAX(I$42:I315)</f>
        <v>2.856012064734557</v>
      </c>
      <c r="K315" s="7">
        <f t="shared" si="32"/>
        <v>-8.3399477500717301E-2</v>
      </c>
      <c r="L315" s="7" t="str">
        <f t="shared" si="33"/>
        <v/>
      </c>
      <c r="M315" s="7" t="str">
        <f t="shared" si="34"/>
        <v/>
      </c>
      <c r="N315" s="21">
        <f t="shared" si="37"/>
        <v>44865</v>
      </c>
      <c r="O315" s="21">
        <f t="shared" si="38"/>
        <v>44865</v>
      </c>
      <c r="P315" s="21">
        <f t="shared" si="39"/>
        <v>44865</v>
      </c>
    </row>
    <row r="316" spans="1:16">
      <c r="A316" s="24">
        <v>44895</v>
      </c>
      <c r="B316" s="26">
        <v>2.6630000000000001E-2</v>
      </c>
      <c r="C316" s="26">
        <v>1.1526E-2</v>
      </c>
      <c r="D316" s="26">
        <v>6.2128000000000003E-2</v>
      </c>
      <c r="E316" s="26">
        <v>4.3159999999999997E-2</v>
      </c>
      <c r="F316" s="26">
        <v>0.102258</v>
      </c>
      <c r="G316" s="26">
        <v>2.4181999999999999E-2</v>
      </c>
      <c r="H316" s="27">
        <f t="shared" si="35"/>
        <v>2.6296666666666666E-2</v>
      </c>
      <c r="I316" s="20">
        <f t="shared" si="36"/>
        <v>2.6866621472921528</v>
      </c>
      <c r="J316" s="20">
        <f>MAX(I$42:I316)</f>
        <v>2.856012064734557</v>
      </c>
      <c r="K316" s="7">
        <f t="shared" si="32"/>
        <v>-5.9295939094061167E-2</v>
      </c>
      <c r="L316" s="7" t="str">
        <f t="shared" si="33"/>
        <v/>
      </c>
      <c r="M316" s="7" t="str">
        <f t="shared" si="34"/>
        <v/>
      </c>
      <c r="N316" s="21">
        <f t="shared" si="37"/>
        <v>44895</v>
      </c>
      <c r="O316" s="21">
        <f t="shared" si="38"/>
        <v>44895</v>
      </c>
      <c r="P316" s="21">
        <f t="shared" si="39"/>
        <v>44895</v>
      </c>
    </row>
    <row r="317" spans="1:16">
      <c r="A317" s="24">
        <v>44926</v>
      </c>
      <c r="B317" s="26">
        <v>-7.6201000000000005E-2</v>
      </c>
      <c r="C317" s="26">
        <v>-9.2339000000000004E-2</v>
      </c>
      <c r="D317" s="26">
        <v>-3.9911000000000002E-2</v>
      </c>
      <c r="E317" s="26">
        <v>-5.6646000000000002E-2</v>
      </c>
      <c r="F317" s="26">
        <v>-4.8791000000000001E-2</v>
      </c>
      <c r="G317" s="26">
        <v>-4.9562000000000002E-2</v>
      </c>
      <c r="H317" s="27">
        <f t="shared" si="35"/>
        <v>-7.6534333333333343E-2</v>
      </c>
      <c r="I317" s="20">
        <f t="shared" si="36"/>
        <v>2.4810402509572458</v>
      </c>
      <c r="J317" s="20">
        <f>MAX(I$42:I317)</f>
        <v>2.856012064734557</v>
      </c>
      <c r="K317" s="7">
        <f t="shared" si="32"/>
        <v>-0.13129209725945667</v>
      </c>
      <c r="L317" s="7" t="str">
        <f t="shared" si="33"/>
        <v/>
      </c>
      <c r="M317" s="7" t="str">
        <f t="shared" si="34"/>
        <v/>
      </c>
      <c r="N317" s="21">
        <f t="shared" si="37"/>
        <v>44926</v>
      </c>
      <c r="O317" s="21">
        <f t="shared" si="38"/>
        <v>44926</v>
      </c>
      <c r="P317" s="21">
        <f t="shared" si="39"/>
        <v>44926</v>
      </c>
    </row>
    <row r="318" spans="1:16">
      <c r="A318" s="24">
        <v>44957</v>
      </c>
      <c r="B318" s="26">
        <v>5.2220000000000003E-2</v>
      </c>
      <c r="C318" s="26">
        <v>4.7043000000000001E-2</v>
      </c>
      <c r="D318" s="26">
        <v>6.3232999999999998E-2</v>
      </c>
      <c r="E318" s="26">
        <v>6.2659999999999993E-2</v>
      </c>
      <c r="F318" s="26">
        <v>6.0283000000000003E-2</v>
      </c>
      <c r="G318" s="26">
        <v>2.4074999999999999E-2</v>
      </c>
      <c r="H318" s="27">
        <f t="shared" si="35"/>
        <v>5.1886666666666671E-2</v>
      </c>
      <c r="I318" s="20">
        <f t="shared" si="36"/>
        <v>2.6097731594452473</v>
      </c>
      <c r="J318" s="20">
        <f>MAX(I$42:I318)</f>
        <v>2.856012064734557</v>
      </c>
      <c r="K318" s="7">
        <f t="shared" si="32"/>
        <v>-8.621773987925907E-2</v>
      </c>
      <c r="L318" s="7" t="str">
        <f t="shared" si="33"/>
        <v/>
      </c>
      <c r="M318" s="7" t="str">
        <f t="shared" si="34"/>
        <v/>
      </c>
      <c r="N318" s="21">
        <f t="shared" si="37"/>
        <v>44957</v>
      </c>
      <c r="O318" s="21">
        <f t="shared" si="38"/>
        <v>44957</v>
      </c>
      <c r="P318" s="21">
        <f t="shared" si="39"/>
        <v>44957</v>
      </c>
    </row>
    <row r="319" spans="1:16">
      <c r="A319" s="24">
        <v>44985</v>
      </c>
      <c r="B319" s="26">
        <v>-5.2599999999999999E-4</v>
      </c>
      <c r="C319" s="26">
        <v>-8.6600000000000002E-4</v>
      </c>
      <c r="D319" s="26">
        <v>1.8599999999999999E-4</v>
      </c>
      <c r="E319" s="26">
        <v>-3.6519999999999999E-3</v>
      </c>
      <c r="F319" s="26">
        <v>-4.2311000000000001E-2</v>
      </c>
      <c r="G319" s="26">
        <v>-2.9999000000000001E-2</v>
      </c>
      <c r="H319" s="27">
        <f t="shared" si="35"/>
        <v>-8.5933333333333326E-4</v>
      </c>
      <c r="I319" s="20">
        <f t="shared" si="36"/>
        <v>2.6075304943768973</v>
      </c>
      <c r="J319" s="20">
        <f>MAX(I$42:I319)</f>
        <v>2.856012064734557</v>
      </c>
      <c r="K319" s="7">
        <f t="shared" si="32"/>
        <v>-8.7002983434789516E-2</v>
      </c>
      <c r="L319" s="7" t="str">
        <f t="shared" si="33"/>
        <v/>
      </c>
      <c r="M319" s="7" t="str">
        <f t="shared" si="34"/>
        <v/>
      </c>
      <c r="N319" s="21">
        <f t="shared" si="37"/>
        <v>44985</v>
      </c>
      <c r="O319" s="21">
        <f t="shared" si="38"/>
        <v>44985</v>
      </c>
      <c r="P319" s="21">
        <f t="shared" si="39"/>
        <v>44985</v>
      </c>
    </row>
    <row r="320" spans="1:16">
      <c r="A320" s="24">
        <v>45016</v>
      </c>
      <c r="B320" s="26">
        <v>6.2769999999999996E-3</v>
      </c>
      <c r="C320" s="26">
        <v>1.0316000000000001E-2</v>
      </c>
      <c r="D320" s="26">
        <v>-2.1919999999999999E-3</v>
      </c>
      <c r="E320" s="26">
        <v>-1.6983000000000002E-2</v>
      </c>
      <c r="F320" s="26">
        <v>5.6769999999999998E-3</v>
      </c>
      <c r="G320" s="26">
        <v>2.8472999999999998E-2</v>
      </c>
      <c r="H320" s="27">
        <f t="shared" si="35"/>
        <v>5.9436666666666665E-3</v>
      </c>
      <c r="I320" s="20">
        <f t="shared" si="36"/>
        <v>2.6230287864586419</v>
      </c>
      <c r="J320" s="20">
        <f>MAX(I$42:I320)</f>
        <v>2.856012064734557</v>
      </c>
      <c r="K320" s="7">
        <f t="shared" si="32"/>
        <v>-8.1576433500664902E-2</v>
      </c>
      <c r="L320" s="7" t="str">
        <f t="shared" si="33"/>
        <v/>
      </c>
      <c r="M320" s="7" t="str">
        <f t="shared" si="34"/>
        <v/>
      </c>
      <c r="N320" s="21">
        <f t="shared" si="37"/>
        <v>45016</v>
      </c>
      <c r="O320" s="21">
        <f t="shared" si="38"/>
        <v>45016</v>
      </c>
      <c r="P320" s="21">
        <f t="shared" si="39"/>
        <v>45016</v>
      </c>
    </row>
    <row r="321" spans="1:16">
      <c r="A321" s="24">
        <v>45046</v>
      </c>
      <c r="B321" s="26">
        <v>1.354E-3</v>
      </c>
      <c r="C321" s="26">
        <v>-3.6849999999999999E-3</v>
      </c>
      <c r="D321" s="26">
        <v>1.2045999999999999E-2</v>
      </c>
      <c r="E321" s="26">
        <v>-3.163E-3</v>
      </c>
      <c r="F321" s="26">
        <v>-2.7050000000000001E-2</v>
      </c>
      <c r="G321" s="26">
        <v>1.9580000000000001E-3</v>
      </c>
      <c r="H321" s="27">
        <f t="shared" si="35"/>
        <v>1.0206666666666667E-3</v>
      </c>
      <c r="I321" s="20">
        <f t="shared" si="36"/>
        <v>2.625706024506687</v>
      </c>
      <c r="J321" s="20">
        <f>MAX(I$42:I321)</f>
        <v>2.856012064734557</v>
      </c>
      <c r="K321" s="7">
        <f t="shared" si="32"/>
        <v>-8.0639029180457955E-2</v>
      </c>
      <c r="L321" s="7" t="str">
        <f t="shared" si="33"/>
        <v/>
      </c>
      <c r="M321" s="7" t="str">
        <f t="shared" si="34"/>
        <v/>
      </c>
      <c r="N321" s="21">
        <f t="shared" si="37"/>
        <v>45046</v>
      </c>
      <c r="O321" s="21">
        <f t="shared" si="38"/>
        <v>45046</v>
      </c>
      <c r="P321" s="21">
        <f t="shared" si="39"/>
        <v>45046</v>
      </c>
    </row>
    <row r="322" spans="1:16">
      <c r="A322" s="24">
        <v>45077</v>
      </c>
      <c r="B322" s="26">
        <v>2.5211999999999998E-2</v>
      </c>
      <c r="C322" s="26">
        <v>4.1730000000000003E-2</v>
      </c>
      <c r="D322" s="26">
        <v>-9.6100000000000005E-3</v>
      </c>
      <c r="E322" s="26">
        <v>-2.1840000000000002E-3</v>
      </c>
      <c r="F322" s="26">
        <v>1.8158000000000001E-2</v>
      </c>
      <c r="G322" s="26">
        <v>8.1089999999999999E-3</v>
      </c>
      <c r="H322" s="27">
        <f t="shared" si="35"/>
        <v>2.4878666666666664E-2</v>
      </c>
      <c r="I322" s="20">
        <f t="shared" si="36"/>
        <v>2.6910300894550474</v>
      </c>
      <c r="J322" s="20">
        <f>MAX(I$42:I322)</f>
        <v>2.856012064734557</v>
      </c>
      <c r="K322" s="7">
        <f t="shared" si="32"/>
        <v>-5.7766554041095541E-2</v>
      </c>
      <c r="L322" s="7" t="str">
        <f t="shared" si="33"/>
        <v/>
      </c>
      <c r="M322" s="7" t="str">
        <f t="shared" si="34"/>
        <v/>
      </c>
      <c r="N322" s="21">
        <f t="shared" si="37"/>
        <v>45077</v>
      </c>
      <c r="O322" s="21">
        <f t="shared" si="38"/>
        <v>45077</v>
      </c>
      <c r="P322" s="21">
        <f t="shared" si="39"/>
        <v>45077</v>
      </c>
    </row>
    <row r="323" spans="1:16">
      <c r="A323" s="24">
        <v>45107</v>
      </c>
      <c r="B323" s="26">
        <v>3.6275000000000002E-2</v>
      </c>
      <c r="C323" s="26">
        <v>4.1956E-2</v>
      </c>
      <c r="D323" s="26">
        <v>2.3633000000000001E-2</v>
      </c>
      <c r="E323" s="26">
        <v>3.0335000000000001E-2</v>
      </c>
      <c r="F323" s="26">
        <v>1.4281E-2</v>
      </c>
      <c r="G323" s="26">
        <v>-1.1178E-2</v>
      </c>
      <c r="H323" s="27">
        <f t="shared" si="35"/>
        <v>3.594166666666667E-2</v>
      </c>
      <c r="I323" s="20">
        <f t="shared" si="36"/>
        <v>2.7877501959202111</v>
      </c>
      <c r="J323" s="20">
        <f>MAX(I$42:I323)</f>
        <v>2.856012064734557</v>
      </c>
      <c r="K323" s="7">
        <f t="shared" si="32"/>
        <v>-2.3901113604255841E-2</v>
      </c>
      <c r="L323" s="7" t="str">
        <f t="shared" si="33"/>
        <v/>
      </c>
      <c r="M323" s="7" t="str">
        <f t="shared" si="34"/>
        <v/>
      </c>
      <c r="N323" s="21">
        <f t="shared" si="37"/>
        <v>45107</v>
      </c>
      <c r="O323" s="21">
        <f t="shared" si="38"/>
        <v>45107</v>
      </c>
      <c r="P323" s="21">
        <f t="shared" si="39"/>
        <v>45107</v>
      </c>
    </row>
    <row r="324" spans="1:16">
      <c r="A324" s="24">
        <v>45138</v>
      </c>
      <c r="B324" s="26">
        <v>2.2766000000000002E-2</v>
      </c>
      <c r="C324" s="26">
        <v>2.3304999999999999E-2</v>
      </c>
      <c r="D324" s="26">
        <v>2.1545000000000002E-2</v>
      </c>
      <c r="E324" s="26">
        <v>3.2062E-2</v>
      </c>
      <c r="F324" s="26">
        <v>5.1124000000000003E-2</v>
      </c>
      <c r="G324" s="26">
        <v>-5.7860000000000003E-3</v>
      </c>
      <c r="H324" s="27">
        <f t="shared" si="35"/>
        <v>2.2432666666666667E-2</v>
      </c>
      <c r="I324" s="20">
        <f t="shared" si="36"/>
        <v>2.8502868668152241</v>
      </c>
      <c r="J324" s="20">
        <f>MAX(I$42:I324)</f>
        <v>2.856012064734557</v>
      </c>
      <c r="K324" s="7">
        <f t="shared" si="32"/>
        <v>-2.0046126520354424E-3</v>
      </c>
      <c r="L324" s="7" t="str">
        <f t="shared" si="33"/>
        <v/>
      </c>
      <c r="M324" s="7" t="str">
        <f t="shared" si="34"/>
        <v/>
      </c>
      <c r="N324" s="21">
        <f t="shared" si="37"/>
        <v>45138</v>
      </c>
      <c r="O324" s="21">
        <f t="shared" si="38"/>
        <v>45138</v>
      </c>
      <c r="P324" s="21">
        <f t="shared" si="39"/>
        <v>45138</v>
      </c>
    </row>
    <row r="325" spans="1:16">
      <c r="A325" s="24">
        <v>45169</v>
      </c>
      <c r="B325" s="26">
        <v>-8.4169999999999991E-3</v>
      </c>
      <c r="C325" s="26">
        <v>-1.802E-3</v>
      </c>
      <c r="D325" s="26">
        <v>-2.3449000000000001E-2</v>
      </c>
      <c r="E325" s="26">
        <v>-2.181E-2</v>
      </c>
      <c r="F325" s="26">
        <v>-4.6729E-2</v>
      </c>
      <c r="G325" s="26">
        <v>2.9680000000000002E-3</v>
      </c>
      <c r="H325" s="27">
        <f t="shared" si="35"/>
        <v>-8.7503333333333322E-3</v>
      </c>
      <c r="I325" s="20">
        <f t="shared" si="36"/>
        <v>2.8253459066349689</v>
      </c>
      <c r="J325" s="20">
        <f>MAX(I$42:I325)</f>
        <v>2.856012064734557</v>
      </c>
      <c r="K325" s="7">
        <f t="shared" si="32"/>
        <v>-1.0737404956459251E-2</v>
      </c>
      <c r="L325" s="7" t="str">
        <f t="shared" si="33"/>
        <v/>
      </c>
      <c r="M325" s="7" t="str">
        <f t="shared" si="34"/>
        <v/>
      </c>
      <c r="N325" s="21">
        <f t="shared" si="37"/>
        <v>45169</v>
      </c>
      <c r="O325" s="21">
        <f t="shared" si="38"/>
        <v>45169</v>
      </c>
      <c r="P325" s="21">
        <f t="shared" si="39"/>
        <v>45169</v>
      </c>
    </row>
    <row r="326" spans="1:16">
      <c r="A326" s="24">
        <v>45199</v>
      </c>
      <c r="B326" s="26">
        <v>-1.9099999999999999E-2</v>
      </c>
      <c r="C326" s="26">
        <v>-2.3248000000000001E-2</v>
      </c>
      <c r="D326" s="26">
        <v>-9.4380000000000002E-3</v>
      </c>
      <c r="E326" s="26">
        <v>-1.8377999999999999E-2</v>
      </c>
      <c r="F326" s="26">
        <v>-1.686E-3</v>
      </c>
      <c r="G326" s="26">
        <v>-2.8598999999999999E-2</v>
      </c>
      <c r="H326" s="27">
        <f t="shared" si="35"/>
        <v>-1.9433333333333334E-2</v>
      </c>
      <c r="I326" s="20">
        <f t="shared" si="36"/>
        <v>2.7704400178493627</v>
      </c>
      <c r="J326" s="20">
        <f>MAX(I$42:I326)</f>
        <v>2.856012064734557</v>
      </c>
      <c r="K326" s="7">
        <f t="shared" si="32"/>
        <v>-2.9962074720138676E-2</v>
      </c>
      <c r="L326" s="7" t="str">
        <f t="shared" si="33"/>
        <v/>
      </c>
      <c r="M326" s="7" t="str">
        <f t="shared" si="34"/>
        <v/>
      </c>
      <c r="N326" s="21">
        <f t="shared" si="37"/>
        <v>45199</v>
      </c>
      <c r="O326" s="21">
        <f t="shared" si="38"/>
        <v>45199</v>
      </c>
      <c r="P326" s="21">
        <f t="shared" si="39"/>
        <v>45199</v>
      </c>
    </row>
    <row r="327" spans="1:16">
      <c r="A327" s="24">
        <v>45230</v>
      </c>
      <c r="B327" s="26">
        <v>-2.7407000000000001E-2</v>
      </c>
      <c r="C327" s="26">
        <v>-2.1669000000000001E-2</v>
      </c>
      <c r="D327" s="26">
        <v>-4.0622999999999999E-2</v>
      </c>
      <c r="E327" s="26">
        <v>-4.6287000000000002E-2</v>
      </c>
      <c r="F327" s="26">
        <v>-3.7265E-2</v>
      </c>
      <c r="G327" s="26">
        <v>8.3809999999999996E-3</v>
      </c>
      <c r="H327" s="27">
        <f t="shared" si="35"/>
        <v>-2.7740333333333336E-2</v>
      </c>
      <c r="I327" s="20">
        <f t="shared" si="36"/>
        <v>2.6935870882742154</v>
      </c>
      <c r="J327" s="20">
        <f>MAX(I$42:I327)</f>
        <v>2.856012064734557</v>
      </c>
      <c r="K327" s="7">
        <f t="shared" si="32"/>
        <v>-5.6871250113377125E-2</v>
      </c>
      <c r="L327" s="7" t="str">
        <f t="shared" si="33"/>
        <v/>
      </c>
      <c r="M327" s="7" t="str">
        <f t="shared" si="34"/>
        <v/>
      </c>
      <c r="N327" s="21">
        <f t="shared" si="37"/>
        <v>45230</v>
      </c>
      <c r="O327" s="21">
        <f t="shared" si="38"/>
        <v>45230</v>
      </c>
      <c r="P327" s="21">
        <f t="shared" si="39"/>
        <v>45230</v>
      </c>
    </row>
    <row r="328" spans="1:16">
      <c r="A328" s="24">
        <v>45260</v>
      </c>
      <c r="B328" s="26">
        <v>5.9568999999999997E-2</v>
      </c>
      <c r="C328" s="26">
        <v>5.9476000000000001E-2</v>
      </c>
      <c r="D328" s="26">
        <v>5.9789000000000002E-2</v>
      </c>
      <c r="E328" s="26">
        <v>6.1943999999999999E-2</v>
      </c>
      <c r="F328" s="26">
        <v>4.6275999999999998E-2</v>
      </c>
      <c r="G328" s="26">
        <v>3.2818E-2</v>
      </c>
      <c r="H328" s="27">
        <f t="shared" si="35"/>
        <v>5.9235666666666666E-2</v>
      </c>
      <c r="I328" s="20">
        <f t="shared" si="36"/>
        <v>2.8531435151728641</v>
      </c>
      <c r="J328" s="20">
        <f>MAX(I$42:I328)</f>
        <v>2.856012064734557</v>
      </c>
      <c r="K328" s="7">
        <f t="shared" si="32"/>
        <v>-1.0043898613431024E-3</v>
      </c>
      <c r="L328" s="7" t="str">
        <f t="shared" si="33"/>
        <v/>
      </c>
      <c r="M328" s="7" t="str">
        <f t="shared" si="34"/>
        <v/>
      </c>
      <c r="N328" s="21">
        <f t="shared" si="37"/>
        <v>45260</v>
      </c>
      <c r="O328" s="21">
        <f t="shared" si="38"/>
        <v>45260</v>
      </c>
      <c r="P328" s="21">
        <f t="shared" si="39"/>
        <v>45260</v>
      </c>
    </row>
    <row r="329" spans="1:16">
      <c r="A329" s="24">
        <v>45291</v>
      </c>
      <c r="B329" s="26">
        <v>3.6223999999999999E-2</v>
      </c>
      <c r="C329" s="26">
        <v>3.3876999999999997E-2</v>
      </c>
      <c r="D329" s="26">
        <v>4.1723999999999997E-2</v>
      </c>
      <c r="E329" s="26">
        <v>5.3212000000000002E-2</v>
      </c>
      <c r="F329" s="26">
        <v>2.6349999999999998E-2</v>
      </c>
      <c r="G329" s="26">
        <v>3.6700999999999998E-2</v>
      </c>
      <c r="H329" s="27">
        <f t="shared" si="35"/>
        <v>3.5890666666666668E-2</v>
      </c>
      <c r="I329" s="20">
        <f t="shared" si="36"/>
        <v>2.9555447380280953</v>
      </c>
      <c r="J329" s="20">
        <f>MAX(I$42:I329)</f>
        <v>2.9555447380280953</v>
      </c>
      <c r="K329" s="7">
        <f t="shared" si="32"/>
        <v>0</v>
      </c>
      <c r="L329" s="7" t="str">
        <f t="shared" si="33"/>
        <v/>
      </c>
      <c r="M329" s="7" t="str">
        <f t="shared" si="34"/>
        <v/>
      </c>
      <c r="N329" s="21">
        <f t="shared" si="37"/>
        <v>45291</v>
      </c>
      <c r="O329" s="21">
        <f t="shared" si="38"/>
        <v>45291</v>
      </c>
      <c r="P329" s="21">
        <f t="shared" si="39"/>
        <v>45291</v>
      </c>
    </row>
    <row r="330" spans="1:16">
      <c r="A330" s="24">
        <v>45322</v>
      </c>
      <c r="B330" s="26">
        <v>2.9144E-2</v>
      </c>
      <c r="C330" s="26">
        <v>3.2511999999999999E-2</v>
      </c>
      <c r="D330" s="26">
        <v>2.1319000000000001E-2</v>
      </c>
      <c r="E330" s="26">
        <v>7.4019999999999997E-3</v>
      </c>
      <c r="F330" s="26">
        <v>-3.0282E-2</v>
      </c>
      <c r="G330" s="26">
        <v>-1.4132E-2</v>
      </c>
      <c r="H330" s="27">
        <f t="shared" si="35"/>
        <v>2.8810666666666665E-2</v>
      </c>
      <c r="I330" s="20">
        <f t="shared" si="36"/>
        <v>3.0406959522938437</v>
      </c>
      <c r="J330" s="20">
        <f>MAX(I$42:I330)</f>
        <v>3.0406959522938437</v>
      </c>
      <c r="K330" s="7">
        <f t="shared" si="32"/>
        <v>0</v>
      </c>
      <c r="L330" s="7" t="str">
        <f t="shared" si="33"/>
        <v/>
      </c>
      <c r="M330" s="7" t="str">
        <f t="shared" si="34"/>
        <v/>
      </c>
      <c r="N330" s="21">
        <f t="shared" si="37"/>
        <v>45322</v>
      </c>
      <c r="O330" s="21">
        <f t="shared" si="38"/>
        <v>45322</v>
      </c>
      <c r="P330" s="21">
        <f t="shared" si="39"/>
        <v>45322</v>
      </c>
    </row>
    <row r="331" spans="1:16">
      <c r="A331" s="24">
        <v>45351</v>
      </c>
      <c r="B331" s="26">
        <v>4.6345999999999998E-2</v>
      </c>
      <c r="C331" s="26">
        <v>5.7167000000000003E-2</v>
      </c>
      <c r="D331" s="26">
        <v>2.0927000000000001E-2</v>
      </c>
      <c r="E331" s="26">
        <v>2.6148999999999999E-2</v>
      </c>
      <c r="F331" s="26">
        <v>5.1540000000000002E-2</v>
      </c>
      <c r="G331" s="26">
        <v>-2.1578E-2</v>
      </c>
      <c r="H331" s="27">
        <f t="shared" si="35"/>
        <v>4.6012666666666667E-2</v>
      </c>
      <c r="I331" s="20">
        <f t="shared" si="36"/>
        <v>3.1806064815814232</v>
      </c>
      <c r="J331" s="20">
        <f>MAX(I$42:I331)</f>
        <v>3.1806064815814232</v>
      </c>
      <c r="K331" s="7">
        <f t="shared" si="32"/>
        <v>0</v>
      </c>
      <c r="L331" s="7" t="str">
        <f t="shared" si="33"/>
        <v/>
      </c>
      <c r="M331" s="7" t="str">
        <f t="shared" si="34"/>
        <v/>
      </c>
      <c r="N331" s="21">
        <f t="shared" si="37"/>
        <v>45351</v>
      </c>
      <c r="O331" s="21">
        <f t="shared" si="38"/>
        <v>45351</v>
      </c>
      <c r="P331" s="21">
        <f t="shared" si="39"/>
        <v>45351</v>
      </c>
    </row>
    <row r="332" spans="1:16">
      <c r="A332" s="24">
        <v>45382</v>
      </c>
      <c r="B332" s="26">
        <v>3.4189999999999998E-2</v>
      </c>
      <c r="C332" s="26">
        <v>3.3523999999999998E-2</v>
      </c>
      <c r="D332" s="26">
        <v>3.5799999999999998E-2</v>
      </c>
      <c r="E332" s="26">
        <v>3.8706999999999998E-2</v>
      </c>
      <c r="F332" s="26">
        <v>2.682E-2</v>
      </c>
      <c r="G332" s="26">
        <v>1.7867000000000001E-2</v>
      </c>
      <c r="H332" s="27">
        <f t="shared" si="35"/>
        <v>3.3856666666666667E-2</v>
      </c>
      <c r="I332" s="20">
        <f t="shared" si="36"/>
        <v>3.2882912150261649</v>
      </c>
      <c r="J332" s="20">
        <f>MAX(I$42:I332)</f>
        <v>3.2882912150261649</v>
      </c>
      <c r="K332" s="7">
        <f t="shared" si="32"/>
        <v>0</v>
      </c>
      <c r="L332" s="7" t="str">
        <f t="shared" si="33"/>
        <v/>
      </c>
      <c r="M332" s="7" t="str">
        <f t="shared" si="34"/>
        <v/>
      </c>
      <c r="N332" s="21">
        <f t="shared" si="37"/>
        <v>45382</v>
      </c>
      <c r="O332" s="21">
        <f t="shared" si="38"/>
        <v>45382</v>
      </c>
      <c r="P332" s="21">
        <f t="shared" si="39"/>
        <v>45382</v>
      </c>
    </row>
    <row r="333" spans="1:16">
      <c r="A333" s="24">
        <v>45412</v>
      </c>
      <c r="B333" s="26">
        <v>-2.7465E-2</v>
      </c>
      <c r="C333" s="26">
        <v>-3.1865999999999998E-2</v>
      </c>
      <c r="D333" s="26">
        <v>-1.6719999999999999E-2</v>
      </c>
      <c r="E333" s="26">
        <v>-2.7177E-2</v>
      </c>
      <c r="F333" s="26">
        <v>1.4572999999999999E-2</v>
      </c>
      <c r="G333" s="26">
        <v>-1.7978999999999998E-2</v>
      </c>
      <c r="H333" s="27">
        <f t="shared" si="35"/>
        <v>-2.7798333333333335E-2</v>
      </c>
      <c r="I333" s="20">
        <f t="shared" si="36"/>
        <v>3.1968821997337957</v>
      </c>
      <c r="J333" s="20">
        <f>MAX(I$42:I333)</f>
        <v>3.2882912150261649</v>
      </c>
      <c r="K333" s="7">
        <f t="shared" si="32"/>
        <v>-2.7798333333333369E-2</v>
      </c>
      <c r="L333" s="7" t="str">
        <f t="shared" si="33"/>
        <v/>
      </c>
      <c r="M333" s="7" t="str">
        <f t="shared" si="34"/>
        <v/>
      </c>
      <c r="N333" s="21">
        <f t="shared" si="37"/>
        <v>45412</v>
      </c>
      <c r="O333" s="21">
        <f t="shared" si="38"/>
        <v>45412</v>
      </c>
      <c r="P333" s="21">
        <f t="shared" si="39"/>
        <v>45412</v>
      </c>
    </row>
    <row r="334" spans="1:16">
      <c r="A334" s="24">
        <v>45443</v>
      </c>
      <c r="B334" s="26">
        <v>2.8917999999999999E-2</v>
      </c>
      <c r="C334" s="26">
        <v>3.1537000000000003E-2</v>
      </c>
      <c r="D334" s="26">
        <v>2.2612E-2</v>
      </c>
      <c r="E334" s="26">
        <v>1.6358999999999999E-2</v>
      </c>
      <c r="F334" s="26">
        <v>-9.4959999999999992E-3</v>
      </c>
      <c r="G334" s="26">
        <v>-1.0758999999999999E-2</v>
      </c>
      <c r="H334" s="27">
        <f t="shared" si="35"/>
        <v>2.8584666666666664E-2</v>
      </c>
      <c r="I334" s="20">
        <f t="shared" si="36"/>
        <v>3.2882640117857864</v>
      </c>
      <c r="J334" s="20">
        <f>MAX(I$42:I334)</f>
        <v>3.2882912150261649</v>
      </c>
      <c r="K334" s="7">
        <f t="shared" si="32"/>
        <v>-8.2727588889275339E-6</v>
      </c>
      <c r="L334" s="7" t="str">
        <f t="shared" si="33"/>
        <v/>
      </c>
      <c r="M334" s="7" t="str">
        <f t="shared" si="34"/>
        <v/>
      </c>
      <c r="N334" s="21">
        <f t="shared" si="37"/>
        <v>45443</v>
      </c>
      <c r="O334" s="21">
        <f t="shared" si="38"/>
        <v>45443</v>
      </c>
      <c r="P334" s="21">
        <f t="shared" si="39"/>
        <v>45443</v>
      </c>
    </row>
    <row r="335" spans="1:16">
      <c r="A335" s="24">
        <v>45473</v>
      </c>
      <c r="B335" s="26">
        <v>3.3536000000000003E-2</v>
      </c>
      <c r="C335" s="26">
        <v>4.8792000000000002E-2</v>
      </c>
      <c r="D335" s="26">
        <v>-3.8679999999999999E-3</v>
      </c>
      <c r="E335" s="26">
        <v>-3.176E-3</v>
      </c>
      <c r="F335" s="26">
        <v>5.2873999999999997E-2</v>
      </c>
      <c r="G335" s="26">
        <v>2.1381000000000001E-2</v>
      </c>
      <c r="H335" s="27">
        <f t="shared" si="35"/>
        <v>3.3202666666666672E-2</v>
      </c>
      <c r="I335" s="20">
        <f t="shared" si="36"/>
        <v>3.3974431456811063</v>
      </c>
      <c r="J335" s="20">
        <f>MAX(I$42:I335)</f>
        <v>3.3974431456811063</v>
      </c>
      <c r="K335" s="7">
        <f t="shared" si="32"/>
        <v>0</v>
      </c>
      <c r="L335" s="7" t="str">
        <f t="shared" si="33"/>
        <v/>
      </c>
      <c r="M335" s="7" t="str">
        <f t="shared" si="34"/>
        <v/>
      </c>
      <c r="N335" s="21">
        <f t="shared" si="37"/>
        <v>45473</v>
      </c>
      <c r="O335" s="21">
        <f t="shared" si="38"/>
        <v>45473</v>
      </c>
      <c r="P335" s="21">
        <f t="shared" si="39"/>
        <v>45473</v>
      </c>
    </row>
    <row r="336" spans="1:16">
      <c r="A336" s="24">
        <v>45504</v>
      </c>
      <c r="B336" s="26">
        <v>7.8879999999999992E-3</v>
      </c>
      <c r="C336" s="26">
        <v>2.6189999999999998E-3</v>
      </c>
      <c r="D336" s="26">
        <v>2.1507999999999999E-2</v>
      </c>
      <c r="E336" s="26">
        <v>3.2647000000000002E-2</v>
      </c>
      <c r="F336" s="26">
        <v>-6.6169999999999996E-3</v>
      </c>
      <c r="G336" s="26">
        <v>1.4331999999999999E-2</v>
      </c>
      <c r="H336" s="27">
        <f t="shared" si="35"/>
        <v>7.5546666666666661E-3</v>
      </c>
      <c r="I336" s="20">
        <f t="shared" si="36"/>
        <v>3.4231096961656782</v>
      </c>
      <c r="J336" s="20">
        <f>MAX(I$42:I336)</f>
        <v>3.4231096961656782</v>
      </c>
      <c r="K336" s="7">
        <f t="shared" si="32"/>
        <v>0</v>
      </c>
      <c r="L336" s="7" t="str">
        <f t="shared" si="33"/>
        <v/>
      </c>
      <c r="M336" s="7" t="str">
        <f t="shared" si="34"/>
        <v/>
      </c>
      <c r="N336" s="21">
        <f t="shared" si="37"/>
        <v>45504</v>
      </c>
      <c r="O336" s="21">
        <f t="shared" si="38"/>
        <v>45504</v>
      </c>
      <c r="P336" s="21">
        <f t="shared" si="39"/>
        <v>45504</v>
      </c>
    </row>
    <row r="337" spans="1:16">
      <c r="A337" s="24">
        <v>45535</v>
      </c>
      <c r="B337" s="26">
        <v>3.4329999999999999E-3</v>
      </c>
      <c r="C337" s="26">
        <v>7.67E-4</v>
      </c>
      <c r="D337" s="26">
        <v>1.0208999999999999E-2</v>
      </c>
      <c r="E337" s="26">
        <v>7.4089999999999998E-3</v>
      </c>
      <c r="F337" s="26">
        <v>-6.6210000000000001E-3</v>
      </c>
      <c r="G337" s="26">
        <v>6.3470000000000002E-3</v>
      </c>
      <c r="H337" s="27">
        <f t="shared" si="35"/>
        <v>3.0996666666666664E-3</v>
      </c>
      <c r="I337" s="20">
        <f t="shared" si="36"/>
        <v>3.4337201951872265</v>
      </c>
      <c r="J337" s="20">
        <f>MAX(I$42:I337)</f>
        <v>3.4337201951872265</v>
      </c>
      <c r="K337" s="7">
        <f t="shared" si="32"/>
        <v>0</v>
      </c>
      <c r="L337" s="7" t="str">
        <f t="shared" si="33"/>
        <v/>
      </c>
      <c r="M337" s="7" t="str">
        <f t="shared" si="34"/>
        <v/>
      </c>
      <c r="N337" s="21">
        <f t="shared" si="37"/>
        <v>45535</v>
      </c>
      <c r="O337" s="21">
        <f t="shared" si="38"/>
        <v>45535</v>
      </c>
      <c r="P337" s="21">
        <f t="shared" si="39"/>
        <v>45535</v>
      </c>
    </row>
    <row r="338" spans="1:16">
      <c r="A338" s="24">
        <v>45565</v>
      </c>
      <c r="B338" s="26">
        <v>9.9659999999999992E-3</v>
      </c>
      <c r="C338" s="26">
        <v>1.2805E-2</v>
      </c>
      <c r="D338" s="26">
        <v>2.784E-3</v>
      </c>
      <c r="E338" s="26">
        <v>1.5396999999999999E-2</v>
      </c>
      <c r="F338" s="26">
        <v>5.8029999999999998E-2</v>
      </c>
      <c r="G338" s="26">
        <v>9.8530000000000006E-3</v>
      </c>
      <c r="H338" s="27">
        <f t="shared" si="35"/>
        <v>9.6326666666666661E-3</v>
      </c>
      <c r="I338" s="20">
        <f t="shared" si="36"/>
        <v>3.4667960772540667</v>
      </c>
      <c r="J338" s="20">
        <f>MAX(I$42:I338)</f>
        <v>3.4667960772540667</v>
      </c>
      <c r="K338" s="7">
        <f t="shared" si="32"/>
        <v>0</v>
      </c>
      <c r="L338" s="7" t="str">
        <f t="shared" si="33"/>
        <v/>
      </c>
      <c r="M338" s="7" t="str">
        <f t="shared" si="34"/>
        <v/>
      </c>
      <c r="N338" s="21">
        <f t="shared" si="37"/>
        <v>45565</v>
      </c>
      <c r="O338" s="21">
        <f t="shared" si="38"/>
        <v>45565</v>
      </c>
      <c r="P338" s="21">
        <f t="shared" si="39"/>
        <v>45565</v>
      </c>
    </row>
    <row r="339" spans="1:16">
      <c r="A339" s="24">
        <v>45596</v>
      </c>
      <c r="B339" s="26">
        <v>7.6099999999999996E-3</v>
      </c>
      <c r="C339" s="26">
        <v>2.0160999999999998E-2</v>
      </c>
      <c r="D339" s="26">
        <v>-2.4414999999999999E-2</v>
      </c>
      <c r="E339" s="26">
        <v>-9.7560000000000008E-3</v>
      </c>
      <c r="F339" s="26">
        <v>-1.7718000000000001E-2</v>
      </c>
      <c r="G339" s="26">
        <v>-1.9921999999999999E-2</v>
      </c>
      <c r="H339" s="27">
        <f t="shared" si="35"/>
        <v>7.2766666666666665E-3</v>
      </c>
      <c r="I339" s="20">
        <f t="shared" si="36"/>
        <v>3.4920227967095521</v>
      </c>
      <c r="J339" s="20">
        <f>MAX(I$42:I339)</f>
        <v>3.4920227967095521</v>
      </c>
      <c r="K339" s="7">
        <f t="shared" si="32"/>
        <v>0</v>
      </c>
      <c r="L339" s="7" t="str">
        <f t="shared" si="33"/>
        <v/>
      </c>
      <c r="M339" s="7" t="str">
        <f t="shared" si="34"/>
        <v/>
      </c>
      <c r="N339" s="21">
        <f t="shared" si="37"/>
        <v>45596</v>
      </c>
      <c r="O339" s="21">
        <f t="shared" si="38"/>
        <v>45596</v>
      </c>
      <c r="P339" s="21">
        <f t="shared" si="39"/>
        <v>45596</v>
      </c>
    </row>
    <row r="340" spans="1:16">
      <c r="A340" s="24">
        <v>45626</v>
      </c>
      <c r="B340" s="26">
        <v>7.5048000000000004E-2</v>
      </c>
      <c r="C340" s="26">
        <v>9.1794000000000001E-2</v>
      </c>
      <c r="D340" s="26">
        <v>3.0342000000000001E-2</v>
      </c>
      <c r="E340" s="26">
        <v>6.3818E-2</v>
      </c>
      <c r="F340" s="26">
        <v>-9.0480000000000005E-3</v>
      </c>
      <c r="G340" s="26">
        <v>2.9472000000000002E-2</v>
      </c>
      <c r="H340" s="27">
        <f t="shared" si="35"/>
        <v>7.4714666666666665E-2</v>
      </c>
      <c r="I340" s="20">
        <f t="shared" si="36"/>
        <v>3.7529281159581074</v>
      </c>
      <c r="J340" s="20">
        <f>MAX(I$42:I340)</f>
        <v>3.7529281159581074</v>
      </c>
      <c r="K340" s="7">
        <f t="shared" si="32"/>
        <v>0</v>
      </c>
      <c r="L340" s="7" t="str">
        <f t="shared" si="33"/>
        <v/>
      </c>
      <c r="M340" s="7" t="str">
        <f t="shared" si="34"/>
        <v/>
      </c>
      <c r="N340" s="21">
        <f t="shared" si="37"/>
        <v>45626</v>
      </c>
      <c r="O340" s="21">
        <f t="shared" si="38"/>
        <v>45626</v>
      </c>
      <c r="P340" s="21">
        <f t="shared" si="39"/>
        <v>45626</v>
      </c>
    </row>
    <row r="341" spans="1:16">
      <c r="A341" s="24">
        <v>45657</v>
      </c>
      <c r="B341" s="26">
        <v>-6.5919999999999998E-3</v>
      </c>
      <c r="C341" s="26">
        <v>-6.3070000000000001E-3</v>
      </c>
      <c r="D341" s="26">
        <v>-7.3940000000000004E-3</v>
      </c>
      <c r="E341" s="26">
        <v>-2.4563999999999999E-2</v>
      </c>
      <c r="F341" s="26">
        <v>1.8589999999999999E-2</v>
      </c>
      <c r="G341" s="26">
        <v>-2.2620999999999999E-2</v>
      </c>
      <c r="H341" s="27">
        <f t="shared" si="35"/>
        <v>-6.9253333333333328E-3</v>
      </c>
      <c r="I341" s="20">
        <f t="shared" si="36"/>
        <v>3.726937837779059</v>
      </c>
      <c r="J341" s="20">
        <f>MAX(I$42:I341)</f>
        <v>3.7529281159581074</v>
      </c>
      <c r="K341" s="7">
        <f t="shared" si="32"/>
        <v>-6.9253333333333389E-3</v>
      </c>
      <c r="L341" s="7" t="str">
        <f t="shared" si="33"/>
        <v/>
      </c>
      <c r="M341" s="7" t="str">
        <f t="shared" si="34"/>
        <v/>
      </c>
      <c r="N341" s="21">
        <f t="shared" si="37"/>
        <v>45657</v>
      </c>
      <c r="O341" s="21">
        <f t="shared" si="38"/>
        <v>45657</v>
      </c>
      <c r="P341" s="21">
        <f t="shared" si="39"/>
        <v>45657</v>
      </c>
    </row>
    <row r="342" spans="1:16">
      <c r="A342" s="24">
        <v>45688</v>
      </c>
      <c r="B342" s="26">
        <v>3.1257E-2</v>
      </c>
      <c r="C342" s="26">
        <v>2.6180999999999999E-2</v>
      </c>
      <c r="D342" s="26">
        <v>4.5642000000000002E-2</v>
      </c>
      <c r="E342" s="26">
        <v>3.5798999999999997E-2</v>
      </c>
      <c r="F342" s="26">
        <v>1.3905000000000001E-2</v>
      </c>
      <c r="G342" s="26">
        <v>-4.9220000000000002E-3</v>
      </c>
      <c r="H342" s="27">
        <f t="shared" si="35"/>
        <v>3.0923666666666665E-2</v>
      </c>
      <c r="I342" s="20">
        <f t="shared" si="36"/>
        <v>3.8421884211619255</v>
      </c>
      <c r="J342" s="20">
        <f>MAX(I$42:I342)</f>
        <v>3.8421884211619255</v>
      </c>
      <c r="K342" s="7">
        <f t="shared" si="32"/>
        <v>0</v>
      </c>
      <c r="L342" s="7" t="str">
        <f t="shared" si="33"/>
        <v/>
      </c>
      <c r="M342" s="7" t="str">
        <f t="shared" si="34"/>
        <v/>
      </c>
      <c r="N342" s="21">
        <f t="shared" si="37"/>
        <v>45688</v>
      </c>
      <c r="O342" s="21">
        <f t="shared" si="38"/>
        <v>45688</v>
      </c>
      <c r="P342" s="21">
        <f t="shared" si="39"/>
        <v>45688</v>
      </c>
    </row>
    <row r="343" spans="1:16">
      <c r="A343" s="24">
        <v>45716</v>
      </c>
      <c r="B343" s="26">
        <v>-7.6280000000000002E-3</v>
      </c>
      <c r="C343" s="26">
        <v>-1.6518999999999999E-2</v>
      </c>
      <c r="D343" s="26">
        <v>1.7122999999999999E-2</v>
      </c>
      <c r="E343" s="26">
        <v>3.565E-3</v>
      </c>
      <c r="F343" s="26">
        <v>4.4089999999999997E-3</v>
      </c>
      <c r="G343" s="26">
        <v>9.9430000000000004E-3</v>
      </c>
      <c r="H343" s="27">
        <f t="shared" si="35"/>
        <v>-7.9613333333333342E-3</v>
      </c>
      <c r="I343" s="20">
        <f t="shared" si="36"/>
        <v>3.8115994784115816</v>
      </c>
      <c r="J343" s="20">
        <f>MAX(I$42:I343)</f>
        <v>3.8421884211619255</v>
      </c>
      <c r="K343" s="7">
        <f t="shared" si="32"/>
        <v>-7.9613333333333758E-3</v>
      </c>
      <c r="L343" s="7" t="str">
        <f t="shared" si="33"/>
        <v/>
      </c>
      <c r="M343" s="7" t="str">
        <f t="shared" si="34"/>
        <v/>
      </c>
      <c r="N343" s="21">
        <f t="shared" si="37"/>
        <v>45716</v>
      </c>
      <c r="O343" s="21">
        <f t="shared" si="38"/>
        <v>45716</v>
      </c>
      <c r="P343" s="21">
        <f t="shared" si="39"/>
        <v>45716</v>
      </c>
    </row>
    <row r="344" spans="1:16">
      <c r="A344" s="24">
        <v>45747</v>
      </c>
      <c r="B344" s="26">
        <v>-8.0078999999999997E-2</v>
      </c>
      <c r="C344" s="26">
        <v>-9.3885999999999997E-2</v>
      </c>
      <c r="D344" s="26">
        <v>-4.2758999999999998E-2</v>
      </c>
      <c r="E344" s="26">
        <v>-5.3272E-2</v>
      </c>
      <c r="F344" s="26">
        <v>-3.1119999999999998E-2</v>
      </c>
      <c r="G344" s="26">
        <v>-2.6289E-2</v>
      </c>
      <c r="H344" s="27">
        <f t="shared" si="35"/>
        <v>-8.0412333333333336E-2</v>
      </c>
      <c r="I344" s="20">
        <f t="shared" si="36"/>
        <v>3.50509987062039</v>
      </c>
      <c r="J344" s="20">
        <f>MAX(I$42:I344)</f>
        <v>3.8421884211619255</v>
      </c>
      <c r="K344" s="7">
        <f t="shared" si="32"/>
        <v>-8.773347727688896E-2</v>
      </c>
      <c r="L344" s="7" t="str">
        <f t="shared" si="33"/>
        <v/>
      </c>
      <c r="M344" s="7" t="str">
        <f t="shared" si="34"/>
        <v/>
      </c>
      <c r="N344" s="21">
        <f t="shared" si="37"/>
        <v>45747</v>
      </c>
      <c r="O344" s="21">
        <f t="shared" si="38"/>
        <v>45747</v>
      </c>
      <c r="P344" s="21">
        <f t="shared" si="39"/>
        <v>45747</v>
      </c>
    </row>
    <row r="345" spans="1:16">
      <c r="A345" s="24">
        <v>45777</v>
      </c>
      <c r="B345" s="26">
        <v>-4.1301999999999998E-2</v>
      </c>
      <c r="C345" s="26">
        <v>-5.4848000000000001E-2</v>
      </c>
      <c r="D345" s="26">
        <v>-6.463E-3</v>
      </c>
      <c r="E345" s="26">
        <v>-2.6436000000000001E-2</v>
      </c>
      <c r="F345" s="26">
        <v>-3.7260000000000001E-2</v>
      </c>
      <c r="G345" s="26">
        <v>2.2252999999999998E-2</v>
      </c>
      <c r="H345" s="27">
        <f t="shared" si="35"/>
        <v>-4.163533333333333E-2</v>
      </c>
      <c r="I345" s="20">
        <f t="shared" si="36"/>
        <v>3.3591638691404864</v>
      </c>
      <c r="J345" s="20">
        <f>MAX(I$42:I345)</f>
        <v>3.8421884211619255</v>
      </c>
      <c r="K345" s="7">
        <f t="shared" si="32"/>
        <v>-0.12571599803930655</v>
      </c>
      <c r="L345" s="7" t="str">
        <f t="shared" si="33"/>
        <v/>
      </c>
      <c r="M345" s="7" t="str">
        <f t="shared" si="34"/>
        <v/>
      </c>
      <c r="N345" s="21">
        <f t="shared" si="37"/>
        <v>45777</v>
      </c>
      <c r="O345" s="21">
        <f t="shared" si="38"/>
        <v>45777</v>
      </c>
      <c r="P345" s="21">
        <f t="shared" si="39"/>
        <v>45777</v>
      </c>
    </row>
    <row r="346" spans="1:16">
      <c r="A346" s="24">
        <v>45808</v>
      </c>
      <c r="B346" s="26">
        <v>6.0593000000000001E-2</v>
      </c>
      <c r="C346" s="26">
        <v>6.5535999999999997E-2</v>
      </c>
      <c r="D346" s="26">
        <v>4.8467999999999997E-2</v>
      </c>
      <c r="E346" s="26">
        <v>4.5836000000000002E-2</v>
      </c>
      <c r="F346" s="26">
        <v>4.4039000000000002E-2</v>
      </c>
      <c r="G346" s="26">
        <v>-3.9529999999999999E-3</v>
      </c>
      <c r="H346" s="27">
        <f t="shared" si="35"/>
        <v>6.025966666666667E-2</v>
      </c>
      <c r="I346" s="20">
        <f t="shared" si="36"/>
        <v>3.5615859641736023</v>
      </c>
      <c r="J346" s="20">
        <f>MAX(I$42:I346)</f>
        <v>3.8421884211619255</v>
      </c>
      <c r="K346" s="7">
        <f t="shared" si="32"/>
        <v>-7.3031935509155876E-2</v>
      </c>
      <c r="L346" s="7" t="str">
        <f t="shared" si="33"/>
        <v/>
      </c>
      <c r="M346" s="7" t="str">
        <f t="shared" si="34"/>
        <v/>
      </c>
      <c r="N346" s="21">
        <f t="shared" si="37"/>
        <v>45808</v>
      </c>
      <c r="O346" s="21">
        <f t="shared" si="38"/>
        <v>45808</v>
      </c>
      <c r="P346" s="21">
        <f t="shared" si="39"/>
        <v>45808</v>
      </c>
    </row>
    <row r="347" spans="1:16">
      <c r="A347" s="24">
        <v>45838</v>
      </c>
      <c r="B347" s="26">
        <v>8.8500000000000002E-3</v>
      </c>
      <c r="C347" s="26">
        <v>1.6518999999999999E-2</v>
      </c>
      <c r="D347" s="26">
        <v>-1.0206E-2</v>
      </c>
      <c r="E347" s="26">
        <v>-2.4260000000000002E-3</v>
      </c>
      <c r="F347" s="26">
        <v>2.5267999999999999E-2</v>
      </c>
      <c r="G347" s="26">
        <v>-3.0140000000000002E-3</v>
      </c>
      <c r="H347" s="27">
        <f t="shared" si="35"/>
        <v>8.5166666666666672E-3</v>
      </c>
      <c r="I347" s="20">
        <f t="shared" si="36"/>
        <v>3.5919188046351476</v>
      </c>
      <c r="J347" s="20">
        <f>MAX(I$42:I347)</f>
        <v>3.8421884211619255</v>
      </c>
      <c r="K347" s="7">
        <f t="shared" si="32"/>
        <v>-6.5137257493242173E-2</v>
      </c>
      <c r="L347" s="7" t="str">
        <f t="shared" si="33"/>
        <v/>
      </c>
      <c r="M347" s="7" t="str">
        <f t="shared" si="34"/>
        <v/>
      </c>
      <c r="N347" s="21">
        <f t="shared" si="37"/>
        <v>45838</v>
      </c>
      <c r="O347" s="21">
        <f t="shared" si="38"/>
        <v>45838</v>
      </c>
      <c r="P347" s="21">
        <f t="shared" si="39"/>
        <v>45838</v>
      </c>
    </row>
    <row r="348" spans="1:16">
      <c r="A348" s="24">
        <v>45869</v>
      </c>
      <c r="B348" s="26">
        <v>3.8802000000000003E-2</v>
      </c>
      <c r="C348" s="26">
        <v>4.8836999999999998E-2</v>
      </c>
      <c r="D348" s="26">
        <v>1.3202999999999999E-2</v>
      </c>
      <c r="E348" s="26">
        <v>2.5409999999999999E-2</v>
      </c>
      <c r="F348" s="26">
        <v>4.5587999999999997E-2</v>
      </c>
      <c r="G348" s="26">
        <v>-6.3689999999999997E-3</v>
      </c>
      <c r="H348" s="27">
        <f t="shared" si="35"/>
        <v>3.8468666666666672E-2</v>
      </c>
      <c r="I348" s="20">
        <f t="shared" si="36"/>
        <v>3.7300951318243891</v>
      </c>
      <c r="J348" s="20">
        <f>MAX(I$42:I348)</f>
        <v>3.8421884211619255</v>
      </c>
      <c r="K348" s="7">
        <f t="shared" si="32"/>
        <v>-2.9174334272663804E-2</v>
      </c>
      <c r="L348" s="7" t="str">
        <f t="shared" si="33"/>
        <v/>
      </c>
      <c r="M348" s="7" t="str">
        <f t="shared" si="34"/>
        <v/>
      </c>
      <c r="N348" s="21">
        <f t="shared" si="37"/>
        <v>45869</v>
      </c>
      <c r="O348" s="21">
        <f t="shared" si="38"/>
        <v>45869</v>
      </c>
      <c r="P348" s="21">
        <f t="shared" si="39"/>
        <v>45869</v>
      </c>
    </row>
    <row r="349" spans="1:16">
      <c r="A349" s="24">
        <v>45900</v>
      </c>
      <c r="B349" s="26">
        <v>3.3370000000000001E-3</v>
      </c>
      <c r="C349" s="26">
        <v>-3.3119999999999998E-3</v>
      </c>
      <c r="D349" s="26">
        <v>2.0893999999999999E-2</v>
      </c>
      <c r="E349" s="26">
        <v>1.0914999999999999E-2</v>
      </c>
      <c r="F349" s="26">
        <v>-9.6279999999999994E-3</v>
      </c>
      <c r="G349" s="26">
        <v>1.4339999999999999E-3</v>
      </c>
      <c r="H349" s="27">
        <f t="shared" si="35"/>
        <v>3.0036666666666666E-3</v>
      </c>
      <c r="I349" s="20">
        <f t="shared" si="36"/>
        <v>3.7412990942353455</v>
      </c>
      <c r="J349" s="20">
        <f>MAX(I$42:I349)</f>
        <v>3.8421884211619255</v>
      </c>
      <c r="K349" s="7">
        <f t="shared" si="32"/>
        <v>-2.6258297581374213E-2</v>
      </c>
      <c r="L349" s="7" t="str">
        <f t="shared" si="33"/>
        <v/>
      </c>
      <c r="M349" s="7" t="str">
        <f t="shared" si="34"/>
        <v/>
      </c>
      <c r="N349" s="21">
        <f t="shared" si="37"/>
        <v>45900</v>
      </c>
      <c r="O349" s="21">
        <f t="shared" si="38"/>
        <v>45900</v>
      </c>
      <c r="P349" s="21">
        <f t="shared" si="39"/>
        <v>45900</v>
      </c>
    </row>
    <row r="350" spans="1:16">
      <c r="A350" s="24">
        <v>45930</v>
      </c>
      <c r="B350" s="26">
        <v>2.8192999999999999E-2</v>
      </c>
      <c r="C350" s="26">
        <v>3.2390000000000002E-2</v>
      </c>
      <c r="D350" s="26">
        <v>1.7343000000000001E-2</v>
      </c>
      <c r="E350" s="26">
        <v>7.0499999999999998E-3</v>
      </c>
      <c r="F350" s="26">
        <v>6.7431000000000005E-2</v>
      </c>
      <c r="G350" s="26">
        <v>5.8699999999999996E-4</v>
      </c>
      <c r="H350" s="27">
        <f t="shared" si="35"/>
        <v>2.7859666666666665E-2</v>
      </c>
      <c r="I350" s="20">
        <f t="shared" si="36"/>
        <v>3.8455304399010437</v>
      </c>
      <c r="J350" s="20">
        <f>MAX(I$42:I350)</f>
        <v>3.8455304399010437</v>
      </c>
      <c r="K350" s="7">
        <f t="shared" si="32"/>
        <v>0</v>
      </c>
      <c r="L350" s="7" t="str">
        <f t="shared" si="33"/>
        <v/>
      </c>
      <c r="M350" s="7" t="str">
        <f t="shared" si="34"/>
        <v/>
      </c>
      <c r="N350" s="21">
        <f t="shared" si="37"/>
        <v>45930</v>
      </c>
      <c r="O350" s="21">
        <f t="shared" si="38"/>
        <v>45930</v>
      </c>
      <c r="P350" s="21">
        <f t="shared" si="39"/>
        <v>45930</v>
      </c>
    </row>
    <row r="351" spans="1:16">
      <c r="A351" s="24">
        <v>45961</v>
      </c>
      <c r="B351" s="26">
        <v>3.8407999999999998E-2</v>
      </c>
      <c r="C351" s="26">
        <v>4.1987999999999998E-2</v>
      </c>
      <c r="D351" s="26">
        <v>2.8988E-2</v>
      </c>
      <c r="E351" s="26">
        <v>1.7274000000000001E-2</v>
      </c>
      <c r="F351" s="26">
        <v>6.0564E-2</v>
      </c>
      <c r="G351" s="26">
        <v>8.3330000000000001E-3</v>
      </c>
      <c r="H351" s="27">
        <f t="shared" si="35"/>
        <v>3.8074666666666666E-2</v>
      </c>
      <c r="I351" s="20">
        <f t="shared" si="36"/>
        <v>3.991947729556796</v>
      </c>
      <c r="J351" s="20">
        <f>MAX(I$42:I351)</f>
        <v>3.991947729556796</v>
      </c>
      <c r="K351" s="7">
        <f t="shared" si="32"/>
        <v>0</v>
      </c>
      <c r="L351" s="7" t="str">
        <f t="shared" si="33"/>
        <v/>
      </c>
      <c r="M351" s="7" t="str">
        <f t="shared" si="34"/>
        <v/>
      </c>
      <c r="N351" s="21">
        <f t="shared" si="37"/>
        <v>45961</v>
      </c>
      <c r="O351" s="21">
        <f t="shared" si="38"/>
        <v>45961</v>
      </c>
      <c r="P351" s="21">
        <f t="shared" si="39"/>
        <v>45961</v>
      </c>
    </row>
    <row r="352" spans="1:16">
      <c r="A352" s="24">
        <v>45991</v>
      </c>
      <c r="B352" s="26">
        <v>-2.663E-3</v>
      </c>
      <c r="C352" s="26">
        <v>-5.509E-3</v>
      </c>
      <c r="D352" s="26">
        <v>4.9160000000000002E-3</v>
      </c>
      <c r="E352" s="26">
        <v>4.9360000000000003E-3</v>
      </c>
      <c r="F352" s="26">
        <v>-2.9256000000000001E-2</v>
      </c>
      <c r="G352" s="26">
        <v>-2.8830000000000001E-3</v>
      </c>
      <c r="H352" s="27">
        <f t="shared" si="35"/>
        <v>-2.9963333333333335E-3</v>
      </c>
      <c r="I352" s="20">
        <f t="shared" si="36"/>
        <v>3.9799865235098006</v>
      </c>
      <c r="J352" s="20">
        <f>MAX(I$42:I352)</f>
        <v>3.991947729556796</v>
      </c>
      <c r="K352" s="7">
        <f t="shared" si="32"/>
        <v>-2.9963333333333786E-3</v>
      </c>
      <c r="L352" s="7" t="str">
        <f t="shared" si="33"/>
        <v/>
      </c>
      <c r="M352" s="7" t="str">
        <f t="shared" si="34"/>
        <v/>
      </c>
      <c r="N352" s="21">
        <f t="shared" si="37"/>
        <v>45991</v>
      </c>
      <c r="O352" s="21">
        <f t="shared" si="38"/>
        <v>45991</v>
      </c>
      <c r="P352" s="21">
        <f t="shared" si="39"/>
        <v>45991</v>
      </c>
    </row>
    <row r="353" spans="1:16">
      <c r="A353" s="24">
        <v>46022</v>
      </c>
      <c r="B353" s="26">
        <v>-3.8470000000000002E-3</v>
      </c>
      <c r="C353" s="26">
        <v>-1.2061000000000001E-2</v>
      </c>
      <c r="D353" s="26">
        <v>1.7802999999999999E-2</v>
      </c>
      <c r="E353" s="26">
        <v>3.457E-3</v>
      </c>
      <c r="F353" s="26">
        <v>1.7724E-2</v>
      </c>
      <c r="G353" s="26">
        <v>-1.2133E-2</v>
      </c>
      <c r="H353" s="27">
        <f t="shared" si="35"/>
        <v>-4.1803333333333336E-3</v>
      </c>
      <c r="I353" s="20">
        <f t="shared" si="36"/>
        <v>3.963348853179355</v>
      </c>
      <c r="J353" s="20">
        <f>MAX(I$42:I353)</f>
        <v>3.991947729556796</v>
      </c>
      <c r="K353" s="7">
        <f t="shared" si="32"/>
        <v>-7.1641409945556456E-3</v>
      </c>
      <c r="L353" s="7" t="str">
        <f t="shared" si="33"/>
        <v/>
      </c>
      <c r="M353" s="7" t="str">
        <f t="shared" si="34"/>
        <v/>
      </c>
      <c r="N353" s="21">
        <f t="shared" si="37"/>
        <v>46022</v>
      </c>
      <c r="O353" s="21">
        <f t="shared" si="38"/>
        <v>46022</v>
      </c>
      <c r="P353" s="21">
        <f t="shared" si="39"/>
        <v>46022</v>
      </c>
    </row>
    <row r="354" spans="1:16">
      <c r="A354" s="24">
        <v>46053</v>
      </c>
      <c r="B354" s="26">
        <v>9.3170000000000006E-3</v>
      </c>
      <c r="C354" s="26">
        <v>-2.5500000000000002E-4</v>
      </c>
      <c r="D354" s="26">
        <v>3.3820999999999997E-2</v>
      </c>
      <c r="E354" s="26">
        <v>2.1950999999999998E-2</v>
      </c>
      <c r="F354" s="26">
        <v>7.4621000000000007E-2</v>
      </c>
      <c r="G354" s="26">
        <v>4.1510000000000002E-3</v>
      </c>
      <c r="H354" s="27">
        <f t="shared" si="35"/>
        <v>8.9836666666666676E-3</v>
      </c>
      <c r="I354" s="20">
        <f t="shared" si="36"/>
        <v>3.9989542581600341</v>
      </c>
      <c r="J354" s="20">
        <f>MAX(I$42:I354)</f>
        <v>3.9989542581600341</v>
      </c>
      <c r="K354" s="7">
        <f t="shared" si="32"/>
        <v>0</v>
      </c>
      <c r="L354" s="7" t="str">
        <f t="shared" si="33"/>
        <v/>
      </c>
      <c r="M354" s="7" t="str">
        <f t="shared" si="34"/>
        <v/>
      </c>
      <c r="N354" s="21">
        <f t="shared" si="37"/>
        <v>46053</v>
      </c>
      <c r="O354" s="21">
        <f t="shared" si="38"/>
        <v>46053</v>
      </c>
      <c r="P354" s="21">
        <f t="shared" si="39"/>
        <v>46053</v>
      </c>
    </row>
    <row r="355" spans="1:16">
      <c r="A355" s="24">
        <v>46081</v>
      </c>
      <c r="B355" s="26">
        <v>1.4961E-2</v>
      </c>
      <c r="C355" s="26">
        <v>-1.6000000000000001E-3</v>
      </c>
      <c r="D355" s="26">
        <v>5.5995999999999997E-2</v>
      </c>
      <c r="E355" s="26">
        <v>4.9112000000000003E-2</v>
      </c>
      <c r="F355" s="26">
        <v>6.2950000000000006E-2</v>
      </c>
      <c r="G355" s="26">
        <v>1.6150000000000001E-2</v>
      </c>
      <c r="H355" s="27">
        <f t="shared" si="35"/>
        <v>1.4627666666666667E-2</v>
      </c>
      <c r="I355" s="20">
        <f t="shared" si="36"/>
        <v>4.0574496280636465</v>
      </c>
      <c r="J355" s="20">
        <f>MAX(I$42:I355)</f>
        <v>4.0574496280636465</v>
      </c>
      <c r="K355" s="7">
        <f t="shared" si="32"/>
        <v>0</v>
      </c>
      <c r="L355" s="7" t="str">
        <f t="shared" si="33"/>
        <v/>
      </c>
      <c r="M355" s="7" t="str">
        <f t="shared" si="34"/>
        <v/>
      </c>
      <c r="N355" s="21">
        <f t="shared" si="37"/>
        <v>46081</v>
      </c>
      <c r="O355" s="21">
        <f t="shared" si="38"/>
        <v>46081</v>
      </c>
      <c r="P355" s="21">
        <f t="shared" si="39"/>
        <v>46081</v>
      </c>
    </row>
    <row r="356" spans="1:16">
      <c r="A356" s="24">
        <v>46112</v>
      </c>
      <c r="B356" s="26">
        <v>-4.0536000000000003E-2</v>
      </c>
      <c r="C356" s="26">
        <v>-2.5829000000000001E-2</v>
      </c>
      <c r="D356" s="26">
        <v>-7.5055999999999998E-2</v>
      </c>
      <c r="E356" s="26">
        <v>-5.4357000000000003E-2</v>
      </c>
      <c r="F356" s="26">
        <v>-0.109116</v>
      </c>
      <c r="G356" s="26">
        <v>-2.6349000000000001E-2</v>
      </c>
      <c r="H356" s="27">
        <f t="shared" si="35"/>
        <v>-4.0869333333333334E-2</v>
      </c>
      <c r="I356" s="20">
        <f t="shared" si="36"/>
        <v>3.8916243667311039</v>
      </c>
      <c r="J356" s="20">
        <f>MAX(I$42:I356)</f>
        <v>4.0574496280636465</v>
      </c>
      <c r="K356" s="7">
        <f t="shared" si="32"/>
        <v>-4.0869333333333313E-2</v>
      </c>
      <c r="L356" s="7" t="str">
        <f t="shared" si="33"/>
        <v/>
      </c>
      <c r="M356" s="7" t="str">
        <f t="shared" si="34"/>
        <v/>
      </c>
      <c r="N356" s="21">
        <f t="shared" si="37"/>
        <v>46112</v>
      </c>
      <c r="O356" s="21">
        <f t="shared" si="38"/>
        <v>46112</v>
      </c>
      <c r="P356" s="21">
        <f t="shared" si="39"/>
        <v>46112</v>
      </c>
    </row>
    <row r="357" spans="1:16">
      <c r="A357" s="24">
        <v>46142</v>
      </c>
      <c r="B357" s="26">
        <v>7.6438999999999993E-2</v>
      </c>
      <c r="C357" s="26">
        <v>8.5129999999999997E-2</v>
      </c>
      <c r="D357" s="26">
        <v>5.4830999999999998E-2</v>
      </c>
      <c r="E357" s="26">
        <v>4.6004000000000003E-2</v>
      </c>
      <c r="F357" s="26">
        <v>0.126719</v>
      </c>
      <c r="G357" s="26">
        <v>-4.1310000000000001E-3</v>
      </c>
      <c r="H357" s="27">
        <f t="shared" si="35"/>
        <v>7.6105666666666655E-2</v>
      </c>
      <c r="I357" s="20">
        <f t="shared" si="36"/>
        <v>4.1877990335774191</v>
      </c>
      <c r="J357" s="20">
        <f>MAX(I$42:I357)</f>
        <v>4.1877990335774191</v>
      </c>
      <c r="K357" s="7">
        <f t="shared" si="32"/>
        <v>0</v>
      </c>
      <c r="L357" s="7" t="str">
        <f t="shared" si="33"/>
        <v/>
      </c>
      <c r="M357" s="7" t="str">
        <f t="shared" si="34"/>
        <v/>
      </c>
      <c r="N357" s="21">
        <f t="shared" si="37"/>
        <v>46142</v>
      </c>
      <c r="O357" s="21">
        <f t="shared" si="38"/>
        <v>46142</v>
      </c>
      <c r="P357" s="21">
        <f t="shared" si="39"/>
        <v>46142</v>
      </c>
    </row>
    <row r="358" spans="1:16">
      <c r="A358" s="24">
        <v>46173</v>
      </c>
      <c r="B358" s="26">
        <v>5.0985999999999997E-2</v>
      </c>
      <c r="C358" s="26">
        <v>5.7821999999999998E-2</v>
      </c>
      <c r="D358" s="26">
        <v>3.347E-2</v>
      </c>
      <c r="E358" s="26">
        <v>3.3980999999999997E-2</v>
      </c>
      <c r="F358" s="26">
        <v>0.10259799999999999</v>
      </c>
      <c r="G358" s="26">
        <v>1.4482999999999999E-2</v>
      </c>
      <c r="H358" s="27">
        <f t="shared" si="35"/>
        <v>5.0652666666666665E-2</v>
      </c>
      <c r="I358" s="20">
        <f t="shared" si="36"/>
        <v>4.3999222220922052</v>
      </c>
      <c r="J358" s="20">
        <f>MAX(I$42:I358)</f>
        <v>4.3999222220922052</v>
      </c>
      <c r="K358" s="7">
        <f t="shared" si="32"/>
        <v>0</v>
      </c>
      <c r="L358" s="7" t="str">
        <f t="shared" si="33"/>
        <v/>
      </c>
      <c r="M358" s="7" t="str">
        <f t="shared" si="34"/>
        <v/>
      </c>
      <c r="N358" s="21">
        <f t="shared" si="37"/>
        <v>46173</v>
      </c>
      <c r="O358" s="21">
        <f t="shared" si="38"/>
        <v>46173</v>
      </c>
      <c r="P358" s="21">
        <f t="shared" si="39"/>
        <v>46173</v>
      </c>
    </row>
    <row r="359" spans="1:16">
      <c r="A359" s="24">
        <v>46203</v>
      </c>
      <c r="B359" s="26">
        <v>1.3362000000000001E-2</v>
      </c>
      <c r="C359" s="26">
        <v>1.1252E-2</v>
      </c>
      <c r="D359" s="26">
        <v>1.8939999999999999E-2</v>
      </c>
      <c r="E359" s="26">
        <v>1.6483000000000001E-2</v>
      </c>
      <c r="F359" s="26">
        <v>6.3140000000000002E-3</v>
      </c>
      <c r="G359" s="26">
        <v>1.1882E-2</v>
      </c>
      <c r="H359" s="27">
        <f t="shared" si="35"/>
        <v>1.3028666666666668E-2</v>
      </c>
      <c r="I359" s="20">
        <f t="shared" si="36"/>
        <v>4.4572473420831038</v>
      </c>
      <c r="J359" s="20">
        <f>MAX(I$42:I359)</f>
        <v>4.4572473420831038</v>
      </c>
      <c r="K359" s="7">
        <f t="shared" si="32"/>
        <v>0</v>
      </c>
      <c r="L359" s="7" t="str">
        <f t="shared" si="33"/>
        <v/>
      </c>
      <c r="M359" s="7" t="str">
        <f t="shared" si="34"/>
        <v/>
      </c>
      <c r="N359" s="21">
        <f t="shared" si="37"/>
        <v>46203</v>
      </c>
      <c r="O359" s="21">
        <f t="shared" si="38"/>
        <v>46203</v>
      </c>
      <c r="P359" s="21">
        <f t="shared" si="39"/>
        <v>46203</v>
      </c>
    </row>
    <row r="360" spans="1:16">
      <c r="A360" s="24">
        <v>46234</v>
      </c>
      <c r="B360" s="26">
        <v>-1.201E-3</v>
      </c>
      <c r="C360" s="26">
        <v>-7.0569999999999999E-3</v>
      </c>
      <c r="D360" s="26">
        <v>1.4197E-2</v>
      </c>
      <c r="E360" s="26">
        <v>1.4063000000000001E-2</v>
      </c>
      <c r="F360" s="26">
        <v>-3.6840999999999999E-2</v>
      </c>
      <c r="G360" s="26">
        <v>-2.1021000000000001E-2</v>
      </c>
      <c r="H360" s="27">
        <f t="shared" si="35"/>
        <v>-1.5343333333333333E-3</v>
      </c>
      <c r="I360" s="20">
        <f t="shared" si="36"/>
        <v>4.4504084389112348</v>
      </c>
      <c r="J360" s="20">
        <f>MAX(I$42:I360)</f>
        <v>4.4572473420831038</v>
      </c>
      <c r="K360" s="7">
        <f t="shared" si="32"/>
        <v>-1.5343333333331932E-3</v>
      </c>
      <c r="L360" s="7" t="str">
        <f t="shared" si="33"/>
        <v/>
      </c>
      <c r="M360" s="7" t="str">
        <f t="shared" si="34"/>
        <v/>
      </c>
      <c r="N360" s="21">
        <f t="shared" si="37"/>
        <v>46234</v>
      </c>
      <c r="O360" s="21">
        <f t="shared" si="38"/>
        <v>46234</v>
      </c>
      <c r="P360" s="21">
        <f t="shared" si="39"/>
        <v>46234</v>
      </c>
    </row>
    <row r="361" spans="1:16">
      <c r="A361" s="24">
        <v>46265</v>
      </c>
      <c r="B361" s="26">
        <v>1.6011000000000001E-2</v>
      </c>
      <c r="C361" s="26">
        <v>1.7489999999999999E-2</v>
      </c>
      <c r="D361" s="26">
        <v>1.2201E-2</v>
      </c>
      <c r="E361" s="26">
        <v>1.5557E-2</v>
      </c>
      <c r="F361" s="26">
        <v>2.3837000000000001E-2</v>
      </c>
      <c r="G361" s="26">
        <v>-1.0625000000000001E-2</v>
      </c>
      <c r="H361" s="27">
        <f t="shared" si="35"/>
        <v>1.5677666666666666E-2</v>
      </c>
      <c r="I361" s="20">
        <f t="shared" si="36"/>
        <v>4.5201804589470056</v>
      </c>
      <c r="J361" s="20">
        <f>MAX(I$42:I361)</f>
        <v>4.5201804589470056</v>
      </c>
      <c r="K361" s="7">
        <f t="shared" si="32"/>
        <v>0</v>
      </c>
      <c r="L361" s="7" t="str">
        <f t="shared" si="33"/>
        <v/>
      </c>
      <c r="M361" s="7" t="str">
        <f t="shared" si="34"/>
        <v/>
      </c>
      <c r="N361" s="21">
        <f t="shared" si="37"/>
        <v>46265</v>
      </c>
      <c r="O361" s="21">
        <f t="shared" si="38"/>
        <v>46265</v>
      </c>
      <c r="P361" s="21">
        <f t="shared" si="39"/>
        <v>46265</v>
      </c>
    </row>
    <row r="362" spans="1:16">
      <c r="A362" s="24">
        <v>46295</v>
      </c>
      <c r="B362" s="26">
        <v>1.0515E-2</v>
      </c>
      <c r="C362" s="26">
        <v>1.8651000000000001E-2</v>
      </c>
      <c r="D362" s="26">
        <v>-1.0734E-2</v>
      </c>
      <c r="E362" s="26">
        <v>-2.0833000000000001E-2</v>
      </c>
      <c r="F362" s="26">
        <v>1.6919E-2</v>
      </c>
      <c r="G362" s="26">
        <v>-1.9334E-2</v>
      </c>
      <c r="H362" s="27">
        <f t="shared" si="35"/>
        <v>1.0181666666666667E-2</v>
      </c>
      <c r="I362" s="20">
        <f t="shared" si="36"/>
        <v>4.5662034296531848</v>
      </c>
      <c r="J362" s="20">
        <f>MAX(I$42:I362)</f>
        <v>4.5662034296531848</v>
      </c>
      <c r="K362" s="7">
        <f t="shared" ref="K362:K425" si="40">I362/J362-1</f>
        <v>0</v>
      </c>
      <c r="L362" s="7" t="str">
        <f t="shared" ref="L362:L425" si="41">IF(A362&lt;=DATE(2003,12,31),K362,"")</f>
        <v/>
      </c>
      <c r="M362" s="7" t="str">
        <f t="shared" si="34"/>
        <v/>
      </c>
      <c r="N362" s="21">
        <f t="shared" si="37"/>
        <v>46295</v>
      </c>
      <c r="O362" s="21">
        <f t="shared" si="38"/>
        <v>46295</v>
      </c>
      <c r="P362" s="21">
        <f t="shared" si="39"/>
        <v>46295</v>
      </c>
    </row>
  </sheetData>
  <mergeCells count="9">
    <mergeCell ref="A1:H1"/>
    <mergeCell ref="A37:H37"/>
    <mergeCell ref="A22:H22"/>
    <mergeCell ref="A34:H34"/>
    <mergeCell ref="A4:H4"/>
    <mergeCell ref="A24:H24"/>
    <mergeCell ref="A2:H2"/>
    <mergeCell ref="A36:L36"/>
    <mergeCell ref="A13:H13"/>
  </mergeCells>
  <dataValidations count="1">
    <dataValidation type="decimal" showErrorMessage="1" errorTitle="Costo non valido" error="Inserisci un costo fra 0% e 3%." sqref="B5">
      <formula1>0</formula1>
      <formula2>0.03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70" customWidth="1"/>
    <col min="2" max="2" width="19" customWidth="1"/>
    <col min="3" max="6" width="15" customWidth="1"/>
  </cols>
  <sheetData>
    <row r="1" spans="1:7" ht="24.95" customHeight="1">
      <c r="A1" s="35" t="s">
        <v>148</v>
      </c>
      <c r="B1" s="33"/>
      <c r="C1" s="33"/>
      <c r="D1" s="33"/>
      <c r="E1" s="33"/>
      <c r="F1" s="33"/>
      <c r="G1" s="33"/>
    </row>
    <row r="2" spans="1:7" ht="32.1" customHeight="1">
      <c r="A2" s="34" t="s">
        <v>1</v>
      </c>
      <c r="B2" s="33"/>
      <c r="C2" s="33"/>
      <c r="D2" s="33"/>
      <c r="E2" s="33"/>
      <c r="F2" s="33"/>
      <c r="G2" s="33"/>
    </row>
    <row r="4" spans="1:7">
      <c r="A4" s="36" t="s">
        <v>149</v>
      </c>
      <c r="B4" s="33"/>
      <c r="C4" s="33"/>
      <c r="D4" s="33"/>
      <c r="E4" s="33"/>
      <c r="F4" s="33"/>
      <c r="G4" s="33"/>
    </row>
    <row r="5" spans="1:7">
      <c r="A5" s="5" t="s">
        <v>150</v>
      </c>
      <c r="B5" s="17">
        <v>40.58</v>
      </c>
    </row>
    <row r="7" spans="1:7">
      <c r="A7" s="36" t="s">
        <v>151</v>
      </c>
      <c r="B7" s="33"/>
      <c r="C7" s="33"/>
      <c r="D7" s="33"/>
      <c r="E7" s="33"/>
      <c r="F7" s="33"/>
      <c r="G7" s="33"/>
    </row>
    <row r="8" spans="1:7" ht="33.950000000000003" customHeight="1">
      <c r="A8" s="10" t="s">
        <v>152</v>
      </c>
      <c r="B8" s="10" t="s">
        <v>153</v>
      </c>
      <c r="C8" s="10" t="s">
        <v>154</v>
      </c>
      <c r="D8" s="10" t="s">
        <v>155</v>
      </c>
      <c r="E8" s="10" t="s">
        <v>156</v>
      </c>
      <c r="F8" s="10" t="s">
        <v>157</v>
      </c>
    </row>
    <row r="9" spans="1:7">
      <c r="A9" s="11" t="s">
        <v>158</v>
      </c>
      <c r="B9" s="28">
        <v>10</v>
      </c>
      <c r="C9" s="28">
        <v>229</v>
      </c>
      <c r="D9" s="29">
        <v>1.7999999999999999E-2</v>
      </c>
      <c r="E9" s="29">
        <v>0.11</v>
      </c>
      <c r="F9" s="29">
        <v>0.2</v>
      </c>
    </row>
    <row r="10" spans="1:7">
      <c r="A10" s="11" t="s">
        <v>159</v>
      </c>
      <c r="B10" s="28">
        <v>15</v>
      </c>
      <c r="C10" s="28">
        <v>461</v>
      </c>
      <c r="D10" s="29">
        <v>-4.2000000000000003E-2</v>
      </c>
      <c r="E10" s="29">
        <v>7.8E-2</v>
      </c>
      <c r="F10" s="29">
        <v>0.17599999999999999</v>
      </c>
    </row>
    <row r="11" spans="1:7">
      <c r="A11" s="11" t="s">
        <v>160</v>
      </c>
      <c r="B11" s="28">
        <v>20</v>
      </c>
      <c r="C11" s="28">
        <v>514</v>
      </c>
      <c r="D11" s="29">
        <v>-4.5999999999999999E-2</v>
      </c>
      <c r="E11" s="29">
        <v>6.2E-2</v>
      </c>
      <c r="F11" s="29">
        <v>0.161</v>
      </c>
    </row>
    <row r="12" spans="1:7">
      <c r="A12" s="11" t="s">
        <v>161</v>
      </c>
      <c r="B12" s="28">
        <v>25</v>
      </c>
      <c r="C12" s="28">
        <v>260</v>
      </c>
      <c r="D12" s="29">
        <v>-0.04</v>
      </c>
      <c r="E12" s="29">
        <v>4.9000000000000002E-2</v>
      </c>
      <c r="F12" s="29">
        <v>0.14199999999999999</v>
      </c>
    </row>
    <row r="13" spans="1:7">
      <c r="A13" s="11" t="s">
        <v>162</v>
      </c>
      <c r="B13" s="28">
        <v>30</v>
      </c>
      <c r="C13" s="28">
        <v>109</v>
      </c>
      <c r="D13" s="29">
        <v>-1.2E-2</v>
      </c>
      <c r="E13" s="29">
        <v>5.5999999999999987E-2</v>
      </c>
      <c r="F13" s="29">
        <v>0.11799999999999999</v>
      </c>
    </row>
    <row r="14" spans="1:7">
      <c r="A14" s="11" t="s">
        <v>163</v>
      </c>
      <c r="B14" s="11" t="s">
        <v>164</v>
      </c>
      <c r="C14" s="37" t="s">
        <v>165</v>
      </c>
      <c r="D14" s="38"/>
      <c r="E14" s="38"/>
      <c r="F14" s="39"/>
    </row>
    <row r="16" spans="1:7">
      <c r="A16" s="36" t="s">
        <v>166</v>
      </c>
      <c r="B16" s="33"/>
      <c r="C16" s="33"/>
      <c r="D16" s="33"/>
      <c r="E16" s="33"/>
      <c r="F16" s="33"/>
      <c r="G16" s="33"/>
    </row>
    <row r="17" spans="1:7">
      <c r="A17" s="5" t="s">
        <v>167</v>
      </c>
      <c r="B17" s="22">
        <f>IF(B5&gt;30,6,COUNTIF($B$9:$B$13,"&lt;"&amp;B5)+1)</f>
        <v>6</v>
      </c>
    </row>
    <row r="18" spans="1:7">
      <c r="A18" s="5" t="s">
        <v>152</v>
      </c>
      <c r="B18" s="8" t="str">
        <f>IF(B17=6,"oltre 30",INDEX($A$9:$A$13,B17))</f>
        <v>oltre 30</v>
      </c>
    </row>
    <row r="19" spans="1:7">
      <c r="A19" s="5" t="s">
        <v>168</v>
      </c>
      <c r="B19" s="22" t="str">
        <f>IF(B17=6,"n/d",INDEX($C$9:$C$13,B17))</f>
        <v>n/d</v>
      </c>
    </row>
    <row r="20" spans="1:7">
      <c r="A20" s="5" t="s">
        <v>155</v>
      </c>
      <c r="B20" s="30" t="str">
        <f>IF(B17=6,"n/d",INDEX($D$9:$D$13,B17))</f>
        <v>n/d</v>
      </c>
    </row>
    <row r="21" spans="1:7">
      <c r="A21" s="5" t="s">
        <v>156</v>
      </c>
      <c r="B21" s="30" t="str">
        <f>IF(B17=6,"nessuna mediana: campione insufficiente (2 episodi con risultato noto: 1929 e 1997-2002)",INDEX($E$9:$E$13,B17))</f>
        <v>nessuna mediana: campione insufficiente (2 episodi con risultato noto: 1929 e 1997-2002)</v>
      </c>
    </row>
    <row r="22" spans="1:7">
      <c r="A22" s="5" t="s">
        <v>157</v>
      </c>
      <c r="B22" s="30" t="str">
        <f>IF(B17=6,"n/d",INDEX($F$9:$F$13,B17))</f>
        <v>n/d</v>
      </c>
    </row>
    <row r="24" spans="1:7">
      <c r="A24" s="36" t="s">
        <v>169</v>
      </c>
      <c r="B24" s="33"/>
      <c r="C24" s="33"/>
      <c r="D24" s="33"/>
      <c r="E24" s="33"/>
      <c r="F24" s="33"/>
      <c r="G24" s="33"/>
    </row>
    <row r="25" spans="1:7">
      <c r="A25" s="5" t="s">
        <v>170</v>
      </c>
      <c r="B25" s="28">
        <v>2</v>
      </c>
    </row>
    <row r="26" spans="1:7">
      <c r="A26" s="5" t="s">
        <v>171</v>
      </c>
      <c r="B26" s="31">
        <v>0.25600000000000001</v>
      </c>
    </row>
    <row r="27" spans="1:7">
      <c r="A27" s="5" t="s">
        <v>172</v>
      </c>
      <c r="B27" s="18">
        <v>0.04</v>
      </c>
    </row>
    <row r="28" spans="1:7">
      <c r="A28" s="5" t="s">
        <v>173</v>
      </c>
      <c r="B28" s="18">
        <v>0.16</v>
      </c>
    </row>
    <row r="29" spans="1:7">
      <c r="A29" s="5" t="s">
        <v>174</v>
      </c>
      <c r="B29" s="18">
        <v>0.61</v>
      </c>
    </row>
    <row r="30" spans="1:7">
      <c r="A30" s="5" t="s">
        <v>175</v>
      </c>
      <c r="B30" s="18">
        <v>40.58</v>
      </c>
    </row>
    <row r="31" spans="1:7">
      <c r="A31" s="5" t="s">
        <v>176</v>
      </c>
      <c r="B31" s="18">
        <v>44.2</v>
      </c>
    </row>
    <row r="32" spans="1:7">
      <c r="A32" s="5" t="s">
        <v>177</v>
      </c>
      <c r="B32" s="18">
        <v>17.78</v>
      </c>
    </row>
    <row r="33" spans="1:7">
      <c r="A33" s="5" t="s">
        <v>178</v>
      </c>
      <c r="B33" s="29">
        <v>4.4900000000000002E-2</v>
      </c>
    </row>
    <row r="34" spans="1:7">
      <c r="A34" s="5" t="s">
        <v>179</v>
      </c>
      <c r="B34" s="29">
        <v>0.20899999999999999</v>
      </c>
    </row>
    <row r="35" spans="1:7">
      <c r="A35" s="5" t="s">
        <v>180</v>
      </c>
      <c r="B35" s="29">
        <v>0.111</v>
      </c>
    </row>
    <row r="36" spans="1:7" ht="75" customHeight="1">
      <c r="A36" s="32" t="s">
        <v>181</v>
      </c>
      <c r="B36" s="33"/>
      <c r="C36" s="33"/>
      <c r="D36" s="33"/>
      <c r="E36" s="33"/>
      <c r="F36" s="33"/>
      <c r="G36" s="33"/>
    </row>
  </sheetData>
  <mergeCells count="8">
    <mergeCell ref="A36:G36"/>
    <mergeCell ref="A1:G1"/>
    <mergeCell ref="A4:G4"/>
    <mergeCell ref="A24:G24"/>
    <mergeCell ref="A2:G2"/>
    <mergeCell ref="A16:G16"/>
    <mergeCell ref="A7:G7"/>
    <mergeCell ref="C14:F14"/>
  </mergeCells>
  <dataValidations count="1">
    <dataValidation type="decimal" showErrorMessage="1" errorTitle="CAPE non valido" error="Inserisci un valore fra 5 e 60." sqref="B5">
      <formula1>5</formula1>
      <formula2>60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60" customWidth="1"/>
    <col min="2" max="2" width="80" customWidth="1"/>
    <col min="3" max="3" width="16" customWidth="1"/>
  </cols>
  <sheetData>
    <row r="1" spans="1:3" ht="24.95" customHeight="1">
      <c r="A1" s="35" t="s">
        <v>182</v>
      </c>
      <c r="B1" s="33"/>
      <c r="C1" s="33"/>
    </row>
    <row r="2" spans="1:3" ht="32.1" customHeight="1">
      <c r="A2" s="34" t="s">
        <v>1</v>
      </c>
      <c r="B2" s="33"/>
      <c r="C2" s="33"/>
    </row>
    <row r="4" spans="1:3">
      <c r="A4" s="36" t="s">
        <v>183</v>
      </c>
      <c r="B4" s="33"/>
      <c r="C4" s="33"/>
    </row>
    <row r="5" spans="1:3" ht="33.950000000000003" customHeight="1">
      <c r="A5" s="10" t="s">
        <v>184</v>
      </c>
      <c r="B5" s="10" t="s">
        <v>45</v>
      </c>
      <c r="C5" s="10" t="s">
        <v>185</v>
      </c>
    </row>
    <row r="6" spans="1:3">
      <c r="A6" s="11" t="s">
        <v>186</v>
      </c>
      <c r="B6" s="11" t="s">
        <v>187</v>
      </c>
      <c r="C6" s="11" t="s">
        <v>188</v>
      </c>
    </row>
    <row r="7" spans="1:3">
      <c r="A7" s="11" t="s">
        <v>189</v>
      </c>
      <c r="B7" s="11" t="s">
        <v>190</v>
      </c>
      <c r="C7" s="11" t="s">
        <v>191</v>
      </c>
    </row>
    <row r="8" spans="1:3" ht="30">
      <c r="A8" s="11" t="s">
        <v>192</v>
      </c>
      <c r="B8" s="11" t="s">
        <v>193</v>
      </c>
      <c r="C8" s="11" t="s">
        <v>191</v>
      </c>
    </row>
    <row r="9" spans="1:3">
      <c r="A9" s="11" t="s">
        <v>194</v>
      </c>
      <c r="B9" s="11" t="s">
        <v>195</v>
      </c>
      <c r="C9" s="11" t="s">
        <v>191</v>
      </c>
    </row>
    <row r="10" spans="1:3">
      <c r="A10" s="11" t="s">
        <v>196</v>
      </c>
      <c r="B10" s="11" t="s">
        <v>197</v>
      </c>
      <c r="C10" s="11" t="s">
        <v>198</v>
      </c>
    </row>
    <row r="11" spans="1:3" ht="30">
      <c r="A11" s="11" t="s">
        <v>199</v>
      </c>
      <c r="B11" s="11" t="s">
        <v>200</v>
      </c>
      <c r="C11" s="11" t="s">
        <v>164</v>
      </c>
    </row>
    <row r="12" spans="1:3">
      <c r="A12" s="11" t="s">
        <v>201</v>
      </c>
      <c r="B12" s="11" t="s">
        <v>202</v>
      </c>
      <c r="C12" s="11" t="s">
        <v>198</v>
      </c>
    </row>
    <row r="14" spans="1:3">
      <c r="A14" s="36" t="s">
        <v>203</v>
      </c>
      <c r="B14" s="33"/>
      <c r="C14" s="33"/>
    </row>
    <row r="15" spans="1:3" ht="32.1" customHeight="1">
      <c r="A15" s="37" t="s">
        <v>204</v>
      </c>
      <c r="B15" s="38"/>
      <c r="C15" s="39"/>
    </row>
    <row r="16" spans="1:3" ht="32.1" customHeight="1">
      <c r="A16" s="37" t="s">
        <v>205</v>
      </c>
      <c r="B16" s="38"/>
      <c r="C16" s="39"/>
    </row>
    <row r="17" spans="1:3" ht="32.1" customHeight="1">
      <c r="A17" s="37" t="s">
        <v>206</v>
      </c>
      <c r="B17" s="38"/>
      <c r="C17" s="39"/>
    </row>
    <row r="18" spans="1:3" ht="32.1" customHeight="1">
      <c r="A18" s="37" t="s">
        <v>207</v>
      </c>
      <c r="B18" s="38"/>
      <c r="C18" s="39"/>
    </row>
    <row r="19" spans="1:3" ht="32.1" customHeight="1">
      <c r="A19" s="37" t="s">
        <v>208</v>
      </c>
      <c r="B19" s="38"/>
      <c r="C19" s="39"/>
    </row>
    <row r="20" spans="1:3" ht="32.1" customHeight="1">
      <c r="A20" s="37" t="s">
        <v>209</v>
      </c>
      <c r="B20" s="38"/>
      <c r="C20" s="39"/>
    </row>
    <row r="21" spans="1:3" ht="32.1" customHeight="1">
      <c r="A21" s="37" t="s">
        <v>210</v>
      </c>
      <c r="B21" s="38"/>
      <c r="C21" s="39"/>
    </row>
    <row r="22" spans="1:3" ht="32.1" customHeight="1">
      <c r="A22" s="37" t="s">
        <v>211</v>
      </c>
      <c r="B22" s="38"/>
      <c r="C22" s="39"/>
    </row>
  </sheetData>
  <mergeCells count="12">
    <mergeCell ref="A19:C19"/>
    <mergeCell ref="A1:C1"/>
    <mergeCell ref="A16:C16"/>
    <mergeCell ref="A14:C14"/>
    <mergeCell ref="A22:C22"/>
    <mergeCell ref="A17:C17"/>
    <mergeCell ref="A18:C18"/>
    <mergeCell ref="A21:C21"/>
    <mergeCell ref="A15:C15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Radiografia</vt:lpstr>
      <vt:lpstr>2 - Stress test</vt:lpstr>
      <vt:lpstr>3 - Precedente 2000-02</vt:lpstr>
      <vt:lpstr>4 - CAPE</vt:lpstr>
      <vt:lpstr>5 - Fonti e limiti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2026-10-16T18:12:53Z</dcterms:created>
  <dcterms:modified xsi:type="dcterms:W3CDTF">2026-10-16T18:13:00Z</dcterms:modified>
</cp:coreProperties>
</file>