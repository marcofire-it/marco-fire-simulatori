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Indice" sheetId="1" state="visible" r:id="rId1"/>
    <sheet xmlns:r="http://schemas.openxmlformats.org/officeDocument/2006/relationships" name="1-Input" sheetId="2" state="visible" r:id="rId2"/>
    <sheet xmlns:r="http://schemas.openxmlformats.org/officeDocument/2006/relationships" name="P-Parametri" sheetId="3" state="visible" r:id="rId3"/>
    <sheet xmlns:r="http://schemas.openxmlformats.org/officeDocument/2006/relationships" name="2-Composizione" sheetId="4" state="visible" r:id="rId4"/>
    <sheet xmlns:r="http://schemas.openxmlformats.org/officeDocument/2006/relationships" name="3-Rendimento" sheetId="5" state="visible" r:id="rId5"/>
    <sheet xmlns:r="http://schemas.openxmlformats.org/officeDocument/2006/relationships" name="4-Montanti" sheetId="6" state="visible" r:id="rId6"/>
    <sheet xmlns:r="http://schemas.openxmlformats.org/officeDocument/2006/relationships" name="5-Pensioni" sheetId="7" state="visible" r:id="rId7"/>
    <sheet xmlns:r="http://schemas.openxmlformats.org/officeDocument/2006/relationships" name="6-TFR" sheetId="8" state="visible" r:id="rId8"/>
    <sheet xmlns:r="http://schemas.openxmlformats.org/officeDocument/2006/relationships" name="7-Fabbisogno" sheetId="9" state="visible" r:id="rId9"/>
    <sheet xmlns:r="http://schemas.openxmlformats.org/officeDocument/2006/relationships" name="8-Patrimonio" sheetId="10" state="visible" r:id="rId10"/>
    <sheet xmlns:r="http://schemas.openxmlformats.org/officeDocument/2006/relationships" name="9-Leve" sheetId="11" state="visible" r:id="rId11"/>
    <sheet xmlns:r="http://schemas.openxmlformats.org/officeDocument/2006/relationships" name="10-Glide" sheetId="12" state="visible" r:id="rId12"/>
    <sheet xmlns:r="http://schemas.openxmlformats.org/officeDocument/2006/relationships" name="11-Banda" sheetId="13" state="visible" r:id="rId13"/>
    <sheet xmlns:r="http://schemas.openxmlformats.org/officeDocument/2006/relationships" name="12-Verific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&quot; €&quot;"/>
    <numFmt numFmtId="165" formatCode="#,##0.00&quot; €&quot;"/>
    <numFmt numFmtId="166" formatCode="0.0%"/>
    <numFmt numFmtId="167" formatCode="0.00&quot;×&quot;"/>
    <numFmt numFmtId="168" formatCode="0.0000%"/>
    <numFmt numFmtId="169" formatCode="0.000000"/>
    <numFmt numFmtId="170" formatCode="0.0000"/>
    <numFmt numFmtId="171" formatCode="0.000%"/>
    <numFmt numFmtId="172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DBEAFE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1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168" fontId="5" fillId="7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9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9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170" fontId="5" fillId="7" borderId="1" applyAlignment="1" pivotButton="0" quotePrefix="0" xfId="0">
      <alignment horizontal="right" vertical="center"/>
    </xf>
    <xf numFmtId="171" fontId="5" fillId="7" borderId="1" applyAlignment="1" pivotButton="0" quotePrefix="0" xfId="0">
      <alignment horizontal="right" vertical="center"/>
    </xf>
    <xf numFmtId="172" fontId="5" fillId="7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Il numero vero del ritiro (caso Chiara, 2026)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1-Input</t>
        </is>
      </c>
      <c r="B5" s="5" t="inlineStr">
        <is>
          <t>I 22 input del caso e i netti di coppia</t>
        </is>
      </c>
    </row>
    <row r="6" ht="22" customHeight="1">
      <c r="A6" s="4" t="inlineStr">
        <is>
          <t>P-Parametri</t>
        </is>
      </c>
      <c r="B6" s="5" t="inlineStr">
        <is>
          <t>Parametri normativi: aliquote, coefficienti, soglie</t>
        </is>
      </c>
    </row>
    <row r="7" ht="22" customHeight="1">
      <c r="A7" s="4" t="inlineStr">
        <is>
          <t>2-Composizione</t>
        </is>
      </c>
      <c r="B7" s="5" t="inlineStr">
        <is>
          <t>Accumulo 2003-2026, evento 2019, plusvalenza latente</t>
        </is>
      </c>
    </row>
    <row r="8" ht="22" customHeight="1">
      <c r="A8" s="4" t="inlineStr">
        <is>
          <t>3-Rendimento</t>
        </is>
      </c>
      <c r="B8" s="5" t="inlineStr">
        <is>
          <t>Il 3,25% derivato e la banda 3,00 / 3,25 / 4,15</t>
        </is>
      </c>
    </row>
    <row r="9" ht="22" customHeight="1">
      <c r="A9" s="4" t="inlineStr">
        <is>
          <t>4-Montanti</t>
        </is>
      </c>
      <c r="B9" s="5" t="inlineStr">
        <is>
          <t>Montanti contributivi al 2026 e al ritiro</t>
        </is>
      </c>
    </row>
    <row r="10" ht="22" customHeight="1">
      <c r="A10" s="4" t="inlineStr">
        <is>
          <t>5-Pensioni</t>
        </is>
      </c>
      <c r="B10" s="5" t="inlineStr">
        <is>
          <t>Vecchiaia a 68a2m e via contributiva intorno ai 65</t>
        </is>
      </c>
    </row>
    <row r="11" ht="22" customHeight="1">
      <c r="A11" s="4" t="inlineStr">
        <is>
          <t>6-TFR</t>
        </is>
      </c>
      <c r="B11" s="5" t="inlineStr">
        <is>
          <t>Liquidazione di coppia, tassazione separata, salvaguardia</t>
        </is>
      </c>
    </row>
    <row r="12" ht="22" customHeight="1">
      <c r="A12" s="4" t="inlineStr">
        <is>
          <t>7-Fabbisogno</t>
        </is>
      </c>
      <c r="B12" s="5" t="inlineStr">
        <is>
          <t>Ponte, coda, waterfall del twist, curva del ×25</t>
        </is>
      </c>
    </row>
    <row r="13" ht="22" customHeight="1">
      <c r="A13" s="4" t="inlineStr">
        <is>
          <t>8-Patrimonio</t>
        </is>
      </c>
      <c r="B13" s="5" t="inlineStr">
        <is>
          <t>Traiettoria anno per anno e anno dei due milioni</t>
        </is>
      </c>
    </row>
    <row r="14" ht="22" customHeight="1">
      <c r="A14" s="4" t="inlineStr">
        <is>
          <t>9-Leve</t>
        </is>
      </c>
      <c r="B14" s="5" t="inlineStr">
        <is>
          <t>Le otto leve, ipotesi prudente e scenario centrale</t>
        </is>
      </c>
    </row>
    <row r="15" ht="22" customHeight="1">
      <c r="A15" s="4" t="inlineStr">
        <is>
          <t>10-Glide</t>
        </is>
      </c>
      <c r="B15" s="5" t="inlineStr">
        <is>
          <t>Glide path, costo atteso, anno peggiore, break-even</t>
        </is>
      </c>
    </row>
    <row r="16" ht="22" customHeight="1">
      <c r="A16" s="4" t="inlineStr">
        <is>
          <t>11-Banda</t>
        </is>
      </c>
      <c r="B16" s="5" t="inlineStr">
        <is>
          <t>Le quattordici righe della banda del fabbisogno</t>
        </is>
      </c>
    </row>
    <row r="17" ht="22" customHeight="1">
      <c r="A17" s="4" t="inlineStr">
        <is>
          <t>12-Verifica</t>
        </is>
      </c>
      <c r="B17" s="5" t="inlineStr">
        <is>
          <t>Il controllo annuale: quattro indicatori e semaforo</t>
        </is>
      </c>
    </row>
    <row r="19">
      <c r="A19" s="3" t="inlineStr">
        <is>
          <t>Come usare</t>
        </is>
      </c>
    </row>
    <row r="20">
      <c r="A20" s="5" t="inlineStr">
        <is>
          <t>1. Le celle GIALLE sono input — modificale coi tuoi numeri.</t>
        </is>
      </c>
    </row>
    <row r="21">
      <c r="A21" s="5" t="inlineStr">
        <is>
          <t>2. Le celle VERDI sono output — si aggiornano automaticamente.</t>
        </is>
      </c>
    </row>
    <row r="22">
      <c r="A22" s="5" t="inlineStr">
        <is>
          <t>3. Tutti i numeri di default sono al 2026 da fonti pubbliche.</t>
        </is>
      </c>
    </row>
    <row r="23">
      <c r="A23" s="5" t="inlineStr">
        <is>
          <t>4. Niente codice nascosto: l'Excel è solo formule modificabili.</t>
        </is>
      </c>
    </row>
    <row r="25">
      <c r="A25" s="3" t="inlineStr">
        <is>
          <t>Fonti dati</t>
        </is>
      </c>
    </row>
    <row r="26">
      <c r="A26" s="5" t="inlineStr">
        <is>
          <t>• IRPEF 2026 (23% / 33% / 43%) — L. 199/2025; detrazioni art. 13 TUIR c. 3 e c. 3-bis</t>
        </is>
      </c>
    </row>
    <row r="27">
      <c r="A27" s="5" t="inlineStr">
        <is>
          <t>• Coefficienti di trasformazione — DM 20/11/2024, biennio 2025-2026</t>
        </is>
      </c>
    </row>
    <row r="28">
      <c r="A28" s="5" t="inlineStr">
        <is>
          <t>• Via contributiva intorno ai 65 anni — art. 24 c. 11 D.L. 201/2011, testo vigente; soglia di 3,2 volte l'assegno sociale in vigore dal 2030</t>
        </is>
      </c>
    </row>
    <row r="29">
      <c r="A29" s="5" t="inlineStr">
        <is>
          <t>• Requisiti 2027-2028 e proiezione a 68 anni e 2 mesi per il 2039-2040 — L. 199/2025 art. 1 c. 185 e proiezioni RGS per coorte (proiezioni, non norme)</t>
        </is>
      </c>
    </row>
    <row r="30">
      <c r="A30" s="5" t="inlineStr">
        <is>
          <t>• TFR: quota 1/13,5 e rivalutazione 1,5% + 75% ISTAT — art. 2120 c.c.; tassazione separata art. 19 TUIR</t>
        </is>
      </c>
    </row>
    <row r="31">
      <c r="A31" s="5" t="inlineStr">
        <is>
          <t>• Clausola di salvaguardia con gli scaglioni 2006 — L. 296/2006, rinumerata nell'art. 21 c. 11 del D.Lgs. 117/2026 (GU n. 152 del 3/7/2026, S.O. 26/L)</t>
        </is>
      </c>
    </row>
    <row r="32">
      <c r="A32" s="5" t="inlineStr">
        <is>
          <t>• Rendimenti attesi — DMS Global Investment Returns Yearbook 2023, cap. 5, Fig. 52 (4,0% azioni / 1,5% obbligazioni); tetto dal reale storico 1900-2024, Yearbook 2025</t>
        </is>
      </c>
    </row>
    <row r="33">
      <c r="A33" s="5" t="inlineStr">
        <is>
          <t>• Consumi ISTAT di coppia, affitto figurativo incluso — 2.856 €/mese</t>
        </is>
      </c>
    </row>
    <row r="34">
      <c r="A34" s="5" t="inlineStr">
        <is>
          <t>• Capital gain 26% e titoli di Stato 12,5% — art. 68 TUIR, D.Lgs. 461/1997; bollo 0,20%</t>
        </is>
      </c>
    </row>
    <row r="36">
      <c r="A36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6" customWidth="1" min="4" max="4"/>
    <col width="46" customWidth="1" min="5" max="5"/>
  </cols>
  <sheetData>
    <row r="1" ht="25" customHeight="1">
      <c r="A1" s="1" t="inlineStr">
        <is>
          <t>I 22 input del caso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 — cambia una cella gialla e tutti i verdi si muovono</t>
        </is>
      </c>
    </row>
    <row r="5">
      <c r="A5" s="8" t="inlineStr">
        <is>
          <t>(1) Nascita di Chiara — anno / mese</t>
        </is>
      </c>
      <c r="B5" s="9" t="n">
        <v>1972</v>
      </c>
      <c r="C5" s="9" t="n">
        <v>4</v>
      </c>
    </row>
    <row r="6">
      <c r="A6" s="8" t="inlineStr">
        <is>
          <t>(2) Nascita del marito — anno / mese</t>
        </is>
      </c>
      <c r="B6" s="9" t="n">
        <v>1971</v>
      </c>
      <c r="C6" s="9" t="n">
        <v>4</v>
      </c>
    </row>
    <row r="7">
      <c r="A7" s="8" t="inlineStr">
        <is>
          <t>(3) Retribuzione attuale di Chiara (lorda)</t>
        </is>
      </c>
      <c r="B7" s="10" t="n">
        <v>60000</v>
      </c>
    </row>
    <row r="8">
      <c r="A8" s="8" t="inlineStr">
        <is>
          <t>(4) Retribuzione attuale del marito (lorda)</t>
        </is>
      </c>
      <c r="B8" s="10" t="n">
        <v>48000</v>
      </c>
    </row>
    <row r="9">
      <c r="A9" s="8" t="inlineStr">
        <is>
          <t>(5) Media di carriera di Chiara (previdenziale)</t>
        </is>
      </c>
      <c r="B9" s="10" t="n">
        <v>34000</v>
      </c>
    </row>
    <row r="10">
      <c r="A10" s="8" t="inlineStr">
        <is>
          <t>(6) Chiara — anni di carriera al 2026 / densita' contributiva</t>
        </is>
      </c>
      <c r="B10" s="9" t="n">
        <v>30</v>
      </c>
      <c r="C10" s="11" t="n">
        <v>0.85</v>
      </c>
    </row>
    <row r="11">
      <c r="A11" s="8" t="inlineStr">
        <is>
          <t>(7) Media di carriera del marito (previdenziale)</t>
        </is>
      </c>
      <c r="B11" s="10" t="n">
        <v>30000</v>
      </c>
    </row>
    <row r="12">
      <c r="A12" s="8" t="inlineStr">
        <is>
          <t>(8) Marito — anni di carriera al 2026 / densita' contributiva</t>
        </is>
      </c>
      <c r="B12" s="9" t="n">
        <v>30</v>
      </c>
      <c r="C12" s="11" t="n">
        <v>1</v>
      </c>
    </row>
    <row r="13">
      <c r="A13" s="8" t="inlineStr">
        <is>
          <t>(9) Spesa netta di coppia (€/anno)</t>
        </is>
      </c>
      <c r="B13" s="10" t="n">
        <v>52000</v>
      </c>
    </row>
    <row r="14">
      <c r="A14" s="8" t="inlineStr">
        <is>
          <t>(10) Evento del 2019 — netto reinvestito (quota societaria ceduta)</t>
        </is>
      </c>
      <c r="B14" s="10" t="n">
        <v>280000</v>
      </c>
    </row>
    <row r="15">
      <c r="A15" s="8" t="inlineStr">
        <is>
          <t>(11) Anno dell'evento</t>
        </is>
      </c>
      <c r="B15" s="9" t="n">
        <v>2019</v>
      </c>
    </row>
    <row r="16">
      <c r="A16" s="8" t="inlineStr">
        <is>
          <t>(12) Accumulo — primo anno / anno di riferimento (oggi)</t>
        </is>
      </c>
      <c r="B16" s="9" t="n">
        <v>2003</v>
      </c>
      <c r="C16" s="9" t="n">
        <v>2026</v>
      </c>
    </row>
    <row r="17">
      <c r="A17" s="8" t="inlineStr">
        <is>
          <t>(13) Rendimento lordo atteso — menu 3,00% / 3,25% / 4,15%</t>
        </is>
      </c>
      <c r="B17" s="11" t="n">
        <v>0.0325</v>
      </c>
    </row>
    <row r="18">
      <c r="A18" s="8" t="inlineStr">
        <is>
          <t>(14) Bollo titoli</t>
        </is>
      </c>
      <c r="B18" s="11" t="n">
        <v>0.002</v>
      </c>
    </row>
    <row r="19">
      <c r="A19" s="8" t="inlineStr">
        <is>
          <t>(15) Anno di ritiro</t>
        </is>
      </c>
      <c r="B19" s="9" t="n">
        <v>2036</v>
      </c>
    </row>
    <row r="20">
      <c r="A20" s="8" t="inlineStr">
        <is>
          <t>(16) Orizzonte — eta' finale di Chiara: menu 92 / 95 / 97</t>
        </is>
      </c>
      <c r="B20" s="9" t="n">
        <v>95</v>
      </c>
    </row>
    <row r="21">
      <c r="A21" s="8" t="inlineStr">
        <is>
          <t>(17) Crescita reale del montante — menu 0,0% / 0,6% / 1,2%</t>
        </is>
      </c>
      <c r="B21" s="11" t="n">
        <v>0.006</v>
      </c>
    </row>
    <row r="22">
      <c r="A22" s="8" t="inlineStr">
        <is>
          <t>(18) Requisito anagrafico — anni in piu': 0 / 1 / 2</t>
        </is>
      </c>
      <c r="B22" s="9" t="n">
        <v>0</v>
      </c>
    </row>
    <row r="23">
      <c r="A23" s="8" t="inlineStr">
        <is>
          <t>(19) Anzianita' TFR al ritiro — Chiara / marito</t>
        </is>
      </c>
      <c r="B23" s="9" t="n">
        <v>18</v>
      </c>
      <c r="C23" s="9" t="n">
        <v>41</v>
      </c>
    </row>
    <row r="24">
      <c r="A24" s="8" t="inlineStr">
        <is>
          <t>(20) TFR lordo maturato al ritiro — Chiara / marito</t>
        </is>
      </c>
      <c r="B24" s="10" t="n">
        <v>80000</v>
      </c>
      <c r="C24" s="10" t="n">
        <v>124000</v>
      </c>
    </row>
    <row r="25">
      <c r="A25" s="8" t="inlineStr">
        <is>
          <t>(21) Retribuzione di riferimento TFR del marito / rivalutazione reale</t>
        </is>
      </c>
      <c r="B25" s="10" t="n">
        <v>34000</v>
      </c>
      <c r="C25" s="11" t="n">
        <v>0.0115</v>
      </c>
    </row>
    <row r="26">
      <c r="A26" s="8" t="inlineStr">
        <is>
          <t>(22) TFR: 1 = in cassa, 0 = conferito al fondo pensione</t>
        </is>
      </c>
      <c r="B26" s="9" t="n">
        <v>1</v>
      </c>
    </row>
    <row r="27" ht="30" customHeight="1">
      <c r="A27" s="12" t="inlineStr">
        <is>
          <t>Le tre grandezze del marito sono DIVERSE e restano distinte: retribuzione attuale 48.000, media di carriera previdenziale 30.000, retribuzione media di riferimento per il TFR 34.000. Sulla terza il foglio 6 mostra la banda del ±15%.</t>
        </is>
      </c>
    </row>
    <row r="28" ht="30" customHeight="1">
      <c r="A28" s="12" t="inlineStr">
        <is>
          <t>CONVENZIONE 5 — l'input del motore e' il RISPARMIO ARROTONDATO all'euro (riga 40): l'arrotondamento sta all'ingresso del motore, non all'uscita.</t>
        </is>
      </c>
    </row>
    <row r="30">
      <c r="A30" s="7" t="inlineStr">
        <is>
          <t>I NETTI DI COPPIA — IRPEF 2026, modulo completo</t>
        </is>
      </c>
    </row>
    <row r="31">
      <c r="A31" s="13" t="inlineStr">
        <is>
          <t>Voce</t>
        </is>
      </c>
      <c r="B31" s="13" t="inlineStr">
        <is>
          <t>Chiara</t>
        </is>
      </c>
      <c r="C31" s="13" t="inlineStr">
        <is>
          <t>Marito</t>
        </is>
      </c>
    </row>
    <row r="32">
      <c r="A32" s="8" t="inlineStr">
        <is>
          <t>Retribuzione lorda</t>
        </is>
      </c>
      <c r="B32" s="14">
        <f>B7</f>
        <v/>
      </c>
      <c r="C32" s="14">
        <f>B8</f>
        <v/>
      </c>
    </row>
    <row r="33">
      <c r="A33" s="8" t="inlineStr">
        <is>
          <t>Contributi a carico del lavoratore</t>
        </is>
      </c>
      <c r="B33" s="14">
        <f>B32*'P-Parametri'!$B$17</f>
        <v/>
      </c>
      <c r="C33" s="14">
        <f>C32*'P-Parametri'!$B$17</f>
        <v/>
      </c>
    </row>
    <row r="34">
      <c r="A34" s="8" t="inlineStr">
        <is>
          <t>Imponibile IRPEF</t>
        </is>
      </c>
      <c r="B34" s="14">
        <f>B32-B33</f>
        <v/>
      </c>
      <c r="C34" s="14">
        <f>C32-C33</f>
        <v/>
      </c>
    </row>
    <row r="35">
      <c r="A35" s="8" t="inlineStr">
        <is>
          <t>IRPEF lorda</t>
        </is>
      </c>
      <c r="B35" s="14">
        <f>IF(B34&lt;='P-Parametri'!$B$6,'P-Parametri'!$C$6*B34,IF(B34&lt;='P-Parametri'!$B$7,'P-Parametri'!$B$9+'P-Parametri'!$C$7*(B34-'P-Parametri'!$B$6),'P-Parametri'!$B$10+'P-Parametri'!$C$8*(B34-'P-Parametri'!$B$7)))</f>
        <v/>
      </c>
      <c r="C35" s="14">
        <f>IF(C34&lt;='P-Parametri'!$B$6,'P-Parametri'!$C$6*C34,IF(C34&lt;='P-Parametri'!$B$7,'P-Parametri'!$B$9+'P-Parametri'!$C$7*(C34-'P-Parametri'!$B$6),'P-Parametri'!$B$10+'P-Parametri'!$C$8*(C34-'P-Parametri'!$B$7)))</f>
        <v/>
      </c>
    </row>
    <row r="36">
      <c r="A36" s="8" t="inlineStr">
        <is>
          <t>Detrazione da lavoro dipendente</t>
        </is>
      </c>
      <c r="B36" s="14">
        <f>IF(B34&lt;=15000,1955,IF(B34&lt;='P-Parametri'!$B$6,1910+1190*('P-Parametri'!$B$6-B34)/13000,IF(B34&lt;='P-Parametri'!$B$7,'P-Parametri'!$B$16*('P-Parametri'!$B$7-B34)/'P-Parametri'!$C$16,0)))</f>
        <v/>
      </c>
      <c r="C36" s="14">
        <f>IF(C34&lt;=15000,1955,IF(C34&lt;='P-Parametri'!$B$6,1910+1190*('P-Parametri'!$B$6-C34)/13000,IF(C34&lt;='P-Parametri'!$B$7,'P-Parametri'!$B$16*('P-Parametri'!$B$7-C34)/'P-Parametri'!$C$16,0)))</f>
        <v/>
      </c>
    </row>
    <row r="37">
      <c r="A37" s="8" t="inlineStr">
        <is>
          <t>NETTO annuo (imponibile − imposta netta − addizionali)</t>
        </is>
      </c>
      <c r="B37" s="14">
        <f>B34-MAX(0,B35-B36)-IF(MAX(0,B35-B36)&lt;=0,0,'P-Parametri'!$B$11*B34)</f>
        <v/>
      </c>
      <c r="C37" s="14">
        <f>C34-MAX(0,C35-C36)-IF(MAX(0,C35-C36)&lt;=0,0,'P-Parametri'!$B$11*C34)</f>
        <v/>
      </c>
    </row>
    <row r="38">
      <c r="A38" s="8" t="inlineStr">
        <is>
          <t>NETTO DI COPPIA</t>
        </is>
      </c>
      <c r="B38" s="14">
        <f>B37+C37</f>
        <v/>
      </c>
    </row>
    <row r="39">
      <c r="A39" s="8" t="inlineStr">
        <is>
          <t>Spesa netta di coppia</t>
        </is>
      </c>
      <c r="B39" s="15">
        <f>B13</f>
        <v/>
      </c>
    </row>
    <row r="40">
      <c r="A40" s="8" t="inlineStr">
        <is>
          <t>RISPARMIO ANNUO — input del motore, arrotondato (Convenzione 5)</t>
        </is>
      </c>
      <c r="B40" s="15">
        <f>ROUND(B38-B39,0)</f>
        <v/>
      </c>
    </row>
    <row r="41">
      <c r="A41" s="8" t="inlineStr">
        <is>
          <t>Risparmio in quota del netto</t>
        </is>
      </c>
      <c r="B41" s="16">
        <f>B40/B38</f>
        <v/>
      </c>
    </row>
    <row r="42">
      <c r="A42" s="8" t="inlineStr">
        <is>
          <t>Spesa contro i consumi ISTAT di coppia</t>
        </is>
      </c>
      <c r="B42" s="17">
        <f>B13/'P-Parametri'!$B$46</f>
        <v/>
      </c>
    </row>
    <row r="44">
      <c r="A44" s="7" t="inlineStr">
        <is>
          <t>DERIVATI DI CALENDARIO, DI TASSO E DI CARRIERA</t>
        </is>
      </c>
    </row>
    <row r="45">
      <c r="A45" s="8" t="inlineStr">
        <is>
          <t>Anni di accumulo fino a oggi</t>
        </is>
      </c>
      <c r="B45" s="18">
        <f>C16-B16+1</f>
        <v/>
      </c>
    </row>
    <row r="46">
      <c r="A46" s="8" t="inlineStr">
        <is>
          <t>Rendimento netto bollo</t>
        </is>
      </c>
      <c r="B46" s="19">
        <f>B17-B18</f>
        <v/>
      </c>
    </row>
    <row r="47">
      <c r="A47" s="8" t="inlineStr">
        <is>
          <t>Anno di orizzonte (eta' finale di Chiara)</t>
        </is>
      </c>
      <c r="B47" s="18">
        <f>B5+B20</f>
        <v/>
      </c>
    </row>
    <row r="48">
      <c r="A48" s="8" t="inlineStr">
        <is>
          <t>Contributo annuo futuro — Chiara / marito</t>
        </is>
      </c>
      <c r="B48" s="14">
        <f>B7*'P-Parametri'!$B$19</f>
        <v/>
      </c>
      <c r="C48" s="14">
        <f>B8*'P-Parametri'!$B$19</f>
        <v/>
      </c>
    </row>
    <row r="49">
      <c r="A49" s="8" t="inlineStr">
        <is>
          <t>Anni contributivi al 2026 — Chiara / marito</t>
        </is>
      </c>
      <c r="B49" s="20">
        <f>B10*C10</f>
        <v/>
      </c>
      <c r="C49" s="20">
        <f>B12*C12</f>
        <v/>
      </c>
    </row>
    <row r="50">
      <c r="A50" s="8" t="inlineStr">
        <is>
          <t>Anni di contribuzione dopo il 2026 (base)</t>
        </is>
      </c>
      <c r="B50" s="18">
        <f>B19-C16</f>
        <v/>
      </c>
    </row>
    <row r="51">
      <c r="A51" s="8" t="inlineStr">
        <is>
          <t>Vecchiaia, Chiara — anno / mese di decorrenza</t>
        </is>
      </c>
      <c r="B51" s="18">
        <f>B5+'P-Parametri'!$B$56+INT((C5+'P-Parametri'!$C$56-1)/12)</f>
        <v/>
      </c>
      <c r="C51" s="18">
        <f>MOD(C5+'P-Parametri'!$C$56-1,12)+1</f>
        <v/>
      </c>
    </row>
    <row r="52">
      <c r="A52" s="8" t="inlineStr">
        <is>
          <t>Vecchiaia, marito — anno / mese di decorrenza</t>
        </is>
      </c>
      <c r="B52" s="18">
        <f>B6+'P-Parametri'!$B$56+INT((C6+'P-Parametri'!$C$56-1)/12)</f>
        <v/>
      </c>
      <c r="C52" s="18">
        <f>MOD(C6+'P-Parametri'!$C$56-1,12)+1</f>
        <v/>
      </c>
    </row>
    <row r="53">
      <c r="A53" s="8" t="inlineStr">
        <is>
          <t>Via contributiva, Chiara — anno / mese di decorrenza</t>
        </is>
      </c>
      <c r="B53" s="18">
        <f>B5+'P-Parametri'!$B$57+INT((C5+'P-Parametri'!$C$57-1)/12)</f>
        <v/>
      </c>
      <c r="C53" s="18">
        <f>MOD(C5+'P-Parametri'!$C$57-1,12)+1</f>
        <v/>
      </c>
    </row>
    <row r="54">
      <c r="A54" s="8" t="inlineStr">
        <is>
          <t>Via contributiva, marito — anno / mese di decorrenza</t>
        </is>
      </c>
      <c r="B54" s="18">
        <f>B6+'P-Parametri'!$B$58+INT((C6+'P-Parametri'!$C$58-1)/12)</f>
        <v/>
      </c>
      <c r="C54" s="18">
        <f>MOD(C6+'P-Parametri'!$C$58-1,12)+1</f>
        <v/>
      </c>
    </row>
    <row r="55">
      <c r="A55" s="8" t="inlineStr">
        <is>
          <t>Coefficiente della via contributiva — Chiara / marito (interpolato 65-66)</t>
        </is>
      </c>
      <c r="B55" s="21">
        <f>'P-Parametri'!$B$22+'P-Parametri'!$C$57/12*('P-Parametri'!$B$23-'P-Parametri'!$B$22)</f>
        <v/>
      </c>
      <c r="C55" s="21">
        <f>'P-Parametri'!$B$22+'P-Parametri'!$C$58/12*('P-Parametri'!$B$23-'P-Parametri'!$B$22)</f>
        <v/>
      </c>
    </row>
    <row r="56">
      <c r="A56" s="8" t="inlineStr">
        <is>
          <t>Eta' di Chiara all'anno di ritiro</t>
        </is>
      </c>
      <c r="B56" s="18">
        <f>B19-B5</f>
        <v/>
      </c>
    </row>
  </sheetData>
  <mergeCells count="7">
    <mergeCell ref="A30:E30"/>
    <mergeCell ref="A4:E4"/>
    <mergeCell ref="A2:E2"/>
    <mergeCell ref="A28:E28"/>
    <mergeCell ref="A1:E1"/>
    <mergeCell ref="A44:E44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5" customHeight="1">
      <c r="A1" s="1" t="inlineStr">
        <is>
          <t>Parametri normativi e di fonte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30" customHeight="1">
      <c r="A3" s="12" t="inlineStr">
        <is>
          <t>Le uniche costanti del modello, oltre agli input, stanno qui: aliquote, coefficienti, soglie, parametri di fonte. Tutti gli altri fogli le referenziano.</t>
        </is>
      </c>
    </row>
    <row r="5">
      <c r="A5" s="7" t="inlineStr">
        <is>
          <t>IRPEF 2026 (L. 199/2025) e detrazioni</t>
        </is>
      </c>
    </row>
    <row r="6">
      <c r="A6" s="8" t="inlineStr">
        <is>
          <t>Primo scaglione — limite / aliquota</t>
        </is>
      </c>
      <c r="B6" s="10" t="n">
        <v>28000</v>
      </c>
      <c r="C6" s="11" t="n">
        <v>0.23</v>
      </c>
    </row>
    <row r="7">
      <c r="A7" s="8" t="inlineStr">
        <is>
          <t>Secondo scaglione — limite / aliquota</t>
        </is>
      </c>
      <c r="B7" s="10" t="n">
        <v>50000</v>
      </c>
      <c r="C7" s="11" t="n">
        <v>0.33</v>
      </c>
    </row>
    <row r="8">
      <c r="A8" s="8" t="inlineStr">
        <is>
          <t>Terzo scaglione — aliquota oltre il secondo limite</t>
        </is>
      </c>
      <c r="C8" s="11" t="n">
        <v>0.43</v>
      </c>
    </row>
    <row r="9">
      <c r="A9" s="8" t="inlineStr">
        <is>
          <t>Imposta cumulata fino al primo scaglione</t>
        </is>
      </c>
      <c r="B9" s="14">
        <f>B6*C6</f>
        <v/>
      </c>
    </row>
    <row r="10">
      <c r="A10" s="8" t="inlineStr">
        <is>
          <t>Imposta cumulata fino al secondo scaglione</t>
        </is>
      </c>
      <c r="B10" s="14">
        <f>B9+(B7-B6)*C7</f>
        <v/>
      </c>
    </row>
    <row r="11">
      <c r="A11" s="8" t="inlineStr">
        <is>
          <t>Addizionali regionali e comunali</t>
        </is>
      </c>
      <c r="B11" s="11" t="n">
        <v>0.02</v>
      </c>
    </row>
    <row r="12">
      <c r="A12" s="8" t="inlineStr">
        <is>
          <t>Detrazione da pensione — importo massimo / soglia bassa</t>
        </is>
      </c>
      <c r="B12" s="10" t="n">
        <v>1955</v>
      </c>
      <c r="C12" s="10" t="n">
        <v>8500</v>
      </c>
    </row>
    <row r="13">
      <c r="A13" s="8" t="inlineStr">
        <is>
          <t>Detrazione da pensione 8.500-28.000 — base / incremento / ampiezza</t>
        </is>
      </c>
      <c r="B13" s="10" t="n">
        <v>700</v>
      </c>
      <c r="C13" s="10" t="n">
        <v>1255</v>
      </c>
      <c r="D13" s="10" t="n">
        <v>19500</v>
      </c>
    </row>
    <row r="14">
      <c r="A14" s="8" t="inlineStr">
        <is>
          <t>Detrazione da pensione 28.000-50.000 — base / ampiezza</t>
        </is>
      </c>
      <c r="B14" s="10" t="n">
        <v>700</v>
      </c>
      <c r="C14" s="10" t="n">
        <v>22000</v>
      </c>
    </row>
    <row r="15">
      <c r="A15" s="8" t="inlineStr">
        <is>
          <t>Detrazione art. 13 comma 3-bis — importo / da / a</t>
        </is>
      </c>
      <c r="B15" s="10" t="n">
        <v>50</v>
      </c>
      <c r="C15" s="10" t="n">
        <v>25000</v>
      </c>
      <c r="D15" s="10" t="n">
        <v>29000</v>
      </c>
    </row>
    <row r="16">
      <c r="A16" s="8" t="inlineStr">
        <is>
          <t>Detrazione da lavoro dipendente 28.000-50.000 — base / ampiezza</t>
        </is>
      </c>
      <c r="B16" s="10" t="n">
        <v>1910</v>
      </c>
      <c r="C16" s="10" t="n">
        <v>22000</v>
      </c>
    </row>
    <row r="17">
      <c r="A17" s="8" t="inlineStr">
        <is>
          <t>Contributi a carico del lavoratore</t>
        </is>
      </c>
      <c r="B17" s="11" t="n">
        <v>0.0919</v>
      </c>
    </row>
    <row r="18">
      <c r="A18" s="7" t="inlineStr">
        <is>
          <t>Previdenza obbligatoria</t>
        </is>
      </c>
    </row>
    <row r="19">
      <c r="A19" s="8" t="inlineStr">
        <is>
          <t>Aliquota di computo (dipendenti)</t>
        </is>
      </c>
      <c r="B19" s="11" t="n">
        <v>0.33</v>
      </c>
    </row>
    <row r="20">
      <c r="A20" s="8" t="inlineStr">
        <is>
          <t>Mensilita' della pensione</t>
        </is>
      </c>
      <c r="B20" s="9" t="n">
        <v>13</v>
      </c>
    </row>
    <row r="21">
      <c r="A21" s="8" t="inlineStr">
        <is>
          <t>Coefficiente di trasformazione — 68 anni e 2 mesi</t>
        </is>
      </c>
      <c r="B21" s="22" t="n">
        <v>0.05844</v>
      </c>
    </row>
    <row r="22">
      <c r="A22" s="8" t="inlineStr">
        <is>
          <t>Coefficiente di trasformazione — 65 anni</t>
        </is>
      </c>
      <c r="B22" s="22" t="n">
        <v>0.0525</v>
      </c>
    </row>
    <row r="23">
      <c r="A23" s="8" t="inlineStr">
        <is>
          <t>Coefficiente di trasformazione — 66 anni</t>
        </is>
      </c>
      <c r="B23" s="22" t="n">
        <v>0.05423</v>
      </c>
    </row>
    <row r="24">
      <c r="A24" s="8" t="inlineStr">
        <is>
          <t>Coefficiente di trasformazione — 70 anni e 2 mesi (controprova)</t>
        </is>
      </c>
      <c r="B24" s="22" t="n">
        <v>0.063</v>
      </c>
    </row>
    <row r="25">
      <c r="A25" s="8" t="inlineStr">
        <is>
          <t>Soglia di 3,2 volte l'assegno sociale (€/mese)</t>
        </is>
      </c>
      <c r="B25" s="23" t="n">
        <v>1747.97</v>
      </c>
    </row>
    <row r="26">
      <c r="A26" s="8" t="inlineStr">
        <is>
          <t>Cap di 5 volte il trattamento minimo (€/mese)</t>
        </is>
      </c>
      <c r="B26" s="23" t="n">
        <v>3059.25</v>
      </c>
    </row>
    <row r="27">
      <c r="A27" s="8" t="inlineStr">
        <is>
          <t>Soglia di importo minima (€/mese)</t>
        </is>
      </c>
      <c r="B27" s="23" t="n">
        <v>546.24</v>
      </c>
    </row>
    <row r="28">
      <c r="A28" s="8" t="inlineStr">
        <is>
          <t>Fattore di rivalutazione cumulata del montante al 2026</t>
        </is>
      </c>
      <c r="B28" s="24" t="n">
        <v>1.020765</v>
      </c>
    </row>
    <row r="29">
      <c r="A29" s="8" t="inlineStr">
        <is>
          <t>Anni minimi di contribuzione</t>
        </is>
      </c>
      <c r="B29" s="9" t="n">
        <v>20</v>
      </c>
    </row>
    <row r="30">
      <c r="A30" s="7" t="inlineStr">
        <is>
          <t>Fiscalita' finanziaria</t>
        </is>
      </c>
    </row>
    <row r="31">
      <c r="A31" s="8" t="inlineStr">
        <is>
          <t>Capital gain</t>
        </is>
      </c>
      <c r="B31" s="11" t="n">
        <v>0.26</v>
      </c>
    </row>
    <row r="32">
      <c r="A32" s="8" t="inlineStr">
        <is>
          <t>Titoli di Stato ed equiparati</t>
        </is>
      </c>
      <c r="B32" s="11" t="n">
        <v>0.125</v>
      </c>
    </row>
    <row r="33">
      <c r="A33" s="7" t="inlineStr">
        <is>
          <t>TFR</t>
        </is>
      </c>
    </row>
    <row r="34">
      <c r="A34" s="8" t="inlineStr">
        <is>
          <t>Quota annua accantonata — divisore</t>
        </is>
      </c>
      <c r="B34" s="25" t="n">
        <v>13.5</v>
      </c>
    </row>
    <row r="35">
      <c r="A35" s="8" t="inlineStr">
        <is>
          <t>Ritenuta sul TFR conferito al fondo — iniziale / a regime</t>
        </is>
      </c>
      <c r="B35" s="11" t="n">
        <v>0.15</v>
      </c>
      <c r="C35" s="11" t="n">
        <v>0.09</v>
      </c>
    </row>
    <row r="36">
      <c r="A36" s="7" t="inlineStr">
        <is>
          <t>Clausola di salvaguardia — scaglioni 2006</t>
        </is>
      </c>
    </row>
    <row r="37">
      <c r="A37" s="8" t="inlineStr">
        <is>
          <t>Primo scaglione — limite / aliquota</t>
        </is>
      </c>
      <c r="B37" s="10" t="n">
        <v>26000</v>
      </c>
      <c r="C37" s="11" t="n">
        <v>0.23</v>
      </c>
    </row>
    <row r="38">
      <c r="A38" s="8" t="inlineStr">
        <is>
          <t>Secondo scaglione — limite / aliquota</t>
        </is>
      </c>
      <c r="B38" s="10" t="n">
        <v>33500</v>
      </c>
      <c r="C38" s="11" t="n">
        <v>0.33</v>
      </c>
    </row>
    <row r="39">
      <c r="A39" s="8" t="inlineStr">
        <is>
          <t>Terzo scaglione — limite / aliquota</t>
        </is>
      </c>
      <c r="B39" s="10" t="n">
        <v>100000</v>
      </c>
      <c r="C39" s="11" t="n">
        <v>0.39</v>
      </c>
    </row>
    <row r="40">
      <c r="A40" s="8" t="inlineStr">
        <is>
          <t>Oltre — aliquota</t>
        </is>
      </c>
      <c r="C40" s="11" t="n">
        <v>0.43</v>
      </c>
    </row>
    <row r="41">
      <c r="A41" s="7" t="inlineStr">
        <is>
          <t>Rendimenti attesi — le due nature restano dichiarate separatamente</t>
        </is>
      </c>
    </row>
    <row r="42">
      <c r="A42" s="8" t="inlineStr">
        <is>
          <t>Forward-looking, Yearbook 2023 Fig. 52 — azioni / obbligazioni</t>
        </is>
      </c>
      <c r="B42" s="11" t="n">
        <v>0.04</v>
      </c>
      <c r="C42" s="11" t="n">
        <v>0.015</v>
      </c>
    </row>
    <row r="43">
      <c r="A43" s="8" t="inlineStr">
        <is>
          <t>Reale storico 1900-2024, Yearbook 2025 — azioni / obbligazioni</t>
        </is>
      </c>
      <c r="B43" s="11" t="n">
        <v>0.052</v>
      </c>
      <c r="C43" s="11" t="n">
        <v>0.017</v>
      </c>
    </row>
    <row r="44">
      <c r="A44" s="7" t="inlineStr">
        <is>
          <t>Riferimenti del caso e convenzioni dichiarate</t>
        </is>
      </c>
    </row>
    <row r="45">
      <c r="A45" s="8" t="inlineStr">
        <is>
          <t>Montante di Chiara, banda O11 — minimo / massimo</t>
        </is>
      </c>
      <c r="B45" s="10" t="n">
        <v>283014</v>
      </c>
      <c r="C45" s="10" t="n">
        <v>299000</v>
      </c>
    </row>
    <row r="46">
      <c r="A46" s="8" t="inlineStr">
        <is>
          <t>Consumi ISTAT di coppia (€/anno)</t>
        </is>
      </c>
      <c r="B46" s="10" t="n">
        <v>34272</v>
      </c>
    </row>
    <row r="47">
      <c r="A47" s="8" t="inlineStr">
        <is>
          <t>Target dichiarato da Chiara</t>
        </is>
      </c>
      <c r="B47" s="10" t="n">
        <v>2000000</v>
      </c>
    </row>
    <row r="48">
      <c r="A48" s="8" t="inlineStr">
        <is>
          <t>Prelievo perpetuo di riferimento</t>
        </is>
      </c>
      <c r="B48" s="11" t="n">
        <v>0.025</v>
      </c>
    </row>
    <row r="49">
      <c r="A49" s="8" t="inlineStr">
        <is>
          <t>Spesa dell'esempio a 35 anni (video numero_fire_personale)</t>
        </is>
      </c>
      <c r="B49" s="10" t="n">
        <v>30000</v>
      </c>
    </row>
    <row r="50">
      <c r="A50" s="8" t="inlineStr">
        <is>
          <t>Esempio a 35 anni — eta' finale / eta' iniziale</t>
        </is>
      </c>
      <c r="B50" s="9" t="n">
        <v>95</v>
      </c>
      <c r="C50" s="9" t="n">
        <v>35</v>
      </c>
    </row>
    <row r="51">
      <c r="A51" s="8" t="inlineStr">
        <is>
          <t>Taglio delle pensioni nello scenario cauto</t>
        </is>
      </c>
      <c r="B51" s="11" t="n">
        <v>0.2</v>
      </c>
    </row>
    <row r="52">
      <c r="A52" s="8" t="inlineStr">
        <is>
          <t>Sequenza sfavorevole — crollo azionario penultimo / ultimo anno</t>
        </is>
      </c>
      <c r="B52" s="11" t="n">
        <v>-0.35</v>
      </c>
      <c r="C52" s="11" t="n">
        <v>-0.2</v>
      </c>
    </row>
    <row r="53">
      <c r="A53" s="8" t="inlineStr">
        <is>
          <t>Anno peggiore — crollo azionario</t>
        </is>
      </c>
      <c r="B53" s="11" t="n">
        <v>-0.4</v>
      </c>
    </row>
    <row r="54">
      <c r="A54" s="8" t="inlineStr">
        <is>
          <t>Quota azionaria attuale del portafoglio</t>
        </is>
      </c>
      <c r="B54" s="11" t="n">
        <v>0.7</v>
      </c>
    </row>
    <row r="55">
      <c r="A55" s="8" t="inlineStr">
        <is>
          <t>Glide path — quota azionaria finale</t>
        </is>
      </c>
      <c r="B55" s="11" t="n">
        <v>0.4</v>
      </c>
    </row>
    <row r="56">
      <c r="A56" s="8" t="inlineStr">
        <is>
          <t>Eta' di decorrenza della vecchiaia — anni / mesi</t>
        </is>
      </c>
      <c r="B56" s="9" t="n">
        <v>68</v>
      </c>
      <c r="C56" s="9" t="n">
        <v>2</v>
      </c>
    </row>
    <row r="57">
      <c r="A57" s="8" t="inlineStr">
        <is>
          <t>Via contributiva, Chiara — anni / mesi alla decorrenza</t>
        </is>
      </c>
      <c r="B57" s="9" t="n">
        <v>65</v>
      </c>
      <c r="C57" s="9" t="n">
        <v>3</v>
      </c>
    </row>
    <row r="58">
      <c r="A58" s="8" t="inlineStr">
        <is>
          <t>Via contributiva, marito — anni / mesi alla decorrenza</t>
        </is>
      </c>
      <c r="B58" s="9" t="n">
        <v>65</v>
      </c>
      <c r="C58" s="9" t="n">
        <v>9</v>
      </c>
    </row>
    <row r="59">
      <c r="A59" s="8" t="inlineStr">
        <is>
          <t>Frazione della prima annualita' (decorrenza non di gennaio)</t>
        </is>
      </c>
      <c r="B59" s="25" t="n">
        <v>0.5</v>
      </c>
    </row>
    <row r="60">
      <c r="A60" s="8" t="inlineStr">
        <is>
          <t>Leva sui costi — riduzione del costo annuo</t>
        </is>
      </c>
      <c r="B60" s="11" t="n">
        <v>0.005</v>
      </c>
    </row>
    <row r="61">
      <c r="A61" s="8" t="inlineStr">
        <is>
          <t>Leva sulla spesa — riduzione</t>
        </is>
      </c>
      <c r="B61" s="11" t="n">
        <v>0.1</v>
      </c>
    </row>
    <row r="62">
      <c r="A62" s="8" t="inlineStr">
        <is>
          <t>Leva sul risparmio — incremento annuo</t>
        </is>
      </c>
      <c r="B62" s="10" t="n">
        <v>3000</v>
      </c>
    </row>
    <row r="63">
      <c r="A63" s="8" t="inlineStr">
        <is>
          <t>Leva sull'allocazione — quota azionaria alternativa</t>
        </is>
      </c>
      <c r="B63" s="11" t="n">
        <v>0.85</v>
      </c>
    </row>
    <row r="64">
      <c r="A64" s="8" t="inlineStr">
        <is>
          <t>Glide — rendimento lordo del portafoglio post-ritiro (40/60)</t>
        </is>
      </c>
      <c r="B64" s="11" t="n">
        <v>0.025</v>
      </c>
    </row>
    <row r="65">
      <c r="A65" s="8" t="inlineStr">
        <is>
          <t>Orizzonte — eta' bassa / eta' alta della banda</t>
        </is>
      </c>
      <c r="B65" s="9" t="n">
        <v>92</v>
      </c>
      <c r="C65" s="9" t="n">
        <v>97</v>
      </c>
    </row>
    <row r="66">
      <c r="A66" s="8" t="inlineStr">
        <is>
          <t>Sensibilita' della spesa nella banda (±)</t>
        </is>
      </c>
      <c r="B66" s="10" t="n">
        <v>5000</v>
      </c>
    </row>
    <row r="68" ht="30" customHeight="1">
      <c r="A68" s="12" t="inlineStr">
        <is>
          <t>REFRESH GENNAIO 2027 — OBBLIGATORIO. I coefficienti di trasformazione di questo foglio sono quelli del DM 20/11/2024, validi per il biennio 2025-2026, e qui vengono applicati a decorrenze del 2037-2042: vanno rifatti alla pubblicazione del decreto successivo.</t>
        </is>
      </c>
    </row>
    <row r="69" ht="30" customHeight="1">
      <c r="A69" s="12" t="inlineStr">
        <is>
          <t>I 68 anni e 2 mesi della vecchiaia e il requisito della via contributiva intorno ai 65 anni sono PROIEZIONI della Ragioneria generale dello Stato per coorte, non norme in vigore: requisiti e soglie sono quelli di oggi, adeguamenti futuri sono possibili.</t>
        </is>
      </c>
    </row>
    <row r="70" ht="30" customHeight="1">
      <c r="A70" s="12" t="inlineStr">
        <is>
          <t>La soglia di 3,2 volte l'assegno sociale e' in vigore dal 2030 (penultimo periodo dell'art. 24 c. 11 del D.L. 201/2011: la L. 199/2025 ha soppresso soltanto l'ultimo periodo).</t>
        </is>
      </c>
    </row>
    <row r="71" ht="45" customHeight="1">
      <c r="A71" s="12" t="inlineStr">
        <is>
          <t>I coefficienti a 65 e 66 anni (5,250% e 5,423%) sono letti su rassegne del DM 20/11/2024, che e' fonte secondaria: convergono con l'estrapolazione della serie e con la somma di controllo sui tre incrementi, ma vanno riconfermati sul testo del decreto prima del go-live.</t>
        </is>
      </c>
    </row>
    <row r="72" ht="30" customHeight="1">
      <c r="A72" s="12" t="inlineStr">
        <is>
          <t>Il comma 3-bis rinvia al comma 3 nel suo insieme: i 50 € si applicano anche sotto i 28.000 €. Le addizionali NON sono dovute quando l'IRPEF netta e' zero: il modulo lo implementa ovunque.</t>
        </is>
      </c>
    </row>
  </sheetData>
  <mergeCells count="15">
    <mergeCell ref="A30:E30"/>
    <mergeCell ref="A69:E69"/>
    <mergeCell ref="A2:E2"/>
    <mergeCell ref="A72:E72"/>
    <mergeCell ref="A41:E41"/>
    <mergeCell ref="A33:E33"/>
    <mergeCell ref="A68:E68"/>
    <mergeCell ref="A71:E71"/>
    <mergeCell ref="A1:E1"/>
    <mergeCell ref="A5:E5"/>
    <mergeCell ref="A36:E36"/>
    <mergeCell ref="A44:E44"/>
    <mergeCell ref="A70:E70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8" customWidth="1" min="3" max="3"/>
    <col width="20" customWidth="1" min="4" max="4"/>
    <col width="20" customWidth="1" min="5" max="5"/>
    <col width="40" customWidth="1" min="6" max="6"/>
  </cols>
  <sheetData>
    <row r="1" ht="25" customHeight="1">
      <c r="A1" s="1" t="inlineStr">
        <is>
          <t>Composizione del patrimonio e plusvalenza latente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ACCUMULO ANNO PER ANNO — la latente e' DERIVATA, non postulata</t>
        </is>
      </c>
    </row>
    <row r="5">
      <c r="A5" s="13" t="inlineStr">
        <is>
          <t>Anno</t>
        </is>
      </c>
      <c r="B5" s="13" t="inlineStr">
        <is>
          <t>Versamento</t>
        </is>
      </c>
      <c r="C5" s="13" t="inlineStr">
        <is>
          <t>Evento</t>
        </is>
      </c>
      <c r="D5" s="13" t="inlineStr">
        <is>
          <t>Montante a fine anno</t>
        </is>
      </c>
      <c r="E5" s="13" t="inlineStr">
        <is>
          <t>Base di costo cumulata</t>
        </is>
      </c>
    </row>
    <row r="6">
      <c r="A6" s="18">
        <f>'1-Input'!$B$16</f>
        <v/>
      </c>
      <c r="B6" s="15">
        <f>IF(A6&gt;'1-Input'!$C$16,0,'1-Input'!$B$40)</f>
        <v/>
      </c>
      <c r="C6" s="15">
        <f>IF(A6='1-Input'!$B$15,'1-Input'!$B$14,0)</f>
        <v/>
      </c>
      <c r="D6" s="14">
        <f>(B6)*(1+'1-Input'!$B$46)+C6</f>
        <v/>
      </c>
      <c r="E6" s="14">
        <f>B6+C6</f>
        <v/>
      </c>
    </row>
    <row r="7">
      <c r="A7" s="18">
        <f>A6+1</f>
        <v/>
      </c>
      <c r="B7" s="15">
        <f>IF(A7&gt;'1-Input'!$C$16,0,'1-Input'!$B$40)</f>
        <v/>
      </c>
      <c r="C7" s="15">
        <f>IF(A7='1-Input'!$B$15,'1-Input'!$B$14,0)</f>
        <v/>
      </c>
      <c r="D7" s="14">
        <f>(D6+B7)*(1+'1-Input'!$B$46)+C7</f>
        <v/>
      </c>
      <c r="E7" s="14">
        <f>E6+B7+C7</f>
        <v/>
      </c>
    </row>
    <row r="8">
      <c r="A8" s="18">
        <f>A7+1</f>
        <v/>
      </c>
      <c r="B8" s="15">
        <f>IF(A8&gt;'1-Input'!$C$16,0,'1-Input'!$B$40)</f>
        <v/>
      </c>
      <c r="C8" s="15">
        <f>IF(A8='1-Input'!$B$15,'1-Input'!$B$14,0)</f>
        <v/>
      </c>
      <c r="D8" s="14">
        <f>(D7+B8)*(1+'1-Input'!$B$46)+C8</f>
        <v/>
      </c>
      <c r="E8" s="14">
        <f>E7+B8+C8</f>
        <v/>
      </c>
    </row>
    <row r="9">
      <c r="A9" s="18">
        <f>A8+1</f>
        <v/>
      </c>
      <c r="B9" s="15">
        <f>IF(A9&gt;'1-Input'!$C$16,0,'1-Input'!$B$40)</f>
        <v/>
      </c>
      <c r="C9" s="15">
        <f>IF(A9='1-Input'!$B$15,'1-Input'!$B$14,0)</f>
        <v/>
      </c>
      <c r="D9" s="14">
        <f>(D8+B9)*(1+'1-Input'!$B$46)+C9</f>
        <v/>
      </c>
      <c r="E9" s="14">
        <f>E8+B9+C9</f>
        <v/>
      </c>
    </row>
    <row r="10">
      <c r="A10" s="18">
        <f>A9+1</f>
        <v/>
      </c>
      <c r="B10" s="15">
        <f>IF(A10&gt;'1-Input'!$C$16,0,'1-Input'!$B$40)</f>
        <v/>
      </c>
      <c r="C10" s="15">
        <f>IF(A10='1-Input'!$B$15,'1-Input'!$B$14,0)</f>
        <v/>
      </c>
      <c r="D10" s="14">
        <f>(D9+B10)*(1+'1-Input'!$B$46)+C10</f>
        <v/>
      </c>
      <c r="E10" s="14">
        <f>E9+B10+C10</f>
        <v/>
      </c>
    </row>
    <row r="11">
      <c r="A11" s="18">
        <f>A10+1</f>
        <v/>
      </c>
      <c r="B11" s="15">
        <f>IF(A11&gt;'1-Input'!$C$16,0,'1-Input'!$B$40)</f>
        <v/>
      </c>
      <c r="C11" s="15">
        <f>IF(A11='1-Input'!$B$15,'1-Input'!$B$14,0)</f>
        <v/>
      </c>
      <c r="D11" s="14">
        <f>(D10+B11)*(1+'1-Input'!$B$46)+C11</f>
        <v/>
      </c>
      <c r="E11" s="14">
        <f>E10+B11+C11</f>
        <v/>
      </c>
    </row>
    <row r="12">
      <c r="A12" s="18">
        <f>A11+1</f>
        <v/>
      </c>
      <c r="B12" s="15">
        <f>IF(A12&gt;'1-Input'!$C$16,0,'1-Input'!$B$40)</f>
        <v/>
      </c>
      <c r="C12" s="15">
        <f>IF(A12='1-Input'!$B$15,'1-Input'!$B$14,0)</f>
        <v/>
      </c>
      <c r="D12" s="14">
        <f>(D11+B12)*(1+'1-Input'!$B$46)+C12</f>
        <v/>
      </c>
      <c r="E12" s="14">
        <f>E11+B12+C12</f>
        <v/>
      </c>
    </row>
    <row r="13">
      <c r="A13" s="18">
        <f>A12+1</f>
        <v/>
      </c>
      <c r="B13" s="15">
        <f>IF(A13&gt;'1-Input'!$C$16,0,'1-Input'!$B$40)</f>
        <v/>
      </c>
      <c r="C13" s="15">
        <f>IF(A13='1-Input'!$B$15,'1-Input'!$B$14,0)</f>
        <v/>
      </c>
      <c r="D13" s="14">
        <f>(D12+B13)*(1+'1-Input'!$B$46)+C13</f>
        <v/>
      </c>
      <c r="E13" s="14">
        <f>E12+B13+C13</f>
        <v/>
      </c>
    </row>
    <row r="14">
      <c r="A14" s="18">
        <f>A13+1</f>
        <v/>
      </c>
      <c r="B14" s="15">
        <f>IF(A14&gt;'1-Input'!$C$16,0,'1-Input'!$B$40)</f>
        <v/>
      </c>
      <c r="C14" s="15">
        <f>IF(A14='1-Input'!$B$15,'1-Input'!$B$14,0)</f>
        <v/>
      </c>
      <c r="D14" s="14">
        <f>(D13+B14)*(1+'1-Input'!$B$46)+C14</f>
        <v/>
      </c>
      <c r="E14" s="14">
        <f>E13+B14+C14</f>
        <v/>
      </c>
    </row>
    <row r="15">
      <c r="A15" s="18">
        <f>A14+1</f>
        <v/>
      </c>
      <c r="B15" s="15">
        <f>IF(A15&gt;'1-Input'!$C$16,0,'1-Input'!$B$40)</f>
        <v/>
      </c>
      <c r="C15" s="15">
        <f>IF(A15='1-Input'!$B$15,'1-Input'!$B$14,0)</f>
        <v/>
      </c>
      <c r="D15" s="14">
        <f>(D14+B15)*(1+'1-Input'!$B$46)+C15</f>
        <v/>
      </c>
      <c r="E15" s="14">
        <f>E14+B15+C15</f>
        <v/>
      </c>
    </row>
    <row r="16">
      <c r="A16" s="18">
        <f>A15+1</f>
        <v/>
      </c>
      <c r="B16" s="15">
        <f>IF(A16&gt;'1-Input'!$C$16,0,'1-Input'!$B$40)</f>
        <v/>
      </c>
      <c r="C16" s="15">
        <f>IF(A16='1-Input'!$B$15,'1-Input'!$B$14,0)</f>
        <v/>
      </c>
      <c r="D16" s="14">
        <f>(D15+B16)*(1+'1-Input'!$B$46)+C16</f>
        <v/>
      </c>
      <c r="E16" s="14">
        <f>E15+B16+C16</f>
        <v/>
      </c>
    </row>
    <row r="17">
      <c r="A17" s="18">
        <f>A16+1</f>
        <v/>
      </c>
      <c r="B17" s="15">
        <f>IF(A17&gt;'1-Input'!$C$16,0,'1-Input'!$B$40)</f>
        <v/>
      </c>
      <c r="C17" s="15">
        <f>IF(A17='1-Input'!$B$15,'1-Input'!$B$14,0)</f>
        <v/>
      </c>
      <c r="D17" s="14">
        <f>(D16+B17)*(1+'1-Input'!$B$46)+C17</f>
        <v/>
      </c>
      <c r="E17" s="14">
        <f>E16+B17+C17</f>
        <v/>
      </c>
    </row>
    <row r="18">
      <c r="A18" s="18">
        <f>A17+1</f>
        <v/>
      </c>
      <c r="B18" s="15">
        <f>IF(A18&gt;'1-Input'!$C$16,0,'1-Input'!$B$40)</f>
        <v/>
      </c>
      <c r="C18" s="15">
        <f>IF(A18='1-Input'!$B$15,'1-Input'!$B$14,0)</f>
        <v/>
      </c>
      <c r="D18" s="14">
        <f>(D17+B18)*(1+'1-Input'!$B$46)+C18</f>
        <v/>
      </c>
      <c r="E18" s="14">
        <f>E17+B18+C18</f>
        <v/>
      </c>
    </row>
    <row r="19">
      <c r="A19" s="18">
        <f>A18+1</f>
        <v/>
      </c>
      <c r="B19" s="15">
        <f>IF(A19&gt;'1-Input'!$C$16,0,'1-Input'!$B$40)</f>
        <v/>
      </c>
      <c r="C19" s="15">
        <f>IF(A19='1-Input'!$B$15,'1-Input'!$B$14,0)</f>
        <v/>
      </c>
      <c r="D19" s="14">
        <f>(D18+B19)*(1+'1-Input'!$B$46)+C19</f>
        <v/>
      </c>
      <c r="E19" s="14">
        <f>E18+B19+C19</f>
        <v/>
      </c>
    </row>
    <row r="20">
      <c r="A20" s="18">
        <f>A19+1</f>
        <v/>
      </c>
      <c r="B20" s="15">
        <f>IF(A20&gt;'1-Input'!$C$16,0,'1-Input'!$B$40)</f>
        <v/>
      </c>
      <c r="C20" s="15">
        <f>IF(A20='1-Input'!$B$15,'1-Input'!$B$14,0)</f>
        <v/>
      </c>
      <c r="D20" s="14">
        <f>(D19+B20)*(1+'1-Input'!$B$46)+C20</f>
        <v/>
      </c>
      <c r="E20" s="14">
        <f>E19+B20+C20</f>
        <v/>
      </c>
    </row>
    <row r="21">
      <c r="A21" s="18">
        <f>A20+1</f>
        <v/>
      </c>
      <c r="B21" s="15">
        <f>IF(A21&gt;'1-Input'!$C$16,0,'1-Input'!$B$40)</f>
        <v/>
      </c>
      <c r="C21" s="15">
        <f>IF(A21='1-Input'!$B$15,'1-Input'!$B$14,0)</f>
        <v/>
      </c>
      <c r="D21" s="14">
        <f>(D20+B21)*(1+'1-Input'!$B$46)+C21</f>
        <v/>
      </c>
      <c r="E21" s="14">
        <f>E20+B21+C21</f>
        <v/>
      </c>
    </row>
    <row r="22">
      <c r="A22" s="18">
        <f>A21+1</f>
        <v/>
      </c>
      <c r="B22" s="15">
        <f>IF(A22&gt;'1-Input'!$C$16,0,'1-Input'!$B$40)</f>
        <v/>
      </c>
      <c r="C22" s="15">
        <f>IF(A22='1-Input'!$B$15,'1-Input'!$B$14,0)</f>
        <v/>
      </c>
      <c r="D22" s="14">
        <f>(D21+B22)*(1+'1-Input'!$B$46)+C22</f>
        <v/>
      </c>
      <c r="E22" s="14">
        <f>E21+B22+C22</f>
        <v/>
      </c>
    </row>
    <row r="23">
      <c r="A23" s="18">
        <f>A22+1</f>
        <v/>
      </c>
      <c r="B23" s="15">
        <f>IF(A23&gt;'1-Input'!$C$16,0,'1-Input'!$B$40)</f>
        <v/>
      </c>
      <c r="C23" s="15">
        <f>IF(A23='1-Input'!$B$15,'1-Input'!$B$14,0)</f>
        <v/>
      </c>
      <c r="D23" s="14">
        <f>(D22+B23)*(1+'1-Input'!$B$46)+C23</f>
        <v/>
      </c>
      <c r="E23" s="14">
        <f>E22+B23+C23</f>
        <v/>
      </c>
    </row>
    <row r="24">
      <c r="A24" s="18">
        <f>A23+1</f>
        <v/>
      </c>
      <c r="B24" s="15">
        <f>IF(A24&gt;'1-Input'!$C$16,0,'1-Input'!$B$40)</f>
        <v/>
      </c>
      <c r="C24" s="15">
        <f>IF(A24='1-Input'!$B$15,'1-Input'!$B$14,0)</f>
        <v/>
      </c>
      <c r="D24" s="14">
        <f>(D23+B24)*(1+'1-Input'!$B$46)+C24</f>
        <v/>
      </c>
      <c r="E24" s="14">
        <f>E23+B24+C24</f>
        <v/>
      </c>
    </row>
    <row r="25">
      <c r="A25" s="18">
        <f>A24+1</f>
        <v/>
      </c>
      <c r="B25" s="15">
        <f>IF(A25&gt;'1-Input'!$C$16,0,'1-Input'!$B$40)</f>
        <v/>
      </c>
      <c r="C25" s="15">
        <f>IF(A25='1-Input'!$B$15,'1-Input'!$B$14,0)</f>
        <v/>
      </c>
      <c r="D25" s="14">
        <f>(D24+B25)*(1+'1-Input'!$B$46)+C25</f>
        <v/>
      </c>
      <c r="E25" s="14">
        <f>E24+B25+C25</f>
        <v/>
      </c>
    </row>
    <row r="26">
      <c r="A26" s="18">
        <f>A25+1</f>
        <v/>
      </c>
      <c r="B26" s="15">
        <f>IF(A26&gt;'1-Input'!$C$16,0,'1-Input'!$B$40)</f>
        <v/>
      </c>
      <c r="C26" s="15">
        <f>IF(A26='1-Input'!$B$15,'1-Input'!$B$14,0)</f>
        <v/>
      </c>
      <c r="D26" s="14">
        <f>(D25+B26)*(1+'1-Input'!$B$46)+C26</f>
        <v/>
      </c>
      <c r="E26" s="14">
        <f>E25+B26+C26</f>
        <v/>
      </c>
    </row>
    <row r="27">
      <c r="A27" s="18">
        <f>A26+1</f>
        <v/>
      </c>
      <c r="B27" s="15">
        <f>IF(A27&gt;'1-Input'!$C$16,0,'1-Input'!$B$40)</f>
        <v/>
      </c>
      <c r="C27" s="15">
        <f>IF(A27='1-Input'!$B$15,'1-Input'!$B$14,0)</f>
        <v/>
      </c>
      <c r="D27" s="14">
        <f>(D26+B27)*(1+'1-Input'!$B$46)+C27</f>
        <v/>
      </c>
      <c r="E27" s="14">
        <f>E26+B27+C27</f>
        <v/>
      </c>
    </row>
    <row r="28">
      <c r="A28" s="18">
        <f>A27+1</f>
        <v/>
      </c>
      <c r="B28" s="15">
        <f>IF(A28&gt;'1-Input'!$C$16,0,'1-Input'!$B$40)</f>
        <v/>
      </c>
      <c r="C28" s="15">
        <f>IF(A28='1-Input'!$B$15,'1-Input'!$B$14,0)</f>
        <v/>
      </c>
      <c r="D28" s="14">
        <f>(D27+B28)*(1+'1-Input'!$B$46)+C28</f>
        <v/>
      </c>
      <c r="E28" s="14">
        <f>E27+B28+C28</f>
        <v/>
      </c>
    </row>
    <row r="29">
      <c r="A29" s="18">
        <f>A28+1</f>
        <v/>
      </c>
      <c r="B29" s="15">
        <f>IF(A29&gt;'1-Input'!$C$16,0,'1-Input'!$B$40)</f>
        <v/>
      </c>
      <c r="C29" s="15">
        <f>IF(A29='1-Input'!$B$15,'1-Input'!$B$14,0)</f>
        <v/>
      </c>
      <c r="D29" s="14">
        <f>(D28+B29)*(1+'1-Input'!$B$46)+C29</f>
        <v/>
      </c>
      <c r="E29" s="14">
        <f>E28+B29+C29</f>
        <v/>
      </c>
    </row>
    <row r="31">
      <c r="A31" s="7" t="inlineStr">
        <is>
          <t>IL PATRIMONIO DI OGGI</t>
        </is>
      </c>
    </row>
    <row r="32">
      <c r="A32" s="8" t="inlineStr">
        <is>
          <t>Componente da accumulo (24 versamenti reali costanti)</t>
        </is>
      </c>
      <c r="B32" s="14">
        <f>D29-B33</f>
        <v/>
      </c>
    </row>
    <row r="33">
      <c r="A33" s="8" t="inlineStr">
        <is>
          <t>Componente dall'evento del 2019, capitalizzata</t>
        </is>
      </c>
      <c r="B33" s="14">
        <f>'1-Input'!$B$14*(1+'1-Input'!$B$46)^('1-Input'!$C$16-'1-Input'!$B$15)</f>
        <v/>
      </c>
    </row>
    <row r="34">
      <c r="A34" s="8" t="inlineStr">
        <is>
          <t>Base di costo dell'accumulo</t>
        </is>
      </c>
      <c r="B34" s="14">
        <f>'1-Input'!$B$45*'1-Input'!$B$40</f>
        <v/>
      </c>
    </row>
    <row r="35">
      <c r="A35" s="8" t="inlineStr">
        <is>
          <t>Base di costo dell'evento</t>
        </is>
      </c>
      <c r="B35" s="14">
        <f>'1-Input'!$B$14</f>
        <v/>
      </c>
    </row>
    <row r="36">
      <c r="A36" s="8" t="inlineStr">
        <is>
          <t>PATRIMONIO FINANZIARIO al 2026</t>
        </is>
      </c>
      <c r="B36" s="14">
        <f>D29</f>
        <v/>
      </c>
    </row>
    <row r="37">
      <c r="A37" s="8" t="inlineStr">
        <is>
          <t>Base di costo totale</t>
        </is>
      </c>
      <c r="B37" s="14">
        <f>E29</f>
        <v/>
      </c>
    </row>
    <row r="38">
      <c r="A38" s="8" t="inlineStr">
        <is>
          <t>PLUSVALENZA LATENTE (con il floor a zero)</t>
        </is>
      </c>
      <c r="B38" s="19">
        <f>MAX(0,(B36-B37)/B36)</f>
        <v/>
      </c>
    </row>
    <row r="39">
      <c r="A39" s="8" t="inlineStr">
        <is>
          <t>Fattore di lordizzazione G(2026) = 1 / (1 − capital gain × latente)</t>
        </is>
      </c>
      <c r="B39" s="26">
        <f>1/(1-'P-Parametri'!$B$31*B38)</f>
        <v/>
      </c>
    </row>
    <row r="41">
      <c r="A41" s="7" t="inlineStr">
        <is>
          <t>LA SOGLIA IN CUI IL CAPITALE DIVENTA IL MOTORE</t>
        </is>
      </c>
    </row>
    <row r="42">
      <c r="A42" s="8" t="inlineStr">
        <is>
          <t>Soglia K* = versamento annuo / rendimento netto</t>
        </is>
      </c>
      <c r="B42" s="14">
        <f>'1-Input'!$B$40/'1-Input'!$B$46</f>
        <v/>
      </c>
    </row>
    <row r="43">
      <c r="A43" s="8" t="inlineStr">
        <is>
          <t>Multiplo del versamento annuo</t>
        </is>
      </c>
      <c r="B43" s="17">
        <f>1/'1-Input'!$B$46</f>
        <v/>
      </c>
    </row>
    <row r="44">
      <c r="A44" s="8" t="inlineStr">
        <is>
          <t>Anno in cui la soglia e' stata superata</t>
        </is>
      </c>
      <c r="B44" s="18">
        <f>INDEX($A$6:$A$29,MATCH(B42,$D$6:$D$29,1)+1)</f>
        <v/>
      </c>
    </row>
    <row r="45">
      <c r="A45" s="8" t="inlineStr">
        <is>
          <t>Capitale a fine dell'anno precedente</t>
        </is>
      </c>
      <c r="B45" s="14">
        <f>INDEX($D$6:$D$29,MATCH(B42,$D$6:$D$29,1))</f>
        <v/>
      </c>
    </row>
    <row r="46">
      <c r="A46" s="8" t="inlineStr">
        <is>
          <t>Capitale a fine dell'anno di superamento</t>
        </is>
      </c>
      <c r="B46" s="14">
        <f>INDEX($D$6:$D$29,MATCH(B42,$D$6:$D$29,1)+1)</f>
        <v/>
      </c>
    </row>
    <row r="47">
      <c r="A47" s="8" t="inlineStr">
        <is>
          <t>Crescita attesa del primo anno (patrimonio × rendimento lordo)</t>
        </is>
      </c>
      <c r="B47" s="14">
        <f>B36*'1-Input'!$B$17</f>
        <v/>
      </c>
    </row>
    <row r="48">
      <c r="A48" s="8" t="inlineStr">
        <is>
          <t>Rapporto fra crescita attesa e versamenti annui</t>
        </is>
      </c>
      <c r="B48" s="17">
        <f>B47/'1-Input'!$B$40</f>
        <v/>
      </c>
    </row>
    <row r="50" ht="45" customHeight="1">
      <c r="A50" s="12" t="inlineStr">
        <is>
          <t>LA LATENTE E' DERIVATA. Cambiando la spesa cambia il risparmio, quindi l'accumulo, quindi il patrimonio e la base di costo: la plusvalenza latente esce dalla catena e non e' un parametro postulato. Il floor a zero e' dichiarato: una latente negativa non ha significato fiscale qui, e il fattore di lordizzazione non puo' scendere sotto 1.</t>
        </is>
      </c>
    </row>
    <row r="51" ht="30" customHeight="1">
      <c r="A51" s="12" t="inlineStr">
        <is>
          <t>Convenzione dichiarata: i versamenti entrano a inizio anno e capitalizzano per l'anno intero; l'evento del 2019 entra a fine anno e capitalizza dall'anno successivo. Il rendimento e' quello NETTO BOLLO (rendimento lordo − 0,20%).</t>
        </is>
      </c>
    </row>
    <row r="52" ht="15" customHeight="1">
      <c r="A52" s="12" t="inlineStr">
        <is>
          <t>Cautela sul caso: 17.457 € reali costanti per ventiquattro anni significa che nei primi anni lo sforzo di risparmio era molto piu' pesante di oggi.</t>
        </is>
      </c>
    </row>
  </sheetData>
  <mergeCells count="8">
    <mergeCell ref="A41:F41"/>
    <mergeCell ref="A2:F2"/>
    <mergeCell ref="A51:F51"/>
    <mergeCell ref="A52:F52"/>
    <mergeCell ref="A1:F1"/>
    <mergeCell ref="A31:F31"/>
    <mergeCell ref="A50:F50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 ht="25" customHeight="1">
      <c r="A1" s="1" t="inlineStr">
        <is>
          <t>Il rendimento derivato e la banda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r(w) = rendimento delle azioni × w + rendimento delle obbligazioni × (1 − w)</t>
        </is>
      </c>
    </row>
    <row r="5">
      <c r="A5" s="8" t="inlineStr">
        <is>
          <t>Quota azionaria del portafoglio</t>
        </is>
      </c>
      <c r="B5" s="19">
        <f>'P-Parametri'!$B$54</f>
        <v/>
      </c>
    </row>
    <row r="6">
      <c r="A6" s="8" t="inlineStr">
        <is>
          <t>Rendimento atteso delle azioni (forward-looking, Fig. 52)</t>
        </is>
      </c>
      <c r="B6" s="19">
        <f>'P-Parametri'!$B$42</f>
        <v/>
      </c>
    </row>
    <row r="7">
      <c r="A7" s="8" t="inlineStr">
        <is>
          <t>Rendimento atteso delle obbligazioni (forward-looking, Fig. 52)</t>
        </is>
      </c>
      <c r="B7" s="19">
        <f>'P-Parametri'!$C$42</f>
        <v/>
      </c>
    </row>
    <row r="8">
      <c r="A8" s="8" t="inlineStr">
        <is>
          <t>RENDIMENTO LORDO DERIVATO sul 70/30</t>
        </is>
      </c>
      <c r="B8" s="19">
        <f>B6*B5+B7*(1-B5)</f>
        <v/>
      </c>
    </row>
    <row r="9">
      <c r="A9" s="8" t="inlineStr">
        <is>
          <t>Verifica sul 60/40 del canale (il pavimento della banda)</t>
        </is>
      </c>
      <c r="B9" s="19">
        <f>B6*0.6+B7*0.4</f>
        <v/>
      </c>
    </row>
    <row r="10">
      <c r="A10" s="8" t="inlineStr">
        <is>
          <t>Bollo titoli</t>
        </is>
      </c>
      <c r="B10" s="19">
        <f>'1-Input'!$B$18</f>
        <v/>
      </c>
    </row>
    <row r="11">
      <c r="A11" s="8" t="inlineStr">
        <is>
          <t>RENDIMENTO NETTO BOLLO usato dal motore</t>
        </is>
      </c>
      <c r="B11" s="19">
        <f>'1-Input'!$B$17-'1-Input'!$B$18</f>
        <v/>
      </c>
    </row>
    <row r="13">
      <c r="A13" s="7" t="inlineStr">
        <is>
          <t>LA BANDA — ogni estremo con la sua edizione dichiarata</t>
        </is>
      </c>
    </row>
    <row r="14">
      <c r="A14" s="13" t="inlineStr">
        <is>
          <t>Estremo</t>
        </is>
      </c>
      <c r="B14" s="13" t="inlineStr">
        <is>
          <t>Quota azionaria</t>
        </is>
      </c>
      <c r="C14" s="13" t="inlineStr">
        <is>
          <t>Rendimento lordo</t>
        </is>
      </c>
      <c r="D14" s="13" t="inlineStr">
        <is>
          <t>Rendimento netto bollo</t>
        </is>
      </c>
      <c r="E14" s="13" t="inlineStr">
        <is>
          <t>Edizione dichiarata</t>
        </is>
      </c>
    </row>
    <row r="15">
      <c r="A15" s="8" t="inlineStr">
        <is>
          <t>Pavimento — 60/40 forward-looking</t>
        </is>
      </c>
      <c r="B15" s="19">
        <f>0.6</f>
        <v/>
      </c>
      <c r="C15" s="19">
        <f>B6*0.6+B7*0.4</f>
        <v/>
      </c>
      <c r="D15" s="19">
        <f>C15-'1-Input'!$B$18</f>
        <v/>
      </c>
      <c r="E15" t="inlineStr">
        <is>
          <t>Yearbook 2023, Fig. 52 — prospettico</t>
        </is>
      </c>
    </row>
    <row r="16">
      <c r="A16" s="8" t="inlineStr">
        <is>
          <t>Centro — 70/30 forward-looking</t>
        </is>
      </c>
      <c r="B16" s="19">
        <f>B5</f>
        <v/>
      </c>
      <c r="C16" s="19">
        <f>B8</f>
        <v/>
      </c>
      <c r="D16" s="19">
        <f>C16-'1-Input'!$B$18</f>
        <v/>
      </c>
      <c r="E16" t="inlineStr">
        <is>
          <t>Yearbook 2023, Fig. 52 — prospettico</t>
        </is>
      </c>
    </row>
    <row r="17">
      <c r="A17" s="8" t="inlineStr">
        <is>
          <t>Tetto — 70/30 sul reale storico 1900-2024</t>
        </is>
      </c>
      <c r="B17" s="19">
        <f>B5</f>
        <v/>
      </c>
      <c r="C17" s="19">
        <f>'P-Parametri'!$B$43*B5+'P-Parametri'!$C$43*(1-B5)</f>
        <v/>
      </c>
      <c r="D17" s="19">
        <f>C17-'1-Input'!$B$18</f>
        <v/>
      </c>
      <c r="E17" t="inlineStr">
        <is>
          <t>Yearbook 2025, storico 1900-2024</t>
        </is>
      </c>
    </row>
    <row r="19" ht="30" customHeight="1">
      <c r="A19" s="12" t="inlineStr">
        <is>
          <t>Centro e pavimento sono FORWARD-LOOKING (Yearbook 2023, cap. 5, Fig. 52 «World in the future»); il tetto e' STORICO (reale 1900-2024, Yearbook 2025). Le due nature sono diverse e metterle nella stessa banda e' una scelta del canale, non della fonte: qui e' dichiarata riga per riga.</t>
        </is>
      </c>
    </row>
    <row r="20" ht="15" customHeight="1">
      <c r="A20" s="12" t="inlineStr">
        <is>
          <t>Tranello evitato: lo 0,9% del summary 2025 e' la media semplice dei ventuno paesi, non l'indice mondiale, e non entra in questa banda.</t>
        </is>
      </c>
    </row>
    <row r="21" ht="30" customHeight="1">
      <c r="A21" s="12" t="inlineStr">
        <is>
          <t>Il 3,25% e' una stima prospettica, non una previsione. Il canone del canale resta il 3% reale: questo caso usa il 3,25% derivato dall'allocazione dichiarata, con il 3,00% come pavimento.</t>
        </is>
      </c>
    </row>
  </sheetData>
  <mergeCells count="7">
    <mergeCell ref="A2:F2"/>
    <mergeCell ref="A13:F13"/>
    <mergeCell ref="A19:F19"/>
    <mergeCell ref="A1:F1"/>
    <mergeCell ref="A4:F4"/>
    <mergeCell ref="A20:F20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8" customWidth="1" min="4" max="4"/>
    <col width="40" customWidth="1" min="5" max="5"/>
  </cols>
  <sheetData>
    <row r="1" ht="25" customHeight="1">
      <c r="A1" s="1" t="inlineStr">
        <is>
          <t>Montanti contributivi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IL MONTANTE DI OGGI (2026)</t>
        </is>
      </c>
    </row>
    <row r="5">
      <c r="A5" s="13" t="inlineStr">
        <is>
          <t>Voce</t>
        </is>
      </c>
      <c r="B5" s="13" t="inlineStr">
        <is>
          <t>Chiara</t>
        </is>
      </c>
      <c r="C5" s="13" t="inlineStr">
        <is>
          <t>Marito</t>
        </is>
      </c>
    </row>
    <row r="6">
      <c r="A6" s="8" t="inlineStr">
        <is>
          <t>Anni contributivi al 2026 (anni di carriera × densita')</t>
        </is>
      </c>
      <c r="B6" s="20">
        <f>'1-Input'!$B$49</f>
        <v/>
      </c>
      <c r="C6" s="20">
        <f>'1-Input'!$C$49</f>
        <v/>
      </c>
    </row>
    <row r="7">
      <c r="A7" s="8" t="inlineStr">
        <is>
          <t>Contributo annuo medio (aliquota di computo × media di carriera)</t>
        </is>
      </c>
      <c r="B7" s="14">
        <f>'1-Input'!$B$9*'P-Parametri'!$B$19</f>
        <v/>
      </c>
      <c r="C7" s="14">
        <f>'1-Input'!$B$11*'P-Parametri'!$B$19</f>
        <v/>
      </c>
    </row>
    <row r="8">
      <c r="A8" s="8" t="inlineStr">
        <is>
          <t>Fattore di rivalutazione cumulata al 2026</t>
        </is>
      </c>
      <c r="B8" s="26">
        <f>'P-Parametri'!$B$28</f>
        <v/>
      </c>
      <c r="C8" s="26">
        <f>'P-Parametri'!$B$28</f>
        <v/>
      </c>
    </row>
    <row r="9">
      <c r="A9" s="8" t="inlineStr">
        <is>
          <t>MONTANTE CONTRIBUTIVO AL 2026</t>
        </is>
      </c>
      <c r="B9" s="14">
        <f>B6*B7*B8</f>
        <v/>
      </c>
      <c r="C9" s="14">
        <f>C6*C7*C8</f>
        <v/>
      </c>
    </row>
    <row r="10">
      <c r="A10" s="8" t="inlineStr">
        <is>
          <t>Banda del montante di Chiara — minimo (buchi all'inizio) / massimo</t>
        </is>
      </c>
      <c r="B10" s="15">
        <f>'P-Parametri'!$B$45</f>
        <v/>
      </c>
      <c r="C10" s="15">
        <f>'P-Parametri'!$C$45</f>
        <v/>
      </c>
    </row>
    <row r="11">
      <c r="A11" s="8" t="inlineStr">
        <is>
          <t>Semaforo: almeno 20 anni di contribuzione?</t>
        </is>
      </c>
      <c r="B11" s="27">
        <f>IF(B6&gt;='P-Parametri'!$B$29,"SI","NO")</f>
        <v/>
      </c>
      <c r="C11" s="27">
        <f>IF(C6&gt;='P-Parametri'!$B$29,"SI","NO")</f>
        <v/>
      </c>
    </row>
    <row r="13">
      <c r="A13" s="7" t="inlineStr">
        <is>
          <t>IL MONTANTE AL RITIRO</t>
        </is>
      </c>
    </row>
    <row r="14">
      <c r="A14" s="8" t="inlineStr">
        <is>
          <t>Contributo annuo futuro (aliquota × retribuzione attuale)</t>
        </is>
      </c>
      <c r="B14" s="14">
        <f>'1-Input'!$B$48</f>
        <v/>
      </c>
      <c r="C14" s="14">
        <f>'1-Input'!$C$48</f>
        <v/>
      </c>
    </row>
    <row r="15">
      <c r="A15" s="8" t="inlineStr">
        <is>
          <t>Anni di contribuzione dopo il 2026</t>
        </is>
      </c>
      <c r="B15" s="18">
        <f>'1-Input'!$B$50</f>
        <v/>
      </c>
      <c r="C15" s="18">
        <f>'1-Input'!$B$50</f>
        <v/>
      </c>
    </row>
    <row r="16">
      <c r="A16" s="8" t="inlineStr">
        <is>
          <t>Fattore di rivalutazione dello stock (1 + g) elevato agli anni</t>
        </is>
      </c>
      <c r="B16" s="26">
        <f>(1+'1-Input'!$B$21)^B15</f>
        <v/>
      </c>
      <c r="C16" s="26">
        <f>(1+'1-Input'!$B$21)^C15</f>
        <v/>
      </c>
    </row>
    <row r="17">
      <c r="A17" s="8" t="inlineStr">
        <is>
          <t>Fattore di accumulo dei contributi futuri</t>
        </is>
      </c>
      <c r="B17" s="26">
        <f>IF('1-Input'!$B$21=0,B15,((1+'1-Input'!$B$21)^B15-1)/'1-Input'!$B$21)</f>
        <v/>
      </c>
      <c r="C17" s="26">
        <f>IF('1-Input'!$B$21=0,C15,((1+'1-Input'!$B$21)^C15-1)/'1-Input'!$B$21)</f>
        <v/>
      </c>
    </row>
    <row r="18">
      <c r="A18" s="8" t="inlineStr">
        <is>
          <t>MONTANTE AL RITIRO (fine dell'anno di ritiro)</t>
        </is>
      </c>
      <c r="B18" s="14">
        <f>B9*B16+B14*B17</f>
        <v/>
      </c>
      <c r="C18" s="14">
        <f>C9*C16+C14*C17</f>
        <v/>
      </c>
    </row>
    <row r="20" ht="30" customHeight="1">
      <c r="A20" s="12" t="inlineStr">
        <is>
          <t>CONVENZIONE — ac + ar e' una COSTANTE. La distanza fra oggi e la decorrenza dipende dall'eta', non dalla data in cui si smette di lavorare: lavorare uno o due anni in piu' sposta anni dalla sola rivalutazione alla contribuzione, non li aggiunge. Il motore lo implementa nei fogli 5, 9 e 11.</t>
        </is>
      </c>
    </row>
    <row r="21" ht="45" customHeight="1">
      <c r="A21" s="12" t="inlineStr">
        <is>
          <t>Il fattore di rivalutazione cumulata al 2026 (1,020765) sintetizza la serie storica del PIL nominale quinquennale. La ricostruzione anno per anno sulla serie INPS 707/2026 e' un refresh dichiarato: la direzione dell'errore e' ignota, l'ampiezza e' misurata (±3% sul montante di Chiara vale circa ±13.000 € sul fabbisogno).</t>
        </is>
      </c>
    </row>
    <row r="22" ht="30" customHeight="1">
      <c r="A22" s="12" t="inlineStr">
        <is>
          <t>La densita' contributiva di Chiara (85%) e' un'ipotesi centrale con i buchi distribuiti in modo uniforme. La banda della riga 10 mostra gli estremi: buchi all'inizio (montante piu' basso) e buchi alla fine (montante piu' alto).</t>
        </is>
      </c>
    </row>
  </sheetData>
  <mergeCells count="7">
    <mergeCell ref="A21:E21"/>
    <mergeCell ref="A4:E4"/>
    <mergeCell ref="A20:E20"/>
    <mergeCell ref="A2:E2"/>
    <mergeCell ref="A1:E1"/>
    <mergeCell ref="A13:E13"/>
    <mergeCell ref="A22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8" customWidth="1" min="4" max="4"/>
    <col width="40" customWidth="1" min="5" max="5"/>
  </cols>
  <sheetData>
    <row r="1" ht="25" customHeight="1">
      <c r="A1" s="1" t="inlineStr">
        <is>
          <t>Le due pensioni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SCENARIO A — vecchiaia a 68 anni e 2 mesi (proiezione RGS)</t>
        </is>
      </c>
    </row>
    <row r="5">
      <c r="A5" s="13" t="inlineStr">
        <is>
          <t>Voce</t>
        </is>
      </c>
      <c r="B5" s="13" t="inlineStr">
        <is>
          <t>Chiara</t>
        </is>
      </c>
      <c r="C5" s="13" t="inlineStr">
        <is>
          <t>Marito</t>
        </is>
      </c>
    </row>
    <row r="6">
      <c r="A6" s="8" t="inlineStr">
        <is>
          <t>Montante contributivo al 2026</t>
        </is>
      </c>
      <c r="B6" s="14">
        <f>'4-Montanti'!$B$9</f>
        <v/>
      </c>
      <c r="C6" s="14">
        <f>'4-Montanti'!$C$9</f>
        <v/>
      </c>
    </row>
    <row r="7">
      <c r="A7" s="8" t="inlineStr">
        <is>
          <t>Anni di contribuzione dopo il 2026</t>
        </is>
      </c>
      <c r="B7" s="18">
        <f>'1-Input'!$B$50</f>
        <v/>
      </c>
      <c r="C7" s="18">
        <f>'1-Input'!$B$50</f>
        <v/>
      </c>
    </row>
    <row r="8">
      <c r="A8" s="8" t="inlineStr">
        <is>
          <t>Anno di decorrenza (requisito anagrafico incluso)</t>
        </is>
      </c>
      <c r="B8" s="18">
        <f>'1-Input'!$B$51+'1-Input'!$B$22</f>
        <v/>
      </c>
      <c r="C8" s="18">
        <f>'1-Input'!$B$52+'1-Input'!$B$22</f>
        <v/>
      </c>
    </row>
    <row r="9">
      <c r="A9" s="8" t="inlineStr">
        <is>
          <t>Mese di decorrenza</t>
        </is>
      </c>
      <c r="B9" s="18">
        <f>'1-Input'!$C$51</f>
        <v/>
      </c>
      <c r="C9" s="18">
        <f>'1-Input'!$C$52</f>
        <v/>
      </c>
    </row>
    <row r="10">
      <c r="A10" s="8" t="inlineStr">
        <is>
          <t>Anni di sola rivalutazione fino alla decorrenza (ar)</t>
        </is>
      </c>
      <c r="B10" s="28">
        <f>B8-('1-Input'!$C$16+1)+(B9-1)/12-B7</f>
        <v/>
      </c>
      <c r="C10" s="28">
        <f>C8-('1-Input'!$C$16+1)+(C9-1)/12-C7</f>
        <v/>
      </c>
    </row>
    <row r="11">
      <c r="A11" s="8" t="inlineStr">
        <is>
          <t>Montante alla decorrenza</t>
        </is>
      </c>
      <c r="B11" s="14">
        <f>(B6*(1+'1-Input'!$B$21)^B7+'1-Input'!$B$48*(IF('1-Input'!$B$21=0,B7,((1+'1-Input'!$B$21)^B7-1)/'1-Input'!$B$21)))*(1+'1-Input'!$B$21)^B10</f>
        <v/>
      </c>
      <c r="C11" s="14">
        <f>(C6*(1+'1-Input'!$B$21)^C7+'1-Input'!$C$48*(IF('1-Input'!$B$21=0,C7,((1+'1-Input'!$B$21)^C7-1)/'1-Input'!$B$21)))*(1+'1-Input'!$B$21)^C10</f>
        <v/>
      </c>
    </row>
    <row r="12">
      <c r="A12" s="8" t="inlineStr">
        <is>
          <t>Coefficiente di trasformazione</t>
        </is>
      </c>
      <c r="B12" s="21">
        <f>'P-Parametri'!$B$21</f>
        <v/>
      </c>
      <c r="C12" s="21">
        <f>'P-Parametri'!$B$21</f>
        <v/>
      </c>
    </row>
    <row r="13">
      <c r="A13" s="8" t="inlineStr">
        <is>
          <t>PENSIONE LORDA annua</t>
        </is>
      </c>
      <c r="B13" s="14">
        <f>B11*B12</f>
        <v/>
      </c>
      <c r="C13" s="14">
        <f>C11*C12</f>
        <v/>
      </c>
    </row>
    <row r="14">
      <c r="A14" s="8" t="inlineStr">
        <is>
          <t>Pensione lorda mensile</t>
        </is>
      </c>
      <c r="B14" s="14">
        <f>B13/'P-Parametri'!$B$20</f>
        <v/>
      </c>
      <c r="C14" s="14">
        <f>C13/'P-Parametri'!$B$20</f>
        <v/>
      </c>
    </row>
    <row r="15">
      <c r="A15" s="8" t="inlineStr">
        <is>
          <t>IRPEF lorda</t>
        </is>
      </c>
      <c r="B15" s="14">
        <f>IF(B13&lt;='P-Parametri'!$B$6,'P-Parametri'!$C$6*B13,IF(B13&lt;='P-Parametri'!$B$7,'P-Parametri'!$B$9+'P-Parametri'!$C$7*(B13-'P-Parametri'!$B$6),'P-Parametri'!$B$10+'P-Parametri'!$C$8*(B13-'P-Parametri'!$B$7)))</f>
        <v/>
      </c>
      <c r="C15" s="14">
        <f>IF(C13&lt;='P-Parametri'!$B$6,'P-Parametri'!$C$6*C13,IF(C13&lt;='P-Parametri'!$B$7,'P-Parametri'!$B$9+'P-Parametri'!$C$7*(C13-'P-Parametri'!$B$6),'P-Parametri'!$B$10+'P-Parametri'!$C$8*(C13-'P-Parametri'!$B$7)))</f>
        <v/>
      </c>
    </row>
    <row r="16">
      <c r="A16" s="8" t="inlineStr">
        <is>
          <t>Detrazione da pensione (art. 13 c. 3 + comma 3-bis)</t>
        </is>
      </c>
      <c r="B16" s="14">
        <f>IF(B13&lt;='P-Parametri'!$C$12,'P-Parametri'!$B$12,IF(B13&lt;='P-Parametri'!$B$6,'P-Parametri'!$B$13+'P-Parametri'!$C$13*('P-Parametri'!$B$6-B13)/'P-Parametri'!$D$13,IF(B13&lt;='P-Parametri'!$B$7,'P-Parametri'!$B$14*('P-Parametri'!$B$7-B13)/'P-Parametri'!$C$14,0)))+IF(AND(B13&gt;'P-Parametri'!$C$15,B13&lt;'P-Parametri'!$D$15),'P-Parametri'!$B$15,0)</f>
        <v/>
      </c>
      <c r="C16" s="14">
        <f>IF(C13&lt;='P-Parametri'!$C$12,'P-Parametri'!$B$12,IF(C13&lt;='P-Parametri'!$B$6,'P-Parametri'!$B$13+'P-Parametri'!$C$13*('P-Parametri'!$B$6-C13)/'P-Parametri'!$D$13,IF(C13&lt;='P-Parametri'!$B$7,'P-Parametri'!$B$14*('P-Parametri'!$B$7-C13)/'P-Parametri'!$C$14,0)))+IF(AND(C13&gt;'P-Parametri'!$C$15,C13&lt;'P-Parametri'!$D$15),'P-Parametri'!$B$15,0)</f>
        <v/>
      </c>
    </row>
    <row r="17">
      <c r="A17" s="8" t="inlineStr">
        <is>
          <t>Addizionali (non dovute se l'IRPEF netta e' zero)</t>
        </is>
      </c>
      <c r="B17" s="14">
        <f>IF(MAX(0,B15-B16)&lt;=0,0,'P-Parametri'!$B$11*B13)</f>
        <v/>
      </c>
      <c r="C17" s="14">
        <f>IF(MAX(0,C15-C16)&lt;=0,0,'P-Parametri'!$B$11*C13)</f>
        <v/>
      </c>
    </row>
    <row r="18">
      <c r="A18" s="8" t="inlineStr">
        <is>
          <t>PENSIONE NETTA annua</t>
        </is>
      </c>
      <c r="B18" s="14">
        <f>B13-MAX(0,B15-B16)-B17</f>
        <v/>
      </c>
      <c r="C18" s="14">
        <f>C13-MAX(0,C15-C16)-C17</f>
        <v/>
      </c>
    </row>
    <row r="19">
      <c r="A19" s="8" t="inlineStr">
        <is>
          <t>Frazione della prima annualita' (mezza se la decorrenza non e' di gennaio)</t>
        </is>
      </c>
      <c r="B19" s="20">
        <f>IF(B9=1,1,'P-Parametri'!$B$59)</f>
        <v/>
      </c>
      <c r="C19" s="20">
        <f>IF(C9=1,1,'P-Parametri'!$B$59)</f>
        <v/>
      </c>
    </row>
    <row r="20">
      <c r="A20" s="8" t="inlineStr">
        <is>
          <t>PENSIONI NETTE DI COPPIA (a regime)</t>
        </is>
      </c>
      <c r="B20" s="14">
        <f>B18+C18</f>
        <v/>
      </c>
    </row>
    <row r="21">
      <c r="A21" s="8" t="inlineStr">
        <is>
          <t>Copertura della spesa di coppia</t>
        </is>
      </c>
      <c r="B21" s="16">
        <f>B20/'1-Input'!$B$13</f>
        <v/>
      </c>
    </row>
    <row r="22">
      <c r="A22" s="8" t="inlineStr">
        <is>
          <t>Gap di coda (spesa − pensioni)</t>
        </is>
      </c>
      <c r="B22" s="14">
        <f>'1-Input'!$B$13-B20</f>
        <v/>
      </c>
    </row>
    <row r="24">
      <c r="A24" s="7" t="inlineStr">
        <is>
          <t>SCENARIO B — la via contributiva intorno ai 65 anni (art. 24 c. 11)</t>
        </is>
      </c>
    </row>
    <row r="25">
      <c r="A25" s="13" t="inlineStr">
        <is>
          <t>Voce</t>
        </is>
      </c>
      <c r="B25" s="13" t="inlineStr">
        <is>
          <t>Chiara</t>
        </is>
      </c>
      <c r="C25" s="13" t="inlineStr">
        <is>
          <t>Marito</t>
        </is>
      </c>
    </row>
    <row r="26">
      <c r="A26" s="8" t="inlineStr">
        <is>
          <t>Anno di decorrenza</t>
        </is>
      </c>
      <c r="B26" s="18">
        <f>'1-Input'!$B$53</f>
        <v/>
      </c>
      <c r="C26" s="18">
        <f>'1-Input'!$B$54</f>
        <v/>
      </c>
    </row>
    <row r="27">
      <c r="A27" s="8" t="inlineStr">
        <is>
          <t>Mese di decorrenza</t>
        </is>
      </c>
      <c r="B27" s="18">
        <f>'1-Input'!$C$53</f>
        <v/>
      </c>
      <c r="C27" s="18">
        <f>'1-Input'!$C$54</f>
        <v/>
      </c>
    </row>
    <row r="28">
      <c r="A28" s="8" t="inlineStr">
        <is>
          <t>Coefficiente interpolato fra 65 e 66 anni</t>
        </is>
      </c>
      <c r="B28" s="21">
        <f>'1-Input'!$B$55</f>
        <v/>
      </c>
      <c r="C28" s="21">
        <f>'1-Input'!$C$55</f>
        <v/>
      </c>
    </row>
    <row r="29">
      <c r="A29" s="8" t="inlineStr">
        <is>
          <t>Anni di sola rivalutazione fino alla decorrenza</t>
        </is>
      </c>
      <c r="B29" s="28">
        <f>B26-('1-Input'!$C$16+1)+(B27-1)/12-B7</f>
        <v/>
      </c>
      <c r="C29" s="28">
        <f>C26-('1-Input'!$C$16+1)+(C27-1)/12-C7</f>
        <v/>
      </c>
    </row>
    <row r="30">
      <c r="A30" s="8" t="inlineStr">
        <is>
          <t>Montante alla decorrenza</t>
        </is>
      </c>
      <c r="B30" s="14">
        <f>(B6*(1+'1-Input'!$B$21)^B7+'1-Input'!$B$48*(IF('1-Input'!$B$21=0,B7,((1+'1-Input'!$B$21)^B7-1)/'1-Input'!$B$21)))*(1+'1-Input'!$B$21)^B29</f>
        <v/>
      </c>
      <c r="C30" s="14">
        <f>(C6*(1+'1-Input'!$B$21)^C7+'1-Input'!$C$48*(IF('1-Input'!$B$21=0,C7,((1+'1-Input'!$B$21)^C7-1)/'1-Input'!$B$21)))*(1+'1-Input'!$B$21)^C29</f>
        <v/>
      </c>
    </row>
    <row r="31">
      <c r="A31" s="8" t="inlineStr">
        <is>
          <t>PENSIONE LORDA annua</t>
        </is>
      </c>
      <c r="B31" s="14">
        <f>B30*B28</f>
        <v/>
      </c>
      <c r="C31" s="14">
        <f>C30*C28</f>
        <v/>
      </c>
    </row>
    <row r="32">
      <c r="A32" s="8" t="inlineStr">
        <is>
          <t>Pensione lorda mensile</t>
        </is>
      </c>
      <c r="B32" s="14">
        <f>B31/'P-Parametri'!$B$20</f>
        <v/>
      </c>
      <c r="C32" s="14">
        <f>C31/'P-Parametri'!$B$20</f>
        <v/>
      </c>
    </row>
    <row r="33">
      <c r="A33" s="8" t="inlineStr">
        <is>
          <t>Soglia di 3,2 volte l'assegno sociale (€/mese)</t>
        </is>
      </c>
      <c r="B33" s="14">
        <f>'P-Parametri'!$B$25</f>
        <v/>
      </c>
      <c r="C33" s="14">
        <f>'P-Parametri'!$B$25</f>
        <v/>
      </c>
    </row>
    <row r="34">
      <c r="A34" s="8" t="inlineStr">
        <is>
          <t>Verifica di soglia: l'importo e' sopra?</t>
        </is>
      </c>
      <c r="B34" s="27">
        <f>IF(B32&gt;=B33,"SI","NO")</f>
        <v/>
      </c>
      <c r="C34" s="27">
        <f>IF(C32&gt;=C33,"SI","NO")</f>
        <v/>
      </c>
    </row>
    <row r="35">
      <c r="A35" s="8" t="inlineStr">
        <is>
          <t>Margine sopra la soglia</t>
        </is>
      </c>
      <c r="B35" s="16">
        <f>B32/B33-1</f>
        <v/>
      </c>
      <c r="C35" s="16">
        <f>C32/C33-1</f>
        <v/>
      </c>
    </row>
    <row r="36">
      <c r="A36" s="8" t="inlineStr">
        <is>
          <t>Cap di 5 volte il trattamento minimo — l'importo resta sotto?</t>
        </is>
      </c>
      <c r="B36" s="27">
        <f>IF(B32&lt;='P-Parametri'!$B$26,"SI","NO")</f>
        <v/>
      </c>
      <c r="C36" s="27">
        <f>IF(C32&lt;='P-Parametri'!$B$26,"SI","NO")</f>
        <v/>
      </c>
    </row>
    <row r="37">
      <c r="A37" s="8" t="inlineStr">
        <is>
          <t>IRPEF lorda</t>
        </is>
      </c>
      <c r="B37" s="14">
        <f>IF(B31&lt;='P-Parametri'!$B$6,'P-Parametri'!$C$6*B31,IF(B31&lt;='P-Parametri'!$B$7,'P-Parametri'!$B$9+'P-Parametri'!$C$7*(B31-'P-Parametri'!$B$6),'P-Parametri'!$B$10+'P-Parametri'!$C$8*(B31-'P-Parametri'!$B$7)))</f>
        <v/>
      </c>
      <c r="C37" s="14">
        <f>IF(C31&lt;='P-Parametri'!$B$6,'P-Parametri'!$C$6*C31,IF(C31&lt;='P-Parametri'!$B$7,'P-Parametri'!$B$9+'P-Parametri'!$C$7*(C31-'P-Parametri'!$B$6),'P-Parametri'!$B$10+'P-Parametri'!$C$8*(C31-'P-Parametri'!$B$7)))</f>
        <v/>
      </c>
    </row>
    <row r="38">
      <c r="A38" s="8" t="inlineStr">
        <is>
          <t>Detrazione da pensione (art. 13 c. 3 + comma 3-bis)</t>
        </is>
      </c>
      <c r="B38" s="14">
        <f>IF(B31&lt;='P-Parametri'!$C$12,'P-Parametri'!$B$12,IF(B31&lt;='P-Parametri'!$B$6,'P-Parametri'!$B$13+'P-Parametri'!$C$13*('P-Parametri'!$B$6-B31)/'P-Parametri'!$D$13,IF(B31&lt;='P-Parametri'!$B$7,'P-Parametri'!$B$14*('P-Parametri'!$B$7-B31)/'P-Parametri'!$C$14,0)))+IF(AND(B31&gt;'P-Parametri'!$C$15,B31&lt;'P-Parametri'!$D$15),'P-Parametri'!$B$15,0)</f>
        <v/>
      </c>
      <c r="C38" s="14">
        <f>IF(C31&lt;='P-Parametri'!$C$12,'P-Parametri'!$B$12,IF(C31&lt;='P-Parametri'!$B$6,'P-Parametri'!$B$13+'P-Parametri'!$C$13*('P-Parametri'!$B$6-C31)/'P-Parametri'!$D$13,IF(C31&lt;='P-Parametri'!$B$7,'P-Parametri'!$B$14*('P-Parametri'!$B$7-C31)/'P-Parametri'!$C$14,0)))+IF(AND(C31&gt;'P-Parametri'!$C$15,C31&lt;'P-Parametri'!$D$15),'P-Parametri'!$B$15,0)</f>
        <v/>
      </c>
    </row>
    <row r="39">
      <c r="A39" s="8" t="inlineStr">
        <is>
          <t>Addizionali</t>
        </is>
      </c>
      <c r="B39" s="14">
        <f>IF(MAX(0,B37-B38)&lt;=0,0,'P-Parametri'!$B$11*B31)</f>
        <v/>
      </c>
      <c r="C39" s="14">
        <f>IF(MAX(0,C37-C38)&lt;=0,0,'P-Parametri'!$B$11*C31)</f>
        <v/>
      </c>
    </row>
    <row r="40">
      <c r="A40" s="8" t="inlineStr">
        <is>
          <t>PENSIONE NETTA annua</t>
        </is>
      </c>
      <c r="B40" s="14">
        <f>B31-MAX(0,B37-B38)-B39</f>
        <v/>
      </c>
      <c r="C40" s="14">
        <f>C31-MAX(0,C37-C38)-C39</f>
        <v/>
      </c>
    </row>
    <row r="41">
      <c r="A41" s="8" t="inlineStr">
        <is>
          <t>Frazione della prima annualita'</t>
        </is>
      </c>
      <c r="B41" s="20">
        <f>IF(B27=1,1,'P-Parametri'!$B$59)</f>
        <v/>
      </c>
      <c r="C41" s="20">
        <f>IF(C27=1,1,'P-Parametri'!$B$59)</f>
        <v/>
      </c>
    </row>
    <row r="42">
      <c r="A42" s="8" t="inlineStr">
        <is>
          <t>PENSIONI NETTE DI COPPIA (a regime)</t>
        </is>
      </c>
      <c r="B42" s="14">
        <f>B40+C40</f>
        <v/>
      </c>
    </row>
    <row r="43">
      <c r="A43" s="8" t="inlineStr">
        <is>
          <t>Copertura della spesa di coppia</t>
        </is>
      </c>
      <c r="B43" s="16">
        <f>B42/'1-Input'!$B$13</f>
        <v/>
      </c>
    </row>
    <row r="45">
      <c r="A45" s="7" t="inlineStr">
        <is>
          <t>LE PENSIONI FERMANDOSI OGGI — servono alla curva del ×25 e alla leva del tempo</t>
        </is>
      </c>
    </row>
    <row r="46">
      <c r="A46" s="13" t="inlineStr">
        <is>
          <t>Voce</t>
        </is>
      </c>
      <c r="B46" s="13" t="inlineStr">
        <is>
          <t>Chiara</t>
        </is>
      </c>
      <c r="C46" s="13" t="inlineStr">
        <is>
          <t>Marito</t>
        </is>
      </c>
    </row>
    <row r="47">
      <c r="A47" s="8" t="inlineStr">
        <is>
          <t>Montante al 2026, congelato</t>
        </is>
      </c>
      <c r="B47" s="14">
        <f>'4-Montanti'!$B$9</f>
        <v/>
      </c>
      <c r="C47" s="14">
        <f>'4-Montanti'!$C$9</f>
        <v/>
      </c>
    </row>
    <row r="48">
      <c r="A48" s="8" t="inlineStr">
        <is>
          <t>Anni di sola rivalutazione fino alla decorrenza</t>
        </is>
      </c>
      <c r="B48" s="28">
        <f>B8-('1-Input'!$C$16+1)+(B9-1)/12</f>
        <v/>
      </c>
      <c r="C48" s="28">
        <f>C8-('1-Input'!$C$16+1)+(C9-1)/12</f>
        <v/>
      </c>
    </row>
    <row r="49">
      <c r="A49" s="8" t="inlineStr">
        <is>
          <t>Montante alla decorrenza</t>
        </is>
      </c>
      <c r="B49" s="14">
        <f>B47*(1+'1-Input'!$B$21)^B48</f>
        <v/>
      </c>
      <c r="C49" s="14">
        <f>C47*(1+'1-Input'!$B$21)^C48</f>
        <v/>
      </c>
    </row>
    <row r="50">
      <c r="A50" s="8" t="inlineStr">
        <is>
          <t>PENSIONE LORDA annua</t>
        </is>
      </c>
      <c r="B50" s="14">
        <f>B49*B12</f>
        <v/>
      </c>
      <c r="C50" s="14">
        <f>C49*C12</f>
        <v/>
      </c>
    </row>
    <row r="51">
      <c r="A51" s="8" t="inlineStr">
        <is>
          <t>IRPEF lorda</t>
        </is>
      </c>
      <c r="B51" s="14">
        <f>IF(B50&lt;='P-Parametri'!$B$6,'P-Parametri'!$C$6*B50,IF(B50&lt;='P-Parametri'!$B$7,'P-Parametri'!$B$9+'P-Parametri'!$C$7*(B50-'P-Parametri'!$B$6),'P-Parametri'!$B$10+'P-Parametri'!$C$8*(B50-'P-Parametri'!$B$7)))</f>
        <v/>
      </c>
      <c r="C51" s="14">
        <f>IF(C50&lt;='P-Parametri'!$B$6,'P-Parametri'!$C$6*C50,IF(C50&lt;='P-Parametri'!$B$7,'P-Parametri'!$B$9+'P-Parametri'!$C$7*(C50-'P-Parametri'!$B$6),'P-Parametri'!$B$10+'P-Parametri'!$C$8*(C50-'P-Parametri'!$B$7)))</f>
        <v/>
      </c>
    </row>
    <row r="52">
      <c r="A52" s="8" t="inlineStr">
        <is>
          <t>Detrazione da pensione</t>
        </is>
      </c>
      <c r="B52" s="14">
        <f>IF(B50&lt;='P-Parametri'!$C$12,'P-Parametri'!$B$12,IF(B50&lt;='P-Parametri'!$B$6,'P-Parametri'!$B$13+'P-Parametri'!$C$13*('P-Parametri'!$B$6-B50)/'P-Parametri'!$D$13,IF(B50&lt;='P-Parametri'!$B$7,'P-Parametri'!$B$14*('P-Parametri'!$B$7-B50)/'P-Parametri'!$C$14,0)))+IF(AND(B50&gt;'P-Parametri'!$C$15,B50&lt;'P-Parametri'!$D$15),'P-Parametri'!$B$15,0)</f>
        <v/>
      </c>
      <c r="C52" s="14">
        <f>IF(C50&lt;='P-Parametri'!$C$12,'P-Parametri'!$B$12,IF(C50&lt;='P-Parametri'!$B$6,'P-Parametri'!$B$13+'P-Parametri'!$C$13*('P-Parametri'!$B$6-C50)/'P-Parametri'!$D$13,IF(C50&lt;='P-Parametri'!$B$7,'P-Parametri'!$B$14*('P-Parametri'!$B$7-C50)/'P-Parametri'!$C$14,0)))+IF(AND(C50&gt;'P-Parametri'!$C$15,C50&lt;'P-Parametri'!$D$15),'P-Parametri'!$B$15,0)</f>
        <v/>
      </c>
    </row>
    <row r="53">
      <c r="A53" s="8" t="inlineStr">
        <is>
          <t>Addizionali</t>
        </is>
      </c>
      <c r="B53" s="14">
        <f>IF(MAX(0,B51-B52)&lt;=0,0,'P-Parametri'!$B$11*B50)</f>
        <v/>
      </c>
      <c r="C53" s="14">
        <f>IF(MAX(0,C51-C52)&lt;=0,0,'P-Parametri'!$B$11*C50)</f>
        <v/>
      </c>
    </row>
    <row r="54">
      <c r="A54" s="8" t="inlineStr">
        <is>
          <t>PENSIONE NETTA annua</t>
        </is>
      </c>
      <c r="B54" s="14">
        <f>B50-MAX(0,B51-B52)-B53</f>
        <v/>
      </c>
      <c r="C54" s="14">
        <f>C50-MAX(0,C51-C52)-C53</f>
        <v/>
      </c>
    </row>
    <row r="55">
      <c r="A55" s="8" t="inlineStr">
        <is>
          <t>PENSIONI DI COPPIA fermandosi oggi</t>
        </is>
      </c>
      <c r="B55" s="14">
        <f>B54+C54</f>
        <v/>
      </c>
    </row>
    <row r="56">
      <c r="A56" s="8" t="inlineStr">
        <is>
          <t>Quanto valgono i dieci anni di lavoro che restano (netti l'anno, a vita)</t>
        </is>
      </c>
      <c r="B56" s="14">
        <f>B20-B55</f>
        <v/>
      </c>
    </row>
    <row r="58" ht="45" customHeight="1">
      <c r="A58" s="12" t="inlineStr">
        <is>
          <t>REFRESH GENNAIO 2027 — i coefficienti di trasformazione sono quelli del DM 20/11/2024, validi per il biennio 2025-2026, e qui girano su decorrenze del 2037-2042. Vanno rifatti quando esce il decreto successivo. Il foglio 5 deve leggere i coefficienti a 65 e 66 anni sul TESTO del decreto prima del go-live: la fonte e' chiusa su tre controlli convergenti, ma il decreto e' il decreto.</t>
        </is>
      </c>
    </row>
    <row r="59" ht="45" customHeight="1">
      <c r="A59" s="12" t="inlineStr">
        <is>
          <t>I 68 anni e 2 mesi della vecchiaia e il requisito della via contributiva sono PROIEZIONI della Ragioneria generale dello Stato, non norme: fra i 67 anni e 3 mesi del 2028 e i 68 anni e 2 mesi proiettati per il 2039-2040 corrono undici mesi in undici anni. Requisiti e soglie di oggi, adeguamenti futuri possibili.</t>
        </is>
      </c>
    </row>
    <row r="60" ht="30" customHeight="1">
      <c r="A60" s="12" t="inlineStr">
        <is>
          <t>La soglia di 3,2 volte l'assegno sociale e' quella in vigore dal 2030 (penultimo periodo dell'art. 24 c. 11: la L. 199/2025 ha soppresso soltanto l'ultimo periodo). La verifica di soglia va rifatta anche al minimo della banda del montante di Chiara.</t>
        </is>
      </c>
    </row>
    <row r="61" ht="45" customHeight="1">
      <c r="A61" s="12" t="inlineStr">
        <is>
          <t>CONVENZIONE 2 — quando la decorrenza slitta per un adeguamento del requisito, il montante cresce della rivalutazione dello 0,6% reale l'anno ma il COEFFICIENTE resta fermo. E' una convenzione CONSERVATIVA e va dichiarata come tale: col coefficiente vero dell'eta' di decorrenza (70 anni e 2 mesi = 6,3000%) la riga «requisito +2 anni» della banda scenderebbe a circa 163.500 € e il peso del requisito nella banda si ridurrebbe di circa il 60%.</t>
        </is>
      </c>
    </row>
    <row r="62" ht="30" customHeight="1">
      <c r="A62" s="12" t="inlineStr">
        <is>
          <t>Le addizionali non sono dovute quando l'IRPEF netta e' zero; il comma 3-bis si applica al comma 3 nel suo insieme, quindi anche sotto i 28.000 € di reddito.</t>
        </is>
      </c>
    </row>
  </sheetData>
  <mergeCells count="10">
    <mergeCell ref="A4:E4"/>
    <mergeCell ref="A59:E59"/>
    <mergeCell ref="A62:E62"/>
    <mergeCell ref="A24:E24"/>
    <mergeCell ref="A2:E2"/>
    <mergeCell ref="A60:E60"/>
    <mergeCell ref="A45:E45"/>
    <mergeCell ref="A1:E1"/>
    <mergeCell ref="A61:E61"/>
    <mergeCell ref="A58:E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 ht="25" customHeight="1">
      <c r="A1" s="1" t="inlineStr">
        <is>
          <t>Il TFR di coppia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IL TFR AL RITIRO E LA TASSAZIONE SEPARATA</t>
        </is>
      </c>
    </row>
    <row r="5">
      <c r="A5" s="13" t="inlineStr">
        <is>
          <t>Voce</t>
        </is>
      </c>
      <c r="B5" s="13" t="inlineStr">
        <is>
          <t>Chiara</t>
        </is>
      </c>
      <c r="C5" s="13" t="inlineStr">
        <is>
          <t>Marito</t>
        </is>
      </c>
      <c r="D5" s="13" t="inlineStr">
        <is>
          <t>Coppia</t>
        </is>
      </c>
    </row>
    <row r="6">
      <c r="A6" s="8" t="inlineStr">
        <is>
          <t>Anzianita' TFR al ritiro (anni)</t>
        </is>
      </c>
      <c r="B6" s="18">
        <f>'1-Input'!$B$23</f>
        <v/>
      </c>
      <c r="C6" s="18">
        <f>'1-Input'!$C$23</f>
        <v/>
      </c>
    </row>
    <row r="7">
      <c r="A7" s="8" t="inlineStr">
        <is>
          <t>TFR lordo maturato al ritiro</t>
        </is>
      </c>
      <c r="B7" s="14">
        <f>'1-Input'!$B$24</f>
        <v/>
      </c>
      <c r="C7" s="14">
        <f>'1-Input'!$C$24</f>
        <v/>
      </c>
      <c r="D7" s="14">
        <f>B7+C7</f>
        <v/>
      </c>
    </row>
    <row r="8">
      <c r="A8" s="8" t="inlineStr">
        <is>
          <t>Reddito di riferimento (TFR / anzianita' × 12)</t>
        </is>
      </c>
      <c r="B8" s="14">
        <f>B7/B6*12</f>
        <v/>
      </c>
      <c r="C8" s="14">
        <f>C7/C6*12</f>
        <v/>
      </c>
    </row>
    <row r="9">
      <c r="A9" s="8" t="inlineStr">
        <is>
          <t>Aliquota della tassazione separata (aliquota media IRPEF 2026)</t>
        </is>
      </c>
      <c r="B9" s="29">
        <f>(IF(B8&lt;='P-Parametri'!$B$6,'P-Parametri'!$C$6*B8,IF(B8&lt;='P-Parametri'!$B$7,'P-Parametri'!$B$9+'P-Parametri'!$C$7*(B8-'P-Parametri'!$B$6),'P-Parametri'!$B$10+'P-Parametri'!$C$8*(B8-'P-Parametri'!$B$7))))/B8</f>
        <v/>
      </c>
      <c r="C9" s="29">
        <f>(IF(C8&lt;='P-Parametri'!$B$6,'P-Parametri'!$C$6*C8,IF(C8&lt;='P-Parametri'!$B$7,'P-Parametri'!$B$9+'P-Parametri'!$C$7*(C8-'P-Parametri'!$B$6),'P-Parametri'!$B$10+'P-Parametri'!$C$8*(C8-'P-Parametri'!$B$7))))/C8</f>
        <v/>
      </c>
    </row>
    <row r="10">
      <c r="A10" s="8" t="inlineStr">
        <is>
          <t>TFR NETTO al ritiro</t>
        </is>
      </c>
      <c r="B10" s="14">
        <f>B7*(1-B9)</f>
        <v/>
      </c>
      <c r="C10" s="14">
        <f>C7*(1-C9)</f>
        <v/>
      </c>
      <c r="D10" s="14">
        <f>B10+C10</f>
        <v/>
      </c>
    </row>
    <row r="12">
      <c r="A12" s="8" t="inlineStr">
        <is>
          <t>Banda del ±15% sul TFR netto — minimo / centrale / massimo</t>
        </is>
      </c>
      <c r="B12" s="14">
        <f>D10*0.85</f>
        <v/>
      </c>
      <c r="C12" s="14">
        <f>D10</f>
        <v/>
      </c>
      <c r="D12" s="14">
        <f>D10*1.15</f>
        <v/>
      </c>
    </row>
    <row r="14">
      <c r="A14" s="7" t="inlineStr">
        <is>
          <t>IL TFR SE SI LAVORA UNO O DUE ANNI IN PIU'</t>
        </is>
      </c>
    </row>
    <row r="15">
      <c r="A15" s="13" t="inlineStr">
        <is>
          <t>Voce</t>
        </is>
      </c>
      <c r="B15" s="13" t="inlineStr">
        <is>
          <t>Al ritiro</t>
        </is>
      </c>
      <c r="C15" s="13" t="inlineStr">
        <is>
          <t>+1 anno</t>
        </is>
      </c>
      <c r="D15" s="13" t="inlineStr">
        <is>
          <t>+2 anni</t>
        </is>
      </c>
    </row>
    <row r="16">
      <c r="A16" s="8" t="inlineStr">
        <is>
          <t>Quota annua di Chiara (reddito di riferimento / 13,5)</t>
        </is>
      </c>
      <c r="B16" s="14">
        <f>B8/'P-Parametri'!$B$34</f>
        <v/>
      </c>
    </row>
    <row r="17">
      <c r="A17" s="8" t="inlineStr">
        <is>
          <t>Quota annua del marito (retribuzione di riferimento / 13,5)</t>
        </is>
      </c>
      <c r="B17" s="14">
        <f>'1-Input'!$B$25/'P-Parametri'!$B$34</f>
        <v/>
      </c>
    </row>
    <row r="18">
      <c r="A18" s="8" t="inlineStr">
        <is>
          <t>TFR lordo di Chiara</t>
        </is>
      </c>
      <c r="B18" s="14">
        <f>B7</f>
        <v/>
      </c>
      <c r="C18" s="14">
        <f>B18*(1+'1-Input'!$C$25)+$B$16</f>
        <v/>
      </c>
      <c r="D18" s="14">
        <f>C18*(1+'1-Input'!$C$25)+$B$16</f>
        <v/>
      </c>
    </row>
    <row r="19">
      <c r="A19" s="8" t="inlineStr">
        <is>
          <t>TFR lordo del marito</t>
        </is>
      </c>
      <c r="B19" s="14">
        <f>C7</f>
        <v/>
      </c>
      <c r="C19" s="14">
        <f>B19*(1+'1-Input'!$C$25)+$B$17</f>
        <v/>
      </c>
      <c r="D19" s="14">
        <f>C19*(1+'1-Input'!$C$25)+$B$17</f>
        <v/>
      </c>
    </row>
    <row r="20">
      <c r="A20" s="8" t="inlineStr">
        <is>
          <t>Anzianita' di Chiara</t>
        </is>
      </c>
      <c r="B20" s="18">
        <f>B6</f>
        <v/>
      </c>
      <c r="C20" s="18">
        <f>B20+1</f>
        <v/>
      </c>
      <c r="D20" s="18">
        <f>C20+1</f>
        <v/>
      </c>
    </row>
    <row r="21">
      <c r="A21" s="8" t="inlineStr">
        <is>
          <t>Anzianita' del marito</t>
        </is>
      </c>
      <c r="B21" s="18">
        <f>C6</f>
        <v/>
      </c>
      <c r="C21" s="18">
        <f>B21+1</f>
        <v/>
      </c>
      <c r="D21" s="18">
        <f>C21+1</f>
        <v/>
      </c>
    </row>
    <row r="22">
      <c r="A22" s="8" t="inlineStr">
        <is>
          <t>TFR netto di Chiara</t>
        </is>
      </c>
      <c r="B22" s="14">
        <f>B18*(1-(IF((B18/B20*12)&lt;='P-Parametri'!$B$6,'P-Parametri'!$C$6*(B18/B20*12),IF((B18/B20*12)&lt;='P-Parametri'!$B$7,'P-Parametri'!$B$9+'P-Parametri'!$C$7*((B18/B20*12)-'P-Parametri'!$B$6),'P-Parametri'!$B$10+'P-Parametri'!$C$8*((B18/B20*12)-'P-Parametri'!$B$7))))/(B18/B20*12))</f>
        <v/>
      </c>
      <c r="C22" s="14">
        <f>C18*(1-(IF((C18/C20*12)&lt;='P-Parametri'!$B$6,'P-Parametri'!$C$6*(C18/C20*12),IF((C18/C20*12)&lt;='P-Parametri'!$B$7,'P-Parametri'!$B$9+'P-Parametri'!$C$7*((C18/C20*12)-'P-Parametri'!$B$6),'P-Parametri'!$B$10+'P-Parametri'!$C$8*((C18/C20*12)-'P-Parametri'!$B$7))))/(C18/C20*12))</f>
        <v/>
      </c>
      <c r="D22" s="14">
        <f>D18*(1-(IF((D18/D20*12)&lt;='P-Parametri'!$B$6,'P-Parametri'!$C$6*(D18/D20*12),IF((D18/D20*12)&lt;='P-Parametri'!$B$7,'P-Parametri'!$B$9+'P-Parametri'!$C$7*((D18/D20*12)-'P-Parametri'!$B$6),'P-Parametri'!$B$10+'P-Parametri'!$C$8*((D18/D20*12)-'P-Parametri'!$B$7))))/(D18/D20*12))</f>
        <v/>
      </c>
    </row>
    <row r="23">
      <c r="A23" s="8" t="inlineStr">
        <is>
          <t>TFR netto del marito</t>
        </is>
      </c>
      <c r="B23" s="14">
        <f>B19*(1-(IF((B19/B21*12)&lt;='P-Parametri'!$B$6,'P-Parametri'!$C$6*(B19/B21*12),IF((B19/B21*12)&lt;='P-Parametri'!$B$7,'P-Parametri'!$B$9+'P-Parametri'!$C$7*((B19/B21*12)-'P-Parametri'!$B$6),'P-Parametri'!$B$10+'P-Parametri'!$C$8*((B19/B21*12)-'P-Parametri'!$B$7))))/(B19/B21*12))</f>
        <v/>
      </c>
      <c r="C23" s="14">
        <f>C19*(1-(IF((C19/C21*12)&lt;='P-Parametri'!$B$6,'P-Parametri'!$C$6*(C19/C21*12),IF((C19/C21*12)&lt;='P-Parametri'!$B$7,'P-Parametri'!$B$9+'P-Parametri'!$C$7*((C19/C21*12)-'P-Parametri'!$B$6),'P-Parametri'!$B$10+'P-Parametri'!$C$8*((C19/C21*12)-'P-Parametri'!$B$7))))/(C19/C21*12))</f>
        <v/>
      </c>
      <c r="D23" s="14">
        <f>D19*(1-(IF((D19/D21*12)&lt;='P-Parametri'!$B$6,'P-Parametri'!$C$6*(D19/D21*12),IF((D19/D21*12)&lt;='P-Parametri'!$B$7,'P-Parametri'!$B$9+'P-Parametri'!$C$7*((D19/D21*12)-'P-Parametri'!$B$6),'P-Parametri'!$B$10+'P-Parametri'!$C$8*((D19/D21*12)-'P-Parametri'!$B$7))))/(D19/D21*12))</f>
        <v/>
      </c>
    </row>
    <row r="24">
      <c r="A24" s="8" t="inlineStr">
        <is>
          <t>TFR NETTO DI COPPIA — la risorsa che il motore usa</t>
        </is>
      </c>
      <c r="B24" s="14">
        <f>IF('1-Input'!$B$26=1,B22+B23,(B18+B19)*(1-'P-Parametri'!$C$35))</f>
        <v/>
      </c>
      <c r="C24" s="14">
        <f>IF('1-Input'!$B$26=1,C22+C23,(C18+C19)*(1-'P-Parametri'!$C$35))</f>
        <v/>
      </c>
      <c r="D24" s="14">
        <f>IF('1-Input'!$B$26=1,D22+D23,(D18+D19)*(1-'P-Parametri'!$C$35))</f>
        <v/>
      </c>
    </row>
    <row r="26">
      <c r="A26" s="7" t="inlineStr">
        <is>
          <t>IL TFR CONFERITO AL FONDO PENSIONE — vale PIU' della cassa</t>
        </is>
      </c>
    </row>
    <row r="27">
      <c r="A27" s="8" t="inlineStr">
        <is>
          <t>TFR lordo di coppia al ritiro</t>
        </is>
      </c>
      <c r="B27" s="14">
        <f>D7</f>
        <v/>
      </c>
    </row>
    <row r="28">
      <c r="A28" s="8" t="inlineStr">
        <is>
          <t>Netto con la ritenuta iniziale del 15%</t>
        </is>
      </c>
      <c r="B28" s="14">
        <f>B27*(1-'P-Parametri'!$B$35)</f>
        <v/>
      </c>
    </row>
    <row r="29">
      <c r="A29" s="8" t="inlineStr">
        <is>
          <t>Netto con la ritenuta a regime del 9%</t>
        </is>
      </c>
      <c r="B29" s="14">
        <f>B27*(1-'P-Parametri'!$C$35)</f>
        <v/>
      </c>
    </row>
    <row r="30">
      <c r="A30" s="8" t="inlineStr">
        <is>
          <t>Differenza contro la cassa (ritenuta a regime)</t>
        </is>
      </c>
      <c r="B30" s="14">
        <f>B29-D10</f>
        <v/>
      </c>
    </row>
    <row r="32">
      <c r="A32" s="7" t="inlineStr">
        <is>
          <t>CLAUSOLA DI SALVAGUARDIA — scaglioni 2006 (art. 21 c. 11 D.Lgs. 117/2026)</t>
        </is>
      </c>
    </row>
    <row r="33">
      <c r="A33" s="13" t="inlineStr">
        <is>
          <t>Voce</t>
        </is>
      </c>
      <c r="B33" s="13" t="inlineStr">
        <is>
          <t>Chiara</t>
        </is>
      </c>
      <c r="C33" s="13" t="inlineStr">
        <is>
          <t>Marito</t>
        </is>
      </c>
    </row>
    <row r="34">
      <c r="A34" s="8" t="inlineStr">
        <is>
          <t>Reddito di riferimento</t>
        </is>
      </c>
      <c r="B34" s="14">
        <f>B8</f>
        <v/>
      </c>
      <c r="C34" s="14">
        <f>C8</f>
        <v/>
      </c>
    </row>
    <row r="35">
      <c r="A35" s="8" t="inlineStr">
        <is>
          <t>Aliquota con gli scaglioni 2006</t>
        </is>
      </c>
      <c r="B35" s="29">
        <f>(IF(B34&lt;='P-Parametri'!$B$37,'P-Parametri'!$C$37*B34,IF(B34&lt;='P-Parametri'!$B$38,'P-Parametri'!$C$37*'P-Parametri'!$B$37+'P-Parametri'!$C$38*(B34-'P-Parametri'!$B$37),IF(B34&lt;='P-Parametri'!$B$39,'P-Parametri'!$C$37*'P-Parametri'!$B$37+'P-Parametri'!$C$38*('P-Parametri'!$B$38-'P-Parametri'!$B$37)+'P-Parametri'!$C$39*(B34-'P-Parametri'!$B$38),'P-Parametri'!$C$37*'P-Parametri'!$B$37+'P-Parametri'!$C$38*('P-Parametri'!$B$38-'P-Parametri'!$B$37)+'P-Parametri'!$C$39*('P-Parametri'!$B$39-'P-Parametri'!$B$38)+'P-Parametri'!$C$40*(B34-'P-Parametri'!$B$39)))))/B34</f>
        <v/>
      </c>
      <c r="C35" s="29">
        <f>(IF(C34&lt;='P-Parametri'!$B$37,'P-Parametri'!$C$37*C34,IF(C34&lt;='P-Parametri'!$B$38,'P-Parametri'!$C$37*'P-Parametri'!$B$37+'P-Parametri'!$C$38*(C34-'P-Parametri'!$B$37),IF(C34&lt;='P-Parametri'!$B$39,'P-Parametri'!$C$37*'P-Parametri'!$B$37+'P-Parametri'!$C$38*('P-Parametri'!$B$38-'P-Parametri'!$B$37)+'P-Parametri'!$C$39*(C34-'P-Parametri'!$B$38),'P-Parametri'!$C$37*'P-Parametri'!$B$37+'P-Parametri'!$C$38*('P-Parametri'!$B$38-'P-Parametri'!$B$37)+'P-Parametri'!$C$39*('P-Parametri'!$B$39-'P-Parametri'!$B$38)+'P-Parametri'!$C$40*(C34-'P-Parametri'!$B$39)))))/C34</f>
        <v/>
      </c>
    </row>
    <row r="36">
      <c r="A36" s="8" t="inlineStr">
        <is>
          <t>Aliquota con l'IRPEF 2026</t>
        </is>
      </c>
      <c r="B36" s="29">
        <f>B9</f>
        <v/>
      </c>
      <c r="C36" s="29">
        <f>C9</f>
        <v/>
      </c>
    </row>
    <row r="37">
      <c r="A37" s="8" t="inlineStr">
        <is>
          <t>Margine (punti percentuali)</t>
        </is>
      </c>
      <c r="B37" s="20">
        <f>(B35-B36)*100</f>
        <v/>
      </c>
      <c r="C37" s="20">
        <f>(C35-C36)*100</f>
        <v/>
      </c>
    </row>
    <row r="38">
      <c r="A38" s="8" t="inlineStr">
        <is>
          <t>La clausola morde su questo profilo?</t>
        </is>
      </c>
      <c r="B38" s="27">
        <f>IF(B35&lt;B36,"SI","NO")</f>
        <v/>
      </c>
      <c r="C38" s="27">
        <f>IF(C35&lt;C36,"SI","NO")</f>
        <v/>
      </c>
    </row>
    <row r="40" ht="45" customHeight="1">
      <c r="A40" s="12" t="inlineStr">
        <is>
          <t>IL TFR E' GIA' NETTO E NON SI LORDIZZA. La tassazione separata e' gia' scontata alla liquidazione: per portare in tasca un euro di TFR non si vende nulla, quindi non c'e' imposta sulla plusvalenza. Un euro di TFR risparmia al portafoglio G euro di capitale, non uno: e' per questo che nel waterfall il gradino della liquidazione si scrive in CAPITALE (netto × G) e non in netto.</t>
        </is>
      </c>
    </row>
    <row r="41" ht="45" customHeight="1">
      <c r="A41" s="12" t="inlineStr">
        <is>
          <t>Il TFR e' STIMATO, non calcolato sulla serie: anzianita', retribuzioni di riferimento e rivalutazione reale sono ipotesi dichiarate, e l'aliquota separata e' applicata all'intero montante invece che alle sole quote. Ampiezza plausibile ±15% (riga 12), su un numero che vale circa meta' del fabbisogno.</t>
        </is>
      </c>
    </row>
    <row r="42" ht="30" customHeight="1">
      <c r="A42" s="12" t="inlineStr">
        <is>
          <t>La retribuzione media di riferimento del marito per il TFR (34.000) e' una grandezza DIVERSA dalla sua media di carriera previdenziale (30.000) e dalla sua retribuzione attuale (48.000): la prima e' la media dell'ultimo rapporto di lavoro rivalutata, la seconda e' la media di tutta la carriera.</t>
        </is>
      </c>
    </row>
    <row r="43" ht="30" customHeight="1">
      <c r="A43" s="12" t="inlineStr">
        <is>
          <t>Il margine della clausola di salvaguardia e' di circa un punto sul profilo del marito: «non morde SU QUESTI DUE PROFILI», non «non morde». Le ipotesi su anzianita' e retribuzione di riferimento (±15%) se lo mangerebbero.</t>
        </is>
      </c>
    </row>
    <row r="44" ht="30" customHeight="1">
      <c r="A44" s="12" t="inlineStr">
        <is>
          <t>Il conferimento al fondo pensione (ritenuta dal 15% scalata al 9%) vale PIU' della cassa: la riga non entra nella banda del fabbisogno, perche' quella banda misura il rischio e questa voce lo abbassa. Rimando a fondo_pensione_guida.</t>
        </is>
      </c>
    </row>
  </sheetData>
  <mergeCells count="11">
    <mergeCell ref="A4:E4"/>
    <mergeCell ref="A26:E26"/>
    <mergeCell ref="A43:E43"/>
    <mergeCell ref="A2:E2"/>
    <mergeCell ref="A42:E42"/>
    <mergeCell ref="A41:E41"/>
    <mergeCell ref="A1:E1"/>
    <mergeCell ref="A32:E32"/>
    <mergeCell ref="A14:E14"/>
    <mergeCell ref="A44:E44"/>
    <mergeCell ref="A40:E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4" customWidth="1" min="10" max="10"/>
    <col width="12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Ponte, coda e fabbisogno al ritiro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IL FLUSSO ANNO PER ANNO — il ponte e la coda</t>
        </is>
      </c>
    </row>
    <row r="5">
      <c r="A5" s="13" t="inlineStr">
        <is>
          <t>Anno</t>
        </is>
      </c>
      <c r="B5" s="13" t="inlineStr">
        <is>
          <t>Eta' di Chiara</t>
        </is>
      </c>
      <c r="C5" s="13" t="inlineStr">
        <is>
          <t>Pensione del marito</t>
        </is>
      </c>
      <c r="D5" s="13" t="inlineStr">
        <is>
          <t>Pensione di Chiara</t>
        </is>
      </c>
      <c r="E5" s="13" t="inlineStr">
        <is>
          <t>Pensioni totali</t>
        </is>
      </c>
      <c r="F5" s="13" t="inlineStr">
        <is>
          <t>Spesa</t>
        </is>
      </c>
      <c r="G5" s="13" t="inlineStr">
        <is>
          <t>Fabbisogno netto</t>
        </is>
      </c>
      <c r="H5" s="13" t="inlineStr">
        <is>
          <t>Fattore di sconto</t>
        </is>
      </c>
      <c r="I5" s="13" t="inlineStr">
        <is>
          <t>Valore attuale</t>
        </is>
      </c>
      <c r="K5" s="13" t="inlineStr">
        <is>
          <t>Anno</t>
        </is>
      </c>
      <c r="L5" s="13" t="inlineStr">
        <is>
          <t>Pensioni (stop oggi)</t>
        </is>
      </c>
      <c r="M5" s="13" t="inlineStr">
        <is>
          <t>Fabbisogno netto</t>
        </is>
      </c>
      <c r="N5" s="13" t="inlineStr">
        <is>
          <t>Valore attuale</t>
        </is>
      </c>
    </row>
    <row r="6">
      <c r="A6" s="18">
        <f>'1-Input'!$B$19+1</f>
        <v/>
      </c>
      <c r="B6" s="18">
        <f>$A6-'1-Input'!$B$5</f>
        <v/>
      </c>
      <c r="C6" s="14">
        <f>IF($A6&gt;'1-Input'!$B$47,0,IF($A6&lt;'5-Pensioni'!$C$8,0,IF($A6='5-Pensioni'!$C$8,'5-Pensioni'!$C$18*'5-Pensioni'!$C$19,'5-Pensioni'!$C$18)))</f>
        <v/>
      </c>
      <c r="D6" s="14">
        <f>IF($A6&gt;'1-Input'!$B$47,0,IF($A6&lt;'5-Pensioni'!$B$8,0,IF($A6='5-Pensioni'!$B$8,'5-Pensioni'!$B$18*'5-Pensioni'!$B$19,'5-Pensioni'!$B$18)))</f>
        <v/>
      </c>
      <c r="E6" s="14">
        <f>C6+D6</f>
        <v/>
      </c>
      <c r="F6" s="14">
        <f>IF($A6&gt;'1-Input'!$B$47,0,'1-Input'!$B$13)</f>
        <v/>
      </c>
      <c r="G6" s="14">
        <f>F6-E6</f>
        <v/>
      </c>
      <c r="H6" s="26">
        <f>IF($A6&gt;'1-Input'!$B$47,0,1/(1+'1-Input'!$B$46)^($A6-'1-Input'!$B$19-1))</f>
        <v/>
      </c>
      <c r="I6" s="14">
        <f>G6*H6</f>
        <v/>
      </c>
      <c r="K6" s="18">
        <f>'1-Input'!$C$16+1</f>
        <v/>
      </c>
      <c r="L6" s="14">
        <f>IF($K6&gt;'1-Input'!$B$47,0,IF($K6&lt;'5-Pensioni'!$C$8,0,IF($K6='5-Pensioni'!$C$8,'5-Pensioni'!$C$54*'5-Pensioni'!$C$19,'5-Pensioni'!$C$54))+IF($K6&lt;'5-Pensioni'!$B$8,0,IF($K6='5-Pensioni'!$B$8,'5-Pensioni'!$B$54*'5-Pensioni'!$B$19,'5-Pensioni'!$B$54)))</f>
        <v/>
      </c>
      <c r="M6" s="14">
        <f>IF($K6&gt;'1-Input'!$B$47,0,'1-Input'!$B$13-L6)</f>
        <v/>
      </c>
      <c r="N6" s="14">
        <f>IF($K6&gt;'1-Input'!$B$47,0,M6/(1+'1-Input'!$B$46)^($K6-'1-Input'!$C$16-1))</f>
        <v/>
      </c>
    </row>
    <row r="7">
      <c r="A7" s="18">
        <f>A6+1</f>
        <v/>
      </c>
      <c r="B7" s="18">
        <f>$A7-'1-Input'!$B$5</f>
        <v/>
      </c>
      <c r="C7" s="14">
        <f>IF($A7&gt;'1-Input'!$B$47,0,IF($A7&lt;'5-Pensioni'!$C$8,0,IF($A7='5-Pensioni'!$C$8,'5-Pensioni'!$C$18*'5-Pensioni'!$C$19,'5-Pensioni'!$C$18)))</f>
        <v/>
      </c>
      <c r="D7" s="14">
        <f>IF($A7&gt;'1-Input'!$B$47,0,IF($A7&lt;'5-Pensioni'!$B$8,0,IF($A7='5-Pensioni'!$B$8,'5-Pensioni'!$B$18*'5-Pensioni'!$B$19,'5-Pensioni'!$B$18)))</f>
        <v/>
      </c>
      <c r="E7" s="14">
        <f>C7+D7</f>
        <v/>
      </c>
      <c r="F7" s="14">
        <f>IF($A7&gt;'1-Input'!$B$47,0,'1-Input'!$B$13)</f>
        <v/>
      </c>
      <c r="G7" s="14">
        <f>F7-E7</f>
        <v/>
      </c>
      <c r="H7" s="26">
        <f>IF($A7&gt;'1-Input'!$B$47,0,1/(1+'1-Input'!$B$46)^($A7-'1-Input'!$B$19-1))</f>
        <v/>
      </c>
      <c r="I7" s="14">
        <f>G7*H7</f>
        <v/>
      </c>
      <c r="K7" s="18">
        <f>K6+1</f>
        <v/>
      </c>
      <c r="L7" s="14">
        <f>IF($K7&gt;'1-Input'!$B$47,0,IF($K7&lt;'5-Pensioni'!$C$8,0,IF($K7='5-Pensioni'!$C$8,'5-Pensioni'!$C$54*'5-Pensioni'!$C$19,'5-Pensioni'!$C$54))+IF($K7&lt;'5-Pensioni'!$B$8,0,IF($K7='5-Pensioni'!$B$8,'5-Pensioni'!$B$54*'5-Pensioni'!$B$19,'5-Pensioni'!$B$54)))</f>
        <v/>
      </c>
      <c r="M7" s="14">
        <f>IF($K7&gt;'1-Input'!$B$47,0,'1-Input'!$B$13-L7)</f>
        <v/>
      </c>
      <c r="N7" s="14">
        <f>IF($K7&gt;'1-Input'!$B$47,0,M7/(1+'1-Input'!$B$46)^($K7-'1-Input'!$C$16-1))</f>
        <v/>
      </c>
    </row>
    <row r="8">
      <c r="A8" s="18">
        <f>A7+1</f>
        <v/>
      </c>
      <c r="B8" s="18">
        <f>$A8-'1-Input'!$B$5</f>
        <v/>
      </c>
      <c r="C8" s="14">
        <f>IF($A8&gt;'1-Input'!$B$47,0,IF($A8&lt;'5-Pensioni'!$C$8,0,IF($A8='5-Pensioni'!$C$8,'5-Pensioni'!$C$18*'5-Pensioni'!$C$19,'5-Pensioni'!$C$18)))</f>
        <v/>
      </c>
      <c r="D8" s="14">
        <f>IF($A8&gt;'1-Input'!$B$47,0,IF($A8&lt;'5-Pensioni'!$B$8,0,IF($A8='5-Pensioni'!$B$8,'5-Pensioni'!$B$18*'5-Pensioni'!$B$19,'5-Pensioni'!$B$18)))</f>
        <v/>
      </c>
      <c r="E8" s="14">
        <f>C8+D8</f>
        <v/>
      </c>
      <c r="F8" s="14">
        <f>IF($A8&gt;'1-Input'!$B$47,0,'1-Input'!$B$13)</f>
        <v/>
      </c>
      <c r="G8" s="14">
        <f>F8-E8</f>
        <v/>
      </c>
      <c r="H8" s="26">
        <f>IF($A8&gt;'1-Input'!$B$47,0,1/(1+'1-Input'!$B$46)^($A8-'1-Input'!$B$19-1))</f>
        <v/>
      </c>
      <c r="I8" s="14">
        <f>G8*H8</f>
        <v/>
      </c>
      <c r="K8" s="18">
        <f>K7+1</f>
        <v/>
      </c>
      <c r="L8" s="14">
        <f>IF($K8&gt;'1-Input'!$B$47,0,IF($K8&lt;'5-Pensioni'!$C$8,0,IF($K8='5-Pensioni'!$C$8,'5-Pensioni'!$C$54*'5-Pensioni'!$C$19,'5-Pensioni'!$C$54))+IF($K8&lt;'5-Pensioni'!$B$8,0,IF($K8='5-Pensioni'!$B$8,'5-Pensioni'!$B$54*'5-Pensioni'!$B$19,'5-Pensioni'!$B$54)))</f>
        <v/>
      </c>
      <c r="M8" s="14">
        <f>IF($K8&gt;'1-Input'!$B$47,0,'1-Input'!$B$13-L8)</f>
        <v/>
      </c>
      <c r="N8" s="14">
        <f>IF($K8&gt;'1-Input'!$B$47,0,M8/(1+'1-Input'!$B$46)^($K8-'1-Input'!$C$16-1))</f>
        <v/>
      </c>
    </row>
    <row r="9">
      <c r="A9" s="18">
        <f>A8+1</f>
        <v/>
      </c>
      <c r="B9" s="18">
        <f>$A9-'1-Input'!$B$5</f>
        <v/>
      </c>
      <c r="C9" s="14">
        <f>IF($A9&gt;'1-Input'!$B$47,0,IF($A9&lt;'5-Pensioni'!$C$8,0,IF($A9='5-Pensioni'!$C$8,'5-Pensioni'!$C$18*'5-Pensioni'!$C$19,'5-Pensioni'!$C$18)))</f>
        <v/>
      </c>
      <c r="D9" s="14">
        <f>IF($A9&gt;'1-Input'!$B$47,0,IF($A9&lt;'5-Pensioni'!$B$8,0,IF($A9='5-Pensioni'!$B$8,'5-Pensioni'!$B$18*'5-Pensioni'!$B$19,'5-Pensioni'!$B$18)))</f>
        <v/>
      </c>
      <c r="E9" s="14">
        <f>C9+D9</f>
        <v/>
      </c>
      <c r="F9" s="14">
        <f>IF($A9&gt;'1-Input'!$B$47,0,'1-Input'!$B$13)</f>
        <v/>
      </c>
      <c r="G9" s="14">
        <f>F9-E9</f>
        <v/>
      </c>
      <c r="H9" s="26">
        <f>IF($A9&gt;'1-Input'!$B$47,0,1/(1+'1-Input'!$B$46)^($A9-'1-Input'!$B$19-1))</f>
        <v/>
      </c>
      <c r="I9" s="14">
        <f>G9*H9</f>
        <v/>
      </c>
      <c r="K9" s="18">
        <f>K8+1</f>
        <v/>
      </c>
      <c r="L9" s="14">
        <f>IF($K9&gt;'1-Input'!$B$47,0,IF($K9&lt;'5-Pensioni'!$C$8,0,IF($K9='5-Pensioni'!$C$8,'5-Pensioni'!$C$54*'5-Pensioni'!$C$19,'5-Pensioni'!$C$54))+IF($K9&lt;'5-Pensioni'!$B$8,0,IF($K9='5-Pensioni'!$B$8,'5-Pensioni'!$B$54*'5-Pensioni'!$B$19,'5-Pensioni'!$B$54)))</f>
        <v/>
      </c>
      <c r="M9" s="14">
        <f>IF($K9&gt;'1-Input'!$B$47,0,'1-Input'!$B$13-L9)</f>
        <v/>
      </c>
      <c r="N9" s="14">
        <f>IF($K9&gt;'1-Input'!$B$47,0,M9/(1+'1-Input'!$B$46)^($K9-'1-Input'!$C$16-1))</f>
        <v/>
      </c>
    </row>
    <row r="10">
      <c r="A10" s="18">
        <f>A9+1</f>
        <v/>
      </c>
      <c r="B10" s="18">
        <f>$A10-'1-Input'!$B$5</f>
        <v/>
      </c>
      <c r="C10" s="14">
        <f>IF($A10&gt;'1-Input'!$B$47,0,IF($A10&lt;'5-Pensioni'!$C$8,0,IF($A10='5-Pensioni'!$C$8,'5-Pensioni'!$C$18*'5-Pensioni'!$C$19,'5-Pensioni'!$C$18)))</f>
        <v/>
      </c>
      <c r="D10" s="14">
        <f>IF($A10&gt;'1-Input'!$B$47,0,IF($A10&lt;'5-Pensioni'!$B$8,0,IF($A10='5-Pensioni'!$B$8,'5-Pensioni'!$B$18*'5-Pensioni'!$B$19,'5-Pensioni'!$B$18)))</f>
        <v/>
      </c>
      <c r="E10" s="14">
        <f>C10+D10</f>
        <v/>
      </c>
      <c r="F10" s="14">
        <f>IF($A10&gt;'1-Input'!$B$47,0,'1-Input'!$B$13)</f>
        <v/>
      </c>
      <c r="G10" s="14">
        <f>F10-E10</f>
        <v/>
      </c>
      <c r="H10" s="26">
        <f>IF($A10&gt;'1-Input'!$B$47,0,1/(1+'1-Input'!$B$46)^($A10-'1-Input'!$B$19-1))</f>
        <v/>
      </c>
      <c r="I10" s="14">
        <f>G10*H10</f>
        <v/>
      </c>
      <c r="K10" s="18">
        <f>K9+1</f>
        <v/>
      </c>
      <c r="L10" s="14">
        <f>IF($K10&gt;'1-Input'!$B$47,0,IF($K10&lt;'5-Pensioni'!$C$8,0,IF($K10='5-Pensioni'!$C$8,'5-Pensioni'!$C$54*'5-Pensioni'!$C$19,'5-Pensioni'!$C$54))+IF($K10&lt;'5-Pensioni'!$B$8,0,IF($K10='5-Pensioni'!$B$8,'5-Pensioni'!$B$54*'5-Pensioni'!$B$19,'5-Pensioni'!$B$54)))</f>
        <v/>
      </c>
      <c r="M10" s="14">
        <f>IF($K10&gt;'1-Input'!$B$47,0,'1-Input'!$B$13-L10)</f>
        <v/>
      </c>
      <c r="N10" s="14">
        <f>IF($K10&gt;'1-Input'!$B$47,0,M10/(1+'1-Input'!$B$46)^($K10-'1-Input'!$C$16-1))</f>
        <v/>
      </c>
    </row>
    <row r="11">
      <c r="A11" s="18">
        <f>A10+1</f>
        <v/>
      </c>
      <c r="B11" s="18">
        <f>$A11-'1-Input'!$B$5</f>
        <v/>
      </c>
      <c r="C11" s="14">
        <f>IF($A11&gt;'1-Input'!$B$47,0,IF($A11&lt;'5-Pensioni'!$C$8,0,IF($A11='5-Pensioni'!$C$8,'5-Pensioni'!$C$18*'5-Pensioni'!$C$19,'5-Pensioni'!$C$18)))</f>
        <v/>
      </c>
      <c r="D11" s="14">
        <f>IF($A11&gt;'1-Input'!$B$47,0,IF($A11&lt;'5-Pensioni'!$B$8,0,IF($A11='5-Pensioni'!$B$8,'5-Pensioni'!$B$18*'5-Pensioni'!$B$19,'5-Pensioni'!$B$18)))</f>
        <v/>
      </c>
      <c r="E11" s="14">
        <f>C11+D11</f>
        <v/>
      </c>
      <c r="F11" s="14">
        <f>IF($A11&gt;'1-Input'!$B$47,0,'1-Input'!$B$13)</f>
        <v/>
      </c>
      <c r="G11" s="14">
        <f>F11-E11</f>
        <v/>
      </c>
      <c r="H11" s="26">
        <f>IF($A11&gt;'1-Input'!$B$47,0,1/(1+'1-Input'!$B$46)^($A11-'1-Input'!$B$19-1))</f>
        <v/>
      </c>
      <c r="I11" s="14">
        <f>G11*H11</f>
        <v/>
      </c>
      <c r="K11" s="18">
        <f>K10+1</f>
        <v/>
      </c>
      <c r="L11" s="14">
        <f>IF($K11&gt;'1-Input'!$B$47,0,IF($K11&lt;'5-Pensioni'!$C$8,0,IF($K11='5-Pensioni'!$C$8,'5-Pensioni'!$C$54*'5-Pensioni'!$C$19,'5-Pensioni'!$C$54))+IF($K11&lt;'5-Pensioni'!$B$8,0,IF($K11='5-Pensioni'!$B$8,'5-Pensioni'!$B$54*'5-Pensioni'!$B$19,'5-Pensioni'!$B$54)))</f>
        <v/>
      </c>
      <c r="M11" s="14">
        <f>IF($K11&gt;'1-Input'!$B$47,0,'1-Input'!$B$13-L11)</f>
        <v/>
      </c>
      <c r="N11" s="14">
        <f>IF($K11&gt;'1-Input'!$B$47,0,M11/(1+'1-Input'!$B$46)^($K11-'1-Input'!$C$16-1))</f>
        <v/>
      </c>
    </row>
    <row r="12">
      <c r="A12" s="18">
        <f>A11+1</f>
        <v/>
      </c>
      <c r="B12" s="18">
        <f>$A12-'1-Input'!$B$5</f>
        <v/>
      </c>
      <c r="C12" s="14">
        <f>IF($A12&gt;'1-Input'!$B$47,0,IF($A12&lt;'5-Pensioni'!$C$8,0,IF($A12='5-Pensioni'!$C$8,'5-Pensioni'!$C$18*'5-Pensioni'!$C$19,'5-Pensioni'!$C$18)))</f>
        <v/>
      </c>
      <c r="D12" s="14">
        <f>IF($A12&gt;'1-Input'!$B$47,0,IF($A12&lt;'5-Pensioni'!$B$8,0,IF($A12='5-Pensioni'!$B$8,'5-Pensioni'!$B$18*'5-Pensioni'!$B$19,'5-Pensioni'!$B$18)))</f>
        <v/>
      </c>
      <c r="E12" s="14">
        <f>C12+D12</f>
        <v/>
      </c>
      <c r="F12" s="14">
        <f>IF($A12&gt;'1-Input'!$B$47,0,'1-Input'!$B$13)</f>
        <v/>
      </c>
      <c r="G12" s="14">
        <f>F12-E12</f>
        <v/>
      </c>
      <c r="H12" s="26">
        <f>IF($A12&gt;'1-Input'!$B$47,0,1/(1+'1-Input'!$B$46)^($A12-'1-Input'!$B$19-1))</f>
        <v/>
      </c>
      <c r="I12" s="14">
        <f>G12*H12</f>
        <v/>
      </c>
      <c r="K12" s="18">
        <f>K11+1</f>
        <v/>
      </c>
      <c r="L12" s="14">
        <f>IF($K12&gt;'1-Input'!$B$47,0,IF($K12&lt;'5-Pensioni'!$C$8,0,IF($K12='5-Pensioni'!$C$8,'5-Pensioni'!$C$54*'5-Pensioni'!$C$19,'5-Pensioni'!$C$54))+IF($K12&lt;'5-Pensioni'!$B$8,0,IF($K12='5-Pensioni'!$B$8,'5-Pensioni'!$B$54*'5-Pensioni'!$B$19,'5-Pensioni'!$B$54)))</f>
        <v/>
      </c>
      <c r="M12" s="14">
        <f>IF($K12&gt;'1-Input'!$B$47,0,'1-Input'!$B$13-L12)</f>
        <v/>
      </c>
      <c r="N12" s="14">
        <f>IF($K12&gt;'1-Input'!$B$47,0,M12/(1+'1-Input'!$B$46)^($K12-'1-Input'!$C$16-1))</f>
        <v/>
      </c>
    </row>
    <row r="13">
      <c r="A13" s="18">
        <f>A12+1</f>
        <v/>
      </c>
      <c r="B13" s="18">
        <f>$A13-'1-Input'!$B$5</f>
        <v/>
      </c>
      <c r="C13" s="14">
        <f>IF($A13&gt;'1-Input'!$B$47,0,IF($A13&lt;'5-Pensioni'!$C$8,0,IF($A13='5-Pensioni'!$C$8,'5-Pensioni'!$C$18*'5-Pensioni'!$C$19,'5-Pensioni'!$C$18)))</f>
        <v/>
      </c>
      <c r="D13" s="14">
        <f>IF($A13&gt;'1-Input'!$B$47,0,IF($A13&lt;'5-Pensioni'!$B$8,0,IF($A13='5-Pensioni'!$B$8,'5-Pensioni'!$B$18*'5-Pensioni'!$B$19,'5-Pensioni'!$B$18)))</f>
        <v/>
      </c>
      <c r="E13" s="14">
        <f>C13+D13</f>
        <v/>
      </c>
      <c r="F13" s="14">
        <f>IF($A13&gt;'1-Input'!$B$47,0,'1-Input'!$B$13)</f>
        <v/>
      </c>
      <c r="G13" s="14">
        <f>F13-E13</f>
        <v/>
      </c>
      <c r="H13" s="26">
        <f>IF($A13&gt;'1-Input'!$B$47,0,1/(1+'1-Input'!$B$46)^($A13-'1-Input'!$B$19-1))</f>
        <v/>
      </c>
      <c r="I13" s="14">
        <f>G13*H13</f>
        <v/>
      </c>
      <c r="K13" s="18">
        <f>K12+1</f>
        <v/>
      </c>
      <c r="L13" s="14">
        <f>IF($K13&gt;'1-Input'!$B$47,0,IF($K13&lt;'5-Pensioni'!$C$8,0,IF($K13='5-Pensioni'!$C$8,'5-Pensioni'!$C$54*'5-Pensioni'!$C$19,'5-Pensioni'!$C$54))+IF($K13&lt;'5-Pensioni'!$B$8,0,IF($K13='5-Pensioni'!$B$8,'5-Pensioni'!$B$54*'5-Pensioni'!$B$19,'5-Pensioni'!$B$54)))</f>
        <v/>
      </c>
      <c r="M13" s="14">
        <f>IF($K13&gt;'1-Input'!$B$47,0,'1-Input'!$B$13-L13)</f>
        <v/>
      </c>
      <c r="N13" s="14">
        <f>IF($K13&gt;'1-Input'!$B$47,0,M13/(1+'1-Input'!$B$46)^($K13-'1-Input'!$C$16-1))</f>
        <v/>
      </c>
    </row>
    <row r="14">
      <c r="A14" s="18">
        <f>A13+1</f>
        <v/>
      </c>
      <c r="B14" s="18">
        <f>$A14-'1-Input'!$B$5</f>
        <v/>
      </c>
      <c r="C14" s="14">
        <f>IF($A14&gt;'1-Input'!$B$47,0,IF($A14&lt;'5-Pensioni'!$C$8,0,IF($A14='5-Pensioni'!$C$8,'5-Pensioni'!$C$18*'5-Pensioni'!$C$19,'5-Pensioni'!$C$18)))</f>
        <v/>
      </c>
      <c r="D14" s="14">
        <f>IF($A14&gt;'1-Input'!$B$47,0,IF($A14&lt;'5-Pensioni'!$B$8,0,IF($A14='5-Pensioni'!$B$8,'5-Pensioni'!$B$18*'5-Pensioni'!$B$19,'5-Pensioni'!$B$18)))</f>
        <v/>
      </c>
      <c r="E14" s="14">
        <f>C14+D14</f>
        <v/>
      </c>
      <c r="F14" s="14">
        <f>IF($A14&gt;'1-Input'!$B$47,0,'1-Input'!$B$13)</f>
        <v/>
      </c>
      <c r="G14" s="14">
        <f>F14-E14</f>
        <v/>
      </c>
      <c r="H14" s="26">
        <f>IF($A14&gt;'1-Input'!$B$47,0,1/(1+'1-Input'!$B$46)^($A14-'1-Input'!$B$19-1))</f>
        <v/>
      </c>
      <c r="I14" s="14">
        <f>G14*H14</f>
        <v/>
      </c>
      <c r="K14" s="18">
        <f>K13+1</f>
        <v/>
      </c>
      <c r="L14" s="14">
        <f>IF($K14&gt;'1-Input'!$B$47,0,IF($K14&lt;'5-Pensioni'!$C$8,0,IF($K14='5-Pensioni'!$C$8,'5-Pensioni'!$C$54*'5-Pensioni'!$C$19,'5-Pensioni'!$C$54))+IF($K14&lt;'5-Pensioni'!$B$8,0,IF($K14='5-Pensioni'!$B$8,'5-Pensioni'!$B$54*'5-Pensioni'!$B$19,'5-Pensioni'!$B$54)))</f>
        <v/>
      </c>
      <c r="M14" s="14">
        <f>IF($K14&gt;'1-Input'!$B$47,0,'1-Input'!$B$13-L14)</f>
        <v/>
      </c>
      <c r="N14" s="14">
        <f>IF($K14&gt;'1-Input'!$B$47,0,M14/(1+'1-Input'!$B$46)^($K14-'1-Input'!$C$16-1))</f>
        <v/>
      </c>
    </row>
    <row r="15">
      <c r="A15" s="18">
        <f>A14+1</f>
        <v/>
      </c>
      <c r="B15" s="18">
        <f>$A15-'1-Input'!$B$5</f>
        <v/>
      </c>
      <c r="C15" s="14">
        <f>IF($A15&gt;'1-Input'!$B$47,0,IF($A15&lt;'5-Pensioni'!$C$8,0,IF($A15='5-Pensioni'!$C$8,'5-Pensioni'!$C$18*'5-Pensioni'!$C$19,'5-Pensioni'!$C$18)))</f>
        <v/>
      </c>
      <c r="D15" s="14">
        <f>IF($A15&gt;'1-Input'!$B$47,0,IF($A15&lt;'5-Pensioni'!$B$8,0,IF($A15='5-Pensioni'!$B$8,'5-Pensioni'!$B$18*'5-Pensioni'!$B$19,'5-Pensioni'!$B$18)))</f>
        <v/>
      </c>
      <c r="E15" s="14">
        <f>C15+D15</f>
        <v/>
      </c>
      <c r="F15" s="14">
        <f>IF($A15&gt;'1-Input'!$B$47,0,'1-Input'!$B$13)</f>
        <v/>
      </c>
      <c r="G15" s="14">
        <f>F15-E15</f>
        <v/>
      </c>
      <c r="H15" s="26">
        <f>IF($A15&gt;'1-Input'!$B$47,0,1/(1+'1-Input'!$B$46)^($A15-'1-Input'!$B$19-1))</f>
        <v/>
      </c>
      <c r="I15" s="14">
        <f>G15*H15</f>
        <v/>
      </c>
      <c r="K15" s="18">
        <f>K14+1</f>
        <v/>
      </c>
      <c r="L15" s="14">
        <f>IF($K15&gt;'1-Input'!$B$47,0,IF($K15&lt;'5-Pensioni'!$C$8,0,IF($K15='5-Pensioni'!$C$8,'5-Pensioni'!$C$54*'5-Pensioni'!$C$19,'5-Pensioni'!$C$54))+IF($K15&lt;'5-Pensioni'!$B$8,0,IF($K15='5-Pensioni'!$B$8,'5-Pensioni'!$B$54*'5-Pensioni'!$B$19,'5-Pensioni'!$B$54)))</f>
        <v/>
      </c>
      <c r="M15" s="14">
        <f>IF($K15&gt;'1-Input'!$B$47,0,'1-Input'!$B$13-L15)</f>
        <v/>
      </c>
      <c r="N15" s="14">
        <f>IF($K15&gt;'1-Input'!$B$47,0,M15/(1+'1-Input'!$B$46)^($K15-'1-Input'!$C$16-1))</f>
        <v/>
      </c>
    </row>
    <row r="16">
      <c r="A16" s="18">
        <f>A15+1</f>
        <v/>
      </c>
      <c r="B16" s="18">
        <f>$A16-'1-Input'!$B$5</f>
        <v/>
      </c>
      <c r="C16" s="14">
        <f>IF($A16&gt;'1-Input'!$B$47,0,IF($A16&lt;'5-Pensioni'!$C$8,0,IF($A16='5-Pensioni'!$C$8,'5-Pensioni'!$C$18*'5-Pensioni'!$C$19,'5-Pensioni'!$C$18)))</f>
        <v/>
      </c>
      <c r="D16" s="14">
        <f>IF($A16&gt;'1-Input'!$B$47,0,IF($A16&lt;'5-Pensioni'!$B$8,0,IF($A16='5-Pensioni'!$B$8,'5-Pensioni'!$B$18*'5-Pensioni'!$B$19,'5-Pensioni'!$B$18)))</f>
        <v/>
      </c>
      <c r="E16" s="14">
        <f>C16+D16</f>
        <v/>
      </c>
      <c r="F16" s="14">
        <f>IF($A16&gt;'1-Input'!$B$47,0,'1-Input'!$B$13)</f>
        <v/>
      </c>
      <c r="G16" s="14">
        <f>F16-E16</f>
        <v/>
      </c>
      <c r="H16" s="26">
        <f>IF($A16&gt;'1-Input'!$B$47,0,1/(1+'1-Input'!$B$46)^($A16-'1-Input'!$B$19-1))</f>
        <v/>
      </c>
      <c r="I16" s="14">
        <f>G16*H16</f>
        <v/>
      </c>
      <c r="K16" s="18">
        <f>K15+1</f>
        <v/>
      </c>
      <c r="L16" s="14">
        <f>IF($K16&gt;'1-Input'!$B$47,0,IF($K16&lt;'5-Pensioni'!$C$8,0,IF($K16='5-Pensioni'!$C$8,'5-Pensioni'!$C$54*'5-Pensioni'!$C$19,'5-Pensioni'!$C$54))+IF($K16&lt;'5-Pensioni'!$B$8,0,IF($K16='5-Pensioni'!$B$8,'5-Pensioni'!$B$54*'5-Pensioni'!$B$19,'5-Pensioni'!$B$54)))</f>
        <v/>
      </c>
      <c r="M16" s="14">
        <f>IF($K16&gt;'1-Input'!$B$47,0,'1-Input'!$B$13-L16)</f>
        <v/>
      </c>
      <c r="N16" s="14">
        <f>IF($K16&gt;'1-Input'!$B$47,0,M16/(1+'1-Input'!$B$46)^($K16-'1-Input'!$C$16-1))</f>
        <v/>
      </c>
    </row>
    <row r="17">
      <c r="A17" s="18">
        <f>A16+1</f>
        <v/>
      </c>
      <c r="B17" s="18">
        <f>$A17-'1-Input'!$B$5</f>
        <v/>
      </c>
      <c r="C17" s="14">
        <f>IF($A17&gt;'1-Input'!$B$47,0,IF($A17&lt;'5-Pensioni'!$C$8,0,IF($A17='5-Pensioni'!$C$8,'5-Pensioni'!$C$18*'5-Pensioni'!$C$19,'5-Pensioni'!$C$18)))</f>
        <v/>
      </c>
      <c r="D17" s="14">
        <f>IF($A17&gt;'1-Input'!$B$47,0,IF($A17&lt;'5-Pensioni'!$B$8,0,IF($A17='5-Pensioni'!$B$8,'5-Pensioni'!$B$18*'5-Pensioni'!$B$19,'5-Pensioni'!$B$18)))</f>
        <v/>
      </c>
      <c r="E17" s="14">
        <f>C17+D17</f>
        <v/>
      </c>
      <c r="F17" s="14">
        <f>IF($A17&gt;'1-Input'!$B$47,0,'1-Input'!$B$13)</f>
        <v/>
      </c>
      <c r="G17" s="14">
        <f>F17-E17</f>
        <v/>
      </c>
      <c r="H17" s="26">
        <f>IF($A17&gt;'1-Input'!$B$47,0,1/(1+'1-Input'!$B$46)^($A17-'1-Input'!$B$19-1))</f>
        <v/>
      </c>
      <c r="I17" s="14">
        <f>G17*H17</f>
        <v/>
      </c>
      <c r="K17" s="18">
        <f>K16+1</f>
        <v/>
      </c>
      <c r="L17" s="14">
        <f>IF($K17&gt;'1-Input'!$B$47,0,IF($K17&lt;'5-Pensioni'!$C$8,0,IF($K17='5-Pensioni'!$C$8,'5-Pensioni'!$C$54*'5-Pensioni'!$C$19,'5-Pensioni'!$C$54))+IF($K17&lt;'5-Pensioni'!$B$8,0,IF($K17='5-Pensioni'!$B$8,'5-Pensioni'!$B$54*'5-Pensioni'!$B$19,'5-Pensioni'!$B$54)))</f>
        <v/>
      </c>
      <c r="M17" s="14">
        <f>IF($K17&gt;'1-Input'!$B$47,0,'1-Input'!$B$13-L17)</f>
        <v/>
      </c>
      <c r="N17" s="14">
        <f>IF($K17&gt;'1-Input'!$B$47,0,M17/(1+'1-Input'!$B$46)^($K17-'1-Input'!$C$16-1))</f>
        <v/>
      </c>
    </row>
    <row r="18">
      <c r="A18" s="18">
        <f>A17+1</f>
        <v/>
      </c>
      <c r="B18" s="18">
        <f>$A18-'1-Input'!$B$5</f>
        <v/>
      </c>
      <c r="C18" s="14">
        <f>IF($A18&gt;'1-Input'!$B$47,0,IF($A18&lt;'5-Pensioni'!$C$8,0,IF($A18='5-Pensioni'!$C$8,'5-Pensioni'!$C$18*'5-Pensioni'!$C$19,'5-Pensioni'!$C$18)))</f>
        <v/>
      </c>
      <c r="D18" s="14">
        <f>IF($A18&gt;'1-Input'!$B$47,0,IF($A18&lt;'5-Pensioni'!$B$8,0,IF($A18='5-Pensioni'!$B$8,'5-Pensioni'!$B$18*'5-Pensioni'!$B$19,'5-Pensioni'!$B$18)))</f>
        <v/>
      </c>
      <c r="E18" s="14">
        <f>C18+D18</f>
        <v/>
      </c>
      <c r="F18" s="14">
        <f>IF($A18&gt;'1-Input'!$B$47,0,'1-Input'!$B$13)</f>
        <v/>
      </c>
      <c r="G18" s="14">
        <f>F18-E18</f>
        <v/>
      </c>
      <c r="H18" s="26">
        <f>IF($A18&gt;'1-Input'!$B$47,0,1/(1+'1-Input'!$B$46)^($A18-'1-Input'!$B$19-1))</f>
        <v/>
      </c>
      <c r="I18" s="14">
        <f>G18*H18</f>
        <v/>
      </c>
      <c r="K18" s="18">
        <f>K17+1</f>
        <v/>
      </c>
      <c r="L18" s="14">
        <f>IF($K18&gt;'1-Input'!$B$47,0,IF($K18&lt;'5-Pensioni'!$C$8,0,IF($K18='5-Pensioni'!$C$8,'5-Pensioni'!$C$54*'5-Pensioni'!$C$19,'5-Pensioni'!$C$54))+IF($K18&lt;'5-Pensioni'!$B$8,0,IF($K18='5-Pensioni'!$B$8,'5-Pensioni'!$B$54*'5-Pensioni'!$B$19,'5-Pensioni'!$B$54)))</f>
        <v/>
      </c>
      <c r="M18" s="14">
        <f>IF($K18&gt;'1-Input'!$B$47,0,'1-Input'!$B$13-L18)</f>
        <v/>
      </c>
      <c r="N18" s="14">
        <f>IF($K18&gt;'1-Input'!$B$47,0,M18/(1+'1-Input'!$B$46)^($K18-'1-Input'!$C$16-1))</f>
        <v/>
      </c>
    </row>
    <row r="19">
      <c r="A19" s="18">
        <f>A18+1</f>
        <v/>
      </c>
      <c r="B19" s="18">
        <f>$A19-'1-Input'!$B$5</f>
        <v/>
      </c>
      <c r="C19" s="14">
        <f>IF($A19&gt;'1-Input'!$B$47,0,IF($A19&lt;'5-Pensioni'!$C$8,0,IF($A19='5-Pensioni'!$C$8,'5-Pensioni'!$C$18*'5-Pensioni'!$C$19,'5-Pensioni'!$C$18)))</f>
        <v/>
      </c>
      <c r="D19" s="14">
        <f>IF($A19&gt;'1-Input'!$B$47,0,IF($A19&lt;'5-Pensioni'!$B$8,0,IF($A19='5-Pensioni'!$B$8,'5-Pensioni'!$B$18*'5-Pensioni'!$B$19,'5-Pensioni'!$B$18)))</f>
        <v/>
      </c>
      <c r="E19" s="14">
        <f>C19+D19</f>
        <v/>
      </c>
      <c r="F19" s="14">
        <f>IF($A19&gt;'1-Input'!$B$47,0,'1-Input'!$B$13)</f>
        <v/>
      </c>
      <c r="G19" s="14">
        <f>F19-E19</f>
        <v/>
      </c>
      <c r="H19" s="26">
        <f>IF($A19&gt;'1-Input'!$B$47,0,1/(1+'1-Input'!$B$46)^($A19-'1-Input'!$B$19-1))</f>
        <v/>
      </c>
      <c r="I19" s="14">
        <f>G19*H19</f>
        <v/>
      </c>
      <c r="K19" s="18">
        <f>K18+1</f>
        <v/>
      </c>
      <c r="L19" s="14">
        <f>IF($K19&gt;'1-Input'!$B$47,0,IF($K19&lt;'5-Pensioni'!$C$8,0,IF($K19='5-Pensioni'!$C$8,'5-Pensioni'!$C$54*'5-Pensioni'!$C$19,'5-Pensioni'!$C$54))+IF($K19&lt;'5-Pensioni'!$B$8,0,IF($K19='5-Pensioni'!$B$8,'5-Pensioni'!$B$54*'5-Pensioni'!$B$19,'5-Pensioni'!$B$54)))</f>
        <v/>
      </c>
      <c r="M19" s="14">
        <f>IF($K19&gt;'1-Input'!$B$47,0,'1-Input'!$B$13-L19)</f>
        <v/>
      </c>
      <c r="N19" s="14">
        <f>IF($K19&gt;'1-Input'!$B$47,0,M19/(1+'1-Input'!$B$46)^($K19-'1-Input'!$C$16-1))</f>
        <v/>
      </c>
    </row>
    <row r="20">
      <c r="A20" s="18">
        <f>A19+1</f>
        <v/>
      </c>
      <c r="B20" s="18">
        <f>$A20-'1-Input'!$B$5</f>
        <v/>
      </c>
      <c r="C20" s="14">
        <f>IF($A20&gt;'1-Input'!$B$47,0,IF($A20&lt;'5-Pensioni'!$C$8,0,IF($A20='5-Pensioni'!$C$8,'5-Pensioni'!$C$18*'5-Pensioni'!$C$19,'5-Pensioni'!$C$18)))</f>
        <v/>
      </c>
      <c r="D20" s="14">
        <f>IF($A20&gt;'1-Input'!$B$47,0,IF($A20&lt;'5-Pensioni'!$B$8,0,IF($A20='5-Pensioni'!$B$8,'5-Pensioni'!$B$18*'5-Pensioni'!$B$19,'5-Pensioni'!$B$18)))</f>
        <v/>
      </c>
      <c r="E20" s="14">
        <f>C20+D20</f>
        <v/>
      </c>
      <c r="F20" s="14">
        <f>IF($A20&gt;'1-Input'!$B$47,0,'1-Input'!$B$13)</f>
        <v/>
      </c>
      <c r="G20" s="14">
        <f>F20-E20</f>
        <v/>
      </c>
      <c r="H20" s="26">
        <f>IF($A20&gt;'1-Input'!$B$47,0,1/(1+'1-Input'!$B$46)^($A20-'1-Input'!$B$19-1))</f>
        <v/>
      </c>
      <c r="I20" s="14">
        <f>G20*H20</f>
        <v/>
      </c>
      <c r="K20" s="18">
        <f>K19+1</f>
        <v/>
      </c>
      <c r="L20" s="14">
        <f>IF($K20&gt;'1-Input'!$B$47,0,IF($K20&lt;'5-Pensioni'!$C$8,0,IF($K20='5-Pensioni'!$C$8,'5-Pensioni'!$C$54*'5-Pensioni'!$C$19,'5-Pensioni'!$C$54))+IF($K20&lt;'5-Pensioni'!$B$8,0,IF($K20='5-Pensioni'!$B$8,'5-Pensioni'!$B$54*'5-Pensioni'!$B$19,'5-Pensioni'!$B$54)))</f>
        <v/>
      </c>
      <c r="M20" s="14">
        <f>IF($K20&gt;'1-Input'!$B$47,0,'1-Input'!$B$13-L20)</f>
        <v/>
      </c>
      <c r="N20" s="14">
        <f>IF($K20&gt;'1-Input'!$B$47,0,M20/(1+'1-Input'!$B$46)^($K20-'1-Input'!$C$16-1))</f>
        <v/>
      </c>
    </row>
    <row r="21">
      <c r="A21" s="18">
        <f>A20+1</f>
        <v/>
      </c>
      <c r="B21" s="18">
        <f>$A21-'1-Input'!$B$5</f>
        <v/>
      </c>
      <c r="C21" s="14">
        <f>IF($A21&gt;'1-Input'!$B$47,0,IF($A21&lt;'5-Pensioni'!$C$8,0,IF($A21='5-Pensioni'!$C$8,'5-Pensioni'!$C$18*'5-Pensioni'!$C$19,'5-Pensioni'!$C$18)))</f>
        <v/>
      </c>
      <c r="D21" s="14">
        <f>IF($A21&gt;'1-Input'!$B$47,0,IF($A21&lt;'5-Pensioni'!$B$8,0,IF($A21='5-Pensioni'!$B$8,'5-Pensioni'!$B$18*'5-Pensioni'!$B$19,'5-Pensioni'!$B$18)))</f>
        <v/>
      </c>
      <c r="E21" s="14">
        <f>C21+D21</f>
        <v/>
      </c>
      <c r="F21" s="14">
        <f>IF($A21&gt;'1-Input'!$B$47,0,'1-Input'!$B$13)</f>
        <v/>
      </c>
      <c r="G21" s="14">
        <f>F21-E21</f>
        <v/>
      </c>
      <c r="H21" s="26">
        <f>IF($A21&gt;'1-Input'!$B$47,0,1/(1+'1-Input'!$B$46)^($A21-'1-Input'!$B$19-1))</f>
        <v/>
      </c>
      <c r="I21" s="14">
        <f>G21*H21</f>
        <v/>
      </c>
      <c r="K21" s="18">
        <f>K20+1</f>
        <v/>
      </c>
      <c r="L21" s="14">
        <f>IF($K21&gt;'1-Input'!$B$47,0,IF($K21&lt;'5-Pensioni'!$C$8,0,IF($K21='5-Pensioni'!$C$8,'5-Pensioni'!$C$54*'5-Pensioni'!$C$19,'5-Pensioni'!$C$54))+IF($K21&lt;'5-Pensioni'!$B$8,0,IF($K21='5-Pensioni'!$B$8,'5-Pensioni'!$B$54*'5-Pensioni'!$B$19,'5-Pensioni'!$B$54)))</f>
        <v/>
      </c>
      <c r="M21" s="14">
        <f>IF($K21&gt;'1-Input'!$B$47,0,'1-Input'!$B$13-L21)</f>
        <v/>
      </c>
      <c r="N21" s="14">
        <f>IF($K21&gt;'1-Input'!$B$47,0,M21/(1+'1-Input'!$B$46)^($K21-'1-Input'!$C$16-1))</f>
        <v/>
      </c>
    </row>
    <row r="22">
      <c r="A22" s="18">
        <f>A21+1</f>
        <v/>
      </c>
      <c r="B22" s="18">
        <f>$A22-'1-Input'!$B$5</f>
        <v/>
      </c>
      <c r="C22" s="14">
        <f>IF($A22&gt;'1-Input'!$B$47,0,IF($A22&lt;'5-Pensioni'!$C$8,0,IF($A22='5-Pensioni'!$C$8,'5-Pensioni'!$C$18*'5-Pensioni'!$C$19,'5-Pensioni'!$C$18)))</f>
        <v/>
      </c>
      <c r="D22" s="14">
        <f>IF($A22&gt;'1-Input'!$B$47,0,IF($A22&lt;'5-Pensioni'!$B$8,0,IF($A22='5-Pensioni'!$B$8,'5-Pensioni'!$B$18*'5-Pensioni'!$B$19,'5-Pensioni'!$B$18)))</f>
        <v/>
      </c>
      <c r="E22" s="14">
        <f>C22+D22</f>
        <v/>
      </c>
      <c r="F22" s="14">
        <f>IF($A22&gt;'1-Input'!$B$47,0,'1-Input'!$B$13)</f>
        <v/>
      </c>
      <c r="G22" s="14">
        <f>F22-E22</f>
        <v/>
      </c>
      <c r="H22" s="26">
        <f>IF($A22&gt;'1-Input'!$B$47,0,1/(1+'1-Input'!$B$46)^($A22-'1-Input'!$B$19-1))</f>
        <v/>
      </c>
      <c r="I22" s="14">
        <f>G22*H22</f>
        <v/>
      </c>
      <c r="K22" s="18">
        <f>K21+1</f>
        <v/>
      </c>
      <c r="L22" s="14">
        <f>IF($K22&gt;'1-Input'!$B$47,0,IF($K22&lt;'5-Pensioni'!$C$8,0,IF($K22='5-Pensioni'!$C$8,'5-Pensioni'!$C$54*'5-Pensioni'!$C$19,'5-Pensioni'!$C$54))+IF($K22&lt;'5-Pensioni'!$B$8,0,IF($K22='5-Pensioni'!$B$8,'5-Pensioni'!$B$54*'5-Pensioni'!$B$19,'5-Pensioni'!$B$54)))</f>
        <v/>
      </c>
      <c r="M22" s="14">
        <f>IF($K22&gt;'1-Input'!$B$47,0,'1-Input'!$B$13-L22)</f>
        <v/>
      </c>
      <c r="N22" s="14">
        <f>IF($K22&gt;'1-Input'!$B$47,0,M22/(1+'1-Input'!$B$46)^($K22-'1-Input'!$C$16-1))</f>
        <v/>
      </c>
    </row>
    <row r="23">
      <c r="A23" s="18">
        <f>A22+1</f>
        <v/>
      </c>
      <c r="B23" s="18">
        <f>$A23-'1-Input'!$B$5</f>
        <v/>
      </c>
      <c r="C23" s="14">
        <f>IF($A23&gt;'1-Input'!$B$47,0,IF($A23&lt;'5-Pensioni'!$C$8,0,IF($A23='5-Pensioni'!$C$8,'5-Pensioni'!$C$18*'5-Pensioni'!$C$19,'5-Pensioni'!$C$18)))</f>
        <v/>
      </c>
      <c r="D23" s="14">
        <f>IF($A23&gt;'1-Input'!$B$47,0,IF($A23&lt;'5-Pensioni'!$B$8,0,IF($A23='5-Pensioni'!$B$8,'5-Pensioni'!$B$18*'5-Pensioni'!$B$19,'5-Pensioni'!$B$18)))</f>
        <v/>
      </c>
      <c r="E23" s="14">
        <f>C23+D23</f>
        <v/>
      </c>
      <c r="F23" s="14">
        <f>IF($A23&gt;'1-Input'!$B$47,0,'1-Input'!$B$13)</f>
        <v/>
      </c>
      <c r="G23" s="14">
        <f>F23-E23</f>
        <v/>
      </c>
      <c r="H23" s="26">
        <f>IF($A23&gt;'1-Input'!$B$47,0,1/(1+'1-Input'!$B$46)^($A23-'1-Input'!$B$19-1))</f>
        <v/>
      </c>
      <c r="I23" s="14">
        <f>G23*H23</f>
        <v/>
      </c>
      <c r="K23" s="18">
        <f>K22+1</f>
        <v/>
      </c>
      <c r="L23" s="14">
        <f>IF($K23&gt;'1-Input'!$B$47,0,IF($K23&lt;'5-Pensioni'!$C$8,0,IF($K23='5-Pensioni'!$C$8,'5-Pensioni'!$C$54*'5-Pensioni'!$C$19,'5-Pensioni'!$C$54))+IF($K23&lt;'5-Pensioni'!$B$8,0,IF($K23='5-Pensioni'!$B$8,'5-Pensioni'!$B$54*'5-Pensioni'!$B$19,'5-Pensioni'!$B$54)))</f>
        <v/>
      </c>
      <c r="M23" s="14">
        <f>IF($K23&gt;'1-Input'!$B$47,0,'1-Input'!$B$13-L23)</f>
        <v/>
      </c>
      <c r="N23" s="14">
        <f>IF($K23&gt;'1-Input'!$B$47,0,M23/(1+'1-Input'!$B$46)^($K23-'1-Input'!$C$16-1))</f>
        <v/>
      </c>
    </row>
    <row r="24">
      <c r="A24" s="18">
        <f>A23+1</f>
        <v/>
      </c>
      <c r="B24" s="18">
        <f>$A24-'1-Input'!$B$5</f>
        <v/>
      </c>
      <c r="C24" s="14">
        <f>IF($A24&gt;'1-Input'!$B$47,0,IF($A24&lt;'5-Pensioni'!$C$8,0,IF($A24='5-Pensioni'!$C$8,'5-Pensioni'!$C$18*'5-Pensioni'!$C$19,'5-Pensioni'!$C$18)))</f>
        <v/>
      </c>
      <c r="D24" s="14">
        <f>IF($A24&gt;'1-Input'!$B$47,0,IF($A24&lt;'5-Pensioni'!$B$8,0,IF($A24='5-Pensioni'!$B$8,'5-Pensioni'!$B$18*'5-Pensioni'!$B$19,'5-Pensioni'!$B$18)))</f>
        <v/>
      </c>
      <c r="E24" s="14">
        <f>C24+D24</f>
        <v/>
      </c>
      <c r="F24" s="14">
        <f>IF($A24&gt;'1-Input'!$B$47,0,'1-Input'!$B$13)</f>
        <v/>
      </c>
      <c r="G24" s="14">
        <f>F24-E24</f>
        <v/>
      </c>
      <c r="H24" s="26">
        <f>IF($A24&gt;'1-Input'!$B$47,0,1/(1+'1-Input'!$B$46)^($A24-'1-Input'!$B$19-1))</f>
        <v/>
      </c>
      <c r="I24" s="14">
        <f>G24*H24</f>
        <v/>
      </c>
      <c r="K24" s="18">
        <f>K23+1</f>
        <v/>
      </c>
      <c r="L24" s="14">
        <f>IF($K24&gt;'1-Input'!$B$47,0,IF($K24&lt;'5-Pensioni'!$C$8,0,IF($K24='5-Pensioni'!$C$8,'5-Pensioni'!$C$54*'5-Pensioni'!$C$19,'5-Pensioni'!$C$54))+IF($K24&lt;'5-Pensioni'!$B$8,0,IF($K24='5-Pensioni'!$B$8,'5-Pensioni'!$B$54*'5-Pensioni'!$B$19,'5-Pensioni'!$B$54)))</f>
        <v/>
      </c>
      <c r="M24" s="14">
        <f>IF($K24&gt;'1-Input'!$B$47,0,'1-Input'!$B$13-L24)</f>
        <v/>
      </c>
      <c r="N24" s="14">
        <f>IF($K24&gt;'1-Input'!$B$47,0,M24/(1+'1-Input'!$B$46)^($K24-'1-Input'!$C$16-1))</f>
        <v/>
      </c>
    </row>
    <row r="25">
      <c r="A25" s="18">
        <f>A24+1</f>
        <v/>
      </c>
      <c r="B25" s="18">
        <f>$A25-'1-Input'!$B$5</f>
        <v/>
      </c>
      <c r="C25" s="14">
        <f>IF($A25&gt;'1-Input'!$B$47,0,IF($A25&lt;'5-Pensioni'!$C$8,0,IF($A25='5-Pensioni'!$C$8,'5-Pensioni'!$C$18*'5-Pensioni'!$C$19,'5-Pensioni'!$C$18)))</f>
        <v/>
      </c>
      <c r="D25" s="14">
        <f>IF($A25&gt;'1-Input'!$B$47,0,IF($A25&lt;'5-Pensioni'!$B$8,0,IF($A25='5-Pensioni'!$B$8,'5-Pensioni'!$B$18*'5-Pensioni'!$B$19,'5-Pensioni'!$B$18)))</f>
        <v/>
      </c>
      <c r="E25" s="14">
        <f>C25+D25</f>
        <v/>
      </c>
      <c r="F25" s="14">
        <f>IF($A25&gt;'1-Input'!$B$47,0,'1-Input'!$B$13)</f>
        <v/>
      </c>
      <c r="G25" s="14">
        <f>F25-E25</f>
        <v/>
      </c>
      <c r="H25" s="26">
        <f>IF($A25&gt;'1-Input'!$B$47,0,1/(1+'1-Input'!$B$46)^($A25-'1-Input'!$B$19-1))</f>
        <v/>
      </c>
      <c r="I25" s="14">
        <f>G25*H25</f>
        <v/>
      </c>
      <c r="K25" s="18">
        <f>K24+1</f>
        <v/>
      </c>
      <c r="L25" s="14">
        <f>IF($K25&gt;'1-Input'!$B$47,0,IF($K25&lt;'5-Pensioni'!$C$8,0,IF($K25='5-Pensioni'!$C$8,'5-Pensioni'!$C$54*'5-Pensioni'!$C$19,'5-Pensioni'!$C$54))+IF($K25&lt;'5-Pensioni'!$B$8,0,IF($K25='5-Pensioni'!$B$8,'5-Pensioni'!$B$54*'5-Pensioni'!$B$19,'5-Pensioni'!$B$54)))</f>
        <v/>
      </c>
      <c r="M25" s="14">
        <f>IF($K25&gt;'1-Input'!$B$47,0,'1-Input'!$B$13-L25)</f>
        <v/>
      </c>
      <c r="N25" s="14">
        <f>IF($K25&gt;'1-Input'!$B$47,0,M25/(1+'1-Input'!$B$46)^($K25-'1-Input'!$C$16-1))</f>
        <v/>
      </c>
    </row>
    <row r="26">
      <c r="A26" s="18">
        <f>A25+1</f>
        <v/>
      </c>
      <c r="B26" s="18">
        <f>$A26-'1-Input'!$B$5</f>
        <v/>
      </c>
      <c r="C26" s="14">
        <f>IF($A26&gt;'1-Input'!$B$47,0,IF($A26&lt;'5-Pensioni'!$C$8,0,IF($A26='5-Pensioni'!$C$8,'5-Pensioni'!$C$18*'5-Pensioni'!$C$19,'5-Pensioni'!$C$18)))</f>
        <v/>
      </c>
      <c r="D26" s="14">
        <f>IF($A26&gt;'1-Input'!$B$47,0,IF($A26&lt;'5-Pensioni'!$B$8,0,IF($A26='5-Pensioni'!$B$8,'5-Pensioni'!$B$18*'5-Pensioni'!$B$19,'5-Pensioni'!$B$18)))</f>
        <v/>
      </c>
      <c r="E26" s="14">
        <f>C26+D26</f>
        <v/>
      </c>
      <c r="F26" s="14">
        <f>IF($A26&gt;'1-Input'!$B$47,0,'1-Input'!$B$13)</f>
        <v/>
      </c>
      <c r="G26" s="14">
        <f>F26-E26</f>
        <v/>
      </c>
      <c r="H26" s="26">
        <f>IF($A26&gt;'1-Input'!$B$47,0,1/(1+'1-Input'!$B$46)^($A26-'1-Input'!$B$19-1))</f>
        <v/>
      </c>
      <c r="I26" s="14">
        <f>G26*H26</f>
        <v/>
      </c>
      <c r="K26" s="18">
        <f>K25+1</f>
        <v/>
      </c>
      <c r="L26" s="14">
        <f>IF($K26&gt;'1-Input'!$B$47,0,IF($K26&lt;'5-Pensioni'!$C$8,0,IF($K26='5-Pensioni'!$C$8,'5-Pensioni'!$C$54*'5-Pensioni'!$C$19,'5-Pensioni'!$C$54))+IF($K26&lt;'5-Pensioni'!$B$8,0,IF($K26='5-Pensioni'!$B$8,'5-Pensioni'!$B$54*'5-Pensioni'!$B$19,'5-Pensioni'!$B$54)))</f>
        <v/>
      </c>
      <c r="M26" s="14">
        <f>IF($K26&gt;'1-Input'!$B$47,0,'1-Input'!$B$13-L26)</f>
        <v/>
      </c>
      <c r="N26" s="14">
        <f>IF($K26&gt;'1-Input'!$B$47,0,M26/(1+'1-Input'!$B$46)^($K26-'1-Input'!$C$16-1))</f>
        <v/>
      </c>
    </row>
    <row r="27">
      <c r="A27" s="18">
        <f>A26+1</f>
        <v/>
      </c>
      <c r="B27" s="18">
        <f>$A27-'1-Input'!$B$5</f>
        <v/>
      </c>
      <c r="C27" s="14">
        <f>IF($A27&gt;'1-Input'!$B$47,0,IF($A27&lt;'5-Pensioni'!$C$8,0,IF($A27='5-Pensioni'!$C$8,'5-Pensioni'!$C$18*'5-Pensioni'!$C$19,'5-Pensioni'!$C$18)))</f>
        <v/>
      </c>
      <c r="D27" s="14">
        <f>IF($A27&gt;'1-Input'!$B$47,0,IF($A27&lt;'5-Pensioni'!$B$8,0,IF($A27='5-Pensioni'!$B$8,'5-Pensioni'!$B$18*'5-Pensioni'!$B$19,'5-Pensioni'!$B$18)))</f>
        <v/>
      </c>
      <c r="E27" s="14">
        <f>C27+D27</f>
        <v/>
      </c>
      <c r="F27" s="14">
        <f>IF($A27&gt;'1-Input'!$B$47,0,'1-Input'!$B$13)</f>
        <v/>
      </c>
      <c r="G27" s="14">
        <f>F27-E27</f>
        <v/>
      </c>
      <c r="H27" s="26">
        <f>IF($A27&gt;'1-Input'!$B$47,0,1/(1+'1-Input'!$B$46)^($A27-'1-Input'!$B$19-1))</f>
        <v/>
      </c>
      <c r="I27" s="14">
        <f>G27*H27</f>
        <v/>
      </c>
      <c r="K27" s="18">
        <f>K26+1</f>
        <v/>
      </c>
      <c r="L27" s="14">
        <f>IF($K27&gt;'1-Input'!$B$47,0,IF($K27&lt;'5-Pensioni'!$C$8,0,IF($K27='5-Pensioni'!$C$8,'5-Pensioni'!$C$54*'5-Pensioni'!$C$19,'5-Pensioni'!$C$54))+IF($K27&lt;'5-Pensioni'!$B$8,0,IF($K27='5-Pensioni'!$B$8,'5-Pensioni'!$B$54*'5-Pensioni'!$B$19,'5-Pensioni'!$B$54)))</f>
        <v/>
      </c>
      <c r="M27" s="14">
        <f>IF($K27&gt;'1-Input'!$B$47,0,'1-Input'!$B$13-L27)</f>
        <v/>
      </c>
      <c r="N27" s="14">
        <f>IF($K27&gt;'1-Input'!$B$47,0,M27/(1+'1-Input'!$B$46)^($K27-'1-Input'!$C$16-1))</f>
        <v/>
      </c>
    </row>
    <row r="28">
      <c r="A28" s="18">
        <f>A27+1</f>
        <v/>
      </c>
      <c r="B28" s="18">
        <f>$A28-'1-Input'!$B$5</f>
        <v/>
      </c>
      <c r="C28" s="14">
        <f>IF($A28&gt;'1-Input'!$B$47,0,IF($A28&lt;'5-Pensioni'!$C$8,0,IF($A28='5-Pensioni'!$C$8,'5-Pensioni'!$C$18*'5-Pensioni'!$C$19,'5-Pensioni'!$C$18)))</f>
        <v/>
      </c>
      <c r="D28" s="14">
        <f>IF($A28&gt;'1-Input'!$B$47,0,IF($A28&lt;'5-Pensioni'!$B$8,0,IF($A28='5-Pensioni'!$B$8,'5-Pensioni'!$B$18*'5-Pensioni'!$B$19,'5-Pensioni'!$B$18)))</f>
        <v/>
      </c>
      <c r="E28" s="14">
        <f>C28+D28</f>
        <v/>
      </c>
      <c r="F28" s="14">
        <f>IF($A28&gt;'1-Input'!$B$47,0,'1-Input'!$B$13)</f>
        <v/>
      </c>
      <c r="G28" s="14">
        <f>F28-E28</f>
        <v/>
      </c>
      <c r="H28" s="26">
        <f>IF($A28&gt;'1-Input'!$B$47,0,1/(1+'1-Input'!$B$46)^($A28-'1-Input'!$B$19-1))</f>
        <v/>
      </c>
      <c r="I28" s="14">
        <f>G28*H28</f>
        <v/>
      </c>
      <c r="K28" s="18">
        <f>K27+1</f>
        <v/>
      </c>
      <c r="L28" s="14">
        <f>IF($K28&gt;'1-Input'!$B$47,0,IF($K28&lt;'5-Pensioni'!$C$8,0,IF($K28='5-Pensioni'!$C$8,'5-Pensioni'!$C$54*'5-Pensioni'!$C$19,'5-Pensioni'!$C$54))+IF($K28&lt;'5-Pensioni'!$B$8,0,IF($K28='5-Pensioni'!$B$8,'5-Pensioni'!$B$54*'5-Pensioni'!$B$19,'5-Pensioni'!$B$54)))</f>
        <v/>
      </c>
      <c r="M28" s="14">
        <f>IF($K28&gt;'1-Input'!$B$47,0,'1-Input'!$B$13-L28)</f>
        <v/>
      </c>
      <c r="N28" s="14">
        <f>IF($K28&gt;'1-Input'!$B$47,0,M28/(1+'1-Input'!$B$46)^($K28-'1-Input'!$C$16-1))</f>
        <v/>
      </c>
    </row>
    <row r="29">
      <c r="A29" s="18">
        <f>A28+1</f>
        <v/>
      </c>
      <c r="B29" s="18">
        <f>$A29-'1-Input'!$B$5</f>
        <v/>
      </c>
      <c r="C29" s="14">
        <f>IF($A29&gt;'1-Input'!$B$47,0,IF($A29&lt;'5-Pensioni'!$C$8,0,IF($A29='5-Pensioni'!$C$8,'5-Pensioni'!$C$18*'5-Pensioni'!$C$19,'5-Pensioni'!$C$18)))</f>
        <v/>
      </c>
      <c r="D29" s="14">
        <f>IF($A29&gt;'1-Input'!$B$47,0,IF($A29&lt;'5-Pensioni'!$B$8,0,IF($A29='5-Pensioni'!$B$8,'5-Pensioni'!$B$18*'5-Pensioni'!$B$19,'5-Pensioni'!$B$18)))</f>
        <v/>
      </c>
      <c r="E29" s="14">
        <f>C29+D29</f>
        <v/>
      </c>
      <c r="F29" s="14">
        <f>IF($A29&gt;'1-Input'!$B$47,0,'1-Input'!$B$13)</f>
        <v/>
      </c>
      <c r="G29" s="14">
        <f>F29-E29</f>
        <v/>
      </c>
      <c r="H29" s="26">
        <f>IF($A29&gt;'1-Input'!$B$47,0,1/(1+'1-Input'!$B$46)^($A29-'1-Input'!$B$19-1))</f>
        <v/>
      </c>
      <c r="I29" s="14">
        <f>G29*H29</f>
        <v/>
      </c>
      <c r="K29" s="18">
        <f>K28+1</f>
        <v/>
      </c>
      <c r="L29" s="14">
        <f>IF($K29&gt;'1-Input'!$B$47,0,IF($K29&lt;'5-Pensioni'!$C$8,0,IF($K29='5-Pensioni'!$C$8,'5-Pensioni'!$C$54*'5-Pensioni'!$C$19,'5-Pensioni'!$C$54))+IF($K29&lt;'5-Pensioni'!$B$8,0,IF($K29='5-Pensioni'!$B$8,'5-Pensioni'!$B$54*'5-Pensioni'!$B$19,'5-Pensioni'!$B$54)))</f>
        <v/>
      </c>
      <c r="M29" s="14">
        <f>IF($K29&gt;'1-Input'!$B$47,0,'1-Input'!$B$13-L29)</f>
        <v/>
      </c>
      <c r="N29" s="14">
        <f>IF($K29&gt;'1-Input'!$B$47,0,M29/(1+'1-Input'!$B$46)^($K29-'1-Input'!$C$16-1))</f>
        <v/>
      </c>
    </row>
    <row r="30">
      <c r="A30" s="18">
        <f>A29+1</f>
        <v/>
      </c>
      <c r="B30" s="18">
        <f>$A30-'1-Input'!$B$5</f>
        <v/>
      </c>
      <c r="C30" s="14">
        <f>IF($A30&gt;'1-Input'!$B$47,0,IF($A30&lt;'5-Pensioni'!$C$8,0,IF($A30='5-Pensioni'!$C$8,'5-Pensioni'!$C$18*'5-Pensioni'!$C$19,'5-Pensioni'!$C$18)))</f>
        <v/>
      </c>
      <c r="D30" s="14">
        <f>IF($A30&gt;'1-Input'!$B$47,0,IF($A30&lt;'5-Pensioni'!$B$8,0,IF($A30='5-Pensioni'!$B$8,'5-Pensioni'!$B$18*'5-Pensioni'!$B$19,'5-Pensioni'!$B$18)))</f>
        <v/>
      </c>
      <c r="E30" s="14">
        <f>C30+D30</f>
        <v/>
      </c>
      <c r="F30" s="14">
        <f>IF($A30&gt;'1-Input'!$B$47,0,'1-Input'!$B$13)</f>
        <v/>
      </c>
      <c r="G30" s="14">
        <f>F30-E30</f>
        <v/>
      </c>
      <c r="H30" s="26">
        <f>IF($A30&gt;'1-Input'!$B$47,0,1/(1+'1-Input'!$B$46)^($A30-'1-Input'!$B$19-1))</f>
        <v/>
      </c>
      <c r="I30" s="14">
        <f>G30*H30</f>
        <v/>
      </c>
      <c r="K30" s="18">
        <f>K29+1</f>
        <v/>
      </c>
      <c r="L30" s="14">
        <f>IF($K30&gt;'1-Input'!$B$47,0,IF($K30&lt;'5-Pensioni'!$C$8,0,IF($K30='5-Pensioni'!$C$8,'5-Pensioni'!$C$54*'5-Pensioni'!$C$19,'5-Pensioni'!$C$54))+IF($K30&lt;'5-Pensioni'!$B$8,0,IF($K30='5-Pensioni'!$B$8,'5-Pensioni'!$B$54*'5-Pensioni'!$B$19,'5-Pensioni'!$B$54)))</f>
        <v/>
      </c>
      <c r="M30" s="14">
        <f>IF($K30&gt;'1-Input'!$B$47,0,'1-Input'!$B$13-L30)</f>
        <v/>
      </c>
      <c r="N30" s="14">
        <f>IF($K30&gt;'1-Input'!$B$47,0,M30/(1+'1-Input'!$B$46)^($K30-'1-Input'!$C$16-1))</f>
        <v/>
      </c>
    </row>
    <row r="31">
      <c r="A31" s="18">
        <f>A30+1</f>
        <v/>
      </c>
      <c r="B31" s="18">
        <f>$A31-'1-Input'!$B$5</f>
        <v/>
      </c>
      <c r="C31" s="14">
        <f>IF($A31&gt;'1-Input'!$B$47,0,IF($A31&lt;'5-Pensioni'!$C$8,0,IF($A31='5-Pensioni'!$C$8,'5-Pensioni'!$C$18*'5-Pensioni'!$C$19,'5-Pensioni'!$C$18)))</f>
        <v/>
      </c>
      <c r="D31" s="14">
        <f>IF($A31&gt;'1-Input'!$B$47,0,IF($A31&lt;'5-Pensioni'!$B$8,0,IF($A31='5-Pensioni'!$B$8,'5-Pensioni'!$B$18*'5-Pensioni'!$B$19,'5-Pensioni'!$B$18)))</f>
        <v/>
      </c>
      <c r="E31" s="14">
        <f>C31+D31</f>
        <v/>
      </c>
      <c r="F31" s="14">
        <f>IF($A31&gt;'1-Input'!$B$47,0,'1-Input'!$B$13)</f>
        <v/>
      </c>
      <c r="G31" s="14">
        <f>F31-E31</f>
        <v/>
      </c>
      <c r="H31" s="26">
        <f>IF($A31&gt;'1-Input'!$B$47,0,1/(1+'1-Input'!$B$46)^($A31-'1-Input'!$B$19-1))</f>
        <v/>
      </c>
      <c r="I31" s="14">
        <f>G31*H31</f>
        <v/>
      </c>
      <c r="K31" s="18">
        <f>K30+1</f>
        <v/>
      </c>
      <c r="L31" s="14">
        <f>IF($K31&gt;'1-Input'!$B$47,0,IF($K31&lt;'5-Pensioni'!$C$8,0,IF($K31='5-Pensioni'!$C$8,'5-Pensioni'!$C$54*'5-Pensioni'!$C$19,'5-Pensioni'!$C$54))+IF($K31&lt;'5-Pensioni'!$B$8,0,IF($K31='5-Pensioni'!$B$8,'5-Pensioni'!$B$54*'5-Pensioni'!$B$19,'5-Pensioni'!$B$54)))</f>
        <v/>
      </c>
      <c r="M31" s="14">
        <f>IF($K31&gt;'1-Input'!$B$47,0,'1-Input'!$B$13-L31)</f>
        <v/>
      </c>
      <c r="N31" s="14">
        <f>IF($K31&gt;'1-Input'!$B$47,0,M31/(1+'1-Input'!$B$46)^($K31-'1-Input'!$C$16-1))</f>
        <v/>
      </c>
    </row>
    <row r="32">
      <c r="A32" s="18">
        <f>A31+1</f>
        <v/>
      </c>
      <c r="B32" s="18">
        <f>$A32-'1-Input'!$B$5</f>
        <v/>
      </c>
      <c r="C32" s="14">
        <f>IF($A32&gt;'1-Input'!$B$47,0,IF($A32&lt;'5-Pensioni'!$C$8,0,IF($A32='5-Pensioni'!$C$8,'5-Pensioni'!$C$18*'5-Pensioni'!$C$19,'5-Pensioni'!$C$18)))</f>
        <v/>
      </c>
      <c r="D32" s="14">
        <f>IF($A32&gt;'1-Input'!$B$47,0,IF($A32&lt;'5-Pensioni'!$B$8,0,IF($A32='5-Pensioni'!$B$8,'5-Pensioni'!$B$18*'5-Pensioni'!$B$19,'5-Pensioni'!$B$18)))</f>
        <v/>
      </c>
      <c r="E32" s="14">
        <f>C32+D32</f>
        <v/>
      </c>
      <c r="F32" s="14">
        <f>IF($A32&gt;'1-Input'!$B$47,0,'1-Input'!$B$13)</f>
        <v/>
      </c>
      <c r="G32" s="14">
        <f>F32-E32</f>
        <v/>
      </c>
      <c r="H32" s="26">
        <f>IF($A32&gt;'1-Input'!$B$47,0,1/(1+'1-Input'!$B$46)^($A32-'1-Input'!$B$19-1))</f>
        <v/>
      </c>
      <c r="I32" s="14">
        <f>G32*H32</f>
        <v/>
      </c>
      <c r="K32" s="18">
        <f>K31+1</f>
        <v/>
      </c>
      <c r="L32" s="14">
        <f>IF($K32&gt;'1-Input'!$B$47,0,IF($K32&lt;'5-Pensioni'!$C$8,0,IF($K32='5-Pensioni'!$C$8,'5-Pensioni'!$C$54*'5-Pensioni'!$C$19,'5-Pensioni'!$C$54))+IF($K32&lt;'5-Pensioni'!$B$8,0,IF($K32='5-Pensioni'!$B$8,'5-Pensioni'!$B$54*'5-Pensioni'!$B$19,'5-Pensioni'!$B$54)))</f>
        <v/>
      </c>
      <c r="M32" s="14">
        <f>IF($K32&gt;'1-Input'!$B$47,0,'1-Input'!$B$13-L32)</f>
        <v/>
      </c>
      <c r="N32" s="14">
        <f>IF($K32&gt;'1-Input'!$B$47,0,M32/(1+'1-Input'!$B$46)^($K32-'1-Input'!$C$16-1))</f>
        <v/>
      </c>
    </row>
    <row r="33">
      <c r="A33" s="18">
        <f>A32+1</f>
        <v/>
      </c>
      <c r="B33" s="18">
        <f>$A33-'1-Input'!$B$5</f>
        <v/>
      </c>
      <c r="C33" s="14">
        <f>IF($A33&gt;'1-Input'!$B$47,0,IF($A33&lt;'5-Pensioni'!$C$8,0,IF($A33='5-Pensioni'!$C$8,'5-Pensioni'!$C$18*'5-Pensioni'!$C$19,'5-Pensioni'!$C$18)))</f>
        <v/>
      </c>
      <c r="D33" s="14">
        <f>IF($A33&gt;'1-Input'!$B$47,0,IF($A33&lt;'5-Pensioni'!$B$8,0,IF($A33='5-Pensioni'!$B$8,'5-Pensioni'!$B$18*'5-Pensioni'!$B$19,'5-Pensioni'!$B$18)))</f>
        <v/>
      </c>
      <c r="E33" s="14">
        <f>C33+D33</f>
        <v/>
      </c>
      <c r="F33" s="14">
        <f>IF($A33&gt;'1-Input'!$B$47,0,'1-Input'!$B$13)</f>
        <v/>
      </c>
      <c r="G33" s="14">
        <f>F33-E33</f>
        <v/>
      </c>
      <c r="H33" s="26">
        <f>IF($A33&gt;'1-Input'!$B$47,0,1/(1+'1-Input'!$B$46)^($A33-'1-Input'!$B$19-1))</f>
        <v/>
      </c>
      <c r="I33" s="14">
        <f>G33*H33</f>
        <v/>
      </c>
      <c r="K33" s="18">
        <f>K32+1</f>
        <v/>
      </c>
      <c r="L33" s="14">
        <f>IF($K33&gt;'1-Input'!$B$47,0,IF($K33&lt;'5-Pensioni'!$C$8,0,IF($K33='5-Pensioni'!$C$8,'5-Pensioni'!$C$54*'5-Pensioni'!$C$19,'5-Pensioni'!$C$54))+IF($K33&lt;'5-Pensioni'!$B$8,0,IF($K33='5-Pensioni'!$B$8,'5-Pensioni'!$B$54*'5-Pensioni'!$B$19,'5-Pensioni'!$B$54)))</f>
        <v/>
      </c>
      <c r="M33" s="14">
        <f>IF($K33&gt;'1-Input'!$B$47,0,'1-Input'!$B$13-L33)</f>
        <v/>
      </c>
      <c r="N33" s="14">
        <f>IF($K33&gt;'1-Input'!$B$47,0,M33/(1+'1-Input'!$B$46)^($K33-'1-Input'!$C$16-1))</f>
        <v/>
      </c>
    </row>
    <row r="34">
      <c r="A34" s="18">
        <f>A33+1</f>
        <v/>
      </c>
      <c r="B34" s="18">
        <f>$A34-'1-Input'!$B$5</f>
        <v/>
      </c>
      <c r="C34" s="14">
        <f>IF($A34&gt;'1-Input'!$B$47,0,IF($A34&lt;'5-Pensioni'!$C$8,0,IF($A34='5-Pensioni'!$C$8,'5-Pensioni'!$C$18*'5-Pensioni'!$C$19,'5-Pensioni'!$C$18)))</f>
        <v/>
      </c>
      <c r="D34" s="14">
        <f>IF($A34&gt;'1-Input'!$B$47,0,IF($A34&lt;'5-Pensioni'!$B$8,0,IF($A34='5-Pensioni'!$B$8,'5-Pensioni'!$B$18*'5-Pensioni'!$B$19,'5-Pensioni'!$B$18)))</f>
        <v/>
      </c>
      <c r="E34" s="14">
        <f>C34+D34</f>
        <v/>
      </c>
      <c r="F34" s="14">
        <f>IF($A34&gt;'1-Input'!$B$47,0,'1-Input'!$B$13)</f>
        <v/>
      </c>
      <c r="G34" s="14">
        <f>F34-E34</f>
        <v/>
      </c>
      <c r="H34" s="26">
        <f>IF($A34&gt;'1-Input'!$B$47,0,1/(1+'1-Input'!$B$46)^($A34-'1-Input'!$B$19-1))</f>
        <v/>
      </c>
      <c r="I34" s="14">
        <f>G34*H34</f>
        <v/>
      </c>
      <c r="K34" s="18">
        <f>K33+1</f>
        <v/>
      </c>
      <c r="L34" s="14">
        <f>IF($K34&gt;'1-Input'!$B$47,0,IF($K34&lt;'5-Pensioni'!$C$8,0,IF($K34='5-Pensioni'!$C$8,'5-Pensioni'!$C$54*'5-Pensioni'!$C$19,'5-Pensioni'!$C$54))+IF($K34&lt;'5-Pensioni'!$B$8,0,IF($K34='5-Pensioni'!$B$8,'5-Pensioni'!$B$54*'5-Pensioni'!$B$19,'5-Pensioni'!$B$54)))</f>
        <v/>
      </c>
      <c r="M34" s="14">
        <f>IF($K34&gt;'1-Input'!$B$47,0,'1-Input'!$B$13-L34)</f>
        <v/>
      </c>
      <c r="N34" s="14">
        <f>IF($K34&gt;'1-Input'!$B$47,0,M34/(1+'1-Input'!$B$46)^($K34-'1-Input'!$C$16-1))</f>
        <v/>
      </c>
    </row>
    <row r="35">
      <c r="A35" s="18">
        <f>A34+1</f>
        <v/>
      </c>
      <c r="B35" s="18">
        <f>$A35-'1-Input'!$B$5</f>
        <v/>
      </c>
      <c r="C35" s="14">
        <f>IF($A35&gt;'1-Input'!$B$47,0,IF($A35&lt;'5-Pensioni'!$C$8,0,IF($A35='5-Pensioni'!$C$8,'5-Pensioni'!$C$18*'5-Pensioni'!$C$19,'5-Pensioni'!$C$18)))</f>
        <v/>
      </c>
      <c r="D35" s="14">
        <f>IF($A35&gt;'1-Input'!$B$47,0,IF($A35&lt;'5-Pensioni'!$B$8,0,IF($A35='5-Pensioni'!$B$8,'5-Pensioni'!$B$18*'5-Pensioni'!$B$19,'5-Pensioni'!$B$18)))</f>
        <v/>
      </c>
      <c r="E35" s="14">
        <f>C35+D35</f>
        <v/>
      </c>
      <c r="F35" s="14">
        <f>IF($A35&gt;'1-Input'!$B$47,0,'1-Input'!$B$13)</f>
        <v/>
      </c>
      <c r="G35" s="14">
        <f>F35-E35</f>
        <v/>
      </c>
      <c r="H35" s="26">
        <f>IF($A35&gt;'1-Input'!$B$47,0,1/(1+'1-Input'!$B$46)^($A35-'1-Input'!$B$19-1))</f>
        <v/>
      </c>
      <c r="I35" s="14">
        <f>G35*H35</f>
        <v/>
      </c>
      <c r="K35" s="18">
        <f>K34+1</f>
        <v/>
      </c>
      <c r="L35" s="14">
        <f>IF($K35&gt;'1-Input'!$B$47,0,IF($K35&lt;'5-Pensioni'!$C$8,0,IF($K35='5-Pensioni'!$C$8,'5-Pensioni'!$C$54*'5-Pensioni'!$C$19,'5-Pensioni'!$C$54))+IF($K35&lt;'5-Pensioni'!$B$8,0,IF($K35='5-Pensioni'!$B$8,'5-Pensioni'!$B$54*'5-Pensioni'!$B$19,'5-Pensioni'!$B$54)))</f>
        <v/>
      </c>
      <c r="M35" s="14">
        <f>IF($K35&gt;'1-Input'!$B$47,0,'1-Input'!$B$13-L35)</f>
        <v/>
      </c>
      <c r="N35" s="14">
        <f>IF($K35&gt;'1-Input'!$B$47,0,M35/(1+'1-Input'!$B$46)^($K35-'1-Input'!$C$16-1))</f>
        <v/>
      </c>
    </row>
    <row r="36">
      <c r="A36" s="18">
        <f>A35+1</f>
        <v/>
      </c>
      <c r="B36" s="18">
        <f>$A36-'1-Input'!$B$5</f>
        <v/>
      </c>
      <c r="C36" s="14">
        <f>IF($A36&gt;'1-Input'!$B$47,0,IF($A36&lt;'5-Pensioni'!$C$8,0,IF($A36='5-Pensioni'!$C$8,'5-Pensioni'!$C$18*'5-Pensioni'!$C$19,'5-Pensioni'!$C$18)))</f>
        <v/>
      </c>
      <c r="D36" s="14">
        <f>IF($A36&gt;'1-Input'!$B$47,0,IF($A36&lt;'5-Pensioni'!$B$8,0,IF($A36='5-Pensioni'!$B$8,'5-Pensioni'!$B$18*'5-Pensioni'!$B$19,'5-Pensioni'!$B$18)))</f>
        <v/>
      </c>
      <c r="E36" s="14">
        <f>C36+D36</f>
        <v/>
      </c>
      <c r="F36" s="14">
        <f>IF($A36&gt;'1-Input'!$B$47,0,'1-Input'!$B$13)</f>
        <v/>
      </c>
      <c r="G36" s="14">
        <f>F36-E36</f>
        <v/>
      </c>
      <c r="H36" s="26">
        <f>IF($A36&gt;'1-Input'!$B$47,0,1/(1+'1-Input'!$B$46)^($A36-'1-Input'!$B$19-1))</f>
        <v/>
      </c>
      <c r="I36" s="14">
        <f>G36*H36</f>
        <v/>
      </c>
      <c r="K36" s="18">
        <f>K35+1</f>
        <v/>
      </c>
      <c r="L36" s="14">
        <f>IF($K36&gt;'1-Input'!$B$47,0,IF($K36&lt;'5-Pensioni'!$C$8,0,IF($K36='5-Pensioni'!$C$8,'5-Pensioni'!$C$54*'5-Pensioni'!$C$19,'5-Pensioni'!$C$54))+IF($K36&lt;'5-Pensioni'!$B$8,0,IF($K36='5-Pensioni'!$B$8,'5-Pensioni'!$B$54*'5-Pensioni'!$B$19,'5-Pensioni'!$B$54)))</f>
        <v/>
      </c>
      <c r="M36" s="14">
        <f>IF($K36&gt;'1-Input'!$B$47,0,'1-Input'!$B$13-L36)</f>
        <v/>
      </c>
      <c r="N36" s="14">
        <f>IF($K36&gt;'1-Input'!$B$47,0,M36/(1+'1-Input'!$B$46)^($K36-'1-Input'!$C$16-1))</f>
        <v/>
      </c>
    </row>
    <row r="37">
      <c r="A37" s="18">
        <f>A36+1</f>
        <v/>
      </c>
      <c r="B37" s="18">
        <f>$A37-'1-Input'!$B$5</f>
        <v/>
      </c>
      <c r="C37" s="14">
        <f>IF($A37&gt;'1-Input'!$B$47,0,IF($A37&lt;'5-Pensioni'!$C$8,0,IF($A37='5-Pensioni'!$C$8,'5-Pensioni'!$C$18*'5-Pensioni'!$C$19,'5-Pensioni'!$C$18)))</f>
        <v/>
      </c>
      <c r="D37" s="14">
        <f>IF($A37&gt;'1-Input'!$B$47,0,IF($A37&lt;'5-Pensioni'!$B$8,0,IF($A37='5-Pensioni'!$B$8,'5-Pensioni'!$B$18*'5-Pensioni'!$B$19,'5-Pensioni'!$B$18)))</f>
        <v/>
      </c>
      <c r="E37" s="14">
        <f>C37+D37</f>
        <v/>
      </c>
      <c r="F37" s="14">
        <f>IF($A37&gt;'1-Input'!$B$47,0,'1-Input'!$B$13)</f>
        <v/>
      </c>
      <c r="G37" s="14">
        <f>F37-E37</f>
        <v/>
      </c>
      <c r="H37" s="26">
        <f>IF($A37&gt;'1-Input'!$B$47,0,1/(1+'1-Input'!$B$46)^($A37-'1-Input'!$B$19-1))</f>
        <v/>
      </c>
      <c r="I37" s="14">
        <f>G37*H37</f>
        <v/>
      </c>
      <c r="K37" s="18">
        <f>K36+1</f>
        <v/>
      </c>
      <c r="L37" s="14">
        <f>IF($K37&gt;'1-Input'!$B$47,0,IF($K37&lt;'5-Pensioni'!$C$8,0,IF($K37='5-Pensioni'!$C$8,'5-Pensioni'!$C$54*'5-Pensioni'!$C$19,'5-Pensioni'!$C$54))+IF($K37&lt;'5-Pensioni'!$B$8,0,IF($K37='5-Pensioni'!$B$8,'5-Pensioni'!$B$54*'5-Pensioni'!$B$19,'5-Pensioni'!$B$54)))</f>
        <v/>
      </c>
      <c r="M37" s="14">
        <f>IF($K37&gt;'1-Input'!$B$47,0,'1-Input'!$B$13-L37)</f>
        <v/>
      </c>
      <c r="N37" s="14">
        <f>IF($K37&gt;'1-Input'!$B$47,0,M37/(1+'1-Input'!$B$46)^($K37-'1-Input'!$C$16-1))</f>
        <v/>
      </c>
    </row>
    <row r="38">
      <c r="A38" s="18">
        <f>A37+1</f>
        <v/>
      </c>
      <c r="B38" s="18">
        <f>$A38-'1-Input'!$B$5</f>
        <v/>
      </c>
      <c r="C38" s="14">
        <f>IF($A38&gt;'1-Input'!$B$47,0,IF($A38&lt;'5-Pensioni'!$C$8,0,IF($A38='5-Pensioni'!$C$8,'5-Pensioni'!$C$18*'5-Pensioni'!$C$19,'5-Pensioni'!$C$18)))</f>
        <v/>
      </c>
      <c r="D38" s="14">
        <f>IF($A38&gt;'1-Input'!$B$47,0,IF($A38&lt;'5-Pensioni'!$B$8,0,IF($A38='5-Pensioni'!$B$8,'5-Pensioni'!$B$18*'5-Pensioni'!$B$19,'5-Pensioni'!$B$18)))</f>
        <v/>
      </c>
      <c r="E38" s="14">
        <f>C38+D38</f>
        <v/>
      </c>
      <c r="F38" s="14">
        <f>IF($A38&gt;'1-Input'!$B$47,0,'1-Input'!$B$13)</f>
        <v/>
      </c>
      <c r="G38" s="14">
        <f>F38-E38</f>
        <v/>
      </c>
      <c r="H38" s="26">
        <f>IF($A38&gt;'1-Input'!$B$47,0,1/(1+'1-Input'!$B$46)^($A38-'1-Input'!$B$19-1))</f>
        <v/>
      </c>
      <c r="I38" s="14">
        <f>G38*H38</f>
        <v/>
      </c>
      <c r="K38" s="18">
        <f>K37+1</f>
        <v/>
      </c>
      <c r="L38" s="14">
        <f>IF($K38&gt;'1-Input'!$B$47,0,IF($K38&lt;'5-Pensioni'!$C$8,0,IF($K38='5-Pensioni'!$C$8,'5-Pensioni'!$C$54*'5-Pensioni'!$C$19,'5-Pensioni'!$C$54))+IF($K38&lt;'5-Pensioni'!$B$8,0,IF($K38='5-Pensioni'!$B$8,'5-Pensioni'!$B$54*'5-Pensioni'!$B$19,'5-Pensioni'!$B$54)))</f>
        <v/>
      </c>
      <c r="M38" s="14">
        <f>IF($K38&gt;'1-Input'!$B$47,0,'1-Input'!$B$13-L38)</f>
        <v/>
      </c>
      <c r="N38" s="14">
        <f>IF($K38&gt;'1-Input'!$B$47,0,M38/(1+'1-Input'!$B$46)^($K38-'1-Input'!$C$16-1))</f>
        <v/>
      </c>
    </row>
    <row r="39">
      <c r="A39" s="18">
        <f>A38+1</f>
        <v/>
      </c>
      <c r="B39" s="18">
        <f>$A39-'1-Input'!$B$5</f>
        <v/>
      </c>
      <c r="C39" s="14">
        <f>IF($A39&gt;'1-Input'!$B$47,0,IF($A39&lt;'5-Pensioni'!$C$8,0,IF($A39='5-Pensioni'!$C$8,'5-Pensioni'!$C$18*'5-Pensioni'!$C$19,'5-Pensioni'!$C$18)))</f>
        <v/>
      </c>
      <c r="D39" s="14">
        <f>IF($A39&gt;'1-Input'!$B$47,0,IF($A39&lt;'5-Pensioni'!$B$8,0,IF($A39='5-Pensioni'!$B$8,'5-Pensioni'!$B$18*'5-Pensioni'!$B$19,'5-Pensioni'!$B$18)))</f>
        <v/>
      </c>
      <c r="E39" s="14">
        <f>C39+D39</f>
        <v/>
      </c>
      <c r="F39" s="14">
        <f>IF($A39&gt;'1-Input'!$B$47,0,'1-Input'!$B$13)</f>
        <v/>
      </c>
      <c r="G39" s="14">
        <f>F39-E39</f>
        <v/>
      </c>
      <c r="H39" s="26">
        <f>IF($A39&gt;'1-Input'!$B$47,0,1/(1+'1-Input'!$B$46)^($A39-'1-Input'!$B$19-1))</f>
        <v/>
      </c>
      <c r="I39" s="14">
        <f>G39*H39</f>
        <v/>
      </c>
      <c r="K39" s="18">
        <f>K38+1</f>
        <v/>
      </c>
      <c r="L39" s="14">
        <f>IF($K39&gt;'1-Input'!$B$47,0,IF($K39&lt;'5-Pensioni'!$C$8,0,IF($K39='5-Pensioni'!$C$8,'5-Pensioni'!$C$54*'5-Pensioni'!$C$19,'5-Pensioni'!$C$54))+IF($K39&lt;'5-Pensioni'!$B$8,0,IF($K39='5-Pensioni'!$B$8,'5-Pensioni'!$B$54*'5-Pensioni'!$B$19,'5-Pensioni'!$B$54)))</f>
        <v/>
      </c>
      <c r="M39" s="14">
        <f>IF($K39&gt;'1-Input'!$B$47,0,'1-Input'!$B$13-L39)</f>
        <v/>
      </c>
      <c r="N39" s="14">
        <f>IF($K39&gt;'1-Input'!$B$47,0,M39/(1+'1-Input'!$B$46)^($K39-'1-Input'!$C$16-1))</f>
        <v/>
      </c>
    </row>
    <row r="40">
      <c r="K40" s="18">
        <f>K39+1</f>
        <v/>
      </c>
      <c r="L40" s="14">
        <f>IF($K40&gt;'1-Input'!$B$47,0,IF($K40&lt;'5-Pensioni'!$C$8,0,IF($K40='5-Pensioni'!$C$8,'5-Pensioni'!$C$54*'5-Pensioni'!$C$19,'5-Pensioni'!$C$54))+IF($K40&lt;'5-Pensioni'!$B$8,0,IF($K40='5-Pensioni'!$B$8,'5-Pensioni'!$B$54*'5-Pensioni'!$B$19,'5-Pensioni'!$B$54)))</f>
        <v/>
      </c>
      <c r="M40" s="14">
        <f>IF($K40&gt;'1-Input'!$B$47,0,'1-Input'!$B$13-L40)</f>
        <v/>
      </c>
      <c r="N40" s="14">
        <f>IF($K40&gt;'1-Input'!$B$47,0,M40/(1+'1-Input'!$B$46)^($K40-'1-Input'!$C$16-1))</f>
        <v/>
      </c>
    </row>
    <row r="41">
      <c r="A41" s="7" t="inlineStr">
        <is>
          <t>IL FABBISOGNO AL RITIRO — le due letture chiudono allo stesso numero</t>
        </is>
      </c>
      <c r="K41" s="18">
        <f>K40+1</f>
        <v/>
      </c>
      <c r="L41" s="14">
        <f>IF($K41&gt;'1-Input'!$B$47,0,IF($K41&lt;'5-Pensioni'!$C$8,0,IF($K41='5-Pensioni'!$C$8,'5-Pensioni'!$C$54*'5-Pensioni'!$C$19,'5-Pensioni'!$C$54))+IF($K41&lt;'5-Pensioni'!$B$8,0,IF($K41='5-Pensioni'!$B$8,'5-Pensioni'!$B$54*'5-Pensioni'!$B$19,'5-Pensioni'!$B$54)))</f>
        <v/>
      </c>
      <c r="M41" s="14">
        <f>IF($K41&gt;'1-Input'!$B$47,0,'1-Input'!$B$13-L41)</f>
        <v/>
      </c>
      <c r="N41" s="14">
        <f>IF($K41&gt;'1-Input'!$B$47,0,M41/(1+'1-Input'!$B$46)^($K41-'1-Input'!$C$16-1))</f>
        <v/>
      </c>
    </row>
    <row r="42">
      <c r="A42" s="8" t="inlineStr">
        <is>
          <t>Capitale al ritiro</t>
        </is>
      </c>
      <c r="B42" s="14">
        <f>'2-Composizione'!$B$36*(1+'1-Input'!$B$46)^'1-Input'!$B$50+'1-Input'!$B$40*(1+'1-Input'!$B$46)*(((1+'1-Input'!$B$46)^'1-Input'!$B$50-1)/'1-Input'!$B$46)</f>
        <v/>
      </c>
      <c r="K42" s="18">
        <f>K41+1</f>
        <v/>
      </c>
      <c r="L42" s="14">
        <f>IF($K42&gt;'1-Input'!$B$47,0,IF($K42&lt;'5-Pensioni'!$C$8,0,IF($K42='5-Pensioni'!$C$8,'5-Pensioni'!$C$54*'5-Pensioni'!$C$19,'5-Pensioni'!$C$54))+IF($K42&lt;'5-Pensioni'!$B$8,0,IF($K42='5-Pensioni'!$B$8,'5-Pensioni'!$B$54*'5-Pensioni'!$B$19,'5-Pensioni'!$B$54)))</f>
        <v/>
      </c>
      <c r="M42" s="14">
        <f>IF($K42&gt;'1-Input'!$B$47,0,'1-Input'!$B$13-L42)</f>
        <v/>
      </c>
      <c r="N42" s="14">
        <f>IF($K42&gt;'1-Input'!$B$47,0,M42/(1+'1-Input'!$B$46)^($K42-'1-Input'!$C$16-1))</f>
        <v/>
      </c>
    </row>
    <row r="43">
      <c r="A43" s="8" t="inlineStr">
        <is>
          <t>Base di costo al ritiro</t>
        </is>
      </c>
      <c r="B43" s="14">
        <f>'2-Composizione'!$B$37+'1-Input'!$B$50*'1-Input'!$B$40</f>
        <v/>
      </c>
      <c r="K43" s="18">
        <f>K42+1</f>
        <v/>
      </c>
      <c r="L43" s="14">
        <f>IF($K43&gt;'1-Input'!$B$47,0,IF($K43&lt;'5-Pensioni'!$C$8,0,IF($K43='5-Pensioni'!$C$8,'5-Pensioni'!$C$54*'5-Pensioni'!$C$19,'5-Pensioni'!$C$54))+IF($K43&lt;'5-Pensioni'!$B$8,0,IF($K43='5-Pensioni'!$B$8,'5-Pensioni'!$B$54*'5-Pensioni'!$B$19,'5-Pensioni'!$B$54)))</f>
        <v/>
      </c>
      <c r="M43" s="14">
        <f>IF($K43&gt;'1-Input'!$B$47,0,'1-Input'!$B$13-L43)</f>
        <v/>
      </c>
      <c r="N43" s="14">
        <f>IF($K43&gt;'1-Input'!$B$47,0,M43/(1+'1-Input'!$B$46)^($K43-'1-Input'!$C$16-1))</f>
        <v/>
      </c>
    </row>
    <row r="44">
      <c r="A44" s="8" t="inlineStr">
        <is>
          <t>Plusvalenza latente al ritiro (floor a zero)</t>
        </is>
      </c>
      <c r="B44" s="19">
        <f>MAX(0,(B42-B43)/B42)</f>
        <v/>
      </c>
      <c r="K44" s="18">
        <f>K43+1</f>
        <v/>
      </c>
      <c r="L44" s="14">
        <f>IF($K44&gt;'1-Input'!$B$47,0,IF($K44&lt;'5-Pensioni'!$C$8,0,IF($K44='5-Pensioni'!$C$8,'5-Pensioni'!$C$54*'5-Pensioni'!$C$19,'5-Pensioni'!$C$54))+IF($K44&lt;'5-Pensioni'!$B$8,0,IF($K44='5-Pensioni'!$B$8,'5-Pensioni'!$B$54*'5-Pensioni'!$B$19,'5-Pensioni'!$B$54)))</f>
        <v/>
      </c>
      <c r="M44" s="14">
        <f>IF($K44&gt;'1-Input'!$B$47,0,'1-Input'!$B$13-L44)</f>
        <v/>
      </c>
      <c r="N44" s="14">
        <f>IF($K44&gt;'1-Input'!$B$47,0,M44/(1+'1-Input'!$B$46)^($K44-'1-Input'!$C$16-1))</f>
        <v/>
      </c>
    </row>
    <row r="45">
      <c r="A45" s="8" t="inlineStr">
        <is>
          <t>Fattore di lordizzazione G al ritiro</t>
        </is>
      </c>
      <c r="B45" s="26">
        <f>1/(1-'P-Parametri'!$B$31*B44)</f>
        <v/>
      </c>
      <c r="K45" s="18">
        <f>K44+1</f>
        <v/>
      </c>
      <c r="L45" s="14">
        <f>IF($K45&gt;'1-Input'!$B$47,0,IF($K45&lt;'5-Pensioni'!$C$8,0,IF($K45='5-Pensioni'!$C$8,'5-Pensioni'!$C$54*'5-Pensioni'!$C$19,'5-Pensioni'!$C$54))+IF($K45&lt;'5-Pensioni'!$B$8,0,IF($K45='5-Pensioni'!$B$8,'5-Pensioni'!$B$54*'5-Pensioni'!$B$19,'5-Pensioni'!$B$54)))</f>
        <v/>
      </c>
      <c r="M45" s="14">
        <f>IF($K45&gt;'1-Input'!$B$47,0,'1-Input'!$B$13-L45)</f>
        <v/>
      </c>
      <c r="N45" s="14">
        <f>IF($K45&gt;'1-Input'!$B$47,0,M45/(1+'1-Input'!$B$46)^($K45-'1-Input'!$C$16-1))</f>
        <v/>
      </c>
    </row>
    <row r="46">
      <c r="A46" s="8" t="inlineStr">
        <is>
          <t>Valore attuale netto del fabbisogno</t>
        </is>
      </c>
      <c r="B46" s="14">
        <f>SUM(I6:I39)</f>
        <v/>
      </c>
      <c r="K46" s="18">
        <f>K45+1</f>
        <v/>
      </c>
      <c r="L46" s="14">
        <f>IF($K46&gt;'1-Input'!$B$47,0,IF($K46&lt;'5-Pensioni'!$C$8,0,IF($K46='5-Pensioni'!$C$8,'5-Pensioni'!$C$54*'5-Pensioni'!$C$19,'5-Pensioni'!$C$54))+IF($K46&lt;'5-Pensioni'!$B$8,0,IF($K46='5-Pensioni'!$B$8,'5-Pensioni'!$B$54*'5-Pensioni'!$B$19,'5-Pensioni'!$B$54)))</f>
        <v/>
      </c>
      <c r="M46" s="14">
        <f>IF($K46&gt;'1-Input'!$B$47,0,'1-Input'!$B$13-L46)</f>
        <v/>
      </c>
      <c r="N46" s="14">
        <f>IF($K46&gt;'1-Input'!$B$47,0,M46/(1+'1-Input'!$B$46)^($K46-'1-Input'!$C$16-1))</f>
        <v/>
      </c>
    </row>
    <row r="47">
      <c r="A47" s="8" t="inlineStr">
        <is>
          <t>TFR netto incassato al ritiro</t>
        </is>
      </c>
      <c r="B47" s="14">
        <f>'6-TFR'!$B$24</f>
        <v/>
      </c>
      <c r="K47" s="18">
        <f>K46+1</f>
        <v/>
      </c>
      <c r="L47" s="14">
        <f>IF($K47&gt;'1-Input'!$B$47,0,IF($K47&lt;'5-Pensioni'!$C$8,0,IF($K47='5-Pensioni'!$C$8,'5-Pensioni'!$C$54*'5-Pensioni'!$C$19,'5-Pensioni'!$C$54))+IF($K47&lt;'5-Pensioni'!$B$8,0,IF($K47='5-Pensioni'!$B$8,'5-Pensioni'!$B$54*'5-Pensioni'!$B$19,'5-Pensioni'!$B$54)))</f>
        <v/>
      </c>
      <c r="M47" s="14">
        <f>IF($K47&gt;'1-Input'!$B$47,0,'1-Input'!$B$13-L47)</f>
        <v/>
      </c>
      <c r="N47" s="14">
        <f>IF($K47&gt;'1-Input'!$B$47,0,M47/(1+'1-Input'!$B$46)^($K47-'1-Input'!$C$16-1))</f>
        <v/>
      </c>
    </row>
    <row r="48">
      <c r="A48" s="8" t="inlineStr">
        <is>
          <t>LETTURA IN NETTO — a carico del portafoglio, in netto</t>
        </is>
      </c>
      <c r="B48" s="14">
        <f>B46-B47</f>
        <v/>
      </c>
      <c r="K48" s="18">
        <f>K47+1</f>
        <v/>
      </c>
      <c r="L48" s="14">
        <f>IF($K48&gt;'1-Input'!$B$47,0,IF($K48&lt;'5-Pensioni'!$C$8,0,IF($K48='5-Pensioni'!$C$8,'5-Pensioni'!$C$54*'5-Pensioni'!$C$19,'5-Pensioni'!$C$54))+IF($K48&lt;'5-Pensioni'!$B$8,0,IF($K48='5-Pensioni'!$B$8,'5-Pensioni'!$B$54*'5-Pensioni'!$B$19,'5-Pensioni'!$B$54)))</f>
        <v/>
      </c>
      <c r="M48" s="14">
        <f>IF($K48&gt;'1-Input'!$B$47,0,'1-Input'!$B$13-L48)</f>
        <v/>
      </c>
      <c r="N48" s="14">
        <f>IF($K48&gt;'1-Input'!$B$47,0,M48/(1+'1-Input'!$B$46)^($K48-'1-Input'!$C$16-1))</f>
        <v/>
      </c>
    </row>
    <row r="49">
      <c r="A49" s="8" t="inlineStr">
        <is>
          <t>…portata in capitale (× G)</t>
        </is>
      </c>
      <c r="B49" s="14">
        <f>MAX(0,B48*B45)</f>
        <v/>
      </c>
      <c r="K49" s="18">
        <f>K48+1</f>
        <v/>
      </c>
      <c r="L49" s="14">
        <f>IF($K49&gt;'1-Input'!$B$47,0,IF($K49&lt;'5-Pensioni'!$C$8,0,IF($K49='5-Pensioni'!$C$8,'5-Pensioni'!$C$54*'5-Pensioni'!$C$19,'5-Pensioni'!$C$54))+IF($K49&lt;'5-Pensioni'!$B$8,0,IF($K49='5-Pensioni'!$B$8,'5-Pensioni'!$B$54*'5-Pensioni'!$B$19,'5-Pensioni'!$B$54)))</f>
        <v/>
      </c>
      <c r="M49" s="14">
        <f>IF($K49&gt;'1-Input'!$B$47,0,'1-Input'!$B$13-L49)</f>
        <v/>
      </c>
      <c r="N49" s="14">
        <f>IF($K49&gt;'1-Input'!$B$47,0,M49/(1+'1-Input'!$B$46)^($K49-'1-Input'!$C$16-1))</f>
        <v/>
      </c>
    </row>
    <row r="50">
      <c r="A50" s="8" t="inlineStr">
        <is>
          <t>LETTURA IN CAPITALE — fabbisogno lordo (valore attuale × G)</t>
        </is>
      </c>
      <c r="B50" s="14">
        <f>B46*B45</f>
        <v/>
      </c>
    </row>
    <row r="51">
      <c r="A51" s="8" t="inlineStr">
        <is>
          <t>…meno il capitale che la liquidazione risparmia al portafoglio</t>
        </is>
      </c>
      <c r="B51" s="14">
        <f>-B47*B45</f>
        <v/>
      </c>
    </row>
    <row r="52">
      <c r="A52" s="8" t="inlineStr">
        <is>
          <t>FABBISOGNO FINANZIARIO (floor a zero)</t>
        </is>
      </c>
      <c r="B52" s="14">
        <f>MAX(0,B50+B51)</f>
        <v/>
      </c>
    </row>
    <row r="53">
      <c r="A53" s="8" t="inlineStr">
        <is>
          <t>Quota della liquidazione sul fabbisogno lordo</t>
        </is>
      </c>
      <c r="B53" s="19">
        <f>-B51/B50</f>
        <v/>
      </c>
    </row>
    <row r="54">
      <c r="A54" s="8" t="inlineStr">
        <is>
          <t>Copertura della spesa data dalle pensioni / gap di coda</t>
        </is>
      </c>
      <c r="B54" s="16">
        <f>'5-Pensioni'!$B$21</f>
        <v/>
      </c>
      <c r="C54" s="14">
        <f>'5-Pensioni'!$B$22</f>
        <v/>
      </c>
    </row>
    <row r="56">
      <c r="A56" s="7" t="inlineStr">
        <is>
          <t>IL WATERFALL DEL TWIST — cinque gradini, e uno tira nell'altra direzione</t>
        </is>
      </c>
    </row>
    <row r="57">
      <c r="A57" s="13" t="inlineStr">
        <is>
          <t>Gradino</t>
        </is>
      </c>
      <c r="B57" s="13" t="inlineStr">
        <is>
          <t>Valore</t>
        </is>
      </c>
      <c r="C57" s="13" t="inlineStr">
        <is>
          <t>Fattore</t>
        </is>
      </c>
    </row>
    <row r="58">
      <c r="A58" s="8" t="inlineStr">
        <is>
          <t>0 — Il target dichiarato</t>
        </is>
      </c>
      <c r="B58" s="15">
        <f>'P-Parametri'!$B$47</f>
        <v/>
      </c>
    </row>
    <row r="59">
      <c r="A59" s="8" t="inlineStr">
        <is>
          <t>1 — Al tasso vero del portafoglio, bollo incluso, sempre perpetuo</t>
        </is>
      </c>
      <c r="B59" s="14">
        <f>'1-Input'!$B$13/'1-Input'!$B$46</f>
        <v/>
      </c>
      <c r="C59" s="30">
        <f>B58/B59</f>
        <v/>
      </c>
    </row>
    <row r="60">
      <c r="A60" s="8" t="inlineStr">
        <is>
          <t>2 — Orizzonte finito invece dell'infinito (annualita' anticipata)</t>
        </is>
      </c>
      <c r="B60" s="14">
        <f>'1-Input'!$B$13*((1-(1+'1-Input'!$B$46)^-('1-Input'!$B$47-'1-Input'!$B$19))/'1-Input'!$B$46)*(1+'1-Input'!$B$46)</f>
        <v/>
      </c>
      <c r="C60" s="30">
        <f>B59/B60</f>
        <v/>
      </c>
    </row>
    <row r="61">
      <c r="A61" s="8" t="inlineStr">
        <is>
          <t>3 — La fiscalita' del prelievo — QUESTO GRADINO SALE</t>
        </is>
      </c>
      <c r="B61" s="14">
        <f>B60*B45</f>
        <v/>
      </c>
      <c r="C61" s="30">
        <f>B60/B61</f>
        <v/>
      </c>
    </row>
    <row r="62">
      <c r="A62" s="8" t="inlineStr">
        <is>
          <t>4 — Contate le due pensioni</t>
        </is>
      </c>
      <c r="B62" s="14">
        <f>B50</f>
        <v/>
      </c>
      <c r="C62" s="30">
        <f>B61/B62</f>
        <v/>
      </c>
    </row>
    <row r="63">
      <c r="A63" s="8" t="inlineStr">
        <is>
          <t>5 — Contata la liquidazione</t>
        </is>
      </c>
      <c r="B63" s="14">
        <f>B52</f>
        <v/>
      </c>
      <c r="C63" s="30">
        <f>B62/B63</f>
        <v/>
      </c>
    </row>
    <row r="64">
      <c r="A64" s="8" t="inlineStr">
        <is>
          <t>FATTORE COMPLESSIVO — target / fabbisogno finanziario</t>
        </is>
      </c>
      <c r="B64" s="17">
        <f>B58/B63</f>
        <v/>
      </c>
      <c r="C64" s="17">
        <f>C59*C60*C61*C62*C63</f>
        <v/>
      </c>
    </row>
    <row r="66">
      <c r="A66" s="7" t="inlineStr">
        <is>
          <t>IL RIEPILOGO E I RAPPORTI</t>
        </is>
      </c>
    </row>
    <row r="67">
      <c r="A67" s="8" t="inlineStr">
        <is>
          <t>Il patrimonio di oggi</t>
        </is>
      </c>
      <c r="B67" s="15">
        <f>'2-Composizione'!$B$36</f>
        <v/>
      </c>
    </row>
    <row r="68">
      <c r="A68" s="8" t="inlineStr">
        <is>
          <t>Il fabbisogno finanziario al ritiro</t>
        </is>
      </c>
      <c r="B68" s="15">
        <f>B52</f>
        <v/>
      </c>
    </row>
    <row r="69">
      <c r="A69" s="8" t="inlineStr">
        <is>
          <t>Quante volte il target dichiarato vale il fabbisogno</t>
        </is>
      </c>
      <c r="B69" s="17">
        <f>B64</f>
        <v/>
      </c>
    </row>
    <row r="70">
      <c r="A70" s="8" t="inlineStr">
        <is>
          <t>Il fabbisogno in quota del capitale al ritiro</t>
        </is>
      </c>
      <c r="B70" s="16">
        <f>B52/B42</f>
        <v/>
      </c>
    </row>
    <row r="71">
      <c r="A71" s="8" t="inlineStr">
        <is>
          <t>Margine: capitale al ritiro diviso fabbisogno</t>
        </is>
      </c>
      <c r="B71" s="17">
        <f>B42/B52</f>
        <v/>
      </c>
    </row>
    <row r="72">
      <c r="A72" s="8" t="inlineStr">
        <is>
          <t>Il target al prelievo perpetuo di riferimento / di quanto il dichiarato sta sotto</t>
        </is>
      </c>
      <c r="B72" s="15">
        <f>'1-Input'!$B$13/'P-Parametri'!$B$48</f>
        <v/>
      </c>
      <c r="C72" s="19">
        <f>1-'P-Parametri'!$B$47/B72</f>
        <v/>
      </c>
    </row>
    <row r="73">
      <c r="A73" s="8" t="inlineStr">
        <is>
          <t>Le due porte: vecchiaia / via dei 65 anni</t>
        </is>
      </c>
      <c r="B73" s="15">
        <f>B52</f>
        <v/>
      </c>
      <c r="C73" s="15">
        <f>'11-Banda'!$D$7</f>
        <v/>
      </c>
      <c r="D73" s="15">
        <f>B73-C73</f>
        <v/>
      </c>
    </row>
    <row r="74">
      <c r="A74" s="8" t="inlineStr">
        <is>
          <t>Scenari di spesa: piu' bassa / centrale / piu' alta</t>
        </is>
      </c>
      <c r="B74" s="15">
        <f>'11-Banda'!$D$6</f>
        <v/>
      </c>
      <c r="C74" s="15">
        <f>'11-Banda'!$D$9</f>
        <v/>
      </c>
      <c r="D74" s="15">
        <f>'11-Banda'!$D$16</f>
        <v/>
      </c>
    </row>
    <row r="76">
      <c r="A76" s="7" t="inlineStr">
        <is>
          <t>LA CURVA DEL ×25 — quattro punti, un metodo solo</t>
        </is>
      </c>
    </row>
    <row r="77">
      <c r="A77" s="13" t="inlineStr">
        <is>
          <t>Eta' al ritiro</t>
        </is>
      </c>
      <c r="B77" s="13" t="inlineStr">
        <is>
          <t>Il ×25</t>
        </is>
      </c>
      <c r="C77" s="13" t="inlineStr">
        <is>
          <t>Il fabbisogno</t>
        </is>
      </c>
      <c r="D77" s="13" t="inlineStr">
        <is>
          <t>Rapporto</t>
        </is>
      </c>
    </row>
    <row r="78">
      <c r="A78" s="18">
        <f>'P-Parametri'!$C$50</f>
        <v/>
      </c>
      <c r="B78" s="15">
        <f>'P-Parametri'!$B$49*25</f>
        <v/>
      </c>
      <c r="C78" s="14">
        <f>'P-Parametri'!$B$49*((1-(1+'1-Input'!$B$46)^-('P-Parametri'!$B$50-'P-Parametri'!$C$50))/'1-Input'!$B$46)*(1+'1-Input'!$B$46)</f>
        <v/>
      </c>
      <c r="D78" s="17">
        <f>B78/C78</f>
        <v/>
      </c>
    </row>
    <row r="79">
      <c r="A79" s="18">
        <f>'1-Input'!$C$16-'1-Input'!$B$5</f>
        <v/>
      </c>
      <c r="B79" s="15">
        <f>'1-Input'!$B$13*25</f>
        <v/>
      </c>
      <c r="C79" s="14">
        <f>SUM(N6:N49)*'2-Composizione'!$B$39</f>
        <v/>
      </c>
      <c r="D79" s="17">
        <f>B79/C79</f>
        <v/>
      </c>
    </row>
    <row r="80">
      <c r="A80" s="18">
        <f>'1-Input'!$B$56</f>
        <v/>
      </c>
      <c r="B80" s="15">
        <f>'1-Input'!$B$13*25</f>
        <v/>
      </c>
      <c r="C80" s="14">
        <f>B50</f>
        <v/>
      </c>
      <c r="D80" s="17">
        <f>B80/C80</f>
        <v/>
      </c>
    </row>
    <row r="81">
      <c r="A81" s="18">
        <f>'1-Input'!$B$56+2</f>
        <v/>
      </c>
      <c r="B81" s="15">
        <f>'1-Input'!$B$13*25</f>
        <v/>
      </c>
      <c r="C81" s="14">
        <f>'9-Leve'!$L$74</f>
        <v/>
      </c>
      <c r="D81" s="17">
        <f>B81/C81</f>
        <v/>
      </c>
    </row>
    <row r="83" ht="30" customHeight="1">
      <c r="A83" s="12" t="inlineStr">
        <is>
          <t>CONVENZIONI DEL FLUSSO, DICHIARATE. Il prelievo e' a inizio anno; lo sconto e' al rendimento NETTO BOLLO; nell'anno di decorrenza si conta mezza annualita' se la decorrenza non e' di gennaio; l'orizzonte e' l'eta' finale di Chiara.</t>
        </is>
      </c>
    </row>
    <row r="84" ht="45" customHeight="1">
      <c r="A84" s="12" t="inlineStr">
        <is>
          <t>IL TFR E' GIA' NETTO E NON SI LORDIZZA: la tassazione separata e' gia' scontata alla liquidazione. Il gradino della liquidazione nel waterfall si scrive in CAPITALE (netto × G) e non in netto: sottrarre una risorsa netta da una grandezza in capitale metterebbe due unita' di misura diverse nello stesso gradino. Le due letture, in netto e in capitale, chiudono allo stesso numero.</t>
        </is>
      </c>
    </row>
    <row r="85" ht="30" customHeight="1">
      <c r="A85" s="12" t="inlineStr">
        <is>
          <t>LA PLUSVALENZA LATENTE HA IL FLOOR A ZERO e il fattore di lordizzazione non scende mai sotto 1. Nel decumulo la latente cresce, quindi un fattore costante sottostima il fabbisogno; negli scenari con i crolli sbaglia nell'altro verso, perche' la latente collassa col mercato.</t>
        </is>
      </c>
    </row>
    <row r="86" ht="60" customHeight="1">
      <c r="A86" s="12" t="inlineStr">
        <is>
          <t>IL PUNTO A 35 ANNI DELLA CURVA non si lordizza (convenzione dichiarata): chi ha appena raggiunto il suo ×25 partendo da zero ha una latente piccola, e la lordizzazione alzerebbe il fabbisogno, cioe' abbasserebbe ancora il rapporto. La scelta e' conservativa nel verso che protegge il video corretto. Sotto i venti anni di contributi la pensione di vecchiaia non si apre: a quel punto non c'e' nessuna gamba pubblica sotto.</t>
        </is>
      </c>
    </row>
    <row r="87" ht="30" customHeight="1">
      <c r="A87" s="12" t="inlineStr">
        <is>
          <t>L'identita' coi due milioni e' APPROSSIMATA: al prelievo perpetuo di riferimento farebbero 2.080.000, e il target dichiarato sta sotto di poco. Mai «esattamente».</t>
        </is>
      </c>
    </row>
    <row r="88" ht="45" customHeight="1">
      <c r="A88" s="12" t="inlineStr">
        <is>
          <t>La coppia e' trattata come un soggetto unico fino all'orizzonte: niente reversibilita', niente calo di spesa alla morte del primo coniuge, niente spesa di non autosufficienza. Tutto il verdetto sta nella coda, e il gap di coda e' la differenza fra due numeri grandi: e' ipersensibile.</t>
        </is>
      </c>
    </row>
  </sheetData>
  <mergeCells count="13">
    <mergeCell ref="A41:I41"/>
    <mergeCell ref="A2:I2"/>
    <mergeCell ref="A85:I85"/>
    <mergeCell ref="A76:I76"/>
    <mergeCell ref="A84:I84"/>
    <mergeCell ref="A66:I66"/>
    <mergeCell ref="A1:I1"/>
    <mergeCell ref="A88:I88"/>
    <mergeCell ref="A56:I56"/>
    <mergeCell ref="A83:I83"/>
    <mergeCell ref="A87:I87"/>
    <mergeCell ref="A4:I4"/>
    <mergeCell ref="A86:I8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  <col width="14" customWidth="1" min="5" max="5"/>
    <col width="13" customWidth="1" min="6" max="6"/>
    <col width="14" customWidth="1" min="7" max="7"/>
    <col width="15" customWidth="1" min="8" max="8"/>
    <col width="17" customWidth="1" min="9" max="9"/>
    <col width="17" customWidth="1" min="10" max="10"/>
    <col width="17" customWidth="1" min="11" max="11"/>
    <col width="19" customWidth="1" min="12" max="12"/>
  </cols>
  <sheetData>
    <row r="1" ht="25" customHeight="1">
      <c r="A1" s="1" t="inlineStr">
        <is>
          <t>La traiettoria del patrimonio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ANNO PER ANNO — accumulo, poi decumulo con il TFR consumato per primo</t>
        </is>
      </c>
    </row>
    <row r="5">
      <c r="A5" s="13" t="inlineStr">
        <is>
          <t>Anno</t>
        </is>
      </c>
      <c r="B5" s="13" t="inlineStr">
        <is>
          <t>Eta'</t>
        </is>
      </c>
      <c r="C5" s="13" t="inlineStr">
        <is>
          <t>Versamento</t>
        </is>
      </c>
      <c r="D5" s="13" t="inlineStr">
        <is>
          <t>Pensioni nette</t>
        </is>
      </c>
      <c r="E5" s="13" t="inlineStr">
        <is>
          <t>Fabbisogno netto</t>
        </is>
      </c>
      <c r="F5" s="13" t="inlineStr">
        <is>
          <t>TFR usato</t>
        </is>
      </c>
      <c r="G5" s="13" t="inlineStr">
        <is>
          <t>TFR residuo</t>
        </is>
      </c>
      <c r="H5" s="13" t="inlineStr">
        <is>
          <t>Prelievo lordizzato</t>
        </is>
      </c>
      <c r="I5" s="13" t="inlineStr">
        <is>
          <t>Capitale centrale</t>
        </is>
      </c>
      <c r="J5" s="13" t="inlineStr">
        <is>
          <t>Capitale al pavimento</t>
        </is>
      </c>
      <c r="K5" s="13" t="inlineStr">
        <is>
          <t>Capitale al tetto</t>
        </is>
      </c>
      <c r="L5" s="13" t="inlineStr">
        <is>
          <t>Capitale con la sequenza sfavorevole</t>
        </is>
      </c>
    </row>
    <row r="6">
      <c r="A6" s="18">
        <f>'1-Input'!$C$16</f>
        <v/>
      </c>
      <c r="B6" s="18">
        <f>$A6-'1-Input'!$B$5</f>
        <v/>
      </c>
      <c r="C6" s="15">
        <f>0</f>
        <v/>
      </c>
      <c r="D6" s="15">
        <f>0</f>
        <v/>
      </c>
      <c r="E6" s="15">
        <f>0</f>
        <v/>
      </c>
      <c r="F6" s="15">
        <f>0</f>
        <v/>
      </c>
      <c r="G6" s="14">
        <f>'6-TFR'!$B$24</f>
        <v/>
      </c>
      <c r="H6" s="15">
        <f>0</f>
        <v/>
      </c>
      <c r="I6" s="14">
        <f>'2-Composizione'!$B$36</f>
        <v/>
      </c>
      <c r="J6" s="14">
        <f>'2-Composizione'!$B$36</f>
        <v/>
      </c>
      <c r="K6" s="14">
        <f>'2-Composizione'!$B$36</f>
        <v/>
      </c>
      <c r="L6" s="14">
        <f>'2-Composizione'!$B$36</f>
        <v/>
      </c>
    </row>
    <row r="7">
      <c r="A7" s="18">
        <f>A6+1</f>
        <v/>
      </c>
      <c r="B7" s="18">
        <f>$A7-'1-Input'!$B$5</f>
        <v/>
      </c>
      <c r="C7" s="15">
        <f>IF($A7&lt;='1-Input'!$B$19,'1-Input'!$B$40,0)</f>
        <v/>
      </c>
      <c r="D7" s="14">
        <f>IF($A7&lt;='1-Input'!$B$19,0,IF($A7&gt;'1-Input'!$B$47,0,IF($A7&lt;'5-Pensioni'!$C$8,0,IF($A7='5-Pensioni'!$C$8,'5-Pensioni'!$C$18*'5-Pensioni'!$C$19,'5-Pensioni'!$C$18))+IF($A7&lt;'5-Pensioni'!$B$8,0,IF($A7='5-Pensioni'!$B$8,'5-Pensioni'!$B$18*'5-Pensioni'!$B$19,'5-Pensioni'!$B$18))))</f>
        <v/>
      </c>
      <c r="E7" s="14">
        <f>IF($A7&lt;='1-Input'!$B$19,0,IF($A7&gt;'1-Input'!$B$47,0,MAX(0,'1-Input'!$B$13-D7)))</f>
        <v/>
      </c>
      <c r="F7" s="14">
        <f>MIN(E7,G6)</f>
        <v/>
      </c>
      <c r="G7" s="14">
        <f>G6-F7</f>
        <v/>
      </c>
      <c r="H7" s="14">
        <f>MAX(0,E7-F7)*$B$51</f>
        <v/>
      </c>
      <c r="I7" s="14">
        <f>IF($A7&lt;='1-Input'!$B$19,(I6+C7)*(1+'1-Input'!$B$46),(I6-H7)*(1+'1-Input'!$B$46))</f>
        <v/>
      </c>
      <c r="J7" s="14">
        <f>IF($A7&lt;='1-Input'!$B$19,(J6+C7)*(1+'3-Rendimento'!$D$15),(J6-MAX(0,E7-F7)*$C$51)*(1+'3-Rendimento'!$D$15))</f>
        <v/>
      </c>
      <c r="K7" s="14">
        <f>IF($A7&lt;='1-Input'!$B$19,(K6+C7)*(1+'3-Rendimento'!$D$17),(K6-MAX(0,E7-F7)*$D$51)*(1+'3-Rendimento'!$D$17))</f>
        <v/>
      </c>
      <c r="L7" s="14">
        <f>IF($A7&gt;'1-Input'!$B$19,"",(L6+C7)*(1+IF($A7='1-Input'!$B$19-1,'P-Parametri'!$B$54*'P-Parametri'!$B$52+(1-'P-Parametri'!$B$54)*('P-Parametri'!$C$42-'1-Input'!$B$18),IF($A7='1-Input'!$B$19,'P-Parametri'!$B$54*'P-Parametri'!$C$52+(1-'P-Parametri'!$B$54)*('P-Parametri'!$C$42-'1-Input'!$B$18),'1-Input'!$B$46))))</f>
        <v/>
      </c>
    </row>
    <row r="8">
      <c r="A8" s="18">
        <f>A7+1</f>
        <v/>
      </c>
      <c r="B8" s="18">
        <f>$A8-'1-Input'!$B$5</f>
        <v/>
      </c>
      <c r="C8" s="15">
        <f>IF($A8&lt;='1-Input'!$B$19,'1-Input'!$B$40,0)</f>
        <v/>
      </c>
      <c r="D8" s="14">
        <f>IF($A8&lt;='1-Input'!$B$19,0,IF($A8&gt;'1-Input'!$B$47,0,IF($A8&lt;'5-Pensioni'!$C$8,0,IF($A8='5-Pensioni'!$C$8,'5-Pensioni'!$C$18*'5-Pensioni'!$C$19,'5-Pensioni'!$C$18))+IF($A8&lt;'5-Pensioni'!$B$8,0,IF($A8='5-Pensioni'!$B$8,'5-Pensioni'!$B$18*'5-Pensioni'!$B$19,'5-Pensioni'!$B$18))))</f>
        <v/>
      </c>
      <c r="E8" s="14">
        <f>IF($A8&lt;='1-Input'!$B$19,0,IF($A8&gt;'1-Input'!$B$47,0,MAX(0,'1-Input'!$B$13-D8)))</f>
        <v/>
      </c>
      <c r="F8" s="14">
        <f>MIN(E8,G7)</f>
        <v/>
      </c>
      <c r="G8" s="14">
        <f>G7-F8</f>
        <v/>
      </c>
      <c r="H8" s="14">
        <f>MAX(0,E8-F8)*$B$51</f>
        <v/>
      </c>
      <c r="I8" s="14">
        <f>IF($A8&lt;='1-Input'!$B$19,(I7+C8)*(1+'1-Input'!$B$46),(I7-H8)*(1+'1-Input'!$B$46))</f>
        <v/>
      </c>
      <c r="J8" s="14">
        <f>IF($A8&lt;='1-Input'!$B$19,(J7+C8)*(1+'3-Rendimento'!$D$15),(J7-MAX(0,E8-F8)*$C$51)*(1+'3-Rendimento'!$D$15))</f>
        <v/>
      </c>
      <c r="K8" s="14">
        <f>IF($A8&lt;='1-Input'!$B$19,(K7+C8)*(1+'3-Rendimento'!$D$17),(K7-MAX(0,E8-F8)*$D$51)*(1+'3-Rendimento'!$D$17))</f>
        <v/>
      </c>
      <c r="L8" s="14">
        <f>IF($A8&gt;'1-Input'!$B$19,"",(L7+C8)*(1+IF($A8='1-Input'!$B$19-1,'P-Parametri'!$B$54*'P-Parametri'!$B$52+(1-'P-Parametri'!$B$54)*('P-Parametri'!$C$42-'1-Input'!$B$18),IF($A8='1-Input'!$B$19,'P-Parametri'!$B$54*'P-Parametri'!$C$52+(1-'P-Parametri'!$B$54)*('P-Parametri'!$C$42-'1-Input'!$B$18),'1-Input'!$B$46))))</f>
        <v/>
      </c>
    </row>
    <row r="9">
      <c r="A9" s="18">
        <f>A8+1</f>
        <v/>
      </c>
      <c r="B9" s="18">
        <f>$A9-'1-Input'!$B$5</f>
        <v/>
      </c>
      <c r="C9" s="15">
        <f>IF($A9&lt;='1-Input'!$B$19,'1-Input'!$B$40,0)</f>
        <v/>
      </c>
      <c r="D9" s="14">
        <f>IF($A9&lt;='1-Input'!$B$19,0,IF($A9&gt;'1-Input'!$B$47,0,IF($A9&lt;'5-Pensioni'!$C$8,0,IF($A9='5-Pensioni'!$C$8,'5-Pensioni'!$C$18*'5-Pensioni'!$C$19,'5-Pensioni'!$C$18))+IF($A9&lt;'5-Pensioni'!$B$8,0,IF($A9='5-Pensioni'!$B$8,'5-Pensioni'!$B$18*'5-Pensioni'!$B$19,'5-Pensioni'!$B$18))))</f>
        <v/>
      </c>
      <c r="E9" s="14">
        <f>IF($A9&lt;='1-Input'!$B$19,0,IF($A9&gt;'1-Input'!$B$47,0,MAX(0,'1-Input'!$B$13-D9)))</f>
        <v/>
      </c>
      <c r="F9" s="14">
        <f>MIN(E9,G8)</f>
        <v/>
      </c>
      <c r="G9" s="14">
        <f>G8-F9</f>
        <v/>
      </c>
      <c r="H9" s="14">
        <f>MAX(0,E9-F9)*$B$51</f>
        <v/>
      </c>
      <c r="I9" s="14">
        <f>IF($A9&lt;='1-Input'!$B$19,(I8+C9)*(1+'1-Input'!$B$46),(I8-H9)*(1+'1-Input'!$B$46))</f>
        <v/>
      </c>
      <c r="J9" s="14">
        <f>IF($A9&lt;='1-Input'!$B$19,(J8+C9)*(1+'3-Rendimento'!$D$15),(J8-MAX(0,E9-F9)*$C$51)*(1+'3-Rendimento'!$D$15))</f>
        <v/>
      </c>
      <c r="K9" s="14">
        <f>IF($A9&lt;='1-Input'!$B$19,(K8+C9)*(1+'3-Rendimento'!$D$17),(K8-MAX(0,E9-F9)*$D$51)*(1+'3-Rendimento'!$D$17))</f>
        <v/>
      </c>
      <c r="L9" s="14">
        <f>IF($A9&gt;'1-Input'!$B$19,"",(L8+C9)*(1+IF($A9='1-Input'!$B$19-1,'P-Parametri'!$B$54*'P-Parametri'!$B$52+(1-'P-Parametri'!$B$54)*('P-Parametri'!$C$42-'1-Input'!$B$18),IF($A9='1-Input'!$B$19,'P-Parametri'!$B$54*'P-Parametri'!$C$52+(1-'P-Parametri'!$B$54)*('P-Parametri'!$C$42-'1-Input'!$B$18),'1-Input'!$B$46))))</f>
        <v/>
      </c>
    </row>
    <row r="10">
      <c r="A10" s="18">
        <f>A9+1</f>
        <v/>
      </c>
      <c r="B10" s="18">
        <f>$A10-'1-Input'!$B$5</f>
        <v/>
      </c>
      <c r="C10" s="15">
        <f>IF($A10&lt;='1-Input'!$B$19,'1-Input'!$B$40,0)</f>
        <v/>
      </c>
      <c r="D10" s="14">
        <f>IF($A10&lt;='1-Input'!$B$19,0,IF($A10&gt;'1-Input'!$B$47,0,IF($A10&lt;'5-Pensioni'!$C$8,0,IF($A10='5-Pensioni'!$C$8,'5-Pensioni'!$C$18*'5-Pensioni'!$C$19,'5-Pensioni'!$C$18))+IF($A10&lt;'5-Pensioni'!$B$8,0,IF($A10='5-Pensioni'!$B$8,'5-Pensioni'!$B$18*'5-Pensioni'!$B$19,'5-Pensioni'!$B$18))))</f>
        <v/>
      </c>
      <c r="E10" s="14">
        <f>IF($A10&lt;='1-Input'!$B$19,0,IF($A10&gt;'1-Input'!$B$47,0,MAX(0,'1-Input'!$B$13-D10)))</f>
        <v/>
      </c>
      <c r="F10" s="14">
        <f>MIN(E10,G9)</f>
        <v/>
      </c>
      <c r="G10" s="14">
        <f>G9-F10</f>
        <v/>
      </c>
      <c r="H10" s="14">
        <f>MAX(0,E10-F10)*$B$51</f>
        <v/>
      </c>
      <c r="I10" s="14">
        <f>IF($A10&lt;='1-Input'!$B$19,(I9+C10)*(1+'1-Input'!$B$46),(I9-H10)*(1+'1-Input'!$B$46))</f>
        <v/>
      </c>
      <c r="J10" s="14">
        <f>IF($A10&lt;='1-Input'!$B$19,(J9+C10)*(1+'3-Rendimento'!$D$15),(J9-MAX(0,E10-F10)*$C$51)*(1+'3-Rendimento'!$D$15))</f>
        <v/>
      </c>
      <c r="K10" s="14">
        <f>IF($A10&lt;='1-Input'!$B$19,(K9+C10)*(1+'3-Rendimento'!$D$17),(K9-MAX(0,E10-F10)*$D$51)*(1+'3-Rendimento'!$D$17))</f>
        <v/>
      </c>
      <c r="L10" s="14">
        <f>IF($A10&gt;'1-Input'!$B$19,"",(L9+C10)*(1+IF($A10='1-Input'!$B$19-1,'P-Parametri'!$B$54*'P-Parametri'!$B$52+(1-'P-Parametri'!$B$54)*('P-Parametri'!$C$42-'1-Input'!$B$18),IF($A10='1-Input'!$B$19,'P-Parametri'!$B$54*'P-Parametri'!$C$52+(1-'P-Parametri'!$B$54)*('P-Parametri'!$C$42-'1-Input'!$B$18),'1-Input'!$B$46))))</f>
        <v/>
      </c>
    </row>
    <row r="11">
      <c r="A11" s="18">
        <f>A10+1</f>
        <v/>
      </c>
      <c r="B11" s="18">
        <f>$A11-'1-Input'!$B$5</f>
        <v/>
      </c>
      <c r="C11" s="15">
        <f>IF($A11&lt;='1-Input'!$B$19,'1-Input'!$B$40,0)</f>
        <v/>
      </c>
      <c r="D11" s="14">
        <f>IF($A11&lt;='1-Input'!$B$19,0,IF($A11&gt;'1-Input'!$B$47,0,IF($A11&lt;'5-Pensioni'!$C$8,0,IF($A11='5-Pensioni'!$C$8,'5-Pensioni'!$C$18*'5-Pensioni'!$C$19,'5-Pensioni'!$C$18))+IF($A11&lt;'5-Pensioni'!$B$8,0,IF($A11='5-Pensioni'!$B$8,'5-Pensioni'!$B$18*'5-Pensioni'!$B$19,'5-Pensioni'!$B$18))))</f>
        <v/>
      </c>
      <c r="E11" s="14">
        <f>IF($A11&lt;='1-Input'!$B$19,0,IF($A11&gt;'1-Input'!$B$47,0,MAX(0,'1-Input'!$B$13-D11)))</f>
        <v/>
      </c>
      <c r="F11" s="14">
        <f>MIN(E11,G10)</f>
        <v/>
      </c>
      <c r="G11" s="14">
        <f>G10-F11</f>
        <v/>
      </c>
      <c r="H11" s="14">
        <f>MAX(0,E11-F11)*$B$51</f>
        <v/>
      </c>
      <c r="I11" s="14">
        <f>IF($A11&lt;='1-Input'!$B$19,(I10+C11)*(1+'1-Input'!$B$46),(I10-H11)*(1+'1-Input'!$B$46))</f>
        <v/>
      </c>
      <c r="J11" s="14">
        <f>IF($A11&lt;='1-Input'!$B$19,(J10+C11)*(1+'3-Rendimento'!$D$15),(J10-MAX(0,E11-F11)*$C$51)*(1+'3-Rendimento'!$D$15))</f>
        <v/>
      </c>
      <c r="K11" s="14">
        <f>IF($A11&lt;='1-Input'!$B$19,(K10+C11)*(1+'3-Rendimento'!$D$17),(K10-MAX(0,E11-F11)*$D$51)*(1+'3-Rendimento'!$D$17))</f>
        <v/>
      </c>
      <c r="L11" s="14">
        <f>IF($A11&gt;'1-Input'!$B$19,"",(L10+C11)*(1+IF($A11='1-Input'!$B$19-1,'P-Parametri'!$B$54*'P-Parametri'!$B$52+(1-'P-Parametri'!$B$54)*('P-Parametri'!$C$42-'1-Input'!$B$18),IF($A11='1-Input'!$B$19,'P-Parametri'!$B$54*'P-Parametri'!$C$52+(1-'P-Parametri'!$B$54)*('P-Parametri'!$C$42-'1-Input'!$B$18),'1-Input'!$B$46))))</f>
        <v/>
      </c>
    </row>
    <row r="12">
      <c r="A12" s="18">
        <f>A11+1</f>
        <v/>
      </c>
      <c r="B12" s="18">
        <f>$A12-'1-Input'!$B$5</f>
        <v/>
      </c>
      <c r="C12" s="15">
        <f>IF($A12&lt;='1-Input'!$B$19,'1-Input'!$B$40,0)</f>
        <v/>
      </c>
      <c r="D12" s="14">
        <f>IF($A12&lt;='1-Input'!$B$19,0,IF($A12&gt;'1-Input'!$B$47,0,IF($A12&lt;'5-Pensioni'!$C$8,0,IF($A12='5-Pensioni'!$C$8,'5-Pensioni'!$C$18*'5-Pensioni'!$C$19,'5-Pensioni'!$C$18))+IF($A12&lt;'5-Pensioni'!$B$8,0,IF($A12='5-Pensioni'!$B$8,'5-Pensioni'!$B$18*'5-Pensioni'!$B$19,'5-Pensioni'!$B$18))))</f>
        <v/>
      </c>
      <c r="E12" s="14">
        <f>IF($A12&lt;='1-Input'!$B$19,0,IF($A12&gt;'1-Input'!$B$47,0,MAX(0,'1-Input'!$B$13-D12)))</f>
        <v/>
      </c>
      <c r="F12" s="14">
        <f>MIN(E12,G11)</f>
        <v/>
      </c>
      <c r="G12" s="14">
        <f>G11-F12</f>
        <v/>
      </c>
      <c r="H12" s="14">
        <f>MAX(0,E12-F12)*$B$51</f>
        <v/>
      </c>
      <c r="I12" s="14">
        <f>IF($A12&lt;='1-Input'!$B$19,(I11+C12)*(1+'1-Input'!$B$46),(I11-H12)*(1+'1-Input'!$B$46))</f>
        <v/>
      </c>
      <c r="J12" s="14">
        <f>IF($A12&lt;='1-Input'!$B$19,(J11+C12)*(1+'3-Rendimento'!$D$15),(J11-MAX(0,E12-F12)*$C$51)*(1+'3-Rendimento'!$D$15))</f>
        <v/>
      </c>
      <c r="K12" s="14">
        <f>IF($A12&lt;='1-Input'!$B$19,(K11+C12)*(1+'3-Rendimento'!$D$17),(K11-MAX(0,E12-F12)*$D$51)*(1+'3-Rendimento'!$D$17))</f>
        <v/>
      </c>
      <c r="L12" s="14">
        <f>IF($A12&gt;'1-Input'!$B$19,"",(L11+C12)*(1+IF($A12='1-Input'!$B$19-1,'P-Parametri'!$B$54*'P-Parametri'!$B$52+(1-'P-Parametri'!$B$54)*('P-Parametri'!$C$42-'1-Input'!$B$18),IF($A12='1-Input'!$B$19,'P-Parametri'!$B$54*'P-Parametri'!$C$52+(1-'P-Parametri'!$B$54)*('P-Parametri'!$C$42-'1-Input'!$B$18),'1-Input'!$B$46))))</f>
        <v/>
      </c>
    </row>
    <row r="13">
      <c r="A13" s="18">
        <f>A12+1</f>
        <v/>
      </c>
      <c r="B13" s="18">
        <f>$A13-'1-Input'!$B$5</f>
        <v/>
      </c>
      <c r="C13" s="15">
        <f>IF($A13&lt;='1-Input'!$B$19,'1-Input'!$B$40,0)</f>
        <v/>
      </c>
      <c r="D13" s="14">
        <f>IF($A13&lt;='1-Input'!$B$19,0,IF($A13&gt;'1-Input'!$B$47,0,IF($A13&lt;'5-Pensioni'!$C$8,0,IF($A13='5-Pensioni'!$C$8,'5-Pensioni'!$C$18*'5-Pensioni'!$C$19,'5-Pensioni'!$C$18))+IF($A13&lt;'5-Pensioni'!$B$8,0,IF($A13='5-Pensioni'!$B$8,'5-Pensioni'!$B$18*'5-Pensioni'!$B$19,'5-Pensioni'!$B$18))))</f>
        <v/>
      </c>
      <c r="E13" s="14">
        <f>IF($A13&lt;='1-Input'!$B$19,0,IF($A13&gt;'1-Input'!$B$47,0,MAX(0,'1-Input'!$B$13-D13)))</f>
        <v/>
      </c>
      <c r="F13" s="14">
        <f>MIN(E13,G12)</f>
        <v/>
      </c>
      <c r="G13" s="14">
        <f>G12-F13</f>
        <v/>
      </c>
      <c r="H13" s="14">
        <f>MAX(0,E13-F13)*$B$51</f>
        <v/>
      </c>
      <c r="I13" s="14">
        <f>IF($A13&lt;='1-Input'!$B$19,(I12+C13)*(1+'1-Input'!$B$46),(I12-H13)*(1+'1-Input'!$B$46))</f>
        <v/>
      </c>
      <c r="J13" s="14">
        <f>IF($A13&lt;='1-Input'!$B$19,(J12+C13)*(1+'3-Rendimento'!$D$15),(J12-MAX(0,E13-F13)*$C$51)*(1+'3-Rendimento'!$D$15))</f>
        <v/>
      </c>
      <c r="K13" s="14">
        <f>IF($A13&lt;='1-Input'!$B$19,(K12+C13)*(1+'3-Rendimento'!$D$17),(K12-MAX(0,E13-F13)*$D$51)*(1+'3-Rendimento'!$D$17))</f>
        <v/>
      </c>
      <c r="L13" s="14">
        <f>IF($A13&gt;'1-Input'!$B$19,"",(L12+C13)*(1+IF($A13='1-Input'!$B$19-1,'P-Parametri'!$B$54*'P-Parametri'!$B$52+(1-'P-Parametri'!$B$54)*('P-Parametri'!$C$42-'1-Input'!$B$18),IF($A13='1-Input'!$B$19,'P-Parametri'!$B$54*'P-Parametri'!$C$52+(1-'P-Parametri'!$B$54)*('P-Parametri'!$C$42-'1-Input'!$B$18),'1-Input'!$B$46))))</f>
        <v/>
      </c>
    </row>
    <row r="14">
      <c r="A14" s="18">
        <f>A13+1</f>
        <v/>
      </c>
      <c r="B14" s="18">
        <f>$A14-'1-Input'!$B$5</f>
        <v/>
      </c>
      <c r="C14" s="15">
        <f>IF($A14&lt;='1-Input'!$B$19,'1-Input'!$B$40,0)</f>
        <v/>
      </c>
      <c r="D14" s="14">
        <f>IF($A14&lt;='1-Input'!$B$19,0,IF($A14&gt;'1-Input'!$B$47,0,IF($A14&lt;'5-Pensioni'!$C$8,0,IF($A14='5-Pensioni'!$C$8,'5-Pensioni'!$C$18*'5-Pensioni'!$C$19,'5-Pensioni'!$C$18))+IF($A14&lt;'5-Pensioni'!$B$8,0,IF($A14='5-Pensioni'!$B$8,'5-Pensioni'!$B$18*'5-Pensioni'!$B$19,'5-Pensioni'!$B$18))))</f>
        <v/>
      </c>
      <c r="E14" s="14">
        <f>IF($A14&lt;='1-Input'!$B$19,0,IF($A14&gt;'1-Input'!$B$47,0,MAX(0,'1-Input'!$B$13-D14)))</f>
        <v/>
      </c>
      <c r="F14" s="14">
        <f>MIN(E14,G13)</f>
        <v/>
      </c>
      <c r="G14" s="14">
        <f>G13-F14</f>
        <v/>
      </c>
      <c r="H14" s="14">
        <f>MAX(0,E14-F14)*$B$51</f>
        <v/>
      </c>
      <c r="I14" s="14">
        <f>IF($A14&lt;='1-Input'!$B$19,(I13+C14)*(1+'1-Input'!$B$46),(I13-H14)*(1+'1-Input'!$B$46))</f>
        <v/>
      </c>
      <c r="J14" s="14">
        <f>IF($A14&lt;='1-Input'!$B$19,(J13+C14)*(1+'3-Rendimento'!$D$15),(J13-MAX(0,E14-F14)*$C$51)*(1+'3-Rendimento'!$D$15))</f>
        <v/>
      </c>
      <c r="K14" s="14">
        <f>IF($A14&lt;='1-Input'!$B$19,(K13+C14)*(1+'3-Rendimento'!$D$17),(K13-MAX(0,E14-F14)*$D$51)*(1+'3-Rendimento'!$D$17))</f>
        <v/>
      </c>
      <c r="L14" s="14">
        <f>IF($A14&gt;'1-Input'!$B$19,"",(L13+C14)*(1+IF($A14='1-Input'!$B$19-1,'P-Parametri'!$B$54*'P-Parametri'!$B$52+(1-'P-Parametri'!$B$54)*('P-Parametri'!$C$42-'1-Input'!$B$18),IF($A14='1-Input'!$B$19,'P-Parametri'!$B$54*'P-Parametri'!$C$52+(1-'P-Parametri'!$B$54)*('P-Parametri'!$C$42-'1-Input'!$B$18),'1-Input'!$B$46))))</f>
        <v/>
      </c>
    </row>
    <row r="15">
      <c r="A15" s="18">
        <f>A14+1</f>
        <v/>
      </c>
      <c r="B15" s="18">
        <f>$A15-'1-Input'!$B$5</f>
        <v/>
      </c>
      <c r="C15" s="15">
        <f>IF($A15&lt;='1-Input'!$B$19,'1-Input'!$B$40,0)</f>
        <v/>
      </c>
      <c r="D15" s="14">
        <f>IF($A15&lt;='1-Input'!$B$19,0,IF($A15&gt;'1-Input'!$B$47,0,IF($A15&lt;'5-Pensioni'!$C$8,0,IF($A15='5-Pensioni'!$C$8,'5-Pensioni'!$C$18*'5-Pensioni'!$C$19,'5-Pensioni'!$C$18))+IF($A15&lt;'5-Pensioni'!$B$8,0,IF($A15='5-Pensioni'!$B$8,'5-Pensioni'!$B$18*'5-Pensioni'!$B$19,'5-Pensioni'!$B$18))))</f>
        <v/>
      </c>
      <c r="E15" s="14">
        <f>IF($A15&lt;='1-Input'!$B$19,0,IF($A15&gt;'1-Input'!$B$47,0,MAX(0,'1-Input'!$B$13-D15)))</f>
        <v/>
      </c>
      <c r="F15" s="14">
        <f>MIN(E15,G14)</f>
        <v/>
      </c>
      <c r="G15" s="14">
        <f>G14-F15</f>
        <v/>
      </c>
      <c r="H15" s="14">
        <f>MAX(0,E15-F15)*$B$51</f>
        <v/>
      </c>
      <c r="I15" s="14">
        <f>IF($A15&lt;='1-Input'!$B$19,(I14+C15)*(1+'1-Input'!$B$46),(I14-H15)*(1+'1-Input'!$B$46))</f>
        <v/>
      </c>
      <c r="J15" s="14">
        <f>IF($A15&lt;='1-Input'!$B$19,(J14+C15)*(1+'3-Rendimento'!$D$15),(J14-MAX(0,E15-F15)*$C$51)*(1+'3-Rendimento'!$D$15))</f>
        <v/>
      </c>
      <c r="K15" s="14">
        <f>IF($A15&lt;='1-Input'!$B$19,(K14+C15)*(1+'3-Rendimento'!$D$17),(K14-MAX(0,E15-F15)*$D$51)*(1+'3-Rendimento'!$D$17))</f>
        <v/>
      </c>
      <c r="L15" s="14">
        <f>IF($A15&gt;'1-Input'!$B$19,"",(L14+C15)*(1+IF($A15='1-Input'!$B$19-1,'P-Parametri'!$B$54*'P-Parametri'!$B$52+(1-'P-Parametri'!$B$54)*('P-Parametri'!$C$42-'1-Input'!$B$18),IF($A15='1-Input'!$B$19,'P-Parametri'!$B$54*'P-Parametri'!$C$52+(1-'P-Parametri'!$B$54)*('P-Parametri'!$C$42-'1-Input'!$B$18),'1-Input'!$B$46))))</f>
        <v/>
      </c>
    </row>
    <row r="16">
      <c r="A16" s="18">
        <f>A15+1</f>
        <v/>
      </c>
      <c r="B16" s="18">
        <f>$A16-'1-Input'!$B$5</f>
        <v/>
      </c>
      <c r="C16" s="15">
        <f>IF($A16&lt;='1-Input'!$B$19,'1-Input'!$B$40,0)</f>
        <v/>
      </c>
      <c r="D16" s="14">
        <f>IF($A16&lt;='1-Input'!$B$19,0,IF($A16&gt;'1-Input'!$B$47,0,IF($A16&lt;'5-Pensioni'!$C$8,0,IF($A16='5-Pensioni'!$C$8,'5-Pensioni'!$C$18*'5-Pensioni'!$C$19,'5-Pensioni'!$C$18))+IF($A16&lt;'5-Pensioni'!$B$8,0,IF($A16='5-Pensioni'!$B$8,'5-Pensioni'!$B$18*'5-Pensioni'!$B$19,'5-Pensioni'!$B$18))))</f>
        <v/>
      </c>
      <c r="E16" s="14">
        <f>IF($A16&lt;='1-Input'!$B$19,0,IF($A16&gt;'1-Input'!$B$47,0,MAX(0,'1-Input'!$B$13-D16)))</f>
        <v/>
      </c>
      <c r="F16" s="14">
        <f>MIN(E16,G15)</f>
        <v/>
      </c>
      <c r="G16" s="14">
        <f>G15-F16</f>
        <v/>
      </c>
      <c r="H16" s="14">
        <f>MAX(0,E16-F16)*$B$51</f>
        <v/>
      </c>
      <c r="I16" s="14">
        <f>IF($A16&lt;='1-Input'!$B$19,(I15+C16)*(1+'1-Input'!$B$46),(I15-H16)*(1+'1-Input'!$B$46))</f>
        <v/>
      </c>
      <c r="J16" s="14">
        <f>IF($A16&lt;='1-Input'!$B$19,(J15+C16)*(1+'3-Rendimento'!$D$15),(J15-MAX(0,E16-F16)*$C$51)*(1+'3-Rendimento'!$D$15))</f>
        <v/>
      </c>
      <c r="K16" s="14">
        <f>IF($A16&lt;='1-Input'!$B$19,(K15+C16)*(1+'3-Rendimento'!$D$17),(K15-MAX(0,E16-F16)*$D$51)*(1+'3-Rendimento'!$D$17))</f>
        <v/>
      </c>
      <c r="L16" s="14">
        <f>IF($A16&gt;'1-Input'!$B$19,"",(L15+C16)*(1+IF($A16='1-Input'!$B$19-1,'P-Parametri'!$B$54*'P-Parametri'!$B$52+(1-'P-Parametri'!$B$54)*('P-Parametri'!$C$42-'1-Input'!$B$18),IF($A16='1-Input'!$B$19,'P-Parametri'!$B$54*'P-Parametri'!$C$52+(1-'P-Parametri'!$B$54)*('P-Parametri'!$C$42-'1-Input'!$B$18),'1-Input'!$B$46))))</f>
        <v/>
      </c>
    </row>
    <row r="17">
      <c r="A17" s="18">
        <f>A16+1</f>
        <v/>
      </c>
      <c r="B17" s="18">
        <f>$A17-'1-Input'!$B$5</f>
        <v/>
      </c>
      <c r="C17" s="15">
        <f>IF($A17&lt;='1-Input'!$B$19,'1-Input'!$B$40,0)</f>
        <v/>
      </c>
      <c r="D17" s="14">
        <f>IF($A17&lt;='1-Input'!$B$19,0,IF($A17&gt;'1-Input'!$B$47,0,IF($A17&lt;'5-Pensioni'!$C$8,0,IF($A17='5-Pensioni'!$C$8,'5-Pensioni'!$C$18*'5-Pensioni'!$C$19,'5-Pensioni'!$C$18))+IF($A17&lt;'5-Pensioni'!$B$8,0,IF($A17='5-Pensioni'!$B$8,'5-Pensioni'!$B$18*'5-Pensioni'!$B$19,'5-Pensioni'!$B$18))))</f>
        <v/>
      </c>
      <c r="E17" s="14">
        <f>IF($A17&lt;='1-Input'!$B$19,0,IF($A17&gt;'1-Input'!$B$47,0,MAX(0,'1-Input'!$B$13-D17)))</f>
        <v/>
      </c>
      <c r="F17" s="14">
        <f>MIN(E17,G16)</f>
        <v/>
      </c>
      <c r="G17" s="14">
        <f>G16-F17</f>
        <v/>
      </c>
      <c r="H17" s="14">
        <f>MAX(0,E17-F17)*$B$51</f>
        <v/>
      </c>
      <c r="I17" s="14">
        <f>IF($A17&lt;='1-Input'!$B$19,(I16+C17)*(1+'1-Input'!$B$46),(I16-H17)*(1+'1-Input'!$B$46))</f>
        <v/>
      </c>
      <c r="J17" s="14">
        <f>IF($A17&lt;='1-Input'!$B$19,(J16+C17)*(1+'3-Rendimento'!$D$15),(J16-MAX(0,E17-F17)*$C$51)*(1+'3-Rendimento'!$D$15))</f>
        <v/>
      </c>
      <c r="K17" s="14">
        <f>IF($A17&lt;='1-Input'!$B$19,(K16+C17)*(1+'3-Rendimento'!$D$17),(K16-MAX(0,E17-F17)*$D$51)*(1+'3-Rendimento'!$D$17))</f>
        <v/>
      </c>
      <c r="L17" s="14">
        <f>IF($A17&gt;'1-Input'!$B$19,"",(L16+C17)*(1+IF($A17='1-Input'!$B$19-1,'P-Parametri'!$B$54*'P-Parametri'!$B$52+(1-'P-Parametri'!$B$54)*('P-Parametri'!$C$42-'1-Input'!$B$18),IF($A17='1-Input'!$B$19,'P-Parametri'!$B$54*'P-Parametri'!$C$52+(1-'P-Parametri'!$B$54)*('P-Parametri'!$C$42-'1-Input'!$B$18),'1-Input'!$B$46))))</f>
        <v/>
      </c>
    </row>
    <row r="18">
      <c r="A18" s="18">
        <f>A17+1</f>
        <v/>
      </c>
      <c r="B18" s="18">
        <f>$A18-'1-Input'!$B$5</f>
        <v/>
      </c>
      <c r="C18" s="15">
        <f>IF($A18&lt;='1-Input'!$B$19,'1-Input'!$B$40,0)</f>
        <v/>
      </c>
      <c r="D18" s="14">
        <f>IF($A18&lt;='1-Input'!$B$19,0,IF($A18&gt;'1-Input'!$B$47,0,IF($A18&lt;'5-Pensioni'!$C$8,0,IF($A18='5-Pensioni'!$C$8,'5-Pensioni'!$C$18*'5-Pensioni'!$C$19,'5-Pensioni'!$C$18))+IF($A18&lt;'5-Pensioni'!$B$8,0,IF($A18='5-Pensioni'!$B$8,'5-Pensioni'!$B$18*'5-Pensioni'!$B$19,'5-Pensioni'!$B$18))))</f>
        <v/>
      </c>
      <c r="E18" s="14">
        <f>IF($A18&lt;='1-Input'!$B$19,0,IF($A18&gt;'1-Input'!$B$47,0,MAX(0,'1-Input'!$B$13-D18)))</f>
        <v/>
      </c>
      <c r="F18" s="14">
        <f>MIN(E18,G17)</f>
        <v/>
      </c>
      <c r="G18" s="14">
        <f>G17-F18</f>
        <v/>
      </c>
      <c r="H18" s="14">
        <f>MAX(0,E18-F18)*$B$51</f>
        <v/>
      </c>
      <c r="I18" s="14">
        <f>IF($A18&lt;='1-Input'!$B$19,(I17+C18)*(1+'1-Input'!$B$46),(I17-H18)*(1+'1-Input'!$B$46))</f>
        <v/>
      </c>
      <c r="J18" s="14">
        <f>IF($A18&lt;='1-Input'!$B$19,(J17+C18)*(1+'3-Rendimento'!$D$15),(J17-MAX(0,E18-F18)*$C$51)*(1+'3-Rendimento'!$D$15))</f>
        <v/>
      </c>
      <c r="K18" s="14">
        <f>IF($A18&lt;='1-Input'!$B$19,(K17+C18)*(1+'3-Rendimento'!$D$17),(K17-MAX(0,E18-F18)*$D$51)*(1+'3-Rendimento'!$D$17))</f>
        <v/>
      </c>
      <c r="L18" s="14">
        <f>IF($A18&gt;'1-Input'!$B$19,"",(L17+C18)*(1+IF($A18='1-Input'!$B$19-1,'P-Parametri'!$B$54*'P-Parametri'!$B$52+(1-'P-Parametri'!$B$54)*('P-Parametri'!$C$42-'1-Input'!$B$18),IF($A18='1-Input'!$B$19,'P-Parametri'!$B$54*'P-Parametri'!$C$52+(1-'P-Parametri'!$B$54)*('P-Parametri'!$C$42-'1-Input'!$B$18),'1-Input'!$B$46))))</f>
        <v/>
      </c>
    </row>
    <row r="19">
      <c r="A19" s="18">
        <f>A18+1</f>
        <v/>
      </c>
      <c r="B19" s="18">
        <f>$A19-'1-Input'!$B$5</f>
        <v/>
      </c>
      <c r="C19" s="15">
        <f>IF($A19&lt;='1-Input'!$B$19,'1-Input'!$B$40,0)</f>
        <v/>
      </c>
      <c r="D19" s="14">
        <f>IF($A19&lt;='1-Input'!$B$19,0,IF($A19&gt;'1-Input'!$B$47,0,IF($A19&lt;'5-Pensioni'!$C$8,0,IF($A19='5-Pensioni'!$C$8,'5-Pensioni'!$C$18*'5-Pensioni'!$C$19,'5-Pensioni'!$C$18))+IF($A19&lt;'5-Pensioni'!$B$8,0,IF($A19='5-Pensioni'!$B$8,'5-Pensioni'!$B$18*'5-Pensioni'!$B$19,'5-Pensioni'!$B$18))))</f>
        <v/>
      </c>
      <c r="E19" s="14">
        <f>IF($A19&lt;='1-Input'!$B$19,0,IF($A19&gt;'1-Input'!$B$47,0,MAX(0,'1-Input'!$B$13-D19)))</f>
        <v/>
      </c>
      <c r="F19" s="14">
        <f>MIN(E19,G18)</f>
        <v/>
      </c>
      <c r="G19" s="14">
        <f>G18-F19</f>
        <v/>
      </c>
      <c r="H19" s="14">
        <f>MAX(0,E19-F19)*$B$51</f>
        <v/>
      </c>
      <c r="I19" s="14">
        <f>IF($A19&lt;='1-Input'!$B$19,(I18+C19)*(1+'1-Input'!$B$46),(I18-H19)*(1+'1-Input'!$B$46))</f>
        <v/>
      </c>
      <c r="J19" s="14">
        <f>IF($A19&lt;='1-Input'!$B$19,(J18+C19)*(1+'3-Rendimento'!$D$15),(J18-MAX(0,E19-F19)*$C$51)*(1+'3-Rendimento'!$D$15))</f>
        <v/>
      </c>
      <c r="K19" s="14">
        <f>IF($A19&lt;='1-Input'!$B$19,(K18+C19)*(1+'3-Rendimento'!$D$17),(K18-MAX(0,E19-F19)*$D$51)*(1+'3-Rendimento'!$D$17))</f>
        <v/>
      </c>
      <c r="L19" s="14">
        <f>IF($A19&gt;'1-Input'!$B$19,"",(L18+C19)*(1+IF($A19='1-Input'!$B$19-1,'P-Parametri'!$B$54*'P-Parametri'!$B$52+(1-'P-Parametri'!$B$54)*('P-Parametri'!$C$42-'1-Input'!$B$18),IF($A19='1-Input'!$B$19,'P-Parametri'!$B$54*'P-Parametri'!$C$52+(1-'P-Parametri'!$B$54)*('P-Parametri'!$C$42-'1-Input'!$B$18),'1-Input'!$B$46))))</f>
        <v/>
      </c>
    </row>
    <row r="20">
      <c r="A20" s="18">
        <f>A19+1</f>
        <v/>
      </c>
      <c r="B20" s="18">
        <f>$A20-'1-Input'!$B$5</f>
        <v/>
      </c>
      <c r="C20" s="15">
        <f>IF($A20&lt;='1-Input'!$B$19,'1-Input'!$B$40,0)</f>
        <v/>
      </c>
      <c r="D20" s="14">
        <f>IF($A20&lt;='1-Input'!$B$19,0,IF($A20&gt;'1-Input'!$B$47,0,IF($A20&lt;'5-Pensioni'!$C$8,0,IF($A20='5-Pensioni'!$C$8,'5-Pensioni'!$C$18*'5-Pensioni'!$C$19,'5-Pensioni'!$C$18))+IF($A20&lt;'5-Pensioni'!$B$8,0,IF($A20='5-Pensioni'!$B$8,'5-Pensioni'!$B$18*'5-Pensioni'!$B$19,'5-Pensioni'!$B$18))))</f>
        <v/>
      </c>
      <c r="E20" s="14">
        <f>IF($A20&lt;='1-Input'!$B$19,0,IF($A20&gt;'1-Input'!$B$47,0,MAX(0,'1-Input'!$B$13-D20)))</f>
        <v/>
      </c>
      <c r="F20" s="14">
        <f>MIN(E20,G19)</f>
        <v/>
      </c>
      <c r="G20" s="14">
        <f>G19-F20</f>
        <v/>
      </c>
      <c r="H20" s="14">
        <f>MAX(0,E20-F20)*$B$51</f>
        <v/>
      </c>
      <c r="I20" s="14">
        <f>IF($A20&lt;='1-Input'!$B$19,(I19+C20)*(1+'1-Input'!$B$46),(I19-H20)*(1+'1-Input'!$B$46))</f>
        <v/>
      </c>
      <c r="J20" s="14">
        <f>IF($A20&lt;='1-Input'!$B$19,(J19+C20)*(1+'3-Rendimento'!$D$15),(J19-MAX(0,E20-F20)*$C$51)*(1+'3-Rendimento'!$D$15))</f>
        <v/>
      </c>
      <c r="K20" s="14">
        <f>IF($A20&lt;='1-Input'!$B$19,(K19+C20)*(1+'3-Rendimento'!$D$17),(K19-MAX(0,E20-F20)*$D$51)*(1+'3-Rendimento'!$D$17))</f>
        <v/>
      </c>
      <c r="L20" s="14">
        <f>IF($A20&gt;'1-Input'!$B$19,"",(L19+C20)*(1+IF($A20='1-Input'!$B$19-1,'P-Parametri'!$B$54*'P-Parametri'!$B$52+(1-'P-Parametri'!$B$54)*('P-Parametri'!$C$42-'1-Input'!$B$18),IF($A20='1-Input'!$B$19,'P-Parametri'!$B$54*'P-Parametri'!$C$52+(1-'P-Parametri'!$B$54)*('P-Parametri'!$C$42-'1-Input'!$B$18),'1-Input'!$B$46))))</f>
        <v/>
      </c>
    </row>
    <row r="21">
      <c r="A21" s="18">
        <f>A20+1</f>
        <v/>
      </c>
      <c r="B21" s="18">
        <f>$A21-'1-Input'!$B$5</f>
        <v/>
      </c>
      <c r="C21" s="15">
        <f>IF($A21&lt;='1-Input'!$B$19,'1-Input'!$B$40,0)</f>
        <v/>
      </c>
      <c r="D21" s="14">
        <f>IF($A21&lt;='1-Input'!$B$19,0,IF($A21&gt;'1-Input'!$B$47,0,IF($A21&lt;'5-Pensioni'!$C$8,0,IF($A21='5-Pensioni'!$C$8,'5-Pensioni'!$C$18*'5-Pensioni'!$C$19,'5-Pensioni'!$C$18))+IF($A21&lt;'5-Pensioni'!$B$8,0,IF($A21='5-Pensioni'!$B$8,'5-Pensioni'!$B$18*'5-Pensioni'!$B$19,'5-Pensioni'!$B$18))))</f>
        <v/>
      </c>
      <c r="E21" s="14">
        <f>IF($A21&lt;='1-Input'!$B$19,0,IF($A21&gt;'1-Input'!$B$47,0,MAX(0,'1-Input'!$B$13-D21)))</f>
        <v/>
      </c>
      <c r="F21" s="14">
        <f>MIN(E21,G20)</f>
        <v/>
      </c>
      <c r="G21" s="14">
        <f>G20-F21</f>
        <v/>
      </c>
      <c r="H21" s="14">
        <f>MAX(0,E21-F21)*$B$51</f>
        <v/>
      </c>
      <c r="I21" s="14">
        <f>IF($A21&lt;='1-Input'!$B$19,(I20+C21)*(1+'1-Input'!$B$46),(I20-H21)*(1+'1-Input'!$B$46))</f>
        <v/>
      </c>
      <c r="J21" s="14">
        <f>IF($A21&lt;='1-Input'!$B$19,(J20+C21)*(1+'3-Rendimento'!$D$15),(J20-MAX(0,E21-F21)*$C$51)*(1+'3-Rendimento'!$D$15))</f>
        <v/>
      </c>
      <c r="K21" s="14">
        <f>IF($A21&lt;='1-Input'!$B$19,(K20+C21)*(1+'3-Rendimento'!$D$17),(K20-MAX(0,E21-F21)*$D$51)*(1+'3-Rendimento'!$D$17))</f>
        <v/>
      </c>
      <c r="L21" s="14">
        <f>IF($A21&gt;'1-Input'!$B$19,"",(L20+C21)*(1+IF($A21='1-Input'!$B$19-1,'P-Parametri'!$B$54*'P-Parametri'!$B$52+(1-'P-Parametri'!$B$54)*('P-Parametri'!$C$42-'1-Input'!$B$18),IF($A21='1-Input'!$B$19,'P-Parametri'!$B$54*'P-Parametri'!$C$52+(1-'P-Parametri'!$B$54)*('P-Parametri'!$C$42-'1-Input'!$B$18),'1-Input'!$B$46))))</f>
        <v/>
      </c>
    </row>
    <row r="22">
      <c r="A22" s="18">
        <f>A21+1</f>
        <v/>
      </c>
      <c r="B22" s="18">
        <f>$A22-'1-Input'!$B$5</f>
        <v/>
      </c>
      <c r="C22" s="15">
        <f>IF($A22&lt;='1-Input'!$B$19,'1-Input'!$B$40,0)</f>
        <v/>
      </c>
      <c r="D22" s="14">
        <f>IF($A22&lt;='1-Input'!$B$19,0,IF($A22&gt;'1-Input'!$B$47,0,IF($A22&lt;'5-Pensioni'!$C$8,0,IF($A22='5-Pensioni'!$C$8,'5-Pensioni'!$C$18*'5-Pensioni'!$C$19,'5-Pensioni'!$C$18))+IF($A22&lt;'5-Pensioni'!$B$8,0,IF($A22='5-Pensioni'!$B$8,'5-Pensioni'!$B$18*'5-Pensioni'!$B$19,'5-Pensioni'!$B$18))))</f>
        <v/>
      </c>
      <c r="E22" s="14">
        <f>IF($A22&lt;='1-Input'!$B$19,0,IF($A22&gt;'1-Input'!$B$47,0,MAX(0,'1-Input'!$B$13-D22)))</f>
        <v/>
      </c>
      <c r="F22" s="14">
        <f>MIN(E22,G21)</f>
        <v/>
      </c>
      <c r="G22" s="14">
        <f>G21-F22</f>
        <v/>
      </c>
      <c r="H22" s="14">
        <f>MAX(0,E22-F22)*$B$51</f>
        <v/>
      </c>
      <c r="I22" s="14">
        <f>IF($A22&lt;='1-Input'!$B$19,(I21+C22)*(1+'1-Input'!$B$46),(I21-H22)*(1+'1-Input'!$B$46))</f>
        <v/>
      </c>
      <c r="J22" s="14">
        <f>IF($A22&lt;='1-Input'!$B$19,(J21+C22)*(1+'3-Rendimento'!$D$15),(J21-MAX(0,E22-F22)*$C$51)*(1+'3-Rendimento'!$D$15))</f>
        <v/>
      </c>
      <c r="K22" s="14">
        <f>IF($A22&lt;='1-Input'!$B$19,(K21+C22)*(1+'3-Rendimento'!$D$17),(K21-MAX(0,E22-F22)*$D$51)*(1+'3-Rendimento'!$D$17))</f>
        <v/>
      </c>
      <c r="L22" s="14">
        <f>IF($A22&gt;'1-Input'!$B$19,"",(L21+C22)*(1+IF($A22='1-Input'!$B$19-1,'P-Parametri'!$B$54*'P-Parametri'!$B$52+(1-'P-Parametri'!$B$54)*('P-Parametri'!$C$42-'1-Input'!$B$18),IF($A22='1-Input'!$B$19,'P-Parametri'!$B$54*'P-Parametri'!$C$52+(1-'P-Parametri'!$B$54)*('P-Parametri'!$C$42-'1-Input'!$B$18),'1-Input'!$B$46))))</f>
        <v/>
      </c>
    </row>
    <row r="23">
      <c r="A23" s="18">
        <f>A22+1</f>
        <v/>
      </c>
      <c r="B23" s="18">
        <f>$A23-'1-Input'!$B$5</f>
        <v/>
      </c>
      <c r="C23" s="15">
        <f>IF($A23&lt;='1-Input'!$B$19,'1-Input'!$B$40,0)</f>
        <v/>
      </c>
      <c r="D23" s="14">
        <f>IF($A23&lt;='1-Input'!$B$19,0,IF($A23&gt;'1-Input'!$B$47,0,IF($A23&lt;'5-Pensioni'!$C$8,0,IF($A23='5-Pensioni'!$C$8,'5-Pensioni'!$C$18*'5-Pensioni'!$C$19,'5-Pensioni'!$C$18))+IF($A23&lt;'5-Pensioni'!$B$8,0,IF($A23='5-Pensioni'!$B$8,'5-Pensioni'!$B$18*'5-Pensioni'!$B$19,'5-Pensioni'!$B$18))))</f>
        <v/>
      </c>
      <c r="E23" s="14">
        <f>IF($A23&lt;='1-Input'!$B$19,0,IF($A23&gt;'1-Input'!$B$47,0,MAX(0,'1-Input'!$B$13-D23)))</f>
        <v/>
      </c>
      <c r="F23" s="14">
        <f>MIN(E23,G22)</f>
        <v/>
      </c>
      <c r="G23" s="14">
        <f>G22-F23</f>
        <v/>
      </c>
      <c r="H23" s="14">
        <f>MAX(0,E23-F23)*$B$51</f>
        <v/>
      </c>
      <c r="I23" s="14">
        <f>IF($A23&lt;='1-Input'!$B$19,(I22+C23)*(1+'1-Input'!$B$46),(I22-H23)*(1+'1-Input'!$B$46))</f>
        <v/>
      </c>
      <c r="J23" s="14">
        <f>IF($A23&lt;='1-Input'!$B$19,(J22+C23)*(1+'3-Rendimento'!$D$15),(J22-MAX(0,E23-F23)*$C$51)*(1+'3-Rendimento'!$D$15))</f>
        <v/>
      </c>
      <c r="K23" s="14">
        <f>IF($A23&lt;='1-Input'!$B$19,(K22+C23)*(1+'3-Rendimento'!$D$17),(K22-MAX(0,E23-F23)*$D$51)*(1+'3-Rendimento'!$D$17))</f>
        <v/>
      </c>
      <c r="L23" s="14">
        <f>IF($A23&gt;'1-Input'!$B$19,"",(L22+C23)*(1+IF($A23='1-Input'!$B$19-1,'P-Parametri'!$B$54*'P-Parametri'!$B$52+(1-'P-Parametri'!$B$54)*('P-Parametri'!$C$42-'1-Input'!$B$18),IF($A23='1-Input'!$B$19,'P-Parametri'!$B$54*'P-Parametri'!$C$52+(1-'P-Parametri'!$B$54)*('P-Parametri'!$C$42-'1-Input'!$B$18),'1-Input'!$B$46))))</f>
        <v/>
      </c>
    </row>
    <row r="24">
      <c r="A24" s="18">
        <f>A23+1</f>
        <v/>
      </c>
      <c r="B24" s="18">
        <f>$A24-'1-Input'!$B$5</f>
        <v/>
      </c>
      <c r="C24" s="15">
        <f>IF($A24&lt;='1-Input'!$B$19,'1-Input'!$B$40,0)</f>
        <v/>
      </c>
      <c r="D24" s="14">
        <f>IF($A24&lt;='1-Input'!$B$19,0,IF($A24&gt;'1-Input'!$B$47,0,IF($A24&lt;'5-Pensioni'!$C$8,0,IF($A24='5-Pensioni'!$C$8,'5-Pensioni'!$C$18*'5-Pensioni'!$C$19,'5-Pensioni'!$C$18))+IF($A24&lt;'5-Pensioni'!$B$8,0,IF($A24='5-Pensioni'!$B$8,'5-Pensioni'!$B$18*'5-Pensioni'!$B$19,'5-Pensioni'!$B$18))))</f>
        <v/>
      </c>
      <c r="E24" s="14">
        <f>IF($A24&lt;='1-Input'!$B$19,0,IF($A24&gt;'1-Input'!$B$47,0,MAX(0,'1-Input'!$B$13-D24)))</f>
        <v/>
      </c>
      <c r="F24" s="14">
        <f>MIN(E24,G23)</f>
        <v/>
      </c>
      <c r="G24" s="14">
        <f>G23-F24</f>
        <v/>
      </c>
      <c r="H24" s="14">
        <f>MAX(0,E24-F24)*$B$51</f>
        <v/>
      </c>
      <c r="I24" s="14">
        <f>IF($A24&lt;='1-Input'!$B$19,(I23+C24)*(1+'1-Input'!$B$46),(I23-H24)*(1+'1-Input'!$B$46))</f>
        <v/>
      </c>
      <c r="J24" s="14">
        <f>IF($A24&lt;='1-Input'!$B$19,(J23+C24)*(1+'3-Rendimento'!$D$15),(J23-MAX(0,E24-F24)*$C$51)*(1+'3-Rendimento'!$D$15))</f>
        <v/>
      </c>
      <c r="K24" s="14">
        <f>IF($A24&lt;='1-Input'!$B$19,(K23+C24)*(1+'3-Rendimento'!$D$17),(K23-MAX(0,E24-F24)*$D$51)*(1+'3-Rendimento'!$D$17))</f>
        <v/>
      </c>
      <c r="L24" s="14">
        <f>IF($A24&gt;'1-Input'!$B$19,"",(L23+C24)*(1+IF($A24='1-Input'!$B$19-1,'P-Parametri'!$B$54*'P-Parametri'!$B$52+(1-'P-Parametri'!$B$54)*('P-Parametri'!$C$42-'1-Input'!$B$18),IF($A24='1-Input'!$B$19,'P-Parametri'!$B$54*'P-Parametri'!$C$52+(1-'P-Parametri'!$B$54)*('P-Parametri'!$C$42-'1-Input'!$B$18),'1-Input'!$B$46))))</f>
        <v/>
      </c>
    </row>
    <row r="25">
      <c r="A25" s="18">
        <f>A24+1</f>
        <v/>
      </c>
      <c r="B25" s="18">
        <f>$A25-'1-Input'!$B$5</f>
        <v/>
      </c>
      <c r="C25" s="15">
        <f>IF($A25&lt;='1-Input'!$B$19,'1-Input'!$B$40,0)</f>
        <v/>
      </c>
      <c r="D25" s="14">
        <f>IF($A25&lt;='1-Input'!$B$19,0,IF($A25&gt;'1-Input'!$B$47,0,IF($A25&lt;'5-Pensioni'!$C$8,0,IF($A25='5-Pensioni'!$C$8,'5-Pensioni'!$C$18*'5-Pensioni'!$C$19,'5-Pensioni'!$C$18))+IF($A25&lt;'5-Pensioni'!$B$8,0,IF($A25='5-Pensioni'!$B$8,'5-Pensioni'!$B$18*'5-Pensioni'!$B$19,'5-Pensioni'!$B$18))))</f>
        <v/>
      </c>
      <c r="E25" s="14">
        <f>IF($A25&lt;='1-Input'!$B$19,0,IF($A25&gt;'1-Input'!$B$47,0,MAX(0,'1-Input'!$B$13-D25)))</f>
        <v/>
      </c>
      <c r="F25" s="14">
        <f>MIN(E25,G24)</f>
        <v/>
      </c>
      <c r="G25" s="14">
        <f>G24-F25</f>
        <v/>
      </c>
      <c r="H25" s="14">
        <f>MAX(0,E25-F25)*$B$51</f>
        <v/>
      </c>
      <c r="I25" s="14">
        <f>IF($A25&lt;='1-Input'!$B$19,(I24+C25)*(1+'1-Input'!$B$46),(I24-H25)*(1+'1-Input'!$B$46))</f>
        <v/>
      </c>
      <c r="J25" s="14">
        <f>IF($A25&lt;='1-Input'!$B$19,(J24+C25)*(1+'3-Rendimento'!$D$15),(J24-MAX(0,E25-F25)*$C$51)*(1+'3-Rendimento'!$D$15))</f>
        <v/>
      </c>
      <c r="K25" s="14">
        <f>IF($A25&lt;='1-Input'!$B$19,(K24+C25)*(1+'3-Rendimento'!$D$17),(K24-MAX(0,E25-F25)*$D$51)*(1+'3-Rendimento'!$D$17))</f>
        <v/>
      </c>
      <c r="L25" s="14">
        <f>IF($A25&gt;'1-Input'!$B$19,"",(L24+C25)*(1+IF($A25='1-Input'!$B$19-1,'P-Parametri'!$B$54*'P-Parametri'!$B$52+(1-'P-Parametri'!$B$54)*('P-Parametri'!$C$42-'1-Input'!$B$18),IF($A25='1-Input'!$B$19,'P-Parametri'!$B$54*'P-Parametri'!$C$52+(1-'P-Parametri'!$B$54)*('P-Parametri'!$C$42-'1-Input'!$B$18),'1-Input'!$B$46))))</f>
        <v/>
      </c>
    </row>
    <row r="26">
      <c r="A26" s="18">
        <f>A25+1</f>
        <v/>
      </c>
      <c r="B26" s="18">
        <f>$A26-'1-Input'!$B$5</f>
        <v/>
      </c>
      <c r="C26" s="15">
        <f>IF($A26&lt;='1-Input'!$B$19,'1-Input'!$B$40,0)</f>
        <v/>
      </c>
      <c r="D26" s="14">
        <f>IF($A26&lt;='1-Input'!$B$19,0,IF($A26&gt;'1-Input'!$B$47,0,IF($A26&lt;'5-Pensioni'!$C$8,0,IF($A26='5-Pensioni'!$C$8,'5-Pensioni'!$C$18*'5-Pensioni'!$C$19,'5-Pensioni'!$C$18))+IF($A26&lt;'5-Pensioni'!$B$8,0,IF($A26='5-Pensioni'!$B$8,'5-Pensioni'!$B$18*'5-Pensioni'!$B$19,'5-Pensioni'!$B$18))))</f>
        <v/>
      </c>
      <c r="E26" s="14">
        <f>IF($A26&lt;='1-Input'!$B$19,0,IF($A26&gt;'1-Input'!$B$47,0,MAX(0,'1-Input'!$B$13-D26)))</f>
        <v/>
      </c>
      <c r="F26" s="14">
        <f>MIN(E26,G25)</f>
        <v/>
      </c>
      <c r="G26" s="14">
        <f>G25-F26</f>
        <v/>
      </c>
      <c r="H26" s="14">
        <f>MAX(0,E26-F26)*$B$51</f>
        <v/>
      </c>
      <c r="I26" s="14">
        <f>IF($A26&lt;='1-Input'!$B$19,(I25+C26)*(1+'1-Input'!$B$46),(I25-H26)*(1+'1-Input'!$B$46))</f>
        <v/>
      </c>
      <c r="J26" s="14">
        <f>IF($A26&lt;='1-Input'!$B$19,(J25+C26)*(1+'3-Rendimento'!$D$15),(J25-MAX(0,E26-F26)*$C$51)*(1+'3-Rendimento'!$D$15))</f>
        <v/>
      </c>
      <c r="K26" s="14">
        <f>IF($A26&lt;='1-Input'!$B$19,(K25+C26)*(1+'3-Rendimento'!$D$17),(K25-MAX(0,E26-F26)*$D$51)*(1+'3-Rendimento'!$D$17))</f>
        <v/>
      </c>
      <c r="L26" s="14">
        <f>IF($A26&gt;'1-Input'!$B$19,"",(L25+C26)*(1+IF($A26='1-Input'!$B$19-1,'P-Parametri'!$B$54*'P-Parametri'!$B$52+(1-'P-Parametri'!$B$54)*('P-Parametri'!$C$42-'1-Input'!$B$18),IF($A26='1-Input'!$B$19,'P-Parametri'!$B$54*'P-Parametri'!$C$52+(1-'P-Parametri'!$B$54)*('P-Parametri'!$C$42-'1-Input'!$B$18),'1-Input'!$B$46))))</f>
        <v/>
      </c>
    </row>
    <row r="27">
      <c r="A27" s="18">
        <f>A26+1</f>
        <v/>
      </c>
      <c r="B27" s="18">
        <f>$A27-'1-Input'!$B$5</f>
        <v/>
      </c>
      <c r="C27" s="15">
        <f>IF($A27&lt;='1-Input'!$B$19,'1-Input'!$B$40,0)</f>
        <v/>
      </c>
      <c r="D27" s="14">
        <f>IF($A27&lt;='1-Input'!$B$19,0,IF($A27&gt;'1-Input'!$B$47,0,IF($A27&lt;'5-Pensioni'!$C$8,0,IF($A27='5-Pensioni'!$C$8,'5-Pensioni'!$C$18*'5-Pensioni'!$C$19,'5-Pensioni'!$C$18))+IF($A27&lt;'5-Pensioni'!$B$8,0,IF($A27='5-Pensioni'!$B$8,'5-Pensioni'!$B$18*'5-Pensioni'!$B$19,'5-Pensioni'!$B$18))))</f>
        <v/>
      </c>
      <c r="E27" s="14">
        <f>IF($A27&lt;='1-Input'!$B$19,0,IF($A27&gt;'1-Input'!$B$47,0,MAX(0,'1-Input'!$B$13-D27)))</f>
        <v/>
      </c>
      <c r="F27" s="14">
        <f>MIN(E27,G26)</f>
        <v/>
      </c>
      <c r="G27" s="14">
        <f>G26-F27</f>
        <v/>
      </c>
      <c r="H27" s="14">
        <f>MAX(0,E27-F27)*$B$51</f>
        <v/>
      </c>
      <c r="I27" s="14">
        <f>IF($A27&lt;='1-Input'!$B$19,(I26+C27)*(1+'1-Input'!$B$46),(I26-H27)*(1+'1-Input'!$B$46))</f>
        <v/>
      </c>
      <c r="J27" s="14">
        <f>IF($A27&lt;='1-Input'!$B$19,(J26+C27)*(1+'3-Rendimento'!$D$15),(J26-MAX(0,E27-F27)*$C$51)*(1+'3-Rendimento'!$D$15))</f>
        <v/>
      </c>
      <c r="K27" s="14">
        <f>IF($A27&lt;='1-Input'!$B$19,(K26+C27)*(1+'3-Rendimento'!$D$17),(K26-MAX(0,E27-F27)*$D$51)*(1+'3-Rendimento'!$D$17))</f>
        <v/>
      </c>
      <c r="L27" s="14">
        <f>IF($A27&gt;'1-Input'!$B$19,"",(L26+C27)*(1+IF($A27='1-Input'!$B$19-1,'P-Parametri'!$B$54*'P-Parametri'!$B$52+(1-'P-Parametri'!$B$54)*('P-Parametri'!$C$42-'1-Input'!$B$18),IF($A27='1-Input'!$B$19,'P-Parametri'!$B$54*'P-Parametri'!$C$52+(1-'P-Parametri'!$B$54)*('P-Parametri'!$C$42-'1-Input'!$B$18),'1-Input'!$B$46))))</f>
        <v/>
      </c>
    </row>
    <row r="28">
      <c r="A28" s="18">
        <f>A27+1</f>
        <v/>
      </c>
      <c r="B28" s="18">
        <f>$A28-'1-Input'!$B$5</f>
        <v/>
      </c>
      <c r="C28" s="15">
        <f>IF($A28&lt;='1-Input'!$B$19,'1-Input'!$B$40,0)</f>
        <v/>
      </c>
      <c r="D28" s="14">
        <f>IF($A28&lt;='1-Input'!$B$19,0,IF($A28&gt;'1-Input'!$B$47,0,IF($A28&lt;'5-Pensioni'!$C$8,0,IF($A28='5-Pensioni'!$C$8,'5-Pensioni'!$C$18*'5-Pensioni'!$C$19,'5-Pensioni'!$C$18))+IF($A28&lt;'5-Pensioni'!$B$8,0,IF($A28='5-Pensioni'!$B$8,'5-Pensioni'!$B$18*'5-Pensioni'!$B$19,'5-Pensioni'!$B$18))))</f>
        <v/>
      </c>
      <c r="E28" s="14">
        <f>IF($A28&lt;='1-Input'!$B$19,0,IF($A28&gt;'1-Input'!$B$47,0,MAX(0,'1-Input'!$B$13-D28)))</f>
        <v/>
      </c>
      <c r="F28" s="14">
        <f>MIN(E28,G27)</f>
        <v/>
      </c>
      <c r="G28" s="14">
        <f>G27-F28</f>
        <v/>
      </c>
      <c r="H28" s="14">
        <f>MAX(0,E28-F28)*$B$51</f>
        <v/>
      </c>
      <c r="I28" s="14">
        <f>IF($A28&lt;='1-Input'!$B$19,(I27+C28)*(1+'1-Input'!$B$46),(I27-H28)*(1+'1-Input'!$B$46))</f>
        <v/>
      </c>
      <c r="J28" s="14">
        <f>IF($A28&lt;='1-Input'!$B$19,(J27+C28)*(1+'3-Rendimento'!$D$15),(J27-MAX(0,E28-F28)*$C$51)*(1+'3-Rendimento'!$D$15))</f>
        <v/>
      </c>
      <c r="K28" s="14">
        <f>IF($A28&lt;='1-Input'!$B$19,(K27+C28)*(1+'3-Rendimento'!$D$17),(K27-MAX(0,E28-F28)*$D$51)*(1+'3-Rendimento'!$D$17))</f>
        <v/>
      </c>
      <c r="L28" s="14">
        <f>IF($A28&gt;'1-Input'!$B$19,"",(L27+C28)*(1+IF($A28='1-Input'!$B$19-1,'P-Parametri'!$B$54*'P-Parametri'!$B$52+(1-'P-Parametri'!$B$54)*('P-Parametri'!$C$42-'1-Input'!$B$18),IF($A28='1-Input'!$B$19,'P-Parametri'!$B$54*'P-Parametri'!$C$52+(1-'P-Parametri'!$B$54)*('P-Parametri'!$C$42-'1-Input'!$B$18),'1-Input'!$B$46))))</f>
        <v/>
      </c>
    </row>
    <row r="29">
      <c r="A29" s="18">
        <f>A28+1</f>
        <v/>
      </c>
      <c r="B29" s="18">
        <f>$A29-'1-Input'!$B$5</f>
        <v/>
      </c>
      <c r="C29" s="15">
        <f>IF($A29&lt;='1-Input'!$B$19,'1-Input'!$B$40,0)</f>
        <v/>
      </c>
      <c r="D29" s="14">
        <f>IF($A29&lt;='1-Input'!$B$19,0,IF($A29&gt;'1-Input'!$B$47,0,IF($A29&lt;'5-Pensioni'!$C$8,0,IF($A29='5-Pensioni'!$C$8,'5-Pensioni'!$C$18*'5-Pensioni'!$C$19,'5-Pensioni'!$C$18))+IF($A29&lt;'5-Pensioni'!$B$8,0,IF($A29='5-Pensioni'!$B$8,'5-Pensioni'!$B$18*'5-Pensioni'!$B$19,'5-Pensioni'!$B$18))))</f>
        <v/>
      </c>
      <c r="E29" s="14">
        <f>IF($A29&lt;='1-Input'!$B$19,0,IF($A29&gt;'1-Input'!$B$47,0,MAX(0,'1-Input'!$B$13-D29)))</f>
        <v/>
      </c>
      <c r="F29" s="14">
        <f>MIN(E29,G28)</f>
        <v/>
      </c>
      <c r="G29" s="14">
        <f>G28-F29</f>
        <v/>
      </c>
      <c r="H29" s="14">
        <f>MAX(0,E29-F29)*$B$51</f>
        <v/>
      </c>
      <c r="I29" s="14">
        <f>IF($A29&lt;='1-Input'!$B$19,(I28+C29)*(1+'1-Input'!$B$46),(I28-H29)*(1+'1-Input'!$B$46))</f>
        <v/>
      </c>
      <c r="J29" s="14">
        <f>IF($A29&lt;='1-Input'!$B$19,(J28+C29)*(1+'3-Rendimento'!$D$15),(J28-MAX(0,E29-F29)*$C$51)*(1+'3-Rendimento'!$D$15))</f>
        <v/>
      </c>
      <c r="K29" s="14">
        <f>IF($A29&lt;='1-Input'!$B$19,(K28+C29)*(1+'3-Rendimento'!$D$17),(K28-MAX(0,E29-F29)*$D$51)*(1+'3-Rendimento'!$D$17))</f>
        <v/>
      </c>
      <c r="L29" s="14">
        <f>IF($A29&gt;'1-Input'!$B$19,"",(L28+C29)*(1+IF($A29='1-Input'!$B$19-1,'P-Parametri'!$B$54*'P-Parametri'!$B$52+(1-'P-Parametri'!$B$54)*('P-Parametri'!$C$42-'1-Input'!$B$18),IF($A29='1-Input'!$B$19,'P-Parametri'!$B$54*'P-Parametri'!$C$52+(1-'P-Parametri'!$B$54)*('P-Parametri'!$C$42-'1-Input'!$B$18),'1-Input'!$B$46))))</f>
        <v/>
      </c>
    </row>
    <row r="30">
      <c r="A30" s="18">
        <f>A29+1</f>
        <v/>
      </c>
      <c r="B30" s="18">
        <f>$A30-'1-Input'!$B$5</f>
        <v/>
      </c>
      <c r="C30" s="15">
        <f>IF($A30&lt;='1-Input'!$B$19,'1-Input'!$B$40,0)</f>
        <v/>
      </c>
      <c r="D30" s="14">
        <f>IF($A30&lt;='1-Input'!$B$19,0,IF($A30&gt;'1-Input'!$B$47,0,IF($A30&lt;'5-Pensioni'!$C$8,0,IF($A30='5-Pensioni'!$C$8,'5-Pensioni'!$C$18*'5-Pensioni'!$C$19,'5-Pensioni'!$C$18))+IF($A30&lt;'5-Pensioni'!$B$8,0,IF($A30='5-Pensioni'!$B$8,'5-Pensioni'!$B$18*'5-Pensioni'!$B$19,'5-Pensioni'!$B$18))))</f>
        <v/>
      </c>
      <c r="E30" s="14">
        <f>IF($A30&lt;='1-Input'!$B$19,0,IF($A30&gt;'1-Input'!$B$47,0,MAX(0,'1-Input'!$B$13-D30)))</f>
        <v/>
      </c>
      <c r="F30" s="14">
        <f>MIN(E30,G29)</f>
        <v/>
      </c>
      <c r="G30" s="14">
        <f>G29-F30</f>
        <v/>
      </c>
      <c r="H30" s="14">
        <f>MAX(0,E30-F30)*$B$51</f>
        <v/>
      </c>
      <c r="I30" s="14">
        <f>IF($A30&lt;='1-Input'!$B$19,(I29+C30)*(1+'1-Input'!$B$46),(I29-H30)*(1+'1-Input'!$B$46))</f>
        <v/>
      </c>
      <c r="J30" s="14">
        <f>IF($A30&lt;='1-Input'!$B$19,(J29+C30)*(1+'3-Rendimento'!$D$15),(J29-MAX(0,E30-F30)*$C$51)*(1+'3-Rendimento'!$D$15))</f>
        <v/>
      </c>
      <c r="K30" s="14">
        <f>IF($A30&lt;='1-Input'!$B$19,(K29+C30)*(1+'3-Rendimento'!$D$17),(K29-MAX(0,E30-F30)*$D$51)*(1+'3-Rendimento'!$D$17))</f>
        <v/>
      </c>
      <c r="L30" s="14">
        <f>IF($A30&gt;'1-Input'!$B$19,"",(L29+C30)*(1+IF($A30='1-Input'!$B$19-1,'P-Parametri'!$B$54*'P-Parametri'!$B$52+(1-'P-Parametri'!$B$54)*('P-Parametri'!$C$42-'1-Input'!$B$18),IF($A30='1-Input'!$B$19,'P-Parametri'!$B$54*'P-Parametri'!$C$52+(1-'P-Parametri'!$B$54)*('P-Parametri'!$C$42-'1-Input'!$B$18),'1-Input'!$B$46))))</f>
        <v/>
      </c>
    </row>
    <row r="31">
      <c r="A31" s="18">
        <f>A30+1</f>
        <v/>
      </c>
      <c r="B31" s="18">
        <f>$A31-'1-Input'!$B$5</f>
        <v/>
      </c>
      <c r="C31" s="15">
        <f>IF($A31&lt;='1-Input'!$B$19,'1-Input'!$B$40,0)</f>
        <v/>
      </c>
      <c r="D31" s="14">
        <f>IF($A31&lt;='1-Input'!$B$19,0,IF($A31&gt;'1-Input'!$B$47,0,IF($A31&lt;'5-Pensioni'!$C$8,0,IF($A31='5-Pensioni'!$C$8,'5-Pensioni'!$C$18*'5-Pensioni'!$C$19,'5-Pensioni'!$C$18))+IF($A31&lt;'5-Pensioni'!$B$8,0,IF($A31='5-Pensioni'!$B$8,'5-Pensioni'!$B$18*'5-Pensioni'!$B$19,'5-Pensioni'!$B$18))))</f>
        <v/>
      </c>
      <c r="E31" s="14">
        <f>IF($A31&lt;='1-Input'!$B$19,0,IF($A31&gt;'1-Input'!$B$47,0,MAX(0,'1-Input'!$B$13-D31)))</f>
        <v/>
      </c>
      <c r="F31" s="14">
        <f>MIN(E31,G30)</f>
        <v/>
      </c>
      <c r="G31" s="14">
        <f>G30-F31</f>
        <v/>
      </c>
      <c r="H31" s="14">
        <f>MAX(0,E31-F31)*$B$51</f>
        <v/>
      </c>
      <c r="I31" s="14">
        <f>IF($A31&lt;='1-Input'!$B$19,(I30+C31)*(1+'1-Input'!$B$46),(I30-H31)*(1+'1-Input'!$B$46))</f>
        <v/>
      </c>
      <c r="J31" s="14">
        <f>IF($A31&lt;='1-Input'!$B$19,(J30+C31)*(1+'3-Rendimento'!$D$15),(J30-MAX(0,E31-F31)*$C$51)*(1+'3-Rendimento'!$D$15))</f>
        <v/>
      </c>
      <c r="K31" s="14">
        <f>IF($A31&lt;='1-Input'!$B$19,(K30+C31)*(1+'3-Rendimento'!$D$17),(K30-MAX(0,E31-F31)*$D$51)*(1+'3-Rendimento'!$D$17))</f>
        <v/>
      </c>
      <c r="L31" s="14">
        <f>IF($A31&gt;'1-Input'!$B$19,"",(L30+C31)*(1+IF($A31='1-Input'!$B$19-1,'P-Parametri'!$B$54*'P-Parametri'!$B$52+(1-'P-Parametri'!$B$54)*('P-Parametri'!$C$42-'1-Input'!$B$18),IF($A31='1-Input'!$B$19,'P-Parametri'!$B$54*'P-Parametri'!$C$52+(1-'P-Parametri'!$B$54)*('P-Parametri'!$C$42-'1-Input'!$B$18),'1-Input'!$B$46))))</f>
        <v/>
      </c>
    </row>
    <row r="32">
      <c r="A32" s="18">
        <f>A31+1</f>
        <v/>
      </c>
      <c r="B32" s="18">
        <f>$A32-'1-Input'!$B$5</f>
        <v/>
      </c>
      <c r="C32" s="15">
        <f>IF($A32&lt;='1-Input'!$B$19,'1-Input'!$B$40,0)</f>
        <v/>
      </c>
      <c r="D32" s="14">
        <f>IF($A32&lt;='1-Input'!$B$19,0,IF($A32&gt;'1-Input'!$B$47,0,IF($A32&lt;'5-Pensioni'!$C$8,0,IF($A32='5-Pensioni'!$C$8,'5-Pensioni'!$C$18*'5-Pensioni'!$C$19,'5-Pensioni'!$C$18))+IF($A32&lt;'5-Pensioni'!$B$8,0,IF($A32='5-Pensioni'!$B$8,'5-Pensioni'!$B$18*'5-Pensioni'!$B$19,'5-Pensioni'!$B$18))))</f>
        <v/>
      </c>
      <c r="E32" s="14">
        <f>IF($A32&lt;='1-Input'!$B$19,0,IF($A32&gt;'1-Input'!$B$47,0,MAX(0,'1-Input'!$B$13-D32)))</f>
        <v/>
      </c>
      <c r="F32" s="14">
        <f>MIN(E32,G31)</f>
        <v/>
      </c>
      <c r="G32" s="14">
        <f>G31-F32</f>
        <v/>
      </c>
      <c r="H32" s="14">
        <f>MAX(0,E32-F32)*$B$51</f>
        <v/>
      </c>
      <c r="I32" s="14">
        <f>IF($A32&lt;='1-Input'!$B$19,(I31+C32)*(1+'1-Input'!$B$46),(I31-H32)*(1+'1-Input'!$B$46))</f>
        <v/>
      </c>
      <c r="J32" s="14">
        <f>IF($A32&lt;='1-Input'!$B$19,(J31+C32)*(1+'3-Rendimento'!$D$15),(J31-MAX(0,E32-F32)*$C$51)*(1+'3-Rendimento'!$D$15))</f>
        <v/>
      </c>
      <c r="K32" s="14">
        <f>IF($A32&lt;='1-Input'!$B$19,(K31+C32)*(1+'3-Rendimento'!$D$17),(K31-MAX(0,E32-F32)*$D$51)*(1+'3-Rendimento'!$D$17))</f>
        <v/>
      </c>
      <c r="L32" s="14">
        <f>IF($A32&gt;'1-Input'!$B$19,"",(L31+C32)*(1+IF($A32='1-Input'!$B$19-1,'P-Parametri'!$B$54*'P-Parametri'!$B$52+(1-'P-Parametri'!$B$54)*('P-Parametri'!$C$42-'1-Input'!$B$18),IF($A32='1-Input'!$B$19,'P-Parametri'!$B$54*'P-Parametri'!$C$52+(1-'P-Parametri'!$B$54)*('P-Parametri'!$C$42-'1-Input'!$B$18),'1-Input'!$B$46))))</f>
        <v/>
      </c>
    </row>
    <row r="33">
      <c r="A33" s="18">
        <f>A32+1</f>
        <v/>
      </c>
      <c r="B33" s="18">
        <f>$A33-'1-Input'!$B$5</f>
        <v/>
      </c>
      <c r="C33" s="15">
        <f>IF($A33&lt;='1-Input'!$B$19,'1-Input'!$B$40,0)</f>
        <v/>
      </c>
      <c r="D33" s="14">
        <f>IF($A33&lt;='1-Input'!$B$19,0,IF($A33&gt;'1-Input'!$B$47,0,IF($A33&lt;'5-Pensioni'!$C$8,0,IF($A33='5-Pensioni'!$C$8,'5-Pensioni'!$C$18*'5-Pensioni'!$C$19,'5-Pensioni'!$C$18))+IF($A33&lt;'5-Pensioni'!$B$8,0,IF($A33='5-Pensioni'!$B$8,'5-Pensioni'!$B$18*'5-Pensioni'!$B$19,'5-Pensioni'!$B$18))))</f>
        <v/>
      </c>
      <c r="E33" s="14">
        <f>IF($A33&lt;='1-Input'!$B$19,0,IF($A33&gt;'1-Input'!$B$47,0,MAX(0,'1-Input'!$B$13-D33)))</f>
        <v/>
      </c>
      <c r="F33" s="14">
        <f>MIN(E33,G32)</f>
        <v/>
      </c>
      <c r="G33" s="14">
        <f>G32-F33</f>
        <v/>
      </c>
      <c r="H33" s="14">
        <f>MAX(0,E33-F33)*$B$51</f>
        <v/>
      </c>
      <c r="I33" s="14">
        <f>IF($A33&lt;='1-Input'!$B$19,(I32+C33)*(1+'1-Input'!$B$46),(I32-H33)*(1+'1-Input'!$B$46))</f>
        <v/>
      </c>
      <c r="J33" s="14">
        <f>IF($A33&lt;='1-Input'!$B$19,(J32+C33)*(1+'3-Rendimento'!$D$15),(J32-MAX(0,E33-F33)*$C$51)*(1+'3-Rendimento'!$D$15))</f>
        <v/>
      </c>
      <c r="K33" s="14">
        <f>IF($A33&lt;='1-Input'!$B$19,(K32+C33)*(1+'3-Rendimento'!$D$17),(K32-MAX(0,E33-F33)*$D$51)*(1+'3-Rendimento'!$D$17))</f>
        <v/>
      </c>
      <c r="L33" s="14">
        <f>IF($A33&gt;'1-Input'!$B$19,"",(L32+C33)*(1+IF($A33='1-Input'!$B$19-1,'P-Parametri'!$B$54*'P-Parametri'!$B$52+(1-'P-Parametri'!$B$54)*('P-Parametri'!$C$42-'1-Input'!$B$18),IF($A33='1-Input'!$B$19,'P-Parametri'!$B$54*'P-Parametri'!$C$52+(1-'P-Parametri'!$B$54)*('P-Parametri'!$C$42-'1-Input'!$B$18),'1-Input'!$B$46))))</f>
        <v/>
      </c>
    </row>
    <row r="34">
      <c r="A34" s="18">
        <f>A33+1</f>
        <v/>
      </c>
      <c r="B34" s="18">
        <f>$A34-'1-Input'!$B$5</f>
        <v/>
      </c>
      <c r="C34" s="15">
        <f>IF($A34&lt;='1-Input'!$B$19,'1-Input'!$B$40,0)</f>
        <v/>
      </c>
      <c r="D34" s="14">
        <f>IF($A34&lt;='1-Input'!$B$19,0,IF($A34&gt;'1-Input'!$B$47,0,IF($A34&lt;'5-Pensioni'!$C$8,0,IF($A34='5-Pensioni'!$C$8,'5-Pensioni'!$C$18*'5-Pensioni'!$C$19,'5-Pensioni'!$C$18))+IF($A34&lt;'5-Pensioni'!$B$8,0,IF($A34='5-Pensioni'!$B$8,'5-Pensioni'!$B$18*'5-Pensioni'!$B$19,'5-Pensioni'!$B$18))))</f>
        <v/>
      </c>
      <c r="E34" s="14">
        <f>IF($A34&lt;='1-Input'!$B$19,0,IF($A34&gt;'1-Input'!$B$47,0,MAX(0,'1-Input'!$B$13-D34)))</f>
        <v/>
      </c>
      <c r="F34" s="14">
        <f>MIN(E34,G33)</f>
        <v/>
      </c>
      <c r="G34" s="14">
        <f>G33-F34</f>
        <v/>
      </c>
      <c r="H34" s="14">
        <f>MAX(0,E34-F34)*$B$51</f>
        <v/>
      </c>
      <c r="I34" s="14">
        <f>IF($A34&lt;='1-Input'!$B$19,(I33+C34)*(1+'1-Input'!$B$46),(I33-H34)*(1+'1-Input'!$B$46))</f>
        <v/>
      </c>
      <c r="J34" s="14">
        <f>IF($A34&lt;='1-Input'!$B$19,(J33+C34)*(1+'3-Rendimento'!$D$15),(J33-MAX(0,E34-F34)*$C$51)*(1+'3-Rendimento'!$D$15))</f>
        <v/>
      </c>
      <c r="K34" s="14">
        <f>IF($A34&lt;='1-Input'!$B$19,(K33+C34)*(1+'3-Rendimento'!$D$17),(K33-MAX(0,E34-F34)*$D$51)*(1+'3-Rendimento'!$D$17))</f>
        <v/>
      </c>
      <c r="L34" s="14">
        <f>IF($A34&gt;'1-Input'!$B$19,"",(L33+C34)*(1+IF($A34='1-Input'!$B$19-1,'P-Parametri'!$B$54*'P-Parametri'!$B$52+(1-'P-Parametri'!$B$54)*('P-Parametri'!$C$42-'1-Input'!$B$18),IF($A34='1-Input'!$B$19,'P-Parametri'!$B$54*'P-Parametri'!$C$52+(1-'P-Parametri'!$B$54)*('P-Parametri'!$C$42-'1-Input'!$B$18),'1-Input'!$B$46))))</f>
        <v/>
      </c>
    </row>
    <row r="35">
      <c r="A35" s="18">
        <f>A34+1</f>
        <v/>
      </c>
      <c r="B35" s="18">
        <f>$A35-'1-Input'!$B$5</f>
        <v/>
      </c>
      <c r="C35" s="15">
        <f>IF($A35&lt;='1-Input'!$B$19,'1-Input'!$B$40,0)</f>
        <v/>
      </c>
      <c r="D35" s="14">
        <f>IF($A35&lt;='1-Input'!$B$19,0,IF($A35&gt;'1-Input'!$B$47,0,IF($A35&lt;'5-Pensioni'!$C$8,0,IF($A35='5-Pensioni'!$C$8,'5-Pensioni'!$C$18*'5-Pensioni'!$C$19,'5-Pensioni'!$C$18))+IF($A35&lt;'5-Pensioni'!$B$8,0,IF($A35='5-Pensioni'!$B$8,'5-Pensioni'!$B$18*'5-Pensioni'!$B$19,'5-Pensioni'!$B$18))))</f>
        <v/>
      </c>
      <c r="E35" s="14">
        <f>IF($A35&lt;='1-Input'!$B$19,0,IF($A35&gt;'1-Input'!$B$47,0,MAX(0,'1-Input'!$B$13-D35)))</f>
        <v/>
      </c>
      <c r="F35" s="14">
        <f>MIN(E35,G34)</f>
        <v/>
      </c>
      <c r="G35" s="14">
        <f>G34-F35</f>
        <v/>
      </c>
      <c r="H35" s="14">
        <f>MAX(0,E35-F35)*$B$51</f>
        <v/>
      </c>
      <c r="I35" s="14">
        <f>IF($A35&lt;='1-Input'!$B$19,(I34+C35)*(1+'1-Input'!$B$46),(I34-H35)*(1+'1-Input'!$B$46))</f>
        <v/>
      </c>
      <c r="J35" s="14">
        <f>IF($A35&lt;='1-Input'!$B$19,(J34+C35)*(1+'3-Rendimento'!$D$15),(J34-MAX(0,E35-F35)*$C$51)*(1+'3-Rendimento'!$D$15))</f>
        <v/>
      </c>
      <c r="K35" s="14">
        <f>IF($A35&lt;='1-Input'!$B$19,(K34+C35)*(1+'3-Rendimento'!$D$17),(K34-MAX(0,E35-F35)*$D$51)*(1+'3-Rendimento'!$D$17))</f>
        <v/>
      </c>
      <c r="L35" s="14">
        <f>IF($A35&gt;'1-Input'!$B$19,"",(L34+C35)*(1+IF($A35='1-Input'!$B$19-1,'P-Parametri'!$B$54*'P-Parametri'!$B$52+(1-'P-Parametri'!$B$54)*('P-Parametri'!$C$42-'1-Input'!$B$18),IF($A35='1-Input'!$B$19,'P-Parametri'!$B$54*'P-Parametri'!$C$52+(1-'P-Parametri'!$B$54)*('P-Parametri'!$C$42-'1-Input'!$B$18),'1-Input'!$B$46))))</f>
        <v/>
      </c>
    </row>
    <row r="36">
      <c r="A36" s="18">
        <f>A35+1</f>
        <v/>
      </c>
      <c r="B36" s="18">
        <f>$A36-'1-Input'!$B$5</f>
        <v/>
      </c>
      <c r="C36" s="15">
        <f>IF($A36&lt;='1-Input'!$B$19,'1-Input'!$B$40,0)</f>
        <v/>
      </c>
      <c r="D36" s="14">
        <f>IF($A36&lt;='1-Input'!$B$19,0,IF($A36&gt;'1-Input'!$B$47,0,IF($A36&lt;'5-Pensioni'!$C$8,0,IF($A36='5-Pensioni'!$C$8,'5-Pensioni'!$C$18*'5-Pensioni'!$C$19,'5-Pensioni'!$C$18))+IF($A36&lt;'5-Pensioni'!$B$8,0,IF($A36='5-Pensioni'!$B$8,'5-Pensioni'!$B$18*'5-Pensioni'!$B$19,'5-Pensioni'!$B$18))))</f>
        <v/>
      </c>
      <c r="E36" s="14">
        <f>IF($A36&lt;='1-Input'!$B$19,0,IF($A36&gt;'1-Input'!$B$47,0,MAX(0,'1-Input'!$B$13-D36)))</f>
        <v/>
      </c>
      <c r="F36" s="14">
        <f>MIN(E36,G35)</f>
        <v/>
      </c>
      <c r="G36" s="14">
        <f>G35-F36</f>
        <v/>
      </c>
      <c r="H36" s="14">
        <f>MAX(0,E36-F36)*$B$51</f>
        <v/>
      </c>
      <c r="I36" s="14">
        <f>IF($A36&lt;='1-Input'!$B$19,(I35+C36)*(1+'1-Input'!$B$46),(I35-H36)*(1+'1-Input'!$B$46))</f>
        <v/>
      </c>
      <c r="J36" s="14">
        <f>IF($A36&lt;='1-Input'!$B$19,(J35+C36)*(1+'3-Rendimento'!$D$15),(J35-MAX(0,E36-F36)*$C$51)*(1+'3-Rendimento'!$D$15))</f>
        <v/>
      </c>
      <c r="K36" s="14">
        <f>IF($A36&lt;='1-Input'!$B$19,(K35+C36)*(1+'3-Rendimento'!$D$17),(K35-MAX(0,E36-F36)*$D$51)*(1+'3-Rendimento'!$D$17))</f>
        <v/>
      </c>
      <c r="L36" s="14">
        <f>IF($A36&gt;'1-Input'!$B$19,"",(L35+C36)*(1+IF($A36='1-Input'!$B$19-1,'P-Parametri'!$B$54*'P-Parametri'!$B$52+(1-'P-Parametri'!$B$54)*('P-Parametri'!$C$42-'1-Input'!$B$18),IF($A36='1-Input'!$B$19,'P-Parametri'!$B$54*'P-Parametri'!$C$52+(1-'P-Parametri'!$B$54)*('P-Parametri'!$C$42-'1-Input'!$B$18),'1-Input'!$B$46))))</f>
        <v/>
      </c>
    </row>
    <row r="37">
      <c r="A37" s="18">
        <f>A36+1</f>
        <v/>
      </c>
      <c r="B37" s="18">
        <f>$A37-'1-Input'!$B$5</f>
        <v/>
      </c>
      <c r="C37" s="15">
        <f>IF($A37&lt;='1-Input'!$B$19,'1-Input'!$B$40,0)</f>
        <v/>
      </c>
      <c r="D37" s="14">
        <f>IF($A37&lt;='1-Input'!$B$19,0,IF($A37&gt;'1-Input'!$B$47,0,IF($A37&lt;'5-Pensioni'!$C$8,0,IF($A37='5-Pensioni'!$C$8,'5-Pensioni'!$C$18*'5-Pensioni'!$C$19,'5-Pensioni'!$C$18))+IF($A37&lt;'5-Pensioni'!$B$8,0,IF($A37='5-Pensioni'!$B$8,'5-Pensioni'!$B$18*'5-Pensioni'!$B$19,'5-Pensioni'!$B$18))))</f>
        <v/>
      </c>
      <c r="E37" s="14">
        <f>IF($A37&lt;='1-Input'!$B$19,0,IF($A37&gt;'1-Input'!$B$47,0,MAX(0,'1-Input'!$B$13-D37)))</f>
        <v/>
      </c>
      <c r="F37" s="14">
        <f>MIN(E37,G36)</f>
        <v/>
      </c>
      <c r="G37" s="14">
        <f>G36-F37</f>
        <v/>
      </c>
      <c r="H37" s="14">
        <f>MAX(0,E37-F37)*$B$51</f>
        <v/>
      </c>
      <c r="I37" s="14">
        <f>IF($A37&lt;='1-Input'!$B$19,(I36+C37)*(1+'1-Input'!$B$46),(I36-H37)*(1+'1-Input'!$B$46))</f>
        <v/>
      </c>
      <c r="J37" s="14">
        <f>IF($A37&lt;='1-Input'!$B$19,(J36+C37)*(1+'3-Rendimento'!$D$15),(J36-MAX(0,E37-F37)*$C$51)*(1+'3-Rendimento'!$D$15))</f>
        <v/>
      </c>
      <c r="K37" s="14">
        <f>IF($A37&lt;='1-Input'!$B$19,(K36+C37)*(1+'3-Rendimento'!$D$17),(K36-MAX(0,E37-F37)*$D$51)*(1+'3-Rendimento'!$D$17))</f>
        <v/>
      </c>
      <c r="L37" s="14">
        <f>IF($A37&gt;'1-Input'!$B$19,"",(L36+C37)*(1+IF($A37='1-Input'!$B$19-1,'P-Parametri'!$B$54*'P-Parametri'!$B$52+(1-'P-Parametri'!$B$54)*('P-Parametri'!$C$42-'1-Input'!$B$18),IF($A37='1-Input'!$B$19,'P-Parametri'!$B$54*'P-Parametri'!$C$52+(1-'P-Parametri'!$B$54)*('P-Parametri'!$C$42-'1-Input'!$B$18),'1-Input'!$B$46))))</f>
        <v/>
      </c>
    </row>
    <row r="38">
      <c r="A38" s="18">
        <f>A37+1</f>
        <v/>
      </c>
      <c r="B38" s="18">
        <f>$A38-'1-Input'!$B$5</f>
        <v/>
      </c>
      <c r="C38" s="15">
        <f>IF($A38&lt;='1-Input'!$B$19,'1-Input'!$B$40,0)</f>
        <v/>
      </c>
      <c r="D38" s="14">
        <f>IF($A38&lt;='1-Input'!$B$19,0,IF($A38&gt;'1-Input'!$B$47,0,IF($A38&lt;'5-Pensioni'!$C$8,0,IF($A38='5-Pensioni'!$C$8,'5-Pensioni'!$C$18*'5-Pensioni'!$C$19,'5-Pensioni'!$C$18))+IF($A38&lt;'5-Pensioni'!$B$8,0,IF($A38='5-Pensioni'!$B$8,'5-Pensioni'!$B$18*'5-Pensioni'!$B$19,'5-Pensioni'!$B$18))))</f>
        <v/>
      </c>
      <c r="E38" s="14">
        <f>IF($A38&lt;='1-Input'!$B$19,0,IF($A38&gt;'1-Input'!$B$47,0,MAX(0,'1-Input'!$B$13-D38)))</f>
        <v/>
      </c>
      <c r="F38" s="14">
        <f>MIN(E38,G37)</f>
        <v/>
      </c>
      <c r="G38" s="14">
        <f>G37-F38</f>
        <v/>
      </c>
      <c r="H38" s="14">
        <f>MAX(0,E38-F38)*$B$51</f>
        <v/>
      </c>
      <c r="I38" s="14">
        <f>IF($A38&lt;='1-Input'!$B$19,(I37+C38)*(1+'1-Input'!$B$46),(I37-H38)*(1+'1-Input'!$B$46))</f>
        <v/>
      </c>
      <c r="J38" s="14">
        <f>IF($A38&lt;='1-Input'!$B$19,(J37+C38)*(1+'3-Rendimento'!$D$15),(J37-MAX(0,E38-F38)*$C$51)*(1+'3-Rendimento'!$D$15))</f>
        <v/>
      </c>
      <c r="K38" s="14">
        <f>IF($A38&lt;='1-Input'!$B$19,(K37+C38)*(1+'3-Rendimento'!$D$17),(K37-MAX(0,E38-F38)*$D$51)*(1+'3-Rendimento'!$D$17))</f>
        <v/>
      </c>
      <c r="L38" s="14">
        <f>IF($A38&gt;'1-Input'!$B$19,"",(L37+C38)*(1+IF($A38='1-Input'!$B$19-1,'P-Parametri'!$B$54*'P-Parametri'!$B$52+(1-'P-Parametri'!$B$54)*('P-Parametri'!$C$42-'1-Input'!$B$18),IF($A38='1-Input'!$B$19,'P-Parametri'!$B$54*'P-Parametri'!$C$52+(1-'P-Parametri'!$B$54)*('P-Parametri'!$C$42-'1-Input'!$B$18),'1-Input'!$B$46))))</f>
        <v/>
      </c>
    </row>
    <row r="39">
      <c r="A39" s="18">
        <f>A38+1</f>
        <v/>
      </c>
      <c r="B39" s="18">
        <f>$A39-'1-Input'!$B$5</f>
        <v/>
      </c>
      <c r="C39" s="15">
        <f>IF($A39&lt;='1-Input'!$B$19,'1-Input'!$B$40,0)</f>
        <v/>
      </c>
      <c r="D39" s="14">
        <f>IF($A39&lt;='1-Input'!$B$19,0,IF($A39&gt;'1-Input'!$B$47,0,IF($A39&lt;'5-Pensioni'!$C$8,0,IF($A39='5-Pensioni'!$C$8,'5-Pensioni'!$C$18*'5-Pensioni'!$C$19,'5-Pensioni'!$C$18))+IF($A39&lt;'5-Pensioni'!$B$8,0,IF($A39='5-Pensioni'!$B$8,'5-Pensioni'!$B$18*'5-Pensioni'!$B$19,'5-Pensioni'!$B$18))))</f>
        <v/>
      </c>
      <c r="E39" s="14">
        <f>IF($A39&lt;='1-Input'!$B$19,0,IF($A39&gt;'1-Input'!$B$47,0,MAX(0,'1-Input'!$B$13-D39)))</f>
        <v/>
      </c>
      <c r="F39" s="14">
        <f>MIN(E39,G38)</f>
        <v/>
      </c>
      <c r="G39" s="14">
        <f>G38-F39</f>
        <v/>
      </c>
      <c r="H39" s="14">
        <f>MAX(0,E39-F39)*$B$51</f>
        <v/>
      </c>
      <c r="I39" s="14">
        <f>IF($A39&lt;='1-Input'!$B$19,(I38+C39)*(1+'1-Input'!$B$46),(I38-H39)*(1+'1-Input'!$B$46))</f>
        <v/>
      </c>
      <c r="J39" s="14">
        <f>IF($A39&lt;='1-Input'!$B$19,(J38+C39)*(1+'3-Rendimento'!$D$15),(J38-MAX(0,E39-F39)*$C$51)*(1+'3-Rendimento'!$D$15))</f>
        <v/>
      </c>
      <c r="K39" s="14">
        <f>IF($A39&lt;='1-Input'!$B$19,(K38+C39)*(1+'3-Rendimento'!$D$17),(K38-MAX(0,E39-F39)*$D$51)*(1+'3-Rendimento'!$D$17))</f>
        <v/>
      </c>
      <c r="L39" s="14">
        <f>IF($A39&gt;'1-Input'!$B$19,"",(L38+C39)*(1+IF($A39='1-Input'!$B$19-1,'P-Parametri'!$B$54*'P-Parametri'!$B$52+(1-'P-Parametri'!$B$54)*('P-Parametri'!$C$42-'1-Input'!$B$18),IF($A39='1-Input'!$B$19,'P-Parametri'!$B$54*'P-Parametri'!$C$52+(1-'P-Parametri'!$B$54)*('P-Parametri'!$C$42-'1-Input'!$B$18),'1-Input'!$B$46))))</f>
        <v/>
      </c>
    </row>
    <row r="40">
      <c r="A40" s="18">
        <f>A39+1</f>
        <v/>
      </c>
      <c r="B40" s="18">
        <f>$A40-'1-Input'!$B$5</f>
        <v/>
      </c>
      <c r="C40" s="15">
        <f>IF($A40&lt;='1-Input'!$B$19,'1-Input'!$B$40,0)</f>
        <v/>
      </c>
      <c r="D40" s="14">
        <f>IF($A40&lt;='1-Input'!$B$19,0,IF($A40&gt;'1-Input'!$B$47,0,IF($A40&lt;'5-Pensioni'!$C$8,0,IF($A40='5-Pensioni'!$C$8,'5-Pensioni'!$C$18*'5-Pensioni'!$C$19,'5-Pensioni'!$C$18))+IF($A40&lt;'5-Pensioni'!$B$8,0,IF($A40='5-Pensioni'!$B$8,'5-Pensioni'!$B$18*'5-Pensioni'!$B$19,'5-Pensioni'!$B$18))))</f>
        <v/>
      </c>
      <c r="E40" s="14">
        <f>IF($A40&lt;='1-Input'!$B$19,0,IF($A40&gt;'1-Input'!$B$47,0,MAX(0,'1-Input'!$B$13-D40)))</f>
        <v/>
      </c>
      <c r="F40" s="14">
        <f>MIN(E40,G39)</f>
        <v/>
      </c>
      <c r="G40" s="14">
        <f>G39-F40</f>
        <v/>
      </c>
      <c r="H40" s="14">
        <f>MAX(0,E40-F40)*$B$51</f>
        <v/>
      </c>
      <c r="I40" s="14">
        <f>IF($A40&lt;='1-Input'!$B$19,(I39+C40)*(1+'1-Input'!$B$46),(I39-H40)*(1+'1-Input'!$B$46))</f>
        <v/>
      </c>
      <c r="J40" s="14">
        <f>IF($A40&lt;='1-Input'!$B$19,(J39+C40)*(1+'3-Rendimento'!$D$15),(J39-MAX(0,E40-F40)*$C$51)*(1+'3-Rendimento'!$D$15))</f>
        <v/>
      </c>
      <c r="K40" s="14">
        <f>IF($A40&lt;='1-Input'!$B$19,(K39+C40)*(1+'3-Rendimento'!$D$17),(K39-MAX(0,E40-F40)*$D$51)*(1+'3-Rendimento'!$D$17))</f>
        <v/>
      </c>
      <c r="L40" s="14">
        <f>IF($A40&gt;'1-Input'!$B$19,"",(L39+C40)*(1+IF($A40='1-Input'!$B$19-1,'P-Parametri'!$B$54*'P-Parametri'!$B$52+(1-'P-Parametri'!$B$54)*('P-Parametri'!$C$42-'1-Input'!$B$18),IF($A40='1-Input'!$B$19,'P-Parametri'!$B$54*'P-Parametri'!$C$52+(1-'P-Parametri'!$B$54)*('P-Parametri'!$C$42-'1-Input'!$B$18),'1-Input'!$B$46))))</f>
        <v/>
      </c>
    </row>
    <row r="41">
      <c r="A41" s="18">
        <f>A40+1</f>
        <v/>
      </c>
      <c r="B41" s="18">
        <f>$A41-'1-Input'!$B$5</f>
        <v/>
      </c>
      <c r="C41" s="15">
        <f>IF($A41&lt;='1-Input'!$B$19,'1-Input'!$B$40,0)</f>
        <v/>
      </c>
      <c r="D41" s="14">
        <f>IF($A41&lt;='1-Input'!$B$19,0,IF($A41&gt;'1-Input'!$B$47,0,IF($A41&lt;'5-Pensioni'!$C$8,0,IF($A41='5-Pensioni'!$C$8,'5-Pensioni'!$C$18*'5-Pensioni'!$C$19,'5-Pensioni'!$C$18))+IF($A41&lt;'5-Pensioni'!$B$8,0,IF($A41='5-Pensioni'!$B$8,'5-Pensioni'!$B$18*'5-Pensioni'!$B$19,'5-Pensioni'!$B$18))))</f>
        <v/>
      </c>
      <c r="E41" s="14">
        <f>IF($A41&lt;='1-Input'!$B$19,0,IF($A41&gt;'1-Input'!$B$47,0,MAX(0,'1-Input'!$B$13-D41)))</f>
        <v/>
      </c>
      <c r="F41" s="14">
        <f>MIN(E41,G40)</f>
        <v/>
      </c>
      <c r="G41" s="14">
        <f>G40-F41</f>
        <v/>
      </c>
      <c r="H41" s="14">
        <f>MAX(0,E41-F41)*$B$51</f>
        <v/>
      </c>
      <c r="I41" s="14">
        <f>IF($A41&lt;='1-Input'!$B$19,(I40+C41)*(1+'1-Input'!$B$46),(I40-H41)*(1+'1-Input'!$B$46))</f>
        <v/>
      </c>
      <c r="J41" s="14">
        <f>IF($A41&lt;='1-Input'!$B$19,(J40+C41)*(1+'3-Rendimento'!$D$15),(J40-MAX(0,E41-F41)*$C$51)*(1+'3-Rendimento'!$D$15))</f>
        <v/>
      </c>
      <c r="K41" s="14">
        <f>IF($A41&lt;='1-Input'!$B$19,(K40+C41)*(1+'3-Rendimento'!$D$17),(K40-MAX(0,E41-F41)*$D$51)*(1+'3-Rendimento'!$D$17))</f>
        <v/>
      </c>
      <c r="L41" s="14">
        <f>IF($A41&gt;'1-Input'!$B$19,"",(L40+C41)*(1+IF($A41='1-Input'!$B$19-1,'P-Parametri'!$B$54*'P-Parametri'!$B$52+(1-'P-Parametri'!$B$54)*('P-Parametri'!$C$42-'1-Input'!$B$18),IF($A41='1-Input'!$B$19,'P-Parametri'!$B$54*'P-Parametri'!$C$52+(1-'P-Parametri'!$B$54)*('P-Parametri'!$C$42-'1-Input'!$B$18),'1-Input'!$B$46))))</f>
        <v/>
      </c>
    </row>
    <row r="42">
      <c r="A42" s="18">
        <f>A41+1</f>
        <v/>
      </c>
      <c r="B42" s="18">
        <f>$A42-'1-Input'!$B$5</f>
        <v/>
      </c>
      <c r="C42" s="15">
        <f>IF($A42&lt;='1-Input'!$B$19,'1-Input'!$B$40,0)</f>
        <v/>
      </c>
      <c r="D42" s="14">
        <f>IF($A42&lt;='1-Input'!$B$19,0,IF($A42&gt;'1-Input'!$B$47,0,IF($A42&lt;'5-Pensioni'!$C$8,0,IF($A42='5-Pensioni'!$C$8,'5-Pensioni'!$C$18*'5-Pensioni'!$C$19,'5-Pensioni'!$C$18))+IF($A42&lt;'5-Pensioni'!$B$8,0,IF($A42='5-Pensioni'!$B$8,'5-Pensioni'!$B$18*'5-Pensioni'!$B$19,'5-Pensioni'!$B$18))))</f>
        <v/>
      </c>
      <c r="E42" s="14">
        <f>IF($A42&lt;='1-Input'!$B$19,0,IF($A42&gt;'1-Input'!$B$47,0,MAX(0,'1-Input'!$B$13-D42)))</f>
        <v/>
      </c>
      <c r="F42" s="14">
        <f>MIN(E42,G41)</f>
        <v/>
      </c>
      <c r="G42" s="14">
        <f>G41-F42</f>
        <v/>
      </c>
      <c r="H42" s="14">
        <f>MAX(0,E42-F42)*$B$51</f>
        <v/>
      </c>
      <c r="I42" s="14">
        <f>IF($A42&lt;='1-Input'!$B$19,(I41+C42)*(1+'1-Input'!$B$46),(I41-H42)*(1+'1-Input'!$B$46))</f>
        <v/>
      </c>
      <c r="J42" s="14">
        <f>IF($A42&lt;='1-Input'!$B$19,(J41+C42)*(1+'3-Rendimento'!$D$15),(J41-MAX(0,E42-F42)*$C$51)*(1+'3-Rendimento'!$D$15))</f>
        <v/>
      </c>
      <c r="K42" s="14">
        <f>IF($A42&lt;='1-Input'!$B$19,(K41+C42)*(1+'3-Rendimento'!$D$17),(K41-MAX(0,E42-F42)*$D$51)*(1+'3-Rendimento'!$D$17))</f>
        <v/>
      </c>
      <c r="L42" s="14">
        <f>IF($A42&gt;'1-Input'!$B$19,"",(L41+C42)*(1+IF($A42='1-Input'!$B$19-1,'P-Parametri'!$B$54*'P-Parametri'!$B$52+(1-'P-Parametri'!$B$54)*('P-Parametri'!$C$42-'1-Input'!$B$18),IF($A42='1-Input'!$B$19,'P-Parametri'!$B$54*'P-Parametri'!$C$52+(1-'P-Parametri'!$B$54)*('P-Parametri'!$C$42-'1-Input'!$B$18),'1-Input'!$B$46))))</f>
        <v/>
      </c>
    </row>
    <row r="43">
      <c r="A43" s="18">
        <f>A42+1</f>
        <v/>
      </c>
      <c r="B43" s="18">
        <f>$A43-'1-Input'!$B$5</f>
        <v/>
      </c>
      <c r="C43" s="15">
        <f>IF($A43&lt;='1-Input'!$B$19,'1-Input'!$B$40,0)</f>
        <v/>
      </c>
      <c r="D43" s="14">
        <f>IF($A43&lt;='1-Input'!$B$19,0,IF($A43&gt;'1-Input'!$B$47,0,IF($A43&lt;'5-Pensioni'!$C$8,0,IF($A43='5-Pensioni'!$C$8,'5-Pensioni'!$C$18*'5-Pensioni'!$C$19,'5-Pensioni'!$C$18))+IF($A43&lt;'5-Pensioni'!$B$8,0,IF($A43='5-Pensioni'!$B$8,'5-Pensioni'!$B$18*'5-Pensioni'!$B$19,'5-Pensioni'!$B$18))))</f>
        <v/>
      </c>
      <c r="E43" s="14">
        <f>IF($A43&lt;='1-Input'!$B$19,0,IF($A43&gt;'1-Input'!$B$47,0,MAX(0,'1-Input'!$B$13-D43)))</f>
        <v/>
      </c>
      <c r="F43" s="14">
        <f>MIN(E43,G42)</f>
        <v/>
      </c>
      <c r="G43" s="14">
        <f>G42-F43</f>
        <v/>
      </c>
      <c r="H43" s="14">
        <f>MAX(0,E43-F43)*$B$51</f>
        <v/>
      </c>
      <c r="I43" s="14">
        <f>IF($A43&lt;='1-Input'!$B$19,(I42+C43)*(1+'1-Input'!$B$46),(I42-H43)*(1+'1-Input'!$B$46))</f>
        <v/>
      </c>
      <c r="J43" s="14">
        <f>IF($A43&lt;='1-Input'!$B$19,(J42+C43)*(1+'3-Rendimento'!$D$15),(J42-MAX(0,E43-F43)*$C$51)*(1+'3-Rendimento'!$D$15))</f>
        <v/>
      </c>
      <c r="K43" s="14">
        <f>IF($A43&lt;='1-Input'!$B$19,(K42+C43)*(1+'3-Rendimento'!$D$17),(K42-MAX(0,E43-F43)*$D$51)*(1+'3-Rendimento'!$D$17))</f>
        <v/>
      </c>
      <c r="L43" s="14">
        <f>IF($A43&gt;'1-Input'!$B$19,"",(L42+C43)*(1+IF($A43='1-Input'!$B$19-1,'P-Parametri'!$B$54*'P-Parametri'!$B$52+(1-'P-Parametri'!$B$54)*('P-Parametri'!$C$42-'1-Input'!$B$18),IF($A43='1-Input'!$B$19,'P-Parametri'!$B$54*'P-Parametri'!$C$52+(1-'P-Parametri'!$B$54)*('P-Parametri'!$C$42-'1-Input'!$B$18),'1-Input'!$B$46))))</f>
        <v/>
      </c>
    </row>
    <row r="44">
      <c r="A44" s="18">
        <f>A43+1</f>
        <v/>
      </c>
      <c r="B44" s="18">
        <f>$A44-'1-Input'!$B$5</f>
        <v/>
      </c>
      <c r="C44" s="15">
        <f>IF($A44&lt;='1-Input'!$B$19,'1-Input'!$B$40,0)</f>
        <v/>
      </c>
      <c r="D44" s="14">
        <f>IF($A44&lt;='1-Input'!$B$19,0,IF($A44&gt;'1-Input'!$B$47,0,IF($A44&lt;'5-Pensioni'!$C$8,0,IF($A44='5-Pensioni'!$C$8,'5-Pensioni'!$C$18*'5-Pensioni'!$C$19,'5-Pensioni'!$C$18))+IF($A44&lt;'5-Pensioni'!$B$8,0,IF($A44='5-Pensioni'!$B$8,'5-Pensioni'!$B$18*'5-Pensioni'!$B$19,'5-Pensioni'!$B$18))))</f>
        <v/>
      </c>
      <c r="E44" s="14">
        <f>IF($A44&lt;='1-Input'!$B$19,0,IF($A44&gt;'1-Input'!$B$47,0,MAX(0,'1-Input'!$B$13-D44)))</f>
        <v/>
      </c>
      <c r="F44" s="14">
        <f>MIN(E44,G43)</f>
        <v/>
      </c>
      <c r="G44" s="14">
        <f>G43-F44</f>
        <v/>
      </c>
      <c r="H44" s="14">
        <f>MAX(0,E44-F44)*$B$51</f>
        <v/>
      </c>
      <c r="I44" s="14">
        <f>IF($A44&lt;='1-Input'!$B$19,(I43+C44)*(1+'1-Input'!$B$46),(I43-H44)*(1+'1-Input'!$B$46))</f>
        <v/>
      </c>
      <c r="J44" s="14">
        <f>IF($A44&lt;='1-Input'!$B$19,(J43+C44)*(1+'3-Rendimento'!$D$15),(J43-MAX(0,E44-F44)*$C$51)*(1+'3-Rendimento'!$D$15))</f>
        <v/>
      </c>
      <c r="K44" s="14">
        <f>IF($A44&lt;='1-Input'!$B$19,(K43+C44)*(1+'3-Rendimento'!$D$17),(K43-MAX(0,E44-F44)*$D$51)*(1+'3-Rendimento'!$D$17))</f>
        <v/>
      </c>
      <c r="L44" s="14">
        <f>IF($A44&gt;'1-Input'!$B$19,"",(L43+C44)*(1+IF($A44='1-Input'!$B$19-1,'P-Parametri'!$B$54*'P-Parametri'!$B$52+(1-'P-Parametri'!$B$54)*('P-Parametri'!$C$42-'1-Input'!$B$18),IF($A44='1-Input'!$B$19,'P-Parametri'!$B$54*'P-Parametri'!$C$52+(1-'P-Parametri'!$B$54)*('P-Parametri'!$C$42-'1-Input'!$B$18),'1-Input'!$B$46))))</f>
        <v/>
      </c>
    </row>
    <row r="45">
      <c r="A45" s="18">
        <f>A44+1</f>
        <v/>
      </c>
      <c r="B45" s="18">
        <f>$A45-'1-Input'!$B$5</f>
        <v/>
      </c>
      <c r="C45" s="15">
        <f>IF($A45&lt;='1-Input'!$B$19,'1-Input'!$B$40,0)</f>
        <v/>
      </c>
      <c r="D45" s="14">
        <f>IF($A45&lt;='1-Input'!$B$19,0,IF($A45&gt;'1-Input'!$B$47,0,IF($A45&lt;'5-Pensioni'!$C$8,0,IF($A45='5-Pensioni'!$C$8,'5-Pensioni'!$C$18*'5-Pensioni'!$C$19,'5-Pensioni'!$C$18))+IF($A45&lt;'5-Pensioni'!$B$8,0,IF($A45='5-Pensioni'!$B$8,'5-Pensioni'!$B$18*'5-Pensioni'!$B$19,'5-Pensioni'!$B$18))))</f>
        <v/>
      </c>
      <c r="E45" s="14">
        <f>IF($A45&lt;='1-Input'!$B$19,0,IF($A45&gt;'1-Input'!$B$47,0,MAX(0,'1-Input'!$B$13-D45)))</f>
        <v/>
      </c>
      <c r="F45" s="14">
        <f>MIN(E45,G44)</f>
        <v/>
      </c>
      <c r="G45" s="14">
        <f>G44-F45</f>
        <v/>
      </c>
      <c r="H45" s="14">
        <f>MAX(0,E45-F45)*$B$51</f>
        <v/>
      </c>
      <c r="I45" s="14">
        <f>IF($A45&lt;='1-Input'!$B$19,(I44+C45)*(1+'1-Input'!$B$46),(I44-H45)*(1+'1-Input'!$B$46))</f>
        <v/>
      </c>
      <c r="J45" s="14">
        <f>IF($A45&lt;='1-Input'!$B$19,(J44+C45)*(1+'3-Rendimento'!$D$15),(J44-MAX(0,E45-F45)*$C$51)*(1+'3-Rendimento'!$D$15))</f>
        <v/>
      </c>
      <c r="K45" s="14">
        <f>IF($A45&lt;='1-Input'!$B$19,(K44+C45)*(1+'3-Rendimento'!$D$17),(K44-MAX(0,E45-F45)*$D$51)*(1+'3-Rendimento'!$D$17))</f>
        <v/>
      </c>
      <c r="L45" s="14">
        <f>IF($A45&gt;'1-Input'!$B$19,"",(L44+C45)*(1+IF($A45='1-Input'!$B$19-1,'P-Parametri'!$B$54*'P-Parametri'!$B$52+(1-'P-Parametri'!$B$54)*('P-Parametri'!$C$42-'1-Input'!$B$18),IF($A45='1-Input'!$B$19,'P-Parametri'!$B$54*'P-Parametri'!$C$52+(1-'P-Parametri'!$B$54)*('P-Parametri'!$C$42-'1-Input'!$B$18),'1-Input'!$B$46))))</f>
        <v/>
      </c>
    </row>
    <row r="47">
      <c r="A47" s="7" t="inlineStr">
        <is>
          <t>I FATTORI DI LORDIZZAZIONE PER RENDIMENTO</t>
        </is>
      </c>
    </row>
    <row r="48">
      <c r="A48" s="13" t="inlineStr">
        <is>
          <t>Voce</t>
        </is>
      </c>
      <c r="B48" s="13" t="inlineStr">
        <is>
          <t>Centrale</t>
        </is>
      </c>
      <c r="C48" s="13" t="inlineStr">
        <is>
          <t>Pavimento</t>
        </is>
      </c>
      <c r="D48" s="13" t="inlineStr">
        <is>
          <t>Tetto</t>
        </is>
      </c>
    </row>
    <row r="49">
      <c r="A49" s="8" t="inlineStr">
        <is>
          <t>Capitale al ritiro</t>
        </is>
      </c>
      <c r="B49" s="14">
        <f>INDEX(I6:I45,MATCH('1-Input'!$B$19,A6:A45,0))</f>
        <v/>
      </c>
      <c r="C49" s="14">
        <f>INDEX(J6:J45,MATCH('1-Input'!$B$19,A6:A45,0))</f>
        <v/>
      </c>
      <c r="D49" s="14">
        <f>INDEX(K6:K45,MATCH('1-Input'!$B$19,A6:A45,0))</f>
        <v/>
      </c>
    </row>
    <row r="50">
      <c r="A50" s="8" t="inlineStr">
        <is>
          <t>Base di costo al ritiro</t>
        </is>
      </c>
      <c r="B50" s="14">
        <f>'2-Composizione'!$B$37+'1-Input'!$B$50*'1-Input'!$B$40</f>
        <v/>
      </c>
    </row>
    <row r="51">
      <c r="A51" s="8" t="inlineStr">
        <is>
          <t>Fattore di lordizzazione G (latente col floor a zero)</t>
        </is>
      </c>
      <c r="B51" s="26">
        <f>1/(1-'P-Parametri'!$B$31*MAX(0,(B49-$B$50)/B49))</f>
        <v/>
      </c>
      <c r="C51" s="26">
        <f>1/(1-'P-Parametri'!$B$31*MAX(0,(C49-$B$50)/C49))</f>
        <v/>
      </c>
      <c r="D51" s="26">
        <f>1/(1-'P-Parametri'!$B$31*MAX(0,(D49-$B$50)/D49))</f>
        <v/>
      </c>
    </row>
    <row r="53">
      <c r="A53" s="7" t="inlineStr">
        <is>
          <t>L'ANNO DEI DUE MILIONI</t>
        </is>
      </c>
    </row>
    <row r="54">
      <c r="A54" s="13" t="inlineStr">
        <is>
          <t>Voce</t>
        </is>
      </c>
      <c r="B54" s="13" t="inlineStr">
        <is>
          <t>Centrale</t>
        </is>
      </c>
      <c r="C54" s="13" t="inlineStr">
        <is>
          <t>Pavimento</t>
        </is>
      </c>
      <c r="D54" s="13" t="inlineStr">
        <is>
          <t>Tetto</t>
        </is>
      </c>
    </row>
    <row r="55">
      <c r="A55" s="8" t="inlineStr">
        <is>
          <t>Distanza dal target alla fine dell'anno di ritiro</t>
        </is>
      </c>
      <c r="B55" s="14">
        <f>B49-'P-Parametri'!$B$47</f>
        <v/>
      </c>
      <c r="C55" s="14">
        <f>C49-'P-Parametri'!$B$47</f>
        <v/>
      </c>
      <c r="D55" s="14">
        <f>D49-'P-Parametri'!$B$47</f>
        <v/>
      </c>
    </row>
    <row r="56">
      <c r="A56" s="8" t="inlineStr">
        <is>
          <t>Anno in cui il capitale tocca il target</t>
        </is>
      </c>
      <c r="B56" s="18">
        <f>INDEX($A$6:$A$45,MATCH('P-Parametri'!$B$47,I6:I45,1)+1)</f>
        <v/>
      </c>
      <c r="C56" s="18">
        <f>INDEX($A$6:$A$45,MATCH('P-Parametri'!$B$47,J6:J45,1)+1)</f>
        <v/>
      </c>
      <c r="D56" s="18">
        <f>INDEX($A$6:$A$45,MATCH('P-Parametri'!$B$47,K6:K45,1)+1)</f>
        <v/>
      </c>
    </row>
    <row r="57">
      <c r="A57" s="8" t="inlineStr">
        <is>
          <t>Eta' di Chiara in quell'anno</t>
        </is>
      </c>
      <c r="B57" s="18">
        <f>B56-'1-Input'!$B$5</f>
        <v/>
      </c>
      <c r="C57" s="18">
        <f>C56-'1-Input'!$B$5</f>
        <v/>
      </c>
      <c r="D57" s="18">
        <f>D56-'1-Input'!$B$5</f>
        <v/>
      </c>
    </row>
    <row r="58">
      <c r="A58" s="8" t="inlineStr">
        <is>
          <t>Risparmio annuo che servirebbe per arrivarci entro il ritiro</t>
        </is>
      </c>
      <c r="B58" s="14">
        <f>('P-Parametri'!$B$47-'2-Composizione'!$B$36*(1+'1-Input'!$B$46)^'1-Input'!$B$50)/((1+'1-Input'!$B$46)*(((1+'1-Input'!$B$46)^'1-Input'!$B$50-1)/'1-Input'!$B$46))</f>
        <v/>
      </c>
    </row>
    <row r="59">
      <c r="A59" s="8" t="inlineStr">
        <is>
          <t>Quanto resterebbe per vivere</t>
        </is>
      </c>
      <c r="B59" s="14">
        <f>'1-Input'!$B$38-B58</f>
        <v/>
      </c>
    </row>
    <row r="61">
      <c r="A61" s="7" t="inlineStr">
        <is>
          <t>LA SEQUENZA SFAVOREVOLE — scenario illustrativo, non probabilistico</t>
        </is>
      </c>
    </row>
    <row r="62">
      <c r="A62" s="8" t="inlineStr">
        <is>
          <t>Capitale al ritiro con la sequenza sfavorevole</t>
        </is>
      </c>
      <c r="B62" s="14">
        <f>INDEX(L6:L45,MATCH('1-Input'!$B$19,A6:A45,0))</f>
        <v/>
      </c>
    </row>
    <row r="63">
      <c r="A63" s="8" t="inlineStr">
        <is>
          <t>Variazione contro il capitale centrale</t>
        </is>
      </c>
      <c r="B63" s="16">
        <f>B62/B49-1</f>
        <v/>
      </c>
      <c r="C63" s="14">
        <f>B62-B49</f>
        <v/>
      </c>
    </row>
    <row r="64">
      <c r="A64" s="8" t="inlineStr">
        <is>
          <t>Posizione contro il fabbisogno dello scenario prudente</t>
        </is>
      </c>
      <c r="B64" s="14">
        <f>'11-Banda'!$D$18</f>
        <v/>
      </c>
      <c r="C64" s="14">
        <f>B62-B64</f>
        <v/>
      </c>
    </row>
    <row r="66" ht="60" customHeight="1">
      <c r="A66" s="12" t="inlineStr">
        <is>
          <t>CONVENZIONE DEL DECUMULO, DICHIARATA E RIPRODUCIBILE: il TFR in cassa si consuma per primo, i prelievi dal portafoglio sono lordizzati col fattore G del rendimento della colonna, le pensioni entrano alle loro decorrenze con mezza annualita' il primo anno, e i versamenti si fermano alla fine dell'anno di ritiro.</t>
        </is>
      </c>
    </row>
    <row r="67" ht="45" customHeight="1">
      <c r="A67" s="12" t="inlineStr">
        <is>
          <t>SEQUENZA SFAVOREVOLE — i crolli cadono nei DUE ANNI FINALI dell'accumulo e mordono sulla SOLA gamba azionaria; la gamba obbligazionaria rende il suo atteso. E' uno scenario ILLUSTRATIVO, non probabilistico.</t>
        </is>
      </c>
    </row>
    <row r="68" ht="30" customHeight="1">
      <c r="A68" s="12" t="inlineStr">
        <is>
          <t>L'anno in cui il capitale tocca il target si raggiunge SENZA PIU' VERSARE: il capitale cresce mentre la coppia ci vive dentro. E' un'ipotesi dichiarata, non una previsione.</t>
        </is>
      </c>
    </row>
  </sheetData>
  <mergeCells count="9">
    <mergeCell ref="A4:H4"/>
    <mergeCell ref="A67:H67"/>
    <mergeCell ref="A53:H53"/>
    <mergeCell ref="A2:H2"/>
    <mergeCell ref="A68:H68"/>
    <mergeCell ref="A66:H66"/>
    <mergeCell ref="A47:H47"/>
    <mergeCell ref="A1:H1"/>
    <mergeCell ref="A61:H6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5" customHeight="1">
      <c r="A1" s="1" t="inlineStr">
        <is>
          <t>Le otto leve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LA TABELLA D'IMPATTO — le leve si misurano nell'IPOTESI PRUDENTE</t>
        </is>
      </c>
    </row>
    <row r="5">
      <c r="A5" s="13" t="inlineStr">
        <is>
          <t>Leva</t>
        </is>
      </c>
      <c r="B5" s="13" t="inlineStr">
        <is>
          <t>Fabbisogno (prudente)</t>
        </is>
      </c>
      <c r="C5" s="13" t="inlineStr">
        <is>
          <t>Delta posizione netta (prudente)</t>
        </is>
      </c>
      <c r="D5" s="13" t="inlineStr">
        <is>
          <t>Fabbisogno (centrale)</t>
        </is>
      </c>
      <c r="E5" s="13" t="inlineStr">
        <is>
          <t>Delta posizione netta (centrale)</t>
        </is>
      </c>
    </row>
    <row r="6">
      <c r="A6" s="5" t="inlineStr">
        <is>
          <t>1 — Posticipo di 2 anni</t>
        </is>
      </c>
      <c r="B6" s="15">
        <f>C76</f>
        <v/>
      </c>
      <c r="C6" s="15">
        <f>C79</f>
        <v/>
      </c>
      <c r="D6" s="15">
        <f>L76</f>
        <v/>
      </c>
      <c r="E6" s="15">
        <f>L79</f>
        <v/>
      </c>
    </row>
    <row r="7">
      <c r="A7" s="5" t="inlineStr">
        <is>
          <t>2 — Spesa meno 10% da oggi e per sempre</t>
        </is>
      </c>
      <c r="B7" s="15">
        <f>D76</f>
        <v/>
      </c>
      <c r="C7" s="15">
        <f>D79</f>
        <v/>
      </c>
      <c r="D7" s="15">
        <f>M76</f>
        <v/>
      </c>
      <c r="E7" s="15">
        <f>M79</f>
        <v/>
      </c>
    </row>
    <row r="8">
      <c r="A8" s="5" t="inlineStr">
        <is>
          <t>3 — Spesa obiettivo meno 10% solo dopo il ritiro</t>
        </is>
      </c>
      <c r="B8" s="15">
        <f>E76</f>
        <v/>
      </c>
      <c r="C8" s="15">
        <f>E79</f>
        <v/>
      </c>
      <c r="D8" s="15">
        <f>N76</f>
        <v/>
      </c>
      <c r="E8" s="15">
        <f>N79</f>
        <v/>
      </c>
    </row>
    <row r="9">
      <c r="A9" s="5" t="inlineStr">
        <is>
          <t>4 — Posticipo di 1 anno</t>
        </is>
      </c>
      <c r="B9" s="15">
        <f>F76</f>
        <v/>
      </c>
      <c r="C9" s="15">
        <f>F79</f>
        <v/>
      </c>
      <c r="D9" s="15">
        <f>O76</f>
        <v/>
      </c>
      <c r="E9" s="15">
        <f>O79</f>
        <v/>
      </c>
    </row>
    <row r="10">
      <c r="A10" s="5" t="inlineStr">
        <is>
          <t>5 — Costi meno 0,5% l'anno</t>
        </is>
      </c>
      <c r="B10" s="15">
        <f>G76</f>
        <v/>
      </c>
      <c r="C10" s="15">
        <f>G79</f>
        <v/>
      </c>
      <c r="D10" s="15">
        <f>P76</f>
        <v/>
      </c>
      <c r="E10" s="15">
        <f>P79</f>
        <v/>
      </c>
    </row>
    <row r="11">
      <c r="A11" s="5" t="inlineStr">
        <is>
          <t>6 — Da 70/30 a 85/15</t>
        </is>
      </c>
      <c r="B11" s="15">
        <f>H76</f>
        <v/>
      </c>
      <c r="C11" s="15">
        <f>H79</f>
        <v/>
      </c>
      <c r="D11" s="15">
        <f>Q76</f>
        <v/>
      </c>
      <c r="E11" s="15">
        <f>Q79</f>
        <v/>
      </c>
    </row>
    <row r="12">
      <c r="A12" s="5" t="inlineStr">
        <is>
          <t>7 — Risparmio +3.000 € l'anno</t>
        </is>
      </c>
      <c r="B12" s="15">
        <f>I76</f>
        <v/>
      </c>
      <c r="C12" s="15">
        <f>I79</f>
        <v/>
      </c>
      <c r="D12" s="15">
        <f>R76</f>
        <v/>
      </c>
      <c r="E12" s="15">
        <f>R79</f>
        <v/>
      </c>
    </row>
    <row r="13">
      <c r="A13" s="5" t="inlineStr">
        <is>
          <t>8 — Glide path da 70/30 a 40/60</t>
        </is>
      </c>
      <c r="B13" s="15">
        <f>J76</f>
        <v/>
      </c>
      <c r="C13" s="15">
        <f>J79</f>
        <v/>
      </c>
      <c r="D13" s="15">
        <f>S76</f>
        <v/>
      </c>
      <c r="E13" s="15">
        <f>S79</f>
        <v/>
      </c>
    </row>
    <row r="14">
      <c r="A14" s="8" t="inlineStr">
        <is>
          <t>BASE — posizione netta di riferimento</t>
        </is>
      </c>
      <c r="B14" s="15">
        <f>B76</f>
        <v/>
      </c>
      <c r="C14" s="15">
        <f>B78</f>
        <v/>
      </c>
      <c r="D14" s="15">
        <f>K76</f>
        <v/>
      </c>
      <c r="E14" s="15">
        <f>K78</f>
        <v/>
      </c>
    </row>
    <row r="16">
      <c r="A16" s="7" t="inlineStr">
        <is>
          <t>LE DUE LEVE DI TESTA, LE CONVERSIONI E I CONTROLLI</t>
        </is>
      </c>
    </row>
    <row r="17">
      <c r="A17" s="8" t="inlineStr">
        <is>
          <t>Le due leve di testa nell'ipotesi prudente — maggiore / minore</t>
        </is>
      </c>
      <c r="B17" s="15">
        <f>MAX(C6,C7)</f>
        <v/>
      </c>
      <c r="C17" s="15">
        <f>MIN(C6,C7)</f>
        <v/>
      </c>
    </row>
    <row r="18">
      <c r="A18" s="8" t="inlineStr">
        <is>
          <t>Distanza fra le due leve di testa</t>
        </is>
      </c>
      <c r="B18" s="16">
        <f>B17/C17-1</f>
        <v/>
      </c>
    </row>
    <row r="19">
      <c r="A19" s="8" t="inlineStr">
        <is>
          <t>Rapporto delle due di testa con la terza leva vera (i costi)</t>
        </is>
      </c>
      <c r="B19" s="17">
        <f>B17/C10</f>
        <v/>
      </c>
      <c r="C19" s="17">
        <f>C17/C10</f>
        <v/>
      </c>
    </row>
    <row r="20">
      <c r="A20" s="8" t="inlineStr">
        <is>
          <t>Rapporto con la riga 3 (cambio dell'obiettivo) e con la riga 4</t>
        </is>
      </c>
      <c r="B20" s="17">
        <f>B17/C8</f>
        <v/>
      </c>
      <c r="C20" s="17">
        <f>B17/C9</f>
        <v/>
      </c>
    </row>
    <row r="21">
      <c r="A21" s="8" t="inlineStr">
        <is>
          <t>Somma delle due di testa / somma delle righe da 3 a 7</t>
        </is>
      </c>
      <c r="B21" s="15">
        <f>B17+C17</f>
        <v/>
      </c>
      <c r="C21" s="15">
        <f>C8+C9+C10+C11+C12</f>
        <v/>
      </c>
    </row>
    <row r="22">
      <c r="A22" s="8" t="inlineStr">
        <is>
          <t>Un anno di posticipo, convertito in risparmio annuo</t>
        </is>
      </c>
      <c r="B22" s="14">
        <f>C9/((1+'1-Input'!$B$46)*(((1+'1-Input'!$B$46)^'1-Input'!$B$50-1)/'1-Input'!$B$46))</f>
        <v/>
      </c>
    </row>
    <row r="23">
      <c r="A23" s="8" t="inlineStr">
        <is>
          <t>…in quota del risparmio attuale</t>
        </is>
      </c>
      <c r="B23" s="16">
        <f>B22/'1-Input'!$B$40</f>
        <v/>
      </c>
    </row>
    <row r="24">
      <c r="A24" s="8" t="inlineStr">
        <is>
          <t>Quanto valgono i dieci anni sulla pensione (netti l'anno, a vita)</t>
        </is>
      </c>
      <c r="B24" s="14">
        <f>'5-Pensioni'!$B$56</f>
        <v/>
      </c>
    </row>
    <row r="25">
      <c r="A25" s="31" t="inlineStr">
        <is>
          <t>IL MOTORE — ipotesi prudente (colonne B:J) e scenario centrale (K:S)</t>
        </is>
      </c>
      <c r="B25" s="32" t="n"/>
      <c r="C25" s="32" t="n"/>
      <c r="D25" s="32" t="n"/>
      <c r="E25" s="32" t="n"/>
      <c r="F25" s="33" t="n"/>
    </row>
    <row r="26" ht="45" customHeight="1">
      <c r="A26" s="12" t="inlineStr">
        <is>
          <t>PERCHE' L'IPOTESI PRUDENTE. Nello scenario centrale piu' di una leva porta il fabbisogno a zero: li' la classifica misura il pavimento, non le leve. Nel prudente il floor non viene mai toccato, ed e' li' che le leve si possono confrontare. Il floor a zero e' dichiarato: un fabbisogno negativo significa soltanto che pensioni e liquidazione bastano.</t>
        </is>
      </c>
    </row>
    <row r="27">
      <c r="A27" s="8" t="inlineStr">
        <is>
          <t>SCENARIO</t>
        </is>
      </c>
      <c r="B27" s="34" t="inlineStr">
        <is>
          <t>BASE · prudente</t>
        </is>
      </c>
      <c r="C27" s="34" t="inlineStr">
        <is>
          <t>1 — Posticipo di 2 anni · prudente</t>
        </is>
      </c>
      <c r="D27" s="34" t="inlineStr">
        <is>
          <t>2 — Spesa meno 10% da oggi e per sempre · prudente</t>
        </is>
      </c>
      <c r="E27" s="34" t="inlineStr">
        <is>
          <t>3 — Spesa obiettivo meno 10% solo dopo il ritiro · prudente</t>
        </is>
      </c>
      <c r="F27" s="34" t="inlineStr">
        <is>
          <t>4 — Posticipo di 1 anno · prudente</t>
        </is>
      </c>
      <c r="G27" s="34" t="inlineStr">
        <is>
          <t>5 — Costi meno 0,5% l'anno · prudente</t>
        </is>
      </c>
      <c r="H27" s="34" t="inlineStr">
        <is>
          <t>6 — Da 70/30 a 85/15 · prudente</t>
        </is>
      </c>
      <c r="I27" s="34" t="inlineStr">
        <is>
          <t>7 — Risparmio +3.000 € l'anno · prudente</t>
        </is>
      </c>
      <c r="J27" s="34" t="inlineStr">
        <is>
          <t>8 — Glide path da 70/30 a 40/60 · prudente</t>
        </is>
      </c>
      <c r="K27" s="34" t="inlineStr">
        <is>
          <t>BASE · centrale</t>
        </is>
      </c>
      <c r="L27" s="34" t="inlineStr">
        <is>
          <t>1 — Posticipo di 2 anni · centrale</t>
        </is>
      </c>
      <c r="M27" s="34" t="inlineStr">
        <is>
          <t>2 — Spesa meno 10% da oggi e per sempre · centrale</t>
        </is>
      </c>
      <c r="N27" s="34" t="inlineStr">
        <is>
          <t>3 — Spesa obiettivo meno 10% solo dopo il ritiro · centrale</t>
        </is>
      </c>
      <c r="O27" s="34" t="inlineStr">
        <is>
          <t>4 — Posticipo di 1 anno · centrale</t>
        </is>
      </c>
      <c r="P27" s="34" t="inlineStr">
        <is>
          <t>5 — Costi meno 0,5% l'anno · centrale</t>
        </is>
      </c>
      <c r="Q27" s="34" t="inlineStr">
        <is>
          <t>6 — Da 70/30 a 85/15 · centrale</t>
        </is>
      </c>
      <c r="R27" s="34" t="inlineStr">
        <is>
          <t>7 — Risparmio +3.000 € l'anno · centrale</t>
        </is>
      </c>
      <c r="S27" s="34" t="inlineStr">
        <is>
          <t>8 — Glide path da 70/30 a 40/60 · centrale</t>
        </is>
      </c>
    </row>
    <row r="28">
      <c r="A28" s="8" t="inlineStr">
        <is>
          <t>Spesa prima del ritiro</t>
        </is>
      </c>
      <c r="B28" s="15">
        <f>'1-Input'!$B$13</f>
        <v/>
      </c>
      <c r="C28" s="15">
        <f>'1-Input'!$B$13</f>
        <v/>
      </c>
      <c r="D28" s="15">
        <f>'1-Input'!$B$13*(1-'P-Parametri'!$B$61)</f>
        <v/>
      </c>
      <c r="E28" s="15">
        <f>'1-Input'!$B$13</f>
        <v/>
      </c>
      <c r="F28" s="15">
        <f>'1-Input'!$B$13</f>
        <v/>
      </c>
      <c r="G28" s="15">
        <f>'1-Input'!$B$13</f>
        <v/>
      </c>
      <c r="H28" s="15">
        <f>'1-Input'!$B$13</f>
        <v/>
      </c>
      <c r="I28" s="15">
        <f>'1-Input'!$B$13</f>
        <v/>
      </c>
      <c r="J28" s="15">
        <f>'1-Input'!$B$13</f>
        <v/>
      </c>
      <c r="K28" s="15">
        <f>'1-Input'!$B$13</f>
        <v/>
      </c>
      <c r="L28" s="15">
        <f>'1-Input'!$B$13</f>
        <v/>
      </c>
      <c r="M28" s="15">
        <f>'1-Input'!$B$13*(1-'P-Parametri'!$B$61)</f>
        <v/>
      </c>
      <c r="N28" s="15">
        <f>'1-Input'!$B$13</f>
        <v/>
      </c>
      <c r="O28" s="15">
        <f>'1-Input'!$B$13</f>
        <v/>
      </c>
      <c r="P28" s="15">
        <f>'1-Input'!$B$13</f>
        <v/>
      </c>
      <c r="Q28" s="15">
        <f>'1-Input'!$B$13</f>
        <v/>
      </c>
      <c r="R28" s="15">
        <f>'1-Input'!$B$13</f>
        <v/>
      </c>
      <c r="S28" s="15">
        <f>'1-Input'!$B$13</f>
        <v/>
      </c>
    </row>
    <row r="29">
      <c r="A29" s="8" t="inlineStr">
        <is>
          <t>Spesa dopo il ritiro</t>
        </is>
      </c>
      <c r="B29" s="15">
        <f>'1-Input'!$B$13</f>
        <v/>
      </c>
      <c r="C29" s="15">
        <f>'1-Input'!$B$13</f>
        <v/>
      </c>
      <c r="D29" s="15">
        <f>'1-Input'!$B$13*(1-'P-Parametri'!$B$61)</f>
        <v/>
      </c>
      <c r="E29" s="15">
        <f>'1-Input'!$B$13*(1-'P-Parametri'!$B$61)</f>
        <v/>
      </c>
      <c r="F29" s="15">
        <f>'1-Input'!$B$13</f>
        <v/>
      </c>
      <c r="G29" s="15">
        <f>'1-Input'!$B$13</f>
        <v/>
      </c>
      <c r="H29" s="15">
        <f>'1-Input'!$B$13</f>
        <v/>
      </c>
      <c r="I29" s="15">
        <f>'1-Input'!$B$13</f>
        <v/>
      </c>
      <c r="J29" s="15">
        <f>'1-Input'!$B$13</f>
        <v/>
      </c>
      <c r="K29" s="15">
        <f>'1-Input'!$B$13</f>
        <v/>
      </c>
      <c r="L29" s="15">
        <f>'1-Input'!$B$13</f>
        <v/>
      </c>
      <c r="M29" s="15">
        <f>'1-Input'!$B$13*(1-'P-Parametri'!$B$61)</f>
        <v/>
      </c>
      <c r="N29" s="15">
        <f>'1-Input'!$B$13*(1-'P-Parametri'!$B$61)</f>
        <v/>
      </c>
      <c r="O29" s="15">
        <f>'1-Input'!$B$13</f>
        <v/>
      </c>
      <c r="P29" s="15">
        <f>'1-Input'!$B$13</f>
        <v/>
      </c>
      <c r="Q29" s="15">
        <f>'1-Input'!$B$13</f>
        <v/>
      </c>
      <c r="R29" s="15">
        <f>'1-Input'!$B$13</f>
        <v/>
      </c>
      <c r="S29" s="15">
        <f>'1-Input'!$B$13</f>
        <v/>
      </c>
    </row>
    <row r="30">
      <c r="A30" s="8" t="inlineStr">
        <is>
          <t>Risparmio annuo</t>
        </is>
      </c>
      <c r="B30" s="15">
        <f>'1-Input'!$B$40</f>
        <v/>
      </c>
      <c r="C30" s="15">
        <f>'1-Input'!$B$40</f>
        <v/>
      </c>
      <c r="D30" s="15">
        <f>ROUND('1-Input'!$B$38-'1-Input'!$B$13*(1-'P-Parametri'!$B$61),0)</f>
        <v/>
      </c>
      <c r="E30" s="15">
        <f>'1-Input'!$B$40</f>
        <v/>
      </c>
      <c r="F30" s="15">
        <f>'1-Input'!$B$40</f>
        <v/>
      </c>
      <c r="G30" s="15">
        <f>'1-Input'!$B$40</f>
        <v/>
      </c>
      <c r="H30" s="15">
        <f>'1-Input'!$B$40</f>
        <v/>
      </c>
      <c r="I30" s="15">
        <f>'1-Input'!$B$40+'P-Parametri'!$B$62</f>
        <v/>
      </c>
      <c r="J30" s="15">
        <f>'1-Input'!$B$40</f>
        <v/>
      </c>
      <c r="K30" s="15">
        <f>'1-Input'!$B$40</f>
        <v/>
      </c>
      <c r="L30" s="15">
        <f>'1-Input'!$B$40</f>
        <v/>
      </c>
      <c r="M30" s="15">
        <f>ROUND('1-Input'!$B$38-'1-Input'!$B$13*(1-'P-Parametri'!$B$61),0)</f>
        <v/>
      </c>
      <c r="N30" s="15">
        <f>'1-Input'!$B$40</f>
        <v/>
      </c>
      <c r="O30" s="15">
        <f>'1-Input'!$B$40</f>
        <v/>
      </c>
      <c r="P30" s="15">
        <f>'1-Input'!$B$40</f>
        <v/>
      </c>
      <c r="Q30" s="15">
        <f>'1-Input'!$B$40</f>
        <v/>
      </c>
      <c r="R30" s="15">
        <f>'1-Input'!$B$40+'P-Parametri'!$B$62</f>
        <v/>
      </c>
      <c r="S30" s="15">
        <f>'1-Input'!$B$40</f>
        <v/>
      </c>
    </row>
    <row r="31">
      <c r="A31" s="8" t="inlineStr">
        <is>
          <t>Anni di lavoro in piu'</t>
        </is>
      </c>
      <c r="B31" s="18">
        <f>0</f>
        <v/>
      </c>
      <c r="C31" s="18">
        <f>2</f>
        <v/>
      </c>
      <c r="D31" s="18">
        <f>0</f>
        <v/>
      </c>
      <c r="E31" s="18">
        <f>0</f>
        <v/>
      </c>
      <c r="F31" s="18">
        <f>1</f>
        <v/>
      </c>
      <c r="G31" s="18">
        <f>0</f>
        <v/>
      </c>
      <c r="H31" s="18">
        <f>0</f>
        <v/>
      </c>
      <c r="I31" s="18">
        <f>0</f>
        <v/>
      </c>
      <c r="J31" s="18">
        <f>0</f>
        <v/>
      </c>
      <c r="K31" s="18">
        <f>0</f>
        <v/>
      </c>
      <c r="L31" s="18">
        <f>2</f>
        <v/>
      </c>
      <c r="M31" s="18">
        <f>0</f>
        <v/>
      </c>
      <c r="N31" s="18">
        <f>0</f>
        <v/>
      </c>
      <c r="O31" s="18">
        <f>1</f>
        <v/>
      </c>
      <c r="P31" s="18">
        <f>0</f>
        <v/>
      </c>
      <c r="Q31" s="18">
        <f>0</f>
        <v/>
      </c>
      <c r="R31" s="18">
        <f>0</f>
        <v/>
      </c>
      <c r="S31" s="18">
        <f>0</f>
        <v/>
      </c>
    </row>
    <row r="32">
      <c r="A32" s="8" t="inlineStr">
        <is>
          <t>Requisito anagrafico: anni in piu'</t>
        </is>
      </c>
      <c r="B32" s="18">
        <f>'1-Input'!$B$22+2</f>
        <v/>
      </c>
      <c r="C32" s="18">
        <f>'1-Input'!$B$22+2</f>
        <v/>
      </c>
      <c r="D32" s="18">
        <f>'1-Input'!$B$22+2</f>
        <v/>
      </c>
      <c r="E32" s="18">
        <f>'1-Input'!$B$22+2</f>
        <v/>
      </c>
      <c r="F32" s="18">
        <f>'1-Input'!$B$22+2</f>
        <v/>
      </c>
      <c r="G32" s="18">
        <f>'1-Input'!$B$22+2</f>
        <v/>
      </c>
      <c r="H32" s="18">
        <f>'1-Input'!$B$22+2</f>
        <v/>
      </c>
      <c r="I32" s="18">
        <f>'1-Input'!$B$22+2</f>
        <v/>
      </c>
      <c r="J32" s="18">
        <f>'1-Input'!$B$22+2</f>
        <v/>
      </c>
      <c r="K32" s="18">
        <f>'1-Input'!$B$22</f>
        <v/>
      </c>
      <c r="L32" s="18">
        <f>'1-Input'!$B$22</f>
        <v/>
      </c>
      <c r="M32" s="18">
        <f>'1-Input'!$B$22</f>
        <v/>
      </c>
      <c r="N32" s="18">
        <f>'1-Input'!$B$22</f>
        <v/>
      </c>
      <c r="O32" s="18">
        <f>'1-Input'!$B$22</f>
        <v/>
      </c>
      <c r="P32" s="18">
        <f>'1-Input'!$B$22</f>
        <v/>
      </c>
      <c r="Q32" s="18">
        <f>'1-Input'!$B$22</f>
        <v/>
      </c>
      <c r="R32" s="18">
        <f>'1-Input'!$B$22</f>
        <v/>
      </c>
      <c r="S32" s="18">
        <f>'1-Input'!$B$22</f>
        <v/>
      </c>
    </row>
    <row r="33">
      <c r="A33" s="8" t="inlineStr">
        <is>
          <t>Fattore sulle pensioni lorde</t>
        </is>
      </c>
      <c r="B33" s="20">
        <f>1-'P-Parametri'!$B$51</f>
        <v/>
      </c>
      <c r="C33" s="20">
        <f>1-'P-Parametri'!$B$51</f>
        <v/>
      </c>
      <c r="D33" s="20">
        <f>1-'P-Parametri'!$B$51</f>
        <v/>
      </c>
      <c r="E33" s="20">
        <f>1-'P-Parametri'!$B$51</f>
        <v/>
      </c>
      <c r="F33" s="20">
        <f>1-'P-Parametri'!$B$51</f>
        <v/>
      </c>
      <c r="G33" s="20">
        <f>1-'P-Parametri'!$B$51</f>
        <v/>
      </c>
      <c r="H33" s="20">
        <f>1-'P-Parametri'!$B$51</f>
        <v/>
      </c>
      <c r="I33" s="20">
        <f>1-'P-Parametri'!$B$51</f>
        <v/>
      </c>
      <c r="J33" s="20">
        <f>1-'P-Parametri'!$B$51</f>
        <v/>
      </c>
      <c r="K33" s="20">
        <f>1</f>
        <v/>
      </c>
      <c r="L33" s="20">
        <f>1</f>
        <v/>
      </c>
      <c r="M33" s="20">
        <f>1</f>
        <v/>
      </c>
      <c r="N33" s="20">
        <f>1</f>
        <v/>
      </c>
      <c r="O33" s="20">
        <f>1</f>
        <v/>
      </c>
      <c r="P33" s="20">
        <f>1</f>
        <v/>
      </c>
      <c r="Q33" s="20">
        <f>1</f>
        <v/>
      </c>
      <c r="R33" s="20">
        <f>1</f>
        <v/>
      </c>
      <c r="S33" s="20">
        <f>1</f>
        <v/>
      </c>
    </row>
    <row r="34">
      <c r="A34" s="8" t="inlineStr">
        <is>
          <t>Anno di orizzonte</t>
        </is>
      </c>
      <c r="B34" s="18">
        <f>'1-Input'!$B$5+'P-Parametri'!$C$65</f>
        <v/>
      </c>
      <c r="C34" s="18">
        <f>'1-Input'!$B$5+'P-Parametri'!$C$65</f>
        <v/>
      </c>
      <c r="D34" s="18">
        <f>'1-Input'!$B$5+'P-Parametri'!$C$65</f>
        <v/>
      </c>
      <c r="E34" s="18">
        <f>'1-Input'!$B$5+'P-Parametri'!$C$65</f>
        <v/>
      </c>
      <c r="F34" s="18">
        <f>'1-Input'!$B$5+'P-Parametri'!$C$65</f>
        <v/>
      </c>
      <c r="G34" s="18">
        <f>'1-Input'!$B$5+'P-Parametri'!$C$65</f>
        <v/>
      </c>
      <c r="H34" s="18">
        <f>'1-Input'!$B$5+'P-Parametri'!$C$65</f>
        <v/>
      </c>
      <c r="I34" s="18">
        <f>'1-Input'!$B$5+'P-Parametri'!$C$65</f>
        <v/>
      </c>
      <c r="J34" s="18">
        <f>'1-Input'!$B$5+'P-Parametri'!$C$65</f>
        <v/>
      </c>
      <c r="K34" s="18">
        <f>'1-Input'!$B$47</f>
        <v/>
      </c>
      <c r="L34" s="18">
        <f>'1-Input'!$B$47</f>
        <v/>
      </c>
      <c r="M34" s="18">
        <f>'1-Input'!$B$47</f>
        <v/>
      </c>
      <c r="N34" s="18">
        <f>'1-Input'!$B$47</f>
        <v/>
      </c>
      <c r="O34" s="18">
        <f>'1-Input'!$B$47</f>
        <v/>
      </c>
      <c r="P34" s="18">
        <f>'1-Input'!$B$47</f>
        <v/>
      </c>
      <c r="Q34" s="18">
        <f>'1-Input'!$B$47</f>
        <v/>
      </c>
      <c r="R34" s="18">
        <f>'1-Input'!$B$47</f>
        <v/>
      </c>
      <c r="S34" s="18">
        <f>'1-Input'!$B$47</f>
        <v/>
      </c>
    </row>
    <row r="35">
      <c r="A35" s="8" t="inlineStr">
        <is>
          <t>Rendimento lordo — accumulo</t>
        </is>
      </c>
      <c r="B35" s="19">
        <f>'1-Input'!$B$17</f>
        <v/>
      </c>
      <c r="C35" s="19">
        <f>'1-Input'!$B$17</f>
        <v/>
      </c>
      <c r="D35" s="19">
        <f>'1-Input'!$B$17</f>
        <v/>
      </c>
      <c r="E35" s="19">
        <f>'1-Input'!$B$17</f>
        <v/>
      </c>
      <c r="F35" s="19">
        <f>'1-Input'!$B$17</f>
        <v/>
      </c>
      <c r="G35" s="19">
        <f>'1-Input'!$B$17+'P-Parametri'!$B$60</f>
        <v/>
      </c>
      <c r="H35" s="19">
        <f>'P-Parametri'!$B$42*'P-Parametri'!$B$63+'P-Parametri'!$C$42*(1-'P-Parametri'!$B$63)</f>
        <v/>
      </c>
      <c r="I35" s="19">
        <f>'1-Input'!$B$17</f>
        <v/>
      </c>
      <c r="J35" s="19">
        <f>'1-Input'!$B$17</f>
        <v/>
      </c>
      <c r="K35" s="19">
        <f>'1-Input'!$B$17</f>
        <v/>
      </c>
      <c r="L35" s="19">
        <f>'1-Input'!$B$17</f>
        <v/>
      </c>
      <c r="M35" s="19">
        <f>'1-Input'!$B$17</f>
        <v/>
      </c>
      <c r="N35" s="19">
        <f>'1-Input'!$B$17</f>
        <v/>
      </c>
      <c r="O35" s="19">
        <f>'1-Input'!$B$17</f>
        <v/>
      </c>
      <c r="P35" s="19">
        <f>'1-Input'!$B$17+'P-Parametri'!$B$60</f>
        <v/>
      </c>
      <c r="Q35" s="19">
        <f>'P-Parametri'!$B$42*'P-Parametri'!$B$63+'P-Parametri'!$C$42*(1-'P-Parametri'!$B$63)</f>
        <v/>
      </c>
      <c r="R35" s="19">
        <f>'1-Input'!$B$17</f>
        <v/>
      </c>
      <c r="S35" s="19">
        <f>'1-Input'!$B$17</f>
        <v/>
      </c>
    </row>
    <row r="36">
      <c r="A36" s="8" t="inlineStr">
        <is>
          <t>Rendimento lordo — decumulo</t>
        </is>
      </c>
      <c r="B36" s="19">
        <f>'1-Input'!$B$17</f>
        <v/>
      </c>
      <c r="C36" s="19">
        <f>'1-Input'!$B$17</f>
        <v/>
      </c>
      <c r="D36" s="19">
        <f>'1-Input'!$B$17</f>
        <v/>
      </c>
      <c r="E36" s="19">
        <f>'1-Input'!$B$17</f>
        <v/>
      </c>
      <c r="F36" s="19">
        <f>'1-Input'!$B$17</f>
        <v/>
      </c>
      <c r="G36" s="19">
        <f>'1-Input'!$B$17+'P-Parametri'!$B$60</f>
        <v/>
      </c>
      <c r="H36" s="19">
        <f>'P-Parametri'!$B$42*'P-Parametri'!$B$63+'P-Parametri'!$C$42*(1-'P-Parametri'!$B$63)</f>
        <v/>
      </c>
      <c r="I36" s="19">
        <f>'1-Input'!$B$17</f>
        <v/>
      </c>
      <c r="J36" s="19">
        <f>'P-Parametri'!$B$64</f>
        <v/>
      </c>
      <c r="K36" s="19">
        <f>'1-Input'!$B$17</f>
        <v/>
      </c>
      <c r="L36" s="19">
        <f>'1-Input'!$B$17</f>
        <v/>
      </c>
      <c r="M36" s="19">
        <f>'1-Input'!$B$17</f>
        <v/>
      </c>
      <c r="N36" s="19">
        <f>'1-Input'!$B$17</f>
        <v/>
      </c>
      <c r="O36" s="19">
        <f>'1-Input'!$B$17</f>
        <v/>
      </c>
      <c r="P36" s="19">
        <f>'1-Input'!$B$17+'P-Parametri'!$B$60</f>
        <v/>
      </c>
      <c r="Q36" s="19">
        <f>'P-Parametri'!$B$42*'P-Parametri'!$B$63+'P-Parametri'!$C$42*(1-'P-Parametri'!$B$63)</f>
        <v/>
      </c>
      <c r="R36" s="19">
        <f>'1-Input'!$B$17</f>
        <v/>
      </c>
      <c r="S36" s="19">
        <f>'P-Parametri'!$B$64</f>
        <v/>
      </c>
    </row>
    <row r="37">
      <c r="A37" s="8" t="inlineStr">
        <is>
          <t>Montante di Chiara al 2026</t>
        </is>
      </c>
      <c r="B37" s="14">
        <f>'4-Montanti'!$B$9</f>
        <v/>
      </c>
      <c r="C37" s="14">
        <f>'4-Montanti'!$B$9</f>
        <v/>
      </c>
      <c r="D37" s="14">
        <f>'4-Montanti'!$B$9</f>
        <v/>
      </c>
      <c r="E37" s="14">
        <f>'4-Montanti'!$B$9</f>
        <v/>
      </c>
      <c r="F37" s="14">
        <f>'4-Montanti'!$B$9</f>
        <v/>
      </c>
      <c r="G37" s="14">
        <f>'4-Montanti'!$B$9</f>
        <v/>
      </c>
      <c r="H37" s="14">
        <f>'4-Montanti'!$B$9</f>
        <v/>
      </c>
      <c r="I37" s="14">
        <f>'4-Montanti'!$B$9</f>
        <v/>
      </c>
      <c r="J37" s="14">
        <f>'4-Montanti'!$B$9</f>
        <v/>
      </c>
      <c r="K37" s="14">
        <f>'4-Montanti'!$B$9</f>
        <v/>
      </c>
      <c r="L37" s="14">
        <f>'4-Montanti'!$B$9</f>
        <v/>
      </c>
      <c r="M37" s="14">
        <f>'4-Montanti'!$B$9</f>
        <v/>
      </c>
      <c r="N37" s="14">
        <f>'4-Montanti'!$B$9</f>
        <v/>
      </c>
      <c r="O37" s="14">
        <f>'4-Montanti'!$B$9</f>
        <v/>
      </c>
      <c r="P37" s="14">
        <f>'4-Montanti'!$B$9</f>
        <v/>
      </c>
      <c r="Q37" s="14">
        <f>'4-Montanti'!$B$9</f>
        <v/>
      </c>
      <c r="R37" s="14">
        <f>'4-Montanti'!$B$9</f>
        <v/>
      </c>
      <c r="S37" s="14">
        <f>'4-Montanti'!$B$9</f>
        <v/>
      </c>
    </row>
    <row r="38">
      <c r="A38" s="8" t="inlineStr">
        <is>
          <t>Montante del marito al 2026</t>
        </is>
      </c>
      <c r="B38" s="14">
        <f>'4-Montanti'!$C$9</f>
        <v/>
      </c>
      <c r="C38" s="14">
        <f>'4-Montanti'!$C$9</f>
        <v/>
      </c>
      <c r="D38" s="14">
        <f>'4-Montanti'!$C$9</f>
        <v/>
      </c>
      <c r="E38" s="14">
        <f>'4-Montanti'!$C$9</f>
        <v/>
      </c>
      <c r="F38" s="14">
        <f>'4-Montanti'!$C$9</f>
        <v/>
      </c>
      <c r="G38" s="14">
        <f>'4-Montanti'!$C$9</f>
        <v/>
      </c>
      <c r="H38" s="14">
        <f>'4-Montanti'!$C$9</f>
        <v/>
      </c>
      <c r="I38" s="14">
        <f>'4-Montanti'!$C$9</f>
        <v/>
      </c>
      <c r="J38" s="14">
        <f>'4-Montanti'!$C$9</f>
        <v/>
      </c>
      <c r="K38" s="14">
        <f>'4-Montanti'!$C$9</f>
        <v/>
      </c>
      <c r="L38" s="14">
        <f>'4-Montanti'!$C$9</f>
        <v/>
      </c>
      <c r="M38" s="14">
        <f>'4-Montanti'!$C$9</f>
        <v/>
      </c>
      <c r="N38" s="14">
        <f>'4-Montanti'!$C$9</f>
        <v/>
      </c>
      <c r="O38" s="14">
        <f>'4-Montanti'!$C$9</f>
        <v/>
      </c>
      <c r="P38" s="14">
        <f>'4-Montanti'!$C$9</f>
        <v/>
      </c>
      <c r="Q38" s="14">
        <f>'4-Montanti'!$C$9</f>
        <v/>
      </c>
      <c r="R38" s="14">
        <f>'4-Montanti'!$C$9</f>
        <v/>
      </c>
      <c r="S38" s="14">
        <f>'4-Montanti'!$C$9</f>
        <v/>
      </c>
    </row>
    <row r="39">
      <c r="A39" s="8" t="inlineStr">
        <is>
          <t>Coefficiente di trasformazione — Chiara</t>
        </is>
      </c>
      <c r="B39" s="21">
        <f>'P-Parametri'!$B$21</f>
        <v/>
      </c>
      <c r="C39" s="21">
        <f>'P-Parametri'!$B$21</f>
        <v/>
      </c>
      <c r="D39" s="21">
        <f>'P-Parametri'!$B$21</f>
        <v/>
      </c>
      <c r="E39" s="21">
        <f>'P-Parametri'!$B$21</f>
        <v/>
      </c>
      <c r="F39" s="21">
        <f>'P-Parametri'!$B$21</f>
        <v/>
      </c>
      <c r="G39" s="21">
        <f>'P-Parametri'!$B$21</f>
        <v/>
      </c>
      <c r="H39" s="21">
        <f>'P-Parametri'!$B$21</f>
        <v/>
      </c>
      <c r="I39" s="21">
        <f>'P-Parametri'!$B$21</f>
        <v/>
      </c>
      <c r="J39" s="21">
        <f>'P-Parametri'!$B$21</f>
        <v/>
      </c>
      <c r="K39" s="21">
        <f>'P-Parametri'!$B$21</f>
        <v/>
      </c>
      <c r="L39" s="21">
        <f>'P-Parametri'!$B$21</f>
        <v/>
      </c>
      <c r="M39" s="21">
        <f>'P-Parametri'!$B$21</f>
        <v/>
      </c>
      <c r="N39" s="21">
        <f>'P-Parametri'!$B$21</f>
        <v/>
      </c>
      <c r="O39" s="21">
        <f>'P-Parametri'!$B$21</f>
        <v/>
      </c>
      <c r="P39" s="21">
        <f>'P-Parametri'!$B$21</f>
        <v/>
      </c>
      <c r="Q39" s="21">
        <f>'P-Parametri'!$B$21</f>
        <v/>
      </c>
      <c r="R39" s="21">
        <f>'P-Parametri'!$B$21</f>
        <v/>
      </c>
      <c r="S39" s="21">
        <f>'P-Parametri'!$B$21</f>
        <v/>
      </c>
    </row>
    <row r="40">
      <c r="A40" s="8" t="inlineStr">
        <is>
          <t>Coefficiente di trasformazione — marito</t>
        </is>
      </c>
      <c r="B40" s="21">
        <f>'P-Parametri'!$B$21</f>
        <v/>
      </c>
      <c r="C40" s="21">
        <f>'P-Parametri'!$B$21</f>
        <v/>
      </c>
      <c r="D40" s="21">
        <f>'P-Parametri'!$B$21</f>
        <v/>
      </c>
      <c r="E40" s="21">
        <f>'P-Parametri'!$B$21</f>
        <v/>
      </c>
      <c r="F40" s="21">
        <f>'P-Parametri'!$B$21</f>
        <v/>
      </c>
      <c r="G40" s="21">
        <f>'P-Parametri'!$B$21</f>
        <v/>
      </c>
      <c r="H40" s="21">
        <f>'P-Parametri'!$B$21</f>
        <v/>
      </c>
      <c r="I40" s="21">
        <f>'P-Parametri'!$B$21</f>
        <v/>
      </c>
      <c r="J40" s="21">
        <f>'P-Parametri'!$B$21</f>
        <v/>
      </c>
      <c r="K40" s="21">
        <f>'P-Parametri'!$B$21</f>
        <v/>
      </c>
      <c r="L40" s="21">
        <f>'P-Parametri'!$B$21</f>
        <v/>
      </c>
      <c r="M40" s="21">
        <f>'P-Parametri'!$B$21</f>
        <v/>
      </c>
      <c r="N40" s="21">
        <f>'P-Parametri'!$B$21</f>
        <v/>
      </c>
      <c r="O40" s="21">
        <f>'P-Parametri'!$B$21</f>
        <v/>
      </c>
      <c r="P40" s="21">
        <f>'P-Parametri'!$B$21</f>
        <v/>
      </c>
      <c r="Q40" s="21">
        <f>'P-Parametri'!$B$21</f>
        <v/>
      </c>
      <c r="R40" s="21">
        <f>'P-Parametri'!$B$21</f>
        <v/>
      </c>
      <c r="S40" s="21">
        <f>'P-Parametri'!$B$21</f>
        <v/>
      </c>
    </row>
    <row r="41">
      <c r="A41" s="8" t="inlineStr">
        <is>
          <t>Anno di decorrenza base — Chiara</t>
        </is>
      </c>
      <c r="B41" s="18">
        <f>'1-Input'!$B$51</f>
        <v/>
      </c>
      <c r="C41" s="18">
        <f>'1-Input'!$B$51</f>
        <v/>
      </c>
      <c r="D41" s="18">
        <f>'1-Input'!$B$51</f>
        <v/>
      </c>
      <c r="E41" s="18">
        <f>'1-Input'!$B$51</f>
        <v/>
      </c>
      <c r="F41" s="18">
        <f>'1-Input'!$B$51</f>
        <v/>
      </c>
      <c r="G41" s="18">
        <f>'1-Input'!$B$51</f>
        <v/>
      </c>
      <c r="H41" s="18">
        <f>'1-Input'!$B$51</f>
        <v/>
      </c>
      <c r="I41" s="18">
        <f>'1-Input'!$B$51</f>
        <v/>
      </c>
      <c r="J41" s="18">
        <f>'1-Input'!$B$51</f>
        <v/>
      </c>
      <c r="K41" s="18">
        <f>'1-Input'!$B$51</f>
        <v/>
      </c>
      <c r="L41" s="18">
        <f>'1-Input'!$B$51</f>
        <v/>
      </c>
      <c r="M41" s="18">
        <f>'1-Input'!$B$51</f>
        <v/>
      </c>
      <c r="N41" s="18">
        <f>'1-Input'!$B$51</f>
        <v/>
      </c>
      <c r="O41" s="18">
        <f>'1-Input'!$B$51</f>
        <v/>
      </c>
      <c r="P41" s="18">
        <f>'1-Input'!$B$51</f>
        <v/>
      </c>
      <c r="Q41" s="18">
        <f>'1-Input'!$B$51</f>
        <v/>
      </c>
      <c r="R41" s="18">
        <f>'1-Input'!$B$51</f>
        <v/>
      </c>
      <c r="S41" s="18">
        <f>'1-Input'!$B$51</f>
        <v/>
      </c>
    </row>
    <row r="42">
      <c r="A42" s="8" t="inlineStr">
        <is>
          <t>Mese di decorrenza — Chiara</t>
        </is>
      </c>
      <c r="B42" s="18">
        <f>'1-Input'!$C$51</f>
        <v/>
      </c>
      <c r="C42" s="18">
        <f>'1-Input'!$C$51</f>
        <v/>
      </c>
      <c r="D42" s="18">
        <f>'1-Input'!$C$51</f>
        <v/>
      </c>
      <c r="E42" s="18">
        <f>'1-Input'!$C$51</f>
        <v/>
      </c>
      <c r="F42" s="18">
        <f>'1-Input'!$C$51</f>
        <v/>
      </c>
      <c r="G42" s="18">
        <f>'1-Input'!$C$51</f>
        <v/>
      </c>
      <c r="H42" s="18">
        <f>'1-Input'!$C$51</f>
        <v/>
      </c>
      <c r="I42" s="18">
        <f>'1-Input'!$C$51</f>
        <v/>
      </c>
      <c r="J42" s="18">
        <f>'1-Input'!$C$51</f>
        <v/>
      </c>
      <c r="K42" s="18">
        <f>'1-Input'!$C$51</f>
        <v/>
      </c>
      <c r="L42" s="18">
        <f>'1-Input'!$C$51</f>
        <v/>
      </c>
      <c r="M42" s="18">
        <f>'1-Input'!$C$51</f>
        <v/>
      </c>
      <c r="N42" s="18">
        <f>'1-Input'!$C$51</f>
        <v/>
      </c>
      <c r="O42" s="18">
        <f>'1-Input'!$C$51</f>
        <v/>
      </c>
      <c r="P42" s="18">
        <f>'1-Input'!$C$51</f>
        <v/>
      </c>
      <c r="Q42" s="18">
        <f>'1-Input'!$C$51</f>
        <v/>
      </c>
      <c r="R42" s="18">
        <f>'1-Input'!$C$51</f>
        <v/>
      </c>
      <c r="S42" s="18">
        <f>'1-Input'!$C$51</f>
        <v/>
      </c>
    </row>
    <row r="43">
      <c r="A43" s="8" t="inlineStr">
        <is>
          <t>Anno di decorrenza base — marito</t>
        </is>
      </c>
      <c r="B43" s="18">
        <f>'1-Input'!$B$52</f>
        <v/>
      </c>
      <c r="C43" s="18">
        <f>'1-Input'!$B$52</f>
        <v/>
      </c>
      <c r="D43" s="18">
        <f>'1-Input'!$B$52</f>
        <v/>
      </c>
      <c r="E43" s="18">
        <f>'1-Input'!$B$52</f>
        <v/>
      </c>
      <c r="F43" s="18">
        <f>'1-Input'!$B$52</f>
        <v/>
      </c>
      <c r="G43" s="18">
        <f>'1-Input'!$B$52</f>
        <v/>
      </c>
      <c r="H43" s="18">
        <f>'1-Input'!$B$52</f>
        <v/>
      </c>
      <c r="I43" s="18">
        <f>'1-Input'!$B$52</f>
        <v/>
      </c>
      <c r="J43" s="18">
        <f>'1-Input'!$B$52</f>
        <v/>
      </c>
      <c r="K43" s="18">
        <f>'1-Input'!$B$52</f>
        <v/>
      </c>
      <c r="L43" s="18">
        <f>'1-Input'!$B$52</f>
        <v/>
      </c>
      <c r="M43" s="18">
        <f>'1-Input'!$B$52</f>
        <v/>
      </c>
      <c r="N43" s="18">
        <f>'1-Input'!$B$52</f>
        <v/>
      </c>
      <c r="O43" s="18">
        <f>'1-Input'!$B$52</f>
        <v/>
      </c>
      <c r="P43" s="18">
        <f>'1-Input'!$B$52</f>
        <v/>
      </c>
      <c r="Q43" s="18">
        <f>'1-Input'!$B$52</f>
        <v/>
      </c>
      <c r="R43" s="18">
        <f>'1-Input'!$B$52</f>
        <v/>
      </c>
      <c r="S43" s="18">
        <f>'1-Input'!$B$52</f>
        <v/>
      </c>
    </row>
    <row r="44">
      <c r="A44" s="8" t="inlineStr">
        <is>
          <t>Mese di decorrenza — marito</t>
        </is>
      </c>
      <c r="B44" s="18">
        <f>'1-Input'!$C$52</f>
        <v/>
      </c>
      <c r="C44" s="18">
        <f>'1-Input'!$C$52</f>
        <v/>
      </c>
      <c r="D44" s="18">
        <f>'1-Input'!$C$52</f>
        <v/>
      </c>
      <c r="E44" s="18">
        <f>'1-Input'!$C$52</f>
        <v/>
      </c>
      <c r="F44" s="18">
        <f>'1-Input'!$C$52</f>
        <v/>
      </c>
      <c r="G44" s="18">
        <f>'1-Input'!$C$52</f>
        <v/>
      </c>
      <c r="H44" s="18">
        <f>'1-Input'!$C$52</f>
        <v/>
      </c>
      <c r="I44" s="18">
        <f>'1-Input'!$C$52</f>
        <v/>
      </c>
      <c r="J44" s="18">
        <f>'1-Input'!$C$52</f>
        <v/>
      </c>
      <c r="K44" s="18">
        <f>'1-Input'!$C$52</f>
        <v/>
      </c>
      <c r="L44" s="18">
        <f>'1-Input'!$C$52</f>
        <v/>
      </c>
      <c r="M44" s="18">
        <f>'1-Input'!$C$52</f>
        <v/>
      </c>
      <c r="N44" s="18">
        <f>'1-Input'!$C$52</f>
        <v/>
      </c>
      <c r="O44" s="18">
        <f>'1-Input'!$C$52</f>
        <v/>
      </c>
      <c r="P44" s="18">
        <f>'1-Input'!$C$52</f>
        <v/>
      </c>
      <c r="Q44" s="18">
        <f>'1-Input'!$C$52</f>
        <v/>
      </c>
      <c r="R44" s="18">
        <f>'1-Input'!$C$52</f>
        <v/>
      </c>
      <c r="S44" s="18">
        <f>'1-Input'!$C$52</f>
        <v/>
      </c>
    </row>
    <row r="45">
      <c r="A45" s="8" t="inlineStr">
        <is>
          <t>Capitale sostitutivo (0 = calcolato dal motore)</t>
        </is>
      </c>
      <c r="B45" s="15">
        <f>0</f>
        <v/>
      </c>
      <c r="C45" s="15">
        <f>0</f>
        <v/>
      </c>
      <c r="D45" s="15">
        <f>0</f>
        <v/>
      </c>
      <c r="E45" s="15">
        <f>0</f>
        <v/>
      </c>
      <c r="F45" s="15">
        <f>0</f>
        <v/>
      </c>
      <c r="G45" s="15">
        <f>0</f>
        <v/>
      </c>
      <c r="H45" s="15">
        <f>0</f>
        <v/>
      </c>
      <c r="I45" s="15">
        <f>0</f>
        <v/>
      </c>
      <c r="J45" s="15">
        <f>'10-Glide'!$B$21</f>
        <v/>
      </c>
      <c r="K45" s="15">
        <f>0</f>
        <v/>
      </c>
      <c r="L45" s="15">
        <f>0</f>
        <v/>
      </c>
      <c r="M45" s="15">
        <f>0</f>
        <v/>
      </c>
      <c r="N45" s="15">
        <f>0</f>
        <v/>
      </c>
      <c r="O45" s="15">
        <f>0</f>
        <v/>
      </c>
      <c r="P45" s="15">
        <f>0</f>
        <v/>
      </c>
      <c r="Q45" s="15">
        <f>0</f>
        <v/>
      </c>
      <c r="R45" s="15">
        <f>0</f>
        <v/>
      </c>
      <c r="S45" s="15">
        <f>'10-Glide'!$B$21</f>
        <v/>
      </c>
    </row>
    <row r="46">
      <c r="A46" s="8" t="inlineStr">
        <is>
          <t>Rendimento netto bollo — accumulo</t>
        </is>
      </c>
      <c r="B46" s="19">
        <f>B35-'1-Input'!$B$18</f>
        <v/>
      </c>
      <c r="C46" s="19">
        <f>C35-'1-Input'!$B$18</f>
        <v/>
      </c>
      <c r="D46" s="19">
        <f>D35-'1-Input'!$B$18</f>
        <v/>
      </c>
      <c r="E46" s="19">
        <f>E35-'1-Input'!$B$18</f>
        <v/>
      </c>
      <c r="F46" s="19">
        <f>F35-'1-Input'!$B$18</f>
        <v/>
      </c>
      <c r="G46" s="19">
        <f>G35-'1-Input'!$B$18</f>
        <v/>
      </c>
      <c r="H46" s="19">
        <f>H35-'1-Input'!$B$18</f>
        <v/>
      </c>
      <c r="I46" s="19">
        <f>I35-'1-Input'!$B$18</f>
        <v/>
      </c>
      <c r="J46" s="19">
        <f>J35-'1-Input'!$B$18</f>
        <v/>
      </c>
      <c r="K46" s="19">
        <f>K35-'1-Input'!$B$18</f>
        <v/>
      </c>
      <c r="L46" s="19">
        <f>L35-'1-Input'!$B$18</f>
        <v/>
      </c>
      <c r="M46" s="19">
        <f>M35-'1-Input'!$B$18</f>
        <v/>
      </c>
      <c r="N46" s="19">
        <f>N35-'1-Input'!$B$18</f>
        <v/>
      </c>
      <c r="O46" s="19">
        <f>O35-'1-Input'!$B$18</f>
        <v/>
      </c>
      <c r="P46" s="19">
        <f>P35-'1-Input'!$B$18</f>
        <v/>
      </c>
      <c r="Q46" s="19">
        <f>Q35-'1-Input'!$B$18</f>
        <v/>
      </c>
      <c r="R46" s="19">
        <f>R35-'1-Input'!$B$18</f>
        <v/>
      </c>
      <c r="S46" s="19">
        <f>S35-'1-Input'!$B$18</f>
        <v/>
      </c>
    </row>
    <row r="47">
      <c r="A47" s="8" t="inlineStr">
        <is>
          <t>Rendimento netto bollo — decumulo</t>
        </is>
      </c>
      <c r="B47" s="19">
        <f>B36-'1-Input'!$B$18</f>
        <v/>
      </c>
      <c r="C47" s="19">
        <f>C36-'1-Input'!$B$18</f>
        <v/>
      </c>
      <c r="D47" s="19">
        <f>D36-'1-Input'!$B$18</f>
        <v/>
      </c>
      <c r="E47" s="19">
        <f>E36-'1-Input'!$B$18</f>
        <v/>
      </c>
      <c r="F47" s="19">
        <f>F36-'1-Input'!$B$18</f>
        <v/>
      </c>
      <c r="G47" s="19">
        <f>G36-'1-Input'!$B$18</f>
        <v/>
      </c>
      <c r="H47" s="19">
        <f>H36-'1-Input'!$B$18</f>
        <v/>
      </c>
      <c r="I47" s="19">
        <f>I36-'1-Input'!$B$18</f>
        <v/>
      </c>
      <c r="J47" s="19">
        <f>J36-'1-Input'!$B$18</f>
        <v/>
      </c>
      <c r="K47" s="19">
        <f>K36-'1-Input'!$B$18</f>
        <v/>
      </c>
      <c r="L47" s="19">
        <f>L36-'1-Input'!$B$18</f>
        <v/>
      </c>
      <c r="M47" s="19">
        <f>M36-'1-Input'!$B$18</f>
        <v/>
      </c>
      <c r="N47" s="19">
        <f>N36-'1-Input'!$B$18</f>
        <v/>
      </c>
      <c r="O47" s="19">
        <f>O36-'1-Input'!$B$18</f>
        <v/>
      </c>
      <c r="P47" s="19">
        <f>P36-'1-Input'!$B$18</f>
        <v/>
      </c>
      <c r="Q47" s="19">
        <f>Q36-'1-Input'!$B$18</f>
        <v/>
      </c>
      <c r="R47" s="19">
        <f>R36-'1-Input'!$B$18</f>
        <v/>
      </c>
      <c r="S47" s="19">
        <f>S36-'1-Input'!$B$18</f>
        <v/>
      </c>
    </row>
    <row r="48">
      <c r="A48" s="8" t="inlineStr">
        <is>
          <t>Anno di valutazione</t>
        </is>
      </c>
      <c r="B48" s="18">
        <f>'1-Input'!$B$19+B31</f>
        <v/>
      </c>
      <c r="C48" s="18">
        <f>'1-Input'!$B$19+C31</f>
        <v/>
      </c>
      <c r="D48" s="18">
        <f>'1-Input'!$B$19+D31</f>
        <v/>
      </c>
      <c r="E48" s="18">
        <f>'1-Input'!$B$19+E31</f>
        <v/>
      </c>
      <c r="F48" s="18">
        <f>'1-Input'!$B$19+F31</f>
        <v/>
      </c>
      <c r="G48" s="18">
        <f>'1-Input'!$B$19+G31</f>
        <v/>
      </c>
      <c r="H48" s="18">
        <f>'1-Input'!$B$19+H31</f>
        <v/>
      </c>
      <c r="I48" s="18">
        <f>'1-Input'!$B$19+I31</f>
        <v/>
      </c>
      <c r="J48" s="18">
        <f>'1-Input'!$B$19+J31</f>
        <v/>
      </c>
      <c r="K48" s="18">
        <f>'1-Input'!$B$19+K31</f>
        <v/>
      </c>
      <c r="L48" s="18">
        <f>'1-Input'!$B$19+L31</f>
        <v/>
      </c>
      <c r="M48" s="18">
        <f>'1-Input'!$B$19+M31</f>
        <v/>
      </c>
      <c r="N48" s="18">
        <f>'1-Input'!$B$19+N31</f>
        <v/>
      </c>
      <c r="O48" s="18">
        <f>'1-Input'!$B$19+O31</f>
        <v/>
      </c>
      <c r="P48" s="18">
        <f>'1-Input'!$B$19+P31</f>
        <v/>
      </c>
      <c r="Q48" s="18">
        <f>'1-Input'!$B$19+Q31</f>
        <v/>
      </c>
      <c r="R48" s="18">
        <f>'1-Input'!$B$19+R31</f>
        <v/>
      </c>
      <c r="S48" s="18">
        <f>'1-Input'!$B$19+S31</f>
        <v/>
      </c>
    </row>
    <row r="49">
      <c r="A49" s="8" t="inlineStr">
        <is>
          <t>Anni di contribuzione dopo il 2026</t>
        </is>
      </c>
      <c r="B49" s="18">
        <f>'1-Input'!$B$19-'1-Input'!$C$16+B31</f>
        <v/>
      </c>
      <c r="C49" s="18">
        <f>'1-Input'!$B$19-'1-Input'!$C$16+C31</f>
        <v/>
      </c>
      <c r="D49" s="18">
        <f>'1-Input'!$B$19-'1-Input'!$C$16+D31</f>
        <v/>
      </c>
      <c r="E49" s="18">
        <f>'1-Input'!$B$19-'1-Input'!$C$16+E31</f>
        <v/>
      </c>
      <c r="F49" s="18">
        <f>'1-Input'!$B$19-'1-Input'!$C$16+F31</f>
        <v/>
      </c>
      <c r="G49" s="18">
        <f>'1-Input'!$B$19-'1-Input'!$C$16+G31</f>
        <v/>
      </c>
      <c r="H49" s="18">
        <f>'1-Input'!$B$19-'1-Input'!$C$16+H31</f>
        <v/>
      </c>
      <c r="I49" s="18">
        <f>'1-Input'!$B$19-'1-Input'!$C$16+I31</f>
        <v/>
      </c>
      <c r="J49" s="18">
        <f>'1-Input'!$B$19-'1-Input'!$C$16+J31</f>
        <v/>
      </c>
      <c r="K49" s="18">
        <f>'1-Input'!$B$19-'1-Input'!$C$16+K31</f>
        <v/>
      </c>
      <c r="L49" s="18">
        <f>'1-Input'!$B$19-'1-Input'!$C$16+L31</f>
        <v/>
      </c>
      <c r="M49" s="18">
        <f>'1-Input'!$B$19-'1-Input'!$C$16+M31</f>
        <v/>
      </c>
      <c r="N49" s="18">
        <f>'1-Input'!$B$19-'1-Input'!$C$16+N31</f>
        <v/>
      </c>
      <c r="O49" s="18">
        <f>'1-Input'!$B$19-'1-Input'!$C$16+O31</f>
        <v/>
      </c>
      <c r="P49" s="18">
        <f>'1-Input'!$B$19-'1-Input'!$C$16+P31</f>
        <v/>
      </c>
      <c r="Q49" s="18">
        <f>'1-Input'!$B$19-'1-Input'!$C$16+Q31</f>
        <v/>
      </c>
      <c r="R49" s="18">
        <f>'1-Input'!$B$19-'1-Input'!$C$16+R31</f>
        <v/>
      </c>
      <c r="S49" s="18">
        <f>'1-Input'!$B$19-'1-Input'!$C$16+S31</f>
        <v/>
      </c>
    </row>
    <row r="50">
      <c r="A50" s="8" t="inlineStr">
        <is>
          <t>Anno di decorrenza effettivo — Chiara</t>
        </is>
      </c>
      <c r="B50" s="18">
        <f>B41+B32</f>
        <v/>
      </c>
      <c r="C50" s="18">
        <f>C41+C32</f>
        <v/>
      </c>
      <c r="D50" s="18">
        <f>D41+D32</f>
        <v/>
      </c>
      <c r="E50" s="18">
        <f>E41+E32</f>
        <v/>
      </c>
      <c r="F50" s="18">
        <f>F41+F32</f>
        <v/>
      </c>
      <c r="G50" s="18">
        <f>G41+G32</f>
        <v/>
      </c>
      <c r="H50" s="18">
        <f>H41+H32</f>
        <v/>
      </c>
      <c r="I50" s="18">
        <f>I41+I32</f>
        <v/>
      </c>
      <c r="J50" s="18">
        <f>J41+J32</f>
        <v/>
      </c>
      <c r="K50" s="18">
        <f>K41+K32</f>
        <v/>
      </c>
      <c r="L50" s="18">
        <f>L41+L32</f>
        <v/>
      </c>
      <c r="M50" s="18">
        <f>M41+M32</f>
        <v/>
      </c>
      <c r="N50" s="18">
        <f>N41+N32</f>
        <v/>
      </c>
      <c r="O50" s="18">
        <f>O41+O32</f>
        <v/>
      </c>
      <c r="P50" s="18">
        <f>P41+P32</f>
        <v/>
      </c>
      <c r="Q50" s="18">
        <f>Q41+Q32</f>
        <v/>
      </c>
      <c r="R50" s="18">
        <f>R41+R32</f>
        <v/>
      </c>
      <c r="S50" s="18">
        <f>S41+S32</f>
        <v/>
      </c>
    </row>
    <row r="51">
      <c r="A51" s="8" t="inlineStr">
        <is>
          <t>Anno di decorrenza effettivo — marito</t>
        </is>
      </c>
      <c r="B51" s="18">
        <f>B43+B32</f>
        <v/>
      </c>
      <c r="C51" s="18">
        <f>C43+C32</f>
        <v/>
      </c>
      <c r="D51" s="18">
        <f>D43+D32</f>
        <v/>
      </c>
      <c r="E51" s="18">
        <f>E43+E32</f>
        <v/>
      </c>
      <c r="F51" s="18">
        <f>F43+F32</f>
        <v/>
      </c>
      <c r="G51" s="18">
        <f>G43+G32</f>
        <v/>
      </c>
      <c r="H51" s="18">
        <f>H43+H32</f>
        <v/>
      </c>
      <c r="I51" s="18">
        <f>I43+I32</f>
        <v/>
      </c>
      <c r="J51" s="18">
        <f>J43+J32</f>
        <v/>
      </c>
      <c r="K51" s="18">
        <f>K43+K32</f>
        <v/>
      </c>
      <c r="L51" s="18">
        <f>L43+L32</f>
        <v/>
      </c>
      <c r="M51" s="18">
        <f>M43+M32</f>
        <v/>
      </c>
      <c r="N51" s="18">
        <f>N43+N32</f>
        <v/>
      </c>
      <c r="O51" s="18">
        <f>O43+O32</f>
        <v/>
      </c>
      <c r="P51" s="18">
        <f>P43+P32</f>
        <v/>
      </c>
      <c r="Q51" s="18">
        <f>Q43+Q32</f>
        <v/>
      </c>
      <c r="R51" s="18">
        <f>R43+R32</f>
        <v/>
      </c>
      <c r="S51" s="18">
        <f>S43+S32</f>
        <v/>
      </c>
    </row>
    <row r="52">
      <c r="A52" s="8" t="inlineStr">
        <is>
          <t>Anni di sola rivalutazione — Chiara</t>
        </is>
      </c>
      <c r="B52" s="28">
        <f>B50-('1-Input'!$C$16+1)+(B42-1)/12-B49</f>
        <v/>
      </c>
      <c r="C52" s="28">
        <f>C50-('1-Input'!$C$16+1)+(C42-1)/12-C49</f>
        <v/>
      </c>
      <c r="D52" s="28">
        <f>D50-('1-Input'!$C$16+1)+(D42-1)/12-D49</f>
        <v/>
      </c>
      <c r="E52" s="28">
        <f>E50-('1-Input'!$C$16+1)+(E42-1)/12-E49</f>
        <v/>
      </c>
      <c r="F52" s="28">
        <f>F50-('1-Input'!$C$16+1)+(F42-1)/12-F49</f>
        <v/>
      </c>
      <c r="G52" s="28">
        <f>G50-('1-Input'!$C$16+1)+(G42-1)/12-G49</f>
        <v/>
      </c>
      <c r="H52" s="28">
        <f>H50-('1-Input'!$C$16+1)+(H42-1)/12-H49</f>
        <v/>
      </c>
      <c r="I52" s="28">
        <f>I50-('1-Input'!$C$16+1)+(I42-1)/12-I49</f>
        <v/>
      </c>
      <c r="J52" s="28">
        <f>J50-('1-Input'!$C$16+1)+(J42-1)/12-J49</f>
        <v/>
      </c>
      <c r="K52" s="28">
        <f>K50-('1-Input'!$C$16+1)+(K42-1)/12-K49</f>
        <v/>
      </c>
      <c r="L52" s="28">
        <f>L50-('1-Input'!$C$16+1)+(L42-1)/12-L49</f>
        <v/>
      </c>
      <c r="M52" s="28">
        <f>M50-('1-Input'!$C$16+1)+(M42-1)/12-M49</f>
        <v/>
      </c>
      <c r="N52" s="28">
        <f>N50-('1-Input'!$C$16+1)+(N42-1)/12-N49</f>
        <v/>
      </c>
      <c r="O52" s="28">
        <f>O50-('1-Input'!$C$16+1)+(O42-1)/12-O49</f>
        <v/>
      </c>
      <c r="P52" s="28">
        <f>P50-('1-Input'!$C$16+1)+(P42-1)/12-P49</f>
        <v/>
      </c>
      <c r="Q52" s="28">
        <f>Q50-('1-Input'!$C$16+1)+(Q42-1)/12-Q49</f>
        <v/>
      </c>
      <c r="R52" s="28">
        <f>R50-('1-Input'!$C$16+1)+(R42-1)/12-R49</f>
        <v/>
      </c>
      <c r="S52" s="28">
        <f>S50-('1-Input'!$C$16+1)+(S42-1)/12-S49</f>
        <v/>
      </c>
    </row>
    <row r="53">
      <c r="A53" s="8" t="inlineStr">
        <is>
          <t>Anni di sola rivalutazione — marito</t>
        </is>
      </c>
      <c r="B53" s="28">
        <f>B51-('1-Input'!$C$16+1)+(B44-1)/12-B49</f>
        <v/>
      </c>
      <c r="C53" s="28">
        <f>C51-('1-Input'!$C$16+1)+(C44-1)/12-C49</f>
        <v/>
      </c>
      <c r="D53" s="28">
        <f>D51-('1-Input'!$C$16+1)+(D44-1)/12-D49</f>
        <v/>
      </c>
      <c r="E53" s="28">
        <f>E51-('1-Input'!$C$16+1)+(E44-1)/12-E49</f>
        <v/>
      </c>
      <c r="F53" s="28">
        <f>F51-('1-Input'!$C$16+1)+(F44-1)/12-F49</f>
        <v/>
      </c>
      <c r="G53" s="28">
        <f>G51-('1-Input'!$C$16+1)+(G44-1)/12-G49</f>
        <v/>
      </c>
      <c r="H53" s="28">
        <f>H51-('1-Input'!$C$16+1)+(H44-1)/12-H49</f>
        <v/>
      </c>
      <c r="I53" s="28">
        <f>I51-('1-Input'!$C$16+1)+(I44-1)/12-I49</f>
        <v/>
      </c>
      <c r="J53" s="28">
        <f>J51-('1-Input'!$C$16+1)+(J44-1)/12-J49</f>
        <v/>
      </c>
      <c r="K53" s="28">
        <f>K51-('1-Input'!$C$16+1)+(K44-1)/12-K49</f>
        <v/>
      </c>
      <c r="L53" s="28">
        <f>L51-('1-Input'!$C$16+1)+(L44-1)/12-L49</f>
        <v/>
      </c>
      <c r="M53" s="28">
        <f>M51-('1-Input'!$C$16+1)+(M44-1)/12-M49</f>
        <v/>
      </c>
      <c r="N53" s="28">
        <f>N51-('1-Input'!$C$16+1)+(N44-1)/12-N49</f>
        <v/>
      </c>
      <c r="O53" s="28">
        <f>O51-('1-Input'!$C$16+1)+(O44-1)/12-O49</f>
        <v/>
      </c>
      <c r="P53" s="28">
        <f>P51-('1-Input'!$C$16+1)+(P44-1)/12-P49</f>
        <v/>
      </c>
      <c r="Q53" s="28">
        <f>Q51-('1-Input'!$C$16+1)+(Q44-1)/12-Q49</f>
        <v/>
      </c>
      <c r="R53" s="28">
        <f>R51-('1-Input'!$C$16+1)+(R44-1)/12-R49</f>
        <v/>
      </c>
      <c r="S53" s="28">
        <f>S51-('1-Input'!$C$16+1)+(S44-1)/12-S49</f>
        <v/>
      </c>
    </row>
    <row r="54">
      <c r="A54" s="8" t="inlineStr">
        <is>
          <t>Frazione della prima annualita' — Chiara</t>
        </is>
      </c>
      <c r="B54" s="20">
        <f>IF(B42=1,1,'P-Parametri'!$B$59)</f>
        <v/>
      </c>
      <c r="C54" s="20">
        <f>IF(C42=1,1,'P-Parametri'!$B$59)</f>
        <v/>
      </c>
      <c r="D54" s="20">
        <f>IF(D42=1,1,'P-Parametri'!$B$59)</f>
        <v/>
      </c>
      <c r="E54" s="20">
        <f>IF(E42=1,1,'P-Parametri'!$B$59)</f>
        <v/>
      </c>
      <c r="F54" s="20">
        <f>IF(F42=1,1,'P-Parametri'!$B$59)</f>
        <v/>
      </c>
      <c r="G54" s="20">
        <f>IF(G42=1,1,'P-Parametri'!$B$59)</f>
        <v/>
      </c>
      <c r="H54" s="20">
        <f>IF(H42=1,1,'P-Parametri'!$B$59)</f>
        <v/>
      </c>
      <c r="I54" s="20">
        <f>IF(I42=1,1,'P-Parametri'!$B$59)</f>
        <v/>
      </c>
      <c r="J54" s="20">
        <f>IF(J42=1,1,'P-Parametri'!$B$59)</f>
        <v/>
      </c>
      <c r="K54" s="20">
        <f>IF(K42=1,1,'P-Parametri'!$B$59)</f>
        <v/>
      </c>
      <c r="L54" s="20">
        <f>IF(L42=1,1,'P-Parametri'!$B$59)</f>
        <v/>
      </c>
      <c r="M54" s="20">
        <f>IF(M42=1,1,'P-Parametri'!$B$59)</f>
        <v/>
      </c>
      <c r="N54" s="20">
        <f>IF(N42=1,1,'P-Parametri'!$B$59)</f>
        <v/>
      </c>
      <c r="O54" s="20">
        <f>IF(O42=1,1,'P-Parametri'!$B$59)</f>
        <v/>
      </c>
      <c r="P54" s="20">
        <f>IF(P42=1,1,'P-Parametri'!$B$59)</f>
        <v/>
      </c>
      <c r="Q54" s="20">
        <f>IF(Q42=1,1,'P-Parametri'!$B$59)</f>
        <v/>
      </c>
      <c r="R54" s="20">
        <f>IF(R42=1,1,'P-Parametri'!$B$59)</f>
        <v/>
      </c>
      <c r="S54" s="20">
        <f>IF(S42=1,1,'P-Parametri'!$B$59)</f>
        <v/>
      </c>
    </row>
    <row r="55">
      <c r="A55" s="8" t="inlineStr">
        <is>
          <t>Frazione della prima annualita' — marito</t>
        </is>
      </c>
      <c r="B55" s="20">
        <f>IF(B44=1,1,'P-Parametri'!$B$59)</f>
        <v/>
      </c>
      <c r="C55" s="20">
        <f>IF(C44=1,1,'P-Parametri'!$B$59)</f>
        <v/>
      </c>
      <c r="D55" s="20">
        <f>IF(D44=1,1,'P-Parametri'!$B$59)</f>
        <v/>
      </c>
      <c r="E55" s="20">
        <f>IF(E44=1,1,'P-Parametri'!$B$59)</f>
        <v/>
      </c>
      <c r="F55" s="20">
        <f>IF(F44=1,1,'P-Parametri'!$B$59)</f>
        <v/>
      </c>
      <c r="G55" s="20">
        <f>IF(G44=1,1,'P-Parametri'!$B$59)</f>
        <v/>
      </c>
      <c r="H55" s="20">
        <f>IF(H44=1,1,'P-Parametri'!$B$59)</f>
        <v/>
      </c>
      <c r="I55" s="20">
        <f>IF(I44=1,1,'P-Parametri'!$B$59)</f>
        <v/>
      </c>
      <c r="J55" s="20">
        <f>IF(J44=1,1,'P-Parametri'!$B$59)</f>
        <v/>
      </c>
      <c r="K55" s="20">
        <f>IF(K44=1,1,'P-Parametri'!$B$59)</f>
        <v/>
      </c>
      <c r="L55" s="20">
        <f>IF(L44=1,1,'P-Parametri'!$B$59)</f>
        <v/>
      </c>
      <c r="M55" s="20">
        <f>IF(M44=1,1,'P-Parametri'!$B$59)</f>
        <v/>
      </c>
      <c r="N55" s="20">
        <f>IF(N44=1,1,'P-Parametri'!$B$59)</f>
        <v/>
      </c>
      <c r="O55" s="20">
        <f>IF(O44=1,1,'P-Parametri'!$B$59)</f>
        <v/>
      </c>
      <c r="P55" s="20">
        <f>IF(P44=1,1,'P-Parametri'!$B$59)</f>
        <v/>
      </c>
      <c r="Q55" s="20">
        <f>IF(Q44=1,1,'P-Parametri'!$B$59)</f>
        <v/>
      </c>
      <c r="R55" s="20">
        <f>IF(R44=1,1,'P-Parametri'!$B$59)</f>
        <v/>
      </c>
      <c r="S55" s="20">
        <f>IF(S44=1,1,'P-Parametri'!$B$59)</f>
        <v/>
      </c>
    </row>
    <row r="56">
      <c r="A56" s="8" t="inlineStr">
        <is>
          <t>Montante alla decorrenza — Chiara</t>
        </is>
      </c>
      <c r="B56" s="14">
        <f>(B37*(1+'1-Input'!$B$21)^B49+'1-Input'!$B$48*(IF('1-Input'!$B$21=0,B49,((1+'1-Input'!$B$21)^B49-1)/'1-Input'!$B$21)))*(1+'1-Input'!$B$21)^B52</f>
        <v/>
      </c>
      <c r="C56" s="14">
        <f>(C37*(1+'1-Input'!$B$21)^C49+'1-Input'!$B$48*(IF('1-Input'!$B$21=0,C49,((1+'1-Input'!$B$21)^C49-1)/'1-Input'!$B$21)))*(1+'1-Input'!$B$21)^C52</f>
        <v/>
      </c>
      <c r="D56" s="14">
        <f>(D37*(1+'1-Input'!$B$21)^D49+'1-Input'!$B$48*(IF('1-Input'!$B$21=0,D49,((1+'1-Input'!$B$21)^D49-1)/'1-Input'!$B$21)))*(1+'1-Input'!$B$21)^D52</f>
        <v/>
      </c>
      <c r="E56" s="14">
        <f>(E37*(1+'1-Input'!$B$21)^E49+'1-Input'!$B$48*(IF('1-Input'!$B$21=0,E49,((1+'1-Input'!$B$21)^E49-1)/'1-Input'!$B$21)))*(1+'1-Input'!$B$21)^E52</f>
        <v/>
      </c>
      <c r="F56" s="14">
        <f>(F37*(1+'1-Input'!$B$21)^F49+'1-Input'!$B$48*(IF('1-Input'!$B$21=0,F49,((1+'1-Input'!$B$21)^F49-1)/'1-Input'!$B$21)))*(1+'1-Input'!$B$21)^F52</f>
        <v/>
      </c>
      <c r="G56" s="14">
        <f>(G37*(1+'1-Input'!$B$21)^G49+'1-Input'!$B$48*(IF('1-Input'!$B$21=0,G49,((1+'1-Input'!$B$21)^G49-1)/'1-Input'!$B$21)))*(1+'1-Input'!$B$21)^G52</f>
        <v/>
      </c>
      <c r="H56" s="14">
        <f>(H37*(1+'1-Input'!$B$21)^H49+'1-Input'!$B$48*(IF('1-Input'!$B$21=0,H49,((1+'1-Input'!$B$21)^H49-1)/'1-Input'!$B$21)))*(1+'1-Input'!$B$21)^H52</f>
        <v/>
      </c>
      <c r="I56" s="14">
        <f>(I37*(1+'1-Input'!$B$21)^I49+'1-Input'!$B$48*(IF('1-Input'!$B$21=0,I49,((1+'1-Input'!$B$21)^I49-1)/'1-Input'!$B$21)))*(1+'1-Input'!$B$21)^I52</f>
        <v/>
      </c>
      <c r="J56" s="14">
        <f>(J37*(1+'1-Input'!$B$21)^J49+'1-Input'!$B$48*(IF('1-Input'!$B$21=0,J49,((1+'1-Input'!$B$21)^J49-1)/'1-Input'!$B$21)))*(1+'1-Input'!$B$21)^J52</f>
        <v/>
      </c>
      <c r="K56" s="14">
        <f>(K37*(1+'1-Input'!$B$21)^K49+'1-Input'!$B$48*(IF('1-Input'!$B$21=0,K49,((1+'1-Input'!$B$21)^K49-1)/'1-Input'!$B$21)))*(1+'1-Input'!$B$21)^K52</f>
        <v/>
      </c>
      <c r="L56" s="14">
        <f>(L37*(1+'1-Input'!$B$21)^L49+'1-Input'!$B$48*(IF('1-Input'!$B$21=0,L49,((1+'1-Input'!$B$21)^L49-1)/'1-Input'!$B$21)))*(1+'1-Input'!$B$21)^L52</f>
        <v/>
      </c>
      <c r="M56" s="14">
        <f>(M37*(1+'1-Input'!$B$21)^M49+'1-Input'!$B$48*(IF('1-Input'!$B$21=0,M49,((1+'1-Input'!$B$21)^M49-1)/'1-Input'!$B$21)))*(1+'1-Input'!$B$21)^M52</f>
        <v/>
      </c>
      <c r="N56" s="14">
        <f>(N37*(1+'1-Input'!$B$21)^N49+'1-Input'!$B$48*(IF('1-Input'!$B$21=0,N49,((1+'1-Input'!$B$21)^N49-1)/'1-Input'!$B$21)))*(1+'1-Input'!$B$21)^N52</f>
        <v/>
      </c>
      <c r="O56" s="14">
        <f>(O37*(1+'1-Input'!$B$21)^O49+'1-Input'!$B$48*(IF('1-Input'!$B$21=0,O49,((1+'1-Input'!$B$21)^O49-1)/'1-Input'!$B$21)))*(1+'1-Input'!$B$21)^O52</f>
        <v/>
      </c>
      <c r="P56" s="14">
        <f>(P37*(1+'1-Input'!$B$21)^P49+'1-Input'!$B$48*(IF('1-Input'!$B$21=0,P49,((1+'1-Input'!$B$21)^P49-1)/'1-Input'!$B$21)))*(1+'1-Input'!$B$21)^P52</f>
        <v/>
      </c>
      <c r="Q56" s="14">
        <f>(Q37*(1+'1-Input'!$B$21)^Q49+'1-Input'!$B$48*(IF('1-Input'!$B$21=0,Q49,((1+'1-Input'!$B$21)^Q49-1)/'1-Input'!$B$21)))*(1+'1-Input'!$B$21)^Q52</f>
        <v/>
      </c>
      <c r="R56" s="14">
        <f>(R37*(1+'1-Input'!$B$21)^R49+'1-Input'!$B$48*(IF('1-Input'!$B$21=0,R49,((1+'1-Input'!$B$21)^R49-1)/'1-Input'!$B$21)))*(1+'1-Input'!$B$21)^R52</f>
        <v/>
      </c>
      <c r="S56" s="14">
        <f>(S37*(1+'1-Input'!$B$21)^S49+'1-Input'!$B$48*(IF('1-Input'!$B$21=0,S49,((1+'1-Input'!$B$21)^S49-1)/'1-Input'!$B$21)))*(1+'1-Input'!$B$21)^S52</f>
        <v/>
      </c>
    </row>
    <row r="57">
      <c r="A57" s="8" t="inlineStr">
        <is>
          <t>Montante alla decorrenza — marito</t>
        </is>
      </c>
      <c r="B57" s="14">
        <f>(B38*(1+'1-Input'!$B$21)^B49+'1-Input'!$C$48*(IF('1-Input'!$B$21=0,B49,((1+'1-Input'!$B$21)^B49-1)/'1-Input'!$B$21)))*(1+'1-Input'!$B$21)^B53</f>
        <v/>
      </c>
      <c r="C57" s="14">
        <f>(C38*(1+'1-Input'!$B$21)^C49+'1-Input'!$C$48*(IF('1-Input'!$B$21=0,C49,((1+'1-Input'!$B$21)^C49-1)/'1-Input'!$B$21)))*(1+'1-Input'!$B$21)^C53</f>
        <v/>
      </c>
      <c r="D57" s="14">
        <f>(D38*(1+'1-Input'!$B$21)^D49+'1-Input'!$C$48*(IF('1-Input'!$B$21=0,D49,((1+'1-Input'!$B$21)^D49-1)/'1-Input'!$B$21)))*(1+'1-Input'!$B$21)^D53</f>
        <v/>
      </c>
      <c r="E57" s="14">
        <f>(E38*(1+'1-Input'!$B$21)^E49+'1-Input'!$C$48*(IF('1-Input'!$B$21=0,E49,((1+'1-Input'!$B$21)^E49-1)/'1-Input'!$B$21)))*(1+'1-Input'!$B$21)^E53</f>
        <v/>
      </c>
      <c r="F57" s="14">
        <f>(F38*(1+'1-Input'!$B$21)^F49+'1-Input'!$C$48*(IF('1-Input'!$B$21=0,F49,((1+'1-Input'!$B$21)^F49-1)/'1-Input'!$B$21)))*(1+'1-Input'!$B$21)^F53</f>
        <v/>
      </c>
      <c r="G57" s="14">
        <f>(G38*(1+'1-Input'!$B$21)^G49+'1-Input'!$C$48*(IF('1-Input'!$B$21=0,G49,((1+'1-Input'!$B$21)^G49-1)/'1-Input'!$B$21)))*(1+'1-Input'!$B$21)^G53</f>
        <v/>
      </c>
      <c r="H57" s="14">
        <f>(H38*(1+'1-Input'!$B$21)^H49+'1-Input'!$C$48*(IF('1-Input'!$B$21=0,H49,((1+'1-Input'!$B$21)^H49-1)/'1-Input'!$B$21)))*(1+'1-Input'!$B$21)^H53</f>
        <v/>
      </c>
      <c r="I57" s="14">
        <f>(I38*(1+'1-Input'!$B$21)^I49+'1-Input'!$C$48*(IF('1-Input'!$B$21=0,I49,((1+'1-Input'!$B$21)^I49-1)/'1-Input'!$B$21)))*(1+'1-Input'!$B$21)^I53</f>
        <v/>
      </c>
      <c r="J57" s="14">
        <f>(J38*(1+'1-Input'!$B$21)^J49+'1-Input'!$C$48*(IF('1-Input'!$B$21=0,J49,((1+'1-Input'!$B$21)^J49-1)/'1-Input'!$B$21)))*(1+'1-Input'!$B$21)^J53</f>
        <v/>
      </c>
      <c r="K57" s="14">
        <f>(K38*(1+'1-Input'!$B$21)^K49+'1-Input'!$C$48*(IF('1-Input'!$B$21=0,K49,((1+'1-Input'!$B$21)^K49-1)/'1-Input'!$B$21)))*(1+'1-Input'!$B$21)^K53</f>
        <v/>
      </c>
      <c r="L57" s="14">
        <f>(L38*(1+'1-Input'!$B$21)^L49+'1-Input'!$C$48*(IF('1-Input'!$B$21=0,L49,((1+'1-Input'!$B$21)^L49-1)/'1-Input'!$B$21)))*(1+'1-Input'!$B$21)^L53</f>
        <v/>
      </c>
      <c r="M57" s="14">
        <f>(M38*(1+'1-Input'!$B$21)^M49+'1-Input'!$C$48*(IF('1-Input'!$B$21=0,M49,((1+'1-Input'!$B$21)^M49-1)/'1-Input'!$B$21)))*(1+'1-Input'!$B$21)^M53</f>
        <v/>
      </c>
      <c r="N57" s="14">
        <f>(N38*(1+'1-Input'!$B$21)^N49+'1-Input'!$C$48*(IF('1-Input'!$B$21=0,N49,((1+'1-Input'!$B$21)^N49-1)/'1-Input'!$B$21)))*(1+'1-Input'!$B$21)^N53</f>
        <v/>
      </c>
      <c r="O57" s="14">
        <f>(O38*(1+'1-Input'!$B$21)^O49+'1-Input'!$C$48*(IF('1-Input'!$B$21=0,O49,((1+'1-Input'!$B$21)^O49-1)/'1-Input'!$B$21)))*(1+'1-Input'!$B$21)^O53</f>
        <v/>
      </c>
      <c r="P57" s="14">
        <f>(P38*(1+'1-Input'!$B$21)^P49+'1-Input'!$C$48*(IF('1-Input'!$B$21=0,P49,((1+'1-Input'!$B$21)^P49-1)/'1-Input'!$B$21)))*(1+'1-Input'!$B$21)^P53</f>
        <v/>
      </c>
      <c r="Q57" s="14">
        <f>(Q38*(1+'1-Input'!$B$21)^Q49+'1-Input'!$C$48*(IF('1-Input'!$B$21=0,Q49,((1+'1-Input'!$B$21)^Q49-1)/'1-Input'!$B$21)))*(1+'1-Input'!$B$21)^Q53</f>
        <v/>
      </c>
      <c r="R57" s="14">
        <f>(R38*(1+'1-Input'!$B$21)^R49+'1-Input'!$C$48*(IF('1-Input'!$B$21=0,R49,((1+'1-Input'!$B$21)^R49-1)/'1-Input'!$B$21)))*(1+'1-Input'!$B$21)^R53</f>
        <v/>
      </c>
      <c r="S57" s="14">
        <f>(S38*(1+'1-Input'!$B$21)^S49+'1-Input'!$C$48*(IF('1-Input'!$B$21=0,S49,((1+'1-Input'!$B$21)^S49-1)/'1-Input'!$B$21)))*(1+'1-Input'!$B$21)^S53</f>
        <v/>
      </c>
    </row>
    <row r="58">
      <c r="A58" s="8" t="inlineStr">
        <is>
          <t>Pensione lorda — Chiara</t>
        </is>
      </c>
      <c r="B58" s="14">
        <f>B56*B39*B33</f>
        <v/>
      </c>
      <c r="C58" s="14">
        <f>C56*C39*C33</f>
        <v/>
      </c>
      <c r="D58" s="14">
        <f>D56*D39*D33</f>
        <v/>
      </c>
      <c r="E58" s="14">
        <f>E56*E39*E33</f>
        <v/>
      </c>
      <c r="F58" s="14">
        <f>F56*F39*F33</f>
        <v/>
      </c>
      <c r="G58" s="14">
        <f>G56*G39*G33</f>
        <v/>
      </c>
      <c r="H58" s="14">
        <f>H56*H39*H33</f>
        <v/>
      </c>
      <c r="I58" s="14">
        <f>I56*I39*I33</f>
        <v/>
      </c>
      <c r="J58" s="14">
        <f>J56*J39*J33</f>
        <v/>
      </c>
      <c r="K58" s="14">
        <f>K56*K39*K33</f>
        <v/>
      </c>
      <c r="L58" s="14">
        <f>L56*L39*L33</f>
        <v/>
      </c>
      <c r="M58" s="14">
        <f>M56*M39*M33</f>
        <v/>
      </c>
      <c r="N58" s="14">
        <f>N56*N39*N33</f>
        <v/>
      </c>
      <c r="O58" s="14">
        <f>O56*O39*O33</f>
        <v/>
      </c>
      <c r="P58" s="14">
        <f>P56*P39*P33</f>
        <v/>
      </c>
      <c r="Q58" s="14">
        <f>Q56*Q39*Q33</f>
        <v/>
      </c>
      <c r="R58" s="14">
        <f>R56*R39*R33</f>
        <v/>
      </c>
      <c r="S58" s="14">
        <f>S56*S39*S33</f>
        <v/>
      </c>
    </row>
    <row r="59">
      <c r="A59" s="8" t="inlineStr">
        <is>
          <t>Pensione lorda — marito</t>
        </is>
      </c>
      <c r="B59" s="14">
        <f>B57*B40*B33</f>
        <v/>
      </c>
      <c r="C59" s="14">
        <f>C57*C40*C33</f>
        <v/>
      </c>
      <c r="D59" s="14">
        <f>D57*D40*D33</f>
        <v/>
      </c>
      <c r="E59" s="14">
        <f>E57*E40*E33</f>
        <v/>
      </c>
      <c r="F59" s="14">
        <f>F57*F40*F33</f>
        <v/>
      </c>
      <c r="G59" s="14">
        <f>G57*G40*G33</f>
        <v/>
      </c>
      <c r="H59" s="14">
        <f>H57*H40*H33</f>
        <v/>
      </c>
      <c r="I59" s="14">
        <f>I57*I40*I33</f>
        <v/>
      </c>
      <c r="J59" s="14">
        <f>J57*J40*J33</f>
        <v/>
      </c>
      <c r="K59" s="14">
        <f>K57*K40*K33</f>
        <v/>
      </c>
      <c r="L59" s="14">
        <f>L57*L40*L33</f>
        <v/>
      </c>
      <c r="M59" s="14">
        <f>M57*M40*M33</f>
        <v/>
      </c>
      <c r="N59" s="14">
        <f>N57*N40*N33</f>
        <v/>
      </c>
      <c r="O59" s="14">
        <f>O57*O40*O33</f>
        <v/>
      </c>
      <c r="P59" s="14">
        <f>P57*P40*P33</f>
        <v/>
      </c>
      <c r="Q59" s="14">
        <f>Q57*Q40*Q33</f>
        <v/>
      </c>
      <c r="R59" s="14">
        <f>R57*R40*R33</f>
        <v/>
      </c>
      <c r="S59" s="14">
        <f>S57*S40*S33</f>
        <v/>
      </c>
    </row>
    <row r="60">
      <c r="A60" s="8" t="inlineStr">
        <is>
          <t>IRPEF lorda — Chiara</t>
        </is>
      </c>
      <c r="B60" s="14">
        <f>IF(B58&lt;='P-Parametri'!$B$6,'P-Parametri'!$C$6*B58,IF(B58&lt;='P-Parametri'!$B$7,'P-Parametri'!$B$9+'P-Parametri'!$C$7*(B58-'P-Parametri'!$B$6),'P-Parametri'!$B$10+'P-Parametri'!$C$8*(B58-'P-Parametri'!$B$7)))</f>
        <v/>
      </c>
      <c r="C60" s="14">
        <f>IF(C58&lt;='P-Parametri'!$B$6,'P-Parametri'!$C$6*C58,IF(C58&lt;='P-Parametri'!$B$7,'P-Parametri'!$B$9+'P-Parametri'!$C$7*(C58-'P-Parametri'!$B$6),'P-Parametri'!$B$10+'P-Parametri'!$C$8*(C58-'P-Parametri'!$B$7)))</f>
        <v/>
      </c>
      <c r="D60" s="14">
        <f>IF(D58&lt;='P-Parametri'!$B$6,'P-Parametri'!$C$6*D58,IF(D58&lt;='P-Parametri'!$B$7,'P-Parametri'!$B$9+'P-Parametri'!$C$7*(D58-'P-Parametri'!$B$6),'P-Parametri'!$B$10+'P-Parametri'!$C$8*(D58-'P-Parametri'!$B$7)))</f>
        <v/>
      </c>
      <c r="E60" s="14">
        <f>IF(E58&lt;='P-Parametri'!$B$6,'P-Parametri'!$C$6*E58,IF(E58&lt;='P-Parametri'!$B$7,'P-Parametri'!$B$9+'P-Parametri'!$C$7*(E58-'P-Parametri'!$B$6),'P-Parametri'!$B$10+'P-Parametri'!$C$8*(E58-'P-Parametri'!$B$7)))</f>
        <v/>
      </c>
      <c r="F60" s="14">
        <f>IF(F58&lt;='P-Parametri'!$B$6,'P-Parametri'!$C$6*F58,IF(F58&lt;='P-Parametri'!$B$7,'P-Parametri'!$B$9+'P-Parametri'!$C$7*(F58-'P-Parametri'!$B$6),'P-Parametri'!$B$10+'P-Parametri'!$C$8*(F58-'P-Parametri'!$B$7)))</f>
        <v/>
      </c>
      <c r="G60" s="14">
        <f>IF(G58&lt;='P-Parametri'!$B$6,'P-Parametri'!$C$6*G58,IF(G58&lt;='P-Parametri'!$B$7,'P-Parametri'!$B$9+'P-Parametri'!$C$7*(G58-'P-Parametri'!$B$6),'P-Parametri'!$B$10+'P-Parametri'!$C$8*(G58-'P-Parametri'!$B$7)))</f>
        <v/>
      </c>
      <c r="H60" s="14">
        <f>IF(H58&lt;='P-Parametri'!$B$6,'P-Parametri'!$C$6*H58,IF(H58&lt;='P-Parametri'!$B$7,'P-Parametri'!$B$9+'P-Parametri'!$C$7*(H58-'P-Parametri'!$B$6),'P-Parametri'!$B$10+'P-Parametri'!$C$8*(H58-'P-Parametri'!$B$7)))</f>
        <v/>
      </c>
      <c r="I60" s="14">
        <f>IF(I58&lt;='P-Parametri'!$B$6,'P-Parametri'!$C$6*I58,IF(I58&lt;='P-Parametri'!$B$7,'P-Parametri'!$B$9+'P-Parametri'!$C$7*(I58-'P-Parametri'!$B$6),'P-Parametri'!$B$10+'P-Parametri'!$C$8*(I58-'P-Parametri'!$B$7)))</f>
        <v/>
      </c>
      <c r="J60" s="14">
        <f>IF(J58&lt;='P-Parametri'!$B$6,'P-Parametri'!$C$6*J58,IF(J58&lt;='P-Parametri'!$B$7,'P-Parametri'!$B$9+'P-Parametri'!$C$7*(J58-'P-Parametri'!$B$6),'P-Parametri'!$B$10+'P-Parametri'!$C$8*(J58-'P-Parametri'!$B$7)))</f>
        <v/>
      </c>
      <c r="K60" s="14">
        <f>IF(K58&lt;='P-Parametri'!$B$6,'P-Parametri'!$C$6*K58,IF(K58&lt;='P-Parametri'!$B$7,'P-Parametri'!$B$9+'P-Parametri'!$C$7*(K58-'P-Parametri'!$B$6),'P-Parametri'!$B$10+'P-Parametri'!$C$8*(K58-'P-Parametri'!$B$7)))</f>
        <v/>
      </c>
      <c r="L60" s="14">
        <f>IF(L58&lt;='P-Parametri'!$B$6,'P-Parametri'!$C$6*L58,IF(L58&lt;='P-Parametri'!$B$7,'P-Parametri'!$B$9+'P-Parametri'!$C$7*(L58-'P-Parametri'!$B$6),'P-Parametri'!$B$10+'P-Parametri'!$C$8*(L58-'P-Parametri'!$B$7)))</f>
        <v/>
      </c>
      <c r="M60" s="14">
        <f>IF(M58&lt;='P-Parametri'!$B$6,'P-Parametri'!$C$6*M58,IF(M58&lt;='P-Parametri'!$B$7,'P-Parametri'!$B$9+'P-Parametri'!$C$7*(M58-'P-Parametri'!$B$6),'P-Parametri'!$B$10+'P-Parametri'!$C$8*(M58-'P-Parametri'!$B$7)))</f>
        <v/>
      </c>
      <c r="N60" s="14">
        <f>IF(N58&lt;='P-Parametri'!$B$6,'P-Parametri'!$C$6*N58,IF(N58&lt;='P-Parametri'!$B$7,'P-Parametri'!$B$9+'P-Parametri'!$C$7*(N58-'P-Parametri'!$B$6),'P-Parametri'!$B$10+'P-Parametri'!$C$8*(N58-'P-Parametri'!$B$7)))</f>
        <v/>
      </c>
      <c r="O60" s="14">
        <f>IF(O58&lt;='P-Parametri'!$B$6,'P-Parametri'!$C$6*O58,IF(O58&lt;='P-Parametri'!$B$7,'P-Parametri'!$B$9+'P-Parametri'!$C$7*(O58-'P-Parametri'!$B$6),'P-Parametri'!$B$10+'P-Parametri'!$C$8*(O58-'P-Parametri'!$B$7)))</f>
        <v/>
      </c>
      <c r="P60" s="14">
        <f>IF(P58&lt;='P-Parametri'!$B$6,'P-Parametri'!$C$6*P58,IF(P58&lt;='P-Parametri'!$B$7,'P-Parametri'!$B$9+'P-Parametri'!$C$7*(P58-'P-Parametri'!$B$6),'P-Parametri'!$B$10+'P-Parametri'!$C$8*(P58-'P-Parametri'!$B$7)))</f>
        <v/>
      </c>
      <c r="Q60" s="14">
        <f>IF(Q58&lt;='P-Parametri'!$B$6,'P-Parametri'!$C$6*Q58,IF(Q58&lt;='P-Parametri'!$B$7,'P-Parametri'!$B$9+'P-Parametri'!$C$7*(Q58-'P-Parametri'!$B$6),'P-Parametri'!$B$10+'P-Parametri'!$C$8*(Q58-'P-Parametri'!$B$7)))</f>
        <v/>
      </c>
      <c r="R60" s="14">
        <f>IF(R58&lt;='P-Parametri'!$B$6,'P-Parametri'!$C$6*R58,IF(R58&lt;='P-Parametri'!$B$7,'P-Parametri'!$B$9+'P-Parametri'!$C$7*(R58-'P-Parametri'!$B$6),'P-Parametri'!$B$10+'P-Parametri'!$C$8*(R58-'P-Parametri'!$B$7)))</f>
        <v/>
      </c>
      <c r="S60" s="14">
        <f>IF(S58&lt;='P-Parametri'!$B$6,'P-Parametri'!$C$6*S58,IF(S58&lt;='P-Parametri'!$B$7,'P-Parametri'!$B$9+'P-Parametri'!$C$7*(S58-'P-Parametri'!$B$6),'P-Parametri'!$B$10+'P-Parametri'!$C$8*(S58-'P-Parametri'!$B$7)))</f>
        <v/>
      </c>
    </row>
    <row r="61">
      <c r="A61" s="8" t="inlineStr">
        <is>
          <t>Detrazione da pensione — Chiara</t>
        </is>
      </c>
      <c r="B61" s="14">
        <f>IF(B58&lt;='P-Parametri'!$C$12,'P-Parametri'!$B$12,IF(B58&lt;='P-Parametri'!$B$6,'P-Parametri'!$B$13+'P-Parametri'!$C$13*('P-Parametri'!$B$6-B58)/'P-Parametri'!$D$13,IF(B58&lt;='P-Parametri'!$B$7,'P-Parametri'!$B$14*('P-Parametri'!$B$7-B58)/'P-Parametri'!$C$14,0)))+IF(AND(B58&gt;'P-Parametri'!$C$15,B58&lt;'P-Parametri'!$D$15),'P-Parametri'!$B$15,0)</f>
        <v/>
      </c>
      <c r="C61" s="14">
        <f>IF(C58&lt;='P-Parametri'!$C$12,'P-Parametri'!$B$12,IF(C58&lt;='P-Parametri'!$B$6,'P-Parametri'!$B$13+'P-Parametri'!$C$13*('P-Parametri'!$B$6-C58)/'P-Parametri'!$D$13,IF(C58&lt;='P-Parametri'!$B$7,'P-Parametri'!$B$14*('P-Parametri'!$B$7-C58)/'P-Parametri'!$C$14,0)))+IF(AND(C58&gt;'P-Parametri'!$C$15,C58&lt;'P-Parametri'!$D$15),'P-Parametri'!$B$15,0)</f>
        <v/>
      </c>
      <c r="D61" s="14">
        <f>IF(D58&lt;='P-Parametri'!$C$12,'P-Parametri'!$B$12,IF(D58&lt;='P-Parametri'!$B$6,'P-Parametri'!$B$13+'P-Parametri'!$C$13*('P-Parametri'!$B$6-D58)/'P-Parametri'!$D$13,IF(D58&lt;='P-Parametri'!$B$7,'P-Parametri'!$B$14*('P-Parametri'!$B$7-D58)/'P-Parametri'!$C$14,0)))+IF(AND(D58&gt;'P-Parametri'!$C$15,D58&lt;'P-Parametri'!$D$15),'P-Parametri'!$B$15,0)</f>
        <v/>
      </c>
      <c r="E61" s="14">
        <f>IF(E58&lt;='P-Parametri'!$C$12,'P-Parametri'!$B$12,IF(E58&lt;='P-Parametri'!$B$6,'P-Parametri'!$B$13+'P-Parametri'!$C$13*('P-Parametri'!$B$6-E58)/'P-Parametri'!$D$13,IF(E58&lt;='P-Parametri'!$B$7,'P-Parametri'!$B$14*('P-Parametri'!$B$7-E58)/'P-Parametri'!$C$14,0)))+IF(AND(E58&gt;'P-Parametri'!$C$15,E58&lt;'P-Parametri'!$D$15),'P-Parametri'!$B$15,0)</f>
        <v/>
      </c>
      <c r="F61" s="14">
        <f>IF(F58&lt;='P-Parametri'!$C$12,'P-Parametri'!$B$12,IF(F58&lt;='P-Parametri'!$B$6,'P-Parametri'!$B$13+'P-Parametri'!$C$13*('P-Parametri'!$B$6-F58)/'P-Parametri'!$D$13,IF(F58&lt;='P-Parametri'!$B$7,'P-Parametri'!$B$14*('P-Parametri'!$B$7-F58)/'P-Parametri'!$C$14,0)))+IF(AND(F58&gt;'P-Parametri'!$C$15,F58&lt;'P-Parametri'!$D$15),'P-Parametri'!$B$15,0)</f>
        <v/>
      </c>
      <c r="G61" s="14">
        <f>IF(G58&lt;='P-Parametri'!$C$12,'P-Parametri'!$B$12,IF(G58&lt;='P-Parametri'!$B$6,'P-Parametri'!$B$13+'P-Parametri'!$C$13*('P-Parametri'!$B$6-G58)/'P-Parametri'!$D$13,IF(G58&lt;='P-Parametri'!$B$7,'P-Parametri'!$B$14*('P-Parametri'!$B$7-G58)/'P-Parametri'!$C$14,0)))+IF(AND(G58&gt;'P-Parametri'!$C$15,G58&lt;'P-Parametri'!$D$15),'P-Parametri'!$B$15,0)</f>
        <v/>
      </c>
      <c r="H61" s="14">
        <f>IF(H58&lt;='P-Parametri'!$C$12,'P-Parametri'!$B$12,IF(H58&lt;='P-Parametri'!$B$6,'P-Parametri'!$B$13+'P-Parametri'!$C$13*('P-Parametri'!$B$6-H58)/'P-Parametri'!$D$13,IF(H58&lt;='P-Parametri'!$B$7,'P-Parametri'!$B$14*('P-Parametri'!$B$7-H58)/'P-Parametri'!$C$14,0)))+IF(AND(H58&gt;'P-Parametri'!$C$15,H58&lt;'P-Parametri'!$D$15),'P-Parametri'!$B$15,0)</f>
        <v/>
      </c>
      <c r="I61" s="14">
        <f>IF(I58&lt;='P-Parametri'!$C$12,'P-Parametri'!$B$12,IF(I58&lt;='P-Parametri'!$B$6,'P-Parametri'!$B$13+'P-Parametri'!$C$13*('P-Parametri'!$B$6-I58)/'P-Parametri'!$D$13,IF(I58&lt;='P-Parametri'!$B$7,'P-Parametri'!$B$14*('P-Parametri'!$B$7-I58)/'P-Parametri'!$C$14,0)))+IF(AND(I58&gt;'P-Parametri'!$C$15,I58&lt;'P-Parametri'!$D$15),'P-Parametri'!$B$15,0)</f>
        <v/>
      </c>
      <c r="J61" s="14">
        <f>IF(J58&lt;='P-Parametri'!$C$12,'P-Parametri'!$B$12,IF(J58&lt;='P-Parametri'!$B$6,'P-Parametri'!$B$13+'P-Parametri'!$C$13*('P-Parametri'!$B$6-J58)/'P-Parametri'!$D$13,IF(J58&lt;='P-Parametri'!$B$7,'P-Parametri'!$B$14*('P-Parametri'!$B$7-J58)/'P-Parametri'!$C$14,0)))+IF(AND(J58&gt;'P-Parametri'!$C$15,J58&lt;'P-Parametri'!$D$15),'P-Parametri'!$B$15,0)</f>
        <v/>
      </c>
      <c r="K61" s="14">
        <f>IF(K58&lt;='P-Parametri'!$C$12,'P-Parametri'!$B$12,IF(K58&lt;='P-Parametri'!$B$6,'P-Parametri'!$B$13+'P-Parametri'!$C$13*('P-Parametri'!$B$6-K58)/'P-Parametri'!$D$13,IF(K58&lt;='P-Parametri'!$B$7,'P-Parametri'!$B$14*('P-Parametri'!$B$7-K58)/'P-Parametri'!$C$14,0)))+IF(AND(K58&gt;'P-Parametri'!$C$15,K58&lt;'P-Parametri'!$D$15),'P-Parametri'!$B$15,0)</f>
        <v/>
      </c>
      <c r="L61" s="14">
        <f>IF(L58&lt;='P-Parametri'!$C$12,'P-Parametri'!$B$12,IF(L58&lt;='P-Parametri'!$B$6,'P-Parametri'!$B$13+'P-Parametri'!$C$13*('P-Parametri'!$B$6-L58)/'P-Parametri'!$D$13,IF(L58&lt;='P-Parametri'!$B$7,'P-Parametri'!$B$14*('P-Parametri'!$B$7-L58)/'P-Parametri'!$C$14,0)))+IF(AND(L58&gt;'P-Parametri'!$C$15,L58&lt;'P-Parametri'!$D$15),'P-Parametri'!$B$15,0)</f>
        <v/>
      </c>
      <c r="M61" s="14">
        <f>IF(M58&lt;='P-Parametri'!$C$12,'P-Parametri'!$B$12,IF(M58&lt;='P-Parametri'!$B$6,'P-Parametri'!$B$13+'P-Parametri'!$C$13*('P-Parametri'!$B$6-M58)/'P-Parametri'!$D$13,IF(M58&lt;='P-Parametri'!$B$7,'P-Parametri'!$B$14*('P-Parametri'!$B$7-M58)/'P-Parametri'!$C$14,0)))+IF(AND(M58&gt;'P-Parametri'!$C$15,M58&lt;'P-Parametri'!$D$15),'P-Parametri'!$B$15,0)</f>
        <v/>
      </c>
      <c r="N61" s="14">
        <f>IF(N58&lt;='P-Parametri'!$C$12,'P-Parametri'!$B$12,IF(N58&lt;='P-Parametri'!$B$6,'P-Parametri'!$B$13+'P-Parametri'!$C$13*('P-Parametri'!$B$6-N58)/'P-Parametri'!$D$13,IF(N58&lt;='P-Parametri'!$B$7,'P-Parametri'!$B$14*('P-Parametri'!$B$7-N58)/'P-Parametri'!$C$14,0)))+IF(AND(N58&gt;'P-Parametri'!$C$15,N58&lt;'P-Parametri'!$D$15),'P-Parametri'!$B$15,0)</f>
        <v/>
      </c>
      <c r="O61" s="14">
        <f>IF(O58&lt;='P-Parametri'!$C$12,'P-Parametri'!$B$12,IF(O58&lt;='P-Parametri'!$B$6,'P-Parametri'!$B$13+'P-Parametri'!$C$13*('P-Parametri'!$B$6-O58)/'P-Parametri'!$D$13,IF(O58&lt;='P-Parametri'!$B$7,'P-Parametri'!$B$14*('P-Parametri'!$B$7-O58)/'P-Parametri'!$C$14,0)))+IF(AND(O58&gt;'P-Parametri'!$C$15,O58&lt;'P-Parametri'!$D$15),'P-Parametri'!$B$15,0)</f>
        <v/>
      </c>
      <c r="P61" s="14">
        <f>IF(P58&lt;='P-Parametri'!$C$12,'P-Parametri'!$B$12,IF(P58&lt;='P-Parametri'!$B$6,'P-Parametri'!$B$13+'P-Parametri'!$C$13*('P-Parametri'!$B$6-P58)/'P-Parametri'!$D$13,IF(P58&lt;='P-Parametri'!$B$7,'P-Parametri'!$B$14*('P-Parametri'!$B$7-P58)/'P-Parametri'!$C$14,0)))+IF(AND(P58&gt;'P-Parametri'!$C$15,P58&lt;'P-Parametri'!$D$15),'P-Parametri'!$B$15,0)</f>
        <v/>
      </c>
      <c r="Q61" s="14">
        <f>IF(Q58&lt;='P-Parametri'!$C$12,'P-Parametri'!$B$12,IF(Q58&lt;='P-Parametri'!$B$6,'P-Parametri'!$B$13+'P-Parametri'!$C$13*('P-Parametri'!$B$6-Q58)/'P-Parametri'!$D$13,IF(Q58&lt;='P-Parametri'!$B$7,'P-Parametri'!$B$14*('P-Parametri'!$B$7-Q58)/'P-Parametri'!$C$14,0)))+IF(AND(Q58&gt;'P-Parametri'!$C$15,Q58&lt;'P-Parametri'!$D$15),'P-Parametri'!$B$15,0)</f>
        <v/>
      </c>
      <c r="R61" s="14">
        <f>IF(R58&lt;='P-Parametri'!$C$12,'P-Parametri'!$B$12,IF(R58&lt;='P-Parametri'!$B$6,'P-Parametri'!$B$13+'P-Parametri'!$C$13*('P-Parametri'!$B$6-R58)/'P-Parametri'!$D$13,IF(R58&lt;='P-Parametri'!$B$7,'P-Parametri'!$B$14*('P-Parametri'!$B$7-R58)/'P-Parametri'!$C$14,0)))+IF(AND(R58&gt;'P-Parametri'!$C$15,R58&lt;'P-Parametri'!$D$15),'P-Parametri'!$B$15,0)</f>
        <v/>
      </c>
      <c r="S61" s="14">
        <f>IF(S58&lt;='P-Parametri'!$C$12,'P-Parametri'!$B$12,IF(S58&lt;='P-Parametri'!$B$6,'P-Parametri'!$B$13+'P-Parametri'!$C$13*('P-Parametri'!$B$6-S58)/'P-Parametri'!$D$13,IF(S58&lt;='P-Parametri'!$B$7,'P-Parametri'!$B$14*('P-Parametri'!$B$7-S58)/'P-Parametri'!$C$14,0)))+IF(AND(S58&gt;'P-Parametri'!$C$15,S58&lt;'P-Parametri'!$D$15),'P-Parametri'!$B$15,0)</f>
        <v/>
      </c>
    </row>
    <row r="62">
      <c r="A62" s="8" t="inlineStr">
        <is>
          <t>Addizionali — Chiara</t>
        </is>
      </c>
      <c r="B62" s="14">
        <f>IF(MAX(0,B60-B61)&lt;=0,0,'P-Parametri'!$B$11*B58)</f>
        <v/>
      </c>
      <c r="C62" s="14">
        <f>IF(MAX(0,C60-C61)&lt;=0,0,'P-Parametri'!$B$11*C58)</f>
        <v/>
      </c>
      <c r="D62" s="14">
        <f>IF(MAX(0,D60-D61)&lt;=0,0,'P-Parametri'!$B$11*D58)</f>
        <v/>
      </c>
      <c r="E62" s="14">
        <f>IF(MAX(0,E60-E61)&lt;=0,0,'P-Parametri'!$B$11*E58)</f>
        <v/>
      </c>
      <c r="F62" s="14">
        <f>IF(MAX(0,F60-F61)&lt;=0,0,'P-Parametri'!$B$11*F58)</f>
        <v/>
      </c>
      <c r="G62" s="14">
        <f>IF(MAX(0,G60-G61)&lt;=0,0,'P-Parametri'!$B$11*G58)</f>
        <v/>
      </c>
      <c r="H62" s="14">
        <f>IF(MAX(0,H60-H61)&lt;=0,0,'P-Parametri'!$B$11*H58)</f>
        <v/>
      </c>
      <c r="I62" s="14">
        <f>IF(MAX(0,I60-I61)&lt;=0,0,'P-Parametri'!$B$11*I58)</f>
        <v/>
      </c>
      <c r="J62" s="14">
        <f>IF(MAX(0,J60-J61)&lt;=0,0,'P-Parametri'!$B$11*J58)</f>
        <v/>
      </c>
      <c r="K62" s="14">
        <f>IF(MAX(0,K60-K61)&lt;=0,0,'P-Parametri'!$B$11*K58)</f>
        <v/>
      </c>
      <c r="L62" s="14">
        <f>IF(MAX(0,L60-L61)&lt;=0,0,'P-Parametri'!$B$11*L58)</f>
        <v/>
      </c>
      <c r="M62" s="14">
        <f>IF(MAX(0,M60-M61)&lt;=0,0,'P-Parametri'!$B$11*M58)</f>
        <v/>
      </c>
      <c r="N62" s="14">
        <f>IF(MAX(0,N60-N61)&lt;=0,0,'P-Parametri'!$B$11*N58)</f>
        <v/>
      </c>
      <c r="O62" s="14">
        <f>IF(MAX(0,O60-O61)&lt;=0,0,'P-Parametri'!$B$11*O58)</f>
        <v/>
      </c>
      <c r="P62" s="14">
        <f>IF(MAX(0,P60-P61)&lt;=0,0,'P-Parametri'!$B$11*P58)</f>
        <v/>
      </c>
      <c r="Q62" s="14">
        <f>IF(MAX(0,Q60-Q61)&lt;=0,0,'P-Parametri'!$B$11*Q58)</f>
        <v/>
      </c>
      <c r="R62" s="14">
        <f>IF(MAX(0,R60-R61)&lt;=0,0,'P-Parametri'!$B$11*R58)</f>
        <v/>
      </c>
      <c r="S62" s="14">
        <f>IF(MAX(0,S60-S61)&lt;=0,0,'P-Parametri'!$B$11*S58)</f>
        <v/>
      </c>
    </row>
    <row r="63">
      <c r="A63" s="8" t="inlineStr">
        <is>
          <t>PENSIONE NETTA — Chiara</t>
        </is>
      </c>
      <c r="B63" s="14">
        <f>B58-MAX(0,B60-B61)-B62</f>
        <v/>
      </c>
      <c r="C63" s="14">
        <f>C58-MAX(0,C60-C61)-C62</f>
        <v/>
      </c>
      <c r="D63" s="14">
        <f>D58-MAX(0,D60-D61)-D62</f>
        <v/>
      </c>
      <c r="E63" s="14">
        <f>E58-MAX(0,E60-E61)-E62</f>
        <v/>
      </c>
      <c r="F63" s="14">
        <f>F58-MAX(0,F60-F61)-F62</f>
        <v/>
      </c>
      <c r="G63" s="14">
        <f>G58-MAX(0,G60-G61)-G62</f>
        <v/>
      </c>
      <c r="H63" s="14">
        <f>H58-MAX(0,H60-H61)-H62</f>
        <v/>
      </c>
      <c r="I63" s="14">
        <f>I58-MAX(0,I60-I61)-I62</f>
        <v/>
      </c>
      <c r="J63" s="14">
        <f>J58-MAX(0,J60-J61)-J62</f>
        <v/>
      </c>
      <c r="K63" s="14">
        <f>K58-MAX(0,K60-K61)-K62</f>
        <v/>
      </c>
      <c r="L63" s="14">
        <f>L58-MAX(0,L60-L61)-L62</f>
        <v/>
      </c>
      <c r="M63" s="14">
        <f>M58-MAX(0,M60-M61)-M62</f>
        <v/>
      </c>
      <c r="N63" s="14">
        <f>N58-MAX(0,N60-N61)-N62</f>
        <v/>
      </c>
      <c r="O63" s="14">
        <f>O58-MAX(0,O60-O61)-O62</f>
        <v/>
      </c>
      <c r="P63" s="14">
        <f>P58-MAX(0,P60-P61)-P62</f>
        <v/>
      </c>
      <c r="Q63" s="14">
        <f>Q58-MAX(0,Q60-Q61)-Q62</f>
        <v/>
      </c>
      <c r="R63" s="14">
        <f>R58-MAX(0,R60-R61)-R62</f>
        <v/>
      </c>
      <c r="S63" s="14">
        <f>S58-MAX(0,S60-S61)-S62</f>
        <v/>
      </c>
    </row>
    <row r="64">
      <c r="A64" s="8" t="inlineStr">
        <is>
          <t>IRPEF lorda — marito</t>
        </is>
      </c>
      <c r="B64" s="14">
        <f>IF(B59&lt;='P-Parametri'!$B$6,'P-Parametri'!$C$6*B59,IF(B59&lt;='P-Parametri'!$B$7,'P-Parametri'!$B$9+'P-Parametri'!$C$7*(B59-'P-Parametri'!$B$6),'P-Parametri'!$B$10+'P-Parametri'!$C$8*(B59-'P-Parametri'!$B$7)))</f>
        <v/>
      </c>
      <c r="C64" s="14">
        <f>IF(C59&lt;='P-Parametri'!$B$6,'P-Parametri'!$C$6*C59,IF(C59&lt;='P-Parametri'!$B$7,'P-Parametri'!$B$9+'P-Parametri'!$C$7*(C59-'P-Parametri'!$B$6),'P-Parametri'!$B$10+'P-Parametri'!$C$8*(C59-'P-Parametri'!$B$7)))</f>
        <v/>
      </c>
      <c r="D64" s="14">
        <f>IF(D59&lt;='P-Parametri'!$B$6,'P-Parametri'!$C$6*D59,IF(D59&lt;='P-Parametri'!$B$7,'P-Parametri'!$B$9+'P-Parametri'!$C$7*(D59-'P-Parametri'!$B$6),'P-Parametri'!$B$10+'P-Parametri'!$C$8*(D59-'P-Parametri'!$B$7)))</f>
        <v/>
      </c>
      <c r="E64" s="14">
        <f>IF(E59&lt;='P-Parametri'!$B$6,'P-Parametri'!$C$6*E59,IF(E59&lt;='P-Parametri'!$B$7,'P-Parametri'!$B$9+'P-Parametri'!$C$7*(E59-'P-Parametri'!$B$6),'P-Parametri'!$B$10+'P-Parametri'!$C$8*(E59-'P-Parametri'!$B$7)))</f>
        <v/>
      </c>
      <c r="F64" s="14">
        <f>IF(F59&lt;='P-Parametri'!$B$6,'P-Parametri'!$C$6*F59,IF(F59&lt;='P-Parametri'!$B$7,'P-Parametri'!$B$9+'P-Parametri'!$C$7*(F59-'P-Parametri'!$B$6),'P-Parametri'!$B$10+'P-Parametri'!$C$8*(F59-'P-Parametri'!$B$7)))</f>
        <v/>
      </c>
      <c r="G64" s="14">
        <f>IF(G59&lt;='P-Parametri'!$B$6,'P-Parametri'!$C$6*G59,IF(G59&lt;='P-Parametri'!$B$7,'P-Parametri'!$B$9+'P-Parametri'!$C$7*(G59-'P-Parametri'!$B$6),'P-Parametri'!$B$10+'P-Parametri'!$C$8*(G59-'P-Parametri'!$B$7)))</f>
        <v/>
      </c>
      <c r="H64" s="14">
        <f>IF(H59&lt;='P-Parametri'!$B$6,'P-Parametri'!$C$6*H59,IF(H59&lt;='P-Parametri'!$B$7,'P-Parametri'!$B$9+'P-Parametri'!$C$7*(H59-'P-Parametri'!$B$6),'P-Parametri'!$B$10+'P-Parametri'!$C$8*(H59-'P-Parametri'!$B$7)))</f>
        <v/>
      </c>
      <c r="I64" s="14">
        <f>IF(I59&lt;='P-Parametri'!$B$6,'P-Parametri'!$C$6*I59,IF(I59&lt;='P-Parametri'!$B$7,'P-Parametri'!$B$9+'P-Parametri'!$C$7*(I59-'P-Parametri'!$B$6),'P-Parametri'!$B$10+'P-Parametri'!$C$8*(I59-'P-Parametri'!$B$7)))</f>
        <v/>
      </c>
      <c r="J64" s="14">
        <f>IF(J59&lt;='P-Parametri'!$B$6,'P-Parametri'!$C$6*J59,IF(J59&lt;='P-Parametri'!$B$7,'P-Parametri'!$B$9+'P-Parametri'!$C$7*(J59-'P-Parametri'!$B$6),'P-Parametri'!$B$10+'P-Parametri'!$C$8*(J59-'P-Parametri'!$B$7)))</f>
        <v/>
      </c>
      <c r="K64" s="14">
        <f>IF(K59&lt;='P-Parametri'!$B$6,'P-Parametri'!$C$6*K59,IF(K59&lt;='P-Parametri'!$B$7,'P-Parametri'!$B$9+'P-Parametri'!$C$7*(K59-'P-Parametri'!$B$6),'P-Parametri'!$B$10+'P-Parametri'!$C$8*(K59-'P-Parametri'!$B$7)))</f>
        <v/>
      </c>
      <c r="L64" s="14">
        <f>IF(L59&lt;='P-Parametri'!$B$6,'P-Parametri'!$C$6*L59,IF(L59&lt;='P-Parametri'!$B$7,'P-Parametri'!$B$9+'P-Parametri'!$C$7*(L59-'P-Parametri'!$B$6),'P-Parametri'!$B$10+'P-Parametri'!$C$8*(L59-'P-Parametri'!$B$7)))</f>
        <v/>
      </c>
      <c r="M64" s="14">
        <f>IF(M59&lt;='P-Parametri'!$B$6,'P-Parametri'!$C$6*M59,IF(M59&lt;='P-Parametri'!$B$7,'P-Parametri'!$B$9+'P-Parametri'!$C$7*(M59-'P-Parametri'!$B$6),'P-Parametri'!$B$10+'P-Parametri'!$C$8*(M59-'P-Parametri'!$B$7)))</f>
        <v/>
      </c>
      <c r="N64" s="14">
        <f>IF(N59&lt;='P-Parametri'!$B$6,'P-Parametri'!$C$6*N59,IF(N59&lt;='P-Parametri'!$B$7,'P-Parametri'!$B$9+'P-Parametri'!$C$7*(N59-'P-Parametri'!$B$6),'P-Parametri'!$B$10+'P-Parametri'!$C$8*(N59-'P-Parametri'!$B$7)))</f>
        <v/>
      </c>
      <c r="O64" s="14">
        <f>IF(O59&lt;='P-Parametri'!$B$6,'P-Parametri'!$C$6*O59,IF(O59&lt;='P-Parametri'!$B$7,'P-Parametri'!$B$9+'P-Parametri'!$C$7*(O59-'P-Parametri'!$B$6),'P-Parametri'!$B$10+'P-Parametri'!$C$8*(O59-'P-Parametri'!$B$7)))</f>
        <v/>
      </c>
      <c r="P64" s="14">
        <f>IF(P59&lt;='P-Parametri'!$B$6,'P-Parametri'!$C$6*P59,IF(P59&lt;='P-Parametri'!$B$7,'P-Parametri'!$B$9+'P-Parametri'!$C$7*(P59-'P-Parametri'!$B$6),'P-Parametri'!$B$10+'P-Parametri'!$C$8*(P59-'P-Parametri'!$B$7)))</f>
        <v/>
      </c>
      <c r="Q64" s="14">
        <f>IF(Q59&lt;='P-Parametri'!$B$6,'P-Parametri'!$C$6*Q59,IF(Q59&lt;='P-Parametri'!$B$7,'P-Parametri'!$B$9+'P-Parametri'!$C$7*(Q59-'P-Parametri'!$B$6),'P-Parametri'!$B$10+'P-Parametri'!$C$8*(Q59-'P-Parametri'!$B$7)))</f>
        <v/>
      </c>
      <c r="R64" s="14">
        <f>IF(R59&lt;='P-Parametri'!$B$6,'P-Parametri'!$C$6*R59,IF(R59&lt;='P-Parametri'!$B$7,'P-Parametri'!$B$9+'P-Parametri'!$C$7*(R59-'P-Parametri'!$B$6),'P-Parametri'!$B$10+'P-Parametri'!$C$8*(R59-'P-Parametri'!$B$7)))</f>
        <v/>
      </c>
      <c r="S64" s="14">
        <f>IF(S59&lt;='P-Parametri'!$B$6,'P-Parametri'!$C$6*S59,IF(S59&lt;='P-Parametri'!$B$7,'P-Parametri'!$B$9+'P-Parametri'!$C$7*(S59-'P-Parametri'!$B$6),'P-Parametri'!$B$10+'P-Parametri'!$C$8*(S59-'P-Parametri'!$B$7)))</f>
        <v/>
      </c>
    </row>
    <row r="65">
      <c r="A65" s="8" t="inlineStr">
        <is>
          <t>Detrazione da pensione — marito</t>
        </is>
      </c>
      <c r="B65" s="14">
        <f>IF(B59&lt;='P-Parametri'!$C$12,'P-Parametri'!$B$12,IF(B59&lt;='P-Parametri'!$B$6,'P-Parametri'!$B$13+'P-Parametri'!$C$13*('P-Parametri'!$B$6-B59)/'P-Parametri'!$D$13,IF(B59&lt;='P-Parametri'!$B$7,'P-Parametri'!$B$14*('P-Parametri'!$B$7-B59)/'P-Parametri'!$C$14,0)))+IF(AND(B59&gt;'P-Parametri'!$C$15,B59&lt;'P-Parametri'!$D$15),'P-Parametri'!$B$15,0)</f>
        <v/>
      </c>
      <c r="C65" s="14">
        <f>IF(C59&lt;='P-Parametri'!$C$12,'P-Parametri'!$B$12,IF(C59&lt;='P-Parametri'!$B$6,'P-Parametri'!$B$13+'P-Parametri'!$C$13*('P-Parametri'!$B$6-C59)/'P-Parametri'!$D$13,IF(C59&lt;='P-Parametri'!$B$7,'P-Parametri'!$B$14*('P-Parametri'!$B$7-C59)/'P-Parametri'!$C$14,0)))+IF(AND(C59&gt;'P-Parametri'!$C$15,C59&lt;'P-Parametri'!$D$15),'P-Parametri'!$B$15,0)</f>
        <v/>
      </c>
      <c r="D65" s="14">
        <f>IF(D59&lt;='P-Parametri'!$C$12,'P-Parametri'!$B$12,IF(D59&lt;='P-Parametri'!$B$6,'P-Parametri'!$B$13+'P-Parametri'!$C$13*('P-Parametri'!$B$6-D59)/'P-Parametri'!$D$13,IF(D59&lt;='P-Parametri'!$B$7,'P-Parametri'!$B$14*('P-Parametri'!$B$7-D59)/'P-Parametri'!$C$14,0)))+IF(AND(D59&gt;'P-Parametri'!$C$15,D59&lt;'P-Parametri'!$D$15),'P-Parametri'!$B$15,0)</f>
        <v/>
      </c>
      <c r="E65" s="14">
        <f>IF(E59&lt;='P-Parametri'!$C$12,'P-Parametri'!$B$12,IF(E59&lt;='P-Parametri'!$B$6,'P-Parametri'!$B$13+'P-Parametri'!$C$13*('P-Parametri'!$B$6-E59)/'P-Parametri'!$D$13,IF(E59&lt;='P-Parametri'!$B$7,'P-Parametri'!$B$14*('P-Parametri'!$B$7-E59)/'P-Parametri'!$C$14,0)))+IF(AND(E59&gt;'P-Parametri'!$C$15,E59&lt;'P-Parametri'!$D$15),'P-Parametri'!$B$15,0)</f>
        <v/>
      </c>
      <c r="F65" s="14">
        <f>IF(F59&lt;='P-Parametri'!$C$12,'P-Parametri'!$B$12,IF(F59&lt;='P-Parametri'!$B$6,'P-Parametri'!$B$13+'P-Parametri'!$C$13*('P-Parametri'!$B$6-F59)/'P-Parametri'!$D$13,IF(F59&lt;='P-Parametri'!$B$7,'P-Parametri'!$B$14*('P-Parametri'!$B$7-F59)/'P-Parametri'!$C$14,0)))+IF(AND(F59&gt;'P-Parametri'!$C$15,F59&lt;'P-Parametri'!$D$15),'P-Parametri'!$B$15,0)</f>
        <v/>
      </c>
      <c r="G65" s="14">
        <f>IF(G59&lt;='P-Parametri'!$C$12,'P-Parametri'!$B$12,IF(G59&lt;='P-Parametri'!$B$6,'P-Parametri'!$B$13+'P-Parametri'!$C$13*('P-Parametri'!$B$6-G59)/'P-Parametri'!$D$13,IF(G59&lt;='P-Parametri'!$B$7,'P-Parametri'!$B$14*('P-Parametri'!$B$7-G59)/'P-Parametri'!$C$14,0)))+IF(AND(G59&gt;'P-Parametri'!$C$15,G59&lt;'P-Parametri'!$D$15),'P-Parametri'!$B$15,0)</f>
        <v/>
      </c>
      <c r="H65" s="14">
        <f>IF(H59&lt;='P-Parametri'!$C$12,'P-Parametri'!$B$12,IF(H59&lt;='P-Parametri'!$B$6,'P-Parametri'!$B$13+'P-Parametri'!$C$13*('P-Parametri'!$B$6-H59)/'P-Parametri'!$D$13,IF(H59&lt;='P-Parametri'!$B$7,'P-Parametri'!$B$14*('P-Parametri'!$B$7-H59)/'P-Parametri'!$C$14,0)))+IF(AND(H59&gt;'P-Parametri'!$C$15,H59&lt;'P-Parametri'!$D$15),'P-Parametri'!$B$15,0)</f>
        <v/>
      </c>
      <c r="I65" s="14">
        <f>IF(I59&lt;='P-Parametri'!$C$12,'P-Parametri'!$B$12,IF(I59&lt;='P-Parametri'!$B$6,'P-Parametri'!$B$13+'P-Parametri'!$C$13*('P-Parametri'!$B$6-I59)/'P-Parametri'!$D$13,IF(I59&lt;='P-Parametri'!$B$7,'P-Parametri'!$B$14*('P-Parametri'!$B$7-I59)/'P-Parametri'!$C$14,0)))+IF(AND(I59&gt;'P-Parametri'!$C$15,I59&lt;'P-Parametri'!$D$15),'P-Parametri'!$B$15,0)</f>
        <v/>
      </c>
      <c r="J65" s="14">
        <f>IF(J59&lt;='P-Parametri'!$C$12,'P-Parametri'!$B$12,IF(J59&lt;='P-Parametri'!$B$6,'P-Parametri'!$B$13+'P-Parametri'!$C$13*('P-Parametri'!$B$6-J59)/'P-Parametri'!$D$13,IF(J59&lt;='P-Parametri'!$B$7,'P-Parametri'!$B$14*('P-Parametri'!$B$7-J59)/'P-Parametri'!$C$14,0)))+IF(AND(J59&gt;'P-Parametri'!$C$15,J59&lt;'P-Parametri'!$D$15),'P-Parametri'!$B$15,0)</f>
        <v/>
      </c>
      <c r="K65" s="14">
        <f>IF(K59&lt;='P-Parametri'!$C$12,'P-Parametri'!$B$12,IF(K59&lt;='P-Parametri'!$B$6,'P-Parametri'!$B$13+'P-Parametri'!$C$13*('P-Parametri'!$B$6-K59)/'P-Parametri'!$D$13,IF(K59&lt;='P-Parametri'!$B$7,'P-Parametri'!$B$14*('P-Parametri'!$B$7-K59)/'P-Parametri'!$C$14,0)))+IF(AND(K59&gt;'P-Parametri'!$C$15,K59&lt;'P-Parametri'!$D$15),'P-Parametri'!$B$15,0)</f>
        <v/>
      </c>
      <c r="L65" s="14">
        <f>IF(L59&lt;='P-Parametri'!$C$12,'P-Parametri'!$B$12,IF(L59&lt;='P-Parametri'!$B$6,'P-Parametri'!$B$13+'P-Parametri'!$C$13*('P-Parametri'!$B$6-L59)/'P-Parametri'!$D$13,IF(L59&lt;='P-Parametri'!$B$7,'P-Parametri'!$B$14*('P-Parametri'!$B$7-L59)/'P-Parametri'!$C$14,0)))+IF(AND(L59&gt;'P-Parametri'!$C$15,L59&lt;'P-Parametri'!$D$15),'P-Parametri'!$B$15,0)</f>
        <v/>
      </c>
      <c r="M65" s="14">
        <f>IF(M59&lt;='P-Parametri'!$C$12,'P-Parametri'!$B$12,IF(M59&lt;='P-Parametri'!$B$6,'P-Parametri'!$B$13+'P-Parametri'!$C$13*('P-Parametri'!$B$6-M59)/'P-Parametri'!$D$13,IF(M59&lt;='P-Parametri'!$B$7,'P-Parametri'!$B$14*('P-Parametri'!$B$7-M59)/'P-Parametri'!$C$14,0)))+IF(AND(M59&gt;'P-Parametri'!$C$15,M59&lt;'P-Parametri'!$D$15),'P-Parametri'!$B$15,0)</f>
        <v/>
      </c>
      <c r="N65" s="14">
        <f>IF(N59&lt;='P-Parametri'!$C$12,'P-Parametri'!$B$12,IF(N59&lt;='P-Parametri'!$B$6,'P-Parametri'!$B$13+'P-Parametri'!$C$13*('P-Parametri'!$B$6-N59)/'P-Parametri'!$D$13,IF(N59&lt;='P-Parametri'!$B$7,'P-Parametri'!$B$14*('P-Parametri'!$B$7-N59)/'P-Parametri'!$C$14,0)))+IF(AND(N59&gt;'P-Parametri'!$C$15,N59&lt;'P-Parametri'!$D$15),'P-Parametri'!$B$15,0)</f>
        <v/>
      </c>
      <c r="O65" s="14">
        <f>IF(O59&lt;='P-Parametri'!$C$12,'P-Parametri'!$B$12,IF(O59&lt;='P-Parametri'!$B$6,'P-Parametri'!$B$13+'P-Parametri'!$C$13*('P-Parametri'!$B$6-O59)/'P-Parametri'!$D$13,IF(O59&lt;='P-Parametri'!$B$7,'P-Parametri'!$B$14*('P-Parametri'!$B$7-O59)/'P-Parametri'!$C$14,0)))+IF(AND(O59&gt;'P-Parametri'!$C$15,O59&lt;'P-Parametri'!$D$15),'P-Parametri'!$B$15,0)</f>
        <v/>
      </c>
      <c r="P65" s="14">
        <f>IF(P59&lt;='P-Parametri'!$C$12,'P-Parametri'!$B$12,IF(P59&lt;='P-Parametri'!$B$6,'P-Parametri'!$B$13+'P-Parametri'!$C$13*('P-Parametri'!$B$6-P59)/'P-Parametri'!$D$13,IF(P59&lt;='P-Parametri'!$B$7,'P-Parametri'!$B$14*('P-Parametri'!$B$7-P59)/'P-Parametri'!$C$14,0)))+IF(AND(P59&gt;'P-Parametri'!$C$15,P59&lt;'P-Parametri'!$D$15),'P-Parametri'!$B$15,0)</f>
        <v/>
      </c>
      <c r="Q65" s="14">
        <f>IF(Q59&lt;='P-Parametri'!$C$12,'P-Parametri'!$B$12,IF(Q59&lt;='P-Parametri'!$B$6,'P-Parametri'!$B$13+'P-Parametri'!$C$13*('P-Parametri'!$B$6-Q59)/'P-Parametri'!$D$13,IF(Q59&lt;='P-Parametri'!$B$7,'P-Parametri'!$B$14*('P-Parametri'!$B$7-Q59)/'P-Parametri'!$C$14,0)))+IF(AND(Q59&gt;'P-Parametri'!$C$15,Q59&lt;'P-Parametri'!$D$15),'P-Parametri'!$B$15,0)</f>
        <v/>
      </c>
      <c r="R65" s="14">
        <f>IF(R59&lt;='P-Parametri'!$C$12,'P-Parametri'!$B$12,IF(R59&lt;='P-Parametri'!$B$6,'P-Parametri'!$B$13+'P-Parametri'!$C$13*('P-Parametri'!$B$6-R59)/'P-Parametri'!$D$13,IF(R59&lt;='P-Parametri'!$B$7,'P-Parametri'!$B$14*('P-Parametri'!$B$7-R59)/'P-Parametri'!$C$14,0)))+IF(AND(R59&gt;'P-Parametri'!$C$15,R59&lt;'P-Parametri'!$D$15),'P-Parametri'!$B$15,0)</f>
        <v/>
      </c>
      <c r="S65" s="14">
        <f>IF(S59&lt;='P-Parametri'!$C$12,'P-Parametri'!$B$12,IF(S59&lt;='P-Parametri'!$B$6,'P-Parametri'!$B$13+'P-Parametri'!$C$13*('P-Parametri'!$B$6-S59)/'P-Parametri'!$D$13,IF(S59&lt;='P-Parametri'!$B$7,'P-Parametri'!$B$14*('P-Parametri'!$B$7-S59)/'P-Parametri'!$C$14,0)))+IF(AND(S59&gt;'P-Parametri'!$C$15,S59&lt;'P-Parametri'!$D$15),'P-Parametri'!$B$15,0)</f>
        <v/>
      </c>
    </row>
    <row r="66">
      <c r="A66" s="8" t="inlineStr">
        <is>
          <t>Addizionali — marito</t>
        </is>
      </c>
      <c r="B66" s="14">
        <f>IF(MAX(0,B64-B65)&lt;=0,0,'P-Parametri'!$B$11*B59)</f>
        <v/>
      </c>
      <c r="C66" s="14">
        <f>IF(MAX(0,C64-C65)&lt;=0,0,'P-Parametri'!$B$11*C59)</f>
        <v/>
      </c>
      <c r="D66" s="14">
        <f>IF(MAX(0,D64-D65)&lt;=0,0,'P-Parametri'!$B$11*D59)</f>
        <v/>
      </c>
      <c r="E66" s="14">
        <f>IF(MAX(0,E64-E65)&lt;=0,0,'P-Parametri'!$B$11*E59)</f>
        <v/>
      </c>
      <c r="F66" s="14">
        <f>IF(MAX(0,F64-F65)&lt;=0,0,'P-Parametri'!$B$11*F59)</f>
        <v/>
      </c>
      <c r="G66" s="14">
        <f>IF(MAX(0,G64-G65)&lt;=0,0,'P-Parametri'!$B$11*G59)</f>
        <v/>
      </c>
      <c r="H66" s="14">
        <f>IF(MAX(0,H64-H65)&lt;=0,0,'P-Parametri'!$B$11*H59)</f>
        <v/>
      </c>
      <c r="I66" s="14">
        <f>IF(MAX(0,I64-I65)&lt;=0,0,'P-Parametri'!$B$11*I59)</f>
        <v/>
      </c>
      <c r="J66" s="14">
        <f>IF(MAX(0,J64-J65)&lt;=0,0,'P-Parametri'!$B$11*J59)</f>
        <v/>
      </c>
      <c r="K66" s="14">
        <f>IF(MAX(0,K64-K65)&lt;=0,0,'P-Parametri'!$B$11*K59)</f>
        <v/>
      </c>
      <c r="L66" s="14">
        <f>IF(MAX(0,L64-L65)&lt;=0,0,'P-Parametri'!$B$11*L59)</f>
        <v/>
      </c>
      <c r="M66" s="14">
        <f>IF(MAX(0,M64-M65)&lt;=0,0,'P-Parametri'!$B$11*M59)</f>
        <v/>
      </c>
      <c r="N66" s="14">
        <f>IF(MAX(0,N64-N65)&lt;=0,0,'P-Parametri'!$B$11*N59)</f>
        <v/>
      </c>
      <c r="O66" s="14">
        <f>IF(MAX(0,O64-O65)&lt;=0,0,'P-Parametri'!$B$11*O59)</f>
        <v/>
      </c>
      <c r="P66" s="14">
        <f>IF(MAX(0,P64-P65)&lt;=0,0,'P-Parametri'!$B$11*P59)</f>
        <v/>
      </c>
      <c r="Q66" s="14">
        <f>IF(MAX(0,Q64-Q65)&lt;=0,0,'P-Parametri'!$B$11*Q59)</f>
        <v/>
      </c>
      <c r="R66" s="14">
        <f>IF(MAX(0,R64-R65)&lt;=0,0,'P-Parametri'!$B$11*R59)</f>
        <v/>
      </c>
      <c r="S66" s="14">
        <f>IF(MAX(0,S64-S65)&lt;=0,0,'P-Parametri'!$B$11*S59)</f>
        <v/>
      </c>
    </row>
    <row r="67">
      <c r="A67" s="8" t="inlineStr">
        <is>
          <t>PENSIONE NETTA — marito</t>
        </is>
      </c>
      <c r="B67" s="14">
        <f>B59-MAX(0,B64-B65)-B66</f>
        <v/>
      </c>
      <c r="C67" s="14">
        <f>C59-MAX(0,C64-C65)-C66</f>
        <v/>
      </c>
      <c r="D67" s="14">
        <f>D59-MAX(0,D64-D65)-D66</f>
        <v/>
      </c>
      <c r="E67" s="14">
        <f>E59-MAX(0,E64-E65)-E66</f>
        <v/>
      </c>
      <c r="F67" s="14">
        <f>F59-MAX(0,F64-F65)-F66</f>
        <v/>
      </c>
      <c r="G67" s="14">
        <f>G59-MAX(0,G64-G65)-G66</f>
        <v/>
      </c>
      <c r="H67" s="14">
        <f>H59-MAX(0,H64-H65)-H66</f>
        <v/>
      </c>
      <c r="I67" s="14">
        <f>I59-MAX(0,I64-I65)-I66</f>
        <v/>
      </c>
      <c r="J67" s="14">
        <f>J59-MAX(0,J64-J65)-J66</f>
        <v/>
      </c>
      <c r="K67" s="14">
        <f>K59-MAX(0,K64-K65)-K66</f>
        <v/>
      </c>
      <c r="L67" s="14">
        <f>L59-MAX(0,L64-L65)-L66</f>
        <v/>
      </c>
      <c r="M67" s="14">
        <f>M59-MAX(0,M64-M65)-M66</f>
        <v/>
      </c>
      <c r="N67" s="14">
        <f>N59-MAX(0,N64-N65)-N66</f>
        <v/>
      </c>
      <c r="O67" s="14">
        <f>O59-MAX(0,O64-O65)-O66</f>
        <v/>
      </c>
      <c r="P67" s="14">
        <f>P59-MAX(0,P64-P65)-P66</f>
        <v/>
      </c>
      <c r="Q67" s="14">
        <f>Q59-MAX(0,Q64-Q65)-Q66</f>
        <v/>
      </c>
      <c r="R67" s="14">
        <f>R59-MAX(0,R64-R65)-R66</f>
        <v/>
      </c>
      <c r="S67" s="14">
        <f>S59-MAX(0,S64-S65)-S66</f>
        <v/>
      </c>
    </row>
    <row r="68">
      <c r="A68" s="8" t="inlineStr">
        <is>
          <t>Pensioni nette di coppia</t>
        </is>
      </c>
      <c r="B68" s="14">
        <f>B63+B67</f>
        <v/>
      </c>
      <c r="C68" s="14">
        <f>C63+C67</f>
        <v/>
      </c>
      <c r="D68" s="14">
        <f>D63+D67</f>
        <v/>
      </c>
      <c r="E68" s="14">
        <f>E63+E67</f>
        <v/>
      </c>
      <c r="F68" s="14">
        <f>F63+F67</f>
        <v/>
      </c>
      <c r="G68" s="14">
        <f>G63+G67</f>
        <v/>
      </c>
      <c r="H68" s="14">
        <f>H63+H67</f>
        <v/>
      </c>
      <c r="I68" s="14">
        <f>I63+I67</f>
        <v/>
      </c>
      <c r="J68" s="14">
        <f>J63+J67</f>
        <v/>
      </c>
      <c r="K68" s="14">
        <f>K63+K67</f>
        <v/>
      </c>
      <c r="L68" s="14">
        <f>L63+L67</f>
        <v/>
      </c>
      <c r="M68" s="14">
        <f>M63+M67</f>
        <v/>
      </c>
      <c r="N68" s="14">
        <f>N63+N67</f>
        <v/>
      </c>
      <c r="O68" s="14">
        <f>O63+O67</f>
        <v/>
      </c>
      <c r="P68" s="14">
        <f>P63+P67</f>
        <v/>
      </c>
      <c r="Q68" s="14">
        <f>Q63+Q67</f>
        <v/>
      </c>
      <c r="R68" s="14">
        <f>R63+R67</f>
        <v/>
      </c>
      <c r="S68" s="14">
        <f>S63+S67</f>
        <v/>
      </c>
    </row>
    <row r="69">
      <c r="A69" s="8" t="inlineStr">
        <is>
          <t>Capitale alla valutazione</t>
        </is>
      </c>
      <c r="B69" s="14">
        <f>IF(B45&gt;0,B45,'2-Composizione'!$B$36*(1+B46)^B49+B30*IF(B46=0,B49,(1+B46)*((1+B46)^B49-1)/B46))</f>
        <v/>
      </c>
      <c r="C69" s="14">
        <f>IF(C45&gt;0,C45,'2-Composizione'!$B$36*(1+C46)^C49+C30*IF(C46=0,C49,(1+C46)*((1+C46)^C49-1)/C46))</f>
        <v/>
      </c>
      <c r="D69" s="14">
        <f>IF(D45&gt;0,D45,'2-Composizione'!$B$36*(1+D46)^D49+D30*IF(D46=0,D49,(1+D46)*((1+D46)^D49-1)/D46))</f>
        <v/>
      </c>
      <c r="E69" s="14">
        <f>IF(E45&gt;0,E45,'2-Composizione'!$B$36*(1+E46)^E49+E30*IF(E46=0,E49,(1+E46)*((1+E46)^E49-1)/E46))</f>
        <v/>
      </c>
      <c r="F69" s="14">
        <f>IF(F45&gt;0,F45,'2-Composizione'!$B$36*(1+F46)^F49+F30*IF(F46=0,F49,(1+F46)*((1+F46)^F49-1)/F46))</f>
        <v/>
      </c>
      <c r="G69" s="14">
        <f>IF(G45&gt;0,G45,'2-Composizione'!$B$36*(1+G46)^G49+G30*IF(G46=0,G49,(1+G46)*((1+G46)^G49-1)/G46))</f>
        <v/>
      </c>
      <c r="H69" s="14">
        <f>IF(H45&gt;0,H45,'2-Composizione'!$B$36*(1+H46)^H49+H30*IF(H46=0,H49,(1+H46)*((1+H46)^H49-1)/H46))</f>
        <v/>
      </c>
      <c r="I69" s="14">
        <f>IF(I45&gt;0,I45,'2-Composizione'!$B$36*(1+I46)^I49+I30*IF(I46=0,I49,(1+I46)*((1+I46)^I49-1)/I46))</f>
        <v/>
      </c>
      <c r="J69" s="14">
        <f>IF(J45&gt;0,J45,'2-Composizione'!$B$36*(1+J46)^J49+J30*IF(J46=0,J49,(1+J46)*((1+J46)^J49-1)/J46))</f>
        <v/>
      </c>
      <c r="K69" s="14">
        <f>IF(K45&gt;0,K45,'2-Composizione'!$B$36*(1+K46)^K49+K30*IF(K46=0,K49,(1+K46)*((1+K46)^K49-1)/K46))</f>
        <v/>
      </c>
      <c r="L69" s="14">
        <f>IF(L45&gt;0,L45,'2-Composizione'!$B$36*(1+L46)^L49+L30*IF(L46=0,L49,(1+L46)*((1+L46)^L49-1)/L46))</f>
        <v/>
      </c>
      <c r="M69" s="14">
        <f>IF(M45&gt;0,M45,'2-Composizione'!$B$36*(1+M46)^M49+M30*IF(M46=0,M49,(1+M46)*((1+M46)^M49-1)/M46))</f>
        <v/>
      </c>
      <c r="N69" s="14">
        <f>IF(N45&gt;0,N45,'2-Composizione'!$B$36*(1+N46)^N49+N30*IF(N46=0,N49,(1+N46)*((1+N46)^N49-1)/N46))</f>
        <v/>
      </c>
      <c r="O69" s="14">
        <f>IF(O45&gt;0,O45,'2-Composizione'!$B$36*(1+O46)^O49+O30*IF(O46=0,O49,(1+O46)*((1+O46)^O49-1)/O46))</f>
        <v/>
      </c>
      <c r="P69" s="14">
        <f>IF(P45&gt;0,P45,'2-Composizione'!$B$36*(1+P46)^P49+P30*IF(P46=0,P49,(1+P46)*((1+P46)^P49-1)/P46))</f>
        <v/>
      </c>
      <c r="Q69" s="14">
        <f>IF(Q45&gt;0,Q45,'2-Composizione'!$B$36*(1+Q46)^Q49+Q30*IF(Q46=0,Q49,(1+Q46)*((1+Q46)^Q49-1)/Q46))</f>
        <v/>
      </c>
      <c r="R69" s="14">
        <f>IF(R45&gt;0,R45,'2-Composizione'!$B$36*(1+R46)^R49+R30*IF(R46=0,R49,(1+R46)*((1+R46)^R49-1)/R46))</f>
        <v/>
      </c>
      <c r="S69" s="14">
        <f>IF(S45&gt;0,S45,'2-Composizione'!$B$36*(1+S46)^S49+S30*IF(S46=0,S49,(1+S46)*((1+S46)^S49-1)/S46))</f>
        <v/>
      </c>
    </row>
    <row r="70">
      <c r="A70" s="8" t="inlineStr">
        <is>
          <t>Base di costo alla valutazione</t>
        </is>
      </c>
      <c r="B70" s="14">
        <f>'2-Composizione'!$B$37+B49*B30</f>
        <v/>
      </c>
      <c r="C70" s="14">
        <f>'2-Composizione'!$B$37+C49*C30</f>
        <v/>
      </c>
      <c r="D70" s="14">
        <f>'2-Composizione'!$B$37+D49*D30</f>
        <v/>
      </c>
      <c r="E70" s="14">
        <f>'2-Composizione'!$B$37+E49*E30</f>
        <v/>
      </c>
      <c r="F70" s="14">
        <f>'2-Composizione'!$B$37+F49*F30</f>
        <v/>
      </c>
      <c r="G70" s="14">
        <f>'2-Composizione'!$B$37+G49*G30</f>
        <v/>
      </c>
      <c r="H70" s="14">
        <f>'2-Composizione'!$B$37+H49*H30</f>
        <v/>
      </c>
      <c r="I70" s="14">
        <f>'2-Composizione'!$B$37+I49*I30</f>
        <v/>
      </c>
      <c r="J70" s="14">
        <f>'2-Composizione'!$B$37+J49*J30</f>
        <v/>
      </c>
      <c r="K70" s="14">
        <f>'2-Composizione'!$B$37+K49*K30</f>
        <v/>
      </c>
      <c r="L70" s="14">
        <f>'2-Composizione'!$B$37+L49*L30</f>
        <v/>
      </c>
      <c r="M70" s="14">
        <f>'2-Composizione'!$B$37+M49*M30</f>
        <v/>
      </c>
      <c r="N70" s="14">
        <f>'2-Composizione'!$B$37+N49*N30</f>
        <v/>
      </c>
      <c r="O70" s="14">
        <f>'2-Composizione'!$B$37+O49*O30</f>
        <v/>
      </c>
      <c r="P70" s="14">
        <f>'2-Composizione'!$B$37+P49*P30</f>
        <v/>
      </c>
      <c r="Q70" s="14">
        <f>'2-Composizione'!$B$37+Q49*Q30</f>
        <v/>
      </c>
      <c r="R70" s="14">
        <f>'2-Composizione'!$B$37+R49*R30</f>
        <v/>
      </c>
      <c r="S70" s="14">
        <f>'2-Composizione'!$B$37+S49*S30</f>
        <v/>
      </c>
    </row>
    <row r="71">
      <c r="A71" s="8" t="inlineStr">
        <is>
          <t>Plusvalenza latente (floor a zero)</t>
        </is>
      </c>
      <c r="B71" s="19">
        <f>MAX(0,(B69-B70)/B69)</f>
        <v/>
      </c>
      <c r="C71" s="19">
        <f>MAX(0,(C69-C70)/C69)</f>
        <v/>
      </c>
      <c r="D71" s="19">
        <f>MAX(0,(D69-D70)/D69)</f>
        <v/>
      </c>
      <c r="E71" s="19">
        <f>MAX(0,(E69-E70)/E69)</f>
        <v/>
      </c>
      <c r="F71" s="19">
        <f>MAX(0,(F69-F70)/F69)</f>
        <v/>
      </c>
      <c r="G71" s="19">
        <f>MAX(0,(G69-G70)/G69)</f>
        <v/>
      </c>
      <c r="H71" s="19">
        <f>MAX(0,(H69-H70)/H69)</f>
        <v/>
      </c>
      <c r="I71" s="19">
        <f>MAX(0,(I69-I70)/I69)</f>
        <v/>
      </c>
      <c r="J71" s="19">
        <f>MAX(0,(J69-J70)/J69)</f>
        <v/>
      </c>
      <c r="K71" s="19">
        <f>MAX(0,(K69-K70)/K69)</f>
        <v/>
      </c>
      <c r="L71" s="19">
        <f>MAX(0,(L69-L70)/L69)</f>
        <v/>
      </c>
      <c r="M71" s="19">
        <f>MAX(0,(M69-M70)/M69)</f>
        <v/>
      </c>
      <c r="N71" s="19">
        <f>MAX(0,(N69-N70)/N69)</f>
        <v/>
      </c>
      <c r="O71" s="19">
        <f>MAX(0,(O69-O70)/O69)</f>
        <v/>
      </c>
      <c r="P71" s="19">
        <f>MAX(0,(P69-P70)/P69)</f>
        <v/>
      </c>
      <c r="Q71" s="19">
        <f>MAX(0,(Q69-Q70)/Q69)</f>
        <v/>
      </c>
      <c r="R71" s="19">
        <f>MAX(0,(R69-R70)/R69)</f>
        <v/>
      </c>
      <c r="S71" s="19">
        <f>MAX(0,(S69-S70)/S69)</f>
        <v/>
      </c>
    </row>
    <row r="72">
      <c r="A72" s="8" t="inlineStr">
        <is>
          <t>Fattore di lordizzazione G</t>
        </is>
      </c>
      <c r="B72" s="26">
        <f>1/(1-'P-Parametri'!$B$31*B71)</f>
        <v/>
      </c>
      <c r="C72" s="26">
        <f>1/(1-'P-Parametri'!$B$31*C71)</f>
        <v/>
      </c>
      <c r="D72" s="26">
        <f>1/(1-'P-Parametri'!$B$31*D71)</f>
        <v/>
      </c>
      <c r="E72" s="26">
        <f>1/(1-'P-Parametri'!$B$31*E71)</f>
        <v/>
      </c>
      <c r="F72" s="26">
        <f>1/(1-'P-Parametri'!$B$31*F71)</f>
        <v/>
      </c>
      <c r="G72" s="26">
        <f>1/(1-'P-Parametri'!$B$31*G71)</f>
        <v/>
      </c>
      <c r="H72" s="26">
        <f>1/(1-'P-Parametri'!$B$31*H71)</f>
        <v/>
      </c>
      <c r="I72" s="26">
        <f>1/(1-'P-Parametri'!$B$31*I71)</f>
        <v/>
      </c>
      <c r="J72" s="26">
        <f>1/(1-'P-Parametri'!$B$31*J71)</f>
        <v/>
      </c>
      <c r="K72" s="26">
        <f>1/(1-'P-Parametri'!$B$31*K71)</f>
        <v/>
      </c>
      <c r="L72" s="26">
        <f>1/(1-'P-Parametri'!$B$31*L71)</f>
        <v/>
      </c>
      <c r="M72" s="26">
        <f>1/(1-'P-Parametri'!$B$31*M71)</f>
        <v/>
      </c>
      <c r="N72" s="26">
        <f>1/(1-'P-Parametri'!$B$31*N71)</f>
        <v/>
      </c>
      <c r="O72" s="26">
        <f>1/(1-'P-Parametri'!$B$31*O71)</f>
        <v/>
      </c>
      <c r="P72" s="26">
        <f>1/(1-'P-Parametri'!$B$31*P71)</f>
        <v/>
      </c>
      <c r="Q72" s="26">
        <f>1/(1-'P-Parametri'!$B$31*Q71)</f>
        <v/>
      </c>
      <c r="R72" s="26">
        <f>1/(1-'P-Parametri'!$B$31*R71)</f>
        <v/>
      </c>
      <c r="S72" s="26">
        <f>1/(1-'P-Parametri'!$B$31*S71)</f>
        <v/>
      </c>
    </row>
    <row r="73">
      <c r="A73" s="8" t="inlineStr">
        <is>
          <t>Valore attuale netto del fabbisogno</t>
        </is>
      </c>
      <c r="B73" s="14">
        <f>SUM(B82:B115)</f>
        <v/>
      </c>
      <c r="C73" s="14">
        <f>SUM(C82:C115)</f>
        <v/>
      </c>
      <c r="D73" s="14">
        <f>SUM(D82:D115)</f>
        <v/>
      </c>
      <c r="E73" s="14">
        <f>SUM(E82:E115)</f>
        <v/>
      </c>
      <c r="F73" s="14">
        <f>SUM(F82:F115)</f>
        <v/>
      </c>
      <c r="G73" s="14">
        <f>SUM(G82:G115)</f>
        <v/>
      </c>
      <c r="H73" s="14">
        <f>SUM(H82:H115)</f>
        <v/>
      </c>
      <c r="I73" s="14">
        <f>SUM(I82:I115)</f>
        <v/>
      </c>
      <c r="J73" s="14">
        <f>SUM(J82:J115)</f>
        <v/>
      </c>
      <c r="K73" s="14">
        <f>SUM(K82:K115)</f>
        <v/>
      </c>
      <c r="L73" s="14">
        <f>SUM(L82:L115)</f>
        <v/>
      </c>
      <c r="M73" s="14">
        <f>SUM(M82:M115)</f>
        <v/>
      </c>
      <c r="N73" s="14">
        <f>SUM(N82:N115)</f>
        <v/>
      </c>
      <c r="O73" s="14">
        <f>SUM(O82:O115)</f>
        <v/>
      </c>
      <c r="P73" s="14">
        <f>SUM(P82:P115)</f>
        <v/>
      </c>
      <c r="Q73" s="14">
        <f>SUM(Q82:Q115)</f>
        <v/>
      </c>
      <c r="R73" s="14">
        <f>SUM(R82:R115)</f>
        <v/>
      </c>
      <c r="S73" s="14">
        <f>SUM(S82:S115)</f>
        <v/>
      </c>
    </row>
    <row r="74">
      <c r="A74" s="8" t="inlineStr">
        <is>
          <t>FABBISOGNO LORDO (in capitale)</t>
        </is>
      </c>
      <c r="B74" s="14">
        <f>B73*B72</f>
        <v/>
      </c>
      <c r="C74" s="14">
        <f>C73*C72</f>
        <v/>
      </c>
      <c r="D74" s="14">
        <f>D73*D72</f>
        <v/>
      </c>
      <c r="E74" s="14">
        <f>E73*E72</f>
        <v/>
      </c>
      <c r="F74" s="14">
        <f>F73*F72</f>
        <v/>
      </c>
      <c r="G74" s="14">
        <f>G73*G72</f>
        <v/>
      </c>
      <c r="H74" s="14">
        <f>H73*H72</f>
        <v/>
      </c>
      <c r="I74" s="14">
        <f>I73*I72</f>
        <v/>
      </c>
      <c r="J74" s="14">
        <f>J73*J72</f>
        <v/>
      </c>
      <c r="K74" s="14">
        <f>K73*K72</f>
        <v/>
      </c>
      <c r="L74" s="14">
        <f>L73*L72</f>
        <v/>
      </c>
      <c r="M74" s="14">
        <f>M73*M72</f>
        <v/>
      </c>
      <c r="N74" s="14">
        <f>N73*N72</f>
        <v/>
      </c>
      <c r="O74" s="14">
        <f>O73*O72</f>
        <v/>
      </c>
      <c r="P74" s="14">
        <f>P73*P72</f>
        <v/>
      </c>
      <c r="Q74" s="14">
        <f>Q73*Q72</f>
        <v/>
      </c>
      <c r="R74" s="14">
        <f>R73*R72</f>
        <v/>
      </c>
      <c r="S74" s="14">
        <f>S73*S72</f>
        <v/>
      </c>
    </row>
    <row r="75">
      <c r="A75" s="8" t="inlineStr">
        <is>
          <t>TFR netto alla valutazione</t>
        </is>
      </c>
      <c r="B75" s="14">
        <f>CHOOSE(B31+1,'6-TFR'!$B$24,'6-TFR'!$C$24,'6-TFR'!$D$24)</f>
        <v/>
      </c>
      <c r="C75" s="14">
        <f>CHOOSE(C31+1,'6-TFR'!$B$24,'6-TFR'!$C$24,'6-TFR'!$D$24)</f>
        <v/>
      </c>
      <c r="D75" s="14">
        <f>CHOOSE(D31+1,'6-TFR'!$B$24,'6-TFR'!$C$24,'6-TFR'!$D$24)</f>
        <v/>
      </c>
      <c r="E75" s="14">
        <f>CHOOSE(E31+1,'6-TFR'!$B$24,'6-TFR'!$C$24,'6-TFR'!$D$24)</f>
        <v/>
      </c>
      <c r="F75" s="14">
        <f>CHOOSE(F31+1,'6-TFR'!$B$24,'6-TFR'!$C$24,'6-TFR'!$D$24)</f>
        <v/>
      </c>
      <c r="G75" s="14">
        <f>CHOOSE(G31+1,'6-TFR'!$B$24,'6-TFR'!$C$24,'6-TFR'!$D$24)</f>
        <v/>
      </c>
      <c r="H75" s="14">
        <f>CHOOSE(H31+1,'6-TFR'!$B$24,'6-TFR'!$C$24,'6-TFR'!$D$24)</f>
        <v/>
      </c>
      <c r="I75" s="14">
        <f>CHOOSE(I31+1,'6-TFR'!$B$24,'6-TFR'!$C$24,'6-TFR'!$D$24)</f>
        <v/>
      </c>
      <c r="J75" s="14">
        <f>CHOOSE(J31+1,'6-TFR'!$B$24,'6-TFR'!$C$24,'6-TFR'!$D$24)</f>
        <v/>
      </c>
      <c r="K75" s="14">
        <f>CHOOSE(K31+1,'6-TFR'!$B$24,'6-TFR'!$C$24,'6-TFR'!$D$24)</f>
        <v/>
      </c>
      <c r="L75" s="14">
        <f>CHOOSE(L31+1,'6-TFR'!$B$24,'6-TFR'!$C$24,'6-TFR'!$D$24)</f>
        <v/>
      </c>
      <c r="M75" s="14">
        <f>CHOOSE(M31+1,'6-TFR'!$B$24,'6-TFR'!$C$24,'6-TFR'!$D$24)</f>
        <v/>
      </c>
      <c r="N75" s="14">
        <f>CHOOSE(N31+1,'6-TFR'!$B$24,'6-TFR'!$C$24,'6-TFR'!$D$24)</f>
        <v/>
      </c>
      <c r="O75" s="14">
        <f>CHOOSE(O31+1,'6-TFR'!$B$24,'6-TFR'!$C$24,'6-TFR'!$D$24)</f>
        <v/>
      </c>
      <c r="P75" s="14">
        <f>CHOOSE(P31+1,'6-TFR'!$B$24,'6-TFR'!$C$24,'6-TFR'!$D$24)</f>
        <v/>
      </c>
      <c r="Q75" s="14">
        <f>CHOOSE(Q31+1,'6-TFR'!$B$24,'6-TFR'!$C$24,'6-TFR'!$D$24)</f>
        <v/>
      </c>
      <c r="R75" s="14">
        <f>CHOOSE(R31+1,'6-TFR'!$B$24,'6-TFR'!$C$24,'6-TFR'!$D$24)</f>
        <v/>
      </c>
      <c r="S75" s="14">
        <f>CHOOSE(S31+1,'6-TFR'!$B$24,'6-TFR'!$C$24,'6-TFR'!$D$24)</f>
        <v/>
      </c>
    </row>
    <row r="76">
      <c r="A76" s="8" t="inlineStr">
        <is>
          <t>FABBISOGNO FINANZIARIO (floor a zero)</t>
        </is>
      </c>
      <c r="B76" s="14">
        <f>MAX(0,(B73-B75)*B72)</f>
        <v/>
      </c>
      <c r="C76" s="14">
        <f>MAX(0,(C73-C75)*C72)</f>
        <v/>
      </c>
      <c r="D76" s="14">
        <f>MAX(0,(D73-D75)*D72)</f>
        <v/>
      </c>
      <c r="E76" s="14">
        <f>MAX(0,(E73-E75)*E72)</f>
        <v/>
      </c>
      <c r="F76" s="14">
        <f>MAX(0,(F73-F75)*F72)</f>
        <v/>
      </c>
      <c r="G76" s="14">
        <f>MAX(0,(G73-G75)*G72)</f>
        <v/>
      </c>
      <c r="H76" s="14">
        <f>MAX(0,(H73-H75)*H72)</f>
        <v/>
      </c>
      <c r="I76" s="14">
        <f>MAX(0,(I73-I75)*I72)</f>
        <v/>
      </c>
      <c r="J76" s="14">
        <f>MAX(0,(J73-J75)*J72)</f>
        <v/>
      </c>
      <c r="K76" s="14">
        <f>MAX(0,(K73-K75)*K72)</f>
        <v/>
      </c>
      <c r="L76" s="14">
        <f>MAX(0,(L73-L75)*L72)</f>
        <v/>
      </c>
      <c r="M76" s="14">
        <f>MAX(0,(M73-M75)*M72)</f>
        <v/>
      </c>
      <c r="N76" s="14">
        <f>MAX(0,(N73-N75)*N72)</f>
        <v/>
      </c>
      <c r="O76" s="14">
        <f>MAX(0,(O73-O75)*O72)</f>
        <v/>
      </c>
      <c r="P76" s="14">
        <f>MAX(0,(P73-P75)*P72)</f>
        <v/>
      </c>
      <c r="Q76" s="14">
        <f>MAX(0,(Q73-Q75)*Q72)</f>
        <v/>
      </c>
      <c r="R76" s="14">
        <f>MAX(0,(R73-R75)*R72)</f>
        <v/>
      </c>
      <c r="S76" s="14">
        <f>MAX(0,(S73-S75)*S72)</f>
        <v/>
      </c>
    </row>
    <row r="77">
      <c r="A77" s="8" t="inlineStr">
        <is>
          <t>Posizione netta = capitale meno fabbisogno</t>
        </is>
      </c>
      <c r="B77" s="14">
        <f>B69-B76</f>
        <v/>
      </c>
      <c r="C77" s="14">
        <f>C69-C76</f>
        <v/>
      </c>
      <c r="D77" s="14">
        <f>D69-D76</f>
        <v/>
      </c>
      <c r="E77" s="14">
        <f>E69-E76</f>
        <v/>
      </c>
      <c r="F77" s="14">
        <f>F69-F76</f>
        <v/>
      </c>
      <c r="G77" s="14">
        <f>G69-G76</f>
        <v/>
      </c>
      <c r="H77" s="14">
        <f>H69-H76</f>
        <v/>
      </c>
      <c r="I77" s="14">
        <f>I69-I76</f>
        <v/>
      </c>
      <c r="J77" s="14">
        <f>J69-J76</f>
        <v/>
      </c>
      <c r="K77" s="14">
        <f>K69-K76</f>
        <v/>
      </c>
      <c r="L77" s="14">
        <f>L69-L76</f>
        <v/>
      </c>
      <c r="M77" s="14">
        <f>M69-M76</f>
        <v/>
      </c>
      <c r="N77" s="14">
        <f>N69-N76</f>
        <v/>
      </c>
      <c r="O77" s="14">
        <f>O69-O76</f>
        <v/>
      </c>
      <c r="P77" s="14">
        <f>P69-P76</f>
        <v/>
      </c>
      <c r="Q77" s="14">
        <f>Q69-Q76</f>
        <v/>
      </c>
      <c r="R77" s="14">
        <f>R69-R76</f>
        <v/>
      </c>
      <c r="S77" s="14">
        <f>S69-S76</f>
        <v/>
      </c>
    </row>
    <row r="78">
      <c r="A78" s="8" t="inlineStr">
        <is>
          <t>Posizione scontata a fine ritiro</t>
        </is>
      </c>
      <c r="B78" s="14">
        <f>B77/(1+'1-Input'!$B$46)^B31</f>
        <v/>
      </c>
      <c r="C78" s="14">
        <f>C77/(1+'1-Input'!$B$46)^C31</f>
        <v/>
      </c>
      <c r="D78" s="14">
        <f>D77/(1+'1-Input'!$B$46)^D31</f>
        <v/>
      </c>
      <c r="E78" s="14">
        <f>E77/(1+'1-Input'!$B$46)^E31</f>
        <v/>
      </c>
      <c r="F78" s="14">
        <f>F77/(1+'1-Input'!$B$46)^F31</f>
        <v/>
      </c>
      <c r="G78" s="14">
        <f>G77/(1+'1-Input'!$B$46)^G31</f>
        <v/>
      </c>
      <c r="H78" s="14">
        <f>H77/(1+'1-Input'!$B$46)^H31</f>
        <v/>
      </c>
      <c r="I78" s="14">
        <f>I77/(1+'1-Input'!$B$46)^I31</f>
        <v/>
      </c>
      <c r="J78" s="14">
        <f>J77/(1+'1-Input'!$B$46)^J31</f>
        <v/>
      </c>
      <c r="K78" s="14">
        <f>K77/(1+'1-Input'!$B$46)^K31</f>
        <v/>
      </c>
      <c r="L78" s="14">
        <f>L77/(1+'1-Input'!$B$46)^L31</f>
        <v/>
      </c>
      <c r="M78" s="14">
        <f>M77/(1+'1-Input'!$B$46)^M31</f>
        <v/>
      </c>
      <c r="N78" s="14">
        <f>N77/(1+'1-Input'!$B$46)^N31</f>
        <v/>
      </c>
      <c r="O78" s="14">
        <f>O77/(1+'1-Input'!$B$46)^O31</f>
        <v/>
      </c>
      <c r="P78" s="14">
        <f>P77/(1+'1-Input'!$B$46)^P31</f>
        <v/>
      </c>
      <c r="Q78" s="14">
        <f>Q77/(1+'1-Input'!$B$46)^Q31</f>
        <v/>
      </c>
      <c r="R78" s="14">
        <f>R77/(1+'1-Input'!$B$46)^R31</f>
        <v/>
      </c>
      <c r="S78" s="14">
        <f>S77/(1+'1-Input'!$B$46)^S31</f>
        <v/>
      </c>
    </row>
    <row r="79">
      <c r="A79" s="8" t="inlineStr">
        <is>
          <t>DELTA contro la base</t>
        </is>
      </c>
      <c r="C79" s="14">
        <f>C78-B78</f>
        <v/>
      </c>
      <c r="D79" s="14">
        <f>D78-B78</f>
        <v/>
      </c>
      <c r="E79" s="14">
        <f>E78-B78</f>
        <v/>
      </c>
      <c r="F79" s="14">
        <f>F78-B78</f>
        <v/>
      </c>
      <c r="G79" s="14">
        <f>G78-B78</f>
        <v/>
      </c>
      <c r="H79" s="14">
        <f>H78-B78</f>
        <v/>
      </c>
      <c r="I79" s="14">
        <f>I78-B78</f>
        <v/>
      </c>
      <c r="J79" s="14">
        <f>J78-B78</f>
        <v/>
      </c>
      <c r="L79" s="14">
        <f>L78-K78</f>
        <v/>
      </c>
      <c r="M79" s="14">
        <f>M78-K78</f>
        <v/>
      </c>
      <c r="N79" s="14">
        <f>N78-K78</f>
        <v/>
      </c>
      <c r="O79" s="14">
        <f>O78-K78</f>
        <v/>
      </c>
      <c r="P79" s="14">
        <f>P78-K78</f>
        <v/>
      </c>
      <c r="Q79" s="14">
        <f>Q78-K78</f>
        <v/>
      </c>
      <c r="R79" s="14">
        <f>R78-K78</f>
        <v/>
      </c>
      <c r="S79" s="14">
        <f>S78-K78</f>
        <v/>
      </c>
    </row>
    <row r="81">
      <c r="A81" s="13" t="inlineStr">
        <is>
          <t>Anno del flusso — valore attuale del fabbisogno</t>
        </is>
      </c>
    </row>
    <row r="82">
      <c r="A82" s="18">
        <f>'1-Input'!$B$19+1</f>
        <v/>
      </c>
      <c r="B82" s="14">
        <f>IF(OR($A82&lt;=B48,$A82&gt;B34),0,(B29-IF($A82&lt;B50,0,IF($A82=B50,B63*B54,B63))-IF($A82&lt;B51,0,IF($A82=B51,B67*B55,B67)))/(1+B47)^($A82-B48-1))</f>
        <v/>
      </c>
      <c r="C82" s="14">
        <f>IF(OR($A82&lt;=C48,$A82&gt;C34),0,(C29-IF($A82&lt;C50,0,IF($A82=C50,C63*C54,C63))-IF($A82&lt;C51,0,IF($A82=C51,C67*C55,C67)))/(1+C47)^($A82-C48-1))</f>
        <v/>
      </c>
      <c r="D82" s="14">
        <f>IF(OR($A82&lt;=D48,$A82&gt;D34),0,(D29-IF($A82&lt;D50,0,IF($A82=D50,D63*D54,D63))-IF($A82&lt;D51,0,IF($A82=D51,D67*D55,D67)))/(1+D47)^($A82-D48-1))</f>
        <v/>
      </c>
      <c r="E82" s="14">
        <f>IF(OR($A82&lt;=E48,$A82&gt;E34),0,(E29-IF($A82&lt;E50,0,IF($A82=E50,E63*E54,E63))-IF($A82&lt;E51,0,IF($A82=E51,E67*E55,E67)))/(1+E47)^($A82-E48-1))</f>
        <v/>
      </c>
      <c r="F82" s="14">
        <f>IF(OR($A82&lt;=F48,$A82&gt;F34),0,(F29-IF($A82&lt;F50,0,IF($A82=F50,F63*F54,F63))-IF($A82&lt;F51,0,IF($A82=F51,F67*F55,F67)))/(1+F47)^($A82-F48-1))</f>
        <v/>
      </c>
      <c r="G82" s="14">
        <f>IF(OR($A82&lt;=G48,$A82&gt;G34),0,(G29-IF($A82&lt;G50,0,IF($A82=G50,G63*G54,G63))-IF($A82&lt;G51,0,IF($A82=G51,G67*G55,G67)))/(1+G47)^($A82-G48-1))</f>
        <v/>
      </c>
      <c r="H82" s="14">
        <f>IF(OR($A82&lt;=H48,$A82&gt;H34),0,(H29-IF($A82&lt;H50,0,IF($A82=H50,H63*H54,H63))-IF($A82&lt;H51,0,IF($A82=H51,H67*H55,H67)))/(1+H47)^($A82-H48-1))</f>
        <v/>
      </c>
      <c r="I82" s="14">
        <f>IF(OR($A82&lt;=I48,$A82&gt;I34),0,(I29-IF($A82&lt;I50,0,IF($A82=I50,I63*I54,I63))-IF($A82&lt;I51,0,IF($A82=I51,I67*I55,I67)))/(1+I47)^($A82-I48-1))</f>
        <v/>
      </c>
      <c r="J82" s="14">
        <f>IF(OR($A82&lt;=J48,$A82&gt;J34),0,(J29-IF($A82&lt;J50,0,IF($A82=J50,J63*J54,J63))-IF($A82&lt;J51,0,IF($A82=J51,J67*J55,J67)))/(1+J47)^($A82-J48-1))</f>
        <v/>
      </c>
      <c r="K82" s="14">
        <f>IF(OR($A82&lt;=K48,$A82&gt;K34),0,(K29-IF($A82&lt;K50,0,IF($A82=K50,K63*K54,K63))-IF($A82&lt;K51,0,IF($A82=K51,K67*K55,K67)))/(1+K47)^($A82-K48-1))</f>
        <v/>
      </c>
      <c r="L82" s="14">
        <f>IF(OR($A82&lt;=L48,$A82&gt;L34),0,(L29-IF($A82&lt;L50,0,IF($A82=L50,L63*L54,L63))-IF($A82&lt;L51,0,IF($A82=L51,L67*L55,L67)))/(1+L47)^($A82-L48-1))</f>
        <v/>
      </c>
      <c r="M82" s="14">
        <f>IF(OR($A82&lt;=M48,$A82&gt;M34),0,(M29-IF($A82&lt;M50,0,IF($A82=M50,M63*M54,M63))-IF($A82&lt;M51,0,IF($A82=M51,M67*M55,M67)))/(1+M47)^($A82-M48-1))</f>
        <v/>
      </c>
      <c r="N82" s="14">
        <f>IF(OR($A82&lt;=N48,$A82&gt;N34),0,(N29-IF($A82&lt;N50,0,IF($A82=N50,N63*N54,N63))-IF($A82&lt;N51,0,IF($A82=N51,N67*N55,N67)))/(1+N47)^($A82-N48-1))</f>
        <v/>
      </c>
      <c r="O82" s="14">
        <f>IF(OR($A82&lt;=O48,$A82&gt;O34),0,(O29-IF($A82&lt;O50,0,IF($A82=O50,O63*O54,O63))-IF($A82&lt;O51,0,IF($A82=O51,O67*O55,O67)))/(1+O47)^($A82-O48-1))</f>
        <v/>
      </c>
      <c r="P82" s="14">
        <f>IF(OR($A82&lt;=P48,$A82&gt;P34),0,(P29-IF($A82&lt;P50,0,IF($A82=P50,P63*P54,P63))-IF($A82&lt;P51,0,IF($A82=P51,P67*P55,P67)))/(1+P47)^($A82-P48-1))</f>
        <v/>
      </c>
      <c r="Q82" s="14">
        <f>IF(OR($A82&lt;=Q48,$A82&gt;Q34),0,(Q29-IF($A82&lt;Q50,0,IF($A82=Q50,Q63*Q54,Q63))-IF($A82&lt;Q51,0,IF($A82=Q51,Q67*Q55,Q67)))/(1+Q47)^($A82-Q48-1))</f>
        <v/>
      </c>
      <c r="R82" s="14">
        <f>IF(OR($A82&lt;=R48,$A82&gt;R34),0,(R29-IF($A82&lt;R50,0,IF($A82=R50,R63*R54,R63))-IF($A82&lt;R51,0,IF($A82=R51,R67*R55,R67)))/(1+R47)^($A82-R48-1))</f>
        <v/>
      </c>
      <c r="S82" s="14">
        <f>IF(OR($A82&lt;=S48,$A82&gt;S34),0,(S29-IF($A82&lt;S50,0,IF($A82=S50,S63*S54,S63))-IF($A82&lt;S51,0,IF($A82=S51,S67*S55,S67)))/(1+S47)^($A82-S48-1))</f>
        <v/>
      </c>
    </row>
    <row r="83">
      <c r="A83" s="18">
        <f>A82+1</f>
        <v/>
      </c>
      <c r="B83" s="14">
        <f>IF(OR($A83&lt;=B48,$A83&gt;B34),0,(B29-IF($A83&lt;B50,0,IF($A83=B50,B63*B54,B63))-IF($A83&lt;B51,0,IF($A83=B51,B67*B55,B67)))/(1+B47)^($A83-B48-1))</f>
        <v/>
      </c>
      <c r="C83" s="14">
        <f>IF(OR($A83&lt;=C48,$A83&gt;C34),0,(C29-IF($A83&lt;C50,0,IF($A83=C50,C63*C54,C63))-IF($A83&lt;C51,0,IF($A83=C51,C67*C55,C67)))/(1+C47)^($A83-C48-1))</f>
        <v/>
      </c>
      <c r="D83" s="14">
        <f>IF(OR($A83&lt;=D48,$A83&gt;D34),0,(D29-IF($A83&lt;D50,0,IF($A83=D50,D63*D54,D63))-IF($A83&lt;D51,0,IF($A83=D51,D67*D55,D67)))/(1+D47)^($A83-D48-1))</f>
        <v/>
      </c>
      <c r="E83" s="14">
        <f>IF(OR($A83&lt;=E48,$A83&gt;E34),0,(E29-IF($A83&lt;E50,0,IF($A83=E50,E63*E54,E63))-IF($A83&lt;E51,0,IF($A83=E51,E67*E55,E67)))/(1+E47)^($A83-E48-1))</f>
        <v/>
      </c>
      <c r="F83" s="14">
        <f>IF(OR($A83&lt;=F48,$A83&gt;F34),0,(F29-IF($A83&lt;F50,0,IF($A83=F50,F63*F54,F63))-IF($A83&lt;F51,0,IF($A83=F51,F67*F55,F67)))/(1+F47)^($A83-F48-1))</f>
        <v/>
      </c>
      <c r="G83" s="14">
        <f>IF(OR($A83&lt;=G48,$A83&gt;G34),0,(G29-IF($A83&lt;G50,0,IF($A83=G50,G63*G54,G63))-IF($A83&lt;G51,0,IF($A83=G51,G67*G55,G67)))/(1+G47)^($A83-G48-1))</f>
        <v/>
      </c>
      <c r="H83" s="14">
        <f>IF(OR($A83&lt;=H48,$A83&gt;H34),0,(H29-IF($A83&lt;H50,0,IF($A83=H50,H63*H54,H63))-IF($A83&lt;H51,0,IF($A83=H51,H67*H55,H67)))/(1+H47)^($A83-H48-1))</f>
        <v/>
      </c>
      <c r="I83" s="14">
        <f>IF(OR($A83&lt;=I48,$A83&gt;I34),0,(I29-IF($A83&lt;I50,0,IF($A83=I50,I63*I54,I63))-IF($A83&lt;I51,0,IF($A83=I51,I67*I55,I67)))/(1+I47)^($A83-I48-1))</f>
        <v/>
      </c>
      <c r="J83" s="14">
        <f>IF(OR($A83&lt;=J48,$A83&gt;J34),0,(J29-IF($A83&lt;J50,0,IF($A83=J50,J63*J54,J63))-IF($A83&lt;J51,0,IF($A83=J51,J67*J55,J67)))/(1+J47)^($A83-J48-1))</f>
        <v/>
      </c>
      <c r="K83" s="14">
        <f>IF(OR($A83&lt;=K48,$A83&gt;K34),0,(K29-IF($A83&lt;K50,0,IF($A83=K50,K63*K54,K63))-IF($A83&lt;K51,0,IF($A83=K51,K67*K55,K67)))/(1+K47)^($A83-K48-1))</f>
        <v/>
      </c>
      <c r="L83" s="14">
        <f>IF(OR($A83&lt;=L48,$A83&gt;L34),0,(L29-IF($A83&lt;L50,0,IF($A83=L50,L63*L54,L63))-IF($A83&lt;L51,0,IF($A83=L51,L67*L55,L67)))/(1+L47)^($A83-L48-1))</f>
        <v/>
      </c>
      <c r="M83" s="14">
        <f>IF(OR($A83&lt;=M48,$A83&gt;M34),0,(M29-IF($A83&lt;M50,0,IF($A83=M50,M63*M54,M63))-IF($A83&lt;M51,0,IF($A83=M51,M67*M55,M67)))/(1+M47)^($A83-M48-1))</f>
        <v/>
      </c>
      <c r="N83" s="14">
        <f>IF(OR($A83&lt;=N48,$A83&gt;N34),0,(N29-IF($A83&lt;N50,0,IF($A83=N50,N63*N54,N63))-IF($A83&lt;N51,0,IF($A83=N51,N67*N55,N67)))/(1+N47)^($A83-N48-1))</f>
        <v/>
      </c>
      <c r="O83" s="14">
        <f>IF(OR($A83&lt;=O48,$A83&gt;O34),0,(O29-IF($A83&lt;O50,0,IF($A83=O50,O63*O54,O63))-IF($A83&lt;O51,0,IF($A83=O51,O67*O55,O67)))/(1+O47)^($A83-O48-1))</f>
        <v/>
      </c>
      <c r="P83" s="14">
        <f>IF(OR($A83&lt;=P48,$A83&gt;P34),0,(P29-IF($A83&lt;P50,0,IF($A83=P50,P63*P54,P63))-IF($A83&lt;P51,0,IF($A83=P51,P67*P55,P67)))/(1+P47)^($A83-P48-1))</f>
        <v/>
      </c>
      <c r="Q83" s="14">
        <f>IF(OR($A83&lt;=Q48,$A83&gt;Q34),0,(Q29-IF($A83&lt;Q50,0,IF($A83=Q50,Q63*Q54,Q63))-IF($A83&lt;Q51,0,IF($A83=Q51,Q67*Q55,Q67)))/(1+Q47)^($A83-Q48-1))</f>
        <v/>
      </c>
      <c r="R83" s="14">
        <f>IF(OR($A83&lt;=R48,$A83&gt;R34),0,(R29-IF($A83&lt;R50,0,IF($A83=R50,R63*R54,R63))-IF($A83&lt;R51,0,IF($A83=R51,R67*R55,R67)))/(1+R47)^($A83-R48-1))</f>
        <v/>
      </c>
      <c r="S83" s="14">
        <f>IF(OR($A83&lt;=S48,$A83&gt;S34),0,(S29-IF($A83&lt;S50,0,IF($A83=S50,S63*S54,S63))-IF($A83&lt;S51,0,IF($A83=S51,S67*S55,S67)))/(1+S47)^($A83-S48-1))</f>
        <v/>
      </c>
    </row>
    <row r="84">
      <c r="A84" s="18">
        <f>A83+1</f>
        <v/>
      </c>
      <c r="B84" s="14">
        <f>IF(OR($A84&lt;=B48,$A84&gt;B34),0,(B29-IF($A84&lt;B50,0,IF($A84=B50,B63*B54,B63))-IF($A84&lt;B51,0,IF($A84=B51,B67*B55,B67)))/(1+B47)^($A84-B48-1))</f>
        <v/>
      </c>
      <c r="C84" s="14">
        <f>IF(OR($A84&lt;=C48,$A84&gt;C34),0,(C29-IF($A84&lt;C50,0,IF($A84=C50,C63*C54,C63))-IF($A84&lt;C51,0,IF($A84=C51,C67*C55,C67)))/(1+C47)^($A84-C48-1))</f>
        <v/>
      </c>
      <c r="D84" s="14">
        <f>IF(OR($A84&lt;=D48,$A84&gt;D34),0,(D29-IF($A84&lt;D50,0,IF($A84=D50,D63*D54,D63))-IF($A84&lt;D51,0,IF($A84=D51,D67*D55,D67)))/(1+D47)^($A84-D48-1))</f>
        <v/>
      </c>
      <c r="E84" s="14">
        <f>IF(OR($A84&lt;=E48,$A84&gt;E34),0,(E29-IF($A84&lt;E50,0,IF($A84=E50,E63*E54,E63))-IF($A84&lt;E51,0,IF($A84=E51,E67*E55,E67)))/(1+E47)^($A84-E48-1))</f>
        <v/>
      </c>
      <c r="F84" s="14">
        <f>IF(OR($A84&lt;=F48,$A84&gt;F34),0,(F29-IF($A84&lt;F50,0,IF($A84=F50,F63*F54,F63))-IF($A84&lt;F51,0,IF($A84=F51,F67*F55,F67)))/(1+F47)^($A84-F48-1))</f>
        <v/>
      </c>
      <c r="G84" s="14">
        <f>IF(OR($A84&lt;=G48,$A84&gt;G34),0,(G29-IF($A84&lt;G50,0,IF($A84=G50,G63*G54,G63))-IF($A84&lt;G51,0,IF($A84=G51,G67*G55,G67)))/(1+G47)^($A84-G48-1))</f>
        <v/>
      </c>
      <c r="H84" s="14">
        <f>IF(OR($A84&lt;=H48,$A84&gt;H34),0,(H29-IF($A84&lt;H50,0,IF($A84=H50,H63*H54,H63))-IF($A84&lt;H51,0,IF($A84=H51,H67*H55,H67)))/(1+H47)^($A84-H48-1))</f>
        <v/>
      </c>
      <c r="I84" s="14">
        <f>IF(OR($A84&lt;=I48,$A84&gt;I34),0,(I29-IF($A84&lt;I50,0,IF($A84=I50,I63*I54,I63))-IF($A84&lt;I51,0,IF($A84=I51,I67*I55,I67)))/(1+I47)^($A84-I48-1))</f>
        <v/>
      </c>
      <c r="J84" s="14">
        <f>IF(OR($A84&lt;=J48,$A84&gt;J34),0,(J29-IF($A84&lt;J50,0,IF($A84=J50,J63*J54,J63))-IF($A84&lt;J51,0,IF($A84=J51,J67*J55,J67)))/(1+J47)^($A84-J48-1))</f>
        <v/>
      </c>
      <c r="K84" s="14">
        <f>IF(OR($A84&lt;=K48,$A84&gt;K34),0,(K29-IF($A84&lt;K50,0,IF($A84=K50,K63*K54,K63))-IF($A84&lt;K51,0,IF($A84=K51,K67*K55,K67)))/(1+K47)^($A84-K48-1))</f>
        <v/>
      </c>
      <c r="L84" s="14">
        <f>IF(OR($A84&lt;=L48,$A84&gt;L34),0,(L29-IF($A84&lt;L50,0,IF($A84=L50,L63*L54,L63))-IF($A84&lt;L51,0,IF($A84=L51,L67*L55,L67)))/(1+L47)^($A84-L48-1))</f>
        <v/>
      </c>
      <c r="M84" s="14">
        <f>IF(OR($A84&lt;=M48,$A84&gt;M34),0,(M29-IF($A84&lt;M50,0,IF($A84=M50,M63*M54,M63))-IF($A84&lt;M51,0,IF($A84=M51,M67*M55,M67)))/(1+M47)^($A84-M48-1))</f>
        <v/>
      </c>
      <c r="N84" s="14">
        <f>IF(OR($A84&lt;=N48,$A84&gt;N34),0,(N29-IF($A84&lt;N50,0,IF($A84=N50,N63*N54,N63))-IF($A84&lt;N51,0,IF($A84=N51,N67*N55,N67)))/(1+N47)^($A84-N48-1))</f>
        <v/>
      </c>
      <c r="O84" s="14">
        <f>IF(OR($A84&lt;=O48,$A84&gt;O34),0,(O29-IF($A84&lt;O50,0,IF($A84=O50,O63*O54,O63))-IF($A84&lt;O51,0,IF($A84=O51,O67*O55,O67)))/(1+O47)^($A84-O48-1))</f>
        <v/>
      </c>
      <c r="P84" s="14">
        <f>IF(OR($A84&lt;=P48,$A84&gt;P34),0,(P29-IF($A84&lt;P50,0,IF($A84=P50,P63*P54,P63))-IF($A84&lt;P51,0,IF($A84=P51,P67*P55,P67)))/(1+P47)^($A84-P48-1))</f>
        <v/>
      </c>
      <c r="Q84" s="14">
        <f>IF(OR($A84&lt;=Q48,$A84&gt;Q34),0,(Q29-IF($A84&lt;Q50,0,IF($A84=Q50,Q63*Q54,Q63))-IF($A84&lt;Q51,0,IF($A84=Q51,Q67*Q55,Q67)))/(1+Q47)^($A84-Q48-1))</f>
        <v/>
      </c>
      <c r="R84" s="14">
        <f>IF(OR($A84&lt;=R48,$A84&gt;R34),0,(R29-IF($A84&lt;R50,0,IF($A84=R50,R63*R54,R63))-IF($A84&lt;R51,0,IF($A84=R51,R67*R55,R67)))/(1+R47)^($A84-R48-1))</f>
        <v/>
      </c>
      <c r="S84" s="14">
        <f>IF(OR($A84&lt;=S48,$A84&gt;S34),0,(S29-IF($A84&lt;S50,0,IF($A84=S50,S63*S54,S63))-IF($A84&lt;S51,0,IF($A84=S51,S67*S55,S67)))/(1+S47)^($A84-S48-1))</f>
        <v/>
      </c>
    </row>
    <row r="85">
      <c r="A85" s="18">
        <f>A84+1</f>
        <v/>
      </c>
      <c r="B85" s="14">
        <f>IF(OR($A85&lt;=B48,$A85&gt;B34),0,(B29-IF($A85&lt;B50,0,IF($A85=B50,B63*B54,B63))-IF($A85&lt;B51,0,IF($A85=B51,B67*B55,B67)))/(1+B47)^($A85-B48-1))</f>
        <v/>
      </c>
      <c r="C85" s="14">
        <f>IF(OR($A85&lt;=C48,$A85&gt;C34),0,(C29-IF($A85&lt;C50,0,IF($A85=C50,C63*C54,C63))-IF($A85&lt;C51,0,IF($A85=C51,C67*C55,C67)))/(1+C47)^($A85-C48-1))</f>
        <v/>
      </c>
      <c r="D85" s="14">
        <f>IF(OR($A85&lt;=D48,$A85&gt;D34),0,(D29-IF($A85&lt;D50,0,IF($A85=D50,D63*D54,D63))-IF($A85&lt;D51,0,IF($A85=D51,D67*D55,D67)))/(1+D47)^($A85-D48-1))</f>
        <v/>
      </c>
      <c r="E85" s="14">
        <f>IF(OR($A85&lt;=E48,$A85&gt;E34),0,(E29-IF($A85&lt;E50,0,IF($A85=E50,E63*E54,E63))-IF($A85&lt;E51,0,IF($A85=E51,E67*E55,E67)))/(1+E47)^($A85-E48-1))</f>
        <v/>
      </c>
      <c r="F85" s="14">
        <f>IF(OR($A85&lt;=F48,$A85&gt;F34),0,(F29-IF($A85&lt;F50,0,IF($A85=F50,F63*F54,F63))-IF($A85&lt;F51,0,IF($A85=F51,F67*F55,F67)))/(1+F47)^($A85-F48-1))</f>
        <v/>
      </c>
      <c r="G85" s="14">
        <f>IF(OR($A85&lt;=G48,$A85&gt;G34),0,(G29-IF($A85&lt;G50,0,IF($A85=G50,G63*G54,G63))-IF($A85&lt;G51,0,IF($A85=G51,G67*G55,G67)))/(1+G47)^($A85-G48-1))</f>
        <v/>
      </c>
      <c r="H85" s="14">
        <f>IF(OR($A85&lt;=H48,$A85&gt;H34),0,(H29-IF($A85&lt;H50,0,IF($A85=H50,H63*H54,H63))-IF($A85&lt;H51,0,IF($A85=H51,H67*H55,H67)))/(1+H47)^($A85-H48-1))</f>
        <v/>
      </c>
      <c r="I85" s="14">
        <f>IF(OR($A85&lt;=I48,$A85&gt;I34),0,(I29-IF($A85&lt;I50,0,IF($A85=I50,I63*I54,I63))-IF($A85&lt;I51,0,IF($A85=I51,I67*I55,I67)))/(1+I47)^($A85-I48-1))</f>
        <v/>
      </c>
      <c r="J85" s="14">
        <f>IF(OR($A85&lt;=J48,$A85&gt;J34),0,(J29-IF($A85&lt;J50,0,IF($A85=J50,J63*J54,J63))-IF($A85&lt;J51,0,IF($A85=J51,J67*J55,J67)))/(1+J47)^($A85-J48-1))</f>
        <v/>
      </c>
      <c r="K85" s="14">
        <f>IF(OR($A85&lt;=K48,$A85&gt;K34),0,(K29-IF($A85&lt;K50,0,IF($A85=K50,K63*K54,K63))-IF($A85&lt;K51,0,IF($A85=K51,K67*K55,K67)))/(1+K47)^($A85-K48-1))</f>
        <v/>
      </c>
      <c r="L85" s="14">
        <f>IF(OR($A85&lt;=L48,$A85&gt;L34),0,(L29-IF($A85&lt;L50,0,IF($A85=L50,L63*L54,L63))-IF($A85&lt;L51,0,IF($A85=L51,L67*L55,L67)))/(1+L47)^($A85-L48-1))</f>
        <v/>
      </c>
      <c r="M85" s="14">
        <f>IF(OR($A85&lt;=M48,$A85&gt;M34),0,(M29-IF($A85&lt;M50,0,IF($A85=M50,M63*M54,M63))-IF($A85&lt;M51,0,IF($A85=M51,M67*M55,M67)))/(1+M47)^($A85-M48-1))</f>
        <v/>
      </c>
      <c r="N85" s="14">
        <f>IF(OR($A85&lt;=N48,$A85&gt;N34),0,(N29-IF($A85&lt;N50,0,IF($A85=N50,N63*N54,N63))-IF($A85&lt;N51,0,IF($A85=N51,N67*N55,N67)))/(1+N47)^($A85-N48-1))</f>
        <v/>
      </c>
      <c r="O85" s="14">
        <f>IF(OR($A85&lt;=O48,$A85&gt;O34),0,(O29-IF($A85&lt;O50,0,IF($A85=O50,O63*O54,O63))-IF($A85&lt;O51,0,IF($A85=O51,O67*O55,O67)))/(1+O47)^($A85-O48-1))</f>
        <v/>
      </c>
      <c r="P85" s="14">
        <f>IF(OR($A85&lt;=P48,$A85&gt;P34),0,(P29-IF($A85&lt;P50,0,IF($A85=P50,P63*P54,P63))-IF($A85&lt;P51,0,IF($A85=P51,P67*P55,P67)))/(1+P47)^($A85-P48-1))</f>
        <v/>
      </c>
      <c r="Q85" s="14">
        <f>IF(OR($A85&lt;=Q48,$A85&gt;Q34),0,(Q29-IF($A85&lt;Q50,0,IF($A85=Q50,Q63*Q54,Q63))-IF($A85&lt;Q51,0,IF($A85=Q51,Q67*Q55,Q67)))/(1+Q47)^($A85-Q48-1))</f>
        <v/>
      </c>
      <c r="R85" s="14">
        <f>IF(OR($A85&lt;=R48,$A85&gt;R34),0,(R29-IF($A85&lt;R50,0,IF($A85=R50,R63*R54,R63))-IF($A85&lt;R51,0,IF($A85=R51,R67*R55,R67)))/(1+R47)^($A85-R48-1))</f>
        <v/>
      </c>
      <c r="S85" s="14">
        <f>IF(OR($A85&lt;=S48,$A85&gt;S34),0,(S29-IF($A85&lt;S50,0,IF($A85=S50,S63*S54,S63))-IF($A85&lt;S51,0,IF($A85=S51,S67*S55,S67)))/(1+S47)^($A85-S48-1))</f>
        <v/>
      </c>
    </row>
    <row r="86">
      <c r="A86" s="18">
        <f>A85+1</f>
        <v/>
      </c>
      <c r="B86" s="14">
        <f>IF(OR($A86&lt;=B48,$A86&gt;B34),0,(B29-IF($A86&lt;B50,0,IF($A86=B50,B63*B54,B63))-IF($A86&lt;B51,0,IF($A86=B51,B67*B55,B67)))/(1+B47)^($A86-B48-1))</f>
        <v/>
      </c>
      <c r="C86" s="14">
        <f>IF(OR($A86&lt;=C48,$A86&gt;C34),0,(C29-IF($A86&lt;C50,0,IF($A86=C50,C63*C54,C63))-IF($A86&lt;C51,0,IF($A86=C51,C67*C55,C67)))/(1+C47)^($A86-C48-1))</f>
        <v/>
      </c>
      <c r="D86" s="14">
        <f>IF(OR($A86&lt;=D48,$A86&gt;D34),0,(D29-IF($A86&lt;D50,0,IF($A86=D50,D63*D54,D63))-IF($A86&lt;D51,0,IF($A86=D51,D67*D55,D67)))/(1+D47)^($A86-D48-1))</f>
        <v/>
      </c>
      <c r="E86" s="14">
        <f>IF(OR($A86&lt;=E48,$A86&gt;E34),0,(E29-IF($A86&lt;E50,0,IF($A86=E50,E63*E54,E63))-IF($A86&lt;E51,0,IF($A86=E51,E67*E55,E67)))/(1+E47)^($A86-E48-1))</f>
        <v/>
      </c>
      <c r="F86" s="14">
        <f>IF(OR($A86&lt;=F48,$A86&gt;F34),0,(F29-IF($A86&lt;F50,0,IF($A86=F50,F63*F54,F63))-IF($A86&lt;F51,0,IF($A86=F51,F67*F55,F67)))/(1+F47)^($A86-F48-1))</f>
        <v/>
      </c>
      <c r="G86" s="14">
        <f>IF(OR($A86&lt;=G48,$A86&gt;G34),0,(G29-IF($A86&lt;G50,0,IF($A86=G50,G63*G54,G63))-IF($A86&lt;G51,0,IF($A86=G51,G67*G55,G67)))/(1+G47)^($A86-G48-1))</f>
        <v/>
      </c>
      <c r="H86" s="14">
        <f>IF(OR($A86&lt;=H48,$A86&gt;H34),0,(H29-IF($A86&lt;H50,0,IF($A86=H50,H63*H54,H63))-IF($A86&lt;H51,0,IF($A86=H51,H67*H55,H67)))/(1+H47)^($A86-H48-1))</f>
        <v/>
      </c>
      <c r="I86" s="14">
        <f>IF(OR($A86&lt;=I48,$A86&gt;I34),0,(I29-IF($A86&lt;I50,0,IF($A86=I50,I63*I54,I63))-IF($A86&lt;I51,0,IF($A86=I51,I67*I55,I67)))/(1+I47)^($A86-I48-1))</f>
        <v/>
      </c>
      <c r="J86" s="14">
        <f>IF(OR($A86&lt;=J48,$A86&gt;J34),0,(J29-IF($A86&lt;J50,0,IF($A86=J50,J63*J54,J63))-IF($A86&lt;J51,0,IF($A86=J51,J67*J55,J67)))/(1+J47)^($A86-J48-1))</f>
        <v/>
      </c>
      <c r="K86" s="14">
        <f>IF(OR($A86&lt;=K48,$A86&gt;K34),0,(K29-IF($A86&lt;K50,0,IF($A86=K50,K63*K54,K63))-IF($A86&lt;K51,0,IF($A86=K51,K67*K55,K67)))/(1+K47)^($A86-K48-1))</f>
        <v/>
      </c>
      <c r="L86" s="14">
        <f>IF(OR($A86&lt;=L48,$A86&gt;L34),0,(L29-IF($A86&lt;L50,0,IF($A86=L50,L63*L54,L63))-IF($A86&lt;L51,0,IF($A86=L51,L67*L55,L67)))/(1+L47)^($A86-L48-1))</f>
        <v/>
      </c>
      <c r="M86" s="14">
        <f>IF(OR($A86&lt;=M48,$A86&gt;M34),0,(M29-IF($A86&lt;M50,0,IF($A86=M50,M63*M54,M63))-IF($A86&lt;M51,0,IF($A86=M51,M67*M55,M67)))/(1+M47)^($A86-M48-1))</f>
        <v/>
      </c>
      <c r="N86" s="14">
        <f>IF(OR($A86&lt;=N48,$A86&gt;N34),0,(N29-IF($A86&lt;N50,0,IF($A86=N50,N63*N54,N63))-IF($A86&lt;N51,0,IF($A86=N51,N67*N55,N67)))/(1+N47)^($A86-N48-1))</f>
        <v/>
      </c>
      <c r="O86" s="14">
        <f>IF(OR($A86&lt;=O48,$A86&gt;O34),0,(O29-IF($A86&lt;O50,0,IF($A86=O50,O63*O54,O63))-IF($A86&lt;O51,0,IF($A86=O51,O67*O55,O67)))/(1+O47)^($A86-O48-1))</f>
        <v/>
      </c>
      <c r="P86" s="14">
        <f>IF(OR($A86&lt;=P48,$A86&gt;P34),0,(P29-IF($A86&lt;P50,0,IF($A86=P50,P63*P54,P63))-IF($A86&lt;P51,0,IF($A86=P51,P67*P55,P67)))/(1+P47)^($A86-P48-1))</f>
        <v/>
      </c>
      <c r="Q86" s="14">
        <f>IF(OR($A86&lt;=Q48,$A86&gt;Q34),0,(Q29-IF($A86&lt;Q50,0,IF($A86=Q50,Q63*Q54,Q63))-IF($A86&lt;Q51,0,IF($A86=Q51,Q67*Q55,Q67)))/(1+Q47)^($A86-Q48-1))</f>
        <v/>
      </c>
      <c r="R86" s="14">
        <f>IF(OR($A86&lt;=R48,$A86&gt;R34),0,(R29-IF($A86&lt;R50,0,IF($A86=R50,R63*R54,R63))-IF($A86&lt;R51,0,IF($A86=R51,R67*R55,R67)))/(1+R47)^($A86-R48-1))</f>
        <v/>
      </c>
      <c r="S86" s="14">
        <f>IF(OR($A86&lt;=S48,$A86&gt;S34),0,(S29-IF($A86&lt;S50,0,IF($A86=S50,S63*S54,S63))-IF($A86&lt;S51,0,IF($A86=S51,S67*S55,S67)))/(1+S47)^($A86-S48-1))</f>
        <v/>
      </c>
    </row>
    <row r="87">
      <c r="A87" s="18">
        <f>A86+1</f>
        <v/>
      </c>
      <c r="B87" s="14">
        <f>IF(OR($A87&lt;=B48,$A87&gt;B34),0,(B29-IF($A87&lt;B50,0,IF($A87=B50,B63*B54,B63))-IF($A87&lt;B51,0,IF($A87=B51,B67*B55,B67)))/(1+B47)^($A87-B48-1))</f>
        <v/>
      </c>
      <c r="C87" s="14">
        <f>IF(OR($A87&lt;=C48,$A87&gt;C34),0,(C29-IF($A87&lt;C50,0,IF($A87=C50,C63*C54,C63))-IF($A87&lt;C51,0,IF($A87=C51,C67*C55,C67)))/(1+C47)^($A87-C48-1))</f>
        <v/>
      </c>
      <c r="D87" s="14">
        <f>IF(OR($A87&lt;=D48,$A87&gt;D34),0,(D29-IF($A87&lt;D50,0,IF($A87=D50,D63*D54,D63))-IF($A87&lt;D51,0,IF($A87=D51,D67*D55,D67)))/(1+D47)^($A87-D48-1))</f>
        <v/>
      </c>
      <c r="E87" s="14">
        <f>IF(OR($A87&lt;=E48,$A87&gt;E34),0,(E29-IF($A87&lt;E50,0,IF($A87=E50,E63*E54,E63))-IF($A87&lt;E51,0,IF($A87=E51,E67*E55,E67)))/(1+E47)^($A87-E48-1))</f>
        <v/>
      </c>
      <c r="F87" s="14">
        <f>IF(OR($A87&lt;=F48,$A87&gt;F34),0,(F29-IF($A87&lt;F50,0,IF($A87=F50,F63*F54,F63))-IF($A87&lt;F51,0,IF($A87=F51,F67*F55,F67)))/(1+F47)^($A87-F48-1))</f>
        <v/>
      </c>
      <c r="G87" s="14">
        <f>IF(OR($A87&lt;=G48,$A87&gt;G34),0,(G29-IF($A87&lt;G50,0,IF($A87=G50,G63*G54,G63))-IF($A87&lt;G51,0,IF($A87=G51,G67*G55,G67)))/(1+G47)^($A87-G48-1))</f>
        <v/>
      </c>
      <c r="H87" s="14">
        <f>IF(OR($A87&lt;=H48,$A87&gt;H34),0,(H29-IF($A87&lt;H50,0,IF($A87=H50,H63*H54,H63))-IF($A87&lt;H51,0,IF($A87=H51,H67*H55,H67)))/(1+H47)^($A87-H48-1))</f>
        <v/>
      </c>
      <c r="I87" s="14">
        <f>IF(OR($A87&lt;=I48,$A87&gt;I34),0,(I29-IF($A87&lt;I50,0,IF($A87=I50,I63*I54,I63))-IF($A87&lt;I51,0,IF($A87=I51,I67*I55,I67)))/(1+I47)^($A87-I48-1))</f>
        <v/>
      </c>
      <c r="J87" s="14">
        <f>IF(OR($A87&lt;=J48,$A87&gt;J34),0,(J29-IF($A87&lt;J50,0,IF($A87=J50,J63*J54,J63))-IF($A87&lt;J51,0,IF($A87=J51,J67*J55,J67)))/(1+J47)^($A87-J48-1))</f>
        <v/>
      </c>
      <c r="K87" s="14">
        <f>IF(OR($A87&lt;=K48,$A87&gt;K34),0,(K29-IF($A87&lt;K50,0,IF($A87=K50,K63*K54,K63))-IF($A87&lt;K51,0,IF($A87=K51,K67*K55,K67)))/(1+K47)^($A87-K48-1))</f>
        <v/>
      </c>
      <c r="L87" s="14">
        <f>IF(OR($A87&lt;=L48,$A87&gt;L34),0,(L29-IF($A87&lt;L50,0,IF($A87=L50,L63*L54,L63))-IF($A87&lt;L51,0,IF($A87=L51,L67*L55,L67)))/(1+L47)^($A87-L48-1))</f>
        <v/>
      </c>
      <c r="M87" s="14">
        <f>IF(OR($A87&lt;=M48,$A87&gt;M34),0,(M29-IF($A87&lt;M50,0,IF($A87=M50,M63*M54,M63))-IF($A87&lt;M51,0,IF($A87=M51,M67*M55,M67)))/(1+M47)^($A87-M48-1))</f>
        <v/>
      </c>
      <c r="N87" s="14">
        <f>IF(OR($A87&lt;=N48,$A87&gt;N34),0,(N29-IF($A87&lt;N50,0,IF($A87=N50,N63*N54,N63))-IF($A87&lt;N51,0,IF($A87=N51,N67*N55,N67)))/(1+N47)^($A87-N48-1))</f>
        <v/>
      </c>
      <c r="O87" s="14">
        <f>IF(OR($A87&lt;=O48,$A87&gt;O34),0,(O29-IF($A87&lt;O50,0,IF($A87=O50,O63*O54,O63))-IF($A87&lt;O51,0,IF($A87=O51,O67*O55,O67)))/(1+O47)^($A87-O48-1))</f>
        <v/>
      </c>
      <c r="P87" s="14">
        <f>IF(OR($A87&lt;=P48,$A87&gt;P34),0,(P29-IF($A87&lt;P50,0,IF($A87=P50,P63*P54,P63))-IF($A87&lt;P51,0,IF($A87=P51,P67*P55,P67)))/(1+P47)^($A87-P48-1))</f>
        <v/>
      </c>
      <c r="Q87" s="14">
        <f>IF(OR($A87&lt;=Q48,$A87&gt;Q34),0,(Q29-IF($A87&lt;Q50,0,IF($A87=Q50,Q63*Q54,Q63))-IF($A87&lt;Q51,0,IF($A87=Q51,Q67*Q55,Q67)))/(1+Q47)^($A87-Q48-1))</f>
        <v/>
      </c>
      <c r="R87" s="14">
        <f>IF(OR($A87&lt;=R48,$A87&gt;R34),0,(R29-IF($A87&lt;R50,0,IF($A87=R50,R63*R54,R63))-IF($A87&lt;R51,0,IF($A87=R51,R67*R55,R67)))/(1+R47)^($A87-R48-1))</f>
        <v/>
      </c>
      <c r="S87" s="14">
        <f>IF(OR($A87&lt;=S48,$A87&gt;S34),0,(S29-IF($A87&lt;S50,0,IF($A87=S50,S63*S54,S63))-IF($A87&lt;S51,0,IF($A87=S51,S67*S55,S67)))/(1+S47)^($A87-S48-1))</f>
        <v/>
      </c>
    </row>
    <row r="88">
      <c r="A88" s="18">
        <f>A87+1</f>
        <v/>
      </c>
      <c r="B88" s="14">
        <f>IF(OR($A88&lt;=B48,$A88&gt;B34),0,(B29-IF($A88&lt;B50,0,IF($A88=B50,B63*B54,B63))-IF($A88&lt;B51,0,IF($A88=B51,B67*B55,B67)))/(1+B47)^($A88-B48-1))</f>
        <v/>
      </c>
      <c r="C88" s="14">
        <f>IF(OR($A88&lt;=C48,$A88&gt;C34),0,(C29-IF($A88&lt;C50,0,IF($A88=C50,C63*C54,C63))-IF($A88&lt;C51,0,IF($A88=C51,C67*C55,C67)))/(1+C47)^($A88-C48-1))</f>
        <v/>
      </c>
      <c r="D88" s="14">
        <f>IF(OR($A88&lt;=D48,$A88&gt;D34),0,(D29-IF($A88&lt;D50,0,IF($A88=D50,D63*D54,D63))-IF($A88&lt;D51,0,IF($A88=D51,D67*D55,D67)))/(1+D47)^($A88-D48-1))</f>
        <v/>
      </c>
      <c r="E88" s="14">
        <f>IF(OR($A88&lt;=E48,$A88&gt;E34),0,(E29-IF($A88&lt;E50,0,IF($A88=E50,E63*E54,E63))-IF($A88&lt;E51,0,IF($A88=E51,E67*E55,E67)))/(1+E47)^($A88-E48-1))</f>
        <v/>
      </c>
      <c r="F88" s="14">
        <f>IF(OR($A88&lt;=F48,$A88&gt;F34),0,(F29-IF($A88&lt;F50,0,IF($A88=F50,F63*F54,F63))-IF($A88&lt;F51,0,IF($A88=F51,F67*F55,F67)))/(1+F47)^($A88-F48-1))</f>
        <v/>
      </c>
      <c r="G88" s="14">
        <f>IF(OR($A88&lt;=G48,$A88&gt;G34),0,(G29-IF($A88&lt;G50,0,IF($A88=G50,G63*G54,G63))-IF($A88&lt;G51,0,IF($A88=G51,G67*G55,G67)))/(1+G47)^($A88-G48-1))</f>
        <v/>
      </c>
      <c r="H88" s="14">
        <f>IF(OR($A88&lt;=H48,$A88&gt;H34),0,(H29-IF($A88&lt;H50,0,IF($A88=H50,H63*H54,H63))-IF($A88&lt;H51,0,IF($A88=H51,H67*H55,H67)))/(1+H47)^($A88-H48-1))</f>
        <v/>
      </c>
      <c r="I88" s="14">
        <f>IF(OR($A88&lt;=I48,$A88&gt;I34),0,(I29-IF($A88&lt;I50,0,IF($A88=I50,I63*I54,I63))-IF($A88&lt;I51,0,IF($A88=I51,I67*I55,I67)))/(1+I47)^($A88-I48-1))</f>
        <v/>
      </c>
      <c r="J88" s="14">
        <f>IF(OR($A88&lt;=J48,$A88&gt;J34),0,(J29-IF($A88&lt;J50,0,IF($A88=J50,J63*J54,J63))-IF($A88&lt;J51,0,IF($A88=J51,J67*J55,J67)))/(1+J47)^($A88-J48-1))</f>
        <v/>
      </c>
      <c r="K88" s="14">
        <f>IF(OR($A88&lt;=K48,$A88&gt;K34),0,(K29-IF($A88&lt;K50,0,IF($A88=K50,K63*K54,K63))-IF($A88&lt;K51,0,IF($A88=K51,K67*K55,K67)))/(1+K47)^($A88-K48-1))</f>
        <v/>
      </c>
      <c r="L88" s="14">
        <f>IF(OR($A88&lt;=L48,$A88&gt;L34),0,(L29-IF($A88&lt;L50,0,IF($A88=L50,L63*L54,L63))-IF($A88&lt;L51,0,IF($A88=L51,L67*L55,L67)))/(1+L47)^($A88-L48-1))</f>
        <v/>
      </c>
      <c r="M88" s="14">
        <f>IF(OR($A88&lt;=M48,$A88&gt;M34),0,(M29-IF($A88&lt;M50,0,IF($A88=M50,M63*M54,M63))-IF($A88&lt;M51,0,IF($A88=M51,M67*M55,M67)))/(1+M47)^($A88-M48-1))</f>
        <v/>
      </c>
      <c r="N88" s="14">
        <f>IF(OR($A88&lt;=N48,$A88&gt;N34),0,(N29-IF($A88&lt;N50,0,IF($A88=N50,N63*N54,N63))-IF($A88&lt;N51,0,IF($A88=N51,N67*N55,N67)))/(1+N47)^($A88-N48-1))</f>
        <v/>
      </c>
      <c r="O88" s="14">
        <f>IF(OR($A88&lt;=O48,$A88&gt;O34),0,(O29-IF($A88&lt;O50,0,IF($A88=O50,O63*O54,O63))-IF($A88&lt;O51,0,IF($A88=O51,O67*O55,O67)))/(1+O47)^($A88-O48-1))</f>
        <v/>
      </c>
      <c r="P88" s="14">
        <f>IF(OR($A88&lt;=P48,$A88&gt;P34),0,(P29-IF($A88&lt;P50,0,IF($A88=P50,P63*P54,P63))-IF($A88&lt;P51,0,IF($A88=P51,P67*P55,P67)))/(1+P47)^($A88-P48-1))</f>
        <v/>
      </c>
      <c r="Q88" s="14">
        <f>IF(OR($A88&lt;=Q48,$A88&gt;Q34),0,(Q29-IF($A88&lt;Q50,0,IF($A88=Q50,Q63*Q54,Q63))-IF($A88&lt;Q51,0,IF($A88=Q51,Q67*Q55,Q67)))/(1+Q47)^($A88-Q48-1))</f>
        <v/>
      </c>
      <c r="R88" s="14">
        <f>IF(OR($A88&lt;=R48,$A88&gt;R34),0,(R29-IF($A88&lt;R50,0,IF($A88=R50,R63*R54,R63))-IF($A88&lt;R51,0,IF($A88=R51,R67*R55,R67)))/(1+R47)^($A88-R48-1))</f>
        <v/>
      </c>
      <c r="S88" s="14">
        <f>IF(OR($A88&lt;=S48,$A88&gt;S34),0,(S29-IF($A88&lt;S50,0,IF($A88=S50,S63*S54,S63))-IF($A88&lt;S51,0,IF($A88=S51,S67*S55,S67)))/(1+S47)^($A88-S48-1))</f>
        <v/>
      </c>
    </row>
    <row r="89">
      <c r="A89" s="18">
        <f>A88+1</f>
        <v/>
      </c>
      <c r="B89" s="14">
        <f>IF(OR($A89&lt;=B48,$A89&gt;B34),0,(B29-IF($A89&lt;B50,0,IF($A89=B50,B63*B54,B63))-IF($A89&lt;B51,0,IF($A89=B51,B67*B55,B67)))/(1+B47)^($A89-B48-1))</f>
        <v/>
      </c>
      <c r="C89" s="14">
        <f>IF(OR($A89&lt;=C48,$A89&gt;C34),0,(C29-IF($A89&lt;C50,0,IF($A89=C50,C63*C54,C63))-IF($A89&lt;C51,0,IF($A89=C51,C67*C55,C67)))/(1+C47)^($A89-C48-1))</f>
        <v/>
      </c>
      <c r="D89" s="14">
        <f>IF(OR($A89&lt;=D48,$A89&gt;D34),0,(D29-IF($A89&lt;D50,0,IF($A89=D50,D63*D54,D63))-IF($A89&lt;D51,0,IF($A89=D51,D67*D55,D67)))/(1+D47)^($A89-D48-1))</f>
        <v/>
      </c>
      <c r="E89" s="14">
        <f>IF(OR($A89&lt;=E48,$A89&gt;E34),0,(E29-IF($A89&lt;E50,0,IF($A89=E50,E63*E54,E63))-IF($A89&lt;E51,0,IF($A89=E51,E67*E55,E67)))/(1+E47)^($A89-E48-1))</f>
        <v/>
      </c>
      <c r="F89" s="14">
        <f>IF(OR($A89&lt;=F48,$A89&gt;F34),0,(F29-IF($A89&lt;F50,0,IF($A89=F50,F63*F54,F63))-IF($A89&lt;F51,0,IF($A89=F51,F67*F55,F67)))/(1+F47)^($A89-F48-1))</f>
        <v/>
      </c>
      <c r="G89" s="14">
        <f>IF(OR($A89&lt;=G48,$A89&gt;G34),0,(G29-IF($A89&lt;G50,0,IF($A89=G50,G63*G54,G63))-IF($A89&lt;G51,0,IF($A89=G51,G67*G55,G67)))/(1+G47)^($A89-G48-1))</f>
        <v/>
      </c>
      <c r="H89" s="14">
        <f>IF(OR($A89&lt;=H48,$A89&gt;H34),0,(H29-IF($A89&lt;H50,0,IF($A89=H50,H63*H54,H63))-IF($A89&lt;H51,0,IF($A89=H51,H67*H55,H67)))/(1+H47)^($A89-H48-1))</f>
        <v/>
      </c>
      <c r="I89" s="14">
        <f>IF(OR($A89&lt;=I48,$A89&gt;I34),0,(I29-IF($A89&lt;I50,0,IF($A89=I50,I63*I54,I63))-IF($A89&lt;I51,0,IF($A89=I51,I67*I55,I67)))/(1+I47)^($A89-I48-1))</f>
        <v/>
      </c>
      <c r="J89" s="14">
        <f>IF(OR($A89&lt;=J48,$A89&gt;J34),0,(J29-IF($A89&lt;J50,0,IF($A89=J50,J63*J54,J63))-IF($A89&lt;J51,0,IF($A89=J51,J67*J55,J67)))/(1+J47)^($A89-J48-1))</f>
        <v/>
      </c>
      <c r="K89" s="14">
        <f>IF(OR($A89&lt;=K48,$A89&gt;K34),0,(K29-IF($A89&lt;K50,0,IF($A89=K50,K63*K54,K63))-IF($A89&lt;K51,0,IF($A89=K51,K67*K55,K67)))/(1+K47)^($A89-K48-1))</f>
        <v/>
      </c>
      <c r="L89" s="14">
        <f>IF(OR($A89&lt;=L48,$A89&gt;L34),0,(L29-IF($A89&lt;L50,0,IF($A89=L50,L63*L54,L63))-IF($A89&lt;L51,0,IF($A89=L51,L67*L55,L67)))/(1+L47)^($A89-L48-1))</f>
        <v/>
      </c>
      <c r="M89" s="14">
        <f>IF(OR($A89&lt;=M48,$A89&gt;M34),0,(M29-IF($A89&lt;M50,0,IF($A89=M50,M63*M54,M63))-IF($A89&lt;M51,0,IF($A89=M51,M67*M55,M67)))/(1+M47)^($A89-M48-1))</f>
        <v/>
      </c>
      <c r="N89" s="14">
        <f>IF(OR($A89&lt;=N48,$A89&gt;N34),0,(N29-IF($A89&lt;N50,0,IF($A89=N50,N63*N54,N63))-IF($A89&lt;N51,0,IF($A89=N51,N67*N55,N67)))/(1+N47)^($A89-N48-1))</f>
        <v/>
      </c>
      <c r="O89" s="14">
        <f>IF(OR($A89&lt;=O48,$A89&gt;O34),0,(O29-IF($A89&lt;O50,0,IF($A89=O50,O63*O54,O63))-IF($A89&lt;O51,0,IF($A89=O51,O67*O55,O67)))/(1+O47)^($A89-O48-1))</f>
        <v/>
      </c>
      <c r="P89" s="14">
        <f>IF(OR($A89&lt;=P48,$A89&gt;P34),0,(P29-IF($A89&lt;P50,0,IF($A89=P50,P63*P54,P63))-IF($A89&lt;P51,0,IF($A89=P51,P67*P55,P67)))/(1+P47)^($A89-P48-1))</f>
        <v/>
      </c>
      <c r="Q89" s="14">
        <f>IF(OR($A89&lt;=Q48,$A89&gt;Q34),0,(Q29-IF($A89&lt;Q50,0,IF($A89=Q50,Q63*Q54,Q63))-IF($A89&lt;Q51,0,IF($A89=Q51,Q67*Q55,Q67)))/(1+Q47)^($A89-Q48-1))</f>
        <v/>
      </c>
      <c r="R89" s="14">
        <f>IF(OR($A89&lt;=R48,$A89&gt;R34),0,(R29-IF($A89&lt;R50,0,IF($A89=R50,R63*R54,R63))-IF($A89&lt;R51,0,IF($A89=R51,R67*R55,R67)))/(1+R47)^($A89-R48-1))</f>
        <v/>
      </c>
      <c r="S89" s="14">
        <f>IF(OR($A89&lt;=S48,$A89&gt;S34),0,(S29-IF($A89&lt;S50,0,IF($A89=S50,S63*S54,S63))-IF($A89&lt;S51,0,IF($A89=S51,S67*S55,S67)))/(1+S47)^($A89-S48-1))</f>
        <v/>
      </c>
    </row>
    <row r="90">
      <c r="A90" s="18">
        <f>A89+1</f>
        <v/>
      </c>
      <c r="B90" s="14">
        <f>IF(OR($A90&lt;=B48,$A90&gt;B34),0,(B29-IF($A90&lt;B50,0,IF($A90=B50,B63*B54,B63))-IF($A90&lt;B51,0,IF($A90=B51,B67*B55,B67)))/(1+B47)^($A90-B48-1))</f>
        <v/>
      </c>
      <c r="C90" s="14">
        <f>IF(OR($A90&lt;=C48,$A90&gt;C34),0,(C29-IF($A90&lt;C50,0,IF($A90=C50,C63*C54,C63))-IF($A90&lt;C51,0,IF($A90=C51,C67*C55,C67)))/(1+C47)^($A90-C48-1))</f>
        <v/>
      </c>
      <c r="D90" s="14">
        <f>IF(OR($A90&lt;=D48,$A90&gt;D34),0,(D29-IF($A90&lt;D50,0,IF($A90=D50,D63*D54,D63))-IF($A90&lt;D51,0,IF($A90=D51,D67*D55,D67)))/(1+D47)^($A90-D48-1))</f>
        <v/>
      </c>
      <c r="E90" s="14">
        <f>IF(OR($A90&lt;=E48,$A90&gt;E34),0,(E29-IF($A90&lt;E50,0,IF($A90=E50,E63*E54,E63))-IF($A90&lt;E51,0,IF($A90=E51,E67*E55,E67)))/(1+E47)^($A90-E48-1))</f>
        <v/>
      </c>
      <c r="F90" s="14">
        <f>IF(OR($A90&lt;=F48,$A90&gt;F34),0,(F29-IF($A90&lt;F50,0,IF($A90=F50,F63*F54,F63))-IF($A90&lt;F51,0,IF($A90=F51,F67*F55,F67)))/(1+F47)^($A90-F48-1))</f>
        <v/>
      </c>
      <c r="G90" s="14">
        <f>IF(OR($A90&lt;=G48,$A90&gt;G34),0,(G29-IF($A90&lt;G50,0,IF($A90=G50,G63*G54,G63))-IF($A90&lt;G51,0,IF($A90=G51,G67*G55,G67)))/(1+G47)^($A90-G48-1))</f>
        <v/>
      </c>
      <c r="H90" s="14">
        <f>IF(OR($A90&lt;=H48,$A90&gt;H34),0,(H29-IF($A90&lt;H50,0,IF($A90=H50,H63*H54,H63))-IF($A90&lt;H51,0,IF($A90=H51,H67*H55,H67)))/(1+H47)^($A90-H48-1))</f>
        <v/>
      </c>
      <c r="I90" s="14">
        <f>IF(OR($A90&lt;=I48,$A90&gt;I34),0,(I29-IF($A90&lt;I50,0,IF($A90=I50,I63*I54,I63))-IF($A90&lt;I51,0,IF($A90=I51,I67*I55,I67)))/(1+I47)^($A90-I48-1))</f>
        <v/>
      </c>
      <c r="J90" s="14">
        <f>IF(OR($A90&lt;=J48,$A90&gt;J34),0,(J29-IF($A90&lt;J50,0,IF($A90=J50,J63*J54,J63))-IF($A90&lt;J51,0,IF($A90=J51,J67*J55,J67)))/(1+J47)^($A90-J48-1))</f>
        <v/>
      </c>
      <c r="K90" s="14">
        <f>IF(OR($A90&lt;=K48,$A90&gt;K34),0,(K29-IF($A90&lt;K50,0,IF($A90=K50,K63*K54,K63))-IF($A90&lt;K51,0,IF($A90=K51,K67*K55,K67)))/(1+K47)^($A90-K48-1))</f>
        <v/>
      </c>
      <c r="L90" s="14">
        <f>IF(OR($A90&lt;=L48,$A90&gt;L34),0,(L29-IF($A90&lt;L50,0,IF($A90=L50,L63*L54,L63))-IF($A90&lt;L51,0,IF($A90=L51,L67*L55,L67)))/(1+L47)^($A90-L48-1))</f>
        <v/>
      </c>
      <c r="M90" s="14">
        <f>IF(OR($A90&lt;=M48,$A90&gt;M34),0,(M29-IF($A90&lt;M50,0,IF($A90=M50,M63*M54,M63))-IF($A90&lt;M51,0,IF($A90=M51,M67*M55,M67)))/(1+M47)^($A90-M48-1))</f>
        <v/>
      </c>
      <c r="N90" s="14">
        <f>IF(OR($A90&lt;=N48,$A90&gt;N34),0,(N29-IF($A90&lt;N50,0,IF($A90=N50,N63*N54,N63))-IF($A90&lt;N51,0,IF($A90=N51,N67*N55,N67)))/(1+N47)^($A90-N48-1))</f>
        <v/>
      </c>
      <c r="O90" s="14">
        <f>IF(OR($A90&lt;=O48,$A90&gt;O34),0,(O29-IF($A90&lt;O50,0,IF($A90=O50,O63*O54,O63))-IF($A90&lt;O51,0,IF($A90=O51,O67*O55,O67)))/(1+O47)^($A90-O48-1))</f>
        <v/>
      </c>
      <c r="P90" s="14">
        <f>IF(OR($A90&lt;=P48,$A90&gt;P34),0,(P29-IF($A90&lt;P50,0,IF($A90=P50,P63*P54,P63))-IF($A90&lt;P51,0,IF($A90=P51,P67*P55,P67)))/(1+P47)^($A90-P48-1))</f>
        <v/>
      </c>
      <c r="Q90" s="14">
        <f>IF(OR($A90&lt;=Q48,$A90&gt;Q34),0,(Q29-IF($A90&lt;Q50,0,IF($A90=Q50,Q63*Q54,Q63))-IF($A90&lt;Q51,0,IF($A90=Q51,Q67*Q55,Q67)))/(1+Q47)^($A90-Q48-1))</f>
        <v/>
      </c>
      <c r="R90" s="14">
        <f>IF(OR($A90&lt;=R48,$A90&gt;R34),0,(R29-IF($A90&lt;R50,0,IF($A90=R50,R63*R54,R63))-IF($A90&lt;R51,0,IF($A90=R51,R67*R55,R67)))/(1+R47)^($A90-R48-1))</f>
        <v/>
      </c>
      <c r="S90" s="14">
        <f>IF(OR($A90&lt;=S48,$A90&gt;S34),0,(S29-IF($A90&lt;S50,0,IF($A90=S50,S63*S54,S63))-IF($A90&lt;S51,0,IF($A90=S51,S67*S55,S67)))/(1+S47)^($A90-S48-1))</f>
        <v/>
      </c>
    </row>
    <row r="91">
      <c r="A91" s="18">
        <f>A90+1</f>
        <v/>
      </c>
      <c r="B91" s="14">
        <f>IF(OR($A91&lt;=B48,$A91&gt;B34),0,(B29-IF($A91&lt;B50,0,IF($A91=B50,B63*B54,B63))-IF($A91&lt;B51,0,IF($A91=B51,B67*B55,B67)))/(1+B47)^($A91-B48-1))</f>
        <v/>
      </c>
      <c r="C91" s="14">
        <f>IF(OR($A91&lt;=C48,$A91&gt;C34),0,(C29-IF($A91&lt;C50,0,IF($A91=C50,C63*C54,C63))-IF($A91&lt;C51,0,IF($A91=C51,C67*C55,C67)))/(1+C47)^($A91-C48-1))</f>
        <v/>
      </c>
      <c r="D91" s="14">
        <f>IF(OR($A91&lt;=D48,$A91&gt;D34),0,(D29-IF($A91&lt;D50,0,IF($A91=D50,D63*D54,D63))-IF($A91&lt;D51,0,IF($A91=D51,D67*D55,D67)))/(1+D47)^($A91-D48-1))</f>
        <v/>
      </c>
      <c r="E91" s="14">
        <f>IF(OR($A91&lt;=E48,$A91&gt;E34),0,(E29-IF($A91&lt;E50,0,IF($A91=E50,E63*E54,E63))-IF($A91&lt;E51,0,IF($A91=E51,E67*E55,E67)))/(1+E47)^($A91-E48-1))</f>
        <v/>
      </c>
      <c r="F91" s="14">
        <f>IF(OR($A91&lt;=F48,$A91&gt;F34),0,(F29-IF($A91&lt;F50,0,IF($A91=F50,F63*F54,F63))-IF($A91&lt;F51,0,IF($A91=F51,F67*F55,F67)))/(1+F47)^($A91-F48-1))</f>
        <v/>
      </c>
      <c r="G91" s="14">
        <f>IF(OR($A91&lt;=G48,$A91&gt;G34),0,(G29-IF($A91&lt;G50,0,IF($A91=G50,G63*G54,G63))-IF($A91&lt;G51,0,IF($A91=G51,G67*G55,G67)))/(1+G47)^($A91-G48-1))</f>
        <v/>
      </c>
      <c r="H91" s="14">
        <f>IF(OR($A91&lt;=H48,$A91&gt;H34),0,(H29-IF($A91&lt;H50,0,IF($A91=H50,H63*H54,H63))-IF($A91&lt;H51,0,IF($A91=H51,H67*H55,H67)))/(1+H47)^($A91-H48-1))</f>
        <v/>
      </c>
      <c r="I91" s="14">
        <f>IF(OR($A91&lt;=I48,$A91&gt;I34),0,(I29-IF($A91&lt;I50,0,IF($A91=I50,I63*I54,I63))-IF($A91&lt;I51,0,IF($A91=I51,I67*I55,I67)))/(1+I47)^($A91-I48-1))</f>
        <v/>
      </c>
      <c r="J91" s="14">
        <f>IF(OR($A91&lt;=J48,$A91&gt;J34),0,(J29-IF($A91&lt;J50,0,IF($A91=J50,J63*J54,J63))-IF($A91&lt;J51,0,IF($A91=J51,J67*J55,J67)))/(1+J47)^($A91-J48-1))</f>
        <v/>
      </c>
      <c r="K91" s="14">
        <f>IF(OR($A91&lt;=K48,$A91&gt;K34),0,(K29-IF($A91&lt;K50,0,IF($A91=K50,K63*K54,K63))-IF($A91&lt;K51,0,IF($A91=K51,K67*K55,K67)))/(1+K47)^($A91-K48-1))</f>
        <v/>
      </c>
      <c r="L91" s="14">
        <f>IF(OR($A91&lt;=L48,$A91&gt;L34),0,(L29-IF($A91&lt;L50,0,IF($A91=L50,L63*L54,L63))-IF($A91&lt;L51,0,IF($A91=L51,L67*L55,L67)))/(1+L47)^($A91-L48-1))</f>
        <v/>
      </c>
      <c r="M91" s="14">
        <f>IF(OR($A91&lt;=M48,$A91&gt;M34),0,(M29-IF($A91&lt;M50,0,IF($A91=M50,M63*M54,M63))-IF($A91&lt;M51,0,IF($A91=M51,M67*M55,M67)))/(1+M47)^($A91-M48-1))</f>
        <v/>
      </c>
      <c r="N91" s="14">
        <f>IF(OR($A91&lt;=N48,$A91&gt;N34),0,(N29-IF($A91&lt;N50,0,IF($A91=N50,N63*N54,N63))-IF($A91&lt;N51,0,IF($A91=N51,N67*N55,N67)))/(1+N47)^($A91-N48-1))</f>
        <v/>
      </c>
      <c r="O91" s="14">
        <f>IF(OR($A91&lt;=O48,$A91&gt;O34),0,(O29-IF($A91&lt;O50,0,IF($A91=O50,O63*O54,O63))-IF($A91&lt;O51,0,IF($A91=O51,O67*O55,O67)))/(1+O47)^($A91-O48-1))</f>
        <v/>
      </c>
      <c r="P91" s="14">
        <f>IF(OR($A91&lt;=P48,$A91&gt;P34),0,(P29-IF($A91&lt;P50,0,IF($A91=P50,P63*P54,P63))-IF($A91&lt;P51,0,IF($A91=P51,P67*P55,P67)))/(1+P47)^($A91-P48-1))</f>
        <v/>
      </c>
      <c r="Q91" s="14">
        <f>IF(OR($A91&lt;=Q48,$A91&gt;Q34),0,(Q29-IF($A91&lt;Q50,0,IF($A91=Q50,Q63*Q54,Q63))-IF($A91&lt;Q51,0,IF($A91=Q51,Q67*Q55,Q67)))/(1+Q47)^($A91-Q48-1))</f>
        <v/>
      </c>
      <c r="R91" s="14">
        <f>IF(OR($A91&lt;=R48,$A91&gt;R34),0,(R29-IF($A91&lt;R50,0,IF($A91=R50,R63*R54,R63))-IF($A91&lt;R51,0,IF($A91=R51,R67*R55,R67)))/(1+R47)^($A91-R48-1))</f>
        <v/>
      </c>
      <c r="S91" s="14">
        <f>IF(OR($A91&lt;=S48,$A91&gt;S34),0,(S29-IF($A91&lt;S50,0,IF($A91=S50,S63*S54,S63))-IF($A91&lt;S51,0,IF($A91=S51,S67*S55,S67)))/(1+S47)^($A91-S48-1))</f>
        <v/>
      </c>
    </row>
    <row r="92">
      <c r="A92" s="18">
        <f>A91+1</f>
        <v/>
      </c>
      <c r="B92" s="14">
        <f>IF(OR($A92&lt;=B48,$A92&gt;B34),0,(B29-IF($A92&lt;B50,0,IF($A92=B50,B63*B54,B63))-IF($A92&lt;B51,0,IF($A92=B51,B67*B55,B67)))/(1+B47)^($A92-B48-1))</f>
        <v/>
      </c>
      <c r="C92" s="14">
        <f>IF(OR($A92&lt;=C48,$A92&gt;C34),0,(C29-IF($A92&lt;C50,0,IF($A92=C50,C63*C54,C63))-IF($A92&lt;C51,0,IF($A92=C51,C67*C55,C67)))/(1+C47)^($A92-C48-1))</f>
        <v/>
      </c>
      <c r="D92" s="14">
        <f>IF(OR($A92&lt;=D48,$A92&gt;D34),0,(D29-IF($A92&lt;D50,0,IF($A92=D50,D63*D54,D63))-IF($A92&lt;D51,0,IF($A92=D51,D67*D55,D67)))/(1+D47)^($A92-D48-1))</f>
        <v/>
      </c>
      <c r="E92" s="14">
        <f>IF(OR($A92&lt;=E48,$A92&gt;E34),0,(E29-IF($A92&lt;E50,0,IF($A92=E50,E63*E54,E63))-IF($A92&lt;E51,0,IF($A92=E51,E67*E55,E67)))/(1+E47)^($A92-E48-1))</f>
        <v/>
      </c>
      <c r="F92" s="14">
        <f>IF(OR($A92&lt;=F48,$A92&gt;F34),0,(F29-IF($A92&lt;F50,0,IF($A92=F50,F63*F54,F63))-IF($A92&lt;F51,0,IF($A92=F51,F67*F55,F67)))/(1+F47)^($A92-F48-1))</f>
        <v/>
      </c>
      <c r="G92" s="14">
        <f>IF(OR($A92&lt;=G48,$A92&gt;G34),0,(G29-IF($A92&lt;G50,0,IF($A92=G50,G63*G54,G63))-IF($A92&lt;G51,0,IF($A92=G51,G67*G55,G67)))/(1+G47)^($A92-G48-1))</f>
        <v/>
      </c>
      <c r="H92" s="14">
        <f>IF(OR($A92&lt;=H48,$A92&gt;H34),0,(H29-IF($A92&lt;H50,0,IF($A92=H50,H63*H54,H63))-IF($A92&lt;H51,0,IF($A92=H51,H67*H55,H67)))/(1+H47)^($A92-H48-1))</f>
        <v/>
      </c>
      <c r="I92" s="14">
        <f>IF(OR($A92&lt;=I48,$A92&gt;I34),0,(I29-IF($A92&lt;I50,0,IF($A92=I50,I63*I54,I63))-IF($A92&lt;I51,0,IF($A92=I51,I67*I55,I67)))/(1+I47)^($A92-I48-1))</f>
        <v/>
      </c>
      <c r="J92" s="14">
        <f>IF(OR($A92&lt;=J48,$A92&gt;J34),0,(J29-IF($A92&lt;J50,0,IF($A92=J50,J63*J54,J63))-IF($A92&lt;J51,0,IF($A92=J51,J67*J55,J67)))/(1+J47)^($A92-J48-1))</f>
        <v/>
      </c>
      <c r="K92" s="14">
        <f>IF(OR($A92&lt;=K48,$A92&gt;K34),0,(K29-IF($A92&lt;K50,0,IF($A92=K50,K63*K54,K63))-IF($A92&lt;K51,0,IF($A92=K51,K67*K55,K67)))/(1+K47)^($A92-K48-1))</f>
        <v/>
      </c>
      <c r="L92" s="14">
        <f>IF(OR($A92&lt;=L48,$A92&gt;L34),0,(L29-IF($A92&lt;L50,0,IF($A92=L50,L63*L54,L63))-IF($A92&lt;L51,0,IF($A92=L51,L67*L55,L67)))/(1+L47)^($A92-L48-1))</f>
        <v/>
      </c>
      <c r="M92" s="14">
        <f>IF(OR($A92&lt;=M48,$A92&gt;M34),0,(M29-IF($A92&lt;M50,0,IF($A92=M50,M63*M54,M63))-IF($A92&lt;M51,0,IF($A92=M51,M67*M55,M67)))/(1+M47)^($A92-M48-1))</f>
        <v/>
      </c>
      <c r="N92" s="14">
        <f>IF(OR($A92&lt;=N48,$A92&gt;N34),0,(N29-IF($A92&lt;N50,0,IF($A92=N50,N63*N54,N63))-IF($A92&lt;N51,0,IF($A92=N51,N67*N55,N67)))/(1+N47)^($A92-N48-1))</f>
        <v/>
      </c>
      <c r="O92" s="14">
        <f>IF(OR($A92&lt;=O48,$A92&gt;O34),0,(O29-IF($A92&lt;O50,0,IF($A92=O50,O63*O54,O63))-IF($A92&lt;O51,0,IF($A92=O51,O67*O55,O67)))/(1+O47)^($A92-O48-1))</f>
        <v/>
      </c>
      <c r="P92" s="14">
        <f>IF(OR($A92&lt;=P48,$A92&gt;P34),0,(P29-IF($A92&lt;P50,0,IF($A92=P50,P63*P54,P63))-IF($A92&lt;P51,0,IF($A92=P51,P67*P55,P67)))/(1+P47)^($A92-P48-1))</f>
        <v/>
      </c>
      <c r="Q92" s="14">
        <f>IF(OR($A92&lt;=Q48,$A92&gt;Q34),0,(Q29-IF($A92&lt;Q50,0,IF($A92=Q50,Q63*Q54,Q63))-IF($A92&lt;Q51,0,IF($A92=Q51,Q67*Q55,Q67)))/(1+Q47)^($A92-Q48-1))</f>
        <v/>
      </c>
      <c r="R92" s="14">
        <f>IF(OR($A92&lt;=R48,$A92&gt;R34),0,(R29-IF($A92&lt;R50,0,IF($A92=R50,R63*R54,R63))-IF($A92&lt;R51,0,IF($A92=R51,R67*R55,R67)))/(1+R47)^($A92-R48-1))</f>
        <v/>
      </c>
      <c r="S92" s="14">
        <f>IF(OR($A92&lt;=S48,$A92&gt;S34),0,(S29-IF($A92&lt;S50,0,IF($A92=S50,S63*S54,S63))-IF($A92&lt;S51,0,IF($A92=S51,S67*S55,S67)))/(1+S47)^($A92-S48-1))</f>
        <v/>
      </c>
    </row>
    <row r="93">
      <c r="A93" s="18">
        <f>A92+1</f>
        <v/>
      </c>
      <c r="B93" s="14">
        <f>IF(OR($A93&lt;=B48,$A93&gt;B34),0,(B29-IF($A93&lt;B50,0,IF($A93=B50,B63*B54,B63))-IF($A93&lt;B51,0,IF($A93=B51,B67*B55,B67)))/(1+B47)^($A93-B48-1))</f>
        <v/>
      </c>
      <c r="C93" s="14">
        <f>IF(OR($A93&lt;=C48,$A93&gt;C34),0,(C29-IF($A93&lt;C50,0,IF($A93=C50,C63*C54,C63))-IF($A93&lt;C51,0,IF($A93=C51,C67*C55,C67)))/(1+C47)^($A93-C48-1))</f>
        <v/>
      </c>
      <c r="D93" s="14">
        <f>IF(OR($A93&lt;=D48,$A93&gt;D34),0,(D29-IF($A93&lt;D50,0,IF($A93=D50,D63*D54,D63))-IF($A93&lt;D51,0,IF($A93=D51,D67*D55,D67)))/(1+D47)^($A93-D48-1))</f>
        <v/>
      </c>
      <c r="E93" s="14">
        <f>IF(OR($A93&lt;=E48,$A93&gt;E34),0,(E29-IF($A93&lt;E50,0,IF($A93=E50,E63*E54,E63))-IF($A93&lt;E51,0,IF($A93=E51,E67*E55,E67)))/(1+E47)^($A93-E48-1))</f>
        <v/>
      </c>
      <c r="F93" s="14">
        <f>IF(OR($A93&lt;=F48,$A93&gt;F34),0,(F29-IF($A93&lt;F50,0,IF($A93=F50,F63*F54,F63))-IF($A93&lt;F51,0,IF($A93=F51,F67*F55,F67)))/(1+F47)^($A93-F48-1))</f>
        <v/>
      </c>
      <c r="G93" s="14">
        <f>IF(OR($A93&lt;=G48,$A93&gt;G34),0,(G29-IF($A93&lt;G50,0,IF($A93=G50,G63*G54,G63))-IF($A93&lt;G51,0,IF($A93=G51,G67*G55,G67)))/(1+G47)^($A93-G48-1))</f>
        <v/>
      </c>
      <c r="H93" s="14">
        <f>IF(OR($A93&lt;=H48,$A93&gt;H34),0,(H29-IF($A93&lt;H50,0,IF($A93=H50,H63*H54,H63))-IF($A93&lt;H51,0,IF($A93=H51,H67*H55,H67)))/(1+H47)^($A93-H48-1))</f>
        <v/>
      </c>
      <c r="I93" s="14">
        <f>IF(OR($A93&lt;=I48,$A93&gt;I34),0,(I29-IF($A93&lt;I50,0,IF($A93=I50,I63*I54,I63))-IF($A93&lt;I51,0,IF($A93=I51,I67*I55,I67)))/(1+I47)^($A93-I48-1))</f>
        <v/>
      </c>
      <c r="J93" s="14">
        <f>IF(OR($A93&lt;=J48,$A93&gt;J34),0,(J29-IF($A93&lt;J50,0,IF($A93=J50,J63*J54,J63))-IF($A93&lt;J51,0,IF($A93=J51,J67*J55,J67)))/(1+J47)^($A93-J48-1))</f>
        <v/>
      </c>
      <c r="K93" s="14">
        <f>IF(OR($A93&lt;=K48,$A93&gt;K34),0,(K29-IF($A93&lt;K50,0,IF($A93=K50,K63*K54,K63))-IF($A93&lt;K51,0,IF($A93=K51,K67*K55,K67)))/(1+K47)^($A93-K48-1))</f>
        <v/>
      </c>
      <c r="L93" s="14">
        <f>IF(OR($A93&lt;=L48,$A93&gt;L34),0,(L29-IF($A93&lt;L50,0,IF($A93=L50,L63*L54,L63))-IF($A93&lt;L51,0,IF($A93=L51,L67*L55,L67)))/(1+L47)^($A93-L48-1))</f>
        <v/>
      </c>
      <c r="M93" s="14">
        <f>IF(OR($A93&lt;=M48,$A93&gt;M34),0,(M29-IF($A93&lt;M50,0,IF($A93=M50,M63*M54,M63))-IF($A93&lt;M51,0,IF($A93=M51,M67*M55,M67)))/(1+M47)^($A93-M48-1))</f>
        <v/>
      </c>
      <c r="N93" s="14">
        <f>IF(OR($A93&lt;=N48,$A93&gt;N34),0,(N29-IF($A93&lt;N50,0,IF($A93=N50,N63*N54,N63))-IF($A93&lt;N51,0,IF($A93=N51,N67*N55,N67)))/(1+N47)^($A93-N48-1))</f>
        <v/>
      </c>
      <c r="O93" s="14">
        <f>IF(OR($A93&lt;=O48,$A93&gt;O34),0,(O29-IF($A93&lt;O50,0,IF($A93=O50,O63*O54,O63))-IF($A93&lt;O51,0,IF($A93=O51,O67*O55,O67)))/(1+O47)^($A93-O48-1))</f>
        <v/>
      </c>
      <c r="P93" s="14">
        <f>IF(OR($A93&lt;=P48,$A93&gt;P34),0,(P29-IF($A93&lt;P50,0,IF($A93=P50,P63*P54,P63))-IF($A93&lt;P51,0,IF($A93=P51,P67*P55,P67)))/(1+P47)^($A93-P48-1))</f>
        <v/>
      </c>
      <c r="Q93" s="14">
        <f>IF(OR($A93&lt;=Q48,$A93&gt;Q34),0,(Q29-IF($A93&lt;Q50,0,IF($A93=Q50,Q63*Q54,Q63))-IF($A93&lt;Q51,0,IF($A93=Q51,Q67*Q55,Q67)))/(1+Q47)^($A93-Q48-1))</f>
        <v/>
      </c>
      <c r="R93" s="14">
        <f>IF(OR($A93&lt;=R48,$A93&gt;R34),0,(R29-IF($A93&lt;R50,0,IF($A93=R50,R63*R54,R63))-IF($A93&lt;R51,0,IF($A93=R51,R67*R55,R67)))/(1+R47)^($A93-R48-1))</f>
        <v/>
      </c>
      <c r="S93" s="14">
        <f>IF(OR($A93&lt;=S48,$A93&gt;S34),0,(S29-IF($A93&lt;S50,0,IF($A93=S50,S63*S54,S63))-IF($A93&lt;S51,0,IF($A93=S51,S67*S55,S67)))/(1+S47)^($A93-S48-1))</f>
        <v/>
      </c>
    </row>
    <row r="94">
      <c r="A94" s="18">
        <f>A93+1</f>
        <v/>
      </c>
      <c r="B94" s="14">
        <f>IF(OR($A94&lt;=B48,$A94&gt;B34),0,(B29-IF($A94&lt;B50,0,IF($A94=B50,B63*B54,B63))-IF($A94&lt;B51,0,IF($A94=B51,B67*B55,B67)))/(1+B47)^($A94-B48-1))</f>
        <v/>
      </c>
      <c r="C94" s="14">
        <f>IF(OR($A94&lt;=C48,$A94&gt;C34),0,(C29-IF($A94&lt;C50,0,IF($A94=C50,C63*C54,C63))-IF($A94&lt;C51,0,IF($A94=C51,C67*C55,C67)))/(1+C47)^($A94-C48-1))</f>
        <v/>
      </c>
      <c r="D94" s="14">
        <f>IF(OR($A94&lt;=D48,$A94&gt;D34),0,(D29-IF($A94&lt;D50,0,IF($A94=D50,D63*D54,D63))-IF($A94&lt;D51,0,IF($A94=D51,D67*D55,D67)))/(1+D47)^($A94-D48-1))</f>
        <v/>
      </c>
      <c r="E94" s="14">
        <f>IF(OR($A94&lt;=E48,$A94&gt;E34),0,(E29-IF($A94&lt;E50,0,IF($A94=E50,E63*E54,E63))-IF($A94&lt;E51,0,IF($A94=E51,E67*E55,E67)))/(1+E47)^($A94-E48-1))</f>
        <v/>
      </c>
      <c r="F94" s="14">
        <f>IF(OR($A94&lt;=F48,$A94&gt;F34),0,(F29-IF($A94&lt;F50,0,IF($A94=F50,F63*F54,F63))-IF($A94&lt;F51,0,IF($A94=F51,F67*F55,F67)))/(1+F47)^($A94-F48-1))</f>
        <v/>
      </c>
      <c r="G94" s="14">
        <f>IF(OR($A94&lt;=G48,$A94&gt;G34),0,(G29-IF($A94&lt;G50,0,IF($A94=G50,G63*G54,G63))-IF($A94&lt;G51,0,IF($A94=G51,G67*G55,G67)))/(1+G47)^($A94-G48-1))</f>
        <v/>
      </c>
      <c r="H94" s="14">
        <f>IF(OR($A94&lt;=H48,$A94&gt;H34),0,(H29-IF($A94&lt;H50,0,IF($A94=H50,H63*H54,H63))-IF($A94&lt;H51,0,IF($A94=H51,H67*H55,H67)))/(1+H47)^($A94-H48-1))</f>
        <v/>
      </c>
      <c r="I94" s="14">
        <f>IF(OR($A94&lt;=I48,$A94&gt;I34),0,(I29-IF($A94&lt;I50,0,IF($A94=I50,I63*I54,I63))-IF($A94&lt;I51,0,IF($A94=I51,I67*I55,I67)))/(1+I47)^($A94-I48-1))</f>
        <v/>
      </c>
      <c r="J94" s="14">
        <f>IF(OR($A94&lt;=J48,$A94&gt;J34),0,(J29-IF($A94&lt;J50,0,IF($A94=J50,J63*J54,J63))-IF($A94&lt;J51,0,IF($A94=J51,J67*J55,J67)))/(1+J47)^($A94-J48-1))</f>
        <v/>
      </c>
      <c r="K94" s="14">
        <f>IF(OR($A94&lt;=K48,$A94&gt;K34),0,(K29-IF($A94&lt;K50,0,IF($A94=K50,K63*K54,K63))-IF($A94&lt;K51,0,IF($A94=K51,K67*K55,K67)))/(1+K47)^($A94-K48-1))</f>
        <v/>
      </c>
      <c r="L94" s="14">
        <f>IF(OR($A94&lt;=L48,$A94&gt;L34),0,(L29-IF($A94&lt;L50,0,IF($A94=L50,L63*L54,L63))-IF($A94&lt;L51,0,IF($A94=L51,L67*L55,L67)))/(1+L47)^($A94-L48-1))</f>
        <v/>
      </c>
      <c r="M94" s="14">
        <f>IF(OR($A94&lt;=M48,$A94&gt;M34),0,(M29-IF($A94&lt;M50,0,IF($A94=M50,M63*M54,M63))-IF($A94&lt;M51,0,IF($A94=M51,M67*M55,M67)))/(1+M47)^($A94-M48-1))</f>
        <v/>
      </c>
      <c r="N94" s="14">
        <f>IF(OR($A94&lt;=N48,$A94&gt;N34),0,(N29-IF($A94&lt;N50,0,IF($A94=N50,N63*N54,N63))-IF($A94&lt;N51,0,IF($A94=N51,N67*N55,N67)))/(1+N47)^($A94-N48-1))</f>
        <v/>
      </c>
      <c r="O94" s="14">
        <f>IF(OR($A94&lt;=O48,$A94&gt;O34),0,(O29-IF($A94&lt;O50,0,IF($A94=O50,O63*O54,O63))-IF($A94&lt;O51,0,IF($A94=O51,O67*O55,O67)))/(1+O47)^($A94-O48-1))</f>
        <v/>
      </c>
      <c r="P94" s="14">
        <f>IF(OR($A94&lt;=P48,$A94&gt;P34),0,(P29-IF($A94&lt;P50,0,IF($A94=P50,P63*P54,P63))-IF($A94&lt;P51,0,IF($A94=P51,P67*P55,P67)))/(1+P47)^($A94-P48-1))</f>
        <v/>
      </c>
      <c r="Q94" s="14">
        <f>IF(OR($A94&lt;=Q48,$A94&gt;Q34),0,(Q29-IF($A94&lt;Q50,0,IF($A94=Q50,Q63*Q54,Q63))-IF($A94&lt;Q51,0,IF($A94=Q51,Q67*Q55,Q67)))/(1+Q47)^($A94-Q48-1))</f>
        <v/>
      </c>
      <c r="R94" s="14">
        <f>IF(OR($A94&lt;=R48,$A94&gt;R34),0,(R29-IF($A94&lt;R50,0,IF($A94=R50,R63*R54,R63))-IF($A94&lt;R51,0,IF($A94=R51,R67*R55,R67)))/(1+R47)^($A94-R48-1))</f>
        <v/>
      </c>
      <c r="S94" s="14">
        <f>IF(OR($A94&lt;=S48,$A94&gt;S34),0,(S29-IF($A94&lt;S50,0,IF($A94=S50,S63*S54,S63))-IF($A94&lt;S51,0,IF($A94=S51,S67*S55,S67)))/(1+S47)^($A94-S48-1))</f>
        <v/>
      </c>
    </row>
    <row r="95">
      <c r="A95" s="18">
        <f>A94+1</f>
        <v/>
      </c>
      <c r="B95" s="14">
        <f>IF(OR($A95&lt;=B48,$A95&gt;B34),0,(B29-IF($A95&lt;B50,0,IF($A95=B50,B63*B54,B63))-IF($A95&lt;B51,0,IF($A95=B51,B67*B55,B67)))/(1+B47)^($A95-B48-1))</f>
        <v/>
      </c>
      <c r="C95" s="14">
        <f>IF(OR($A95&lt;=C48,$A95&gt;C34),0,(C29-IF($A95&lt;C50,0,IF($A95=C50,C63*C54,C63))-IF($A95&lt;C51,0,IF($A95=C51,C67*C55,C67)))/(1+C47)^($A95-C48-1))</f>
        <v/>
      </c>
      <c r="D95" s="14">
        <f>IF(OR($A95&lt;=D48,$A95&gt;D34),0,(D29-IF($A95&lt;D50,0,IF($A95=D50,D63*D54,D63))-IF($A95&lt;D51,0,IF($A95=D51,D67*D55,D67)))/(1+D47)^($A95-D48-1))</f>
        <v/>
      </c>
      <c r="E95" s="14">
        <f>IF(OR($A95&lt;=E48,$A95&gt;E34),0,(E29-IF($A95&lt;E50,0,IF($A95=E50,E63*E54,E63))-IF($A95&lt;E51,0,IF($A95=E51,E67*E55,E67)))/(1+E47)^($A95-E48-1))</f>
        <v/>
      </c>
      <c r="F95" s="14">
        <f>IF(OR($A95&lt;=F48,$A95&gt;F34),0,(F29-IF($A95&lt;F50,0,IF($A95=F50,F63*F54,F63))-IF($A95&lt;F51,0,IF($A95=F51,F67*F55,F67)))/(1+F47)^($A95-F48-1))</f>
        <v/>
      </c>
      <c r="G95" s="14">
        <f>IF(OR($A95&lt;=G48,$A95&gt;G34),0,(G29-IF($A95&lt;G50,0,IF($A95=G50,G63*G54,G63))-IF($A95&lt;G51,0,IF($A95=G51,G67*G55,G67)))/(1+G47)^($A95-G48-1))</f>
        <v/>
      </c>
      <c r="H95" s="14">
        <f>IF(OR($A95&lt;=H48,$A95&gt;H34),0,(H29-IF($A95&lt;H50,0,IF($A95=H50,H63*H54,H63))-IF($A95&lt;H51,0,IF($A95=H51,H67*H55,H67)))/(1+H47)^($A95-H48-1))</f>
        <v/>
      </c>
      <c r="I95" s="14">
        <f>IF(OR($A95&lt;=I48,$A95&gt;I34),0,(I29-IF($A95&lt;I50,0,IF($A95=I50,I63*I54,I63))-IF($A95&lt;I51,0,IF($A95=I51,I67*I55,I67)))/(1+I47)^($A95-I48-1))</f>
        <v/>
      </c>
      <c r="J95" s="14">
        <f>IF(OR($A95&lt;=J48,$A95&gt;J34),0,(J29-IF($A95&lt;J50,0,IF($A95=J50,J63*J54,J63))-IF($A95&lt;J51,0,IF($A95=J51,J67*J55,J67)))/(1+J47)^($A95-J48-1))</f>
        <v/>
      </c>
      <c r="K95" s="14">
        <f>IF(OR($A95&lt;=K48,$A95&gt;K34),0,(K29-IF($A95&lt;K50,0,IF($A95=K50,K63*K54,K63))-IF($A95&lt;K51,0,IF($A95=K51,K67*K55,K67)))/(1+K47)^($A95-K48-1))</f>
        <v/>
      </c>
      <c r="L95" s="14">
        <f>IF(OR($A95&lt;=L48,$A95&gt;L34),0,(L29-IF($A95&lt;L50,0,IF($A95=L50,L63*L54,L63))-IF($A95&lt;L51,0,IF($A95=L51,L67*L55,L67)))/(1+L47)^($A95-L48-1))</f>
        <v/>
      </c>
      <c r="M95" s="14">
        <f>IF(OR($A95&lt;=M48,$A95&gt;M34),0,(M29-IF($A95&lt;M50,0,IF($A95=M50,M63*M54,M63))-IF($A95&lt;M51,0,IF($A95=M51,M67*M55,M67)))/(1+M47)^($A95-M48-1))</f>
        <v/>
      </c>
      <c r="N95" s="14">
        <f>IF(OR($A95&lt;=N48,$A95&gt;N34),0,(N29-IF($A95&lt;N50,0,IF($A95=N50,N63*N54,N63))-IF($A95&lt;N51,0,IF($A95=N51,N67*N55,N67)))/(1+N47)^($A95-N48-1))</f>
        <v/>
      </c>
      <c r="O95" s="14">
        <f>IF(OR($A95&lt;=O48,$A95&gt;O34),0,(O29-IF($A95&lt;O50,0,IF($A95=O50,O63*O54,O63))-IF($A95&lt;O51,0,IF($A95=O51,O67*O55,O67)))/(1+O47)^($A95-O48-1))</f>
        <v/>
      </c>
      <c r="P95" s="14">
        <f>IF(OR($A95&lt;=P48,$A95&gt;P34),0,(P29-IF($A95&lt;P50,0,IF($A95=P50,P63*P54,P63))-IF($A95&lt;P51,0,IF($A95=P51,P67*P55,P67)))/(1+P47)^($A95-P48-1))</f>
        <v/>
      </c>
      <c r="Q95" s="14">
        <f>IF(OR($A95&lt;=Q48,$A95&gt;Q34),0,(Q29-IF($A95&lt;Q50,0,IF($A95=Q50,Q63*Q54,Q63))-IF($A95&lt;Q51,0,IF($A95=Q51,Q67*Q55,Q67)))/(1+Q47)^($A95-Q48-1))</f>
        <v/>
      </c>
      <c r="R95" s="14">
        <f>IF(OR($A95&lt;=R48,$A95&gt;R34),0,(R29-IF($A95&lt;R50,0,IF($A95=R50,R63*R54,R63))-IF($A95&lt;R51,0,IF($A95=R51,R67*R55,R67)))/(1+R47)^($A95-R48-1))</f>
        <v/>
      </c>
      <c r="S95" s="14">
        <f>IF(OR($A95&lt;=S48,$A95&gt;S34),0,(S29-IF($A95&lt;S50,0,IF($A95=S50,S63*S54,S63))-IF($A95&lt;S51,0,IF($A95=S51,S67*S55,S67)))/(1+S47)^($A95-S48-1))</f>
        <v/>
      </c>
    </row>
    <row r="96">
      <c r="A96" s="18">
        <f>A95+1</f>
        <v/>
      </c>
      <c r="B96" s="14">
        <f>IF(OR($A96&lt;=B48,$A96&gt;B34),0,(B29-IF($A96&lt;B50,0,IF($A96=B50,B63*B54,B63))-IF($A96&lt;B51,0,IF($A96=B51,B67*B55,B67)))/(1+B47)^($A96-B48-1))</f>
        <v/>
      </c>
      <c r="C96" s="14">
        <f>IF(OR($A96&lt;=C48,$A96&gt;C34),0,(C29-IF($A96&lt;C50,0,IF($A96=C50,C63*C54,C63))-IF($A96&lt;C51,0,IF($A96=C51,C67*C55,C67)))/(1+C47)^($A96-C48-1))</f>
        <v/>
      </c>
      <c r="D96" s="14">
        <f>IF(OR($A96&lt;=D48,$A96&gt;D34),0,(D29-IF($A96&lt;D50,0,IF($A96=D50,D63*D54,D63))-IF($A96&lt;D51,0,IF($A96=D51,D67*D55,D67)))/(1+D47)^($A96-D48-1))</f>
        <v/>
      </c>
      <c r="E96" s="14">
        <f>IF(OR($A96&lt;=E48,$A96&gt;E34),0,(E29-IF($A96&lt;E50,0,IF($A96=E50,E63*E54,E63))-IF($A96&lt;E51,0,IF($A96=E51,E67*E55,E67)))/(1+E47)^($A96-E48-1))</f>
        <v/>
      </c>
      <c r="F96" s="14">
        <f>IF(OR($A96&lt;=F48,$A96&gt;F34),0,(F29-IF($A96&lt;F50,0,IF($A96=F50,F63*F54,F63))-IF($A96&lt;F51,0,IF($A96=F51,F67*F55,F67)))/(1+F47)^($A96-F48-1))</f>
        <v/>
      </c>
      <c r="G96" s="14">
        <f>IF(OR($A96&lt;=G48,$A96&gt;G34),0,(G29-IF($A96&lt;G50,0,IF($A96=G50,G63*G54,G63))-IF($A96&lt;G51,0,IF($A96=G51,G67*G55,G67)))/(1+G47)^($A96-G48-1))</f>
        <v/>
      </c>
      <c r="H96" s="14">
        <f>IF(OR($A96&lt;=H48,$A96&gt;H34),0,(H29-IF($A96&lt;H50,0,IF($A96=H50,H63*H54,H63))-IF($A96&lt;H51,0,IF($A96=H51,H67*H55,H67)))/(1+H47)^($A96-H48-1))</f>
        <v/>
      </c>
      <c r="I96" s="14">
        <f>IF(OR($A96&lt;=I48,$A96&gt;I34),0,(I29-IF($A96&lt;I50,0,IF($A96=I50,I63*I54,I63))-IF($A96&lt;I51,0,IF($A96=I51,I67*I55,I67)))/(1+I47)^($A96-I48-1))</f>
        <v/>
      </c>
      <c r="J96" s="14">
        <f>IF(OR($A96&lt;=J48,$A96&gt;J34),0,(J29-IF($A96&lt;J50,0,IF($A96=J50,J63*J54,J63))-IF($A96&lt;J51,0,IF($A96=J51,J67*J55,J67)))/(1+J47)^($A96-J48-1))</f>
        <v/>
      </c>
      <c r="K96" s="14">
        <f>IF(OR($A96&lt;=K48,$A96&gt;K34),0,(K29-IF($A96&lt;K50,0,IF($A96=K50,K63*K54,K63))-IF($A96&lt;K51,0,IF($A96=K51,K67*K55,K67)))/(1+K47)^($A96-K48-1))</f>
        <v/>
      </c>
      <c r="L96" s="14">
        <f>IF(OR($A96&lt;=L48,$A96&gt;L34),0,(L29-IF($A96&lt;L50,0,IF($A96=L50,L63*L54,L63))-IF($A96&lt;L51,0,IF($A96=L51,L67*L55,L67)))/(1+L47)^($A96-L48-1))</f>
        <v/>
      </c>
      <c r="M96" s="14">
        <f>IF(OR($A96&lt;=M48,$A96&gt;M34),0,(M29-IF($A96&lt;M50,0,IF($A96=M50,M63*M54,M63))-IF($A96&lt;M51,0,IF($A96=M51,M67*M55,M67)))/(1+M47)^($A96-M48-1))</f>
        <v/>
      </c>
      <c r="N96" s="14">
        <f>IF(OR($A96&lt;=N48,$A96&gt;N34),0,(N29-IF($A96&lt;N50,0,IF($A96=N50,N63*N54,N63))-IF($A96&lt;N51,0,IF($A96=N51,N67*N55,N67)))/(1+N47)^($A96-N48-1))</f>
        <v/>
      </c>
      <c r="O96" s="14">
        <f>IF(OR($A96&lt;=O48,$A96&gt;O34),0,(O29-IF($A96&lt;O50,0,IF($A96=O50,O63*O54,O63))-IF($A96&lt;O51,0,IF($A96=O51,O67*O55,O67)))/(1+O47)^($A96-O48-1))</f>
        <v/>
      </c>
      <c r="P96" s="14">
        <f>IF(OR($A96&lt;=P48,$A96&gt;P34),0,(P29-IF($A96&lt;P50,0,IF($A96=P50,P63*P54,P63))-IF($A96&lt;P51,0,IF($A96=P51,P67*P55,P67)))/(1+P47)^($A96-P48-1))</f>
        <v/>
      </c>
      <c r="Q96" s="14">
        <f>IF(OR($A96&lt;=Q48,$A96&gt;Q34),0,(Q29-IF($A96&lt;Q50,0,IF($A96=Q50,Q63*Q54,Q63))-IF($A96&lt;Q51,0,IF($A96=Q51,Q67*Q55,Q67)))/(1+Q47)^($A96-Q48-1))</f>
        <v/>
      </c>
      <c r="R96" s="14">
        <f>IF(OR($A96&lt;=R48,$A96&gt;R34),0,(R29-IF($A96&lt;R50,0,IF($A96=R50,R63*R54,R63))-IF($A96&lt;R51,0,IF($A96=R51,R67*R55,R67)))/(1+R47)^($A96-R48-1))</f>
        <v/>
      </c>
      <c r="S96" s="14">
        <f>IF(OR($A96&lt;=S48,$A96&gt;S34),0,(S29-IF($A96&lt;S50,0,IF($A96=S50,S63*S54,S63))-IF($A96&lt;S51,0,IF($A96=S51,S67*S55,S67)))/(1+S47)^($A96-S48-1))</f>
        <v/>
      </c>
    </row>
    <row r="97">
      <c r="A97" s="18">
        <f>A96+1</f>
        <v/>
      </c>
      <c r="B97" s="14">
        <f>IF(OR($A97&lt;=B48,$A97&gt;B34),0,(B29-IF($A97&lt;B50,0,IF($A97=B50,B63*B54,B63))-IF($A97&lt;B51,0,IF($A97=B51,B67*B55,B67)))/(1+B47)^($A97-B48-1))</f>
        <v/>
      </c>
      <c r="C97" s="14">
        <f>IF(OR($A97&lt;=C48,$A97&gt;C34),0,(C29-IF($A97&lt;C50,0,IF($A97=C50,C63*C54,C63))-IF($A97&lt;C51,0,IF($A97=C51,C67*C55,C67)))/(1+C47)^($A97-C48-1))</f>
        <v/>
      </c>
      <c r="D97" s="14">
        <f>IF(OR($A97&lt;=D48,$A97&gt;D34),0,(D29-IF($A97&lt;D50,0,IF($A97=D50,D63*D54,D63))-IF($A97&lt;D51,0,IF($A97=D51,D67*D55,D67)))/(1+D47)^($A97-D48-1))</f>
        <v/>
      </c>
      <c r="E97" s="14">
        <f>IF(OR($A97&lt;=E48,$A97&gt;E34),0,(E29-IF($A97&lt;E50,0,IF($A97=E50,E63*E54,E63))-IF($A97&lt;E51,0,IF($A97=E51,E67*E55,E67)))/(1+E47)^($A97-E48-1))</f>
        <v/>
      </c>
      <c r="F97" s="14">
        <f>IF(OR($A97&lt;=F48,$A97&gt;F34),0,(F29-IF($A97&lt;F50,0,IF($A97=F50,F63*F54,F63))-IF($A97&lt;F51,0,IF($A97=F51,F67*F55,F67)))/(1+F47)^($A97-F48-1))</f>
        <v/>
      </c>
      <c r="G97" s="14">
        <f>IF(OR($A97&lt;=G48,$A97&gt;G34),0,(G29-IF($A97&lt;G50,0,IF($A97=G50,G63*G54,G63))-IF($A97&lt;G51,0,IF($A97=G51,G67*G55,G67)))/(1+G47)^($A97-G48-1))</f>
        <v/>
      </c>
      <c r="H97" s="14">
        <f>IF(OR($A97&lt;=H48,$A97&gt;H34),0,(H29-IF($A97&lt;H50,0,IF($A97=H50,H63*H54,H63))-IF($A97&lt;H51,0,IF($A97=H51,H67*H55,H67)))/(1+H47)^($A97-H48-1))</f>
        <v/>
      </c>
      <c r="I97" s="14">
        <f>IF(OR($A97&lt;=I48,$A97&gt;I34),0,(I29-IF($A97&lt;I50,0,IF($A97=I50,I63*I54,I63))-IF($A97&lt;I51,0,IF($A97=I51,I67*I55,I67)))/(1+I47)^($A97-I48-1))</f>
        <v/>
      </c>
      <c r="J97" s="14">
        <f>IF(OR($A97&lt;=J48,$A97&gt;J34),0,(J29-IF($A97&lt;J50,0,IF($A97=J50,J63*J54,J63))-IF($A97&lt;J51,0,IF($A97=J51,J67*J55,J67)))/(1+J47)^($A97-J48-1))</f>
        <v/>
      </c>
      <c r="K97" s="14">
        <f>IF(OR($A97&lt;=K48,$A97&gt;K34),0,(K29-IF($A97&lt;K50,0,IF($A97=K50,K63*K54,K63))-IF($A97&lt;K51,0,IF($A97=K51,K67*K55,K67)))/(1+K47)^($A97-K48-1))</f>
        <v/>
      </c>
      <c r="L97" s="14">
        <f>IF(OR($A97&lt;=L48,$A97&gt;L34),0,(L29-IF($A97&lt;L50,0,IF($A97=L50,L63*L54,L63))-IF($A97&lt;L51,0,IF($A97=L51,L67*L55,L67)))/(1+L47)^($A97-L48-1))</f>
        <v/>
      </c>
      <c r="M97" s="14">
        <f>IF(OR($A97&lt;=M48,$A97&gt;M34),0,(M29-IF($A97&lt;M50,0,IF($A97=M50,M63*M54,M63))-IF($A97&lt;M51,0,IF($A97=M51,M67*M55,M67)))/(1+M47)^($A97-M48-1))</f>
        <v/>
      </c>
      <c r="N97" s="14">
        <f>IF(OR($A97&lt;=N48,$A97&gt;N34),0,(N29-IF($A97&lt;N50,0,IF($A97=N50,N63*N54,N63))-IF($A97&lt;N51,0,IF($A97=N51,N67*N55,N67)))/(1+N47)^($A97-N48-1))</f>
        <v/>
      </c>
      <c r="O97" s="14">
        <f>IF(OR($A97&lt;=O48,$A97&gt;O34),0,(O29-IF($A97&lt;O50,0,IF($A97=O50,O63*O54,O63))-IF($A97&lt;O51,0,IF($A97=O51,O67*O55,O67)))/(1+O47)^($A97-O48-1))</f>
        <v/>
      </c>
      <c r="P97" s="14">
        <f>IF(OR($A97&lt;=P48,$A97&gt;P34),0,(P29-IF($A97&lt;P50,0,IF($A97=P50,P63*P54,P63))-IF($A97&lt;P51,0,IF($A97=P51,P67*P55,P67)))/(1+P47)^($A97-P48-1))</f>
        <v/>
      </c>
      <c r="Q97" s="14">
        <f>IF(OR($A97&lt;=Q48,$A97&gt;Q34),0,(Q29-IF($A97&lt;Q50,0,IF($A97=Q50,Q63*Q54,Q63))-IF($A97&lt;Q51,0,IF($A97=Q51,Q67*Q55,Q67)))/(1+Q47)^($A97-Q48-1))</f>
        <v/>
      </c>
      <c r="R97" s="14">
        <f>IF(OR($A97&lt;=R48,$A97&gt;R34),0,(R29-IF($A97&lt;R50,0,IF($A97=R50,R63*R54,R63))-IF($A97&lt;R51,0,IF($A97=R51,R67*R55,R67)))/(1+R47)^($A97-R48-1))</f>
        <v/>
      </c>
      <c r="S97" s="14">
        <f>IF(OR($A97&lt;=S48,$A97&gt;S34),0,(S29-IF($A97&lt;S50,0,IF($A97=S50,S63*S54,S63))-IF($A97&lt;S51,0,IF($A97=S51,S67*S55,S67)))/(1+S47)^($A97-S48-1))</f>
        <v/>
      </c>
    </row>
    <row r="98">
      <c r="A98" s="18">
        <f>A97+1</f>
        <v/>
      </c>
      <c r="B98" s="14">
        <f>IF(OR($A98&lt;=B48,$A98&gt;B34),0,(B29-IF($A98&lt;B50,0,IF($A98=B50,B63*B54,B63))-IF($A98&lt;B51,0,IF($A98=B51,B67*B55,B67)))/(1+B47)^($A98-B48-1))</f>
        <v/>
      </c>
      <c r="C98" s="14">
        <f>IF(OR($A98&lt;=C48,$A98&gt;C34),0,(C29-IF($A98&lt;C50,0,IF($A98=C50,C63*C54,C63))-IF($A98&lt;C51,0,IF($A98=C51,C67*C55,C67)))/(1+C47)^($A98-C48-1))</f>
        <v/>
      </c>
      <c r="D98" s="14">
        <f>IF(OR($A98&lt;=D48,$A98&gt;D34),0,(D29-IF($A98&lt;D50,0,IF($A98=D50,D63*D54,D63))-IF($A98&lt;D51,0,IF($A98=D51,D67*D55,D67)))/(1+D47)^($A98-D48-1))</f>
        <v/>
      </c>
      <c r="E98" s="14">
        <f>IF(OR($A98&lt;=E48,$A98&gt;E34),0,(E29-IF($A98&lt;E50,0,IF($A98=E50,E63*E54,E63))-IF($A98&lt;E51,0,IF($A98=E51,E67*E55,E67)))/(1+E47)^($A98-E48-1))</f>
        <v/>
      </c>
      <c r="F98" s="14">
        <f>IF(OR($A98&lt;=F48,$A98&gt;F34),0,(F29-IF($A98&lt;F50,0,IF($A98=F50,F63*F54,F63))-IF($A98&lt;F51,0,IF($A98=F51,F67*F55,F67)))/(1+F47)^($A98-F48-1))</f>
        <v/>
      </c>
      <c r="G98" s="14">
        <f>IF(OR($A98&lt;=G48,$A98&gt;G34),0,(G29-IF($A98&lt;G50,0,IF($A98=G50,G63*G54,G63))-IF($A98&lt;G51,0,IF($A98=G51,G67*G55,G67)))/(1+G47)^($A98-G48-1))</f>
        <v/>
      </c>
      <c r="H98" s="14">
        <f>IF(OR($A98&lt;=H48,$A98&gt;H34),0,(H29-IF($A98&lt;H50,0,IF($A98=H50,H63*H54,H63))-IF($A98&lt;H51,0,IF($A98=H51,H67*H55,H67)))/(1+H47)^($A98-H48-1))</f>
        <v/>
      </c>
      <c r="I98" s="14">
        <f>IF(OR($A98&lt;=I48,$A98&gt;I34),0,(I29-IF($A98&lt;I50,0,IF($A98=I50,I63*I54,I63))-IF($A98&lt;I51,0,IF($A98=I51,I67*I55,I67)))/(1+I47)^($A98-I48-1))</f>
        <v/>
      </c>
      <c r="J98" s="14">
        <f>IF(OR($A98&lt;=J48,$A98&gt;J34),0,(J29-IF($A98&lt;J50,0,IF($A98=J50,J63*J54,J63))-IF($A98&lt;J51,0,IF($A98=J51,J67*J55,J67)))/(1+J47)^($A98-J48-1))</f>
        <v/>
      </c>
      <c r="K98" s="14">
        <f>IF(OR($A98&lt;=K48,$A98&gt;K34),0,(K29-IF($A98&lt;K50,0,IF($A98=K50,K63*K54,K63))-IF($A98&lt;K51,0,IF($A98=K51,K67*K55,K67)))/(1+K47)^($A98-K48-1))</f>
        <v/>
      </c>
      <c r="L98" s="14">
        <f>IF(OR($A98&lt;=L48,$A98&gt;L34),0,(L29-IF($A98&lt;L50,0,IF($A98=L50,L63*L54,L63))-IF($A98&lt;L51,0,IF($A98=L51,L67*L55,L67)))/(1+L47)^($A98-L48-1))</f>
        <v/>
      </c>
      <c r="M98" s="14">
        <f>IF(OR($A98&lt;=M48,$A98&gt;M34),0,(M29-IF($A98&lt;M50,0,IF($A98=M50,M63*M54,M63))-IF($A98&lt;M51,0,IF($A98=M51,M67*M55,M67)))/(1+M47)^($A98-M48-1))</f>
        <v/>
      </c>
      <c r="N98" s="14">
        <f>IF(OR($A98&lt;=N48,$A98&gt;N34),0,(N29-IF($A98&lt;N50,0,IF($A98=N50,N63*N54,N63))-IF($A98&lt;N51,0,IF($A98=N51,N67*N55,N67)))/(1+N47)^($A98-N48-1))</f>
        <v/>
      </c>
      <c r="O98" s="14">
        <f>IF(OR($A98&lt;=O48,$A98&gt;O34),0,(O29-IF($A98&lt;O50,0,IF($A98=O50,O63*O54,O63))-IF($A98&lt;O51,0,IF($A98=O51,O67*O55,O67)))/(1+O47)^($A98-O48-1))</f>
        <v/>
      </c>
      <c r="P98" s="14">
        <f>IF(OR($A98&lt;=P48,$A98&gt;P34),0,(P29-IF($A98&lt;P50,0,IF($A98=P50,P63*P54,P63))-IF($A98&lt;P51,0,IF($A98=P51,P67*P55,P67)))/(1+P47)^($A98-P48-1))</f>
        <v/>
      </c>
      <c r="Q98" s="14">
        <f>IF(OR($A98&lt;=Q48,$A98&gt;Q34),0,(Q29-IF($A98&lt;Q50,0,IF($A98=Q50,Q63*Q54,Q63))-IF($A98&lt;Q51,0,IF($A98=Q51,Q67*Q55,Q67)))/(1+Q47)^($A98-Q48-1))</f>
        <v/>
      </c>
      <c r="R98" s="14">
        <f>IF(OR($A98&lt;=R48,$A98&gt;R34),0,(R29-IF($A98&lt;R50,0,IF($A98=R50,R63*R54,R63))-IF($A98&lt;R51,0,IF($A98=R51,R67*R55,R67)))/(1+R47)^($A98-R48-1))</f>
        <v/>
      </c>
      <c r="S98" s="14">
        <f>IF(OR($A98&lt;=S48,$A98&gt;S34),0,(S29-IF($A98&lt;S50,0,IF($A98=S50,S63*S54,S63))-IF($A98&lt;S51,0,IF($A98=S51,S67*S55,S67)))/(1+S47)^($A98-S48-1))</f>
        <v/>
      </c>
    </row>
    <row r="99">
      <c r="A99" s="18">
        <f>A98+1</f>
        <v/>
      </c>
      <c r="B99" s="14">
        <f>IF(OR($A99&lt;=B48,$A99&gt;B34),0,(B29-IF($A99&lt;B50,0,IF($A99=B50,B63*B54,B63))-IF($A99&lt;B51,0,IF($A99=B51,B67*B55,B67)))/(1+B47)^($A99-B48-1))</f>
        <v/>
      </c>
      <c r="C99" s="14">
        <f>IF(OR($A99&lt;=C48,$A99&gt;C34),0,(C29-IF($A99&lt;C50,0,IF($A99=C50,C63*C54,C63))-IF($A99&lt;C51,0,IF($A99=C51,C67*C55,C67)))/(1+C47)^($A99-C48-1))</f>
        <v/>
      </c>
      <c r="D99" s="14">
        <f>IF(OR($A99&lt;=D48,$A99&gt;D34),0,(D29-IF($A99&lt;D50,0,IF($A99=D50,D63*D54,D63))-IF($A99&lt;D51,0,IF($A99=D51,D67*D55,D67)))/(1+D47)^($A99-D48-1))</f>
        <v/>
      </c>
      <c r="E99" s="14">
        <f>IF(OR($A99&lt;=E48,$A99&gt;E34),0,(E29-IF($A99&lt;E50,0,IF($A99=E50,E63*E54,E63))-IF($A99&lt;E51,0,IF($A99=E51,E67*E55,E67)))/(1+E47)^($A99-E48-1))</f>
        <v/>
      </c>
      <c r="F99" s="14">
        <f>IF(OR($A99&lt;=F48,$A99&gt;F34),0,(F29-IF($A99&lt;F50,0,IF($A99=F50,F63*F54,F63))-IF($A99&lt;F51,0,IF($A99=F51,F67*F55,F67)))/(1+F47)^($A99-F48-1))</f>
        <v/>
      </c>
      <c r="G99" s="14">
        <f>IF(OR($A99&lt;=G48,$A99&gt;G34),0,(G29-IF($A99&lt;G50,0,IF($A99=G50,G63*G54,G63))-IF($A99&lt;G51,0,IF($A99=G51,G67*G55,G67)))/(1+G47)^($A99-G48-1))</f>
        <v/>
      </c>
      <c r="H99" s="14">
        <f>IF(OR($A99&lt;=H48,$A99&gt;H34),0,(H29-IF($A99&lt;H50,0,IF($A99=H50,H63*H54,H63))-IF($A99&lt;H51,0,IF($A99=H51,H67*H55,H67)))/(1+H47)^($A99-H48-1))</f>
        <v/>
      </c>
      <c r="I99" s="14">
        <f>IF(OR($A99&lt;=I48,$A99&gt;I34),0,(I29-IF($A99&lt;I50,0,IF($A99=I50,I63*I54,I63))-IF($A99&lt;I51,0,IF($A99=I51,I67*I55,I67)))/(1+I47)^($A99-I48-1))</f>
        <v/>
      </c>
      <c r="J99" s="14">
        <f>IF(OR($A99&lt;=J48,$A99&gt;J34),0,(J29-IF($A99&lt;J50,0,IF($A99=J50,J63*J54,J63))-IF($A99&lt;J51,0,IF($A99=J51,J67*J55,J67)))/(1+J47)^($A99-J48-1))</f>
        <v/>
      </c>
      <c r="K99" s="14">
        <f>IF(OR($A99&lt;=K48,$A99&gt;K34),0,(K29-IF($A99&lt;K50,0,IF($A99=K50,K63*K54,K63))-IF($A99&lt;K51,0,IF($A99=K51,K67*K55,K67)))/(1+K47)^($A99-K48-1))</f>
        <v/>
      </c>
      <c r="L99" s="14">
        <f>IF(OR($A99&lt;=L48,$A99&gt;L34),0,(L29-IF($A99&lt;L50,0,IF($A99=L50,L63*L54,L63))-IF($A99&lt;L51,0,IF($A99=L51,L67*L55,L67)))/(1+L47)^($A99-L48-1))</f>
        <v/>
      </c>
      <c r="M99" s="14">
        <f>IF(OR($A99&lt;=M48,$A99&gt;M34),0,(M29-IF($A99&lt;M50,0,IF($A99=M50,M63*M54,M63))-IF($A99&lt;M51,0,IF($A99=M51,M67*M55,M67)))/(1+M47)^($A99-M48-1))</f>
        <v/>
      </c>
      <c r="N99" s="14">
        <f>IF(OR($A99&lt;=N48,$A99&gt;N34),0,(N29-IF($A99&lt;N50,0,IF($A99=N50,N63*N54,N63))-IF($A99&lt;N51,0,IF($A99=N51,N67*N55,N67)))/(1+N47)^($A99-N48-1))</f>
        <v/>
      </c>
      <c r="O99" s="14">
        <f>IF(OR($A99&lt;=O48,$A99&gt;O34),0,(O29-IF($A99&lt;O50,0,IF($A99=O50,O63*O54,O63))-IF($A99&lt;O51,0,IF($A99=O51,O67*O55,O67)))/(1+O47)^($A99-O48-1))</f>
        <v/>
      </c>
      <c r="P99" s="14">
        <f>IF(OR($A99&lt;=P48,$A99&gt;P34),0,(P29-IF($A99&lt;P50,0,IF($A99=P50,P63*P54,P63))-IF($A99&lt;P51,0,IF($A99=P51,P67*P55,P67)))/(1+P47)^($A99-P48-1))</f>
        <v/>
      </c>
      <c r="Q99" s="14">
        <f>IF(OR($A99&lt;=Q48,$A99&gt;Q34),0,(Q29-IF($A99&lt;Q50,0,IF($A99=Q50,Q63*Q54,Q63))-IF($A99&lt;Q51,0,IF($A99=Q51,Q67*Q55,Q67)))/(1+Q47)^($A99-Q48-1))</f>
        <v/>
      </c>
      <c r="R99" s="14">
        <f>IF(OR($A99&lt;=R48,$A99&gt;R34),0,(R29-IF($A99&lt;R50,0,IF($A99=R50,R63*R54,R63))-IF($A99&lt;R51,0,IF($A99=R51,R67*R55,R67)))/(1+R47)^($A99-R48-1))</f>
        <v/>
      </c>
      <c r="S99" s="14">
        <f>IF(OR($A99&lt;=S48,$A99&gt;S34),0,(S29-IF($A99&lt;S50,0,IF($A99=S50,S63*S54,S63))-IF($A99&lt;S51,0,IF($A99=S51,S67*S55,S67)))/(1+S47)^($A99-S48-1))</f>
        <v/>
      </c>
    </row>
    <row r="100">
      <c r="A100" s="18">
        <f>A99+1</f>
        <v/>
      </c>
      <c r="B100" s="14">
        <f>IF(OR($A100&lt;=B48,$A100&gt;B34),0,(B29-IF($A100&lt;B50,0,IF($A100=B50,B63*B54,B63))-IF($A100&lt;B51,0,IF($A100=B51,B67*B55,B67)))/(1+B47)^($A100-B48-1))</f>
        <v/>
      </c>
      <c r="C100" s="14">
        <f>IF(OR($A100&lt;=C48,$A100&gt;C34),0,(C29-IF($A100&lt;C50,0,IF($A100=C50,C63*C54,C63))-IF($A100&lt;C51,0,IF($A100=C51,C67*C55,C67)))/(1+C47)^($A100-C48-1))</f>
        <v/>
      </c>
      <c r="D100" s="14">
        <f>IF(OR($A100&lt;=D48,$A100&gt;D34),0,(D29-IF($A100&lt;D50,0,IF($A100=D50,D63*D54,D63))-IF($A100&lt;D51,0,IF($A100=D51,D67*D55,D67)))/(1+D47)^($A100-D48-1))</f>
        <v/>
      </c>
      <c r="E100" s="14">
        <f>IF(OR($A100&lt;=E48,$A100&gt;E34),0,(E29-IF($A100&lt;E50,0,IF($A100=E50,E63*E54,E63))-IF($A100&lt;E51,0,IF($A100=E51,E67*E55,E67)))/(1+E47)^($A100-E48-1))</f>
        <v/>
      </c>
      <c r="F100" s="14">
        <f>IF(OR($A100&lt;=F48,$A100&gt;F34),0,(F29-IF($A100&lt;F50,0,IF($A100=F50,F63*F54,F63))-IF($A100&lt;F51,0,IF($A100=F51,F67*F55,F67)))/(1+F47)^($A100-F48-1))</f>
        <v/>
      </c>
      <c r="G100" s="14">
        <f>IF(OR($A100&lt;=G48,$A100&gt;G34),0,(G29-IF($A100&lt;G50,0,IF($A100=G50,G63*G54,G63))-IF($A100&lt;G51,0,IF($A100=G51,G67*G55,G67)))/(1+G47)^($A100-G48-1))</f>
        <v/>
      </c>
      <c r="H100" s="14">
        <f>IF(OR($A100&lt;=H48,$A100&gt;H34),0,(H29-IF($A100&lt;H50,0,IF($A100=H50,H63*H54,H63))-IF($A100&lt;H51,0,IF($A100=H51,H67*H55,H67)))/(1+H47)^($A100-H48-1))</f>
        <v/>
      </c>
      <c r="I100" s="14">
        <f>IF(OR($A100&lt;=I48,$A100&gt;I34),0,(I29-IF($A100&lt;I50,0,IF($A100=I50,I63*I54,I63))-IF($A100&lt;I51,0,IF($A100=I51,I67*I55,I67)))/(1+I47)^($A100-I48-1))</f>
        <v/>
      </c>
      <c r="J100" s="14">
        <f>IF(OR($A100&lt;=J48,$A100&gt;J34),0,(J29-IF($A100&lt;J50,0,IF($A100=J50,J63*J54,J63))-IF($A100&lt;J51,0,IF($A100=J51,J67*J55,J67)))/(1+J47)^($A100-J48-1))</f>
        <v/>
      </c>
      <c r="K100" s="14">
        <f>IF(OR($A100&lt;=K48,$A100&gt;K34),0,(K29-IF($A100&lt;K50,0,IF($A100=K50,K63*K54,K63))-IF($A100&lt;K51,0,IF($A100=K51,K67*K55,K67)))/(1+K47)^($A100-K48-1))</f>
        <v/>
      </c>
      <c r="L100" s="14">
        <f>IF(OR($A100&lt;=L48,$A100&gt;L34),0,(L29-IF($A100&lt;L50,0,IF($A100=L50,L63*L54,L63))-IF($A100&lt;L51,0,IF($A100=L51,L67*L55,L67)))/(1+L47)^($A100-L48-1))</f>
        <v/>
      </c>
      <c r="M100" s="14">
        <f>IF(OR($A100&lt;=M48,$A100&gt;M34),0,(M29-IF($A100&lt;M50,0,IF($A100=M50,M63*M54,M63))-IF($A100&lt;M51,0,IF($A100=M51,M67*M55,M67)))/(1+M47)^($A100-M48-1))</f>
        <v/>
      </c>
      <c r="N100" s="14">
        <f>IF(OR($A100&lt;=N48,$A100&gt;N34),0,(N29-IF($A100&lt;N50,0,IF($A100=N50,N63*N54,N63))-IF($A100&lt;N51,0,IF($A100=N51,N67*N55,N67)))/(1+N47)^($A100-N48-1))</f>
        <v/>
      </c>
      <c r="O100" s="14">
        <f>IF(OR($A100&lt;=O48,$A100&gt;O34),0,(O29-IF($A100&lt;O50,0,IF($A100=O50,O63*O54,O63))-IF($A100&lt;O51,0,IF($A100=O51,O67*O55,O67)))/(1+O47)^($A100-O48-1))</f>
        <v/>
      </c>
      <c r="P100" s="14">
        <f>IF(OR($A100&lt;=P48,$A100&gt;P34),0,(P29-IF($A100&lt;P50,0,IF($A100=P50,P63*P54,P63))-IF($A100&lt;P51,0,IF($A100=P51,P67*P55,P67)))/(1+P47)^($A100-P48-1))</f>
        <v/>
      </c>
      <c r="Q100" s="14">
        <f>IF(OR($A100&lt;=Q48,$A100&gt;Q34),0,(Q29-IF($A100&lt;Q50,0,IF($A100=Q50,Q63*Q54,Q63))-IF($A100&lt;Q51,0,IF($A100=Q51,Q67*Q55,Q67)))/(1+Q47)^($A100-Q48-1))</f>
        <v/>
      </c>
      <c r="R100" s="14">
        <f>IF(OR($A100&lt;=R48,$A100&gt;R34),0,(R29-IF($A100&lt;R50,0,IF($A100=R50,R63*R54,R63))-IF($A100&lt;R51,0,IF($A100=R51,R67*R55,R67)))/(1+R47)^($A100-R48-1))</f>
        <v/>
      </c>
      <c r="S100" s="14">
        <f>IF(OR($A100&lt;=S48,$A100&gt;S34),0,(S29-IF($A100&lt;S50,0,IF($A100=S50,S63*S54,S63))-IF($A100&lt;S51,0,IF($A100=S51,S67*S55,S67)))/(1+S47)^($A100-S48-1))</f>
        <v/>
      </c>
    </row>
    <row r="101">
      <c r="A101" s="18">
        <f>A100+1</f>
        <v/>
      </c>
      <c r="B101" s="14">
        <f>IF(OR($A101&lt;=B48,$A101&gt;B34),0,(B29-IF($A101&lt;B50,0,IF($A101=B50,B63*B54,B63))-IF($A101&lt;B51,0,IF($A101=B51,B67*B55,B67)))/(1+B47)^($A101-B48-1))</f>
        <v/>
      </c>
      <c r="C101" s="14">
        <f>IF(OR($A101&lt;=C48,$A101&gt;C34),0,(C29-IF($A101&lt;C50,0,IF($A101=C50,C63*C54,C63))-IF($A101&lt;C51,0,IF($A101=C51,C67*C55,C67)))/(1+C47)^($A101-C48-1))</f>
        <v/>
      </c>
      <c r="D101" s="14">
        <f>IF(OR($A101&lt;=D48,$A101&gt;D34),0,(D29-IF($A101&lt;D50,0,IF($A101=D50,D63*D54,D63))-IF($A101&lt;D51,0,IF($A101=D51,D67*D55,D67)))/(1+D47)^($A101-D48-1))</f>
        <v/>
      </c>
      <c r="E101" s="14">
        <f>IF(OR($A101&lt;=E48,$A101&gt;E34),0,(E29-IF($A101&lt;E50,0,IF($A101=E50,E63*E54,E63))-IF($A101&lt;E51,0,IF($A101=E51,E67*E55,E67)))/(1+E47)^($A101-E48-1))</f>
        <v/>
      </c>
      <c r="F101" s="14">
        <f>IF(OR($A101&lt;=F48,$A101&gt;F34),0,(F29-IF($A101&lt;F50,0,IF($A101=F50,F63*F54,F63))-IF($A101&lt;F51,0,IF($A101=F51,F67*F55,F67)))/(1+F47)^($A101-F48-1))</f>
        <v/>
      </c>
      <c r="G101" s="14">
        <f>IF(OR($A101&lt;=G48,$A101&gt;G34),0,(G29-IF($A101&lt;G50,0,IF($A101=G50,G63*G54,G63))-IF($A101&lt;G51,0,IF($A101=G51,G67*G55,G67)))/(1+G47)^($A101-G48-1))</f>
        <v/>
      </c>
      <c r="H101" s="14">
        <f>IF(OR($A101&lt;=H48,$A101&gt;H34),0,(H29-IF($A101&lt;H50,0,IF($A101=H50,H63*H54,H63))-IF($A101&lt;H51,0,IF($A101=H51,H67*H55,H67)))/(1+H47)^($A101-H48-1))</f>
        <v/>
      </c>
      <c r="I101" s="14">
        <f>IF(OR($A101&lt;=I48,$A101&gt;I34),0,(I29-IF($A101&lt;I50,0,IF($A101=I50,I63*I54,I63))-IF($A101&lt;I51,0,IF($A101=I51,I67*I55,I67)))/(1+I47)^($A101-I48-1))</f>
        <v/>
      </c>
      <c r="J101" s="14">
        <f>IF(OR($A101&lt;=J48,$A101&gt;J34),0,(J29-IF($A101&lt;J50,0,IF($A101=J50,J63*J54,J63))-IF($A101&lt;J51,0,IF($A101=J51,J67*J55,J67)))/(1+J47)^($A101-J48-1))</f>
        <v/>
      </c>
      <c r="K101" s="14">
        <f>IF(OR($A101&lt;=K48,$A101&gt;K34),0,(K29-IF($A101&lt;K50,0,IF($A101=K50,K63*K54,K63))-IF($A101&lt;K51,0,IF($A101=K51,K67*K55,K67)))/(1+K47)^($A101-K48-1))</f>
        <v/>
      </c>
      <c r="L101" s="14">
        <f>IF(OR($A101&lt;=L48,$A101&gt;L34),0,(L29-IF($A101&lt;L50,0,IF($A101=L50,L63*L54,L63))-IF($A101&lt;L51,0,IF($A101=L51,L67*L55,L67)))/(1+L47)^($A101-L48-1))</f>
        <v/>
      </c>
      <c r="M101" s="14">
        <f>IF(OR($A101&lt;=M48,$A101&gt;M34),0,(M29-IF($A101&lt;M50,0,IF($A101=M50,M63*M54,M63))-IF($A101&lt;M51,0,IF($A101=M51,M67*M55,M67)))/(1+M47)^($A101-M48-1))</f>
        <v/>
      </c>
      <c r="N101" s="14">
        <f>IF(OR($A101&lt;=N48,$A101&gt;N34),0,(N29-IF($A101&lt;N50,0,IF($A101=N50,N63*N54,N63))-IF($A101&lt;N51,0,IF($A101=N51,N67*N55,N67)))/(1+N47)^($A101-N48-1))</f>
        <v/>
      </c>
      <c r="O101" s="14">
        <f>IF(OR($A101&lt;=O48,$A101&gt;O34),0,(O29-IF($A101&lt;O50,0,IF($A101=O50,O63*O54,O63))-IF($A101&lt;O51,0,IF($A101=O51,O67*O55,O67)))/(1+O47)^($A101-O48-1))</f>
        <v/>
      </c>
      <c r="P101" s="14">
        <f>IF(OR($A101&lt;=P48,$A101&gt;P34),0,(P29-IF($A101&lt;P50,0,IF($A101=P50,P63*P54,P63))-IF($A101&lt;P51,0,IF($A101=P51,P67*P55,P67)))/(1+P47)^($A101-P48-1))</f>
        <v/>
      </c>
      <c r="Q101" s="14">
        <f>IF(OR($A101&lt;=Q48,$A101&gt;Q34),0,(Q29-IF($A101&lt;Q50,0,IF($A101=Q50,Q63*Q54,Q63))-IF($A101&lt;Q51,0,IF($A101=Q51,Q67*Q55,Q67)))/(1+Q47)^($A101-Q48-1))</f>
        <v/>
      </c>
      <c r="R101" s="14">
        <f>IF(OR($A101&lt;=R48,$A101&gt;R34),0,(R29-IF($A101&lt;R50,0,IF($A101=R50,R63*R54,R63))-IF($A101&lt;R51,0,IF($A101=R51,R67*R55,R67)))/(1+R47)^($A101-R48-1))</f>
        <v/>
      </c>
      <c r="S101" s="14">
        <f>IF(OR($A101&lt;=S48,$A101&gt;S34),0,(S29-IF($A101&lt;S50,0,IF($A101=S50,S63*S54,S63))-IF($A101&lt;S51,0,IF($A101=S51,S67*S55,S67)))/(1+S47)^($A101-S48-1))</f>
        <v/>
      </c>
    </row>
    <row r="102">
      <c r="A102" s="18">
        <f>A101+1</f>
        <v/>
      </c>
      <c r="B102" s="14">
        <f>IF(OR($A102&lt;=B48,$A102&gt;B34),0,(B29-IF($A102&lt;B50,0,IF($A102=B50,B63*B54,B63))-IF($A102&lt;B51,0,IF($A102=B51,B67*B55,B67)))/(1+B47)^($A102-B48-1))</f>
        <v/>
      </c>
      <c r="C102" s="14">
        <f>IF(OR($A102&lt;=C48,$A102&gt;C34),0,(C29-IF($A102&lt;C50,0,IF($A102=C50,C63*C54,C63))-IF($A102&lt;C51,0,IF($A102=C51,C67*C55,C67)))/(1+C47)^($A102-C48-1))</f>
        <v/>
      </c>
      <c r="D102" s="14">
        <f>IF(OR($A102&lt;=D48,$A102&gt;D34),0,(D29-IF($A102&lt;D50,0,IF($A102=D50,D63*D54,D63))-IF($A102&lt;D51,0,IF($A102=D51,D67*D55,D67)))/(1+D47)^($A102-D48-1))</f>
        <v/>
      </c>
      <c r="E102" s="14">
        <f>IF(OR($A102&lt;=E48,$A102&gt;E34),0,(E29-IF($A102&lt;E50,0,IF($A102=E50,E63*E54,E63))-IF($A102&lt;E51,0,IF($A102=E51,E67*E55,E67)))/(1+E47)^($A102-E48-1))</f>
        <v/>
      </c>
      <c r="F102" s="14">
        <f>IF(OR($A102&lt;=F48,$A102&gt;F34),0,(F29-IF($A102&lt;F50,0,IF($A102=F50,F63*F54,F63))-IF($A102&lt;F51,0,IF($A102=F51,F67*F55,F67)))/(1+F47)^($A102-F48-1))</f>
        <v/>
      </c>
      <c r="G102" s="14">
        <f>IF(OR($A102&lt;=G48,$A102&gt;G34),0,(G29-IF($A102&lt;G50,0,IF($A102=G50,G63*G54,G63))-IF($A102&lt;G51,0,IF($A102=G51,G67*G55,G67)))/(1+G47)^($A102-G48-1))</f>
        <v/>
      </c>
      <c r="H102" s="14">
        <f>IF(OR($A102&lt;=H48,$A102&gt;H34),0,(H29-IF($A102&lt;H50,0,IF($A102=H50,H63*H54,H63))-IF($A102&lt;H51,0,IF($A102=H51,H67*H55,H67)))/(1+H47)^($A102-H48-1))</f>
        <v/>
      </c>
      <c r="I102" s="14">
        <f>IF(OR($A102&lt;=I48,$A102&gt;I34),0,(I29-IF($A102&lt;I50,0,IF($A102=I50,I63*I54,I63))-IF($A102&lt;I51,0,IF($A102=I51,I67*I55,I67)))/(1+I47)^($A102-I48-1))</f>
        <v/>
      </c>
      <c r="J102" s="14">
        <f>IF(OR($A102&lt;=J48,$A102&gt;J34),0,(J29-IF($A102&lt;J50,0,IF($A102=J50,J63*J54,J63))-IF($A102&lt;J51,0,IF($A102=J51,J67*J55,J67)))/(1+J47)^($A102-J48-1))</f>
        <v/>
      </c>
      <c r="K102" s="14">
        <f>IF(OR($A102&lt;=K48,$A102&gt;K34),0,(K29-IF($A102&lt;K50,0,IF($A102=K50,K63*K54,K63))-IF($A102&lt;K51,0,IF($A102=K51,K67*K55,K67)))/(1+K47)^($A102-K48-1))</f>
        <v/>
      </c>
      <c r="L102" s="14">
        <f>IF(OR($A102&lt;=L48,$A102&gt;L34),0,(L29-IF($A102&lt;L50,0,IF($A102=L50,L63*L54,L63))-IF($A102&lt;L51,0,IF($A102=L51,L67*L55,L67)))/(1+L47)^($A102-L48-1))</f>
        <v/>
      </c>
      <c r="M102" s="14">
        <f>IF(OR($A102&lt;=M48,$A102&gt;M34),0,(M29-IF($A102&lt;M50,0,IF($A102=M50,M63*M54,M63))-IF($A102&lt;M51,0,IF($A102=M51,M67*M55,M67)))/(1+M47)^($A102-M48-1))</f>
        <v/>
      </c>
      <c r="N102" s="14">
        <f>IF(OR($A102&lt;=N48,$A102&gt;N34),0,(N29-IF($A102&lt;N50,0,IF($A102=N50,N63*N54,N63))-IF($A102&lt;N51,0,IF($A102=N51,N67*N55,N67)))/(1+N47)^($A102-N48-1))</f>
        <v/>
      </c>
      <c r="O102" s="14">
        <f>IF(OR($A102&lt;=O48,$A102&gt;O34),0,(O29-IF($A102&lt;O50,0,IF($A102=O50,O63*O54,O63))-IF($A102&lt;O51,0,IF($A102=O51,O67*O55,O67)))/(1+O47)^($A102-O48-1))</f>
        <v/>
      </c>
      <c r="P102" s="14">
        <f>IF(OR($A102&lt;=P48,$A102&gt;P34),0,(P29-IF($A102&lt;P50,0,IF($A102=P50,P63*P54,P63))-IF($A102&lt;P51,0,IF($A102=P51,P67*P55,P67)))/(1+P47)^($A102-P48-1))</f>
        <v/>
      </c>
      <c r="Q102" s="14">
        <f>IF(OR($A102&lt;=Q48,$A102&gt;Q34),0,(Q29-IF($A102&lt;Q50,0,IF($A102=Q50,Q63*Q54,Q63))-IF($A102&lt;Q51,0,IF($A102=Q51,Q67*Q55,Q67)))/(1+Q47)^($A102-Q48-1))</f>
        <v/>
      </c>
      <c r="R102" s="14">
        <f>IF(OR($A102&lt;=R48,$A102&gt;R34),0,(R29-IF($A102&lt;R50,0,IF($A102=R50,R63*R54,R63))-IF($A102&lt;R51,0,IF($A102=R51,R67*R55,R67)))/(1+R47)^($A102-R48-1))</f>
        <v/>
      </c>
      <c r="S102" s="14">
        <f>IF(OR($A102&lt;=S48,$A102&gt;S34),0,(S29-IF($A102&lt;S50,0,IF($A102=S50,S63*S54,S63))-IF($A102&lt;S51,0,IF($A102=S51,S67*S55,S67)))/(1+S47)^($A102-S48-1))</f>
        <v/>
      </c>
    </row>
    <row r="103">
      <c r="A103" s="18">
        <f>A102+1</f>
        <v/>
      </c>
      <c r="B103" s="14">
        <f>IF(OR($A103&lt;=B48,$A103&gt;B34),0,(B29-IF($A103&lt;B50,0,IF($A103=B50,B63*B54,B63))-IF($A103&lt;B51,0,IF($A103=B51,B67*B55,B67)))/(1+B47)^($A103-B48-1))</f>
        <v/>
      </c>
      <c r="C103" s="14">
        <f>IF(OR($A103&lt;=C48,$A103&gt;C34),0,(C29-IF($A103&lt;C50,0,IF($A103=C50,C63*C54,C63))-IF($A103&lt;C51,0,IF($A103=C51,C67*C55,C67)))/(1+C47)^($A103-C48-1))</f>
        <v/>
      </c>
      <c r="D103" s="14">
        <f>IF(OR($A103&lt;=D48,$A103&gt;D34),0,(D29-IF($A103&lt;D50,0,IF($A103=D50,D63*D54,D63))-IF($A103&lt;D51,0,IF($A103=D51,D67*D55,D67)))/(1+D47)^($A103-D48-1))</f>
        <v/>
      </c>
      <c r="E103" s="14">
        <f>IF(OR($A103&lt;=E48,$A103&gt;E34),0,(E29-IF($A103&lt;E50,0,IF($A103=E50,E63*E54,E63))-IF($A103&lt;E51,0,IF($A103=E51,E67*E55,E67)))/(1+E47)^($A103-E48-1))</f>
        <v/>
      </c>
      <c r="F103" s="14">
        <f>IF(OR($A103&lt;=F48,$A103&gt;F34),0,(F29-IF($A103&lt;F50,0,IF($A103=F50,F63*F54,F63))-IF($A103&lt;F51,0,IF($A103=F51,F67*F55,F67)))/(1+F47)^($A103-F48-1))</f>
        <v/>
      </c>
      <c r="G103" s="14">
        <f>IF(OR($A103&lt;=G48,$A103&gt;G34),0,(G29-IF($A103&lt;G50,0,IF($A103=G50,G63*G54,G63))-IF($A103&lt;G51,0,IF($A103=G51,G67*G55,G67)))/(1+G47)^($A103-G48-1))</f>
        <v/>
      </c>
      <c r="H103" s="14">
        <f>IF(OR($A103&lt;=H48,$A103&gt;H34),0,(H29-IF($A103&lt;H50,0,IF($A103=H50,H63*H54,H63))-IF($A103&lt;H51,0,IF($A103=H51,H67*H55,H67)))/(1+H47)^($A103-H48-1))</f>
        <v/>
      </c>
      <c r="I103" s="14">
        <f>IF(OR($A103&lt;=I48,$A103&gt;I34),0,(I29-IF($A103&lt;I50,0,IF($A103=I50,I63*I54,I63))-IF($A103&lt;I51,0,IF($A103=I51,I67*I55,I67)))/(1+I47)^($A103-I48-1))</f>
        <v/>
      </c>
      <c r="J103" s="14">
        <f>IF(OR($A103&lt;=J48,$A103&gt;J34),0,(J29-IF($A103&lt;J50,0,IF($A103=J50,J63*J54,J63))-IF($A103&lt;J51,0,IF($A103=J51,J67*J55,J67)))/(1+J47)^($A103-J48-1))</f>
        <v/>
      </c>
      <c r="K103" s="14">
        <f>IF(OR($A103&lt;=K48,$A103&gt;K34),0,(K29-IF($A103&lt;K50,0,IF($A103=K50,K63*K54,K63))-IF($A103&lt;K51,0,IF($A103=K51,K67*K55,K67)))/(1+K47)^($A103-K48-1))</f>
        <v/>
      </c>
      <c r="L103" s="14">
        <f>IF(OR($A103&lt;=L48,$A103&gt;L34),0,(L29-IF($A103&lt;L50,0,IF($A103=L50,L63*L54,L63))-IF($A103&lt;L51,0,IF($A103=L51,L67*L55,L67)))/(1+L47)^($A103-L48-1))</f>
        <v/>
      </c>
      <c r="M103" s="14">
        <f>IF(OR($A103&lt;=M48,$A103&gt;M34),0,(M29-IF($A103&lt;M50,0,IF($A103=M50,M63*M54,M63))-IF($A103&lt;M51,0,IF($A103=M51,M67*M55,M67)))/(1+M47)^($A103-M48-1))</f>
        <v/>
      </c>
      <c r="N103" s="14">
        <f>IF(OR($A103&lt;=N48,$A103&gt;N34),0,(N29-IF($A103&lt;N50,0,IF($A103=N50,N63*N54,N63))-IF($A103&lt;N51,0,IF($A103=N51,N67*N55,N67)))/(1+N47)^($A103-N48-1))</f>
        <v/>
      </c>
      <c r="O103" s="14">
        <f>IF(OR($A103&lt;=O48,$A103&gt;O34),0,(O29-IF($A103&lt;O50,0,IF($A103=O50,O63*O54,O63))-IF($A103&lt;O51,0,IF($A103=O51,O67*O55,O67)))/(1+O47)^($A103-O48-1))</f>
        <v/>
      </c>
      <c r="P103" s="14">
        <f>IF(OR($A103&lt;=P48,$A103&gt;P34),0,(P29-IF($A103&lt;P50,0,IF($A103=P50,P63*P54,P63))-IF($A103&lt;P51,0,IF($A103=P51,P67*P55,P67)))/(1+P47)^($A103-P48-1))</f>
        <v/>
      </c>
      <c r="Q103" s="14">
        <f>IF(OR($A103&lt;=Q48,$A103&gt;Q34),0,(Q29-IF($A103&lt;Q50,0,IF($A103=Q50,Q63*Q54,Q63))-IF($A103&lt;Q51,0,IF($A103=Q51,Q67*Q55,Q67)))/(1+Q47)^($A103-Q48-1))</f>
        <v/>
      </c>
      <c r="R103" s="14">
        <f>IF(OR($A103&lt;=R48,$A103&gt;R34),0,(R29-IF($A103&lt;R50,0,IF($A103=R50,R63*R54,R63))-IF($A103&lt;R51,0,IF($A103=R51,R67*R55,R67)))/(1+R47)^($A103-R48-1))</f>
        <v/>
      </c>
      <c r="S103" s="14">
        <f>IF(OR($A103&lt;=S48,$A103&gt;S34),0,(S29-IF($A103&lt;S50,0,IF($A103=S50,S63*S54,S63))-IF($A103&lt;S51,0,IF($A103=S51,S67*S55,S67)))/(1+S47)^($A103-S48-1))</f>
        <v/>
      </c>
    </row>
    <row r="104">
      <c r="A104" s="18">
        <f>A103+1</f>
        <v/>
      </c>
      <c r="B104" s="14">
        <f>IF(OR($A104&lt;=B48,$A104&gt;B34),0,(B29-IF($A104&lt;B50,0,IF($A104=B50,B63*B54,B63))-IF($A104&lt;B51,0,IF($A104=B51,B67*B55,B67)))/(1+B47)^($A104-B48-1))</f>
        <v/>
      </c>
      <c r="C104" s="14">
        <f>IF(OR($A104&lt;=C48,$A104&gt;C34),0,(C29-IF($A104&lt;C50,0,IF($A104=C50,C63*C54,C63))-IF($A104&lt;C51,0,IF($A104=C51,C67*C55,C67)))/(1+C47)^($A104-C48-1))</f>
        <v/>
      </c>
      <c r="D104" s="14">
        <f>IF(OR($A104&lt;=D48,$A104&gt;D34),0,(D29-IF($A104&lt;D50,0,IF($A104=D50,D63*D54,D63))-IF($A104&lt;D51,0,IF($A104=D51,D67*D55,D67)))/(1+D47)^($A104-D48-1))</f>
        <v/>
      </c>
      <c r="E104" s="14">
        <f>IF(OR($A104&lt;=E48,$A104&gt;E34),0,(E29-IF($A104&lt;E50,0,IF($A104=E50,E63*E54,E63))-IF($A104&lt;E51,0,IF($A104=E51,E67*E55,E67)))/(1+E47)^($A104-E48-1))</f>
        <v/>
      </c>
      <c r="F104" s="14">
        <f>IF(OR($A104&lt;=F48,$A104&gt;F34),0,(F29-IF($A104&lt;F50,0,IF($A104=F50,F63*F54,F63))-IF($A104&lt;F51,0,IF($A104=F51,F67*F55,F67)))/(1+F47)^($A104-F48-1))</f>
        <v/>
      </c>
      <c r="G104" s="14">
        <f>IF(OR($A104&lt;=G48,$A104&gt;G34),0,(G29-IF($A104&lt;G50,0,IF($A104=G50,G63*G54,G63))-IF($A104&lt;G51,0,IF($A104=G51,G67*G55,G67)))/(1+G47)^($A104-G48-1))</f>
        <v/>
      </c>
      <c r="H104" s="14">
        <f>IF(OR($A104&lt;=H48,$A104&gt;H34),0,(H29-IF($A104&lt;H50,0,IF($A104=H50,H63*H54,H63))-IF($A104&lt;H51,0,IF($A104=H51,H67*H55,H67)))/(1+H47)^($A104-H48-1))</f>
        <v/>
      </c>
      <c r="I104" s="14">
        <f>IF(OR($A104&lt;=I48,$A104&gt;I34),0,(I29-IF($A104&lt;I50,0,IF($A104=I50,I63*I54,I63))-IF($A104&lt;I51,0,IF($A104=I51,I67*I55,I67)))/(1+I47)^($A104-I48-1))</f>
        <v/>
      </c>
      <c r="J104" s="14">
        <f>IF(OR($A104&lt;=J48,$A104&gt;J34),0,(J29-IF($A104&lt;J50,0,IF($A104=J50,J63*J54,J63))-IF($A104&lt;J51,0,IF($A104=J51,J67*J55,J67)))/(1+J47)^($A104-J48-1))</f>
        <v/>
      </c>
      <c r="K104" s="14">
        <f>IF(OR($A104&lt;=K48,$A104&gt;K34),0,(K29-IF($A104&lt;K50,0,IF($A104=K50,K63*K54,K63))-IF($A104&lt;K51,0,IF($A104=K51,K67*K55,K67)))/(1+K47)^($A104-K48-1))</f>
        <v/>
      </c>
      <c r="L104" s="14">
        <f>IF(OR($A104&lt;=L48,$A104&gt;L34),0,(L29-IF($A104&lt;L50,0,IF($A104=L50,L63*L54,L63))-IF($A104&lt;L51,0,IF($A104=L51,L67*L55,L67)))/(1+L47)^($A104-L48-1))</f>
        <v/>
      </c>
      <c r="M104" s="14">
        <f>IF(OR($A104&lt;=M48,$A104&gt;M34),0,(M29-IF($A104&lt;M50,0,IF($A104=M50,M63*M54,M63))-IF($A104&lt;M51,0,IF($A104=M51,M67*M55,M67)))/(1+M47)^($A104-M48-1))</f>
        <v/>
      </c>
      <c r="N104" s="14">
        <f>IF(OR($A104&lt;=N48,$A104&gt;N34),0,(N29-IF($A104&lt;N50,0,IF($A104=N50,N63*N54,N63))-IF($A104&lt;N51,0,IF($A104=N51,N67*N55,N67)))/(1+N47)^($A104-N48-1))</f>
        <v/>
      </c>
      <c r="O104" s="14">
        <f>IF(OR($A104&lt;=O48,$A104&gt;O34),0,(O29-IF($A104&lt;O50,0,IF($A104=O50,O63*O54,O63))-IF($A104&lt;O51,0,IF($A104=O51,O67*O55,O67)))/(1+O47)^($A104-O48-1))</f>
        <v/>
      </c>
      <c r="P104" s="14">
        <f>IF(OR($A104&lt;=P48,$A104&gt;P34),0,(P29-IF($A104&lt;P50,0,IF($A104=P50,P63*P54,P63))-IF($A104&lt;P51,0,IF($A104=P51,P67*P55,P67)))/(1+P47)^($A104-P48-1))</f>
        <v/>
      </c>
      <c r="Q104" s="14">
        <f>IF(OR($A104&lt;=Q48,$A104&gt;Q34),0,(Q29-IF($A104&lt;Q50,0,IF($A104=Q50,Q63*Q54,Q63))-IF($A104&lt;Q51,0,IF($A104=Q51,Q67*Q55,Q67)))/(1+Q47)^($A104-Q48-1))</f>
        <v/>
      </c>
      <c r="R104" s="14">
        <f>IF(OR($A104&lt;=R48,$A104&gt;R34),0,(R29-IF($A104&lt;R50,0,IF($A104=R50,R63*R54,R63))-IF($A104&lt;R51,0,IF($A104=R51,R67*R55,R67)))/(1+R47)^($A104-R48-1))</f>
        <v/>
      </c>
      <c r="S104" s="14">
        <f>IF(OR($A104&lt;=S48,$A104&gt;S34),0,(S29-IF($A104&lt;S50,0,IF($A104=S50,S63*S54,S63))-IF($A104&lt;S51,0,IF($A104=S51,S67*S55,S67)))/(1+S47)^($A104-S48-1))</f>
        <v/>
      </c>
    </row>
    <row r="105">
      <c r="A105" s="18">
        <f>A104+1</f>
        <v/>
      </c>
      <c r="B105" s="14">
        <f>IF(OR($A105&lt;=B48,$A105&gt;B34),0,(B29-IF($A105&lt;B50,0,IF($A105=B50,B63*B54,B63))-IF($A105&lt;B51,0,IF($A105=B51,B67*B55,B67)))/(1+B47)^($A105-B48-1))</f>
        <v/>
      </c>
      <c r="C105" s="14">
        <f>IF(OR($A105&lt;=C48,$A105&gt;C34),0,(C29-IF($A105&lt;C50,0,IF($A105=C50,C63*C54,C63))-IF($A105&lt;C51,0,IF($A105=C51,C67*C55,C67)))/(1+C47)^($A105-C48-1))</f>
        <v/>
      </c>
      <c r="D105" s="14">
        <f>IF(OR($A105&lt;=D48,$A105&gt;D34),0,(D29-IF($A105&lt;D50,0,IF($A105=D50,D63*D54,D63))-IF($A105&lt;D51,0,IF($A105=D51,D67*D55,D67)))/(1+D47)^($A105-D48-1))</f>
        <v/>
      </c>
      <c r="E105" s="14">
        <f>IF(OR($A105&lt;=E48,$A105&gt;E34),0,(E29-IF($A105&lt;E50,0,IF($A105=E50,E63*E54,E63))-IF($A105&lt;E51,0,IF($A105=E51,E67*E55,E67)))/(1+E47)^($A105-E48-1))</f>
        <v/>
      </c>
      <c r="F105" s="14">
        <f>IF(OR($A105&lt;=F48,$A105&gt;F34),0,(F29-IF($A105&lt;F50,0,IF($A105=F50,F63*F54,F63))-IF($A105&lt;F51,0,IF($A105=F51,F67*F55,F67)))/(1+F47)^($A105-F48-1))</f>
        <v/>
      </c>
      <c r="G105" s="14">
        <f>IF(OR($A105&lt;=G48,$A105&gt;G34),0,(G29-IF($A105&lt;G50,0,IF($A105=G50,G63*G54,G63))-IF($A105&lt;G51,0,IF($A105=G51,G67*G55,G67)))/(1+G47)^($A105-G48-1))</f>
        <v/>
      </c>
      <c r="H105" s="14">
        <f>IF(OR($A105&lt;=H48,$A105&gt;H34),0,(H29-IF($A105&lt;H50,0,IF($A105=H50,H63*H54,H63))-IF($A105&lt;H51,0,IF($A105=H51,H67*H55,H67)))/(1+H47)^($A105-H48-1))</f>
        <v/>
      </c>
      <c r="I105" s="14">
        <f>IF(OR($A105&lt;=I48,$A105&gt;I34),0,(I29-IF($A105&lt;I50,0,IF($A105=I50,I63*I54,I63))-IF($A105&lt;I51,0,IF($A105=I51,I67*I55,I67)))/(1+I47)^($A105-I48-1))</f>
        <v/>
      </c>
      <c r="J105" s="14">
        <f>IF(OR($A105&lt;=J48,$A105&gt;J34),0,(J29-IF($A105&lt;J50,0,IF($A105=J50,J63*J54,J63))-IF($A105&lt;J51,0,IF($A105=J51,J67*J55,J67)))/(1+J47)^($A105-J48-1))</f>
        <v/>
      </c>
      <c r="K105" s="14">
        <f>IF(OR($A105&lt;=K48,$A105&gt;K34),0,(K29-IF($A105&lt;K50,0,IF($A105=K50,K63*K54,K63))-IF($A105&lt;K51,0,IF($A105=K51,K67*K55,K67)))/(1+K47)^($A105-K48-1))</f>
        <v/>
      </c>
      <c r="L105" s="14">
        <f>IF(OR($A105&lt;=L48,$A105&gt;L34),0,(L29-IF($A105&lt;L50,0,IF($A105=L50,L63*L54,L63))-IF($A105&lt;L51,0,IF($A105=L51,L67*L55,L67)))/(1+L47)^($A105-L48-1))</f>
        <v/>
      </c>
      <c r="M105" s="14">
        <f>IF(OR($A105&lt;=M48,$A105&gt;M34),0,(M29-IF($A105&lt;M50,0,IF($A105=M50,M63*M54,M63))-IF($A105&lt;M51,0,IF($A105=M51,M67*M55,M67)))/(1+M47)^($A105-M48-1))</f>
        <v/>
      </c>
      <c r="N105" s="14">
        <f>IF(OR($A105&lt;=N48,$A105&gt;N34),0,(N29-IF($A105&lt;N50,0,IF($A105=N50,N63*N54,N63))-IF($A105&lt;N51,0,IF($A105=N51,N67*N55,N67)))/(1+N47)^($A105-N48-1))</f>
        <v/>
      </c>
      <c r="O105" s="14">
        <f>IF(OR($A105&lt;=O48,$A105&gt;O34),0,(O29-IF($A105&lt;O50,0,IF($A105=O50,O63*O54,O63))-IF($A105&lt;O51,0,IF($A105=O51,O67*O55,O67)))/(1+O47)^($A105-O48-1))</f>
        <v/>
      </c>
      <c r="P105" s="14">
        <f>IF(OR($A105&lt;=P48,$A105&gt;P34),0,(P29-IF($A105&lt;P50,0,IF($A105=P50,P63*P54,P63))-IF($A105&lt;P51,0,IF($A105=P51,P67*P55,P67)))/(1+P47)^($A105-P48-1))</f>
        <v/>
      </c>
      <c r="Q105" s="14">
        <f>IF(OR($A105&lt;=Q48,$A105&gt;Q34),0,(Q29-IF($A105&lt;Q50,0,IF($A105=Q50,Q63*Q54,Q63))-IF($A105&lt;Q51,0,IF($A105=Q51,Q67*Q55,Q67)))/(1+Q47)^($A105-Q48-1))</f>
        <v/>
      </c>
      <c r="R105" s="14">
        <f>IF(OR($A105&lt;=R48,$A105&gt;R34),0,(R29-IF($A105&lt;R50,0,IF($A105=R50,R63*R54,R63))-IF($A105&lt;R51,0,IF($A105=R51,R67*R55,R67)))/(1+R47)^($A105-R48-1))</f>
        <v/>
      </c>
      <c r="S105" s="14">
        <f>IF(OR($A105&lt;=S48,$A105&gt;S34),0,(S29-IF($A105&lt;S50,0,IF($A105=S50,S63*S54,S63))-IF($A105&lt;S51,0,IF($A105=S51,S67*S55,S67)))/(1+S47)^($A105-S48-1))</f>
        <v/>
      </c>
    </row>
    <row r="106">
      <c r="A106" s="18">
        <f>A105+1</f>
        <v/>
      </c>
      <c r="B106" s="14">
        <f>IF(OR($A106&lt;=B48,$A106&gt;B34),0,(B29-IF($A106&lt;B50,0,IF($A106=B50,B63*B54,B63))-IF($A106&lt;B51,0,IF($A106=B51,B67*B55,B67)))/(1+B47)^($A106-B48-1))</f>
        <v/>
      </c>
      <c r="C106" s="14">
        <f>IF(OR($A106&lt;=C48,$A106&gt;C34),0,(C29-IF($A106&lt;C50,0,IF($A106=C50,C63*C54,C63))-IF($A106&lt;C51,0,IF($A106=C51,C67*C55,C67)))/(1+C47)^($A106-C48-1))</f>
        <v/>
      </c>
      <c r="D106" s="14">
        <f>IF(OR($A106&lt;=D48,$A106&gt;D34),0,(D29-IF($A106&lt;D50,0,IF($A106=D50,D63*D54,D63))-IF($A106&lt;D51,0,IF($A106=D51,D67*D55,D67)))/(1+D47)^($A106-D48-1))</f>
        <v/>
      </c>
      <c r="E106" s="14">
        <f>IF(OR($A106&lt;=E48,$A106&gt;E34),0,(E29-IF($A106&lt;E50,0,IF($A106=E50,E63*E54,E63))-IF($A106&lt;E51,0,IF($A106=E51,E67*E55,E67)))/(1+E47)^($A106-E48-1))</f>
        <v/>
      </c>
      <c r="F106" s="14">
        <f>IF(OR($A106&lt;=F48,$A106&gt;F34),0,(F29-IF($A106&lt;F50,0,IF($A106=F50,F63*F54,F63))-IF($A106&lt;F51,0,IF($A106=F51,F67*F55,F67)))/(1+F47)^($A106-F48-1))</f>
        <v/>
      </c>
      <c r="G106" s="14">
        <f>IF(OR($A106&lt;=G48,$A106&gt;G34),0,(G29-IF($A106&lt;G50,0,IF($A106=G50,G63*G54,G63))-IF($A106&lt;G51,0,IF($A106=G51,G67*G55,G67)))/(1+G47)^($A106-G48-1))</f>
        <v/>
      </c>
      <c r="H106" s="14">
        <f>IF(OR($A106&lt;=H48,$A106&gt;H34),0,(H29-IF($A106&lt;H50,0,IF($A106=H50,H63*H54,H63))-IF($A106&lt;H51,0,IF($A106=H51,H67*H55,H67)))/(1+H47)^($A106-H48-1))</f>
        <v/>
      </c>
      <c r="I106" s="14">
        <f>IF(OR($A106&lt;=I48,$A106&gt;I34),0,(I29-IF($A106&lt;I50,0,IF($A106=I50,I63*I54,I63))-IF($A106&lt;I51,0,IF($A106=I51,I67*I55,I67)))/(1+I47)^($A106-I48-1))</f>
        <v/>
      </c>
      <c r="J106" s="14">
        <f>IF(OR($A106&lt;=J48,$A106&gt;J34),0,(J29-IF($A106&lt;J50,0,IF($A106=J50,J63*J54,J63))-IF($A106&lt;J51,0,IF($A106=J51,J67*J55,J67)))/(1+J47)^($A106-J48-1))</f>
        <v/>
      </c>
      <c r="K106" s="14">
        <f>IF(OR($A106&lt;=K48,$A106&gt;K34),0,(K29-IF($A106&lt;K50,0,IF($A106=K50,K63*K54,K63))-IF($A106&lt;K51,0,IF($A106=K51,K67*K55,K67)))/(1+K47)^($A106-K48-1))</f>
        <v/>
      </c>
      <c r="L106" s="14">
        <f>IF(OR($A106&lt;=L48,$A106&gt;L34),0,(L29-IF($A106&lt;L50,0,IF($A106=L50,L63*L54,L63))-IF($A106&lt;L51,0,IF($A106=L51,L67*L55,L67)))/(1+L47)^($A106-L48-1))</f>
        <v/>
      </c>
      <c r="M106" s="14">
        <f>IF(OR($A106&lt;=M48,$A106&gt;M34),0,(M29-IF($A106&lt;M50,0,IF($A106=M50,M63*M54,M63))-IF($A106&lt;M51,0,IF($A106=M51,M67*M55,M67)))/(1+M47)^($A106-M48-1))</f>
        <v/>
      </c>
      <c r="N106" s="14">
        <f>IF(OR($A106&lt;=N48,$A106&gt;N34),0,(N29-IF($A106&lt;N50,0,IF($A106=N50,N63*N54,N63))-IF($A106&lt;N51,0,IF($A106=N51,N67*N55,N67)))/(1+N47)^($A106-N48-1))</f>
        <v/>
      </c>
      <c r="O106" s="14">
        <f>IF(OR($A106&lt;=O48,$A106&gt;O34),0,(O29-IF($A106&lt;O50,0,IF($A106=O50,O63*O54,O63))-IF($A106&lt;O51,0,IF($A106=O51,O67*O55,O67)))/(1+O47)^($A106-O48-1))</f>
        <v/>
      </c>
      <c r="P106" s="14">
        <f>IF(OR($A106&lt;=P48,$A106&gt;P34),0,(P29-IF($A106&lt;P50,0,IF($A106=P50,P63*P54,P63))-IF($A106&lt;P51,0,IF($A106=P51,P67*P55,P67)))/(1+P47)^($A106-P48-1))</f>
        <v/>
      </c>
      <c r="Q106" s="14">
        <f>IF(OR($A106&lt;=Q48,$A106&gt;Q34),0,(Q29-IF($A106&lt;Q50,0,IF($A106=Q50,Q63*Q54,Q63))-IF($A106&lt;Q51,0,IF($A106=Q51,Q67*Q55,Q67)))/(1+Q47)^($A106-Q48-1))</f>
        <v/>
      </c>
      <c r="R106" s="14">
        <f>IF(OR($A106&lt;=R48,$A106&gt;R34),0,(R29-IF($A106&lt;R50,0,IF($A106=R50,R63*R54,R63))-IF($A106&lt;R51,0,IF($A106=R51,R67*R55,R67)))/(1+R47)^($A106-R48-1))</f>
        <v/>
      </c>
      <c r="S106" s="14">
        <f>IF(OR($A106&lt;=S48,$A106&gt;S34),0,(S29-IF($A106&lt;S50,0,IF($A106=S50,S63*S54,S63))-IF($A106&lt;S51,0,IF($A106=S51,S67*S55,S67)))/(1+S47)^($A106-S48-1))</f>
        <v/>
      </c>
    </row>
    <row r="107">
      <c r="A107" s="18">
        <f>A106+1</f>
        <v/>
      </c>
      <c r="B107" s="14">
        <f>IF(OR($A107&lt;=B48,$A107&gt;B34),0,(B29-IF($A107&lt;B50,0,IF($A107=B50,B63*B54,B63))-IF($A107&lt;B51,0,IF($A107=B51,B67*B55,B67)))/(1+B47)^($A107-B48-1))</f>
        <v/>
      </c>
      <c r="C107" s="14">
        <f>IF(OR($A107&lt;=C48,$A107&gt;C34),0,(C29-IF($A107&lt;C50,0,IF($A107=C50,C63*C54,C63))-IF($A107&lt;C51,0,IF($A107=C51,C67*C55,C67)))/(1+C47)^($A107-C48-1))</f>
        <v/>
      </c>
      <c r="D107" s="14">
        <f>IF(OR($A107&lt;=D48,$A107&gt;D34),0,(D29-IF($A107&lt;D50,0,IF($A107=D50,D63*D54,D63))-IF($A107&lt;D51,0,IF($A107=D51,D67*D55,D67)))/(1+D47)^($A107-D48-1))</f>
        <v/>
      </c>
      <c r="E107" s="14">
        <f>IF(OR($A107&lt;=E48,$A107&gt;E34),0,(E29-IF($A107&lt;E50,0,IF($A107=E50,E63*E54,E63))-IF($A107&lt;E51,0,IF($A107=E51,E67*E55,E67)))/(1+E47)^($A107-E48-1))</f>
        <v/>
      </c>
      <c r="F107" s="14">
        <f>IF(OR($A107&lt;=F48,$A107&gt;F34),0,(F29-IF($A107&lt;F50,0,IF($A107=F50,F63*F54,F63))-IF($A107&lt;F51,0,IF($A107=F51,F67*F55,F67)))/(1+F47)^($A107-F48-1))</f>
        <v/>
      </c>
      <c r="G107" s="14">
        <f>IF(OR($A107&lt;=G48,$A107&gt;G34),0,(G29-IF($A107&lt;G50,0,IF($A107=G50,G63*G54,G63))-IF($A107&lt;G51,0,IF($A107=G51,G67*G55,G67)))/(1+G47)^($A107-G48-1))</f>
        <v/>
      </c>
      <c r="H107" s="14">
        <f>IF(OR($A107&lt;=H48,$A107&gt;H34),0,(H29-IF($A107&lt;H50,0,IF($A107=H50,H63*H54,H63))-IF($A107&lt;H51,0,IF($A107=H51,H67*H55,H67)))/(1+H47)^($A107-H48-1))</f>
        <v/>
      </c>
      <c r="I107" s="14">
        <f>IF(OR($A107&lt;=I48,$A107&gt;I34),0,(I29-IF($A107&lt;I50,0,IF($A107=I50,I63*I54,I63))-IF($A107&lt;I51,0,IF($A107=I51,I67*I55,I67)))/(1+I47)^($A107-I48-1))</f>
        <v/>
      </c>
      <c r="J107" s="14">
        <f>IF(OR($A107&lt;=J48,$A107&gt;J34),0,(J29-IF($A107&lt;J50,0,IF($A107=J50,J63*J54,J63))-IF($A107&lt;J51,0,IF($A107=J51,J67*J55,J67)))/(1+J47)^($A107-J48-1))</f>
        <v/>
      </c>
      <c r="K107" s="14">
        <f>IF(OR($A107&lt;=K48,$A107&gt;K34),0,(K29-IF($A107&lt;K50,0,IF($A107=K50,K63*K54,K63))-IF($A107&lt;K51,0,IF($A107=K51,K67*K55,K67)))/(1+K47)^($A107-K48-1))</f>
        <v/>
      </c>
      <c r="L107" s="14">
        <f>IF(OR($A107&lt;=L48,$A107&gt;L34),0,(L29-IF($A107&lt;L50,0,IF($A107=L50,L63*L54,L63))-IF($A107&lt;L51,0,IF($A107=L51,L67*L55,L67)))/(1+L47)^($A107-L48-1))</f>
        <v/>
      </c>
      <c r="M107" s="14">
        <f>IF(OR($A107&lt;=M48,$A107&gt;M34),0,(M29-IF($A107&lt;M50,0,IF($A107=M50,M63*M54,M63))-IF($A107&lt;M51,0,IF($A107=M51,M67*M55,M67)))/(1+M47)^($A107-M48-1))</f>
        <v/>
      </c>
      <c r="N107" s="14">
        <f>IF(OR($A107&lt;=N48,$A107&gt;N34),0,(N29-IF($A107&lt;N50,0,IF($A107=N50,N63*N54,N63))-IF($A107&lt;N51,0,IF($A107=N51,N67*N55,N67)))/(1+N47)^($A107-N48-1))</f>
        <v/>
      </c>
      <c r="O107" s="14">
        <f>IF(OR($A107&lt;=O48,$A107&gt;O34),0,(O29-IF($A107&lt;O50,0,IF($A107=O50,O63*O54,O63))-IF($A107&lt;O51,0,IF($A107=O51,O67*O55,O67)))/(1+O47)^($A107-O48-1))</f>
        <v/>
      </c>
      <c r="P107" s="14">
        <f>IF(OR($A107&lt;=P48,$A107&gt;P34),0,(P29-IF($A107&lt;P50,0,IF($A107=P50,P63*P54,P63))-IF($A107&lt;P51,0,IF($A107=P51,P67*P55,P67)))/(1+P47)^($A107-P48-1))</f>
        <v/>
      </c>
      <c r="Q107" s="14">
        <f>IF(OR($A107&lt;=Q48,$A107&gt;Q34),0,(Q29-IF($A107&lt;Q50,0,IF($A107=Q50,Q63*Q54,Q63))-IF($A107&lt;Q51,0,IF($A107=Q51,Q67*Q55,Q67)))/(1+Q47)^($A107-Q48-1))</f>
        <v/>
      </c>
      <c r="R107" s="14">
        <f>IF(OR($A107&lt;=R48,$A107&gt;R34),0,(R29-IF($A107&lt;R50,0,IF($A107=R50,R63*R54,R63))-IF($A107&lt;R51,0,IF($A107=R51,R67*R55,R67)))/(1+R47)^($A107-R48-1))</f>
        <v/>
      </c>
      <c r="S107" s="14">
        <f>IF(OR($A107&lt;=S48,$A107&gt;S34),0,(S29-IF($A107&lt;S50,0,IF($A107=S50,S63*S54,S63))-IF($A107&lt;S51,0,IF($A107=S51,S67*S55,S67)))/(1+S47)^($A107-S48-1))</f>
        <v/>
      </c>
    </row>
    <row r="108">
      <c r="A108" s="18">
        <f>A107+1</f>
        <v/>
      </c>
      <c r="B108" s="14">
        <f>IF(OR($A108&lt;=B48,$A108&gt;B34),0,(B29-IF($A108&lt;B50,0,IF($A108=B50,B63*B54,B63))-IF($A108&lt;B51,0,IF($A108=B51,B67*B55,B67)))/(1+B47)^($A108-B48-1))</f>
        <v/>
      </c>
      <c r="C108" s="14">
        <f>IF(OR($A108&lt;=C48,$A108&gt;C34),0,(C29-IF($A108&lt;C50,0,IF($A108=C50,C63*C54,C63))-IF($A108&lt;C51,0,IF($A108=C51,C67*C55,C67)))/(1+C47)^($A108-C48-1))</f>
        <v/>
      </c>
      <c r="D108" s="14">
        <f>IF(OR($A108&lt;=D48,$A108&gt;D34),0,(D29-IF($A108&lt;D50,0,IF($A108=D50,D63*D54,D63))-IF($A108&lt;D51,0,IF($A108=D51,D67*D55,D67)))/(1+D47)^($A108-D48-1))</f>
        <v/>
      </c>
      <c r="E108" s="14">
        <f>IF(OR($A108&lt;=E48,$A108&gt;E34),0,(E29-IF($A108&lt;E50,0,IF($A108=E50,E63*E54,E63))-IF($A108&lt;E51,0,IF($A108=E51,E67*E55,E67)))/(1+E47)^($A108-E48-1))</f>
        <v/>
      </c>
      <c r="F108" s="14">
        <f>IF(OR($A108&lt;=F48,$A108&gt;F34),0,(F29-IF($A108&lt;F50,0,IF($A108=F50,F63*F54,F63))-IF($A108&lt;F51,0,IF($A108=F51,F67*F55,F67)))/(1+F47)^($A108-F48-1))</f>
        <v/>
      </c>
      <c r="G108" s="14">
        <f>IF(OR($A108&lt;=G48,$A108&gt;G34),0,(G29-IF($A108&lt;G50,0,IF($A108=G50,G63*G54,G63))-IF($A108&lt;G51,0,IF($A108=G51,G67*G55,G67)))/(1+G47)^($A108-G48-1))</f>
        <v/>
      </c>
      <c r="H108" s="14">
        <f>IF(OR($A108&lt;=H48,$A108&gt;H34),0,(H29-IF($A108&lt;H50,0,IF($A108=H50,H63*H54,H63))-IF($A108&lt;H51,0,IF($A108=H51,H67*H55,H67)))/(1+H47)^($A108-H48-1))</f>
        <v/>
      </c>
      <c r="I108" s="14">
        <f>IF(OR($A108&lt;=I48,$A108&gt;I34),0,(I29-IF($A108&lt;I50,0,IF($A108=I50,I63*I54,I63))-IF($A108&lt;I51,0,IF($A108=I51,I67*I55,I67)))/(1+I47)^($A108-I48-1))</f>
        <v/>
      </c>
      <c r="J108" s="14">
        <f>IF(OR($A108&lt;=J48,$A108&gt;J34),0,(J29-IF($A108&lt;J50,0,IF($A108=J50,J63*J54,J63))-IF($A108&lt;J51,0,IF($A108=J51,J67*J55,J67)))/(1+J47)^($A108-J48-1))</f>
        <v/>
      </c>
      <c r="K108" s="14">
        <f>IF(OR($A108&lt;=K48,$A108&gt;K34),0,(K29-IF($A108&lt;K50,0,IF($A108=K50,K63*K54,K63))-IF($A108&lt;K51,0,IF($A108=K51,K67*K55,K67)))/(1+K47)^($A108-K48-1))</f>
        <v/>
      </c>
      <c r="L108" s="14">
        <f>IF(OR($A108&lt;=L48,$A108&gt;L34),0,(L29-IF($A108&lt;L50,0,IF($A108=L50,L63*L54,L63))-IF($A108&lt;L51,0,IF($A108=L51,L67*L55,L67)))/(1+L47)^($A108-L48-1))</f>
        <v/>
      </c>
      <c r="M108" s="14">
        <f>IF(OR($A108&lt;=M48,$A108&gt;M34),0,(M29-IF($A108&lt;M50,0,IF($A108=M50,M63*M54,M63))-IF($A108&lt;M51,0,IF($A108=M51,M67*M55,M67)))/(1+M47)^($A108-M48-1))</f>
        <v/>
      </c>
      <c r="N108" s="14">
        <f>IF(OR($A108&lt;=N48,$A108&gt;N34),0,(N29-IF($A108&lt;N50,0,IF($A108=N50,N63*N54,N63))-IF($A108&lt;N51,0,IF($A108=N51,N67*N55,N67)))/(1+N47)^($A108-N48-1))</f>
        <v/>
      </c>
      <c r="O108" s="14">
        <f>IF(OR($A108&lt;=O48,$A108&gt;O34),0,(O29-IF($A108&lt;O50,0,IF($A108=O50,O63*O54,O63))-IF($A108&lt;O51,0,IF($A108=O51,O67*O55,O67)))/(1+O47)^($A108-O48-1))</f>
        <v/>
      </c>
      <c r="P108" s="14">
        <f>IF(OR($A108&lt;=P48,$A108&gt;P34),0,(P29-IF($A108&lt;P50,0,IF($A108=P50,P63*P54,P63))-IF($A108&lt;P51,0,IF($A108=P51,P67*P55,P67)))/(1+P47)^($A108-P48-1))</f>
        <v/>
      </c>
      <c r="Q108" s="14">
        <f>IF(OR($A108&lt;=Q48,$A108&gt;Q34),0,(Q29-IF($A108&lt;Q50,0,IF($A108=Q50,Q63*Q54,Q63))-IF($A108&lt;Q51,0,IF($A108=Q51,Q67*Q55,Q67)))/(1+Q47)^($A108-Q48-1))</f>
        <v/>
      </c>
      <c r="R108" s="14">
        <f>IF(OR($A108&lt;=R48,$A108&gt;R34),0,(R29-IF($A108&lt;R50,0,IF($A108=R50,R63*R54,R63))-IF($A108&lt;R51,0,IF($A108=R51,R67*R55,R67)))/(1+R47)^($A108-R48-1))</f>
        <v/>
      </c>
      <c r="S108" s="14">
        <f>IF(OR($A108&lt;=S48,$A108&gt;S34),0,(S29-IF($A108&lt;S50,0,IF($A108=S50,S63*S54,S63))-IF($A108&lt;S51,0,IF($A108=S51,S67*S55,S67)))/(1+S47)^($A108-S48-1))</f>
        <v/>
      </c>
    </row>
    <row r="109">
      <c r="A109" s="18">
        <f>A108+1</f>
        <v/>
      </c>
      <c r="B109" s="14">
        <f>IF(OR($A109&lt;=B48,$A109&gt;B34),0,(B29-IF($A109&lt;B50,0,IF($A109=B50,B63*B54,B63))-IF($A109&lt;B51,0,IF($A109=B51,B67*B55,B67)))/(1+B47)^($A109-B48-1))</f>
        <v/>
      </c>
      <c r="C109" s="14">
        <f>IF(OR($A109&lt;=C48,$A109&gt;C34),0,(C29-IF($A109&lt;C50,0,IF($A109=C50,C63*C54,C63))-IF($A109&lt;C51,0,IF($A109=C51,C67*C55,C67)))/(1+C47)^($A109-C48-1))</f>
        <v/>
      </c>
      <c r="D109" s="14">
        <f>IF(OR($A109&lt;=D48,$A109&gt;D34),0,(D29-IF($A109&lt;D50,0,IF($A109=D50,D63*D54,D63))-IF($A109&lt;D51,0,IF($A109=D51,D67*D55,D67)))/(1+D47)^($A109-D48-1))</f>
        <v/>
      </c>
      <c r="E109" s="14">
        <f>IF(OR($A109&lt;=E48,$A109&gt;E34),0,(E29-IF($A109&lt;E50,0,IF($A109=E50,E63*E54,E63))-IF($A109&lt;E51,0,IF($A109=E51,E67*E55,E67)))/(1+E47)^($A109-E48-1))</f>
        <v/>
      </c>
      <c r="F109" s="14">
        <f>IF(OR($A109&lt;=F48,$A109&gt;F34),0,(F29-IF($A109&lt;F50,0,IF($A109=F50,F63*F54,F63))-IF($A109&lt;F51,0,IF($A109=F51,F67*F55,F67)))/(1+F47)^($A109-F48-1))</f>
        <v/>
      </c>
      <c r="G109" s="14">
        <f>IF(OR($A109&lt;=G48,$A109&gt;G34),0,(G29-IF($A109&lt;G50,0,IF($A109=G50,G63*G54,G63))-IF($A109&lt;G51,0,IF($A109=G51,G67*G55,G67)))/(1+G47)^($A109-G48-1))</f>
        <v/>
      </c>
      <c r="H109" s="14">
        <f>IF(OR($A109&lt;=H48,$A109&gt;H34),0,(H29-IF($A109&lt;H50,0,IF($A109=H50,H63*H54,H63))-IF($A109&lt;H51,0,IF($A109=H51,H67*H55,H67)))/(1+H47)^($A109-H48-1))</f>
        <v/>
      </c>
      <c r="I109" s="14">
        <f>IF(OR($A109&lt;=I48,$A109&gt;I34),0,(I29-IF($A109&lt;I50,0,IF($A109=I50,I63*I54,I63))-IF($A109&lt;I51,0,IF($A109=I51,I67*I55,I67)))/(1+I47)^($A109-I48-1))</f>
        <v/>
      </c>
      <c r="J109" s="14">
        <f>IF(OR($A109&lt;=J48,$A109&gt;J34),0,(J29-IF($A109&lt;J50,0,IF($A109=J50,J63*J54,J63))-IF($A109&lt;J51,0,IF($A109=J51,J67*J55,J67)))/(1+J47)^($A109-J48-1))</f>
        <v/>
      </c>
      <c r="K109" s="14">
        <f>IF(OR($A109&lt;=K48,$A109&gt;K34),0,(K29-IF($A109&lt;K50,0,IF($A109=K50,K63*K54,K63))-IF($A109&lt;K51,0,IF($A109=K51,K67*K55,K67)))/(1+K47)^($A109-K48-1))</f>
        <v/>
      </c>
      <c r="L109" s="14">
        <f>IF(OR($A109&lt;=L48,$A109&gt;L34),0,(L29-IF($A109&lt;L50,0,IF($A109=L50,L63*L54,L63))-IF($A109&lt;L51,0,IF($A109=L51,L67*L55,L67)))/(1+L47)^($A109-L48-1))</f>
        <v/>
      </c>
      <c r="M109" s="14">
        <f>IF(OR($A109&lt;=M48,$A109&gt;M34),0,(M29-IF($A109&lt;M50,0,IF($A109=M50,M63*M54,M63))-IF($A109&lt;M51,0,IF($A109=M51,M67*M55,M67)))/(1+M47)^($A109-M48-1))</f>
        <v/>
      </c>
      <c r="N109" s="14">
        <f>IF(OR($A109&lt;=N48,$A109&gt;N34),0,(N29-IF($A109&lt;N50,0,IF($A109=N50,N63*N54,N63))-IF($A109&lt;N51,0,IF($A109=N51,N67*N55,N67)))/(1+N47)^($A109-N48-1))</f>
        <v/>
      </c>
      <c r="O109" s="14">
        <f>IF(OR($A109&lt;=O48,$A109&gt;O34),0,(O29-IF($A109&lt;O50,0,IF($A109=O50,O63*O54,O63))-IF($A109&lt;O51,0,IF($A109=O51,O67*O55,O67)))/(1+O47)^($A109-O48-1))</f>
        <v/>
      </c>
      <c r="P109" s="14">
        <f>IF(OR($A109&lt;=P48,$A109&gt;P34),0,(P29-IF($A109&lt;P50,0,IF($A109=P50,P63*P54,P63))-IF($A109&lt;P51,0,IF($A109=P51,P67*P55,P67)))/(1+P47)^($A109-P48-1))</f>
        <v/>
      </c>
      <c r="Q109" s="14">
        <f>IF(OR($A109&lt;=Q48,$A109&gt;Q34),0,(Q29-IF($A109&lt;Q50,0,IF($A109=Q50,Q63*Q54,Q63))-IF($A109&lt;Q51,0,IF($A109=Q51,Q67*Q55,Q67)))/(1+Q47)^($A109-Q48-1))</f>
        <v/>
      </c>
      <c r="R109" s="14">
        <f>IF(OR($A109&lt;=R48,$A109&gt;R34),0,(R29-IF($A109&lt;R50,0,IF($A109=R50,R63*R54,R63))-IF($A109&lt;R51,0,IF($A109=R51,R67*R55,R67)))/(1+R47)^($A109-R48-1))</f>
        <v/>
      </c>
      <c r="S109" s="14">
        <f>IF(OR($A109&lt;=S48,$A109&gt;S34),0,(S29-IF($A109&lt;S50,0,IF($A109=S50,S63*S54,S63))-IF($A109&lt;S51,0,IF($A109=S51,S67*S55,S67)))/(1+S47)^($A109-S48-1))</f>
        <v/>
      </c>
    </row>
    <row r="110">
      <c r="A110" s="18">
        <f>A109+1</f>
        <v/>
      </c>
      <c r="B110" s="14">
        <f>IF(OR($A110&lt;=B48,$A110&gt;B34),0,(B29-IF($A110&lt;B50,0,IF($A110=B50,B63*B54,B63))-IF($A110&lt;B51,0,IF($A110=B51,B67*B55,B67)))/(1+B47)^($A110-B48-1))</f>
        <v/>
      </c>
      <c r="C110" s="14">
        <f>IF(OR($A110&lt;=C48,$A110&gt;C34),0,(C29-IF($A110&lt;C50,0,IF($A110=C50,C63*C54,C63))-IF($A110&lt;C51,0,IF($A110=C51,C67*C55,C67)))/(1+C47)^($A110-C48-1))</f>
        <v/>
      </c>
      <c r="D110" s="14">
        <f>IF(OR($A110&lt;=D48,$A110&gt;D34),0,(D29-IF($A110&lt;D50,0,IF($A110=D50,D63*D54,D63))-IF($A110&lt;D51,0,IF($A110=D51,D67*D55,D67)))/(1+D47)^($A110-D48-1))</f>
        <v/>
      </c>
      <c r="E110" s="14">
        <f>IF(OR($A110&lt;=E48,$A110&gt;E34),0,(E29-IF($A110&lt;E50,0,IF($A110=E50,E63*E54,E63))-IF($A110&lt;E51,0,IF($A110=E51,E67*E55,E67)))/(1+E47)^($A110-E48-1))</f>
        <v/>
      </c>
      <c r="F110" s="14">
        <f>IF(OR($A110&lt;=F48,$A110&gt;F34),0,(F29-IF($A110&lt;F50,0,IF($A110=F50,F63*F54,F63))-IF($A110&lt;F51,0,IF($A110=F51,F67*F55,F67)))/(1+F47)^($A110-F48-1))</f>
        <v/>
      </c>
      <c r="G110" s="14">
        <f>IF(OR($A110&lt;=G48,$A110&gt;G34),0,(G29-IF($A110&lt;G50,0,IF($A110=G50,G63*G54,G63))-IF($A110&lt;G51,0,IF($A110=G51,G67*G55,G67)))/(1+G47)^($A110-G48-1))</f>
        <v/>
      </c>
      <c r="H110" s="14">
        <f>IF(OR($A110&lt;=H48,$A110&gt;H34),0,(H29-IF($A110&lt;H50,0,IF($A110=H50,H63*H54,H63))-IF($A110&lt;H51,0,IF($A110=H51,H67*H55,H67)))/(1+H47)^($A110-H48-1))</f>
        <v/>
      </c>
      <c r="I110" s="14">
        <f>IF(OR($A110&lt;=I48,$A110&gt;I34),0,(I29-IF($A110&lt;I50,0,IF($A110=I50,I63*I54,I63))-IF($A110&lt;I51,0,IF($A110=I51,I67*I55,I67)))/(1+I47)^($A110-I48-1))</f>
        <v/>
      </c>
      <c r="J110" s="14">
        <f>IF(OR($A110&lt;=J48,$A110&gt;J34),0,(J29-IF($A110&lt;J50,0,IF($A110=J50,J63*J54,J63))-IF($A110&lt;J51,0,IF($A110=J51,J67*J55,J67)))/(1+J47)^($A110-J48-1))</f>
        <v/>
      </c>
      <c r="K110" s="14">
        <f>IF(OR($A110&lt;=K48,$A110&gt;K34),0,(K29-IF($A110&lt;K50,0,IF($A110=K50,K63*K54,K63))-IF($A110&lt;K51,0,IF($A110=K51,K67*K55,K67)))/(1+K47)^($A110-K48-1))</f>
        <v/>
      </c>
      <c r="L110" s="14">
        <f>IF(OR($A110&lt;=L48,$A110&gt;L34),0,(L29-IF($A110&lt;L50,0,IF($A110=L50,L63*L54,L63))-IF($A110&lt;L51,0,IF($A110=L51,L67*L55,L67)))/(1+L47)^($A110-L48-1))</f>
        <v/>
      </c>
      <c r="M110" s="14">
        <f>IF(OR($A110&lt;=M48,$A110&gt;M34),0,(M29-IF($A110&lt;M50,0,IF($A110=M50,M63*M54,M63))-IF($A110&lt;M51,0,IF($A110=M51,M67*M55,M67)))/(1+M47)^($A110-M48-1))</f>
        <v/>
      </c>
      <c r="N110" s="14">
        <f>IF(OR($A110&lt;=N48,$A110&gt;N34),0,(N29-IF($A110&lt;N50,0,IF($A110=N50,N63*N54,N63))-IF($A110&lt;N51,0,IF($A110=N51,N67*N55,N67)))/(1+N47)^($A110-N48-1))</f>
        <v/>
      </c>
      <c r="O110" s="14">
        <f>IF(OR($A110&lt;=O48,$A110&gt;O34),0,(O29-IF($A110&lt;O50,0,IF($A110=O50,O63*O54,O63))-IF($A110&lt;O51,0,IF($A110=O51,O67*O55,O67)))/(1+O47)^($A110-O48-1))</f>
        <v/>
      </c>
      <c r="P110" s="14">
        <f>IF(OR($A110&lt;=P48,$A110&gt;P34),0,(P29-IF($A110&lt;P50,0,IF($A110=P50,P63*P54,P63))-IF($A110&lt;P51,0,IF($A110=P51,P67*P55,P67)))/(1+P47)^($A110-P48-1))</f>
        <v/>
      </c>
      <c r="Q110" s="14">
        <f>IF(OR($A110&lt;=Q48,$A110&gt;Q34),0,(Q29-IF($A110&lt;Q50,0,IF($A110=Q50,Q63*Q54,Q63))-IF($A110&lt;Q51,0,IF($A110=Q51,Q67*Q55,Q67)))/(1+Q47)^($A110-Q48-1))</f>
        <v/>
      </c>
      <c r="R110" s="14">
        <f>IF(OR($A110&lt;=R48,$A110&gt;R34),0,(R29-IF($A110&lt;R50,0,IF($A110=R50,R63*R54,R63))-IF($A110&lt;R51,0,IF($A110=R51,R67*R55,R67)))/(1+R47)^($A110-R48-1))</f>
        <v/>
      </c>
      <c r="S110" s="14">
        <f>IF(OR($A110&lt;=S48,$A110&gt;S34),0,(S29-IF($A110&lt;S50,0,IF($A110=S50,S63*S54,S63))-IF($A110&lt;S51,0,IF($A110=S51,S67*S55,S67)))/(1+S47)^($A110-S48-1))</f>
        <v/>
      </c>
    </row>
    <row r="111">
      <c r="A111" s="18">
        <f>A110+1</f>
        <v/>
      </c>
      <c r="B111" s="14">
        <f>IF(OR($A111&lt;=B48,$A111&gt;B34),0,(B29-IF($A111&lt;B50,0,IF($A111=B50,B63*B54,B63))-IF($A111&lt;B51,0,IF($A111=B51,B67*B55,B67)))/(1+B47)^($A111-B48-1))</f>
        <v/>
      </c>
      <c r="C111" s="14">
        <f>IF(OR($A111&lt;=C48,$A111&gt;C34),0,(C29-IF($A111&lt;C50,0,IF($A111=C50,C63*C54,C63))-IF($A111&lt;C51,0,IF($A111=C51,C67*C55,C67)))/(1+C47)^($A111-C48-1))</f>
        <v/>
      </c>
      <c r="D111" s="14">
        <f>IF(OR($A111&lt;=D48,$A111&gt;D34),0,(D29-IF($A111&lt;D50,0,IF($A111=D50,D63*D54,D63))-IF($A111&lt;D51,0,IF($A111=D51,D67*D55,D67)))/(1+D47)^($A111-D48-1))</f>
        <v/>
      </c>
      <c r="E111" s="14">
        <f>IF(OR($A111&lt;=E48,$A111&gt;E34),0,(E29-IF($A111&lt;E50,0,IF($A111=E50,E63*E54,E63))-IF($A111&lt;E51,0,IF($A111=E51,E67*E55,E67)))/(1+E47)^($A111-E48-1))</f>
        <v/>
      </c>
      <c r="F111" s="14">
        <f>IF(OR($A111&lt;=F48,$A111&gt;F34),0,(F29-IF($A111&lt;F50,0,IF($A111=F50,F63*F54,F63))-IF($A111&lt;F51,0,IF($A111=F51,F67*F55,F67)))/(1+F47)^($A111-F48-1))</f>
        <v/>
      </c>
      <c r="G111" s="14">
        <f>IF(OR($A111&lt;=G48,$A111&gt;G34),0,(G29-IF($A111&lt;G50,0,IF($A111=G50,G63*G54,G63))-IF($A111&lt;G51,0,IF($A111=G51,G67*G55,G67)))/(1+G47)^($A111-G48-1))</f>
        <v/>
      </c>
      <c r="H111" s="14">
        <f>IF(OR($A111&lt;=H48,$A111&gt;H34),0,(H29-IF($A111&lt;H50,0,IF($A111=H50,H63*H54,H63))-IF($A111&lt;H51,0,IF($A111=H51,H67*H55,H67)))/(1+H47)^($A111-H48-1))</f>
        <v/>
      </c>
      <c r="I111" s="14">
        <f>IF(OR($A111&lt;=I48,$A111&gt;I34),0,(I29-IF($A111&lt;I50,0,IF($A111=I50,I63*I54,I63))-IF($A111&lt;I51,0,IF($A111=I51,I67*I55,I67)))/(1+I47)^($A111-I48-1))</f>
        <v/>
      </c>
      <c r="J111" s="14">
        <f>IF(OR($A111&lt;=J48,$A111&gt;J34),0,(J29-IF($A111&lt;J50,0,IF($A111=J50,J63*J54,J63))-IF($A111&lt;J51,0,IF($A111=J51,J67*J55,J67)))/(1+J47)^($A111-J48-1))</f>
        <v/>
      </c>
      <c r="K111" s="14">
        <f>IF(OR($A111&lt;=K48,$A111&gt;K34),0,(K29-IF($A111&lt;K50,0,IF($A111=K50,K63*K54,K63))-IF($A111&lt;K51,0,IF($A111=K51,K67*K55,K67)))/(1+K47)^($A111-K48-1))</f>
        <v/>
      </c>
      <c r="L111" s="14">
        <f>IF(OR($A111&lt;=L48,$A111&gt;L34),0,(L29-IF($A111&lt;L50,0,IF($A111=L50,L63*L54,L63))-IF($A111&lt;L51,0,IF($A111=L51,L67*L55,L67)))/(1+L47)^($A111-L48-1))</f>
        <v/>
      </c>
      <c r="M111" s="14">
        <f>IF(OR($A111&lt;=M48,$A111&gt;M34),0,(M29-IF($A111&lt;M50,0,IF($A111=M50,M63*M54,M63))-IF($A111&lt;M51,0,IF($A111=M51,M67*M55,M67)))/(1+M47)^($A111-M48-1))</f>
        <v/>
      </c>
      <c r="N111" s="14">
        <f>IF(OR($A111&lt;=N48,$A111&gt;N34),0,(N29-IF($A111&lt;N50,0,IF($A111=N50,N63*N54,N63))-IF($A111&lt;N51,0,IF($A111=N51,N67*N55,N67)))/(1+N47)^($A111-N48-1))</f>
        <v/>
      </c>
      <c r="O111" s="14">
        <f>IF(OR($A111&lt;=O48,$A111&gt;O34),0,(O29-IF($A111&lt;O50,0,IF($A111=O50,O63*O54,O63))-IF($A111&lt;O51,0,IF($A111=O51,O67*O55,O67)))/(1+O47)^($A111-O48-1))</f>
        <v/>
      </c>
      <c r="P111" s="14">
        <f>IF(OR($A111&lt;=P48,$A111&gt;P34),0,(P29-IF($A111&lt;P50,0,IF($A111=P50,P63*P54,P63))-IF($A111&lt;P51,0,IF($A111=P51,P67*P55,P67)))/(1+P47)^($A111-P48-1))</f>
        <v/>
      </c>
      <c r="Q111" s="14">
        <f>IF(OR($A111&lt;=Q48,$A111&gt;Q34),0,(Q29-IF($A111&lt;Q50,0,IF($A111=Q50,Q63*Q54,Q63))-IF($A111&lt;Q51,0,IF($A111=Q51,Q67*Q55,Q67)))/(1+Q47)^($A111-Q48-1))</f>
        <v/>
      </c>
      <c r="R111" s="14">
        <f>IF(OR($A111&lt;=R48,$A111&gt;R34),0,(R29-IF($A111&lt;R50,0,IF($A111=R50,R63*R54,R63))-IF($A111&lt;R51,0,IF($A111=R51,R67*R55,R67)))/(1+R47)^($A111-R48-1))</f>
        <v/>
      </c>
      <c r="S111" s="14">
        <f>IF(OR($A111&lt;=S48,$A111&gt;S34),0,(S29-IF($A111&lt;S50,0,IF($A111=S50,S63*S54,S63))-IF($A111&lt;S51,0,IF($A111=S51,S67*S55,S67)))/(1+S47)^($A111-S48-1))</f>
        <v/>
      </c>
    </row>
    <row r="112">
      <c r="A112" s="18">
        <f>A111+1</f>
        <v/>
      </c>
      <c r="B112" s="14">
        <f>IF(OR($A112&lt;=B48,$A112&gt;B34),0,(B29-IF($A112&lt;B50,0,IF($A112=B50,B63*B54,B63))-IF($A112&lt;B51,0,IF($A112=B51,B67*B55,B67)))/(1+B47)^($A112-B48-1))</f>
        <v/>
      </c>
      <c r="C112" s="14">
        <f>IF(OR($A112&lt;=C48,$A112&gt;C34),0,(C29-IF($A112&lt;C50,0,IF($A112=C50,C63*C54,C63))-IF($A112&lt;C51,0,IF($A112=C51,C67*C55,C67)))/(1+C47)^($A112-C48-1))</f>
        <v/>
      </c>
      <c r="D112" s="14">
        <f>IF(OR($A112&lt;=D48,$A112&gt;D34),0,(D29-IF($A112&lt;D50,0,IF($A112=D50,D63*D54,D63))-IF($A112&lt;D51,0,IF($A112=D51,D67*D55,D67)))/(1+D47)^($A112-D48-1))</f>
        <v/>
      </c>
      <c r="E112" s="14">
        <f>IF(OR($A112&lt;=E48,$A112&gt;E34),0,(E29-IF($A112&lt;E50,0,IF($A112=E50,E63*E54,E63))-IF($A112&lt;E51,0,IF($A112=E51,E67*E55,E67)))/(1+E47)^($A112-E48-1))</f>
        <v/>
      </c>
      <c r="F112" s="14">
        <f>IF(OR($A112&lt;=F48,$A112&gt;F34),0,(F29-IF($A112&lt;F50,0,IF($A112=F50,F63*F54,F63))-IF($A112&lt;F51,0,IF($A112=F51,F67*F55,F67)))/(1+F47)^($A112-F48-1))</f>
        <v/>
      </c>
      <c r="G112" s="14">
        <f>IF(OR($A112&lt;=G48,$A112&gt;G34),0,(G29-IF($A112&lt;G50,0,IF($A112=G50,G63*G54,G63))-IF($A112&lt;G51,0,IF($A112=G51,G67*G55,G67)))/(1+G47)^($A112-G48-1))</f>
        <v/>
      </c>
      <c r="H112" s="14">
        <f>IF(OR($A112&lt;=H48,$A112&gt;H34),0,(H29-IF($A112&lt;H50,0,IF($A112=H50,H63*H54,H63))-IF($A112&lt;H51,0,IF($A112=H51,H67*H55,H67)))/(1+H47)^($A112-H48-1))</f>
        <v/>
      </c>
      <c r="I112" s="14">
        <f>IF(OR($A112&lt;=I48,$A112&gt;I34),0,(I29-IF($A112&lt;I50,0,IF($A112=I50,I63*I54,I63))-IF($A112&lt;I51,0,IF($A112=I51,I67*I55,I67)))/(1+I47)^($A112-I48-1))</f>
        <v/>
      </c>
      <c r="J112" s="14">
        <f>IF(OR($A112&lt;=J48,$A112&gt;J34),0,(J29-IF($A112&lt;J50,0,IF($A112=J50,J63*J54,J63))-IF($A112&lt;J51,0,IF($A112=J51,J67*J55,J67)))/(1+J47)^($A112-J48-1))</f>
        <v/>
      </c>
      <c r="K112" s="14">
        <f>IF(OR($A112&lt;=K48,$A112&gt;K34),0,(K29-IF($A112&lt;K50,0,IF($A112=K50,K63*K54,K63))-IF($A112&lt;K51,0,IF($A112=K51,K67*K55,K67)))/(1+K47)^($A112-K48-1))</f>
        <v/>
      </c>
      <c r="L112" s="14">
        <f>IF(OR($A112&lt;=L48,$A112&gt;L34),0,(L29-IF($A112&lt;L50,0,IF($A112=L50,L63*L54,L63))-IF($A112&lt;L51,0,IF($A112=L51,L67*L55,L67)))/(1+L47)^($A112-L48-1))</f>
        <v/>
      </c>
      <c r="M112" s="14">
        <f>IF(OR($A112&lt;=M48,$A112&gt;M34),0,(M29-IF($A112&lt;M50,0,IF($A112=M50,M63*M54,M63))-IF($A112&lt;M51,0,IF($A112=M51,M67*M55,M67)))/(1+M47)^($A112-M48-1))</f>
        <v/>
      </c>
      <c r="N112" s="14">
        <f>IF(OR($A112&lt;=N48,$A112&gt;N34),0,(N29-IF($A112&lt;N50,0,IF($A112=N50,N63*N54,N63))-IF($A112&lt;N51,0,IF($A112=N51,N67*N55,N67)))/(1+N47)^($A112-N48-1))</f>
        <v/>
      </c>
      <c r="O112" s="14">
        <f>IF(OR($A112&lt;=O48,$A112&gt;O34),0,(O29-IF($A112&lt;O50,0,IF($A112=O50,O63*O54,O63))-IF($A112&lt;O51,0,IF($A112=O51,O67*O55,O67)))/(1+O47)^($A112-O48-1))</f>
        <v/>
      </c>
      <c r="P112" s="14">
        <f>IF(OR($A112&lt;=P48,$A112&gt;P34),0,(P29-IF($A112&lt;P50,0,IF($A112=P50,P63*P54,P63))-IF($A112&lt;P51,0,IF($A112=P51,P67*P55,P67)))/(1+P47)^($A112-P48-1))</f>
        <v/>
      </c>
      <c r="Q112" s="14">
        <f>IF(OR($A112&lt;=Q48,$A112&gt;Q34),0,(Q29-IF($A112&lt;Q50,0,IF($A112=Q50,Q63*Q54,Q63))-IF($A112&lt;Q51,0,IF($A112=Q51,Q67*Q55,Q67)))/(1+Q47)^($A112-Q48-1))</f>
        <v/>
      </c>
      <c r="R112" s="14">
        <f>IF(OR($A112&lt;=R48,$A112&gt;R34),0,(R29-IF($A112&lt;R50,0,IF($A112=R50,R63*R54,R63))-IF($A112&lt;R51,0,IF($A112=R51,R67*R55,R67)))/(1+R47)^($A112-R48-1))</f>
        <v/>
      </c>
      <c r="S112" s="14">
        <f>IF(OR($A112&lt;=S48,$A112&gt;S34),0,(S29-IF($A112&lt;S50,0,IF($A112=S50,S63*S54,S63))-IF($A112&lt;S51,0,IF($A112=S51,S67*S55,S67)))/(1+S47)^($A112-S48-1))</f>
        <v/>
      </c>
    </row>
    <row r="113">
      <c r="A113" s="18">
        <f>A112+1</f>
        <v/>
      </c>
      <c r="B113" s="14">
        <f>IF(OR($A113&lt;=B48,$A113&gt;B34),0,(B29-IF($A113&lt;B50,0,IF($A113=B50,B63*B54,B63))-IF($A113&lt;B51,0,IF($A113=B51,B67*B55,B67)))/(1+B47)^($A113-B48-1))</f>
        <v/>
      </c>
      <c r="C113" s="14">
        <f>IF(OR($A113&lt;=C48,$A113&gt;C34),0,(C29-IF($A113&lt;C50,0,IF($A113=C50,C63*C54,C63))-IF($A113&lt;C51,0,IF($A113=C51,C67*C55,C67)))/(1+C47)^($A113-C48-1))</f>
        <v/>
      </c>
      <c r="D113" s="14">
        <f>IF(OR($A113&lt;=D48,$A113&gt;D34),0,(D29-IF($A113&lt;D50,0,IF($A113=D50,D63*D54,D63))-IF($A113&lt;D51,0,IF($A113=D51,D67*D55,D67)))/(1+D47)^($A113-D48-1))</f>
        <v/>
      </c>
      <c r="E113" s="14">
        <f>IF(OR($A113&lt;=E48,$A113&gt;E34),0,(E29-IF($A113&lt;E50,0,IF($A113=E50,E63*E54,E63))-IF($A113&lt;E51,0,IF($A113=E51,E67*E55,E67)))/(1+E47)^($A113-E48-1))</f>
        <v/>
      </c>
      <c r="F113" s="14">
        <f>IF(OR($A113&lt;=F48,$A113&gt;F34),0,(F29-IF($A113&lt;F50,0,IF($A113=F50,F63*F54,F63))-IF($A113&lt;F51,0,IF($A113=F51,F67*F55,F67)))/(1+F47)^($A113-F48-1))</f>
        <v/>
      </c>
      <c r="G113" s="14">
        <f>IF(OR($A113&lt;=G48,$A113&gt;G34),0,(G29-IF($A113&lt;G50,0,IF($A113=G50,G63*G54,G63))-IF($A113&lt;G51,0,IF($A113=G51,G67*G55,G67)))/(1+G47)^($A113-G48-1))</f>
        <v/>
      </c>
      <c r="H113" s="14">
        <f>IF(OR($A113&lt;=H48,$A113&gt;H34),0,(H29-IF($A113&lt;H50,0,IF($A113=H50,H63*H54,H63))-IF($A113&lt;H51,0,IF($A113=H51,H67*H55,H67)))/(1+H47)^($A113-H48-1))</f>
        <v/>
      </c>
      <c r="I113" s="14">
        <f>IF(OR($A113&lt;=I48,$A113&gt;I34),0,(I29-IF($A113&lt;I50,0,IF($A113=I50,I63*I54,I63))-IF($A113&lt;I51,0,IF($A113=I51,I67*I55,I67)))/(1+I47)^($A113-I48-1))</f>
        <v/>
      </c>
      <c r="J113" s="14">
        <f>IF(OR($A113&lt;=J48,$A113&gt;J34),0,(J29-IF($A113&lt;J50,0,IF($A113=J50,J63*J54,J63))-IF($A113&lt;J51,0,IF($A113=J51,J67*J55,J67)))/(1+J47)^($A113-J48-1))</f>
        <v/>
      </c>
      <c r="K113" s="14">
        <f>IF(OR($A113&lt;=K48,$A113&gt;K34),0,(K29-IF($A113&lt;K50,0,IF($A113=K50,K63*K54,K63))-IF($A113&lt;K51,0,IF($A113=K51,K67*K55,K67)))/(1+K47)^($A113-K48-1))</f>
        <v/>
      </c>
      <c r="L113" s="14">
        <f>IF(OR($A113&lt;=L48,$A113&gt;L34),0,(L29-IF($A113&lt;L50,0,IF($A113=L50,L63*L54,L63))-IF($A113&lt;L51,0,IF($A113=L51,L67*L55,L67)))/(1+L47)^($A113-L48-1))</f>
        <v/>
      </c>
      <c r="M113" s="14">
        <f>IF(OR($A113&lt;=M48,$A113&gt;M34),0,(M29-IF($A113&lt;M50,0,IF($A113=M50,M63*M54,M63))-IF($A113&lt;M51,0,IF($A113=M51,M67*M55,M67)))/(1+M47)^($A113-M48-1))</f>
        <v/>
      </c>
      <c r="N113" s="14">
        <f>IF(OR($A113&lt;=N48,$A113&gt;N34),0,(N29-IF($A113&lt;N50,0,IF($A113=N50,N63*N54,N63))-IF($A113&lt;N51,0,IF($A113=N51,N67*N55,N67)))/(1+N47)^($A113-N48-1))</f>
        <v/>
      </c>
      <c r="O113" s="14">
        <f>IF(OR($A113&lt;=O48,$A113&gt;O34),0,(O29-IF($A113&lt;O50,0,IF($A113=O50,O63*O54,O63))-IF($A113&lt;O51,0,IF($A113=O51,O67*O55,O67)))/(1+O47)^($A113-O48-1))</f>
        <v/>
      </c>
      <c r="P113" s="14">
        <f>IF(OR($A113&lt;=P48,$A113&gt;P34),0,(P29-IF($A113&lt;P50,0,IF($A113=P50,P63*P54,P63))-IF($A113&lt;P51,0,IF($A113=P51,P67*P55,P67)))/(1+P47)^($A113-P48-1))</f>
        <v/>
      </c>
      <c r="Q113" s="14">
        <f>IF(OR($A113&lt;=Q48,$A113&gt;Q34),0,(Q29-IF($A113&lt;Q50,0,IF($A113=Q50,Q63*Q54,Q63))-IF($A113&lt;Q51,0,IF($A113=Q51,Q67*Q55,Q67)))/(1+Q47)^($A113-Q48-1))</f>
        <v/>
      </c>
      <c r="R113" s="14">
        <f>IF(OR($A113&lt;=R48,$A113&gt;R34),0,(R29-IF($A113&lt;R50,0,IF($A113=R50,R63*R54,R63))-IF($A113&lt;R51,0,IF($A113=R51,R67*R55,R67)))/(1+R47)^($A113-R48-1))</f>
        <v/>
      </c>
      <c r="S113" s="14">
        <f>IF(OR($A113&lt;=S48,$A113&gt;S34),0,(S29-IF($A113&lt;S50,0,IF($A113=S50,S63*S54,S63))-IF($A113&lt;S51,0,IF($A113=S51,S67*S55,S67)))/(1+S47)^($A113-S48-1))</f>
        <v/>
      </c>
    </row>
    <row r="114">
      <c r="A114" s="18">
        <f>A113+1</f>
        <v/>
      </c>
      <c r="B114" s="14">
        <f>IF(OR($A114&lt;=B48,$A114&gt;B34),0,(B29-IF($A114&lt;B50,0,IF($A114=B50,B63*B54,B63))-IF($A114&lt;B51,0,IF($A114=B51,B67*B55,B67)))/(1+B47)^($A114-B48-1))</f>
        <v/>
      </c>
      <c r="C114" s="14">
        <f>IF(OR($A114&lt;=C48,$A114&gt;C34),0,(C29-IF($A114&lt;C50,0,IF($A114=C50,C63*C54,C63))-IF($A114&lt;C51,0,IF($A114=C51,C67*C55,C67)))/(1+C47)^($A114-C48-1))</f>
        <v/>
      </c>
      <c r="D114" s="14">
        <f>IF(OR($A114&lt;=D48,$A114&gt;D34),0,(D29-IF($A114&lt;D50,0,IF($A114=D50,D63*D54,D63))-IF($A114&lt;D51,0,IF($A114=D51,D67*D55,D67)))/(1+D47)^($A114-D48-1))</f>
        <v/>
      </c>
      <c r="E114" s="14">
        <f>IF(OR($A114&lt;=E48,$A114&gt;E34),0,(E29-IF($A114&lt;E50,0,IF($A114=E50,E63*E54,E63))-IF($A114&lt;E51,0,IF($A114=E51,E67*E55,E67)))/(1+E47)^($A114-E48-1))</f>
        <v/>
      </c>
      <c r="F114" s="14">
        <f>IF(OR($A114&lt;=F48,$A114&gt;F34),0,(F29-IF($A114&lt;F50,0,IF($A114=F50,F63*F54,F63))-IF($A114&lt;F51,0,IF($A114=F51,F67*F55,F67)))/(1+F47)^($A114-F48-1))</f>
        <v/>
      </c>
      <c r="G114" s="14">
        <f>IF(OR($A114&lt;=G48,$A114&gt;G34),0,(G29-IF($A114&lt;G50,0,IF($A114=G50,G63*G54,G63))-IF($A114&lt;G51,0,IF($A114=G51,G67*G55,G67)))/(1+G47)^($A114-G48-1))</f>
        <v/>
      </c>
      <c r="H114" s="14">
        <f>IF(OR($A114&lt;=H48,$A114&gt;H34),0,(H29-IF($A114&lt;H50,0,IF($A114=H50,H63*H54,H63))-IF($A114&lt;H51,0,IF($A114=H51,H67*H55,H67)))/(1+H47)^($A114-H48-1))</f>
        <v/>
      </c>
      <c r="I114" s="14">
        <f>IF(OR($A114&lt;=I48,$A114&gt;I34),0,(I29-IF($A114&lt;I50,0,IF($A114=I50,I63*I54,I63))-IF($A114&lt;I51,0,IF($A114=I51,I67*I55,I67)))/(1+I47)^($A114-I48-1))</f>
        <v/>
      </c>
      <c r="J114" s="14">
        <f>IF(OR($A114&lt;=J48,$A114&gt;J34),0,(J29-IF($A114&lt;J50,0,IF($A114=J50,J63*J54,J63))-IF($A114&lt;J51,0,IF($A114=J51,J67*J55,J67)))/(1+J47)^($A114-J48-1))</f>
        <v/>
      </c>
      <c r="K114" s="14">
        <f>IF(OR($A114&lt;=K48,$A114&gt;K34),0,(K29-IF($A114&lt;K50,0,IF($A114=K50,K63*K54,K63))-IF($A114&lt;K51,0,IF($A114=K51,K67*K55,K67)))/(1+K47)^($A114-K48-1))</f>
        <v/>
      </c>
      <c r="L114" s="14">
        <f>IF(OR($A114&lt;=L48,$A114&gt;L34),0,(L29-IF($A114&lt;L50,0,IF($A114=L50,L63*L54,L63))-IF($A114&lt;L51,0,IF($A114=L51,L67*L55,L67)))/(1+L47)^($A114-L48-1))</f>
        <v/>
      </c>
      <c r="M114" s="14">
        <f>IF(OR($A114&lt;=M48,$A114&gt;M34),0,(M29-IF($A114&lt;M50,0,IF($A114=M50,M63*M54,M63))-IF($A114&lt;M51,0,IF($A114=M51,M67*M55,M67)))/(1+M47)^($A114-M48-1))</f>
        <v/>
      </c>
      <c r="N114" s="14">
        <f>IF(OR($A114&lt;=N48,$A114&gt;N34),0,(N29-IF($A114&lt;N50,0,IF($A114=N50,N63*N54,N63))-IF($A114&lt;N51,0,IF($A114=N51,N67*N55,N67)))/(1+N47)^($A114-N48-1))</f>
        <v/>
      </c>
      <c r="O114" s="14">
        <f>IF(OR($A114&lt;=O48,$A114&gt;O34),0,(O29-IF($A114&lt;O50,0,IF($A114=O50,O63*O54,O63))-IF($A114&lt;O51,0,IF($A114=O51,O67*O55,O67)))/(1+O47)^($A114-O48-1))</f>
        <v/>
      </c>
      <c r="P114" s="14">
        <f>IF(OR($A114&lt;=P48,$A114&gt;P34),0,(P29-IF($A114&lt;P50,0,IF($A114=P50,P63*P54,P63))-IF($A114&lt;P51,0,IF($A114=P51,P67*P55,P67)))/(1+P47)^($A114-P48-1))</f>
        <v/>
      </c>
      <c r="Q114" s="14">
        <f>IF(OR($A114&lt;=Q48,$A114&gt;Q34),0,(Q29-IF($A114&lt;Q50,0,IF($A114=Q50,Q63*Q54,Q63))-IF($A114&lt;Q51,0,IF($A114=Q51,Q67*Q55,Q67)))/(1+Q47)^($A114-Q48-1))</f>
        <v/>
      </c>
      <c r="R114" s="14">
        <f>IF(OR($A114&lt;=R48,$A114&gt;R34),0,(R29-IF($A114&lt;R50,0,IF($A114=R50,R63*R54,R63))-IF($A114&lt;R51,0,IF($A114=R51,R67*R55,R67)))/(1+R47)^($A114-R48-1))</f>
        <v/>
      </c>
      <c r="S114" s="14">
        <f>IF(OR($A114&lt;=S48,$A114&gt;S34),0,(S29-IF($A114&lt;S50,0,IF($A114=S50,S63*S54,S63))-IF($A114&lt;S51,0,IF($A114=S51,S67*S55,S67)))/(1+S47)^($A114-S48-1))</f>
        <v/>
      </c>
    </row>
    <row r="115">
      <c r="A115" s="18">
        <f>A114+1</f>
        <v/>
      </c>
      <c r="B115" s="14">
        <f>IF(OR($A115&lt;=B48,$A115&gt;B34),0,(B29-IF($A115&lt;B50,0,IF($A115=B50,B63*B54,B63))-IF($A115&lt;B51,0,IF($A115=B51,B67*B55,B67)))/(1+B47)^($A115-B48-1))</f>
        <v/>
      </c>
      <c r="C115" s="14">
        <f>IF(OR($A115&lt;=C48,$A115&gt;C34),0,(C29-IF($A115&lt;C50,0,IF($A115=C50,C63*C54,C63))-IF($A115&lt;C51,0,IF($A115=C51,C67*C55,C67)))/(1+C47)^($A115-C48-1))</f>
        <v/>
      </c>
      <c r="D115" s="14">
        <f>IF(OR($A115&lt;=D48,$A115&gt;D34),0,(D29-IF($A115&lt;D50,0,IF($A115=D50,D63*D54,D63))-IF($A115&lt;D51,0,IF($A115=D51,D67*D55,D67)))/(1+D47)^($A115-D48-1))</f>
        <v/>
      </c>
      <c r="E115" s="14">
        <f>IF(OR($A115&lt;=E48,$A115&gt;E34),0,(E29-IF($A115&lt;E50,0,IF($A115=E50,E63*E54,E63))-IF($A115&lt;E51,0,IF($A115=E51,E67*E55,E67)))/(1+E47)^($A115-E48-1))</f>
        <v/>
      </c>
      <c r="F115" s="14">
        <f>IF(OR($A115&lt;=F48,$A115&gt;F34),0,(F29-IF($A115&lt;F50,0,IF($A115=F50,F63*F54,F63))-IF($A115&lt;F51,0,IF($A115=F51,F67*F55,F67)))/(1+F47)^($A115-F48-1))</f>
        <v/>
      </c>
      <c r="G115" s="14">
        <f>IF(OR($A115&lt;=G48,$A115&gt;G34),0,(G29-IF($A115&lt;G50,0,IF($A115=G50,G63*G54,G63))-IF($A115&lt;G51,0,IF($A115=G51,G67*G55,G67)))/(1+G47)^($A115-G48-1))</f>
        <v/>
      </c>
      <c r="H115" s="14">
        <f>IF(OR($A115&lt;=H48,$A115&gt;H34),0,(H29-IF($A115&lt;H50,0,IF($A115=H50,H63*H54,H63))-IF($A115&lt;H51,0,IF($A115=H51,H67*H55,H67)))/(1+H47)^($A115-H48-1))</f>
        <v/>
      </c>
      <c r="I115" s="14">
        <f>IF(OR($A115&lt;=I48,$A115&gt;I34),0,(I29-IF($A115&lt;I50,0,IF($A115=I50,I63*I54,I63))-IF($A115&lt;I51,0,IF($A115=I51,I67*I55,I67)))/(1+I47)^($A115-I48-1))</f>
        <v/>
      </c>
      <c r="J115" s="14">
        <f>IF(OR($A115&lt;=J48,$A115&gt;J34),0,(J29-IF($A115&lt;J50,0,IF($A115=J50,J63*J54,J63))-IF($A115&lt;J51,0,IF($A115=J51,J67*J55,J67)))/(1+J47)^($A115-J48-1))</f>
        <v/>
      </c>
      <c r="K115" s="14">
        <f>IF(OR($A115&lt;=K48,$A115&gt;K34),0,(K29-IF($A115&lt;K50,0,IF($A115=K50,K63*K54,K63))-IF($A115&lt;K51,0,IF($A115=K51,K67*K55,K67)))/(1+K47)^($A115-K48-1))</f>
        <v/>
      </c>
      <c r="L115" s="14">
        <f>IF(OR($A115&lt;=L48,$A115&gt;L34),0,(L29-IF($A115&lt;L50,0,IF($A115=L50,L63*L54,L63))-IF($A115&lt;L51,0,IF($A115=L51,L67*L55,L67)))/(1+L47)^($A115-L48-1))</f>
        <v/>
      </c>
      <c r="M115" s="14">
        <f>IF(OR($A115&lt;=M48,$A115&gt;M34),0,(M29-IF($A115&lt;M50,0,IF($A115=M50,M63*M54,M63))-IF($A115&lt;M51,0,IF($A115=M51,M67*M55,M67)))/(1+M47)^($A115-M48-1))</f>
        <v/>
      </c>
      <c r="N115" s="14">
        <f>IF(OR($A115&lt;=N48,$A115&gt;N34),0,(N29-IF($A115&lt;N50,0,IF($A115=N50,N63*N54,N63))-IF($A115&lt;N51,0,IF($A115=N51,N67*N55,N67)))/(1+N47)^($A115-N48-1))</f>
        <v/>
      </c>
      <c r="O115" s="14">
        <f>IF(OR($A115&lt;=O48,$A115&gt;O34),0,(O29-IF($A115&lt;O50,0,IF($A115=O50,O63*O54,O63))-IF($A115&lt;O51,0,IF($A115=O51,O67*O55,O67)))/(1+O47)^($A115-O48-1))</f>
        <v/>
      </c>
      <c r="P115" s="14">
        <f>IF(OR($A115&lt;=P48,$A115&gt;P34),0,(P29-IF($A115&lt;P50,0,IF($A115=P50,P63*P54,P63))-IF($A115&lt;P51,0,IF($A115=P51,P67*P55,P67)))/(1+P47)^($A115-P48-1))</f>
        <v/>
      </c>
      <c r="Q115" s="14">
        <f>IF(OR($A115&lt;=Q48,$A115&gt;Q34),0,(Q29-IF($A115&lt;Q50,0,IF($A115=Q50,Q63*Q54,Q63))-IF($A115&lt;Q51,0,IF($A115=Q51,Q67*Q55,Q67)))/(1+Q47)^($A115-Q48-1))</f>
        <v/>
      </c>
      <c r="R115" s="14">
        <f>IF(OR($A115&lt;=R48,$A115&gt;R34),0,(R29-IF($A115&lt;R50,0,IF($A115=R50,R63*R54,R63))-IF($A115&lt;R51,0,IF($A115=R51,R67*R55,R67)))/(1+R47)^($A115-R48-1))</f>
        <v/>
      </c>
      <c r="S115" s="14">
        <f>IF(OR($A115&lt;=S48,$A115&gt;S34),0,(S29-IF($A115&lt;S50,0,IF($A115=S50,S63*S54,S63))-IF($A115&lt;S51,0,IF($A115=S51,S67*S55,S67)))/(1+S47)^($A115-S48-1))</f>
        <v/>
      </c>
    </row>
    <row r="117" ht="45" customHeight="1">
      <c r="A117" s="12" t="inlineStr">
        <is>
          <t>LE DUE LEVE DI TESTA SONO APPAIATE. La distanza fra loro (riga 18) e' piu' piccola dell'incertezza del parametro che la decide, cioe' la banda del ±15% sul TFR. Non e' un ordine robusto e non va pubblicato come ordine. Dalla terza riga in giu' l'ordine non si muove, in nessuno dei due scenari.</t>
        </is>
      </c>
    </row>
    <row r="118" ht="45" customHeight="1">
      <c r="A118" s="12" t="inlineStr">
        <is>
          <t>CONVENZIONE 1 — il fabbisogno si sconta al TASSO DELLA LEVA. Nelle righe «costi» e «85/15» il fabbisogno SCENDE: un rendimento piu' alto alza il capitale e quindi la latente e il fattore di lordizzazione, ma sconta anche i flussi futuri piu' forte, e il secondo effetto domina. Una leva che cambia il rendimento lo cambia su tutte e due le gambe del conto.</t>
        </is>
      </c>
    </row>
    <row r="119" ht="45" customHeight="1">
      <c r="A119" s="12" t="inlineStr">
        <is>
          <t>Il rendimento resta al CENTRO anche nello scenario prudente: due delle otto leve (costi e allocazione) sono interventi sul rendimento, e misurarle dentro un mondo in cui il rendimento e' gia' al pavimento le farebbe leggere due volte. Il pavimento resta una riga della banda (foglio 11), dove e' una cautela e non una leva.</t>
        </is>
      </c>
    </row>
    <row r="120" ht="30" customHeight="1">
      <c r="A120" s="12" t="inlineStr">
        <is>
          <t>La metrica e' la POSIZIONE NETTA (capitale meno fabbisogno) valutata alla data della leva e scontata al rendimento netto bollo alla fine dell'anno di ritiro. La riga 3 e' un cambio dell'obiettivo, non una leva, e va etichettata come tale.</t>
        </is>
      </c>
    </row>
    <row r="121" ht="45" customHeight="1">
      <c r="A121" s="12" t="inlineStr">
        <is>
          <t>CONVENZIONE — quando si lavora uno o due anni in piu' il montante cresce per due vie (uno o due contributi in piu' e la stessa rivalutazione che ci sarebbe stata comunque), il coefficiente NON cambia perche' la decorrenza e' fissata dall'eta', il TFR cresce di una quota all'anno piu' la rivalutazione, e il ponte si accorcia. La somma ac + ar resta costante.</t>
        </is>
      </c>
    </row>
  </sheetData>
  <mergeCells count="11">
    <mergeCell ref="A2:F2"/>
    <mergeCell ref="A121:F121"/>
    <mergeCell ref="A4:E4"/>
    <mergeCell ref="A16:E16"/>
    <mergeCell ref="A1:F1"/>
    <mergeCell ref="A117:F117"/>
    <mergeCell ref="A118:F118"/>
    <mergeCell ref="A120:F120"/>
    <mergeCell ref="A119:F119"/>
    <mergeCell ref="A26:F26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</cols>
  <sheetData>
    <row r="1" ht="25" customHeight="1">
      <c r="A1" s="1" t="inlineStr">
        <is>
          <t>Il glide path, il costo atteso e il break-even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IL GLIDE ANNO PER ANNO — ribilanciamento a fine anno</t>
        </is>
      </c>
    </row>
    <row r="5">
      <c r="A5" s="13" t="inlineStr">
        <is>
          <t>Anno</t>
        </is>
      </c>
      <c r="B5" s="13" t="inlineStr">
        <is>
          <t>Peso azionario</t>
        </is>
      </c>
      <c r="C5" s="13" t="inlineStr">
        <is>
          <t>Rendimento lordo</t>
        </is>
      </c>
      <c r="D5" s="13" t="inlineStr">
        <is>
          <t>Rendimento netto bollo</t>
        </is>
      </c>
      <c r="E5" s="13" t="inlineStr">
        <is>
          <t>Fattore cumulato</t>
        </is>
      </c>
      <c r="F5" s="13" t="inlineStr">
        <is>
          <t>Versamenti capitalizzati</t>
        </is>
      </c>
    </row>
    <row r="6">
      <c r="A6" s="18">
        <f>'1-Input'!$C$16+1</f>
        <v/>
      </c>
      <c r="B6" s="19">
        <f>'P-Parametri'!$B$54-(('P-Parametri'!$B$54-'P-Parametri'!$B$55)/10)*1</f>
        <v/>
      </c>
      <c r="C6" s="19">
        <f>'P-Parametri'!$C$42+('P-Parametri'!$B$42-'P-Parametri'!$C$42)*B6</f>
        <v/>
      </c>
      <c r="D6" s="19">
        <f>C6-'1-Input'!$B$18</f>
        <v/>
      </c>
      <c r="E6" s="26">
        <f>1+D6</f>
        <v/>
      </c>
      <c r="F6" s="14">
        <f>('1-Input'!$B$40)*(1+D6)</f>
        <v/>
      </c>
    </row>
    <row r="7">
      <c r="A7" s="18">
        <f>A6+1</f>
        <v/>
      </c>
      <c r="B7" s="19">
        <f>'P-Parametri'!$B$54-(('P-Parametri'!$B$54-'P-Parametri'!$B$55)/10)*2</f>
        <v/>
      </c>
      <c r="C7" s="19">
        <f>'P-Parametri'!$C$42+('P-Parametri'!$B$42-'P-Parametri'!$C$42)*B7</f>
        <v/>
      </c>
      <c r="D7" s="19">
        <f>C7-'1-Input'!$B$18</f>
        <v/>
      </c>
      <c r="E7" s="26">
        <f>E6*(1+D7)</f>
        <v/>
      </c>
      <c r="F7" s="14">
        <f>(F6+'1-Input'!$B$40)*(1+D7)</f>
        <v/>
      </c>
    </row>
    <row r="8">
      <c r="A8" s="18">
        <f>A7+1</f>
        <v/>
      </c>
      <c r="B8" s="19">
        <f>'P-Parametri'!$B$54-(('P-Parametri'!$B$54-'P-Parametri'!$B$55)/10)*3</f>
        <v/>
      </c>
      <c r="C8" s="19">
        <f>'P-Parametri'!$C$42+('P-Parametri'!$B$42-'P-Parametri'!$C$42)*B8</f>
        <v/>
      </c>
      <c r="D8" s="19">
        <f>C8-'1-Input'!$B$18</f>
        <v/>
      </c>
      <c r="E8" s="26">
        <f>E7*(1+D8)</f>
        <v/>
      </c>
      <c r="F8" s="14">
        <f>(F7+'1-Input'!$B$40)*(1+D8)</f>
        <v/>
      </c>
    </row>
    <row r="9">
      <c r="A9" s="18">
        <f>A8+1</f>
        <v/>
      </c>
      <c r="B9" s="19">
        <f>'P-Parametri'!$B$54-(('P-Parametri'!$B$54-'P-Parametri'!$B$55)/10)*4</f>
        <v/>
      </c>
      <c r="C9" s="19">
        <f>'P-Parametri'!$C$42+('P-Parametri'!$B$42-'P-Parametri'!$C$42)*B9</f>
        <v/>
      </c>
      <c r="D9" s="19">
        <f>C9-'1-Input'!$B$18</f>
        <v/>
      </c>
      <c r="E9" s="26">
        <f>E8*(1+D9)</f>
        <v/>
      </c>
      <c r="F9" s="14">
        <f>(F8+'1-Input'!$B$40)*(1+D9)</f>
        <v/>
      </c>
    </row>
    <row r="10">
      <c r="A10" s="18">
        <f>A9+1</f>
        <v/>
      </c>
      <c r="B10" s="19">
        <f>'P-Parametri'!$B$54-(('P-Parametri'!$B$54-'P-Parametri'!$B$55)/10)*5</f>
        <v/>
      </c>
      <c r="C10" s="19">
        <f>'P-Parametri'!$C$42+('P-Parametri'!$B$42-'P-Parametri'!$C$42)*B10</f>
        <v/>
      </c>
      <c r="D10" s="19">
        <f>C10-'1-Input'!$B$18</f>
        <v/>
      </c>
      <c r="E10" s="26">
        <f>E9*(1+D10)</f>
        <v/>
      </c>
      <c r="F10" s="14">
        <f>(F9+'1-Input'!$B$40)*(1+D10)</f>
        <v/>
      </c>
    </row>
    <row r="11">
      <c r="A11" s="18">
        <f>A10+1</f>
        <v/>
      </c>
      <c r="B11" s="19">
        <f>'P-Parametri'!$B$54-(('P-Parametri'!$B$54-'P-Parametri'!$B$55)/10)*6</f>
        <v/>
      </c>
      <c r="C11" s="19">
        <f>'P-Parametri'!$C$42+('P-Parametri'!$B$42-'P-Parametri'!$C$42)*B11</f>
        <v/>
      </c>
      <c r="D11" s="19">
        <f>C11-'1-Input'!$B$18</f>
        <v/>
      </c>
      <c r="E11" s="26">
        <f>E10*(1+D11)</f>
        <v/>
      </c>
      <c r="F11" s="14">
        <f>(F10+'1-Input'!$B$40)*(1+D11)</f>
        <v/>
      </c>
    </row>
    <row r="12">
      <c r="A12" s="18">
        <f>A11+1</f>
        <v/>
      </c>
      <c r="B12" s="19">
        <f>'P-Parametri'!$B$54-(('P-Parametri'!$B$54-'P-Parametri'!$B$55)/10)*7</f>
        <v/>
      </c>
      <c r="C12" s="19">
        <f>'P-Parametri'!$C$42+('P-Parametri'!$B$42-'P-Parametri'!$C$42)*B12</f>
        <v/>
      </c>
      <c r="D12" s="19">
        <f>C12-'1-Input'!$B$18</f>
        <v/>
      </c>
      <c r="E12" s="26">
        <f>E11*(1+D12)</f>
        <v/>
      </c>
      <c r="F12" s="14">
        <f>(F11+'1-Input'!$B$40)*(1+D12)</f>
        <v/>
      </c>
    </row>
    <row r="13">
      <c r="A13" s="18">
        <f>A12+1</f>
        <v/>
      </c>
      <c r="B13" s="19">
        <f>'P-Parametri'!$B$54-(('P-Parametri'!$B$54-'P-Parametri'!$B$55)/10)*8</f>
        <v/>
      </c>
      <c r="C13" s="19">
        <f>'P-Parametri'!$C$42+('P-Parametri'!$B$42-'P-Parametri'!$C$42)*B13</f>
        <v/>
      </c>
      <c r="D13" s="19">
        <f>C13-'1-Input'!$B$18</f>
        <v/>
      </c>
      <c r="E13" s="26">
        <f>E12*(1+D13)</f>
        <v/>
      </c>
      <c r="F13" s="14">
        <f>(F12+'1-Input'!$B$40)*(1+D13)</f>
        <v/>
      </c>
    </row>
    <row r="14">
      <c r="A14" s="18">
        <f>A13+1</f>
        <v/>
      </c>
      <c r="B14" s="19">
        <f>'P-Parametri'!$B$54-(('P-Parametri'!$B$54-'P-Parametri'!$B$55)/10)*9</f>
        <v/>
      </c>
      <c r="C14" s="19">
        <f>'P-Parametri'!$C$42+('P-Parametri'!$B$42-'P-Parametri'!$C$42)*B14</f>
        <v/>
      </c>
      <c r="D14" s="19">
        <f>C14-'1-Input'!$B$18</f>
        <v/>
      </c>
      <c r="E14" s="26">
        <f>E13*(1+D14)</f>
        <v/>
      </c>
      <c r="F14" s="14">
        <f>(F13+'1-Input'!$B$40)*(1+D14)</f>
        <v/>
      </c>
    </row>
    <row r="15">
      <c r="A15" s="18">
        <f>A14+1</f>
        <v/>
      </c>
      <c r="B15" s="19">
        <f>'P-Parametri'!$B$54-(('P-Parametri'!$B$54-'P-Parametri'!$B$55)/10)*10</f>
        <v/>
      </c>
      <c r="C15" s="19">
        <f>'P-Parametri'!$C$42+('P-Parametri'!$B$42-'P-Parametri'!$C$42)*B15</f>
        <v/>
      </c>
      <c r="D15" s="19">
        <f>C15-'1-Input'!$B$18</f>
        <v/>
      </c>
      <c r="E15" s="26">
        <f>E14*(1+D15)</f>
        <v/>
      </c>
      <c r="F15" s="14">
        <f>(F14+'1-Input'!$B$40)*(1+D15)</f>
        <v/>
      </c>
    </row>
    <row r="17">
      <c r="A17" s="7" t="inlineStr">
        <is>
          <t>IL COSTO ATTESO</t>
        </is>
      </c>
    </row>
    <row r="18">
      <c r="A18" s="8" t="inlineStr">
        <is>
          <t>Fattore cumulato dei dieci anni</t>
        </is>
      </c>
      <c r="B18" s="26">
        <f>E15</f>
        <v/>
      </c>
    </row>
    <row r="19">
      <c r="A19" s="8" t="inlineStr">
        <is>
          <t>Versamenti capitalizzati</t>
        </is>
      </c>
      <c r="B19" s="14">
        <f>F15</f>
        <v/>
      </c>
    </row>
    <row r="20">
      <c r="A20" s="8" t="inlineStr">
        <is>
          <t>Capitale al ritiro col portafoglio fisso</t>
        </is>
      </c>
      <c r="B20" s="14">
        <f>'2-Composizione'!$B$36*(1+'1-Input'!$B$46)^'1-Input'!$B$50+'1-Input'!$B$40*(1+'1-Input'!$B$46)*(((1+'1-Input'!$B$46)^'1-Input'!$B$50-1)/'1-Input'!$B$46)</f>
        <v/>
      </c>
    </row>
    <row r="21">
      <c r="A21" s="8" t="inlineStr">
        <is>
          <t>CAPITALE AL RITIRO COL GLIDE</t>
        </is>
      </c>
      <c r="B21" s="14">
        <f>'2-Composizione'!$B$36*B18+B19</f>
        <v/>
      </c>
    </row>
    <row r="22">
      <c r="A22" s="8" t="inlineStr">
        <is>
          <t>COSTO ATTESO DEL GLIDE</t>
        </is>
      </c>
      <c r="B22" s="14">
        <f>B20-B21</f>
        <v/>
      </c>
    </row>
    <row r="24">
      <c r="A24" s="7" t="inlineStr">
        <is>
          <t>L'ANNO PEGGIORE E IL BREAK-EVEN</t>
        </is>
      </c>
    </row>
    <row r="25">
      <c r="A25" s="8" t="inlineStr">
        <is>
          <t>Capitale residuo col portafoglio fisso</t>
        </is>
      </c>
      <c r="B25" s="14">
        <f>B20*(1+'P-Parametri'!$B$54*'P-Parametri'!$B$53)</f>
        <v/>
      </c>
    </row>
    <row r="26">
      <c r="A26" s="8" t="inlineStr">
        <is>
          <t>Capitale residuo col glide</t>
        </is>
      </c>
      <c r="B26" s="14">
        <f>B21*(1+'P-Parametri'!$B$55*'P-Parametri'!$B$53)</f>
        <v/>
      </c>
    </row>
    <row r="27">
      <c r="A27" s="8" t="inlineStr">
        <is>
          <t>Differenza a favore del glide nell'anno peggiore</t>
        </is>
      </c>
      <c r="B27" s="14">
        <f>B26-B25</f>
        <v/>
      </c>
    </row>
    <row r="28">
      <c r="A28" s="8" t="inlineStr">
        <is>
          <t>BREAK-EVEN sul crollo azionario</t>
        </is>
      </c>
      <c r="B28" s="19">
        <f>B22/('P-Parametri'!$B$54*B20-'P-Parametri'!$B$55*B21)</f>
        <v/>
      </c>
    </row>
    <row r="30">
      <c r="A30" s="7" t="inlineStr">
        <is>
          <t>IL GLIDE DENTRO IL CONTO DEL FABBISOGNO (ipotesi prudente)</t>
        </is>
      </c>
    </row>
    <row r="31">
      <c r="A31" s="8" t="inlineStr">
        <is>
          <t>Fabbisogno col glide / con il portafoglio fisso</t>
        </is>
      </c>
      <c r="B31" s="14">
        <f>'9-Leve'!$J$76</f>
        <v/>
      </c>
      <c r="C31" s="14">
        <f>'9-Leve'!$B$76</f>
        <v/>
      </c>
    </row>
    <row r="32">
      <c r="A32" s="8" t="inlineStr">
        <is>
          <t>Delta posizione netta</t>
        </is>
      </c>
      <c r="B32" s="14">
        <f>'9-Leve'!$J$79</f>
        <v/>
      </c>
    </row>
    <row r="34" ht="30" customHeight="1">
      <c r="A34" s="12" t="inlineStr">
        <is>
          <t>CONVENZIONE — il ribilanciamento e' a FINE ANNO, quindi il primo anno il peso azionario e' gia' sceso di tre punti: l'etichetta corretta e' «da 70/30 a 40/60, con i pesi che partono da 67 gia' nel primo anno».</t>
        </is>
      </c>
    </row>
    <row r="35" ht="45" customHeight="1">
      <c r="A35" s="12" t="inlineStr">
        <is>
          <t>La regola unica che concilia i due video del catalogo: il glide costa rendimento atteso e compra riduzione di dispersione, quindi conviene quando il rendimento a cui rinunci non ti serve piu' per arrivare al traguardo, e non conviene quando ti serve ancora. Nel video sul montante era in DECUMULO con un capitale tirato; qui si ACCUMULA e il capitale avanza.</t>
        </is>
      </c>
    </row>
    <row r="36" ht="30" customHeight="1">
      <c r="A36" s="12" t="inlineStr">
        <is>
          <t>Scenario ILLUSTRATIVO, non probabilistico: con un crollo azionario sopra il break-even il ribilanciamento lascia piu' capitale in mano, sotto meno. In tutti e due i casi il capitale resta molto sopra il fabbisogno: la scelta sposta il margine, non l'esito.</t>
        </is>
      </c>
    </row>
    <row r="37" ht="30" customHeight="1">
      <c r="A37" s="12" t="inlineStr">
        <is>
          <t>Il portafoglio post-ritiro del glide (40/60) rende meno, quindi il fabbisogno col glide e' piu' alto: e' il costo dichiarato della riduzione di dispersione, ed e' contato dentro la posizione netta del foglio 9.</t>
        </is>
      </c>
    </row>
  </sheetData>
  <mergeCells count="10">
    <mergeCell ref="A24:F24"/>
    <mergeCell ref="A2:F2"/>
    <mergeCell ref="A36:F36"/>
    <mergeCell ref="A1:F1"/>
    <mergeCell ref="A37:F37"/>
    <mergeCell ref="A17:F17"/>
    <mergeCell ref="A34:F34"/>
    <mergeCell ref="A4:F4"/>
    <mergeCell ref="A35:F35"/>
    <mergeCell ref="A30:F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5" customHeight="1">
      <c r="A1" s="1" t="inlineStr">
        <is>
          <t>La banda del fabbisogno — quattordici scenari ricalcolati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LE QUATTORDICI RIGHE, ORDINATE PER FABBISOGNO CRESCENTE</t>
        </is>
      </c>
    </row>
    <row r="5">
      <c r="A5" s="13" t="inlineStr">
        <is>
          <t>Scenario</t>
        </is>
      </c>
      <c r="B5" s="13" t="inlineStr">
        <is>
          <t>Valore attuale netto</t>
        </is>
      </c>
      <c r="C5" s="13" t="inlineStr">
        <is>
          <t>Fabbisogno lordo</t>
        </is>
      </c>
      <c r="D5" s="13" t="inlineStr">
        <is>
          <t>Fabbisogno finanziario</t>
        </is>
      </c>
      <c r="E5" s="13" t="inlineStr">
        <is>
          <t>Scarto contro la base</t>
        </is>
      </c>
    </row>
    <row r="6">
      <c r="A6" s="5" t="inlineStr">
        <is>
          <t>1 — Spesa piu' bassa</t>
        </is>
      </c>
      <c r="B6" s="15">
        <f>B73</f>
        <v/>
      </c>
      <c r="C6" s="15">
        <f>B74</f>
        <v/>
      </c>
      <c r="D6" s="15">
        <f>B76</f>
        <v/>
      </c>
      <c r="E6" s="15">
        <f>B76-$D$9</f>
        <v/>
      </c>
    </row>
    <row r="7">
      <c r="A7" s="5" t="inlineStr">
        <is>
          <t>2 — Via dei 65 anni (scenario B)</t>
        </is>
      </c>
      <c r="B7" s="15">
        <f>C73</f>
        <v/>
      </c>
      <c r="C7" s="15">
        <f>C74</f>
        <v/>
      </c>
      <c r="D7" s="15">
        <f>C76</f>
        <v/>
      </c>
      <c r="E7" s="15">
        <f>C76-$D$9</f>
        <v/>
      </c>
    </row>
    <row r="8">
      <c r="A8" s="5" t="inlineStr">
        <is>
          <t>3 — Orizzonte basso</t>
        </is>
      </c>
      <c r="B8" s="15">
        <f>D73</f>
        <v/>
      </c>
      <c r="C8" s="15">
        <f>D74</f>
        <v/>
      </c>
      <c r="D8" s="15">
        <f>D76</f>
        <v/>
      </c>
      <c r="E8" s="15">
        <f>D76-$D$9</f>
        <v/>
      </c>
    </row>
    <row r="9">
      <c r="A9" s="5" t="inlineStr">
        <is>
          <t>4 — BASE (vecchiaia, orizzonte centrale)</t>
        </is>
      </c>
      <c r="B9" s="15">
        <f>E73</f>
        <v/>
      </c>
      <c r="C9" s="15">
        <f>E74</f>
        <v/>
      </c>
      <c r="D9" s="15">
        <f>E76</f>
        <v/>
      </c>
      <c r="E9" s="15">
        <f>E76-$D$9</f>
        <v/>
      </c>
    </row>
    <row r="10">
      <c r="A10" s="5" t="inlineStr">
        <is>
          <t>5 — Rendimento al pavimento</t>
        </is>
      </c>
      <c r="B10" s="15">
        <f>F73</f>
        <v/>
      </c>
      <c r="C10" s="15">
        <f>F74</f>
        <v/>
      </c>
      <c r="D10" s="15">
        <f>F76</f>
        <v/>
      </c>
      <c r="E10" s="15">
        <f>F76-$D$9</f>
        <v/>
      </c>
    </row>
    <row r="11">
      <c r="A11" s="5" t="inlineStr">
        <is>
          <t>6 — Orizzonte alto</t>
        </is>
      </c>
      <c r="B11" s="15">
        <f>G73</f>
        <v/>
      </c>
      <c r="C11" s="15">
        <f>G74</f>
        <v/>
      </c>
      <c r="D11" s="15">
        <f>G76</f>
        <v/>
      </c>
      <c r="E11" s="15">
        <f>G76-$D$9</f>
        <v/>
      </c>
    </row>
    <row r="12">
      <c r="A12" s="5" t="inlineStr">
        <is>
          <t>7 — Montante di Chiara al minimo</t>
        </is>
      </c>
      <c r="B12" s="15">
        <f>H73</f>
        <v/>
      </c>
      <c r="C12" s="15">
        <f>H74</f>
        <v/>
      </c>
      <c r="D12" s="15">
        <f>H76</f>
        <v/>
      </c>
      <c r="E12" s="15">
        <f>H76-$D$9</f>
        <v/>
      </c>
    </row>
    <row r="13">
      <c r="A13" s="5" t="inlineStr">
        <is>
          <t>8 — Requisito +1 anno</t>
        </is>
      </c>
      <c r="B13" s="15">
        <f>I73</f>
        <v/>
      </c>
      <c r="C13" s="15">
        <f>I74</f>
        <v/>
      </c>
      <c r="D13" s="15">
        <f>I76</f>
        <v/>
      </c>
      <c r="E13" s="15">
        <f>I76-$D$9</f>
        <v/>
      </c>
    </row>
    <row r="14">
      <c r="A14" s="5" t="inlineStr">
        <is>
          <t>9 — Pensioni meno 10%</t>
        </is>
      </c>
      <c r="B14" s="15">
        <f>J73</f>
        <v/>
      </c>
      <c r="C14" s="15">
        <f>J74</f>
        <v/>
      </c>
      <c r="D14" s="15">
        <f>J76</f>
        <v/>
      </c>
      <c r="E14" s="15">
        <f>J76-$D$9</f>
        <v/>
      </c>
    </row>
    <row r="15">
      <c r="A15" s="5" t="inlineStr">
        <is>
          <t>10 — Requisito +2 anni</t>
        </is>
      </c>
      <c r="B15" s="15">
        <f>K73</f>
        <v/>
      </c>
      <c r="C15" s="15">
        <f>K74</f>
        <v/>
      </c>
      <c r="D15" s="15">
        <f>K76</f>
        <v/>
      </c>
      <c r="E15" s="15">
        <f>K76-$D$9</f>
        <v/>
      </c>
    </row>
    <row r="16">
      <c r="A16" s="5" t="inlineStr">
        <is>
          <t>11 — Spesa piu' alta</t>
        </is>
      </c>
      <c r="B16" s="15">
        <f>L73</f>
        <v/>
      </c>
      <c r="C16" s="15">
        <f>L74</f>
        <v/>
      </c>
      <c r="D16" s="15">
        <f>L76</f>
        <v/>
      </c>
      <c r="E16" s="15">
        <f>L76-$D$9</f>
        <v/>
      </c>
    </row>
    <row r="17">
      <c r="A17" s="5" t="inlineStr">
        <is>
          <t>12 — Pensioni meno 20%</t>
        </is>
      </c>
      <c r="B17" s="15">
        <f>M73</f>
        <v/>
      </c>
      <c r="C17" s="15">
        <f>M74</f>
        <v/>
      </c>
      <c r="D17" s="15">
        <f>M76</f>
        <v/>
      </c>
      <c r="E17" s="15">
        <f>M76-$D$9</f>
        <v/>
      </c>
    </row>
    <row r="18">
      <c r="A18" s="5" t="inlineStr">
        <is>
          <t>13 — SCENARIO CAUTO (pensioni meno 20% + requisito +2 + orizzonte alto)</t>
        </is>
      </c>
      <c r="B18" s="15">
        <f>N73</f>
        <v/>
      </c>
      <c r="C18" s="15">
        <f>N74</f>
        <v/>
      </c>
      <c r="D18" s="15">
        <f>N76</f>
        <v/>
      </c>
      <c r="E18" s="15">
        <f>N76-$D$9</f>
        <v/>
      </c>
    </row>
    <row r="19">
      <c r="A19" s="5" t="inlineStr">
        <is>
          <t>14 — Cauto + rendimento al pavimento</t>
        </is>
      </c>
      <c r="B19" s="15">
        <f>O73</f>
        <v/>
      </c>
      <c r="C19" s="15">
        <f>O74</f>
        <v/>
      </c>
      <c r="D19" s="15">
        <f>O76</f>
        <v/>
      </c>
      <c r="E19" s="15">
        <f>O76-$D$9</f>
        <v/>
      </c>
    </row>
    <row r="21">
      <c r="A21" s="7" t="inlineStr">
        <is>
          <t>LA FORBICE E LE TRE LEVE DEL RISCHIO</t>
        </is>
      </c>
    </row>
    <row r="22">
      <c r="A22" s="8" t="inlineStr">
        <is>
          <t>Forbice pubblicata — dal centrale (riga 4) al cauto col pavimento (riga 14)</t>
        </is>
      </c>
      <c r="B22" s="15">
        <f>D9</f>
        <v/>
      </c>
      <c r="C22" s="15">
        <f>D19</f>
        <v/>
      </c>
      <c r="D22" s="17">
        <f>D19/D9</f>
        <v/>
      </c>
    </row>
    <row r="23">
      <c r="A23" s="8" t="inlineStr">
        <is>
          <t>Peso delle tre cautele: pensioni / requisito / orizzonte</t>
        </is>
      </c>
      <c r="B23" s="15">
        <f>D17-D9</f>
        <v/>
      </c>
      <c r="C23" s="15">
        <f>D15-D9</f>
        <v/>
      </c>
      <c r="D23" s="15">
        <f>D11-D9</f>
        <v/>
      </c>
    </row>
    <row r="24">
      <c r="A24" s="8" t="inlineStr">
        <is>
          <t>Le tre cautele una per volta / messe insieme / differenza</t>
        </is>
      </c>
      <c r="B24" s="15">
        <f>B23+C23+D23</f>
        <v/>
      </c>
      <c r="C24" s="15">
        <f>D18-D9</f>
        <v/>
      </c>
      <c r="D24" s="16">
        <f>C24/B24-1</f>
        <v/>
      </c>
    </row>
    <row r="25" ht="60" customHeight="1">
      <c r="A25" s="12" t="inlineStr">
        <is>
          <t>CONVENZIONE 4 — le pensioni degli scenari cauti si tagliano AL LORDO e il netto si ricalcola con il modulo IRPEF completo. La convenzione e' piu' rigorosa (un taglio della prestazione e' un taglio del lordo, e la progressivita' non e' lineare), e la direzione dell'effetto va dichiarata perche' va dalla parte comoda: rende gli scenari cauti MENO severi di quanto sarebbero tagliando il netto.</t>
        </is>
      </c>
    </row>
    <row r="27">
      <c r="A27" s="8" t="inlineStr">
        <is>
          <t>SCENARIO</t>
        </is>
      </c>
      <c r="B27" s="34" t="inlineStr">
        <is>
          <t>1 — Spesa piu' bassa</t>
        </is>
      </c>
      <c r="C27" s="34" t="inlineStr">
        <is>
          <t>2 — Via dei 65 anni (scenario B)</t>
        </is>
      </c>
      <c r="D27" s="34" t="inlineStr">
        <is>
          <t>3 — Orizzonte basso</t>
        </is>
      </c>
      <c r="E27" s="34" t="inlineStr">
        <is>
          <t>4 — BASE (vecchiaia, orizzonte centrale)</t>
        </is>
      </c>
      <c r="F27" s="34" t="inlineStr">
        <is>
          <t>5 — Rendimento al pavimento</t>
        </is>
      </c>
      <c r="G27" s="34" t="inlineStr">
        <is>
          <t>6 — Orizzonte alto</t>
        </is>
      </c>
      <c r="H27" s="34" t="inlineStr">
        <is>
          <t>7 — Montante di Chiara al minimo</t>
        </is>
      </c>
      <c r="I27" s="34" t="inlineStr">
        <is>
          <t>8 — Requisito +1 anno</t>
        </is>
      </c>
      <c r="J27" s="34" t="inlineStr">
        <is>
          <t>9 — Pensioni meno 10%</t>
        </is>
      </c>
      <c r="K27" s="34" t="inlineStr">
        <is>
          <t>10 — Requisito +2 anni</t>
        </is>
      </c>
      <c r="L27" s="34" t="inlineStr">
        <is>
          <t>11 — Spesa piu' alta</t>
        </is>
      </c>
      <c r="M27" s="34" t="inlineStr">
        <is>
          <t>12 — Pensioni meno 20%</t>
        </is>
      </c>
      <c r="N27" s="34" t="inlineStr">
        <is>
          <t>13 — SCENARIO CAUTO (pensioni meno 20% + requisito +2 + orizzonte alto)</t>
        </is>
      </c>
      <c r="O27" s="34" t="inlineStr">
        <is>
          <t>14 — Cauto + rendimento al pavimento</t>
        </is>
      </c>
    </row>
    <row r="28">
      <c r="A28" s="8" t="inlineStr">
        <is>
          <t>Spesa prima del ritiro</t>
        </is>
      </c>
      <c r="B28" s="15">
        <f>'1-Input'!$B$13</f>
        <v/>
      </c>
      <c r="C28" s="15">
        <f>'1-Input'!$B$13</f>
        <v/>
      </c>
      <c r="D28" s="15">
        <f>'1-Input'!$B$13</f>
        <v/>
      </c>
      <c r="E28" s="15">
        <f>'1-Input'!$B$13</f>
        <v/>
      </c>
      <c r="F28" s="15">
        <f>'1-Input'!$B$13</f>
        <v/>
      </c>
      <c r="G28" s="15">
        <f>'1-Input'!$B$13</f>
        <v/>
      </c>
      <c r="H28" s="15">
        <f>'1-Input'!$B$13</f>
        <v/>
      </c>
      <c r="I28" s="15">
        <f>'1-Input'!$B$13</f>
        <v/>
      </c>
      <c r="J28" s="15">
        <f>'1-Input'!$B$13</f>
        <v/>
      </c>
      <c r="K28" s="15">
        <f>'1-Input'!$B$13</f>
        <v/>
      </c>
      <c r="L28" s="15">
        <f>'1-Input'!$B$13</f>
        <v/>
      </c>
      <c r="M28" s="15">
        <f>'1-Input'!$B$13</f>
        <v/>
      </c>
      <c r="N28" s="15">
        <f>'1-Input'!$B$13</f>
        <v/>
      </c>
      <c r="O28" s="15">
        <f>'1-Input'!$B$13</f>
        <v/>
      </c>
    </row>
    <row r="29">
      <c r="A29" s="8" t="inlineStr">
        <is>
          <t>Spesa dopo il ritiro</t>
        </is>
      </c>
      <c r="B29" s="15">
        <f>'1-Input'!$B$13-'P-Parametri'!$B$66</f>
        <v/>
      </c>
      <c r="C29" s="15">
        <f>'1-Input'!$B$13</f>
        <v/>
      </c>
      <c r="D29" s="15">
        <f>'1-Input'!$B$13</f>
        <v/>
      </c>
      <c r="E29" s="15">
        <f>'1-Input'!$B$13</f>
        <v/>
      </c>
      <c r="F29" s="15">
        <f>'1-Input'!$B$13</f>
        <v/>
      </c>
      <c r="G29" s="15">
        <f>'1-Input'!$B$13</f>
        <v/>
      </c>
      <c r="H29" s="15">
        <f>'1-Input'!$B$13</f>
        <v/>
      </c>
      <c r="I29" s="15">
        <f>'1-Input'!$B$13</f>
        <v/>
      </c>
      <c r="J29" s="15">
        <f>'1-Input'!$B$13</f>
        <v/>
      </c>
      <c r="K29" s="15">
        <f>'1-Input'!$B$13</f>
        <v/>
      </c>
      <c r="L29" s="15">
        <f>'1-Input'!$B$13+'P-Parametri'!$B$66</f>
        <v/>
      </c>
      <c r="M29" s="15">
        <f>'1-Input'!$B$13</f>
        <v/>
      </c>
      <c r="N29" s="15">
        <f>'1-Input'!$B$13</f>
        <v/>
      </c>
      <c r="O29" s="15">
        <f>'1-Input'!$B$13</f>
        <v/>
      </c>
    </row>
    <row r="30">
      <c r="A30" s="8" t="inlineStr">
        <is>
          <t>Risparmio annuo</t>
        </is>
      </c>
      <c r="B30" s="15">
        <f>'1-Input'!$B$40</f>
        <v/>
      </c>
      <c r="C30" s="15">
        <f>'1-Input'!$B$40</f>
        <v/>
      </c>
      <c r="D30" s="15">
        <f>'1-Input'!$B$40</f>
        <v/>
      </c>
      <c r="E30" s="15">
        <f>'1-Input'!$B$40</f>
        <v/>
      </c>
      <c r="F30" s="15">
        <f>'1-Input'!$B$40</f>
        <v/>
      </c>
      <c r="G30" s="15">
        <f>'1-Input'!$B$40</f>
        <v/>
      </c>
      <c r="H30" s="15">
        <f>'1-Input'!$B$40</f>
        <v/>
      </c>
      <c r="I30" s="15">
        <f>'1-Input'!$B$40</f>
        <v/>
      </c>
      <c r="J30" s="15">
        <f>'1-Input'!$B$40</f>
        <v/>
      </c>
      <c r="K30" s="15">
        <f>'1-Input'!$B$40</f>
        <v/>
      </c>
      <c r="L30" s="15">
        <f>'1-Input'!$B$40</f>
        <v/>
      </c>
      <c r="M30" s="15">
        <f>'1-Input'!$B$40</f>
        <v/>
      </c>
      <c r="N30" s="15">
        <f>'1-Input'!$B$40</f>
        <v/>
      </c>
      <c r="O30" s="15">
        <f>'1-Input'!$B$40</f>
        <v/>
      </c>
    </row>
    <row r="31">
      <c r="A31" s="8" t="inlineStr">
        <is>
          <t>Anni di lavoro in piu'</t>
        </is>
      </c>
      <c r="B31" s="18">
        <f>0</f>
        <v/>
      </c>
      <c r="C31" s="18">
        <f>0</f>
        <v/>
      </c>
      <c r="D31" s="18">
        <f>0</f>
        <v/>
      </c>
      <c r="E31" s="18">
        <f>0</f>
        <v/>
      </c>
      <c r="F31" s="18">
        <f>0</f>
        <v/>
      </c>
      <c r="G31" s="18">
        <f>0</f>
        <v/>
      </c>
      <c r="H31" s="18">
        <f>0</f>
        <v/>
      </c>
      <c r="I31" s="18">
        <f>0</f>
        <v/>
      </c>
      <c r="J31" s="18">
        <f>0</f>
        <v/>
      </c>
      <c r="K31" s="18">
        <f>0</f>
        <v/>
      </c>
      <c r="L31" s="18">
        <f>0</f>
        <v/>
      </c>
      <c r="M31" s="18">
        <f>0</f>
        <v/>
      </c>
      <c r="N31" s="18">
        <f>0</f>
        <v/>
      </c>
      <c r="O31" s="18">
        <f>0</f>
        <v/>
      </c>
    </row>
    <row r="32">
      <c r="A32" s="8" t="inlineStr">
        <is>
          <t>Requisito anagrafico: anni in piu'</t>
        </is>
      </c>
      <c r="B32" s="18">
        <f>'1-Input'!$B$22</f>
        <v/>
      </c>
      <c r="C32" s="18">
        <f>'1-Input'!$B$22</f>
        <v/>
      </c>
      <c r="D32" s="18">
        <f>'1-Input'!$B$22</f>
        <v/>
      </c>
      <c r="E32" s="18">
        <f>'1-Input'!$B$22</f>
        <v/>
      </c>
      <c r="F32" s="18">
        <f>'1-Input'!$B$22</f>
        <v/>
      </c>
      <c r="G32" s="18">
        <f>'1-Input'!$B$22</f>
        <v/>
      </c>
      <c r="H32" s="18">
        <f>'1-Input'!$B$22</f>
        <v/>
      </c>
      <c r="I32" s="18">
        <f>'1-Input'!$B$22+1</f>
        <v/>
      </c>
      <c r="J32" s="18">
        <f>'1-Input'!$B$22</f>
        <v/>
      </c>
      <c r="K32" s="18">
        <f>'1-Input'!$B$22+2</f>
        <v/>
      </c>
      <c r="L32" s="18">
        <f>'1-Input'!$B$22</f>
        <v/>
      </c>
      <c r="M32" s="18">
        <f>'1-Input'!$B$22</f>
        <v/>
      </c>
      <c r="N32" s="18">
        <f>'1-Input'!$B$22+2</f>
        <v/>
      </c>
      <c r="O32" s="18">
        <f>'1-Input'!$B$22+2</f>
        <v/>
      </c>
    </row>
    <row r="33">
      <c r="A33" s="8" t="inlineStr">
        <is>
          <t>Fattore sulle pensioni lorde</t>
        </is>
      </c>
      <c r="B33" s="20">
        <f>1</f>
        <v/>
      </c>
      <c r="C33" s="20">
        <f>1</f>
        <v/>
      </c>
      <c r="D33" s="20">
        <f>1</f>
        <v/>
      </c>
      <c r="E33" s="20">
        <f>1</f>
        <v/>
      </c>
      <c r="F33" s="20">
        <f>1</f>
        <v/>
      </c>
      <c r="G33" s="20">
        <f>1</f>
        <v/>
      </c>
      <c r="H33" s="20">
        <f>1</f>
        <v/>
      </c>
      <c r="I33" s="20">
        <f>1</f>
        <v/>
      </c>
      <c r="J33" s="20">
        <f>1-'P-Parametri'!$B$51/2</f>
        <v/>
      </c>
      <c r="K33" s="20">
        <f>1</f>
        <v/>
      </c>
      <c r="L33" s="20">
        <f>1</f>
        <v/>
      </c>
      <c r="M33" s="20">
        <f>1-'P-Parametri'!$B$51</f>
        <v/>
      </c>
      <c r="N33" s="20">
        <f>1-'P-Parametri'!$B$51</f>
        <v/>
      </c>
      <c r="O33" s="20">
        <f>1-'P-Parametri'!$B$51</f>
        <v/>
      </c>
    </row>
    <row r="34">
      <c r="A34" s="8" t="inlineStr">
        <is>
          <t>Anno di orizzonte</t>
        </is>
      </c>
      <c r="B34" s="18">
        <f>'1-Input'!$B$47</f>
        <v/>
      </c>
      <c r="C34" s="18">
        <f>'1-Input'!$B$47</f>
        <v/>
      </c>
      <c r="D34" s="18">
        <f>'1-Input'!$B$5+'P-Parametri'!$B$65</f>
        <v/>
      </c>
      <c r="E34" s="18">
        <f>'1-Input'!$B$47</f>
        <v/>
      </c>
      <c r="F34" s="18">
        <f>'1-Input'!$B$47</f>
        <v/>
      </c>
      <c r="G34" s="18">
        <f>'1-Input'!$B$5+'P-Parametri'!$C$65</f>
        <v/>
      </c>
      <c r="H34" s="18">
        <f>'1-Input'!$B$47</f>
        <v/>
      </c>
      <c r="I34" s="18">
        <f>'1-Input'!$B$47</f>
        <v/>
      </c>
      <c r="J34" s="18">
        <f>'1-Input'!$B$47</f>
        <v/>
      </c>
      <c r="K34" s="18">
        <f>'1-Input'!$B$47</f>
        <v/>
      </c>
      <c r="L34" s="18">
        <f>'1-Input'!$B$47</f>
        <v/>
      </c>
      <c r="M34" s="18">
        <f>'1-Input'!$B$47</f>
        <v/>
      </c>
      <c r="N34" s="18">
        <f>'1-Input'!$B$5+'P-Parametri'!$C$65</f>
        <v/>
      </c>
      <c r="O34" s="18">
        <f>'1-Input'!$B$5+'P-Parametri'!$C$65</f>
        <v/>
      </c>
    </row>
    <row r="35">
      <c r="A35" s="8" t="inlineStr">
        <is>
          <t>Rendimento lordo — accumulo</t>
        </is>
      </c>
      <c r="B35" s="19">
        <f>'1-Input'!$B$17</f>
        <v/>
      </c>
      <c r="C35" s="19">
        <f>'1-Input'!$B$17</f>
        <v/>
      </c>
      <c r="D35" s="19">
        <f>'1-Input'!$B$17</f>
        <v/>
      </c>
      <c r="E35" s="19">
        <f>'1-Input'!$B$17</f>
        <v/>
      </c>
      <c r="F35" s="19">
        <f>'3-Rendimento'!$C$15</f>
        <v/>
      </c>
      <c r="G35" s="19">
        <f>'1-Input'!$B$17</f>
        <v/>
      </c>
      <c r="H35" s="19">
        <f>'1-Input'!$B$17</f>
        <v/>
      </c>
      <c r="I35" s="19">
        <f>'1-Input'!$B$17</f>
        <v/>
      </c>
      <c r="J35" s="19">
        <f>'1-Input'!$B$17</f>
        <v/>
      </c>
      <c r="K35" s="19">
        <f>'1-Input'!$B$17</f>
        <v/>
      </c>
      <c r="L35" s="19">
        <f>'1-Input'!$B$17</f>
        <v/>
      </c>
      <c r="M35" s="19">
        <f>'1-Input'!$B$17</f>
        <v/>
      </c>
      <c r="N35" s="19">
        <f>'1-Input'!$B$17</f>
        <v/>
      </c>
      <c r="O35" s="19">
        <f>'3-Rendimento'!$C$15</f>
        <v/>
      </c>
    </row>
    <row r="36">
      <c r="A36" s="8" t="inlineStr">
        <is>
          <t>Rendimento lordo — decumulo</t>
        </is>
      </c>
      <c r="B36" s="19">
        <f>'1-Input'!$B$17</f>
        <v/>
      </c>
      <c r="C36" s="19">
        <f>'1-Input'!$B$17</f>
        <v/>
      </c>
      <c r="D36" s="19">
        <f>'1-Input'!$B$17</f>
        <v/>
      </c>
      <c r="E36" s="19">
        <f>'1-Input'!$B$17</f>
        <v/>
      </c>
      <c r="F36" s="19">
        <f>'3-Rendimento'!$C$15</f>
        <v/>
      </c>
      <c r="G36" s="19">
        <f>'1-Input'!$B$17</f>
        <v/>
      </c>
      <c r="H36" s="19">
        <f>'1-Input'!$B$17</f>
        <v/>
      </c>
      <c r="I36" s="19">
        <f>'1-Input'!$B$17</f>
        <v/>
      </c>
      <c r="J36" s="19">
        <f>'1-Input'!$B$17</f>
        <v/>
      </c>
      <c r="K36" s="19">
        <f>'1-Input'!$B$17</f>
        <v/>
      </c>
      <c r="L36" s="19">
        <f>'1-Input'!$B$17</f>
        <v/>
      </c>
      <c r="M36" s="19">
        <f>'1-Input'!$B$17</f>
        <v/>
      </c>
      <c r="N36" s="19">
        <f>'1-Input'!$B$17</f>
        <v/>
      </c>
      <c r="O36" s="19">
        <f>'3-Rendimento'!$C$15</f>
        <v/>
      </c>
    </row>
    <row r="37">
      <c r="A37" s="8" t="inlineStr">
        <is>
          <t>Montante di Chiara al 2026</t>
        </is>
      </c>
      <c r="B37" s="14">
        <f>'4-Montanti'!$B$9</f>
        <v/>
      </c>
      <c r="C37" s="14">
        <f>'4-Montanti'!$B$9</f>
        <v/>
      </c>
      <c r="D37" s="14">
        <f>'4-Montanti'!$B$9</f>
        <v/>
      </c>
      <c r="E37" s="14">
        <f>'4-Montanti'!$B$9</f>
        <v/>
      </c>
      <c r="F37" s="14">
        <f>'4-Montanti'!$B$9</f>
        <v/>
      </c>
      <c r="G37" s="14">
        <f>'4-Montanti'!$B$9</f>
        <v/>
      </c>
      <c r="H37" s="14">
        <f>'P-Parametri'!$B$45</f>
        <v/>
      </c>
      <c r="I37" s="14">
        <f>'4-Montanti'!$B$9</f>
        <v/>
      </c>
      <c r="J37" s="14">
        <f>'4-Montanti'!$B$9</f>
        <v/>
      </c>
      <c r="K37" s="14">
        <f>'4-Montanti'!$B$9</f>
        <v/>
      </c>
      <c r="L37" s="14">
        <f>'4-Montanti'!$B$9</f>
        <v/>
      </c>
      <c r="M37" s="14">
        <f>'4-Montanti'!$B$9</f>
        <v/>
      </c>
      <c r="N37" s="14">
        <f>'4-Montanti'!$B$9</f>
        <v/>
      </c>
      <c r="O37" s="14">
        <f>'4-Montanti'!$B$9</f>
        <v/>
      </c>
    </row>
    <row r="38">
      <c r="A38" s="8" t="inlineStr">
        <is>
          <t>Montante del marito al 2026</t>
        </is>
      </c>
      <c r="B38" s="14">
        <f>'4-Montanti'!$C$9</f>
        <v/>
      </c>
      <c r="C38" s="14">
        <f>'4-Montanti'!$C$9</f>
        <v/>
      </c>
      <c r="D38" s="14">
        <f>'4-Montanti'!$C$9</f>
        <v/>
      </c>
      <c r="E38" s="14">
        <f>'4-Montanti'!$C$9</f>
        <v/>
      </c>
      <c r="F38" s="14">
        <f>'4-Montanti'!$C$9</f>
        <v/>
      </c>
      <c r="G38" s="14">
        <f>'4-Montanti'!$C$9</f>
        <v/>
      </c>
      <c r="H38" s="14">
        <f>'4-Montanti'!$C$9</f>
        <v/>
      </c>
      <c r="I38" s="14">
        <f>'4-Montanti'!$C$9</f>
        <v/>
      </c>
      <c r="J38" s="14">
        <f>'4-Montanti'!$C$9</f>
        <v/>
      </c>
      <c r="K38" s="14">
        <f>'4-Montanti'!$C$9</f>
        <v/>
      </c>
      <c r="L38" s="14">
        <f>'4-Montanti'!$C$9</f>
        <v/>
      </c>
      <c r="M38" s="14">
        <f>'4-Montanti'!$C$9</f>
        <v/>
      </c>
      <c r="N38" s="14">
        <f>'4-Montanti'!$C$9</f>
        <v/>
      </c>
      <c r="O38" s="14">
        <f>'4-Montanti'!$C$9</f>
        <v/>
      </c>
    </row>
    <row r="39">
      <c r="A39" s="8" t="inlineStr">
        <is>
          <t>Coefficiente di trasformazione — Chiara</t>
        </is>
      </c>
      <c r="B39" s="21">
        <f>'P-Parametri'!$B$21</f>
        <v/>
      </c>
      <c r="C39" s="21">
        <f>'1-Input'!$B$55</f>
        <v/>
      </c>
      <c r="D39" s="21">
        <f>'P-Parametri'!$B$21</f>
        <v/>
      </c>
      <c r="E39" s="21">
        <f>'P-Parametri'!$B$21</f>
        <v/>
      </c>
      <c r="F39" s="21">
        <f>'P-Parametri'!$B$21</f>
        <v/>
      </c>
      <c r="G39" s="21">
        <f>'P-Parametri'!$B$21</f>
        <v/>
      </c>
      <c r="H39" s="21">
        <f>'P-Parametri'!$B$21</f>
        <v/>
      </c>
      <c r="I39" s="21">
        <f>'P-Parametri'!$B$21</f>
        <v/>
      </c>
      <c r="J39" s="21">
        <f>'P-Parametri'!$B$21</f>
        <v/>
      </c>
      <c r="K39" s="21">
        <f>'P-Parametri'!$B$21</f>
        <v/>
      </c>
      <c r="L39" s="21">
        <f>'P-Parametri'!$B$21</f>
        <v/>
      </c>
      <c r="M39" s="21">
        <f>'P-Parametri'!$B$21</f>
        <v/>
      </c>
      <c r="N39" s="21">
        <f>'P-Parametri'!$B$21</f>
        <v/>
      </c>
      <c r="O39" s="21">
        <f>'P-Parametri'!$B$21</f>
        <v/>
      </c>
    </row>
    <row r="40">
      <c r="A40" s="8" t="inlineStr">
        <is>
          <t>Coefficiente di trasformazione — marito</t>
        </is>
      </c>
      <c r="B40" s="21">
        <f>'P-Parametri'!$B$21</f>
        <v/>
      </c>
      <c r="C40" s="21">
        <f>'1-Input'!$C$55</f>
        <v/>
      </c>
      <c r="D40" s="21">
        <f>'P-Parametri'!$B$21</f>
        <v/>
      </c>
      <c r="E40" s="21">
        <f>'P-Parametri'!$B$21</f>
        <v/>
      </c>
      <c r="F40" s="21">
        <f>'P-Parametri'!$B$21</f>
        <v/>
      </c>
      <c r="G40" s="21">
        <f>'P-Parametri'!$B$21</f>
        <v/>
      </c>
      <c r="H40" s="21">
        <f>'P-Parametri'!$B$21</f>
        <v/>
      </c>
      <c r="I40" s="21">
        <f>'P-Parametri'!$B$21</f>
        <v/>
      </c>
      <c r="J40" s="21">
        <f>'P-Parametri'!$B$21</f>
        <v/>
      </c>
      <c r="K40" s="21">
        <f>'P-Parametri'!$B$21</f>
        <v/>
      </c>
      <c r="L40" s="21">
        <f>'P-Parametri'!$B$21</f>
        <v/>
      </c>
      <c r="M40" s="21">
        <f>'P-Parametri'!$B$21</f>
        <v/>
      </c>
      <c r="N40" s="21">
        <f>'P-Parametri'!$B$21</f>
        <v/>
      </c>
      <c r="O40" s="21">
        <f>'P-Parametri'!$B$21</f>
        <v/>
      </c>
    </row>
    <row r="41">
      <c r="A41" s="8" t="inlineStr">
        <is>
          <t>Anno di decorrenza base — Chiara</t>
        </is>
      </c>
      <c r="B41" s="18">
        <f>'1-Input'!$B$51</f>
        <v/>
      </c>
      <c r="C41" s="18">
        <f>'1-Input'!$B$53</f>
        <v/>
      </c>
      <c r="D41" s="18">
        <f>'1-Input'!$B$51</f>
        <v/>
      </c>
      <c r="E41" s="18">
        <f>'1-Input'!$B$51</f>
        <v/>
      </c>
      <c r="F41" s="18">
        <f>'1-Input'!$B$51</f>
        <v/>
      </c>
      <c r="G41" s="18">
        <f>'1-Input'!$B$51</f>
        <v/>
      </c>
      <c r="H41" s="18">
        <f>'1-Input'!$B$51</f>
        <v/>
      </c>
      <c r="I41" s="18">
        <f>'1-Input'!$B$51</f>
        <v/>
      </c>
      <c r="J41" s="18">
        <f>'1-Input'!$B$51</f>
        <v/>
      </c>
      <c r="K41" s="18">
        <f>'1-Input'!$B$51</f>
        <v/>
      </c>
      <c r="L41" s="18">
        <f>'1-Input'!$B$51</f>
        <v/>
      </c>
      <c r="M41" s="18">
        <f>'1-Input'!$B$51</f>
        <v/>
      </c>
      <c r="N41" s="18">
        <f>'1-Input'!$B$51</f>
        <v/>
      </c>
      <c r="O41" s="18">
        <f>'1-Input'!$B$51</f>
        <v/>
      </c>
    </row>
    <row r="42">
      <c r="A42" s="8" t="inlineStr">
        <is>
          <t>Mese di decorrenza — Chiara</t>
        </is>
      </c>
      <c r="B42" s="18">
        <f>'1-Input'!$C$51</f>
        <v/>
      </c>
      <c r="C42" s="18">
        <f>'1-Input'!$C$53</f>
        <v/>
      </c>
      <c r="D42" s="18">
        <f>'1-Input'!$C$51</f>
        <v/>
      </c>
      <c r="E42" s="18">
        <f>'1-Input'!$C$51</f>
        <v/>
      </c>
      <c r="F42" s="18">
        <f>'1-Input'!$C$51</f>
        <v/>
      </c>
      <c r="G42" s="18">
        <f>'1-Input'!$C$51</f>
        <v/>
      </c>
      <c r="H42" s="18">
        <f>'1-Input'!$C$51</f>
        <v/>
      </c>
      <c r="I42" s="18">
        <f>'1-Input'!$C$51</f>
        <v/>
      </c>
      <c r="J42" s="18">
        <f>'1-Input'!$C$51</f>
        <v/>
      </c>
      <c r="K42" s="18">
        <f>'1-Input'!$C$51</f>
        <v/>
      </c>
      <c r="L42" s="18">
        <f>'1-Input'!$C$51</f>
        <v/>
      </c>
      <c r="M42" s="18">
        <f>'1-Input'!$C$51</f>
        <v/>
      </c>
      <c r="N42" s="18">
        <f>'1-Input'!$C$51</f>
        <v/>
      </c>
      <c r="O42" s="18">
        <f>'1-Input'!$C$51</f>
        <v/>
      </c>
    </row>
    <row r="43">
      <c r="A43" s="8" t="inlineStr">
        <is>
          <t>Anno di decorrenza base — marito</t>
        </is>
      </c>
      <c r="B43" s="18">
        <f>'1-Input'!$B$52</f>
        <v/>
      </c>
      <c r="C43" s="18">
        <f>'1-Input'!$B$54</f>
        <v/>
      </c>
      <c r="D43" s="18">
        <f>'1-Input'!$B$52</f>
        <v/>
      </c>
      <c r="E43" s="18">
        <f>'1-Input'!$B$52</f>
        <v/>
      </c>
      <c r="F43" s="18">
        <f>'1-Input'!$B$52</f>
        <v/>
      </c>
      <c r="G43" s="18">
        <f>'1-Input'!$B$52</f>
        <v/>
      </c>
      <c r="H43" s="18">
        <f>'1-Input'!$B$52</f>
        <v/>
      </c>
      <c r="I43" s="18">
        <f>'1-Input'!$B$52</f>
        <v/>
      </c>
      <c r="J43" s="18">
        <f>'1-Input'!$B$52</f>
        <v/>
      </c>
      <c r="K43" s="18">
        <f>'1-Input'!$B$52</f>
        <v/>
      </c>
      <c r="L43" s="18">
        <f>'1-Input'!$B$52</f>
        <v/>
      </c>
      <c r="M43" s="18">
        <f>'1-Input'!$B$52</f>
        <v/>
      </c>
      <c r="N43" s="18">
        <f>'1-Input'!$B$52</f>
        <v/>
      </c>
      <c r="O43" s="18">
        <f>'1-Input'!$B$52</f>
        <v/>
      </c>
    </row>
    <row r="44">
      <c r="A44" s="8" t="inlineStr">
        <is>
          <t>Mese di decorrenza — marito</t>
        </is>
      </c>
      <c r="B44" s="18">
        <f>'1-Input'!$C$52</f>
        <v/>
      </c>
      <c r="C44" s="18">
        <f>'1-Input'!$C$54</f>
        <v/>
      </c>
      <c r="D44" s="18">
        <f>'1-Input'!$C$52</f>
        <v/>
      </c>
      <c r="E44" s="18">
        <f>'1-Input'!$C$52</f>
        <v/>
      </c>
      <c r="F44" s="18">
        <f>'1-Input'!$C$52</f>
        <v/>
      </c>
      <c r="G44" s="18">
        <f>'1-Input'!$C$52</f>
        <v/>
      </c>
      <c r="H44" s="18">
        <f>'1-Input'!$C$52</f>
        <v/>
      </c>
      <c r="I44" s="18">
        <f>'1-Input'!$C$52</f>
        <v/>
      </c>
      <c r="J44" s="18">
        <f>'1-Input'!$C$52</f>
        <v/>
      </c>
      <c r="K44" s="18">
        <f>'1-Input'!$C$52</f>
        <v/>
      </c>
      <c r="L44" s="18">
        <f>'1-Input'!$C$52</f>
        <v/>
      </c>
      <c r="M44" s="18">
        <f>'1-Input'!$C$52</f>
        <v/>
      </c>
      <c r="N44" s="18">
        <f>'1-Input'!$C$52</f>
        <v/>
      </c>
      <c r="O44" s="18">
        <f>'1-Input'!$C$52</f>
        <v/>
      </c>
    </row>
    <row r="45">
      <c r="A45" s="8" t="inlineStr">
        <is>
          <t>Capitale sostitutivo (0 = calcolato dal motore)</t>
        </is>
      </c>
      <c r="B45" s="15">
        <f>0</f>
        <v/>
      </c>
      <c r="C45" s="15">
        <f>0</f>
        <v/>
      </c>
      <c r="D45" s="15">
        <f>0</f>
        <v/>
      </c>
      <c r="E45" s="15">
        <f>0</f>
        <v/>
      </c>
      <c r="F45" s="15">
        <f>0</f>
        <v/>
      </c>
      <c r="G45" s="15">
        <f>0</f>
        <v/>
      </c>
      <c r="H45" s="15">
        <f>0</f>
        <v/>
      </c>
      <c r="I45" s="15">
        <f>0</f>
        <v/>
      </c>
      <c r="J45" s="15">
        <f>0</f>
        <v/>
      </c>
      <c r="K45" s="15">
        <f>0</f>
        <v/>
      </c>
      <c r="L45" s="15">
        <f>0</f>
        <v/>
      </c>
      <c r="M45" s="15">
        <f>0</f>
        <v/>
      </c>
      <c r="N45" s="15">
        <f>0</f>
        <v/>
      </c>
      <c r="O45" s="15">
        <f>0</f>
        <v/>
      </c>
    </row>
    <row r="46">
      <c r="A46" s="8" t="inlineStr">
        <is>
          <t>Rendimento netto bollo — accumulo</t>
        </is>
      </c>
      <c r="B46" s="19">
        <f>B35-'1-Input'!$B$18</f>
        <v/>
      </c>
      <c r="C46" s="19">
        <f>C35-'1-Input'!$B$18</f>
        <v/>
      </c>
      <c r="D46" s="19">
        <f>D35-'1-Input'!$B$18</f>
        <v/>
      </c>
      <c r="E46" s="19">
        <f>E35-'1-Input'!$B$18</f>
        <v/>
      </c>
      <c r="F46" s="19">
        <f>F35-'1-Input'!$B$18</f>
        <v/>
      </c>
      <c r="G46" s="19">
        <f>G35-'1-Input'!$B$18</f>
        <v/>
      </c>
      <c r="H46" s="19">
        <f>H35-'1-Input'!$B$18</f>
        <v/>
      </c>
      <c r="I46" s="19">
        <f>I35-'1-Input'!$B$18</f>
        <v/>
      </c>
      <c r="J46" s="19">
        <f>J35-'1-Input'!$B$18</f>
        <v/>
      </c>
      <c r="K46" s="19">
        <f>K35-'1-Input'!$B$18</f>
        <v/>
      </c>
      <c r="L46" s="19">
        <f>L35-'1-Input'!$B$18</f>
        <v/>
      </c>
      <c r="M46" s="19">
        <f>M35-'1-Input'!$B$18</f>
        <v/>
      </c>
      <c r="N46" s="19">
        <f>N35-'1-Input'!$B$18</f>
        <v/>
      </c>
      <c r="O46" s="19">
        <f>O35-'1-Input'!$B$18</f>
        <v/>
      </c>
    </row>
    <row r="47">
      <c r="A47" s="8" t="inlineStr">
        <is>
          <t>Rendimento netto bollo — decumulo</t>
        </is>
      </c>
      <c r="B47" s="19">
        <f>B36-'1-Input'!$B$18</f>
        <v/>
      </c>
      <c r="C47" s="19">
        <f>C36-'1-Input'!$B$18</f>
        <v/>
      </c>
      <c r="D47" s="19">
        <f>D36-'1-Input'!$B$18</f>
        <v/>
      </c>
      <c r="E47" s="19">
        <f>E36-'1-Input'!$B$18</f>
        <v/>
      </c>
      <c r="F47" s="19">
        <f>F36-'1-Input'!$B$18</f>
        <v/>
      </c>
      <c r="G47" s="19">
        <f>G36-'1-Input'!$B$18</f>
        <v/>
      </c>
      <c r="H47" s="19">
        <f>H36-'1-Input'!$B$18</f>
        <v/>
      </c>
      <c r="I47" s="19">
        <f>I36-'1-Input'!$B$18</f>
        <v/>
      </c>
      <c r="J47" s="19">
        <f>J36-'1-Input'!$B$18</f>
        <v/>
      </c>
      <c r="K47" s="19">
        <f>K36-'1-Input'!$B$18</f>
        <v/>
      </c>
      <c r="L47" s="19">
        <f>L36-'1-Input'!$B$18</f>
        <v/>
      </c>
      <c r="M47" s="19">
        <f>M36-'1-Input'!$B$18</f>
        <v/>
      </c>
      <c r="N47" s="19">
        <f>N36-'1-Input'!$B$18</f>
        <v/>
      </c>
      <c r="O47" s="19">
        <f>O36-'1-Input'!$B$18</f>
        <v/>
      </c>
    </row>
    <row r="48">
      <c r="A48" s="8" t="inlineStr">
        <is>
          <t>Anno di valutazione</t>
        </is>
      </c>
      <c r="B48" s="18">
        <f>'1-Input'!$B$19+B31</f>
        <v/>
      </c>
      <c r="C48" s="18">
        <f>'1-Input'!$B$19+C31</f>
        <v/>
      </c>
      <c r="D48" s="18">
        <f>'1-Input'!$B$19+D31</f>
        <v/>
      </c>
      <c r="E48" s="18">
        <f>'1-Input'!$B$19+E31</f>
        <v/>
      </c>
      <c r="F48" s="18">
        <f>'1-Input'!$B$19+F31</f>
        <v/>
      </c>
      <c r="G48" s="18">
        <f>'1-Input'!$B$19+G31</f>
        <v/>
      </c>
      <c r="H48" s="18">
        <f>'1-Input'!$B$19+H31</f>
        <v/>
      </c>
      <c r="I48" s="18">
        <f>'1-Input'!$B$19+I31</f>
        <v/>
      </c>
      <c r="J48" s="18">
        <f>'1-Input'!$B$19+J31</f>
        <v/>
      </c>
      <c r="K48" s="18">
        <f>'1-Input'!$B$19+K31</f>
        <v/>
      </c>
      <c r="L48" s="18">
        <f>'1-Input'!$B$19+L31</f>
        <v/>
      </c>
      <c r="M48" s="18">
        <f>'1-Input'!$B$19+M31</f>
        <v/>
      </c>
      <c r="N48" s="18">
        <f>'1-Input'!$B$19+N31</f>
        <v/>
      </c>
      <c r="O48" s="18">
        <f>'1-Input'!$B$19+O31</f>
        <v/>
      </c>
    </row>
    <row r="49">
      <c r="A49" s="8" t="inlineStr">
        <is>
          <t>Anni di contribuzione dopo il 2026</t>
        </is>
      </c>
      <c r="B49" s="18">
        <f>'1-Input'!$B$19-'1-Input'!$C$16+B31</f>
        <v/>
      </c>
      <c r="C49" s="18">
        <f>'1-Input'!$B$19-'1-Input'!$C$16+C31</f>
        <v/>
      </c>
      <c r="D49" s="18">
        <f>'1-Input'!$B$19-'1-Input'!$C$16+D31</f>
        <v/>
      </c>
      <c r="E49" s="18">
        <f>'1-Input'!$B$19-'1-Input'!$C$16+E31</f>
        <v/>
      </c>
      <c r="F49" s="18">
        <f>'1-Input'!$B$19-'1-Input'!$C$16+F31</f>
        <v/>
      </c>
      <c r="G49" s="18">
        <f>'1-Input'!$B$19-'1-Input'!$C$16+G31</f>
        <v/>
      </c>
      <c r="H49" s="18">
        <f>'1-Input'!$B$19-'1-Input'!$C$16+H31</f>
        <v/>
      </c>
      <c r="I49" s="18">
        <f>'1-Input'!$B$19-'1-Input'!$C$16+I31</f>
        <v/>
      </c>
      <c r="J49" s="18">
        <f>'1-Input'!$B$19-'1-Input'!$C$16+J31</f>
        <v/>
      </c>
      <c r="K49" s="18">
        <f>'1-Input'!$B$19-'1-Input'!$C$16+K31</f>
        <v/>
      </c>
      <c r="L49" s="18">
        <f>'1-Input'!$B$19-'1-Input'!$C$16+L31</f>
        <v/>
      </c>
      <c r="M49" s="18">
        <f>'1-Input'!$B$19-'1-Input'!$C$16+M31</f>
        <v/>
      </c>
      <c r="N49" s="18">
        <f>'1-Input'!$B$19-'1-Input'!$C$16+N31</f>
        <v/>
      </c>
      <c r="O49" s="18">
        <f>'1-Input'!$B$19-'1-Input'!$C$16+O31</f>
        <v/>
      </c>
    </row>
    <row r="50">
      <c r="A50" s="8" t="inlineStr">
        <is>
          <t>Anno di decorrenza effettivo — Chiara</t>
        </is>
      </c>
      <c r="B50" s="18">
        <f>B41+B32</f>
        <v/>
      </c>
      <c r="C50" s="18">
        <f>C41+C32</f>
        <v/>
      </c>
      <c r="D50" s="18">
        <f>D41+D32</f>
        <v/>
      </c>
      <c r="E50" s="18">
        <f>E41+E32</f>
        <v/>
      </c>
      <c r="F50" s="18">
        <f>F41+F32</f>
        <v/>
      </c>
      <c r="G50" s="18">
        <f>G41+G32</f>
        <v/>
      </c>
      <c r="H50" s="18">
        <f>H41+H32</f>
        <v/>
      </c>
      <c r="I50" s="18">
        <f>I41+I32</f>
        <v/>
      </c>
      <c r="J50" s="18">
        <f>J41+J32</f>
        <v/>
      </c>
      <c r="K50" s="18">
        <f>K41+K32</f>
        <v/>
      </c>
      <c r="L50" s="18">
        <f>L41+L32</f>
        <v/>
      </c>
      <c r="M50" s="18">
        <f>M41+M32</f>
        <v/>
      </c>
      <c r="N50" s="18">
        <f>N41+N32</f>
        <v/>
      </c>
      <c r="O50" s="18">
        <f>O41+O32</f>
        <v/>
      </c>
    </row>
    <row r="51">
      <c r="A51" s="8" t="inlineStr">
        <is>
          <t>Anno di decorrenza effettivo — marito</t>
        </is>
      </c>
      <c r="B51" s="18">
        <f>B43+B32</f>
        <v/>
      </c>
      <c r="C51" s="18">
        <f>C43+C32</f>
        <v/>
      </c>
      <c r="D51" s="18">
        <f>D43+D32</f>
        <v/>
      </c>
      <c r="E51" s="18">
        <f>E43+E32</f>
        <v/>
      </c>
      <c r="F51" s="18">
        <f>F43+F32</f>
        <v/>
      </c>
      <c r="G51" s="18">
        <f>G43+G32</f>
        <v/>
      </c>
      <c r="H51" s="18">
        <f>H43+H32</f>
        <v/>
      </c>
      <c r="I51" s="18">
        <f>I43+I32</f>
        <v/>
      </c>
      <c r="J51" s="18">
        <f>J43+J32</f>
        <v/>
      </c>
      <c r="K51" s="18">
        <f>K43+K32</f>
        <v/>
      </c>
      <c r="L51" s="18">
        <f>L43+L32</f>
        <v/>
      </c>
      <c r="M51" s="18">
        <f>M43+M32</f>
        <v/>
      </c>
      <c r="N51" s="18">
        <f>N43+N32</f>
        <v/>
      </c>
      <c r="O51" s="18">
        <f>O43+O32</f>
        <v/>
      </c>
    </row>
    <row r="52">
      <c r="A52" s="8" t="inlineStr">
        <is>
          <t>Anni di sola rivalutazione — Chiara</t>
        </is>
      </c>
      <c r="B52" s="28">
        <f>B50-('1-Input'!$C$16+1)+(B42-1)/12-B49</f>
        <v/>
      </c>
      <c r="C52" s="28">
        <f>C50-('1-Input'!$C$16+1)+(C42-1)/12-C49</f>
        <v/>
      </c>
      <c r="D52" s="28">
        <f>D50-('1-Input'!$C$16+1)+(D42-1)/12-D49</f>
        <v/>
      </c>
      <c r="E52" s="28">
        <f>E50-('1-Input'!$C$16+1)+(E42-1)/12-E49</f>
        <v/>
      </c>
      <c r="F52" s="28">
        <f>F50-('1-Input'!$C$16+1)+(F42-1)/12-F49</f>
        <v/>
      </c>
      <c r="G52" s="28">
        <f>G50-('1-Input'!$C$16+1)+(G42-1)/12-G49</f>
        <v/>
      </c>
      <c r="H52" s="28">
        <f>H50-('1-Input'!$C$16+1)+(H42-1)/12-H49</f>
        <v/>
      </c>
      <c r="I52" s="28">
        <f>I50-('1-Input'!$C$16+1)+(I42-1)/12-I49</f>
        <v/>
      </c>
      <c r="J52" s="28">
        <f>J50-('1-Input'!$C$16+1)+(J42-1)/12-J49</f>
        <v/>
      </c>
      <c r="K52" s="28">
        <f>K50-('1-Input'!$C$16+1)+(K42-1)/12-K49</f>
        <v/>
      </c>
      <c r="L52" s="28">
        <f>L50-('1-Input'!$C$16+1)+(L42-1)/12-L49</f>
        <v/>
      </c>
      <c r="M52" s="28">
        <f>M50-('1-Input'!$C$16+1)+(M42-1)/12-M49</f>
        <v/>
      </c>
      <c r="N52" s="28">
        <f>N50-('1-Input'!$C$16+1)+(N42-1)/12-N49</f>
        <v/>
      </c>
      <c r="O52" s="28">
        <f>O50-('1-Input'!$C$16+1)+(O42-1)/12-O49</f>
        <v/>
      </c>
    </row>
    <row r="53">
      <c r="A53" s="8" t="inlineStr">
        <is>
          <t>Anni di sola rivalutazione — marito</t>
        </is>
      </c>
      <c r="B53" s="28">
        <f>B51-('1-Input'!$C$16+1)+(B44-1)/12-B49</f>
        <v/>
      </c>
      <c r="C53" s="28">
        <f>C51-('1-Input'!$C$16+1)+(C44-1)/12-C49</f>
        <v/>
      </c>
      <c r="D53" s="28">
        <f>D51-('1-Input'!$C$16+1)+(D44-1)/12-D49</f>
        <v/>
      </c>
      <c r="E53" s="28">
        <f>E51-('1-Input'!$C$16+1)+(E44-1)/12-E49</f>
        <v/>
      </c>
      <c r="F53" s="28">
        <f>F51-('1-Input'!$C$16+1)+(F44-1)/12-F49</f>
        <v/>
      </c>
      <c r="G53" s="28">
        <f>G51-('1-Input'!$C$16+1)+(G44-1)/12-G49</f>
        <v/>
      </c>
      <c r="H53" s="28">
        <f>H51-('1-Input'!$C$16+1)+(H44-1)/12-H49</f>
        <v/>
      </c>
      <c r="I53" s="28">
        <f>I51-('1-Input'!$C$16+1)+(I44-1)/12-I49</f>
        <v/>
      </c>
      <c r="J53" s="28">
        <f>J51-('1-Input'!$C$16+1)+(J44-1)/12-J49</f>
        <v/>
      </c>
      <c r="K53" s="28">
        <f>K51-('1-Input'!$C$16+1)+(K44-1)/12-K49</f>
        <v/>
      </c>
      <c r="L53" s="28">
        <f>L51-('1-Input'!$C$16+1)+(L44-1)/12-L49</f>
        <v/>
      </c>
      <c r="M53" s="28">
        <f>M51-('1-Input'!$C$16+1)+(M44-1)/12-M49</f>
        <v/>
      </c>
      <c r="N53" s="28">
        <f>N51-('1-Input'!$C$16+1)+(N44-1)/12-N49</f>
        <v/>
      </c>
      <c r="O53" s="28">
        <f>O51-('1-Input'!$C$16+1)+(O44-1)/12-O49</f>
        <v/>
      </c>
    </row>
    <row r="54">
      <c r="A54" s="8" t="inlineStr">
        <is>
          <t>Frazione della prima annualita' — Chiara</t>
        </is>
      </c>
      <c r="B54" s="20">
        <f>IF(B42=1,1,'P-Parametri'!$B$59)</f>
        <v/>
      </c>
      <c r="C54" s="20">
        <f>IF(C42=1,1,'P-Parametri'!$B$59)</f>
        <v/>
      </c>
      <c r="D54" s="20">
        <f>IF(D42=1,1,'P-Parametri'!$B$59)</f>
        <v/>
      </c>
      <c r="E54" s="20">
        <f>IF(E42=1,1,'P-Parametri'!$B$59)</f>
        <v/>
      </c>
      <c r="F54" s="20">
        <f>IF(F42=1,1,'P-Parametri'!$B$59)</f>
        <v/>
      </c>
      <c r="G54" s="20">
        <f>IF(G42=1,1,'P-Parametri'!$B$59)</f>
        <v/>
      </c>
      <c r="H54" s="20">
        <f>IF(H42=1,1,'P-Parametri'!$B$59)</f>
        <v/>
      </c>
      <c r="I54" s="20">
        <f>IF(I42=1,1,'P-Parametri'!$B$59)</f>
        <v/>
      </c>
      <c r="J54" s="20">
        <f>IF(J42=1,1,'P-Parametri'!$B$59)</f>
        <v/>
      </c>
      <c r="K54" s="20">
        <f>IF(K42=1,1,'P-Parametri'!$B$59)</f>
        <v/>
      </c>
      <c r="L54" s="20">
        <f>IF(L42=1,1,'P-Parametri'!$B$59)</f>
        <v/>
      </c>
      <c r="M54" s="20">
        <f>IF(M42=1,1,'P-Parametri'!$B$59)</f>
        <v/>
      </c>
      <c r="N54" s="20">
        <f>IF(N42=1,1,'P-Parametri'!$B$59)</f>
        <v/>
      </c>
      <c r="O54" s="20">
        <f>IF(O42=1,1,'P-Parametri'!$B$59)</f>
        <v/>
      </c>
    </row>
    <row r="55">
      <c r="A55" s="8" t="inlineStr">
        <is>
          <t>Frazione della prima annualita' — marito</t>
        </is>
      </c>
      <c r="B55" s="20">
        <f>IF(B44=1,1,'P-Parametri'!$B$59)</f>
        <v/>
      </c>
      <c r="C55" s="20">
        <f>IF(C44=1,1,'P-Parametri'!$B$59)</f>
        <v/>
      </c>
      <c r="D55" s="20">
        <f>IF(D44=1,1,'P-Parametri'!$B$59)</f>
        <v/>
      </c>
      <c r="E55" s="20">
        <f>IF(E44=1,1,'P-Parametri'!$B$59)</f>
        <v/>
      </c>
      <c r="F55" s="20">
        <f>IF(F44=1,1,'P-Parametri'!$B$59)</f>
        <v/>
      </c>
      <c r="G55" s="20">
        <f>IF(G44=1,1,'P-Parametri'!$B$59)</f>
        <v/>
      </c>
      <c r="H55" s="20">
        <f>IF(H44=1,1,'P-Parametri'!$B$59)</f>
        <v/>
      </c>
      <c r="I55" s="20">
        <f>IF(I44=1,1,'P-Parametri'!$B$59)</f>
        <v/>
      </c>
      <c r="J55" s="20">
        <f>IF(J44=1,1,'P-Parametri'!$B$59)</f>
        <v/>
      </c>
      <c r="K55" s="20">
        <f>IF(K44=1,1,'P-Parametri'!$B$59)</f>
        <v/>
      </c>
      <c r="L55" s="20">
        <f>IF(L44=1,1,'P-Parametri'!$B$59)</f>
        <v/>
      </c>
      <c r="M55" s="20">
        <f>IF(M44=1,1,'P-Parametri'!$B$59)</f>
        <v/>
      </c>
      <c r="N55" s="20">
        <f>IF(N44=1,1,'P-Parametri'!$B$59)</f>
        <v/>
      </c>
      <c r="O55" s="20">
        <f>IF(O44=1,1,'P-Parametri'!$B$59)</f>
        <v/>
      </c>
    </row>
    <row r="56">
      <c r="A56" s="8" t="inlineStr">
        <is>
          <t>Montante alla decorrenza — Chiara</t>
        </is>
      </c>
      <c r="B56" s="14">
        <f>(B37*(1+'1-Input'!$B$21)^B49+'1-Input'!$B$48*(IF('1-Input'!$B$21=0,B49,((1+'1-Input'!$B$21)^B49-1)/'1-Input'!$B$21)))*(1+'1-Input'!$B$21)^B52</f>
        <v/>
      </c>
      <c r="C56" s="14">
        <f>(C37*(1+'1-Input'!$B$21)^C49+'1-Input'!$B$48*(IF('1-Input'!$B$21=0,C49,((1+'1-Input'!$B$21)^C49-1)/'1-Input'!$B$21)))*(1+'1-Input'!$B$21)^C52</f>
        <v/>
      </c>
      <c r="D56" s="14">
        <f>(D37*(1+'1-Input'!$B$21)^D49+'1-Input'!$B$48*(IF('1-Input'!$B$21=0,D49,((1+'1-Input'!$B$21)^D49-1)/'1-Input'!$B$21)))*(1+'1-Input'!$B$21)^D52</f>
        <v/>
      </c>
      <c r="E56" s="14">
        <f>(E37*(1+'1-Input'!$B$21)^E49+'1-Input'!$B$48*(IF('1-Input'!$B$21=0,E49,((1+'1-Input'!$B$21)^E49-1)/'1-Input'!$B$21)))*(1+'1-Input'!$B$21)^E52</f>
        <v/>
      </c>
      <c r="F56" s="14">
        <f>(F37*(1+'1-Input'!$B$21)^F49+'1-Input'!$B$48*(IF('1-Input'!$B$21=0,F49,((1+'1-Input'!$B$21)^F49-1)/'1-Input'!$B$21)))*(1+'1-Input'!$B$21)^F52</f>
        <v/>
      </c>
      <c r="G56" s="14">
        <f>(G37*(1+'1-Input'!$B$21)^G49+'1-Input'!$B$48*(IF('1-Input'!$B$21=0,G49,((1+'1-Input'!$B$21)^G49-1)/'1-Input'!$B$21)))*(1+'1-Input'!$B$21)^G52</f>
        <v/>
      </c>
      <c r="H56" s="14">
        <f>(H37*(1+'1-Input'!$B$21)^H49+'1-Input'!$B$48*(IF('1-Input'!$B$21=0,H49,((1+'1-Input'!$B$21)^H49-1)/'1-Input'!$B$21)))*(1+'1-Input'!$B$21)^H52</f>
        <v/>
      </c>
      <c r="I56" s="14">
        <f>(I37*(1+'1-Input'!$B$21)^I49+'1-Input'!$B$48*(IF('1-Input'!$B$21=0,I49,((1+'1-Input'!$B$21)^I49-1)/'1-Input'!$B$21)))*(1+'1-Input'!$B$21)^I52</f>
        <v/>
      </c>
      <c r="J56" s="14">
        <f>(J37*(1+'1-Input'!$B$21)^J49+'1-Input'!$B$48*(IF('1-Input'!$B$21=0,J49,((1+'1-Input'!$B$21)^J49-1)/'1-Input'!$B$21)))*(1+'1-Input'!$B$21)^J52</f>
        <v/>
      </c>
      <c r="K56" s="14">
        <f>(K37*(1+'1-Input'!$B$21)^K49+'1-Input'!$B$48*(IF('1-Input'!$B$21=0,K49,((1+'1-Input'!$B$21)^K49-1)/'1-Input'!$B$21)))*(1+'1-Input'!$B$21)^K52</f>
        <v/>
      </c>
      <c r="L56" s="14">
        <f>(L37*(1+'1-Input'!$B$21)^L49+'1-Input'!$B$48*(IF('1-Input'!$B$21=0,L49,((1+'1-Input'!$B$21)^L49-1)/'1-Input'!$B$21)))*(1+'1-Input'!$B$21)^L52</f>
        <v/>
      </c>
      <c r="M56" s="14">
        <f>(M37*(1+'1-Input'!$B$21)^M49+'1-Input'!$B$48*(IF('1-Input'!$B$21=0,M49,((1+'1-Input'!$B$21)^M49-1)/'1-Input'!$B$21)))*(1+'1-Input'!$B$21)^M52</f>
        <v/>
      </c>
      <c r="N56" s="14">
        <f>(N37*(1+'1-Input'!$B$21)^N49+'1-Input'!$B$48*(IF('1-Input'!$B$21=0,N49,((1+'1-Input'!$B$21)^N49-1)/'1-Input'!$B$21)))*(1+'1-Input'!$B$21)^N52</f>
        <v/>
      </c>
      <c r="O56" s="14">
        <f>(O37*(1+'1-Input'!$B$21)^O49+'1-Input'!$B$48*(IF('1-Input'!$B$21=0,O49,((1+'1-Input'!$B$21)^O49-1)/'1-Input'!$B$21)))*(1+'1-Input'!$B$21)^O52</f>
        <v/>
      </c>
    </row>
    <row r="57">
      <c r="A57" s="8" t="inlineStr">
        <is>
          <t>Montante alla decorrenza — marito</t>
        </is>
      </c>
      <c r="B57" s="14">
        <f>(B38*(1+'1-Input'!$B$21)^B49+'1-Input'!$C$48*(IF('1-Input'!$B$21=0,B49,((1+'1-Input'!$B$21)^B49-1)/'1-Input'!$B$21)))*(1+'1-Input'!$B$21)^B53</f>
        <v/>
      </c>
      <c r="C57" s="14">
        <f>(C38*(1+'1-Input'!$B$21)^C49+'1-Input'!$C$48*(IF('1-Input'!$B$21=0,C49,((1+'1-Input'!$B$21)^C49-1)/'1-Input'!$B$21)))*(1+'1-Input'!$B$21)^C53</f>
        <v/>
      </c>
      <c r="D57" s="14">
        <f>(D38*(1+'1-Input'!$B$21)^D49+'1-Input'!$C$48*(IF('1-Input'!$B$21=0,D49,((1+'1-Input'!$B$21)^D49-1)/'1-Input'!$B$21)))*(1+'1-Input'!$B$21)^D53</f>
        <v/>
      </c>
      <c r="E57" s="14">
        <f>(E38*(1+'1-Input'!$B$21)^E49+'1-Input'!$C$48*(IF('1-Input'!$B$21=0,E49,((1+'1-Input'!$B$21)^E49-1)/'1-Input'!$B$21)))*(1+'1-Input'!$B$21)^E53</f>
        <v/>
      </c>
      <c r="F57" s="14">
        <f>(F38*(1+'1-Input'!$B$21)^F49+'1-Input'!$C$48*(IF('1-Input'!$B$21=0,F49,((1+'1-Input'!$B$21)^F49-1)/'1-Input'!$B$21)))*(1+'1-Input'!$B$21)^F53</f>
        <v/>
      </c>
      <c r="G57" s="14">
        <f>(G38*(1+'1-Input'!$B$21)^G49+'1-Input'!$C$48*(IF('1-Input'!$B$21=0,G49,((1+'1-Input'!$B$21)^G49-1)/'1-Input'!$B$21)))*(1+'1-Input'!$B$21)^G53</f>
        <v/>
      </c>
      <c r="H57" s="14">
        <f>(H38*(1+'1-Input'!$B$21)^H49+'1-Input'!$C$48*(IF('1-Input'!$B$21=0,H49,((1+'1-Input'!$B$21)^H49-1)/'1-Input'!$B$21)))*(1+'1-Input'!$B$21)^H53</f>
        <v/>
      </c>
      <c r="I57" s="14">
        <f>(I38*(1+'1-Input'!$B$21)^I49+'1-Input'!$C$48*(IF('1-Input'!$B$21=0,I49,((1+'1-Input'!$B$21)^I49-1)/'1-Input'!$B$21)))*(1+'1-Input'!$B$21)^I53</f>
        <v/>
      </c>
      <c r="J57" s="14">
        <f>(J38*(1+'1-Input'!$B$21)^J49+'1-Input'!$C$48*(IF('1-Input'!$B$21=0,J49,((1+'1-Input'!$B$21)^J49-1)/'1-Input'!$B$21)))*(1+'1-Input'!$B$21)^J53</f>
        <v/>
      </c>
      <c r="K57" s="14">
        <f>(K38*(1+'1-Input'!$B$21)^K49+'1-Input'!$C$48*(IF('1-Input'!$B$21=0,K49,((1+'1-Input'!$B$21)^K49-1)/'1-Input'!$B$21)))*(1+'1-Input'!$B$21)^K53</f>
        <v/>
      </c>
      <c r="L57" s="14">
        <f>(L38*(1+'1-Input'!$B$21)^L49+'1-Input'!$C$48*(IF('1-Input'!$B$21=0,L49,((1+'1-Input'!$B$21)^L49-1)/'1-Input'!$B$21)))*(1+'1-Input'!$B$21)^L53</f>
        <v/>
      </c>
      <c r="M57" s="14">
        <f>(M38*(1+'1-Input'!$B$21)^M49+'1-Input'!$C$48*(IF('1-Input'!$B$21=0,M49,((1+'1-Input'!$B$21)^M49-1)/'1-Input'!$B$21)))*(1+'1-Input'!$B$21)^M53</f>
        <v/>
      </c>
      <c r="N57" s="14">
        <f>(N38*(1+'1-Input'!$B$21)^N49+'1-Input'!$C$48*(IF('1-Input'!$B$21=0,N49,((1+'1-Input'!$B$21)^N49-1)/'1-Input'!$B$21)))*(1+'1-Input'!$B$21)^N53</f>
        <v/>
      </c>
      <c r="O57" s="14">
        <f>(O38*(1+'1-Input'!$B$21)^O49+'1-Input'!$C$48*(IF('1-Input'!$B$21=0,O49,((1+'1-Input'!$B$21)^O49-1)/'1-Input'!$B$21)))*(1+'1-Input'!$B$21)^O53</f>
        <v/>
      </c>
    </row>
    <row r="58">
      <c r="A58" s="8" t="inlineStr">
        <is>
          <t>Pensione lorda — Chiara</t>
        </is>
      </c>
      <c r="B58" s="14">
        <f>B56*B39*B33</f>
        <v/>
      </c>
      <c r="C58" s="14">
        <f>C56*C39*C33</f>
        <v/>
      </c>
      <c r="D58" s="14">
        <f>D56*D39*D33</f>
        <v/>
      </c>
      <c r="E58" s="14">
        <f>E56*E39*E33</f>
        <v/>
      </c>
      <c r="F58" s="14">
        <f>F56*F39*F33</f>
        <v/>
      </c>
      <c r="G58" s="14">
        <f>G56*G39*G33</f>
        <v/>
      </c>
      <c r="H58" s="14">
        <f>H56*H39*H33</f>
        <v/>
      </c>
      <c r="I58" s="14">
        <f>I56*I39*I33</f>
        <v/>
      </c>
      <c r="J58" s="14">
        <f>J56*J39*J33</f>
        <v/>
      </c>
      <c r="K58" s="14">
        <f>K56*K39*K33</f>
        <v/>
      </c>
      <c r="L58" s="14">
        <f>L56*L39*L33</f>
        <v/>
      </c>
      <c r="M58" s="14">
        <f>M56*M39*M33</f>
        <v/>
      </c>
      <c r="N58" s="14">
        <f>N56*N39*N33</f>
        <v/>
      </c>
      <c r="O58" s="14">
        <f>O56*O39*O33</f>
        <v/>
      </c>
    </row>
    <row r="59">
      <c r="A59" s="8" t="inlineStr">
        <is>
          <t>Pensione lorda — marito</t>
        </is>
      </c>
      <c r="B59" s="14">
        <f>B57*B40*B33</f>
        <v/>
      </c>
      <c r="C59" s="14">
        <f>C57*C40*C33</f>
        <v/>
      </c>
      <c r="D59" s="14">
        <f>D57*D40*D33</f>
        <v/>
      </c>
      <c r="E59" s="14">
        <f>E57*E40*E33</f>
        <v/>
      </c>
      <c r="F59" s="14">
        <f>F57*F40*F33</f>
        <v/>
      </c>
      <c r="G59" s="14">
        <f>G57*G40*G33</f>
        <v/>
      </c>
      <c r="H59" s="14">
        <f>H57*H40*H33</f>
        <v/>
      </c>
      <c r="I59" s="14">
        <f>I57*I40*I33</f>
        <v/>
      </c>
      <c r="J59" s="14">
        <f>J57*J40*J33</f>
        <v/>
      </c>
      <c r="K59" s="14">
        <f>K57*K40*K33</f>
        <v/>
      </c>
      <c r="L59" s="14">
        <f>L57*L40*L33</f>
        <v/>
      </c>
      <c r="M59" s="14">
        <f>M57*M40*M33</f>
        <v/>
      </c>
      <c r="N59" s="14">
        <f>N57*N40*N33</f>
        <v/>
      </c>
      <c r="O59" s="14">
        <f>O57*O40*O33</f>
        <v/>
      </c>
    </row>
    <row r="60">
      <c r="A60" s="8" t="inlineStr">
        <is>
          <t>IRPEF lorda — Chiara</t>
        </is>
      </c>
      <c r="B60" s="14">
        <f>IF(B58&lt;='P-Parametri'!$B$6,'P-Parametri'!$C$6*B58,IF(B58&lt;='P-Parametri'!$B$7,'P-Parametri'!$B$9+'P-Parametri'!$C$7*(B58-'P-Parametri'!$B$6),'P-Parametri'!$B$10+'P-Parametri'!$C$8*(B58-'P-Parametri'!$B$7)))</f>
        <v/>
      </c>
      <c r="C60" s="14">
        <f>IF(C58&lt;='P-Parametri'!$B$6,'P-Parametri'!$C$6*C58,IF(C58&lt;='P-Parametri'!$B$7,'P-Parametri'!$B$9+'P-Parametri'!$C$7*(C58-'P-Parametri'!$B$6),'P-Parametri'!$B$10+'P-Parametri'!$C$8*(C58-'P-Parametri'!$B$7)))</f>
        <v/>
      </c>
      <c r="D60" s="14">
        <f>IF(D58&lt;='P-Parametri'!$B$6,'P-Parametri'!$C$6*D58,IF(D58&lt;='P-Parametri'!$B$7,'P-Parametri'!$B$9+'P-Parametri'!$C$7*(D58-'P-Parametri'!$B$6),'P-Parametri'!$B$10+'P-Parametri'!$C$8*(D58-'P-Parametri'!$B$7)))</f>
        <v/>
      </c>
      <c r="E60" s="14">
        <f>IF(E58&lt;='P-Parametri'!$B$6,'P-Parametri'!$C$6*E58,IF(E58&lt;='P-Parametri'!$B$7,'P-Parametri'!$B$9+'P-Parametri'!$C$7*(E58-'P-Parametri'!$B$6),'P-Parametri'!$B$10+'P-Parametri'!$C$8*(E58-'P-Parametri'!$B$7)))</f>
        <v/>
      </c>
      <c r="F60" s="14">
        <f>IF(F58&lt;='P-Parametri'!$B$6,'P-Parametri'!$C$6*F58,IF(F58&lt;='P-Parametri'!$B$7,'P-Parametri'!$B$9+'P-Parametri'!$C$7*(F58-'P-Parametri'!$B$6),'P-Parametri'!$B$10+'P-Parametri'!$C$8*(F58-'P-Parametri'!$B$7)))</f>
        <v/>
      </c>
      <c r="G60" s="14">
        <f>IF(G58&lt;='P-Parametri'!$B$6,'P-Parametri'!$C$6*G58,IF(G58&lt;='P-Parametri'!$B$7,'P-Parametri'!$B$9+'P-Parametri'!$C$7*(G58-'P-Parametri'!$B$6),'P-Parametri'!$B$10+'P-Parametri'!$C$8*(G58-'P-Parametri'!$B$7)))</f>
        <v/>
      </c>
      <c r="H60" s="14">
        <f>IF(H58&lt;='P-Parametri'!$B$6,'P-Parametri'!$C$6*H58,IF(H58&lt;='P-Parametri'!$B$7,'P-Parametri'!$B$9+'P-Parametri'!$C$7*(H58-'P-Parametri'!$B$6),'P-Parametri'!$B$10+'P-Parametri'!$C$8*(H58-'P-Parametri'!$B$7)))</f>
        <v/>
      </c>
      <c r="I60" s="14">
        <f>IF(I58&lt;='P-Parametri'!$B$6,'P-Parametri'!$C$6*I58,IF(I58&lt;='P-Parametri'!$B$7,'P-Parametri'!$B$9+'P-Parametri'!$C$7*(I58-'P-Parametri'!$B$6),'P-Parametri'!$B$10+'P-Parametri'!$C$8*(I58-'P-Parametri'!$B$7)))</f>
        <v/>
      </c>
      <c r="J60" s="14">
        <f>IF(J58&lt;='P-Parametri'!$B$6,'P-Parametri'!$C$6*J58,IF(J58&lt;='P-Parametri'!$B$7,'P-Parametri'!$B$9+'P-Parametri'!$C$7*(J58-'P-Parametri'!$B$6),'P-Parametri'!$B$10+'P-Parametri'!$C$8*(J58-'P-Parametri'!$B$7)))</f>
        <v/>
      </c>
      <c r="K60" s="14">
        <f>IF(K58&lt;='P-Parametri'!$B$6,'P-Parametri'!$C$6*K58,IF(K58&lt;='P-Parametri'!$B$7,'P-Parametri'!$B$9+'P-Parametri'!$C$7*(K58-'P-Parametri'!$B$6),'P-Parametri'!$B$10+'P-Parametri'!$C$8*(K58-'P-Parametri'!$B$7)))</f>
        <v/>
      </c>
      <c r="L60" s="14">
        <f>IF(L58&lt;='P-Parametri'!$B$6,'P-Parametri'!$C$6*L58,IF(L58&lt;='P-Parametri'!$B$7,'P-Parametri'!$B$9+'P-Parametri'!$C$7*(L58-'P-Parametri'!$B$6),'P-Parametri'!$B$10+'P-Parametri'!$C$8*(L58-'P-Parametri'!$B$7)))</f>
        <v/>
      </c>
      <c r="M60" s="14">
        <f>IF(M58&lt;='P-Parametri'!$B$6,'P-Parametri'!$C$6*M58,IF(M58&lt;='P-Parametri'!$B$7,'P-Parametri'!$B$9+'P-Parametri'!$C$7*(M58-'P-Parametri'!$B$6),'P-Parametri'!$B$10+'P-Parametri'!$C$8*(M58-'P-Parametri'!$B$7)))</f>
        <v/>
      </c>
      <c r="N60" s="14">
        <f>IF(N58&lt;='P-Parametri'!$B$6,'P-Parametri'!$C$6*N58,IF(N58&lt;='P-Parametri'!$B$7,'P-Parametri'!$B$9+'P-Parametri'!$C$7*(N58-'P-Parametri'!$B$6),'P-Parametri'!$B$10+'P-Parametri'!$C$8*(N58-'P-Parametri'!$B$7)))</f>
        <v/>
      </c>
      <c r="O60" s="14">
        <f>IF(O58&lt;='P-Parametri'!$B$6,'P-Parametri'!$C$6*O58,IF(O58&lt;='P-Parametri'!$B$7,'P-Parametri'!$B$9+'P-Parametri'!$C$7*(O58-'P-Parametri'!$B$6),'P-Parametri'!$B$10+'P-Parametri'!$C$8*(O58-'P-Parametri'!$B$7)))</f>
        <v/>
      </c>
    </row>
    <row r="61">
      <c r="A61" s="8" t="inlineStr">
        <is>
          <t>Detrazione da pensione — Chiara</t>
        </is>
      </c>
      <c r="B61" s="14">
        <f>IF(B58&lt;='P-Parametri'!$C$12,'P-Parametri'!$B$12,IF(B58&lt;='P-Parametri'!$B$6,'P-Parametri'!$B$13+'P-Parametri'!$C$13*('P-Parametri'!$B$6-B58)/'P-Parametri'!$D$13,IF(B58&lt;='P-Parametri'!$B$7,'P-Parametri'!$B$14*('P-Parametri'!$B$7-B58)/'P-Parametri'!$C$14,0)))+IF(AND(B58&gt;'P-Parametri'!$C$15,B58&lt;'P-Parametri'!$D$15),'P-Parametri'!$B$15,0)</f>
        <v/>
      </c>
      <c r="C61" s="14">
        <f>IF(C58&lt;='P-Parametri'!$C$12,'P-Parametri'!$B$12,IF(C58&lt;='P-Parametri'!$B$6,'P-Parametri'!$B$13+'P-Parametri'!$C$13*('P-Parametri'!$B$6-C58)/'P-Parametri'!$D$13,IF(C58&lt;='P-Parametri'!$B$7,'P-Parametri'!$B$14*('P-Parametri'!$B$7-C58)/'P-Parametri'!$C$14,0)))+IF(AND(C58&gt;'P-Parametri'!$C$15,C58&lt;'P-Parametri'!$D$15),'P-Parametri'!$B$15,0)</f>
        <v/>
      </c>
      <c r="D61" s="14">
        <f>IF(D58&lt;='P-Parametri'!$C$12,'P-Parametri'!$B$12,IF(D58&lt;='P-Parametri'!$B$6,'P-Parametri'!$B$13+'P-Parametri'!$C$13*('P-Parametri'!$B$6-D58)/'P-Parametri'!$D$13,IF(D58&lt;='P-Parametri'!$B$7,'P-Parametri'!$B$14*('P-Parametri'!$B$7-D58)/'P-Parametri'!$C$14,0)))+IF(AND(D58&gt;'P-Parametri'!$C$15,D58&lt;'P-Parametri'!$D$15),'P-Parametri'!$B$15,0)</f>
        <v/>
      </c>
      <c r="E61" s="14">
        <f>IF(E58&lt;='P-Parametri'!$C$12,'P-Parametri'!$B$12,IF(E58&lt;='P-Parametri'!$B$6,'P-Parametri'!$B$13+'P-Parametri'!$C$13*('P-Parametri'!$B$6-E58)/'P-Parametri'!$D$13,IF(E58&lt;='P-Parametri'!$B$7,'P-Parametri'!$B$14*('P-Parametri'!$B$7-E58)/'P-Parametri'!$C$14,0)))+IF(AND(E58&gt;'P-Parametri'!$C$15,E58&lt;'P-Parametri'!$D$15),'P-Parametri'!$B$15,0)</f>
        <v/>
      </c>
      <c r="F61" s="14">
        <f>IF(F58&lt;='P-Parametri'!$C$12,'P-Parametri'!$B$12,IF(F58&lt;='P-Parametri'!$B$6,'P-Parametri'!$B$13+'P-Parametri'!$C$13*('P-Parametri'!$B$6-F58)/'P-Parametri'!$D$13,IF(F58&lt;='P-Parametri'!$B$7,'P-Parametri'!$B$14*('P-Parametri'!$B$7-F58)/'P-Parametri'!$C$14,0)))+IF(AND(F58&gt;'P-Parametri'!$C$15,F58&lt;'P-Parametri'!$D$15),'P-Parametri'!$B$15,0)</f>
        <v/>
      </c>
      <c r="G61" s="14">
        <f>IF(G58&lt;='P-Parametri'!$C$12,'P-Parametri'!$B$12,IF(G58&lt;='P-Parametri'!$B$6,'P-Parametri'!$B$13+'P-Parametri'!$C$13*('P-Parametri'!$B$6-G58)/'P-Parametri'!$D$13,IF(G58&lt;='P-Parametri'!$B$7,'P-Parametri'!$B$14*('P-Parametri'!$B$7-G58)/'P-Parametri'!$C$14,0)))+IF(AND(G58&gt;'P-Parametri'!$C$15,G58&lt;'P-Parametri'!$D$15),'P-Parametri'!$B$15,0)</f>
        <v/>
      </c>
      <c r="H61" s="14">
        <f>IF(H58&lt;='P-Parametri'!$C$12,'P-Parametri'!$B$12,IF(H58&lt;='P-Parametri'!$B$6,'P-Parametri'!$B$13+'P-Parametri'!$C$13*('P-Parametri'!$B$6-H58)/'P-Parametri'!$D$13,IF(H58&lt;='P-Parametri'!$B$7,'P-Parametri'!$B$14*('P-Parametri'!$B$7-H58)/'P-Parametri'!$C$14,0)))+IF(AND(H58&gt;'P-Parametri'!$C$15,H58&lt;'P-Parametri'!$D$15),'P-Parametri'!$B$15,0)</f>
        <v/>
      </c>
      <c r="I61" s="14">
        <f>IF(I58&lt;='P-Parametri'!$C$12,'P-Parametri'!$B$12,IF(I58&lt;='P-Parametri'!$B$6,'P-Parametri'!$B$13+'P-Parametri'!$C$13*('P-Parametri'!$B$6-I58)/'P-Parametri'!$D$13,IF(I58&lt;='P-Parametri'!$B$7,'P-Parametri'!$B$14*('P-Parametri'!$B$7-I58)/'P-Parametri'!$C$14,0)))+IF(AND(I58&gt;'P-Parametri'!$C$15,I58&lt;'P-Parametri'!$D$15),'P-Parametri'!$B$15,0)</f>
        <v/>
      </c>
      <c r="J61" s="14">
        <f>IF(J58&lt;='P-Parametri'!$C$12,'P-Parametri'!$B$12,IF(J58&lt;='P-Parametri'!$B$6,'P-Parametri'!$B$13+'P-Parametri'!$C$13*('P-Parametri'!$B$6-J58)/'P-Parametri'!$D$13,IF(J58&lt;='P-Parametri'!$B$7,'P-Parametri'!$B$14*('P-Parametri'!$B$7-J58)/'P-Parametri'!$C$14,0)))+IF(AND(J58&gt;'P-Parametri'!$C$15,J58&lt;'P-Parametri'!$D$15),'P-Parametri'!$B$15,0)</f>
        <v/>
      </c>
      <c r="K61" s="14">
        <f>IF(K58&lt;='P-Parametri'!$C$12,'P-Parametri'!$B$12,IF(K58&lt;='P-Parametri'!$B$6,'P-Parametri'!$B$13+'P-Parametri'!$C$13*('P-Parametri'!$B$6-K58)/'P-Parametri'!$D$13,IF(K58&lt;='P-Parametri'!$B$7,'P-Parametri'!$B$14*('P-Parametri'!$B$7-K58)/'P-Parametri'!$C$14,0)))+IF(AND(K58&gt;'P-Parametri'!$C$15,K58&lt;'P-Parametri'!$D$15),'P-Parametri'!$B$15,0)</f>
        <v/>
      </c>
      <c r="L61" s="14">
        <f>IF(L58&lt;='P-Parametri'!$C$12,'P-Parametri'!$B$12,IF(L58&lt;='P-Parametri'!$B$6,'P-Parametri'!$B$13+'P-Parametri'!$C$13*('P-Parametri'!$B$6-L58)/'P-Parametri'!$D$13,IF(L58&lt;='P-Parametri'!$B$7,'P-Parametri'!$B$14*('P-Parametri'!$B$7-L58)/'P-Parametri'!$C$14,0)))+IF(AND(L58&gt;'P-Parametri'!$C$15,L58&lt;'P-Parametri'!$D$15),'P-Parametri'!$B$15,0)</f>
        <v/>
      </c>
      <c r="M61" s="14">
        <f>IF(M58&lt;='P-Parametri'!$C$12,'P-Parametri'!$B$12,IF(M58&lt;='P-Parametri'!$B$6,'P-Parametri'!$B$13+'P-Parametri'!$C$13*('P-Parametri'!$B$6-M58)/'P-Parametri'!$D$13,IF(M58&lt;='P-Parametri'!$B$7,'P-Parametri'!$B$14*('P-Parametri'!$B$7-M58)/'P-Parametri'!$C$14,0)))+IF(AND(M58&gt;'P-Parametri'!$C$15,M58&lt;'P-Parametri'!$D$15),'P-Parametri'!$B$15,0)</f>
        <v/>
      </c>
      <c r="N61" s="14">
        <f>IF(N58&lt;='P-Parametri'!$C$12,'P-Parametri'!$B$12,IF(N58&lt;='P-Parametri'!$B$6,'P-Parametri'!$B$13+'P-Parametri'!$C$13*('P-Parametri'!$B$6-N58)/'P-Parametri'!$D$13,IF(N58&lt;='P-Parametri'!$B$7,'P-Parametri'!$B$14*('P-Parametri'!$B$7-N58)/'P-Parametri'!$C$14,0)))+IF(AND(N58&gt;'P-Parametri'!$C$15,N58&lt;'P-Parametri'!$D$15),'P-Parametri'!$B$15,0)</f>
        <v/>
      </c>
      <c r="O61" s="14">
        <f>IF(O58&lt;='P-Parametri'!$C$12,'P-Parametri'!$B$12,IF(O58&lt;='P-Parametri'!$B$6,'P-Parametri'!$B$13+'P-Parametri'!$C$13*('P-Parametri'!$B$6-O58)/'P-Parametri'!$D$13,IF(O58&lt;='P-Parametri'!$B$7,'P-Parametri'!$B$14*('P-Parametri'!$B$7-O58)/'P-Parametri'!$C$14,0)))+IF(AND(O58&gt;'P-Parametri'!$C$15,O58&lt;'P-Parametri'!$D$15),'P-Parametri'!$B$15,0)</f>
        <v/>
      </c>
    </row>
    <row r="62">
      <c r="A62" s="8" t="inlineStr">
        <is>
          <t>Addizionali — Chiara</t>
        </is>
      </c>
      <c r="B62" s="14">
        <f>IF(MAX(0,B60-B61)&lt;=0,0,'P-Parametri'!$B$11*B58)</f>
        <v/>
      </c>
      <c r="C62" s="14">
        <f>IF(MAX(0,C60-C61)&lt;=0,0,'P-Parametri'!$B$11*C58)</f>
        <v/>
      </c>
      <c r="D62" s="14">
        <f>IF(MAX(0,D60-D61)&lt;=0,0,'P-Parametri'!$B$11*D58)</f>
        <v/>
      </c>
      <c r="E62" s="14">
        <f>IF(MAX(0,E60-E61)&lt;=0,0,'P-Parametri'!$B$11*E58)</f>
        <v/>
      </c>
      <c r="F62" s="14">
        <f>IF(MAX(0,F60-F61)&lt;=0,0,'P-Parametri'!$B$11*F58)</f>
        <v/>
      </c>
      <c r="G62" s="14">
        <f>IF(MAX(0,G60-G61)&lt;=0,0,'P-Parametri'!$B$11*G58)</f>
        <v/>
      </c>
      <c r="H62" s="14">
        <f>IF(MAX(0,H60-H61)&lt;=0,0,'P-Parametri'!$B$11*H58)</f>
        <v/>
      </c>
      <c r="I62" s="14">
        <f>IF(MAX(0,I60-I61)&lt;=0,0,'P-Parametri'!$B$11*I58)</f>
        <v/>
      </c>
      <c r="J62" s="14">
        <f>IF(MAX(0,J60-J61)&lt;=0,0,'P-Parametri'!$B$11*J58)</f>
        <v/>
      </c>
      <c r="K62" s="14">
        <f>IF(MAX(0,K60-K61)&lt;=0,0,'P-Parametri'!$B$11*K58)</f>
        <v/>
      </c>
      <c r="L62" s="14">
        <f>IF(MAX(0,L60-L61)&lt;=0,0,'P-Parametri'!$B$11*L58)</f>
        <v/>
      </c>
      <c r="M62" s="14">
        <f>IF(MAX(0,M60-M61)&lt;=0,0,'P-Parametri'!$B$11*M58)</f>
        <v/>
      </c>
      <c r="N62" s="14">
        <f>IF(MAX(0,N60-N61)&lt;=0,0,'P-Parametri'!$B$11*N58)</f>
        <v/>
      </c>
      <c r="O62" s="14">
        <f>IF(MAX(0,O60-O61)&lt;=0,0,'P-Parametri'!$B$11*O58)</f>
        <v/>
      </c>
    </row>
    <row r="63">
      <c r="A63" s="8" t="inlineStr">
        <is>
          <t>PENSIONE NETTA — Chiara</t>
        </is>
      </c>
      <c r="B63" s="14">
        <f>B58-MAX(0,B60-B61)-B62</f>
        <v/>
      </c>
      <c r="C63" s="14">
        <f>C58-MAX(0,C60-C61)-C62</f>
        <v/>
      </c>
      <c r="D63" s="14">
        <f>D58-MAX(0,D60-D61)-D62</f>
        <v/>
      </c>
      <c r="E63" s="14">
        <f>E58-MAX(0,E60-E61)-E62</f>
        <v/>
      </c>
      <c r="F63" s="14">
        <f>F58-MAX(0,F60-F61)-F62</f>
        <v/>
      </c>
      <c r="G63" s="14">
        <f>G58-MAX(0,G60-G61)-G62</f>
        <v/>
      </c>
      <c r="H63" s="14">
        <f>H58-MAX(0,H60-H61)-H62</f>
        <v/>
      </c>
      <c r="I63" s="14">
        <f>I58-MAX(0,I60-I61)-I62</f>
        <v/>
      </c>
      <c r="J63" s="14">
        <f>J58-MAX(0,J60-J61)-J62</f>
        <v/>
      </c>
      <c r="K63" s="14">
        <f>K58-MAX(0,K60-K61)-K62</f>
        <v/>
      </c>
      <c r="L63" s="14">
        <f>L58-MAX(0,L60-L61)-L62</f>
        <v/>
      </c>
      <c r="M63" s="14">
        <f>M58-MAX(0,M60-M61)-M62</f>
        <v/>
      </c>
      <c r="N63" s="14">
        <f>N58-MAX(0,N60-N61)-N62</f>
        <v/>
      </c>
      <c r="O63" s="14">
        <f>O58-MAX(0,O60-O61)-O62</f>
        <v/>
      </c>
    </row>
    <row r="64">
      <c r="A64" s="8" t="inlineStr">
        <is>
          <t>IRPEF lorda — marito</t>
        </is>
      </c>
      <c r="B64" s="14">
        <f>IF(B59&lt;='P-Parametri'!$B$6,'P-Parametri'!$C$6*B59,IF(B59&lt;='P-Parametri'!$B$7,'P-Parametri'!$B$9+'P-Parametri'!$C$7*(B59-'P-Parametri'!$B$6),'P-Parametri'!$B$10+'P-Parametri'!$C$8*(B59-'P-Parametri'!$B$7)))</f>
        <v/>
      </c>
      <c r="C64" s="14">
        <f>IF(C59&lt;='P-Parametri'!$B$6,'P-Parametri'!$C$6*C59,IF(C59&lt;='P-Parametri'!$B$7,'P-Parametri'!$B$9+'P-Parametri'!$C$7*(C59-'P-Parametri'!$B$6),'P-Parametri'!$B$10+'P-Parametri'!$C$8*(C59-'P-Parametri'!$B$7)))</f>
        <v/>
      </c>
      <c r="D64" s="14">
        <f>IF(D59&lt;='P-Parametri'!$B$6,'P-Parametri'!$C$6*D59,IF(D59&lt;='P-Parametri'!$B$7,'P-Parametri'!$B$9+'P-Parametri'!$C$7*(D59-'P-Parametri'!$B$6),'P-Parametri'!$B$10+'P-Parametri'!$C$8*(D59-'P-Parametri'!$B$7)))</f>
        <v/>
      </c>
      <c r="E64" s="14">
        <f>IF(E59&lt;='P-Parametri'!$B$6,'P-Parametri'!$C$6*E59,IF(E59&lt;='P-Parametri'!$B$7,'P-Parametri'!$B$9+'P-Parametri'!$C$7*(E59-'P-Parametri'!$B$6),'P-Parametri'!$B$10+'P-Parametri'!$C$8*(E59-'P-Parametri'!$B$7)))</f>
        <v/>
      </c>
      <c r="F64" s="14">
        <f>IF(F59&lt;='P-Parametri'!$B$6,'P-Parametri'!$C$6*F59,IF(F59&lt;='P-Parametri'!$B$7,'P-Parametri'!$B$9+'P-Parametri'!$C$7*(F59-'P-Parametri'!$B$6),'P-Parametri'!$B$10+'P-Parametri'!$C$8*(F59-'P-Parametri'!$B$7)))</f>
        <v/>
      </c>
      <c r="G64" s="14">
        <f>IF(G59&lt;='P-Parametri'!$B$6,'P-Parametri'!$C$6*G59,IF(G59&lt;='P-Parametri'!$B$7,'P-Parametri'!$B$9+'P-Parametri'!$C$7*(G59-'P-Parametri'!$B$6),'P-Parametri'!$B$10+'P-Parametri'!$C$8*(G59-'P-Parametri'!$B$7)))</f>
        <v/>
      </c>
      <c r="H64" s="14">
        <f>IF(H59&lt;='P-Parametri'!$B$6,'P-Parametri'!$C$6*H59,IF(H59&lt;='P-Parametri'!$B$7,'P-Parametri'!$B$9+'P-Parametri'!$C$7*(H59-'P-Parametri'!$B$6),'P-Parametri'!$B$10+'P-Parametri'!$C$8*(H59-'P-Parametri'!$B$7)))</f>
        <v/>
      </c>
      <c r="I64" s="14">
        <f>IF(I59&lt;='P-Parametri'!$B$6,'P-Parametri'!$C$6*I59,IF(I59&lt;='P-Parametri'!$B$7,'P-Parametri'!$B$9+'P-Parametri'!$C$7*(I59-'P-Parametri'!$B$6),'P-Parametri'!$B$10+'P-Parametri'!$C$8*(I59-'P-Parametri'!$B$7)))</f>
        <v/>
      </c>
      <c r="J64" s="14">
        <f>IF(J59&lt;='P-Parametri'!$B$6,'P-Parametri'!$C$6*J59,IF(J59&lt;='P-Parametri'!$B$7,'P-Parametri'!$B$9+'P-Parametri'!$C$7*(J59-'P-Parametri'!$B$6),'P-Parametri'!$B$10+'P-Parametri'!$C$8*(J59-'P-Parametri'!$B$7)))</f>
        <v/>
      </c>
      <c r="K64" s="14">
        <f>IF(K59&lt;='P-Parametri'!$B$6,'P-Parametri'!$C$6*K59,IF(K59&lt;='P-Parametri'!$B$7,'P-Parametri'!$B$9+'P-Parametri'!$C$7*(K59-'P-Parametri'!$B$6),'P-Parametri'!$B$10+'P-Parametri'!$C$8*(K59-'P-Parametri'!$B$7)))</f>
        <v/>
      </c>
      <c r="L64" s="14">
        <f>IF(L59&lt;='P-Parametri'!$B$6,'P-Parametri'!$C$6*L59,IF(L59&lt;='P-Parametri'!$B$7,'P-Parametri'!$B$9+'P-Parametri'!$C$7*(L59-'P-Parametri'!$B$6),'P-Parametri'!$B$10+'P-Parametri'!$C$8*(L59-'P-Parametri'!$B$7)))</f>
        <v/>
      </c>
      <c r="M64" s="14">
        <f>IF(M59&lt;='P-Parametri'!$B$6,'P-Parametri'!$C$6*M59,IF(M59&lt;='P-Parametri'!$B$7,'P-Parametri'!$B$9+'P-Parametri'!$C$7*(M59-'P-Parametri'!$B$6),'P-Parametri'!$B$10+'P-Parametri'!$C$8*(M59-'P-Parametri'!$B$7)))</f>
        <v/>
      </c>
      <c r="N64" s="14">
        <f>IF(N59&lt;='P-Parametri'!$B$6,'P-Parametri'!$C$6*N59,IF(N59&lt;='P-Parametri'!$B$7,'P-Parametri'!$B$9+'P-Parametri'!$C$7*(N59-'P-Parametri'!$B$6),'P-Parametri'!$B$10+'P-Parametri'!$C$8*(N59-'P-Parametri'!$B$7)))</f>
        <v/>
      </c>
      <c r="O64" s="14">
        <f>IF(O59&lt;='P-Parametri'!$B$6,'P-Parametri'!$C$6*O59,IF(O59&lt;='P-Parametri'!$B$7,'P-Parametri'!$B$9+'P-Parametri'!$C$7*(O59-'P-Parametri'!$B$6),'P-Parametri'!$B$10+'P-Parametri'!$C$8*(O59-'P-Parametri'!$B$7)))</f>
        <v/>
      </c>
    </row>
    <row r="65">
      <c r="A65" s="8" t="inlineStr">
        <is>
          <t>Detrazione da pensione — marito</t>
        </is>
      </c>
      <c r="B65" s="14">
        <f>IF(B59&lt;='P-Parametri'!$C$12,'P-Parametri'!$B$12,IF(B59&lt;='P-Parametri'!$B$6,'P-Parametri'!$B$13+'P-Parametri'!$C$13*('P-Parametri'!$B$6-B59)/'P-Parametri'!$D$13,IF(B59&lt;='P-Parametri'!$B$7,'P-Parametri'!$B$14*('P-Parametri'!$B$7-B59)/'P-Parametri'!$C$14,0)))+IF(AND(B59&gt;'P-Parametri'!$C$15,B59&lt;'P-Parametri'!$D$15),'P-Parametri'!$B$15,0)</f>
        <v/>
      </c>
      <c r="C65" s="14">
        <f>IF(C59&lt;='P-Parametri'!$C$12,'P-Parametri'!$B$12,IF(C59&lt;='P-Parametri'!$B$6,'P-Parametri'!$B$13+'P-Parametri'!$C$13*('P-Parametri'!$B$6-C59)/'P-Parametri'!$D$13,IF(C59&lt;='P-Parametri'!$B$7,'P-Parametri'!$B$14*('P-Parametri'!$B$7-C59)/'P-Parametri'!$C$14,0)))+IF(AND(C59&gt;'P-Parametri'!$C$15,C59&lt;'P-Parametri'!$D$15),'P-Parametri'!$B$15,0)</f>
        <v/>
      </c>
      <c r="D65" s="14">
        <f>IF(D59&lt;='P-Parametri'!$C$12,'P-Parametri'!$B$12,IF(D59&lt;='P-Parametri'!$B$6,'P-Parametri'!$B$13+'P-Parametri'!$C$13*('P-Parametri'!$B$6-D59)/'P-Parametri'!$D$13,IF(D59&lt;='P-Parametri'!$B$7,'P-Parametri'!$B$14*('P-Parametri'!$B$7-D59)/'P-Parametri'!$C$14,0)))+IF(AND(D59&gt;'P-Parametri'!$C$15,D59&lt;'P-Parametri'!$D$15),'P-Parametri'!$B$15,0)</f>
        <v/>
      </c>
      <c r="E65" s="14">
        <f>IF(E59&lt;='P-Parametri'!$C$12,'P-Parametri'!$B$12,IF(E59&lt;='P-Parametri'!$B$6,'P-Parametri'!$B$13+'P-Parametri'!$C$13*('P-Parametri'!$B$6-E59)/'P-Parametri'!$D$13,IF(E59&lt;='P-Parametri'!$B$7,'P-Parametri'!$B$14*('P-Parametri'!$B$7-E59)/'P-Parametri'!$C$14,0)))+IF(AND(E59&gt;'P-Parametri'!$C$15,E59&lt;'P-Parametri'!$D$15),'P-Parametri'!$B$15,0)</f>
        <v/>
      </c>
      <c r="F65" s="14">
        <f>IF(F59&lt;='P-Parametri'!$C$12,'P-Parametri'!$B$12,IF(F59&lt;='P-Parametri'!$B$6,'P-Parametri'!$B$13+'P-Parametri'!$C$13*('P-Parametri'!$B$6-F59)/'P-Parametri'!$D$13,IF(F59&lt;='P-Parametri'!$B$7,'P-Parametri'!$B$14*('P-Parametri'!$B$7-F59)/'P-Parametri'!$C$14,0)))+IF(AND(F59&gt;'P-Parametri'!$C$15,F59&lt;'P-Parametri'!$D$15),'P-Parametri'!$B$15,0)</f>
        <v/>
      </c>
      <c r="G65" s="14">
        <f>IF(G59&lt;='P-Parametri'!$C$12,'P-Parametri'!$B$12,IF(G59&lt;='P-Parametri'!$B$6,'P-Parametri'!$B$13+'P-Parametri'!$C$13*('P-Parametri'!$B$6-G59)/'P-Parametri'!$D$13,IF(G59&lt;='P-Parametri'!$B$7,'P-Parametri'!$B$14*('P-Parametri'!$B$7-G59)/'P-Parametri'!$C$14,0)))+IF(AND(G59&gt;'P-Parametri'!$C$15,G59&lt;'P-Parametri'!$D$15),'P-Parametri'!$B$15,0)</f>
        <v/>
      </c>
      <c r="H65" s="14">
        <f>IF(H59&lt;='P-Parametri'!$C$12,'P-Parametri'!$B$12,IF(H59&lt;='P-Parametri'!$B$6,'P-Parametri'!$B$13+'P-Parametri'!$C$13*('P-Parametri'!$B$6-H59)/'P-Parametri'!$D$13,IF(H59&lt;='P-Parametri'!$B$7,'P-Parametri'!$B$14*('P-Parametri'!$B$7-H59)/'P-Parametri'!$C$14,0)))+IF(AND(H59&gt;'P-Parametri'!$C$15,H59&lt;'P-Parametri'!$D$15),'P-Parametri'!$B$15,0)</f>
        <v/>
      </c>
      <c r="I65" s="14">
        <f>IF(I59&lt;='P-Parametri'!$C$12,'P-Parametri'!$B$12,IF(I59&lt;='P-Parametri'!$B$6,'P-Parametri'!$B$13+'P-Parametri'!$C$13*('P-Parametri'!$B$6-I59)/'P-Parametri'!$D$13,IF(I59&lt;='P-Parametri'!$B$7,'P-Parametri'!$B$14*('P-Parametri'!$B$7-I59)/'P-Parametri'!$C$14,0)))+IF(AND(I59&gt;'P-Parametri'!$C$15,I59&lt;'P-Parametri'!$D$15),'P-Parametri'!$B$15,0)</f>
        <v/>
      </c>
      <c r="J65" s="14">
        <f>IF(J59&lt;='P-Parametri'!$C$12,'P-Parametri'!$B$12,IF(J59&lt;='P-Parametri'!$B$6,'P-Parametri'!$B$13+'P-Parametri'!$C$13*('P-Parametri'!$B$6-J59)/'P-Parametri'!$D$13,IF(J59&lt;='P-Parametri'!$B$7,'P-Parametri'!$B$14*('P-Parametri'!$B$7-J59)/'P-Parametri'!$C$14,0)))+IF(AND(J59&gt;'P-Parametri'!$C$15,J59&lt;'P-Parametri'!$D$15),'P-Parametri'!$B$15,0)</f>
        <v/>
      </c>
      <c r="K65" s="14">
        <f>IF(K59&lt;='P-Parametri'!$C$12,'P-Parametri'!$B$12,IF(K59&lt;='P-Parametri'!$B$6,'P-Parametri'!$B$13+'P-Parametri'!$C$13*('P-Parametri'!$B$6-K59)/'P-Parametri'!$D$13,IF(K59&lt;='P-Parametri'!$B$7,'P-Parametri'!$B$14*('P-Parametri'!$B$7-K59)/'P-Parametri'!$C$14,0)))+IF(AND(K59&gt;'P-Parametri'!$C$15,K59&lt;'P-Parametri'!$D$15),'P-Parametri'!$B$15,0)</f>
        <v/>
      </c>
      <c r="L65" s="14">
        <f>IF(L59&lt;='P-Parametri'!$C$12,'P-Parametri'!$B$12,IF(L59&lt;='P-Parametri'!$B$6,'P-Parametri'!$B$13+'P-Parametri'!$C$13*('P-Parametri'!$B$6-L59)/'P-Parametri'!$D$13,IF(L59&lt;='P-Parametri'!$B$7,'P-Parametri'!$B$14*('P-Parametri'!$B$7-L59)/'P-Parametri'!$C$14,0)))+IF(AND(L59&gt;'P-Parametri'!$C$15,L59&lt;'P-Parametri'!$D$15),'P-Parametri'!$B$15,0)</f>
        <v/>
      </c>
      <c r="M65" s="14">
        <f>IF(M59&lt;='P-Parametri'!$C$12,'P-Parametri'!$B$12,IF(M59&lt;='P-Parametri'!$B$6,'P-Parametri'!$B$13+'P-Parametri'!$C$13*('P-Parametri'!$B$6-M59)/'P-Parametri'!$D$13,IF(M59&lt;='P-Parametri'!$B$7,'P-Parametri'!$B$14*('P-Parametri'!$B$7-M59)/'P-Parametri'!$C$14,0)))+IF(AND(M59&gt;'P-Parametri'!$C$15,M59&lt;'P-Parametri'!$D$15),'P-Parametri'!$B$15,0)</f>
        <v/>
      </c>
      <c r="N65" s="14">
        <f>IF(N59&lt;='P-Parametri'!$C$12,'P-Parametri'!$B$12,IF(N59&lt;='P-Parametri'!$B$6,'P-Parametri'!$B$13+'P-Parametri'!$C$13*('P-Parametri'!$B$6-N59)/'P-Parametri'!$D$13,IF(N59&lt;='P-Parametri'!$B$7,'P-Parametri'!$B$14*('P-Parametri'!$B$7-N59)/'P-Parametri'!$C$14,0)))+IF(AND(N59&gt;'P-Parametri'!$C$15,N59&lt;'P-Parametri'!$D$15),'P-Parametri'!$B$15,0)</f>
        <v/>
      </c>
      <c r="O65" s="14">
        <f>IF(O59&lt;='P-Parametri'!$C$12,'P-Parametri'!$B$12,IF(O59&lt;='P-Parametri'!$B$6,'P-Parametri'!$B$13+'P-Parametri'!$C$13*('P-Parametri'!$B$6-O59)/'P-Parametri'!$D$13,IF(O59&lt;='P-Parametri'!$B$7,'P-Parametri'!$B$14*('P-Parametri'!$B$7-O59)/'P-Parametri'!$C$14,0)))+IF(AND(O59&gt;'P-Parametri'!$C$15,O59&lt;'P-Parametri'!$D$15),'P-Parametri'!$B$15,0)</f>
        <v/>
      </c>
    </row>
    <row r="66">
      <c r="A66" s="8" t="inlineStr">
        <is>
          <t>Addizionali — marito</t>
        </is>
      </c>
      <c r="B66" s="14">
        <f>IF(MAX(0,B64-B65)&lt;=0,0,'P-Parametri'!$B$11*B59)</f>
        <v/>
      </c>
      <c r="C66" s="14">
        <f>IF(MAX(0,C64-C65)&lt;=0,0,'P-Parametri'!$B$11*C59)</f>
        <v/>
      </c>
      <c r="D66" s="14">
        <f>IF(MAX(0,D64-D65)&lt;=0,0,'P-Parametri'!$B$11*D59)</f>
        <v/>
      </c>
      <c r="E66" s="14">
        <f>IF(MAX(0,E64-E65)&lt;=0,0,'P-Parametri'!$B$11*E59)</f>
        <v/>
      </c>
      <c r="F66" s="14">
        <f>IF(MAX(0,F64-F65)&lt;=0,0,'P-Parametri'!$B$11*F59)</f>
        <v/>
      </c>
      <c r="G66" s="14">
        <f>IF(MAX(0,G64-G65)&lt;=0,0,'P-Parametri'!$B$11*G59)</f>
        <v/>
      </c>
      <c r="H66" s="14">
        <f>IF(MAX(0,H64-H65)&lt;=0,0,'P-Parametri'!$B$11*H59)</f>
        <v/>
      </c>
      <c r="I66" s="14">
        <f>IF(MAX(0,I64-I65)&lt;=0,0,'P-Parametri'!$B$11*I59)</f>
        <v/>
      </c>
      <c r="J66" s="14">
        <f>IF(MAX(0,J64-J65)&lt;=0,0,'P-Parametri'!$B$11*J59)</f>
        <v/>
      </c>
      <c r="K66" s="14">
        <f>IF(MAX(0,K64-K65)&lt;=0,0,'P-Parametri'!$B$11*K59)</f>
        <v/>
      </c>
      <c r="L66" s="14">
        <f>IF(MAX(0,L64-L65)&lt;=0,0,'P-Parametri'!$B$11*L59)</f>
        <v/>
      </c>
      <c r="M66" s="14">
        <f>IF(MAX(0,M64-M65)&lt;=0,0,'P-Parametri'!$B$11*M59)</f>
        <v/>
      </c>
      <c r="N66" s="14">
        <f>IF(MAX(0,N64-N65)&lt;=0,0,'P-Parametri'!$B$11*N59)</f>
        <v/>
      </c>
      <c r="O66" s="14">
        <f>IF(MAX(0,O64-O65)&lt;=0,0,'P-Parametri'!$B$11*O59)</f>
        <v/>
      </c>
    </row>
    <row r="67">
      <c r="A67" s="8" t="inlineStr">
        <is>
          <t>PENSIONE NETTA — marito</t>
        </is>
      </c>
      <c r="B67" s="14">
        <f>B59-MAX(0,B64-B65)-B66</f>
        <v/>
      </c>
      <c r="C67" s="14">
        <f>C59-MAX(0,C64-C65)-C66</f>
        <v/>
      </c>
      <c r="D67" s="14">
        <f>D59-MAX(0,D64-D65)-D66</f>
        <v/>
      </c>
      <c r="E67" s="14">
        <f>E59-MAX(0,E64-E65)-E66</f>
        <v/>
      </c>
      <c r="F67" s="14">
        <f>F59-MAX(0,F64-F65)-F66</f>
        <v/>
      </c>
      <c r="G67" s="14">
        <f>G59-MAX(0,G64-G65)-G66</f>
        <v/>
      </c>
      <c r="H67" s="14">
        <f>H59-MAX(0,H64-H65)-H66</f>
        <v/>
      </c>
      <c r="I67" s="14">
        <f>I59-MAX(0,I64-I65)-I66</f>
        <v/>
      </c>
      <c r="J67" s="14">
        <f>J59-MAX(0,J64-J65)-J66</f>
        <v/>
      </c>
      <c r="K67" s="14">
        <f>K59-MAX(0,K64-K65)-K66</f>
        <v/>
      </c>
      <c r="L67" s="14">
        <f>L59-MAX(0,L64-L65)-L66</f>
        <v/>
      </c>
      <c r="M67" s="14">
        <f>M59-MAX(0,M64-M65)-M66</f>
        <v/>
      </c>
      <c r="N67" s="14">
        <f>N59-MAX(0,N64-N65)-N66</f>
        <v/>
      </c>
      <c r="O67" s="14">
        <f>O59-MAX(0,O64-O65)-O66</f>
        <v/>
      </c>
    </row>
    <row r="68">
      <c r="A68" s="8" t="inlineStr">
        <is>
          <t>Pensioni nette di coppia</t>
        </is>
      </c>
      <c r="B68" s="14">
        <f>B63+B67</f>
        <v/>
      </c>
      <c r="C68" s="14">
        <f>C63+C67</f>
        <v/>
      </c>
      <c r="D68" s="14">
        <f>D63+D67</f>
        <v/>
      </c>
      <c r="E68" s="14">
        <f>E63+E67</f>
        <v/>
      </c>
      <c r="F68" s="14">
        <f>F63+F67</f>
        <v/>
      </c>
      <c r="G68" s="14">
        <f>G63+G67</f>
        <v/>
      </c>
      <c r="H68" s="14">
        <f>H63+H67</f>
        <v/>
      </c>
      <c r="I68" s="14">
        <f>I63+I67</f>
        <v/>
      </c>
      <c r="J68" s="14">
        <f>J63+J67</f>
        <v/>
      </c>
      <c r="K68" s="14">
        <f>K63+K67</f>
        <v/>
      </c>
      <c r="L68" s="14">
        <f>L63+L67</f>
        <v/>
      </c>
      <c r="M68" s="14">
        <f>M63+M67</f>
        <v/>
      </c>
      <c r="N68" s="14">
        <f>N63+N67</f>
        <v/>
      </c>
      <c r="O68" s="14">
        <f>O63+O67</f>
        <v/>
      </c>
    </row>
    <row r="69">
      <c r="A69" s="8" t="inlineStr">
        <is>
          <t>Capitale alla valutazione</t>
        </is>
      </c>
      <c r="B69" s="14">
        <f>IF(B45&gt;0,B45,'2-Composizione'!$B$36*(1+B46)^B49+B30*IF(B46=0,B49,(1+B46)*((1+B46)^B49-1)/B46))</f>
        <v/>
      </c>
      <c r="C69" s="14">
        <f>IF(C45&gt;0,C45,'2-Composizione'!$B$36*(1+C46)^C49+C30*IF(C46=0,C49,(1+C46)*((1+C46)^C49-1)/C46))</f>
        <v/>
      </c>
      <c r="D69" s="14">
        <f>IF(D45&gt;0,D45,'2-Composizione'!$B$36*(1+D46)^D49+D30*IF(D46=0,D49,(1+D46)*((1+D46)^D49-1)/D46))</f>
        <v/>
      </c>
      <c r="E69" s="14">
        <f>IF(E45&gt;0,E45,'2-Composizione'!$B$36*(1+E46)^E49+E30*IF(E46=0,E49,(1+E46)*((1+E46)^E49-1)/E46))</f>
        <v/>
      </c>
      <c r="F69" s="14">
        <f>IF(F45&gt;0,F45,'2-Composizione'!$B$36*(1+F46)^F49+F30*IF(F46=0,F49,(1+F46)*((1+F46)^F49-1)/F46))</f>
        <v/>
      </c>
      <c r="G69" s="14">
        <f>IF(G45&gt;0,G45,'2-Composizione'!$B$36*(1+G46)^G49+G30*IF(G46=0,G49,(1+G46)*((1+G46)^G49-1)/G46))</f>
        <v/>
      </c>
      <c r="H69" s="14">
        <f>IF(H45&gt;0,H45,'2-Composizione'!$B$36*(1+H46)^H49+H30*IF(H46=0,H49,(1+H46)*((1+H46)^H49-1)/H46))</f>
        <v/>
      </c>
      <c r="I69" s="14">
        <f>IF(I45&gt;0,I45,'2-Composizione'!$B$36*(1+I46)^I49+I30*IF(I46=0,I49,(1+I46)*((1+I46)^I49-1)/I46))</f>
        <v/>
      </c>
      <c r="J69" s="14">
        <f>IF(J45&gt;0,J45,'2-Composizione'!$B$36*(1+J46)^J49+J30*IF(J46=0,J49,(1+J46)*((1+J46)^J49-1)/J46))</f>
        <v/>
      </c>
      <c r="K69" s="14">
        <f>IF(K45&gt;0,K45,'2-Composizione'!$B$36*(1+K46)^K49+K30*IF(K46=0,K49,(1+K46)*((1+K46)^K49-1)/K46))</f>
        <v/>
      </c>
      <c r="L69" s="14">
        <f>IF(L45&gt;0,L45,'2-Composizione'!$B$36*(1+L46)^L49+L30*IF(L46=0,L49,(1+L46)*((1+L46)^L49-1)/L46))</f>
        <v/>
      </c>
      <c r="M69" s="14">
        <f>IF(M45&gt;0,M45,'2-Composizione'!$B$36*(1+M46)^M49+M30*IF(M46=0,M49,(1+M46)*((1+M46)^M49-1)/M46))</f>
        <v/>
      </c>
      <c r="N69" s="14">
        <f>IF(N45&gt;0,N45,'2-Composizione'!$B$36*(1+N46)^N49+N30*IF(N46=0,N49,(1+N46)*((1+N46)^N49-1)/N46))</f>
        <v/>
      </c>
      <c r="O69" s="14">
        <f>IF(O45&gt;0,O45,'2-Composizione'!$B$36*(1+O46)^O49+O30*IF(O46=0,O49,(1+O46)*((1+O46)^O49-1)/O46))</f>
        <v/>
      </c>
    </row>
    <row r="70">
      <c r="A70" s="8" t="inlineStr">
        <is>
          <t>Base di costo alla valutazione</t>
        </is>
      </c>
      <c r="B70" s="14">
        <f>'2-Composizione'!$B$37+B49*B30</f>
        <v/>
      </c>
      <c r="C70" s="14">
        <f>'2-Composizione'!$B$37+C49*C30</f>
        <v/>
      </c>
      <c r="D70" s="14">
        <f>'2-Composizione'!$B$37+D49*D30</f>
        <v/>
      </c>
      <c r="E70" s="14">
        <f>'2-Composizione'!$B$37+E49*E30</f>
        <v/>
      </c>
      <c r="F70" s="14">
        <f>'2-Composizione'!$B$37+F49*F30</f>
        <v/>
      </c>
      <c r="G70" s="14">
        <f>'2-Composizione'!$B$37+G49*G30</f>
        <v/>
      </c>
      <c r="H70" s="14">
        <f>'2-Composizione'!$B$37+H49*H30</f>
        <v/>
      </c>
      <c r="I70" s="14">
        <f>'2-Composizione'!$B$37+I49*I30</f>
        <v/>
      </c>
      <c r="J70" s="14">
        <f>'2-Composizione'!$B$37+J49*J30</f>
        <v/>
      </c>
      <c r="K70" s="14">
        <f>'2-Composizione'!$B$37+K49*K30</f>
        <v/>
      </c>
      <c r="L70" s="14">
        <f>'2-Composizione'!$B$37+L49*L30</f>
        <v/>
      </c>
      <c r="M70" s="14">
        <f>'2-Composizione'!$B$37+M49*M30</f>
        <v/>
      </c>
      <c r="N70" s="14">
        <f>'2-Composizione'!$B$37+N49*N30</f>
        <v/>
      </c>
      <c r="O70" s="14">
        <f>'2-Composizione'!$B$37+O49*O30</f>
        <v/>
      </c>
    </row>
    <row r="71">
      <c r="A71" s="8" t="inlineStr">
        <is>
          <t>Plusvalenza latente (floor a zero)</t>
        </is>
      </c>
      <c r="B71" s="19">
        <f>MAX(0,(B69-B70)/B69)</f>
        <v/>
      </c>
      <c r="C71" s="19">
        <f>MAX(0,(C69-C70)/C69)</f>
        <v/>
      </c>
      <c r="D71" s="19">
        <f>MAX(0,(D69-D70)/D69)</f>
        <v/>
      </c>
      <c r="E71" s="19">
        <f>MAX(0,(E69-E70)/E69)</f>
        <v/>
      </c>
      <c r="F71" s="19">
        <f>MAX(0,(F69-F70)/F69)</f>
        <v/>
      </c>
      <c r="G71" s="19">
        <f>MAX(0,(G69-G70)/G69)</f>
        <v/>
      </c>
      <c r="H71" s="19">
        <f>MAX(0,(H69-H70)/H69)</f>
        <v/>
      </c>
      <c r="I71" s="19">
        <f>MAX(0,(I69-I70)/I69)</f>
        <v/>
      </c>
      <c r="J71" s="19">
        <f>MAX(0,(J69-J70)/J69)</f>
        <v/>
      </c>
      <c r="K71" s="19">
        <f>MAX(0,(K69-K70)/K69)</f>
        <v/>
      </c>
      <c r="L71" s="19">
        <f>MAX(0,(L69-L70)/L69)</f>
        <v/>
      </c>
      <c r="M71" s="19">
        <f>MAX(0,(M69-M70)/M69)</f>
        <v/>
      </c>
      <c r="N71" s="19">
        <f>MAX(0,(N69-N70)/N69)</f>
        <v/>
      </c>
      <c r="O71" s="19">
        <f>MAX(0,(O69-O70)/O69)</f>
        <v/>
      </c>
    </row>
    <row r="72">
      <c r="A72" s="8" t="inlineStr">
        <is>
          <t>Fattore di lordizzazione G</t>
        </is>
      </c>
      <c r="B72" s="26">
        <f>1/(1-'P-Parametri'!$B$31*B71)</f>
        <v/>
      </c>
      <c r="C72" s="26">
        <f>1/(1-'P-Parametri'!$B$31*C71)</f>
        <v/>
      </c>
      <c r="D72" s="26">
        <f>1/(1-'P-Parametri'!$B$31*D71)</f>
        <v/>
      </c>
      <c r="E72" s="26">
        <f>1/(1-'P-Parametri'!$B$31*E71)</f>
        <v/>
      </c>
      <c r="F72" s="26">
        <f>1/(1-'P-Parametri'!$B$31*F71)</f>
        <v/>
      </c>
      <c r="G72" s="26">
        <f>1/(1-'P-Parametri'!$B$31*G71)</f>
        <v/>
      </c>
      <c r="H72" s="26">
        <f>1/(1-'P-Parametri'!$B$31*H71)</f>
        <v/>
      </c>
      <c r="I72" s="26">
        <f>1/(1-'P-Parametri'!$B$31*I71)</f>
        <v/>
      </c>
      <c r="J72" s="26">
        <f>1/(1-'P-Parametri'!$B$31*J71)</f>
        <v/>
      </c>
      <c r="K72" s="26">
        <f>1/(1-'P-Parametri'!$B$31*K71)</f>
        <v/>
      </c>
      <c r="L72" s="26">
        <f>1/(1-'P-Parametri'!$B$31*L71)</f>
        <v/>
      </c>
      <c r="M72" s="26">
        <f>1/(1-'P-Parametri'!$B$31*M71)</f>
        <v/>
      </c>
      <c r="N72" s="26">
        <f>1/(1-'P-Parametri'!$B$31*N71)</f>
        <v/>
      </c>
      <c r="O72" s="26">
        <f>1/(1-'P-Parametri'!$B$31*O71)</f>
        <v/>
      </c>
    </row>
    <row r="73">
      <c r="A73" s="8" t="inlineStr">
        <is>
          <t>Valore attuale netto del fabbisogno</t>
        </is>
      </c>
      <c r="B73" s="14">
        <f>SUM(B82:B115)</f>
        <v/>
      </c>
      <c r="C73" s="14">
        <f>SUM(C82:C115)</f>
        <v/>
      </c>
      <c r="D73" s="14">
        <f>SUM(D82:D115)</f>
        <v/>
      </c>
      <c r="E73" s="14">
        <f>SUM(E82:E115)</f>
        <v/>
      </c>
      <c r="F73" s="14">
        <f>SUM(F82:F115)</f>
        <v/>
      </c>
      <c r="G73" s="14">
        <f>SUM(G82:G115)</f>
        <v/>
      </c>
      <c r="H73" s="14">
        <f>SUM(H82:H115)</f>
        <v/>
      </c>
      <c r="I73" s="14">
        <f>SUM(I82:I115)</f>
        <v/>
      </c>
      <c r="J73" s="14">
        <f>SUM(J82:J115)</f>
        <v/>
      </c>
      <c r="K73" s="14">
        <f>SUM(K82:K115)</f>
        <v/>
      </c>
      <c r="L73" s="14">
        <f>SUM(L82:L115)</f>
        <v/>
      </c>
      <c r="M73" s="14">
        <f>SUM(M82:M115)</f>
        <v/>
      </c>
      <c r="N73" s="14">
        <f>SUM(N82:N115)</f>
        <v/>
      </c>
      <c r="O73" s="14">
        <f>SUM(O82:O115)</f>
        <v/>
      </c>
    </row>
    <row r="74">
      <c r="A74" s="8" t="inlineStr">
        <is>
          <t>FABBISOGNO LORDO (in capitale)</t>
        </is>
      </c>
      <c r="B74" s="14">
        <f>B73*B72</f>
        <v/>
      </c>
      <c r="C74" s="14">
        <f>C73*C72</f>
        <v/>
      </c>
      <c r="D74" s="14">
        <f>D73*D72</f>
        <v/>
      </c>
      <c r="E74" s="14">
        <f>E73*E72</f>
        <v/>
      </c>
      <c r="F74" s="14">
        <f>F73*F72</f>
        <v/>
      </c>
      <c r="G74" s="14">
        <f>G73*G72</f>
        <v/>
      </c>
      <c r="H74" s="14">
        <f>H73*H72</f>
        <v/>
      </c>
      <c r="I74" s="14">
        <f>I73*I72</f>
        <v/>
      </c>
      <c r="J74" s="14">
        <f>J73*J72</f>
        <v/>
      </c>
      <c r="K74" s="14">
        <f>K73*K72</f>
        <v/>
      </c>
      <c r="L74" s="14">
        <f>L73*L72</f>
        <v/>
      </c>
      <c r="M74" s="14">
        <f>M73*M72</f>
        <v/>
      </c>
      <c r="N74" s="14">
        <f>N73*N72</f>
        <v/>
      </c>
      <c r="O74" s="14">
        <f>O73*O72</f>
        <v/>
      </c>
    </row>
    <row r="75">
      <c r="A75" s="8" t="inlineStr">
        <is>
          <t>TFR netto alla valutazione</t>
        </is>
      </c>
      <c r="B75" s="14">
        <f>CHOOSE(B31+1,'6-TFR'!$B$24,'6-TFR'!$C$24,'6-TFR'!$D$24)</f>
        <v/>
      </c>
      <c r="C75" s="14">
        <f>CHOOSE(C31+1,'6-TFR'!$B$24,'6-TFR'!$C$24,'6-TFR'!$D$24)</f>
        <v/>
      </c>
      <c r="D75" s="14">
        <f>CHOOSE(D31+1,'6-TFR'!$B$24,'6-TFR'!$C$24,'6-TFR'!$D$24)</f>
        <v/>
      </c>
      <c r="E75" s="14">
        <f>CHOOSE(E31+1,'6-TFR'!$B$24,'6-TFR'!$C$24,'6-TFR'!$D$24)</f>
        <v/>
      </c>
      <c r="F75" s="14">
        <f>CHOOSE(F31+1,'6-TFR'!$B$24,'6-TFR'!$C$24,'6-TFR'!$D$24)</f>
        <v/>
      </c>
      <c r="G75" s="14">
        <f>CHOOSE(G31+1,'6-TFR'!$B$24,'6-TFR'!$C$24,'6-TFR'!$D$24)</f>
        <v/>
      </c>
      <c r="H75" s="14">
        <f>CHOOSE(H31+1,'6-TFR'!$B$24,'6-TFR'!$C$24,'6-TFR'!$D$24)</f>
        <v/>
      </c>
      <c r="I75" s="14">
        <f>CHOOSE(I31+1,'6-TFR'!$B$24,'6-TFR'!$C$24,'6-TFR'!$D$24)</f>
        <v/>
      </c>
      <c r="J75" s="14">
        <f>CHOOSE(J31+1,'6-TFR'!$B$24,'6-TFR'!$C$24,'6-TFR'!$D$24)</f>
        <v/>
      </c>
      <c r="K75" s="14">
        <f>CHOOSE(K31+1,'6-TFR'!$B$24,'6-TFR'!$C$24,'6-TFR'!$D$24)</f>
        <v/>
      </c>
      <c r="L75" s="14">
        <f>CHOOSE(L31+1,'6-TFR'!$B$24,'6-TFR'!$C$24,'6-TFR'!$D$24)</f>
        <v/>
      </c>
      <c r="M75" s="14">
        <f>CHOOSE(M31+1,'6-TFR'!$B$24,'6-TFR'!$C$24,'6-TFR'!$D$24)</f>
        <v/>
      </c>
      <c r="N75" s="14">
        <f>CHOOSE(N31+1,'6-TFR'!$B$24,'6-TFR'!$C$24,'6-TFR'!$D$24)</f>
        <v/>
      </c>
      <c r="O75" s="14">
        <f>CHOOSE(O31+1,'6-TFR'!$B$24,'6-TFR'!$C$24,'6-TFR'!$D$24)</f>
        <v/>
      </c>
    </row>
    <row r="76">
      <c r="A76" s="8" t="inlineStr">
        <is>
          <t>FABBISOGNO FINANZIARIO (floor a zero)</t>
        </is>
      </c>
      <c r="B76" s="14">
        <f>MAX(0,(B73-B75)*B72)</f>
        <v/>
      </c>
      <c r="C76" s="14">
        <f>MAX(0,(C73-C75)*C72)</f>
        <v/>
      </c>
      <c r="D76" s="14">
        <f>MAX(0,(D73-D75)*D72)</f>
        <v/>
      </c>
      <c r="E76" s="14">
        <f>MAX(0,(E73-E75)*E72)</f>
        <v/>
      </c>
      <c r="F76" s="14">
        <f>MAX(0,(F73-F75)*F72)</f>
        <v/>
      </c>
      <c r="G76" s="14">
        <f>MAX(0,(G73-G75)*G72)</f>
        <v/>
      </c>
      <c r="H76" s="14">
        <f>MAX(0,(H73-H75)*H72)</f>
        <v/>
      </c>
      <c r="I76" s="14">
        <f>MAX(0,(I73-I75)*I72)</f>
        <v/>
      </c>
      <c r="J76" s="14">
        <f>MAX(0,(J73-J75)*J72)</f>
        <v/>
      </c>
      <c r="K76" s="14">
        <f>MAX(0,(K73-K75)*K72)</f>
        <v/>
      </c>
      <c r="L76" s="14">
        <f>MAX(0,(L73-L75)*L72)</f>
        <v/>
      </c>
      <c r="M76" s="14">
        <f>MAX(0,(M73-M75)*M72)</f>
        <v/>
      </c>
      <c r="N76" s="14">
        <f>MAX(0,(N73-N75)*N72)</f>
        <v/>
      </c>
      <c r="O76" s="14">
        <f>MAX(0,(O73-O75)*O72)</f>
        <v/>
      </c>
    </row>
    <row r="77">
      <c r="A77" s="8" t="inlineStr">
        <is>
          <t>Posizione netta = capitale meno fabbisogno</t>
        </is>
      </c>
      <c r="B77" s="14">
        <f>B69-B76</f>
        <v/>
      </c>
      <c r="C77" s="14">
        <f>C69-C76</f>
        <v/>
      </c>
      <c r="D77" s="14">
        <f>D69-D76</f>
        <v/>
      </c>
      <c r="E77" s="14">
        <f>E69-E76</f>
        <v/>
      </c>
      <c r="F77" s="14">
        <f>F69-F76</f>
        <v/>
      </c>
      <c r="G77" s="14">
        <f>G69-G76</f>
        <v/>
      </c>
      <c r="H77" s="14">
        <f>H69-H76</f>
        <v/>
      </c>
      <c r="I77" s="14">
        <f>I69-I76</f>
        <v/>
      </c>
      <c r="J77" s="14">
        <f>J69-J76</f>
        <v/>
      </c>
      <c r="K77" s="14">
        <f>K69-K76</f>
        <v/>
      </c>
      <c r="L77" s="14">
        <f>L69-L76</f>
        <v/>
      </c>
      <c r="M77" s="14">
        <f>M69-M76</f>
        <v/>
      </c>
      <c r="N77" s="14">
        <f>N69-N76</f>
        <v/>
      </c>
      <c r="O77" s="14">
        <f>O69-O76</f>
        <v/>
      </c>
    </row>
    <row r="78">
      <c r="A78" s="8" t="inlineStr">
        <is>
          <t>Posizione scontata a fine ritiro</t>
        </is>
      </c>
      <c r="B78" s="14">
        <f>B77/(1+'1-Input'!$B$46)^B31</f>
        <v/>
      </c>
      <c r="C78" s="14">
        <f>C77/(1+'1-Input'!$B$46)^C31</f>
        <v/>
      </c>
      <c r="D78" s="14">
        <f>D77/(1+'1-Input'!$B$46)^D31</f>
        <v/>
      </c>
      <c r="E78" s="14">
        <f>E77/(1+'1-Input'!$B$46)^E31</f>
        <v/>
      </c>
      <c r="F78" s="14">
        <f>F77/(1+'1-Input'!$B$46)^F31</f>
        <v/>
      </c>
      <c r="G78" s="14">
        <f>G77/(1+'1-Input'!$B$46)^G31</f>
        <v/>
      </c>
      <c r="H78" s="14">
        <f>H77/(1+'1-Input'!$B$46)^H31</f>
        <v/>
      </c>
      <c r="I78" s="14">
        <f>I77/(1+'1-Input'!$B$46)^I31</f>
        <v/>
      </c>
      <c r="J78" s="14">
        <f>J77/(1+'1-Input'!$B$46)^J31</f>
        <v/>
      </c>
      <c r="K78" s="14">
        <f>K77/(1+'1-Input'!$B$46)^K31</f>
        <v/>
      </c>
      <c r="L78" s="14">
        <f>L77/(1+'1-Input'!$B$46)^L31</f>
        <v/>
      </c>
      <c r="M78" s="14">
        <f>M77/(1+'1-Input'!$B$46)^M31</f>
        <v/>
      </c>
      <c r="N78" s="14">
        <f>N77/(1+'1-Input'!$B$46)^N31</f>
        <v/>
      </c>
      <c r="O78" s="14">
        <f>O77/(1+'1-Input'!$B$46)^O31</f>
        <v/>
      </c>
    </row>
    <row r="79">
      <c r="A79" s="8" t="inlineStr">
        <is>
          <t>DELTA contro la base</t>
        </is>
      </c>
    </row>
    <row r="81">
      <c r="A81" s="13" t="inlineStr">
        <is>
          <t>Anno del flusso — valore attuale del fabbisogno</t>
        </is>
      </c>
    </row>
    <row r="82">
      <c r="A82" s="18">
        <f>'1-Input'!$B$19+1</f>
        <v/>
      </c>
      <c r="B82" s="14">
        <f>IF(OR($A82&lt;=B48,$A82&gt;B34),0,(B29-IF($A82&lt;B50,0,IF($A82=B50,B63*B54,B63))-IF($A82&lt;B51,0,IF($A82=B51,B67*B55,B67)))/(1+B47)^($A82-B48-1))</f>
        <v/>
      </c>
      <c r="C82" s="14">
        <f>IF(OR($A82&lt;=C48,$A82&gt;C34),0,(C29-IF($A82&lt;C50,0,IF($A82=C50,C63*C54,C63))-IF($A82&lt;C51,0,IF($A82=C51,C67*C55,C67)))/(1+C47)^($A82-C48-1))</f>
        <v/>
      </c>
      <c r="D82" s="14">
        <f>IF(OR($A82&lt;=D48,$A82&gt;D34),0,(D29-IF($A82&lt;D50,0,IF($A82=D50,D63*D54,D63))-IF($A82&lt;D51,0,IF($A82=D51,D67*D55,D67)))/(1+D47)^($A82-D48-1))</f>
        <v/>
      </c>
      <c r="E82" s="14">
        <f>IF(OR($A82&lt;=E48,$A82&gt;E34),0,(E29-IF($A82&lt;E50,0,IF($A82=E50,E63*E54,E63))-IF($A82&lt;E51,0,IF($A82=E51,E67*E55,E67)))/(1+E47)^($A82-E48-1))</f>
        <v/>
      </c>
      <c r="F82" s="14">
        <f>IF(OR($A82&lt;=F48,$A82&gt;F34),0,(F29-IF($A82&lt;F50,0,IF($A82=F50,F63*F54,F63))-IF($A82&lt;F51,0,IF($A82=F51,F67*F55,F67)))/(1+F47)^($A82-F48-1))</f>
        <v/>
      </c>
      <c r="G82" s="14">
        <f>IF(OR($A82&lt;=G48,$A82&gt;G34),0,(G29-IF($A82&lt;G50,0,IF($A82=G50,G63*G54,G63))-IF($A82&lt;G51,0,IF($A82=G51,G67*G55,G67)))/(1+G47)^($A82-G48-1))</f>
        <v/>
      </c>
      <c r="H82" s="14">
        <f>IF(OR($A82&lt;=H48,$A82&gt;H34),0,(H29-IF($A82&lt;H50,0,IF($A82=H50,H63*H54,H63))-IF($A82&lt;H51,0,IF($A82=H51,H67*H55,H67)))/(1+H47)^($A82-H48-1))</f>
        <v/>
      </c>
      <c r="I82" s="14">
        <f>IF(OR($A82&lt;=I48,$A82&gt;I34),0,(I29-IF($A82&lt;I50,0,IF($A82=I50,I63*I54,I63))-IF($A82&lt;I51,0,IF($A82=I51,I67*I55,I67)))/(1+I47)^($A82-I48-1))</f>
        <v/>
      </c>
      <c r="J82" s="14">
        <f>IF(OR($A82&lt;=J48,$A82&gt;J34),0,(J29-IF($A82&lt;J50,0,IF($A82=J50,J63*J54,J63))-IF($A82&lt;J51,0,IF($A82=J51,J67*J55,J67)))/(1+J47)^($A82-J48-1))</f>
        <v/>
      </c>
      <c r="K82" s="14">
        <f>IF(OR($A82&lt;=K48,$A82&gt;K34),0,(K29-IF($A82&lt;K50,0,IF($A82=K50,K63*K54,K63))-IF($A82&lt;K51,0,IF($A82=K51,K67*K55,K67)))/(1+K47)^($A82-K48-1))</f>
        <v/>
      </c>
      <c r="L82" s="14">
        <f>IF(OR($A82&lt;=L48,$A82&gt;L34),0,(L29-IF($A82&lt;L50,0,IF($A82=L50,L63*L54,L63))-IF($A82&lt;L51,0,IF($A82=L51,L67*L55,L67)))/(1+L47)^($A82-L48-1))</f>
        <v/>
      </c>
      <c r="M82" s="14">
        <f>IF(OR($A82&lt;=M48,$A82&gt;M34),0,(M29-IF($A82&lt;M50,0,IF($A82=M50,M63*M54,M63))-IF($A82&lt;M51,0,IF($A82=M51,M67*M55,M67)))/(1+M47)^($A82-M48-1))</f>
        <v/>
      </c>
      <c r="N82" s="14">
        <f>IF(OR($A82&lt;=N48,$A82&gt;N34),0,(N29-IF($A82&lt;N50,0,IF($A82=N50,N63*N54,N63))-IF($A82&lt;N51,0,IF($A82=N51,N67*N55,N67)))/(1+N47)^($A82-N48-1))</f>
        <v/>
      </c>
      <c r="O82" s="14">
        <f>IF(OR($A82&lt;=O48,$A82&gt;O34),0,(O29-IF($A82&lt;O50,0,IF($A82=O50,O63*O54,O63))-IF($A82&lt;O51,0,IF($A82=O51,O67*O55,O67)))/(1+O47)^($A82-O48-1))</f>
        <v/>
      </c>
    </row>
    <row r="83">
      <c r="A83" s="18">
        <f>A82+1</f>
        <v/>
      </c>
      <c r="B83" s="14">
        <f>IF(OR($A83&lt;=B48,$A83&gt;B34),0,(B29-IF($A83&lt;B50,0,IF($A83=B50,B63*B54,B63))-IF($A83&lt;B51,0,IF($A83=B51,B67*B55,B67)))/(1+B47)^($A83-B48-1))</f>
        <v/>
      </c>
      <c r="C83" s="14">
        <f>IF(OR($A83&lt;=C48,$A83&gt;C34),0,(C29-IF($A83&lt;C50,0,IF($A83=C50,C63*C54,C63))-IF($A83&lt;C51,0,IF($A83=C51,C67*C55,C67)))/(1+C47)^($A83-C48-1))</f>
        <v/>
      </c>
      <c r="D83" s="14">
        <f>IF(OR($A83&lt;=D48,$A83&gt;D34),0,(D29-IF($A83&lt;D50,0,IF($A83=D50,D63*D54,D63))-IF($A83&lt;D51,0,IF($A83=D51,D67*D55,D67)))/(1+D47)^($A83-D48-1))</f>
        <v/>
      </c>
      <c r="E83" s="14">
        <f>IF(OR($A83&lt;=E48,$A83&gt;E34),0,(E29-IF($A83&lt;E50,0,IF($A83=E50,E63*E54,E63))-IF($A83&lt;E51,0,IF($A83=E51,E67*E55,E67)))/(1+E47)^($A83-E48-1))</f>
        <v/>
      </c>
      <c r="F83" s="14">
        <f>IF(OR($A83&lt;=F48,$A83&gt;F34),0,(F29-IF($A83&lt;F50,0,IF($A83=F50,F63*F54,F63))-IF($A83&lt;F51,0,IF($A83=F51,F67*F55,F67)))/(1+F47)^($A83-F48-1))</f>
        <v/>
      </c>
      <c r="G83" s="14">
        <f>IF(OR($A83&lt;=G48,$A83&gt;G34),0,(G29-IF($A83&lt;G50,0,IF($A83=G50,G63*G54,G63))-IF($A83&lt;G51,0,IF($A83=G51,G67*G55,G67)))/(1+G47)^($A83-G48-1))</f>
        <v/>
      </c>
      <c r="H83" s="14">
        <f>IF(OR($A83&lt;=H48,$A83&gt;H34),0,(H29-IF($A83&lt;H50,0,IF($A83=H50,H63*H54,H63))-IF($A83&lt;H51,0,IF($A83=H51,H67*H55,H67)))/(1+H47)^($A83-H48-1))</f>
        <v/>
      </c>
      <c r="I83" s="14">
        <f>IF(OR($A83&lt;=I48,$A83&gt;I34),0,(I29-IF($A83&lt;I50,0,IF($A83=I50,I63*I54,I63))-IF($A83&lt;I51,0,IF($A83=I51,I67*I55,I67)))/(1+I47)^($A83-I48-1))</f>
        <v/>
      </c>
      <c r="J83" s="14">
        <f>IF(OR($A83&lt;=J48,$A83&gt;J34),0,(J29-IF($A83&lt;J50,0,IF($A83=J50,J63*J54,J63))-IF($A83&lt;J51,0,IF($A83=J51,J67*J55,J67)))/(1+J47)^($A83-J48-1))</f>
        <v/>
      </c>
      <c r="K83" s="14">
        <f>IF(OR($A83&lt;=K48,$A83&gt;K34),0,(K29-IF($A83&lt;K50,0,IF($A83=K50,K63*K54,K63))-IF($A83&lt;K51,0,IF($A83=K51,K67*K55,K67)))/(1+K47)^($A83-K48-1))</f>
        <v/>
      </c>
      <c r="L83" s="14">
        <f>IF(OR($A83&lt;=L48,$A83&gt;L34),0,(L29-IF($A83&lt;L50,0,IF($A83=L50,L63*L54,L63))-IF($A83&lt;L51,0,IF($A83=L51,L67*L55,L67)))/(1+L47)^($A83-L48-1))</f>
        <v/>
      </c>
      <c r="M83" s="14">
        <f>IF(OR($A83&lt;=M48,$A83&gt;M34),0,(M29-IF($A83&lt;M50,0,IF($A83=M50,M63*M54,M63))-IF($A83&lt;M51,0,IF($A83=M51,M67*M55,M67)))/(1+M47)^($A83-M48-1))</f>
        <v/>
      </c>
      <c r="N83" s="14">
        <f>IF(OR($A83&lt;=N48,$A83&gt;N34),0,(N29-IF($A83&lt;N50,0,IF($A83=N50,N63*N54,N63))-IF($A83&lt;N51,0,IF($A83=N51,N67*N55,N67)))/(1+N47)^($A83-N48-1))</f>
        <v/>
      </c>
      <c r="O83" s="14">
        <f>IF(OR($A83&lt;=O48,$A83&gt;O34),0,(O29-IF($A83&lt;O50,0,IF($A83=O50,O63*O54,O63))-IF($A83&lt;O51,0,IF($A83=O51,O67*O55,O67)))/(1+O47)^($A83-O48-1))</f>
        <v/>
      </c>
    </row>
    <row r="84">
      <c r="A84" s="18">
        <f>A83+1</f>
        <v/>
      </c>
      <c r="B84" s="14">
        <f>IF(OR($A84&lt;=B48,$A84&gt;B34),0,(B29-IF($A84&lt;B50,0,IF($A84=B50,B63*B54,B63))-IF($A84&lt;B51,0,IF($A84=B51,B67*B55,B67)))/(1+B47)^($A84-B48-1))</f>
        <v/>
      </c>
      <c r="C84" s="14">
        <f>IF(OR($A84&lt;=C48,$A84&gt;C34),0,(C29-IF($A84&lt;C50,0,IF($A84=C50,C63*C54,C63))-IF($A84&lt;C51,0,IF($A84=C51,C67*C55,C67)))/(1+C47)^($A84-C48-1))</f>
        <v/>
      </c>
      <c r="D84" s="14">
        <f>IF(OR($A84&lt;=D48,$A84&gt;D34),0,(D29-IF($A84&lt;D50,0,IF($A84=D50,D63*D54,D63))-IF($A84&lt;D51,0,IF($A84=D51,D67*D55,D67)))/(1+D47)^($A84-D48-1))</f>
        <v/>
      </c>
      <c r="E84" s="14">
        <f>IF(OR($A84&lt;=E48,$A84&gt;E34),0,(E29-IF($A84&lt;E50,0,IF($A84=E50,E63*E54,E63))-IF($A84&lt;E51,0,IF($A84=E51,E67*E55,E67)))/(1+E47)^($A84-E48-1))</f>
        <v/>
      </c>
      <c r="F84" s="14">
        <f>IF(OR($A84&lt;=F48,$A84&gt;F34),0,(F29-IF($A84&lt;F50,0,IF($A84=F50,F63*F54,F63))-IF($A84&lt;F51,0,IF($A84=F51,F67*F55,F67)))/(1+F47)^($A84-F48-1))</f>
        <v/>
      </c>
      <c r="G84" s="14">
        <f>IF(OR($A84&lt;=G48,$A84&gt;G34),0,(G29-IF($A84&lt;G50,0,IF($A84=G50,G63*G54,G63))-IF($A84&lt;G51,0,IF($A84=G51,G67*G55,G67)))/(1+G47)^($A84-G48-1))</f>
        <v/>
      </c>
      <c r="H84" s="14">
        <f>IF(OR($A84&lt;=H48,$A84&gt;H34),0,(H29-IF($A84&lt;H50,0,IF($A84=H50,H63*H54,H63))-IF($A84&lt;H51,0,IF($A84=H51,H67*H55,H67)))/(1+H47)^($A84-H48-1))</f>
        <v/>
      </c>
      <c r="I84" s="14">
        <f>IF(OR($A84&lt;=I48,$A84&gt;I34),0,(I29-IF($A84&lt;I50,0,IF($A84=I50,I63*I54,I63))-IF($A84&lt;I51,0,IF($A84=I51,I67*I55,I67)))/(1+I47)^($A84-I48-1))</f>
        <v/>
      </c>
      <c r="J84" s="14">
        <f>IF(OR($A84&lt;=J48,$A84&gt;J34),0,(J29-IF($A84&lt;J50,0,IF($A84=J50,J63*J54,J63))-IF($A84&lt;J51,0,IF($A84=J51,J67*J55,J67)))/(1+J47)^($A84-J48-1))</f>
        <v/>
      </c>
      <c r="K84" s="14">
        <f>IF(OR($A84&lt;=K48,$A84&gt;K34),0,(K29-IF($A84&lt;K50,0,IF($A84=K50,K63*K54,K63))-IF($A84&lt;K51,0,IF($A84=K51,K67*K55,K67)))/(1+K47)^($A84-K48-1))</f>
        <v/>
      </c>
      <c r="L84" s="14">
        <f>IF(OR($A84&lt;=L48,$A84&gt;L34),0,(L29-IF($A84&lt;L50,0,IF($A84=L50,L63*L54,L63))-IF($A84&lt;L51,0,IF($A84=L51,L67*L55,L67)))/(1+L47)^($A84-L48-1))</f>
        <v/>
      </c>
      <c r="M84" s="14">
        <f>IF(OR($A84&lt;=M48,$A84&gt;M34),0,(M29-IF($A84&lt;M50,0,IF($A84=M50,M63*M54,M63))-IF($A84&lt;M51,0,IF($A84=M51,M67*M55,M67)))/(1+M47)^($A84-M48-1))</f>
        <v/>
      </c>
      <c r="N84" s="14">
        <f>IF(OR($A84&lt;=N48,$A84&gt;N34),0,(N29-IF($A84&lt;N50,0,IF($A84=N50,N63*N54,N63))-IF($A84&lt;N51,0,IF($A84=N51,N67*N55,N67)))/(1+N47)^($A84-N48-1))</f>
        <v/>
      </c>
      <c r="O84" s="14">
        <f>IF(OR($A84&lt;=O48,$A84&gt;O34),0,(O29-IF($A84&lt;O50,0,IF($A84=O50,O63*O54,O63))-IF($A84&lt;O51,0,IF($A84=O51,O67*O55,O67)))/(1+O47)^($A84-O48-1))</f>
        <v/>
      </c>
    </row>
    <row r="85">
      <c r="A85" s="18">
        <f>A84+1</f>
        <v/>
      </c>
      <c r="B85" s="14">
        <f>IF(OR($A85&lt;=B48,$A85&gt;B34),0,(B29-IF($A85&lt;B50,0,IF($A85=B50,B63*B54,B63))-IF($A85&lt;B51,0,IF($A85=B51,B67*B55,B67)))/(1+B47)^($A85-B48-1))</f>
        <v/>
      </c>
      <c r="C85" s="14">
        <f>IF(OR($A85&lt;=C48,$A85&gt;C34),0,(C29-IF($A85&lt;C50,0,IF($A85=C50,C63*C54,C63))-IF($A85&lt;C51,0,IF($A85=C51,C67*C55,C67)))/(1+C47)^($A85-C48-1))</f>
        <v/>
      </c>
      <c r="D85" s="14">
        <f>IF(OR($A85&lt;=D48,$A85&gt;D34),0,(D29-IF($A85&lt;D50,0,IF($A85=D50,D63*D54,D63))-IF($A85&lt;D51,0,IF($A85=D51,D67*D55,D67)))/(1+D47)^($A85-D48-1))</f>
        <v/>
      </c>
      <c r="E85" s="14">
        <f>IF(OR($A85&lt;=E48,$A85&gt;E34),0,(E29-IF($A85&lt;E50,0,IF($A85=E50,E63*E54,E63))-IF($A85&lt;E51,0,IF($A85=E51,E67*E55,E67)))/(1+E47)^($A85-E48-1))</f>
        <v/>
      </c>
      <c r="F85" s="14">
        <f>IF(OR($A85&lt;=F48,$A85&gt;F34),0,(F29-IF($A85&lt;F50,0,IF($A85=F50,F63*F54,F63))-IF($A85&lt;F51,0,IF($A85=F51,F67*F55,F67)))/(1+F47)^($A85-F48-1))</f>
        <v/>
      </c>
      <c r="G85" s="14">
        <f>IF(OR($A85&lt;=G48,$A85&gt;G34),0,(G29-IF($A85&lt;G50,0,IF($A85=G50,G63*G54,G63))-IF($A85&lt;G51,0,IF($A85=G51,G67*G55,G67)))/(1+G47)^($A85-G48-1))</f>
        <v/>
      </c>
      <c r="H85" s="14">
        <f>IF(OR($A85&lt;=H48,$A85&gt;H34),0,(H29-IF($A85&lt;H50,0,IF($A85=H50,H63*H54,H63))-IF($A85&lt;H51,0,IF($A85=H51,H67*H55,H67)))/(1+H47)^($A85-H48-1))</f>
        <v/>
      </c>
      <c r="I85" s="14">
        <f>IF(OR($A85&lt;=I48,$A85&gt;I34),0,(I29-IF($A85&lt;I50,0,IF($A85=I50,I63*I54,I63))-IF($A85&lt;I51,0,IF($A85=I51,I67*I55,I67)))/(1+I47)^($A85-I48-1))</f>
        <v/>
      </c>
      <c r="J85" s="14">
        <f>IF(OR($A85&lt;=J48,$A85&gt;J34),0,(J29-IF($A85&lt;J50,0,IF($A85=J50,J63*J54,J63))-IF($A85&lt;J51,0,IF($A85=J51,J67*J55,J67)))/(1+J47)^($A85-J48-1))</f>
        <v/>
      </c>
      <c r="K85" s="14">
        <f>IF(OR($A85&lt;=K48,$A85&gt;K34),0,(K29-IF($A85&lt;K50,0,IF($A85=K50,K63*K54,K63))-IF($A85&lt;K51,0,IF($A85=K51,K67*K55,K67)))/(1+K47)^($A85-K48-1))</f>
        <v/>
      </c>
      <c r="L85" s="14">
        <f>IF(OR($A85&lt;=L48,$A85&gt;L34),0,(L29-IF($A85&lt;L50,0,IF($A85=L50,L63*L54,L63))-IF($A85&lt;L51,0,IF($A85=L51,L67*L55,L67)))/(1+L47)^($A85-L48-1))</f>
        <v/>
      </c>
      <c r="M85" s="14">
        <f>IF(OR($A85&lt;=M48,$A85&gt;M34),0,(M29-IF($A85&lt;M50,0,IF($A85=M50,M63*M54,M63))-IF($A85&lt;M51,0,IF($A85=M51,M67*M55,M67)))/(1+M47)^($A85-M48-1))</f>
        <v/>
      </c>
      <c r="N85" s="14">
        <f>IF(OR($A85&lt;=N48,$A85&gt;N34),0,(N29-IF($A85&lt;N50,0,IF($A85=N50,N63*N54,N63))-IF($A85&lt;N51,0,IF($A85=N51,N67*N55,N67)))/(1+N47)^($A85-N48-1))</f>
        <v/>
      </c>
      <c r="O85" s="14">
        <f>IF(OR($A85&lt;=O48,$A85&gt;O34),0,(O29-IF($A85&lt;O50,0,IF($A85=O50,O63*O54,O63))-IF($A85&lt;O51,0,IF($A85=O51,O67*O55,O67)))/(1+O47)^($A85-O48-1))</f>
        <v/>
      </c>
    </row>
    <row r="86">
      <c r="A86" s="18">
        <f>A85+1</f>
        <v/>
      </c>
      <c r="B86" s="14">
        <f>IF(OR($A86&lt;=B48,$A86&gt;B34),0,(B29-IF($A86&lt;B50,0,IF($A86=B50,B63*B54,B63))-IF($A86&lt;B51,0,IF($A86=B51,B67*B55,B67)))/(1+B47)^($A86-B48-1))</f>
        <v/>
      </c>
      <c r="C86" s="14">
        <f>IF(OR($A86&lt;=C48,$A86&gt;C34),0,(C29-IF($A86&lt;C50,0,IF($A86=C50,C63*C54,C63))-IF($A86&lt;C51,0,IF($A86=C51,C67*C55,C67)))/(1+C47)^($A86-C48-1))</f>
        <v/>
      </c>
      <c r="D86" s="14">
        <f>IF(OR($A86&lt;=D48,$A86&gt;D34),0,(D29-IF($A86&lt;D50,0,IF($A86=D50,D63*D54,D63))-IF($A86&lt;D51,0,IF($A86=D51,D67*D55,D67)))/(1+D47)^($A86-D48-1))</f>
        <v/>
      </c>
      <c r="E86" s="14">
        <f>IF(OR($A86&lt;=E48,$A86&gt;E34),0,(E29-IF($A86&lt;E50,0,IF($A86=E50,E63*E54,E63))-IF($A86&lt;E51,0,IF($A86=E51,E67*E55,E67)))/(1+E47)^($A86-E48-1))</f>
        <v/>
      </c>
      <c r="F86" s="14">
        <f>IF(OR($A86&lt;=F48,$A86&gt;F34),0,(F29-IF($A86&lt;F50,0,IF($A86=F50,F63*F54,F63))-IF($A86&lt;F51,0,IF($A86=F51,F67*F55,F67)))/(1+F47)^($A86-F48-1))</f>
        <v/>
      </c>
      <c r="G86" s="14">
        <f>IF(OR($A86&lt;=G48,$A86&gt;G34),0,(G29-IF($A86&lt;G50,0,IF($A86=G50,G63*G54,G63))-IF($A86&lt;G51,0,IF($A86=G51,G67*G55,G67)))/(1+G47)^($A86-G48-1))</f>
        <v/>
      </c>
      <c r="H86" s="14">
        <f>IF(OR($A86&lt;=H48,$A86&gt;H34),0,(H29-IF($A86&lt;H50,0,IF($A86=H50,H63*H54,H63))-IF($A86&lt;H51,0,IF($A86=H51,H67*H55,H67)))/(1+H47)^($A86-H48-1))</f>
        <v/>
      </c>
      <c r="I86" s="14">
        <f>IF(OR($A86&lt;=I48,$A86&gt;I34),0,(I29-IF($A86&lt;I50,0,IF($A86=I50,I63*I54,I63))-IF($A86&lt;I51,0,IF($A86=I51,I67*I55,I67)))/(1+I47)^($A86-I48-1))</f>
        <v/>
      </c>
      <c r="J86" s="14">
        <f>IF(OR($A86&lt;=J48,$A86&gt;J34),0,(J29-IF($A86&lt;J50,0,IF($A86=J50,J63*J54,J63))-IF($A86&lt;J51,0,IF($A86=J51,J67*J55,J67)))/(1+J47)^($A86-J48-1))</f>
        <v/>
      </c>
      <c r="K86" s="14">
        <f>IF(OR($A86&lt;=K48,$A86&gt;K34),0,(K29-IF($A86&lt;K50,0,IF($A86=K50,K63*K54,K63))-IF($A86&lt;K51,0,IF($A86=K51,K67*K55,K67)))/(1+K47)^($A86-K48-1))</f>
        <v/>
      </c>
      <c r="L86" s="14">
        <f>IF(OR($A86&lt;=L48,$A86&gt;L34),0,(L29-IF($A86&lt;L50,0,IF($A86=L50,L63*L54,L63))-IF($A86&lt;L51,0,IF($A86=L51,L67*L55,L67)))/(1+L47)^($A86-L48-1))</f>
        <v/>
      </c>
      <c r="M86" s="14">
        <f>IF(OR($A86&lt;=M48,$A86&gt;M34),0,(M29-IF($A86&lt;M50,0,IF($A86=M50,M63*M54,M63))-IF($A86&lt;M51,0,IF($A86=M51,M67*M55,M67)))/(1+M47)^($A86-M48-1))</f>
        <v/>
      </c>
      <c r="N86" s="14">
        <f>IF(OR($A86&lt;=N48,$A86&gt;N34),0,(N29-IF($A86&lt;N50,0,IF($A86=N50,N63*N54,N63))-IF($A86&lt;N51,0,IF($A86=N51,N67*N55,N67)))/(1+N47)^($A86-N48-1))</f>
        <v/>
      </c>
      <c r="O86" s="14">
        <f>IF(OR($A86&lt;=O48,$A86&gt;O34),0,(O29-IF($A86&lt;O50,0,IF($A86=O50,O63*O54,O63))-IF($A86&lt;O51,0,IF($A86=O51,O67*O55,O67)))/(1+O47)^($A86-O48-1))</f>
        <v/>
      </c>
    </row>
    <row r="87">
      <c r="A87" s="18">
        <f>A86+1</f>
        <v/>
      </c>
      <c r="B87" s="14">
        <f>IF(OR($A87&lt;=B48,$A87&gt;B34),0,(B29-IF($A87&lt;B50,0,IF($A87=B50,B63*B54,B63))-IF($A87&lt;B51,0,IF($A87=B51,B67*B55,B67)))/(1+B47)^($A87-B48-1))</f>
        <v/>
      </c>
      <c r="C87" s="14">
        <f>IF(OR($A87&lt;=C48,$A87&gt;C34),0,(C29-IF($A87&lt;C50,0,IF($A87=C50,C63*C54,C63))-IF($A87&lt;C51,0,IF($A87=C51,C67*C55,C67)))/(1+C47)^($A87-C48-1))</f>
        <v/>
      </c>
      <c r="D87" s="14">
        <f>IF(OR($A87&lt;=D48,$A87&gt;D34),0,(D29-IF($A87&lt;D50,0,IF($A87=D50,D63*D54,D63))-IF($A87&lt;D51,0,IF($A87=D51,D67*D55,D67)))/(1+D47)^($A87-D48-1))</f>
        <v/>
      </c>
      <c r="E87" s="14">
        <f>IF(OR($A87&lt;=E48,$A87&gt;E34),0,(E29-IF($A87&lt;E50,0,IF($A87=E50,E63*E54,E63))-IF($A87&lt;E51,0,IF($A87=E51,E67*E55,E67)))/(1+E47)^($A87-E48-1))</f>
        <v/>
      </c>
      <c r="F87" s="14">
        <f>IF(OR($A87&lt;=F48,$A87&gt;F34),0,(F29-IF($A87&lt;F50,0,IF($A87=F50,F63*F54,F63))-IF($A87&lt;F51,0,IF($A87=F51,F67*F55,F67)))/(1+F47)^($A87-F48-1))</f>
        <v/>
      </c>
      <c r="G87" s="14">
        <f>IF(OR($A87&lt;=G48,$A87&gt;G34),0,(G29-IF($A87&lt;G50,0,IF($A87=G50,G63*G54,G63))-IF($A87&lt;G51,0,IF($A87=G51,G67*G55,G67)))/(1+G47)^($A87-G48-1))</f>
        <v/>
      </c>
      <c r="H87" s="14">
        <f>IF(OR($A87&lt;=H48,$A87&gt;H34),0,(H29-IF($A87&lt;H50,0,IF($A87=H50,H63*H54,H63))-IF($A87&lt;H51,0,IF($A87=H51,H67*H55,H67)))/(1+H47)^($A87-H48-1))</f>
        <v/>
      </c>
      <c r="I87" s="14">
        <f>IF(OR($A87&lt;=I48,$A87&gt;I34),0,(I29-IF($A87&lt;I50,0,IF($A87=I50,I63*I54,I63))-IF($A87&lt;I51,0,IF($A87=I51,I67*I55,I67)))/(1+I47)^($A87-I48-1))</f>
        <v/>
      </c>
      <c r="J87" s="14">
        <f>IF(OR($A87&lt;=J48,$A87&gt;J34),0,(J29-IF($A87&lt;J50,0,IF($A87=J50,J63*J54,J63))-IF($A87&lt;J51,0,IF($A87=J51,J67*J55,J67)))/(1+J47)^($A87-J48-1))</f>
        <v/>
      </c>
      <c r="K87" s="14">
        <f>IF(OR($A87&lt;=K48,$A87&gt;K34),0,(K29-IF($A87&lt;K50,0,IF($A87=K50,K63*K54,K63))-IF($A87&lt;K51,0,IF($A87=K51,K67*K55,K67)))/(1+K47)^($A87-K48-1))</f>
        <v/>
      </c>
      <c r="L87" s="14">
        <f>IF(OR($A87&lt;=L48,$A87&gt;L34),0,(L29-IF($A87&lt;L50,0,IF($A87=L50,L63*L54,L63))-IF($A87&lt;L51,0,IF($A87=L51,L67*L55,L67)))/(1+L47)^($A87-L48-1))</f>
        <v/>
      </c>
      <c r="M87" s="14">
        <f>IF(OR($A87&lt;=M48,$A87&gt;M34),0,(M29-IF($A87&lt;M50,0,IF($A87=M50,M63*M54,M63))-IF($A87&lt;M51,0,IF($A87=M51,M67*M55,M67)))/(1+M47)^($A87-M48-1))</f>
        <v/>
      </c>
      <c r="N87" s="14">
        <f>IF(OR($A87&lt;=N48,$A87&gt;N34),0,(N29-IF($A87&lt;N50,0,IF($A87=N50,N63*N54,N63))-IF($A87&lt;N51,0,IF($A87=N51,N67*N55,N67)))/(1+N47)^($A87-N48-1))</f>
        <v/>
      </c>
      <c r="O87" s="14">
        <f>IF(OR($A87&lt;=O48,$A87&gt;O34),0,(O29-IF($A87&lt;O50,0,IF($A87=O50,O63*O54,O63))-IF($A87&lt;O51,0,IF($A87=O51,O67*O55,O67)))/(1+O47)^($A87-O48-1))</f>
        <v/>
      </c>
    </row>
    <row r="88">
      <c r="A88" s="18">
        <f>A87+1</f>
        <v/>
      </c>
      <c r="B88" s="14">
        <f>IF(OR($A88&lt;=B48,$A88&gt;B34),0,(B29-IF($A88&lt;B50,0,IF($A88=B50,B63*B54,B63))-IF($A88&lt;B51,0,IF($A88=B51,B67*B55,B67)))/(1+B47)^($A88-B48-1))</f>
        <v/>
      </c>
      <c r="C88" s="14">
        <f>IF(OR($A88&lt;=C48,$A88&gt;C34),0,(C29-IF($A88&lt;C50,0,IF($A88=C50,C63*C54,C63))-IF($A88&lt;C51,0,IF($A88=C51,C67*C55,C67)))/(1+C47)^($A88-C48-1))</f>
        <v/>
      </c>
      <c r="D88" s="14">
        <f>IF(OR($A88&lt;=D48,$A88&gt;D34),0,(D29-IF($A88&lt;D50,0,IF($A88=D50,D63*D54,D63))-IF($A88&lt;D51,0,IF($A88=D51,D67*D55,D67)))/(1+D47)^($A88-D48-1))</f>
        <v/>
      </c>
      <c r="E88" s="14">
        <f>IF(OR($A88&lt;=E48,$A88&gt;E34),0,(E29-IF($A88&lt;E50,0,IF($A88=E50,E63*E54,E63))-IF($A88&lt;E51,0,IF($A88=E51,E67*E55,E67)))/(1+E47)^($A88-E48-1))</f>
        <v/>
      </c>
      <c r="F88" s="14">
        <f>IF(OR($A88&lt;=F48,$A88&gt;F34),0,(F29-IF($A88&lt;F50,0,IF($A88=F50,F63*F54,F63))-IF($A88&lt;F51,0,IF($A88=F51,F67*F55,F67)))/(1+F47)^($A88-F48-1))</f>
        <v/>
      </c>
      <c r="G88" s="14">
        <f>IF(OR($A88&lt;=G48,$A88&gt;G34),0,(G29-IF($A88&lt;G50,0,IF($A88=G50,G63*G54,G63))-IF($A88&lt;G51,0,IF($A88=G51,G67*G55,G67)))/(1+G47)^($A88-G48-1))</f>
        <v/>
      </c>
      <c r="H88" s="14">
        <f>IF(OR($A88&lt;=H48,$A88&gt;H34),0,(H29-IF($A88&lt;H50,0,IF($A88=H50,H63*H54,H63))-IF($A88&lt;H51,0,IF($A88=H51,H67*H55,H67)))/(1+H47)^($A88-H48-1))</f>
        <v/>
      </c>
      <c r="I88" s="14">
        <f>IF(OR($A88&lt;=I48,$A88&gt;I34),0,(I29-IF($A88&lt;I50,0,IF($A88=I50,I63*I54,I63))-IF($A88&lt;I51,0,IF($A88=I51,I67*I55,I67)))/(1+I47)^($A88-I48-1))</f>
        <v/>
      </c>
      <c r="J88" s="14">
        <f>IF(OR($A88&lt;=J48,$A88&gt;J34),0,(J29-IF($A88&lt;J50,0,IF($A88=J50,J63*J54,J63))-IF($A88&lt;J51,0,IF($A88=J51,J67*J55,J67)))/(1+J47)^($A88-J48-1))</f>
        <v/>
      </c>
      <c r="K88" s="14">
        <f>IF(OR($A88&lt;=K48,$A88&gt;K34),0,(K29-IF($A88&lt;K50,0,IF($A88=K50,K63*K54,K63))-IF($A88&lt;K51,0,IF($A88=K51,K67*K55,K67)))/(1+K47)^($A88-K48-1))</f>
        <v/>
      </c>
      <c r="L88" s="14">
        <f>IF(OR($A88&lt;=L48,$A88&gt;L34),0,(L29-IF($A88&lt;L50,0,IF($A88=L50,L63*L54,L63))-IF($A88&lt;L51,0,IF($A88=L51,L67*L55,L67)))/(1+L47)^($A88-L48-1))</f>
        <v/>
      </c>
      <c r="M88" s="14">
        <f>IF(OR($A88&lt;=M48,$A88&gt;M34),0,(M29-IF($A88&lt;M50,0,IF($A88=M50,M63*M54,M63))-IF($A88&lt;M51,0,IF($A88=M51,M67*M55,M67)))/(1+M47)^($A88-M48-1))</f>
        <v/>
      </c>
      <c r="N88" s="14">
        <f>IF(OR($A88&lt;=N48,$A88&gt;N34),0,(N29-IF($A88&lt;N50,0,IF($A88=N50,N63*N54,N63))-IF($A88&lt;N51,0,IF($A88=N51,N67*N55,N67)))/(1+N47)^($A88-N48-1))</f>
        <v/>
      </c>
      <c r="O88" s="14">
        <f>IF(OR($A88&lt;=O48,$A88&gt;O34),0,(O29-IF($A88&lt;O50,0,IF($A88=O50,O63*O54,O63))-IF($A88&lt;O51,0,IF($A88=O51,O67*O55,O67)))/(1+O47)^($A88-O48-1))</f>
        <v/>
      </c>
    </row>
    <row r="89">
      <c r="A89" s="18">
        <f>A88+1</f>
        <v/>
      </c>
      <c r="B89" s="14">
        <f>IF(OR($A89&lt;=B48,$A89&gt;B34),0,(B29-IF($A89&lt;B50,0,IF($A89=B50,B63*B54,B63))-IF($A89&lt;B51,0,IF($A89=B51,B67*B55,B67)))/(1+B47)^($A89-B48-1))</f>
        <v/>
      </c>
      <c r="C89" s="14">
        <f>IF(OR($A89&lt;=C48,$A89&gt;C34),0,(C29-IF($A89&lt;C50,0,IF($A89=C50,C63*C54,C63))-IF($A89&lt;C51,0,IF($A89=C51,C67*C55,C67)))/(1+C47)^($A89-C48-1))</f>
        <v/>
      </c>
      <c r="D89" s="14">
        <f>IF(OR($A89&lt;=D48,$A89&gt;D34),0,(D29-IF($A89&lt;D50,0,IF($A89=D50,D63*D54,D63))-IF($A89&lt;D51,0,IF($A89=D51,D67*D55,D67)))/(1+D47)^($A89-D48-1))</f>
        <v/>
      </c>
      <c r="E89" s="14">
        <f>IF(OR($A89&lt;=E48,$A89&gt;E34),0,(E29-IF($A89&lt;E50,0,IF($A89=E50,E63*E54,E63))-IF($A89&lt;E51,0,IF($A89=E51,E67*E55,E67)))/(1+E47)^($A89-E48-1))</f>
        <v/>
      </c>
      <c r="F89" s="14">
        <f>IF(OR($A89&lt;=F48,$A89&gt;F34),0,(F29-IF($A89&lt;F50,0,IF($A89=F50,F63*F54,F63))-IF($A89&lt;F51,0,IF($A89=F51,F67*F55,F67)))/(1+F47)^($A89-F48-1))</f>
        <v/>
      </c>
      <c r="G89" s="14">
        <f>IF(OR($A89&lt;=G48,$A89&gt;G34),0,(G29-IF($A89&lt;G50,0,IF($A89=G50,G63*G54,G63))-IF($A89&lt;G51,0,IF($A89=G51,G67*G55,G67)))/(1+G47)^($A89-G48-1))</f>
        <v/>
      </c>
      <c r="H89" s="14">
        <f>IF(OR($A89&lt;=H48,$A89&gt;H34),0,(H29-IF($A89&lt;H50,0,IF($A89=H50,H63*H54,H63))-IF($A89&lt;H51,0,IF($A89=H51,H67*H55,H67)))/(1+H47)^($A89-H48-1))</f>
        <v/>
      </c>
      <c r="I89" s="14">
        <f>IF(OR($A89&lt;=I48,$A89&gt;I34),0,(I29-IF($A89&lt;I50,0,IF($A89=I50,I63*I54,I63))-IF($A89&lt;I51,0,IF($A89=I51,I67*I55,I67)))/(1+I47)^($A89-I48-1))</f>
        <v/>
      </c>
      <c r="J89" s="14">
        <f>IF(OR($A89&lt;=J48,$A89&gt;J34),0,(J29-IF($A89&lt;J50,0,IF($A89=J50,J63*J54,J63))-IF($A89&lt;J51,0,IF($A89=J51,J67*J55,J67)))/(1+J47)^($A89-J48-1))</f>
        <v/>
      </c>
      <c r="K89" s="14">
        <f>IF(OR($A89&lt;=K48,$A89&gt;K34),0,(K29-IF($A89&lt;K50,0,IF($A89=K50,K63*K54,K63))-IF($A89&lt;K51,0,IF($A89=K51,K67*K55,K67)))/(1+K47)^($A89-K48-1))</f>
        <v/>
      </c>
      <c r="L89" s="14">
        <f>IF(OR($A89&lt;=L48,$A89&gt;L34),0,(L29-IF($A89&lt;L50,0,IF($A89=L50,L63*L54,L63))-IF($A89&lt;L51,0,IF($A89=L51,L67*L55,L67)))/(1+L47)^($A89-L48-1))</f>
        <v/>
      </c>
      <c r="M89" s="14">
        <f>IF(OR($A89&lt;=M48,$A89&gt;M34),0,(M29-IF($A89&lt;M50,0,IF($A89=M50,M63*M54,M63))-IF($A89&lt;M51,0,IF($A89=M51,M67*M55,M67)))/(1+M47)^($A89-M48-1))</f>
        <v/>
      </c>
      <c r="N89" s="14">
        <f>IF(OR($A89&lt;=N48,$A89&gt;N34),0,(N29-IF($A89&lt;N50,0,IF($A89=N50,N63*N54,N63))-IF($A89&lt;N51,0,IF($A89=N51,N67*N55,N67)))/(1+N47)^($A89-N48-1))</f>
        <v/>
      </c>
      <c r="O89" s="14">
        <f>IF(OR($A89&lt;=O48,$A89&gt;O34),0,(O29-IF($A89&lt;O50,0,IF($A89=O50,O63*O54,O63))-IF($A89&lt;O51,0,IF($A89=O51,O67*O55,O67)))/(1+O47)^($A89-O48-1))</f>
        <v/>
      </c>
    </row>
    <row r="90">
      <c r="A90" s="18">
        <f>A89+1</f>
        <v/>
      </c>
      <c r="B90" s="14">
        <f>IF(OR($A90&lt;=B48,$A90&gt;B34),0,(B29-IF($A90&lt;B50,0,IF($A90=B50,B63*B54,B63))-IF($A90&lt;B51,0,IF($A90=B51,B67*B55,B67)))/(1+B47)^($A90-B48-1))</f>
        <v/>
      </c>
      <c r="C90" s="14">
        <f>IF(OR($A90&lt;=C48,$A90&gt;C34),0,(C29-IF($A90&lt;C50,0,IF($A90=C50,C63*C54,C63))-IF($A90&lt;C51,0,IF($A90=C51,C67*C55,C67)))/(1+C47)^($A90-C48-1))</f>
        <v/>
      </c>
      <c r="D90" s="14">
        <f>IF(OR($A90&lt;=D48,$A90&gt;D34),0,(D29-IF($A90&lt;D50,0,IF($A90=D50,D63*D54,D63))-IF($A90&lt;D51,0,IF($A90=D51,D67*D55,D67)))/(1+D47)^($A90-D48-1))</f>
        <v/>
      </c>
      <c r="E90" s="14">
        <f>IF(OR($A90&lt;=E48,$A90&gt;E34),0,(E29-IF($A90&lt;E50,0,IF($A90=E50,E63*E54,E63))-IF($A90&lt;E51,0,IF($A90=E51,E67*E55,E67)))/(1+E47)^($A90-E48-1))</f>
        <v/>
      </c>
      <c r="F90" s="14">
        <f>IF(OR($A90&lt;=F48,$A90&gt;F34),0,(F29-IF($A90&lt;F50,0,IF($A90=F50,F63*F54,F63))-IF($A90&lt;F51,0,IF($A90=F51,F67*F55,F67)))/(1+F47)^($A90-F48-1))</f>
        <v/>
      </c>
      <c r="G90" s="14">
        <f>IF(OR($A90&lt;=G48,$A90&gt;G34),0,(G29-IF($A90&lt;G50,0,IF($A90=G50,G63*G54,G63))-IF($A90&lt;G51,0,IF($A90=G51,G67*G55,G67)))/(1+G47)^($A90-G48-1))</f>
        <v/>
      </c>
      <c r="H90" s="14">
        <f>IF(OR($A90&lt;=H48,$A90&gt;H34),0,(H29-IF($A90&lt;H50,0,IF($A90=H50,H63*H54,H63))-IF($A90&lt;H51,0,IF($A90=H51,H67*H55,H67)))/(1+H47)^($A90-H48-1))</f>
        <v/>
      </c>
      <c r="I90" s="14">
        <f>IF(OR($A90&lt;=I48,$A90&gt;I34),0,(I29-IF($A90&lt;I50,0,IF($A90=I50,I63*I54,I63))-IF($A90&lt;I51,0,IF($A90=I51,I67*I55,I67)))/(1+I47)^($A90-I48-1))</f>
        <v/>
      </c>
      <c r="J90" s="14">
        <f>IF(OR($A90&lt;=J48,$A90&gt;J34),0,(J29-IF($A90&lt;J50,0,IF($A90=J50,J63*J54,J63))-IF($A90&lt;J51,0,IF($A90=J51,J67*J55,J67)))/(1+J47)^($A90-J48-1))</f>
        <v/>
      </c>
      <c r="K90" s="14">
        <f>IF(OR($A90&lt;=K48,$A90&gt;K34),0,(K29-IF($A90&lt;K50,0,IF($A90=K50,K63*K54,K63))-IF($A90&lt;K51,0,IF($A90=K51,K67*K55,K67)))/(1+K47)^($A90-K48-1))</f>
        <v/>
      </c>
      <c r="L90" s="14">
        <f>IF(OR($A90&lt;=L48,$A90&gt;L34),0,(L29-IF($A90&lt;L50,0,IF($A90=L50,L63*L54,L63))-IF($A90&lt;L51,0,IF($A90=L51,L67*L55,L67)))/(1+L47)^($A90-L48-1))</f>
        <v/>
      </c>
      <c r="M90" s="14">
        <f>IF(OR($A90&lt;=M48,$A90&gt;M34),0,(M29-IF($A90&lt;M50,0,IF($A90=M50,M63*M54,M63))-IF($A90&lt;M51,0,IF($A90=M51,M67*M55,M67)))/(1+M47)^($A90-M48-1))</f>
        <v/>
      </c>
      <c r="N90" s="14">
        <f>IF(OR($A90&lt;=N48,$A90&gt;N34),0,(N29-IF($A90&lt;N50,0,IF($A90=N50,N63*N54,N63))-IF($A90&lt;N51,0,IF($A90=N51,N67*N55,N67)))/(1+N47)^($A90-N48-1))</f>
        <v/>
      </c>
      <c r="O90" s="14">
        <f>IF(OR($A90&lt;=O48,$A90&gt;O34),0,(O29-IF($A90&lt;O50,0,IF($A90=O50,O63*O54,O63))-IF($A90&lt;O51,0,IF($A90=O51,O67*O55,O67)))/(1+O47)^($A90-O48-1))</f>
        <v/>
      </c>
    </row>
    <row r="91">
      <c r="A91" s="18">
        <f>A90+1</f>
        <v/>
      </c>
      <c r="B91" s="14">
        <f>IF(OR($A91&lt;=B48,$A91&gt;B34),0,(B29-IF($A91&lt;B50,0,IF($A91=B50,B63*B54,B63))-IF($A91&lt;B51,0,IF($A91=B51,B67*B55,B67)))/(1+B47)^($A91-B48-1))</f>
        <v/>
      </c>
      <c r="C91" s="14">
        <f>IF(OR($A91&lt;=C48,$A91&gt;C34),0,(C29-IF($A91&lt;C50,0,IF($A91=C50,C63*C54,C63))-IF($A91&lt;C51,0,IF($A91=C51,C67*C55,C67)))/(1+C47)^($A91-C48-1))</f>
        <v/>
      </c>
      <c r="D91" s="14">
        <f>IF(OR($A91&lt;=D48,$A91&gt;D34),0,(D29-IF($A91&lt;D50,0,IF($A91=D50,D63*D54,D63))-IF($A91&lt;D51,0,IF($A91=D51,D67*D55,D67)))/(1+D47)^($A91-D48-1))</f>
        <v/>
      </c>
      <c r="E91" s="14">
        <f>IF(OR($A91&lt;=E48,$A91&gt;E34),0,(E29-IF($A91&lt;E50,0,IF($A91=E50,E63*E54,E63))-IF($A91&lt;E51,0,IF($A91=E51,E67*E55,E67)))/(1+E47)^($A91-E48-1))</f>
        <v/>
      </c>
      <c r="F91" s="14">
        <f>IF(OR($A91&lt;=F48,$A91&gt;F34),0,(F29-IF($A91&lt;F50,0,IF($A91=F50,F63*F54,F63))-IF($A91&lt;F51,0,IF($A91=F51,F67*F55,F67)))/(1+F47)^($A91-F48-1))</f>
        <v/>
      </c>
      <c r="G91" s="14">
        <f>IF(OR($A91&lt;=G48,$A91&gt;G34),0,(G29-IF($A91&lt;G50,0,IF($A91=G50,G63*G54,G63))-IF($A91&lt;G51,0,IF($A91=G51,G67*G55,G67)))/(1+G47)^($A91-G48-1))</f>
        <v/>
      </c>
      <c r="H91" s="14">
        <f>IF(OR($A91&lt;=H48,$A91&gt;H34),0,(H29-IF($A91&lt;H50,0,IF($A91=H50,H63*H54,H63))-IF($A91&lt;H51,0,IF($A91=H51,H67*H55,H67)))/(1+H47)^($A91-H48-1))</f>
        <v/>
      </c>
      <c r="I91" s="14">
        <f>IF(OR($A91&lt;=I48,$A91&gt;I34),0,(I29-IF($A91&lt;I50,0,IF($A91=I50,I63*I54,I63))-IF($A91&lt;I51,0,IF($A91=I51,I67*I55,I67)))/(1+I47)^($A91-I48-1))</f>
        <v/>
      </c>
      <c r="J91" s="14">
        <f>IF(OR($A91&lt;=J48,$A91&gt;J34),0,(J29-IF($A91&lt;J50,0,IF($A91=J50,J63*J54,J63))-IF($A91&lt;J51,0,IF($A91=J51,J67*J55,J67)))/(1+J47)^($A91-J48-1))</f>
        <v/>
      </c>
      <c r="K91" s="14">
        <f>IF(OR($A91&lt;=K48,$A91&gt;K34),0,(K29-IF($A91&lt;K50,0,IF($A91=K50,K63*K54,K63))-IF($A91&lt;K51,0,IF($A91=K51,K67*K55,K67)))/(1+K47)^($A91-K48-1))</f>
        <v/>
      </c>
      <c r="L91" s="14">
        <f>IF(OR($A91&lt;=L48,$A91&gt;L34),0,(L29-IF($A91&lt;L50,0,IF($A91=L50,L63*L54,L63))-IF($A91&lt;L51,0,IF($A91=L51,L67*L55,L67)))/(1+L47)^($A91-L48-1))</f>
        <v/>
      </c>
      <c r="M91" s="14">
        <f>IF(OR($A91&lt;=M48,$A91&gt;M34),0,(M29-IF($A91&lt;M50,0,IF($A91=M50,M63*M54,M63))-IF($A91&lt;M51,0,IF($A91=M51,M67*M55,M67)))/(1+M47)^($A91-M48-1))</f>
        <v/>
      </c>
      <c r="N91" s="14">
        <f>IF(OR($A91&lt;=N48,$A91&gt;N34),0,(N29-IF($A91&lt;N50,0,IF($A91=N50,N63*N54,N63))-IF($A91&lt;N51,0,IF($A91=N51,N67*N55,N67)))/(1+N47)^($A91-N48-1))</f>
        <v/>
      </c>
      <c r="O91" s="14">
        <f>IF(OR($A91&lt;=O48,$A91&gt;O34),0,(O29-IF($A91&lt;O50,0,IF($A91=O50,O63*O54,O63))-IF($A91&lt;O51,0,IF($A91=O51,O67*O55,O67)))/(1+O47)^($A91-O48-1))</f>
        <v/>
      </c>
    </row>
    <row r="92">
      <c r="A92" s="18">
        <f>A91+1</f>
        <v/>
      </c>
      <c r="B92" s="14">
        <f>IF(OR($A92&lt;=B48,$A92&gt;B34),0,(B29-IF($A92&lt;B50,0,IF($A92=B50,B63*B54,B63))-IF($A92&lt;B51,0,IF($A92=B51,B67*B55,B67)))/(1+B47)^($A92-B48-1))</f>
        <v/>
      </c>
      <c r="C92" s="14">
        <f>IF(OR($A92&lt;=C48,$A92&gt;C34),0,(C29-IF($A92&lt;C50,0,IF($A92=C50,C63*C54,C63))-IF($A92&lt;C51,0,IF($A92=C51,C67*C55,C67)))/(1+C47)^($A92-C48-1))</f>
        <v/>
      </c>
      <c r="D92" s="14">
        <f>IF(OR($A92&lt;=D48,$A92&gt;D34),0,(D29-IF($A92&lt;D50,0,IF($A92=D50,D63*D54,D63))-IF($A92&lt;D51,0,IF($A92=D51,D67*D55,D67)))/(1+D47)^($A92-D48-1))</f>
        <v/>
      </c>
      <c r="E92" s="14">
        <f>IF(OR($A92&lt;=E48,$A92&gt;E34),0,(E29-IF($A92&lt;E50,0,IF($A92=E50,E63*E54,E63))-IF($A92&lt;E51,0,IF($A92=E51,E67*E55,E67)))/(1+E47)^($A92-E48-1))</f>
        <v/>
      </c>
      <c r="F92" s="14">
        <f>IF(OR($A92&lt;=F48,$A92&gt;F34),0,(F29-IF($A92&lt;F50,0,IF($A92=F50,F63*F54,F63))-IF($A92&lt;F51,0,IF($A92=F51,F67*F55,F67)))/(1+F47)^($A92-F48-1))</f>
        <v/>
      </c>
      <c r="G92" s="14">
        <f>IF(OR($A92&lt;=G48,$A92&gt;G34),0,(G29-IF($A92&lt;G50,0,IF($A92=G50,G63*G54,G63))-IF($A92&lt;G51,0,IF($A92=G51,G67*G55,G67)))/(1+G47)^($A92-G48-1))</f>
        <v/>
      </c>
      <c r="H92" s="14">
        <f>IF(OR($A92&lt;=H48,$A92&gt;H34),0,(H29-IF($A92&lt;H50,0,IF($A92=H50,H63*H54,H63))-IF($A92&lt;H51,0,IF($A92=H51,H67*H55,H67)))/(1+H47)^($A92-H48-1))</f>
        <v/>
      </c>
      <c r="I92" s="14">
        <f>IF(OR($A92&lt;=I48,$A92&gt;I34),0,(I29-IF($A92&lt;I50,0,IF($A92=I50,I63*I54,I63))-IF($A92&lt;I51,0,IF($A92=I51,I67*I55,I67)))/(1+I47)^($A92-I48-1))</f>
        <v/>
      </c>
      <c r="J92" s="14">
        <f>IF(OR($A92&lt;=J48,$A92&gt;J34),0,(J29-IF($A92&lt;J50,0,IF($A92=J50,J63*J54,J63))-IF($A92&lt;J51,0,IF($A92=J51,J67*J55,J67)))/(1+J47)^($A92-J48-1))</f>
        <v/>
      </c>
      <c r="K92" s="14">
        <f>IF(OR($A92&lt;=K48,$A92&gt;K34),0,(K29-IF($A92&lt;K50,0,IF($A92=K50,K63*K54,K63))-IF($A92&lt;K51,0,IF($A92=K51,K67*K55,K67)))/(1+K47)^($A92-K48-1))</f>
        <v/>
      </c>
      <c r="L92" s="14">
        <f>IF(OR($A92&lt;=L48,$A92&gt;L34),0,(L29-IF($A92&lt;L50,0,IF($A92=L50,L63*L54,L63))-IF($A92&lt;L51,0,IF($A92=L51,L67*L55,L67)))/(1+L47)^($A92-L48-1))</f>
        <v/>
      </c>
      <c r="M92" s="14">
        <f>IF(OR($A92&lt;=M48,$A92&gt;M34),0,(M29-IF($A92&lt;M50,0,IF($A92=M50,M63*M54,M63))-IF($A92&lt;M51,0,IF($A92=M51,M67*M55,M67)))/(1+M47)^($A92-M48-1))</f>
        <v/>
      </c>
      <c r="N92" s="14">
        <f>IF(OR($A92&lt;=N48,$A92&gt;N34),0,(N29-IF($A92&lt;N50,0,IF($A92=N50,N63*N54,N63))-IF($A92&lt;N51,0,IF($A92=N51,N67*N55,N67)))/(1+N47)^($A92-N48-1))</f>
        <v/>
      </c>
      <c r="O92" s="14">
        <f>IF(OR($A92&lt;=O48,$A92&gt;O34),0,(O29-IF($A92&lt;O50,0,IF($A92=O50,O63*O54,O63))-IF($A92&lt;O51,0,IF($A92=O51,O67*O55,O67)))/(1+O47)^($A92-O48-1))</f>
        <v/>
      </c>
    </row>
    <row r="93">
      <c r="A93" s="18">
        <f>A92+1</f>
        <v/>
      </c>
      <c r="B93" s="14">
        <f>IF(OR($A93&lt;=B48,$A93&gt;B34),0,(B29-IF($A93&lt;B50,0,IF($A93=B50,B63*B54,B63))-IF($A93&lt;B51,0,IF($A93=B51,B67*B55,B67)))/(1+B47)^($A93-B48-1))</f>
        <v/>
      </c>
      <c r="C93" s="14">
        <f>IF(OR($A93&lt;=C48,$A93&gt;C34),0,(C29-IF($A93&lt;C50,0,IF($A93=C50,C63*C54,C63))-IF($A93&lt;C51,0,IF($A93=C51,C67*C55,C67)))/(1+C47)^($A93-C48-1))</f>
        <v/>
      </c>
      <c r="D93" s="14">
        <f>IF(OR($A93&lt;=D48,$A93&gt;D34),0,(D29-IF($A93&lt;D50,0,IF($A93=D50,D63*D54,D63))-IF($A93&lt;D51,0,IF($A93=D51,D67*D55,D67)))/(1+D47)^($A93-D48-1))</f>
        <v/>
      </c>
      <c r="E93" s="14">
        <f>IF(OR($A93&lt;=E48,$A93&gt;E34),0,(E29-IF($A93&lt;E50,0,IF($A93=E50,E63*E54,E63))-IF($A93&lt;E51,0,IF($A93=E51,E67*E55,E67)))/(1+E47)^($A93-E48-1))</f>
        <v/>
      </c>
      <c r="F93" s="14">
        <f>IF(OR($A93&lt;=F48,$A93&gt;F34),0,(F29-IF($A93&lt;F50,0,IF($A93=F50,F63*F54,F63))-IF($A93&lt;F51,0,IF($A93=F51,F67*F55,F67)))/(1+F47)^($A93-F48-1))</f>
        <v/>
      </c>
      <c r="G93" s="14">
        <f>IF(OR($A93&lt;=G48,$A93&gt;G34),0,(G29-IF($A93&lt;G50,0,IF($A93=G50,G63*G54,G63))-IF($A93&lt;G51,0,IF($A93=G51,G67*G55,G67)))/(1+G47)^($A93-G48-1))</f>
        <v/>
      </c>
      <c r="H93" s="14">
        <f>IF(OR($A93&lt;=H48,$A93&gt;H34),0,(H29-IF($A93&lt;H50,0,IF($A93=H50,H63*H54,H63))-IF($A93&lt;H51,0,IF($A93=H51,H67*H55,H67)))/(1+H47)^($A93-H48-1))</f>
        <v/>
      </c>
      <c r="I93" s="14">
        <f>IF(OR($A93&lt;=I48,$A93&gt;I34),0,(I29-IF($A93&lt;I50,0,IF($A93=I50,I63*I54,I63))-IF($A93&lt;I51,0,IF($A93=I51,I67*I55,I67)))/(1+I47)^($A93-I48-1))</f>
        <v/>
      </c>
      <c r="J93" s="14">
        <f>IF(OR($A93&lt;=J48,$A93&gt;J34),0,(J29-IF($A93&lt;J50,0,IF($A93=J50,J63*J54,J63))-IF($A93&lt;J51,0,IF($A93=J51,J67*J55,J67)))/(1+J47)^($A93-J48-1))</f>
        <v/>
      </c>
      <c r="K93" s="14">
        <f>IF(OR($A93&lt;=K48,$A93&gt;K34),0,(K29-IF($A93&lt;K50,0,IF($A93=K50,K63*K54,K63))-IF($A93&lt;K51,0,IF($A93=K51,K67*K55,K67)))/(1+K47)^($A93-K48-1))</f>
        <v/>
      </c>
      <c r="L93" s="14">
        <f>IF(OR($A93&lt;=L48,$A93&gt;L34),0,(L29-IF($A93&lt;L50,0,IF($A93=L50,L63*L54,L63))-IF($A93&lt;L51,0,IF($A93=L51,L67*L55,L67)))/(1+L47)^($A93-L48-1))</f>
        <v/>
      </c>
      <c r="M93" s="14">
        <f>IF(OR($A93&lt;=M48,$A93&gt;M34),0,(M29-IF($A93&lt;M50,0,IF($A93=M50,M63*M54,M63))-IF($A93&lt;M51,0,IF($A93=M51,M67*M55,M67)))/(1+M47)^($A93-M48-1))</f>
        <v/>
      </c>
      <c r="N93" s="14">
        <f>IF(OR($A93&lt;=N48,$A93&gt;N34),0,(N29-IF($A93&lt;N50,0,IF($A93=N50,N63*N54,N63))-IF($A93&lt;N51,0,IF($A93=N51,N67*N55,N67)))/(1+N47)^($A93-N48-1))</f>
        <v/>
      </c>
      <c r="O93" s="14">
        <f>IF(OR($A93&lt;=O48,$A93&gt;O34),0,(O29-IF($A93&lt;O50,0,IF($A93=O50,O63*O54,O63))-IF($A93&lt;O51,0,IF($A93=O51,O67*O55,O67)))/(1+O47)^($A93-O48-1))</f>
        <v/>
      </c>
    </row>
    <row r="94">
      <c r="A94" s="18">
        <f>A93+1</f>
        <v/>
      </c>
      <c r="B94" s="14">
        <f>IF(OR($A94&lt;=B48,$A94&gt;B34),0,(B29-IF($A94&lt;B50,0,IF($A94=B50,B63*B54,B63))-IF($A94&lt;B51,0,IF($A94=B51,B67*B55,B67)))/(1+B47)^($A94-B48-1))</f>
        <v/>
      </c>
      <c r="C94" s="14">
        <f>IF(OR($A94&lt;=C48,$A94&gt;C34),0,(C29-IF($A94&lt;C50,0,IF($A94=C50,C63*C54,C63))-IF($A94&lt;C51,0,IF($A94=C51,C67*C55,C67)))/(1+C47)^($A94-C48-1))</f>
        <v/>
      </c>
      <c r="D94" s="14">
        <f>IF(OR($A94&lt;=D48,$A94&gt;D34),0,(D29-IF($A94&lt;D50,0,IF($A94=D50,D63*D54,D63))-IF($A94&lt;D51,0,IF($A94=D51,D67*D55,D67)))/(1+D47)^($A94-D48-1))</f>
        <v/>
      </c>
      <c r="E94" s="14">
        <f>IF(OR($A94&lt;=E48,$A94&gt;E34),0,(E29-IF($A94&lt;E50,0,IF($A94=E50,E63*E54,E63))-IF($A94&lt;E51,0,IF($A94=E51,E67*E55,E67)))/(1+E47)^($A94-E48-1))</f>
        <v/>
      </c>
      <c r="F94" s="14">
        <f>IF(OR($A94&lt;=F48,$A94&gt;F34),0,(F29-IF($A94&lt;F50,0,IF($A94=F50,F63*F54,F63))-IF($A94&lt;F51,0,IF($A94=F51,F67*F55,F67)))/(1+F47)^($A94-F48-1))</f>
        <v/>
      </c>
      <c r="G94" s="14">
        <f>IF(OR($A94&lt;=G48,$A94&gt;G34),0,(G29-IF($A94&lt;G50,0,IF($A94=G50,G63*G54,G63))-IF($A94&lt;G51,0,IF($A94=G51,G67*G55,G67)))/(1+G47)^($A94-G48-1))</f>
        <v/>
      </c>
      <c r="H94" s="14">
        <f>IF(OR($A94&lt;=H48,$A94&gt;H34),0,(H29-IF($A94&lt;H50,0,IF($A94=H50,H63*H54,H63))-IF($A94&lt;H51,0,IF($A94=H51,H67*H55,H67)))/(1+H47)^($A94-H48-1))</f>
        <v/>
      </c>
      <c r="I94" s="14">
        <f>IF(OR($A94&lt;=I48,$A94&gt;I34),0,(I29-IF($A94&lt;I50,0,IF($A94=I50,I63*I54,I63))-IF($A94&lt;I51,0,IF($A94=I51,I67*I55,I67)))/(1+I47)^($A94-I48-1))</f>
        <v/>
      </c>
      <c r="J94" s="14">
        <f>IF(OR($A94&lt;=J48,$A94&gt;J34),0,(J29-IF($A94&lt;J50,0,IF($A94=J50,J63*J54,J63))-IF($A94&lt;J51,0,IF($A94=J51,J67*J55,J67)))/(1+J47)^($A94-J48-1))</f>
        <v/>
      </c>
      <c r="K94" s="14">
        <f>IF(OR($A94&lt;=K48,$A94&gt;K34),0,(K29-IF($A94&lt;K50,0,IF($A94=K50,K63*K54,K63))-IF($A94&lt;K51,0,IF($A94=K51,K67*K55,K67)))/(1+K47)^($A94-K48-1))</f>
        <v/>
      </c>
      <c r="L94" s="14">
        <f>IF(OR($A94&lt;=L48,$A94&gt;L34),0,(L29-IF($A94&lt;L50,0,IF($A94=L50,L63*L54,L63))-IF($A94&lt;L51,0,IF($A94=L51,L67*L55,L67)))/(1+L47)^($A94-L48-1))</f>
        <v/>
      </c>
      <c r="M94" s="14">
        <f>IF(OR($A94&lt;=M48,$A94&gt;M34),0,(M29-IF($A94&lt;M50,0,IF($A94=M50,M63*M54,M63))-IF($A94&lt;M51,0,IF($A94=M51,M67*M55,M67)))/(1+M47)^($A94-M48-1))</f>
        <v/>
      </c>
      <c r="N94" s="14">
        <f>IF(OR($A94&lt;=N48,$A94&gt;N34),0,(N29-IF($A94&lt;N50,0,IF($A94=N50,N63*N54,N63))-IF($A94&lt;N51,0,IF($A94=N51,N67*N55,N67)))/(1+N47)^($A94-N48-1))</f>
        <v/>
      </c>
      <c r="O94" s="14">
        <f>IF(OR($A94&lt;=O48,$A94&gt;O34),0,(O29-IF($A94&lt;O50,0,IF($A94=O50,O63*O54,O63))-IF($A94&lt;O51,0,IF($A94=O51,O67*O55,O67)))/(1+O47)^($A94-O48-1))</f>
        <v/>
      </c>
    </row>
    <row r="95">
      <c r="A95" s="18">
        <f>A94+1</f>
        <v/>
      </c>
      <c r="B95" s="14">
        <f>IF(OR($A95&lt;=B48,$A95&gt;B34),0,(B29-IF($A95&lt;B50,0,IF($A95=B50,B63*B54,B63))-IF($A95&lt;B51,0,IF($A95=B51,B67*B55,B67)))/(1+B47)^($A95-B48-1))</f>
        <v/>
      </c>
      <c r="C95" s="14">
        <f>IF(OR($A95&lt;=C48,$A95&gt;C34),0,(C29-IF($A95&lt;C50,0,IF($A95=C50,C63*C54,C63))-IF($A95&lt;C51,0,IF($A95=C51,C67*C55,C67)))/(1+C47)^($A95-C48-1))</f>
        <v/>
      </c>
      <c r="D95" s="14">
        <f>IF(OR($A95&lt;=D48,$A95&gt;D34),0,(D29-IF($A95&lt;D50,0,IF($A95=D50,D63*D54,D63))-IF($A95&lt;D51,0,IF($A95=D51,D67*D55,D67)))/(1+D47)^($A95-D48-1))</f>
        <v/>
      </c>
      <c r="E95" s="14">
        <f>IF(OR($A95&lt;=E48,$A95&gt;E34),0,(E29-IF($A95&lt;E50,0,IF($A95=E50,E63*E54,E63))-IF($A95&lt;E51,0,IF($A95=E51,E67*E55,E67)))/(1+E47)^($A95-E48-1))</f>
        <v/>
      </c>
      <c r="F95" s="14">
        <f>IF(OR($A95&lt;=F48,$A95&gt;F34),0,(F29-IF($A95&lt;F50,0,IF($A95=F50,F63*F54,F63))-IF($A95&lt;F51,0,IF($A95=F51,F67*F55,F67)))/(1+F47)^($A95-F48-1))</f>
        <v/>
      </c>
      <c r="G95" s="14">
        <f>IF(OR($A95&lt;=G48,$A95&gt;G34),0,(G29-IF($A95&lt;G50,0,IF($A95=G50,G63*G54,G63))-IF($A95&lt;G51,0,IF($A95=G51,G67*G55,G67)))/(1+G47)^($A95-G48-1))</f>
        <v/>
      </c>
      <c r="H95" s="14">
        <f>IF(OR($A95&lt;=H48,$A95&gt;H34),0,(H29-IF($A95&lt;H50,0,IF($A95=H50,H63*H54,H63))-IF($A95&lt;H51,0,IF($A95=H51,H67*H55,H67)))/(1+H47)^($A95-H48-1))</f>
        <v/>
      </c>
      <c r="I95" s="14">
        <f>IF(OR($A95&lt;=I48,$A95&gt;I34),0,(I29-IF($A95&lt;I50,0,IF($A95=I50,I63*I54,I63))-IF($A95&lt;I51,0,IF($A95=I51,I67*I55,I67)))/(1+I47)^($A95-I48-1))</f>
        <v/>
      </c>
      <c r="J95" s="14">
        <f>IF(OR($A95&lt;=J48,$A95&gt;J34),0,(J29-IF($A95&lt;J50,0,IF($A95=J50,J63*J54,J63))-IF($A95&lt;J51,0,IF($A95=J51,J67*J55,J67)))/(1+J47)^($A95-J48-1))</f>
        <v/>
      </c>
      <c r="K95" s="14">
        <f>IF(OR($A95&lt;=K48,$A95&gt;K34),0,(K29-IF($A95&lt;K50,0,IF($A95=K50,K63*K54,K63))-IF($A95&lt;K51,0,IF($A95=K51,K67*K55,K67)))/(1+K47)^($A95-K48-1))</f>
        <v/>
      </c>
      <c r="L95" s="14">
        <f>IF(OR($A95&lt;=L48,$A95&gt;L34),0,(L29-IF($A95&lt;L50,0,IF($A95=L50,L63*L54,L63))-IF($A95&lt;L51,0,IF($A95=L51,L67*L55,L67)))/(1+L47)^($A95-L48-1))</f>
        <v/>
      </c>
      <c r="M95" s="14">
        <f>IF(OR($A95&lt;=M48,$A95&gt;M34),0,(M29-IF($A95&lt;M50,0,IF($A95=M50,M63*M54,M63))-IF($A95&lt;M51,0,IF($A95=M51,M67*M55,M67)))/(1+M47)^($A95-M48-1))</f>
        <v/>
      </c>
      <c r="N95" s="14">
        <f>IF(OR($A95&lt;=N48,$A95&gt;N34),0,(N29-IF($A95&lt;N50,0,IF($A95=N50,N63*N54,N63))-IF($A95&lt;N51,0,IF($A95=N51,N67*N55,N67)))/(1+N47)^($A95-N48-1))</f>
        <v/>
      </c>
      <c r="O95" s="14">
        <f>IF(OR($A95&lt;=O48,$A95&gt;O34),0,(O29-IF($A95&lt;O50,0,IF($A95=O50,O63*O54,O63))-IF($A95&lt;O51,0,IF($A95=O51,O67*O55,O67)))/(1+O47)^($A95-O48-1))</f>
        <v/>
      </c>
    </row>
    <row r="96">
      <c r="A96" s="18">
        <f>A95+1</f>
        <v/>
      </c>
      <c r="B96" s="14">
        <f>IF(OR($A96&lt;=B48,$A96&gt;B34),0,(B29-IF($A96&lt;B50,0,IF($A96=B50,B63*B54,B63))-IF($A96&lt;B51,0,IF($A96=B51,B67*B55,B67)))/(1+B47)^($A96-B48-1))</f>
        <v/>
      </c>
      <c r="C96" s="14">
        <f>IF(OR($A96&lt;=C48,$A96&gt;C34),0,(C29-IF($A96&lt;C50,0,IF($A96=C50,C63*C54,C63))-IF($A96&lt;C51,0,IF($A96=C51,C67*C55,C67)))/(1+C47)^($A96-C48-1))</f>
        <v/>
      </c>
      <c r="D96" s="14">
        <f>IF(OR($A96&lt;=D48,$A96&gt;D34),0,(D29-IF($A96&lt;D50,0,IF($A96=D50,D63*D54,D63))-IF($A96&lt;D51,0,IF($A96=D51,D67*D55,D67)))/(1+D47)^($A96-D48-1))</f>
        <v/>
      </c>
      <c r="E96" s="14">
        <f>IF(OR($A96&lt;=E48,$A96&gt;E34),0,(E29-IF($A96&lt;E50,0,IF($A96=E50,E63*E54,E63))-IF($A96&lt;E51,0,IF($A96=E51,E67*E55,E67)))/(1+E47)^($A96-E48-1))</f>
        <v/>
      </c>
      <c r="F96" s="14">
        <f>IF(OR($A96&lt;=F48,$A96&gt;F34),0,(F29-IF($A96&lt;F50,0,IF($A96=F50,F63*F54,F63))-IF($A96&lt;F51,0,IF($A96=F51,F67*F55,F67)))/(1+F47)^($A96-F48-1))</f>
        <v/>
      </c>
      <c r="G96" s="14">
        <f>IF(OR($A96&lt;=G48,$A96&gt;G34),0,(G29-IF($A96&lt;G50,0,IF($A96=G50,G63*G54,G63))-IF($A96&lt;G51,0,IF($A96=G51,G67*G55,G67)))/(1+G47)^($A96-G48-1))</f>
        <v/>
      </c>
      <c r="H96" s="14">
        <f>IF(OR($A96&lt;=H48,$A96&gt;H34),0,(H29-IF($A96&lt;H50,0,IF($A96=H50,H63*H54,H63))-IF($A96&lt;H51,0,IF($A96=H51,H67*H55,H67)))/(1+H47)^($A96-H48-1))</f>
        <v/>
      </c>
      <c r="I96" s="14">
        <f>IF(OR($A96&lt;=I48,$A96&gt;I34),0,(I29-IF($A96&lt;I50,0,IF($A96=I50,I63*I54,I63))-IF($A96&lt;I51,0,IF($A96=I51,I67*I55,I67)))/(1+I47)^($A96-I48-1))</f>
        <v/>
      </c>
      <c r="J96" s="14">
        <f>IF(OR($A96&lt;=J48,$A96&gt;J34),0,(J29-IF($A96&lt;J50,0,IF($A96=J50,J63*J54,J63))-IF($A96&lt;J51,0,IF($A96=J51,J67*J55,J67)))/(1+J47)^($A96-J48-1))</f>
        <v/>
      </c>
      <c r="K96" s="14">
        <f>IF(OR($A96&lt;=K48,$A96&gt;K34),0,(K29-IF($A96&lt;K50,0,IF($A96=K50,K63*K54,K63))-IF($A96&lt;K51,0,IF($A96=K51,K67*K55,K67)))/(1+K47)^($A96-K48-1))</f>
        <v/>
      </c>
      <c r="L96" s="14">
        <f>IF(OR($A96&lt;=L48,$A96&gt;L34),0,(L29-IF($A96&lt;L50,0,IF($A96=L50,L63*L54,L63))-IF($A96&lt;L51,0,IF($A96=L51,L67*L55,L67)))/(1+L47)^($A96-L48-1))</f>
        <v/>
      </c>
      <c r="M96" s="14">
        <f>IF(OR($A96&lt;=M48,$A96&gt;M34),0,(M29-IF($A96&lt;M50,0,IF($A96=M50,M63*M54,M63))-IF($A96&lt;M51,0,IF($A96=M51,M67*M55,M67)))/(1+M47)^($A96-M48-1))</f>
        <v/>
      </c>
      <c r="N96" s="14">
        <f>IF(OR($A96&lt;=N48,$A96&gt;N34),0,(N29-IF($A96&lt;N50,0,IF($A96=N50,N63*N54,N63))-IF($A96&lt;N51,0,IF($A96=N51,N67*N55,N67)))/(1+N47)^($A96-N48-1))</f>
        <v/>
      </c>
      <c r="O96" s="14">
        <f>IF(OR($A96&lt;=O48,$A96&gt;O34),0,(O29-IF($A96&lt;O50,0,IF($A96=O50,O63*O54,O63))-IF($A96&lt;O51,0,IF($A96=O51,O67*O55,O67)))/(1+O47)^($A96-O48-1))</f>
        <v/>
      </c>
    </row>
    <row r="97">
      <c r="A97" s="18">
        <f>A96+1</f>
        <v/>
      </c>
      <c r="B97" s="14">
        <f>IF(OR($A97&lt;=B48,$A97&gt;B34),0,(B29-IF($A97&lt;B50,0,IF($A97=B50,B63*B54,B63))-IF($A97&lt;B51,0,IF($A97=B51,B67*B55,B67)))/(1+B47)^($A97-B48-1))</f>
        <v/>
      </c>
      <c r="C97" s="14">
        <f>IF(OR($A97&lt;=C48,$A97&gt;C34),0,(C29-IF($A97&lt;C50,0,IF($A97=C50,C63*C54,C63))-IF($A97&lt;C51,0,IF($A97=C51,C67*C55,C67)))/(1+C47)^($A97-C48-1))</f>
        <v/>
      </c>
      <c r="D97" s="14">
        <f>IF(OR($A97&lt;=D48,$A97&gt;D34),0,(D29-IF($A97&lt;D50,0,IF($A97=D50,D63*D54,D63))-IF($A97&lt;D51,0,IF($A97=D51,D67*D55,D67)))/(1+D47)^($A97-D48-1))</f>
        <v/>
      </c>
      <c r="E97" s="14">
        <f>IF(OR($A97&lt;=E48,$A97&gt;E34),0,(E29-IF($A97&lt;E50,0,IF($A97=E50,E63*E54,E63))-IF($A97&lt;E51,0,IF($A97=E51,E67*E55,E67)))/(1+E47)^($A97-E48-1))</f>
        <v/>
      </c>
      <c r="F97" s="14">
        <f>IF(OR($A97&lt;=F48,$A97&gt;F34),0,(F29-IF($A97&lt;F50,0,IF($A97=F50,F63*F54,F63))-IF($A97&lt;F51,0,IF($A97=F51,F67*F55,F67)))/(1+F47)^($A97-F48-1))</f>
        <v/>
      </c>
      <c r="G97" s="14">
        <f>IF(OR($A97&lt;=G48,$A97&gt;G34),0,(G29-IF($A97&lt;G50,0,IF($A97=G50,G63*G54,G63))-IF($A97&lt;G51,0,IF($A97=G51,G67*G55,G67)))/(1+G47)^($A97-G48-1))</f>
        <v/>
      </c>
      <c r="H97" s="14">
        <f>IF(OR($A97&lt;=H48,$A97&gt;H34),0,(H29-IF($A97&lt;H50,0,IF($A97=H50,H63*H54,H63))-IF($A97&lt;H51,0,IF($A97=H51,H67*H55,H67)))/(1+H47)^($A97-H48-1))</f>
        <v/>
      </c>
      <c r="I97" s="14">
        <f>IF(OR($A97&lt;=I48,$A97&gt;I34),0,(I29-IF($A97&lt;I50,0,IF($A97=I50,I63*I54,I63))-IF($A97&lt;I51,0,IF($A97=I51,I67*I55,I67)))/(1+I47)^($A97-I48-1))</f>
        <v/>
      </c>
      <c r="J97" s="14">
        <f>IF(OR($A97&lt;=J48,$A97&gt;J34),0,(J29-IF($A97&lt;J50,0,IF($A97=J50,J63*J54,J63))-IF($A97&lt;J51,0,IF($A97=J51,J67*J55,J67)))/(1+J47)^($A97-J48-1))</f>
        <v/>
      </c>
      <c r="K97" s="14">
        <f>IF(OR($A97&lt;=K48,$A97&gt;K34),0,(K29-IF($A97&lt;K50,0,IF($A97=K50,K63*K54,K63))-IF($A97&lt;K51,0,IF($A97=K51,K67*K55,K67)))/(1+K47)^($A97-K48-1))</f>
        <v/>
      </c>
      <c r="L97" s="14">
        <f>IF(OR($A97&lt;=L48,$A97&gt;L34),0,(L29-IF($A97&lt;L50,0,IF($A97=L50,L63*L54,L63))-IF($A97&lt;L51,0,IF($A97=L51,L67*L55,L67)))/(1+L47)^($A97-L48-1))</f>
        <v/>
      </c>
      <c r="M97" s="14">
        <f>IF(OR($A97&lt;=M48,$A97&gt;M34),0,(M29-IF($A97&lt;M50,0,IF($A97=M50,M63*M54,M63))-IF($A97&lt;M51,0,IF($A97=M51,M67*M55,M67)))/(1+M47)^($A97-M48-1))</f>
        <v/>
      </c>
      <c r="N97" s="14">
        <f>IF(OR($A97&lt;=N48,$A97&gt;N34),0,(N29-IF($A97&lt;N50,0,IF($A97=N50,N63*N54,N63))-IF($A97&lt;N51,0,IF($A97=N51,N67*N55,N67)))/(1+N47)^($A97-N48-1))</f>
        <v/>
      </c>
      <c r="O97" s="14">
        <f>IF(OR($A97&lt;=O48,$A97&gt;O34),0,(O29-IF($A97&lt;O50,0,IF($A97=O50,O63*O54,O63))-IF($A97&lt;O51,0,IF($A97=O51,O67*O55,O67)))/(1+O47)^($A97-O48-1))</f>
        <v/>
      </c>
    </row>
    <row r="98">
      <c r="A98" s="18">
        <f>A97+1</f>
        <v/>
      </c>
      <c r="B98" s="14">
        <f>IF(OR($A98&lt;=B48,$A98&gt;B34),0,(B29-IF($A98&lt;B50,0,IF($A98=B50,B63*B54,B63))-IF($A98&lt;B51,0,IF($A98=B51,B67*B55,B67)))/(1+B47)^($A98-B48-1))</f>
        <v/>
      </c>
      <c r="C98" s="14">
        <f>IF(OR($A98&lt;=C48,$A98&gt;C34),0,(C29-IF($A98&lt;C50,0,IF($A98=C50,C63*C54,C63))-IF($A98&lt;C51,0,IF($A98=C51,C67*C55,C67)))/(1+C47)^($A98-C48-1))</f>
        <v/>
      </c>
      <c r="D98" s="14">
        <f>IF(OR($A98&lt;=D48,$A98&gt;D34),0,(D29-IF($A98&lt;D50,0,IF($A98=D50,D63*D54,D63))-IF($A98&lt;D51,0,IF($A98=D51,D67*D55,D67)))/(1+D47)^($A98-D48-1))</f>
        <v/>
      </c>
      <c r="E98" s="14">
        <f>IF(OR($A98&lt;=E48,$A98&gt;E34),0,(E29-IF($A98&lt;E50,0,IF($A98=E50,E63*E54,E63))-IF($A98&lt;E51,0,IF($A98=E51,E67*E55,E67)))/(1+E47)^($A98-E48-1))</f>
        <v/>
      </c>
      <c r="F98" s="14">
        <f>IF(OR($A98&lt;=F48,$A98&gt;F34),0,(F29-IF($A98&lt;F50,0,IF($A98=F50,F63*F54,F63))-IF($A98&lt;F51,0,IF($A98=F51,F67*F55,F67)))/(1+F47)^($A98-F48-1))</f>
        <v/>
      </c>
      <c r="G98" s="14">
        <f>IF(OR($A98&lt;=G48,$A98&gt;G34),0,(G29-IF($A98&lt;G50,0,IF($A98=G50,G63*G54,G63))-IF($A98&lt;G51,0,IF($A98=G51,G67*G55,G67)))/(1+G47)^($A98-G48-1))</f>
        <v/>
      </c>
      <c r="H98" s="14">
        <f>IF(OR($A98&lt;=H48,$A98&gt;H34),0,(H29-IF($A98&lt;H50,0,IF($A98=H50,H63*H54,H63))-IF($A98&lt;H51,0,IF($A98=H51,H67*H55,H67)))/(1+H47)^($A98-H48-1))</f>
        <v/>
      </c>
      <c r="I98" s="14">
        <f>IF(OR($A98&lt;=I48,$A98&gt;I34),0,(I29-IF($A98&lt;I50,0,IF($A98=I50,I63*I54,I63))-IF($A98&lt;I51,0,IF($A98=I51,I67*I55,I67)))/(1+I47)^($A98-I48-1))</f>
        <v/>
      </c>
      <c r="J98" s="14">
        <f>IF(OR($A98&lt;=J48,$A98&gt;J34),0,(J29-IF($A98&lt;J50,0,IF($A98=J50,J63*J54,J63))-IF($A98&lt;J51,0,IF($A98=J51,J67*J55,J67)))/(1+J47)^($A98-J48-1))</f>
        <v/>
      </c>
      <c r="K98" s="14">
        <f>IF(OR($A98&lt;=K48,$A98&gt;K34),0,(K29-IF($A98&lt;K50,0,IF($A98=K50,K63*K54,K63))-IF($A98&lt;K51,0,IF($A98=K51,K67*K55,K67)))/(1+K47)^($A98-K48-1))</f>
        <v/>
      </c>
      <c r="L98" s="14">
        <f>IF(OR($A98&lt;=L48,$A98&gt;L34),0,(L29-IF($A98&lt;L50,0,IF($A98=L50,L63*L54,L63))-IF($A98&lt;L51,0,IF($A98=L51,L67*L55,L67)))/(1+L47)^($A98-L48-1))</f>
        <v/>
      </c>
      <c r="M98" s="14">
        <f>IF(OR($A98&lt;=M48,$A98&gt;M34),0,(M29-IF($A98&lt;M50,0,IF($A98=M50,M63*M54,M63))-IF($A98&lt;M51,0,IF($A98=M51,M67*M55,M67)))/(1+M47)^($A98-M48-1))</f>
        <v/>
      </c>
      <c r="N98" s="14">
        <f>IF(OR($A98&lt;=N48,$A98&gt;N34),0,(N29-IF($A98&lt;N50,0,IF($A98=N50,N63*N54,N63))-IF($A98&lt;N51,0,IF($A98=N51,N67*N55,N67)))/(1+N47)^($A98-N48-1))</f>
        <v/>
      </c>
      <c r="O98" s="14">
        <f>IF(OR($A98&lt;=O48,$A98&gt;O34),0,(O29-IF($A98&lt;O50,0,IF($A98=O50,O63*O54,O63))-IF($A98&lt;O51,0,IF($A98=O51,O67*O55,O67)))/(1+O47)^($A98-O48-1))</f>
        <v/>
      </c>
    </row>
    <row r="99">
      <c r="A99" s="18">
        <f>A98+1</f>
        <v/>
      </c>
      <c r="B99" s="14">
        <f>IF(OR($A99&lt;=B48,$A99&gt;B34),0,(B29-IF($A99&lt;B50,0,IF($A99=B50,B63*B54,B63))-IF($A99&lt;B51,0,IF($A99=B51,B67*B55,B67)))/(1+B47)^($A99-B48-1))</f>
        <v/>
      </c>
      <c r="C99" s="14">
        <f>IF(OR($A99&lt;=C48,$A99&gt;C34),0,(C29-IF($A99&lt;C50,0,IF($A99=C50,C63*C54,C63))-IF($A99&lt;C51,0,IF($A99=C51,C67*C55,C67)))/(1+C47)^($A99-C48-1))</f>
        <v/>
      </c>
      <c r="D99" s="14">
        <f>IF(OR($A99&lt;=D48,$A99&gt;D34),0,(D29-IF($A99&lt;D50,0,IF($A99=D50,D63*D54,D63))-IF($A99&lt;D51,0,IF($A99=D51,D67*D55,D67)))/(1+D47)^($A99-D48-1))</f>
        <v/>
      </c>
      <c r="E99" s="14">
        <f>IF(OR($A99&lt;=E48,$A99&gt;E34),0,(E29-IF($A99&lt;E50,0,IF($A99=E50,E63*E54,E63))-IF($A99&lt;E51,0,IF($A99=E51,E67*E55,E67)))/(1+E47)^($A99-E48-1))</f>
        <v/>
      </c>
      <c r="F99" s="14">
        <f>IF(OR($A99&lt;=F48,$A99&gt;F34),0,(F29-IF($A99&lt;F50,0,IF($A99=F50,F63*F54,F63))-IF($A99&lt;F51,0,IF($A99=F51,F67*F55,F67)))/(1+F47)^($A99-F48-1))</f>
        <v/>
      </c>
      <c r="G99" s="14">
        <f>IF(OR($A99&lt;=G48,$A99&gt;G34),0,(G29-IF($A99&lt;G50,0,IF($A99=G50,G63*G54,G63))-IF($A99&lt;G51,0,IF($A99=G51,G67*G55,G67)))/(1+G47)^($A99-G48-1))</f>
        <v/>
      </c>
      <c r="H99" s="14">
        <f>IF(OR($A99&lt;=H48,$A99&gt;H34),0,(H29-IF($A99&lt;H50,0,IF($A99=H50,H63*H54,H63))-IF($A99&lt;H51,0,IF($A99=H51,H67*H55,H67)))/(1+H47)^($A99-H48-1))</f>
        <v/>
      </c>
      <c r="I99" s="14">
        <f>IF(OR($A99&lt;=I48,$A99&gt;I34),0,(I29-IF($A99&lt;I50,0,IF($A99=I50,I63*I54,I63))-IF($A99&lt;I51,0,IF($A99=I51,I67*I55,I67)))/(1+I47)^($A99-I48-1))</f>
        <v/>
      </c>
      <c r="J99" s="14">
        <f>IF(OR($A99&lt;=J48,$A99&gt;J34),0,(J29-IF($A99&lt;J50,0,IF($A99=J50,J63*J54,J63))-IF($A99&lt;J51,0,IF($A99=J51,J67*J55,J67)))/(1+J47)^($A99-J48-1))</f>
        <v/>
      </c>
      <c r="K99" s="14">
        <f>IF(OR($A99&lt;=K48,$A99&gt;K34),0,(K29-IF($A99&lt;K50,0,IF($A99=K50,K63*K54,K63))-IF($A99&lt;K51,0,IF($A99=K51,K67*K55,K67)))/(1+K47)^($A99-K48-1))</f>
        <v/>
      </c>
      <c r="L99" s="14">
        <f>IF(OR($A99&lt;=L48,$A99&gt;L34),0,(L29-IF($A99&lt;L50,0,IF($A99=L50,L63*L54,L63))-IF($A99&lt;L51,0,IF($A99=L51,L67*L55,L67)))/(1+L47)^($A99-L48-1))</f>
        <v/>
      </c>
      <c r="M99" s="14">
        <f>IF(OR($A99&lt;=M48,$A99&gt;M34),0,(M29-IF($A99&lt;M50,0,IF($A99=M50,M63*M54,M63))-IF($A99&lt;M51,0,IF($A99=M51,M67*M55,M67)))/(1+M47)^($A99-M48-1))</f>
        <v/>
      </c>
      <c r="N99" s="14">
        <f>IF(OR($A99&lt;=N48,$A99&gt;N34),0,(N29-IF($A99&lt;N50,0,IF($A99=N50,N63*N54,N63))-IF($A99&lt;N51,0,IF($A99=N51,N67*N55,N67)))/(1+N47)^($A99-N48-1))</f>
        <v/>
      </c>
      <c r="O99" s="14">
        <f>IF(OR($A99&lt;=O48,$A99&gt;O34),0,(O29-IF($A99&lt;O50,0,IF($A99=O50,O63*O54,O63))-IF($A99&lt;O51,0,IF($A99=O51,O67*O55,O67)))/(1+O47)^($A99-O48-1))</f>
        <v/>
      </c>
    </row>
    <row r="100">
      <c r="A100" s="18">
        <f>A99+1</f>
        <v/>
      </c>
      <c r="B100" s="14">
        <f>IF(OR($A100&lt;=B48,$A100&gt;B34),0,(B29-IF($A100&lt;B50,0,IF($A100=B50,B63*B54,B63))-IF($A100&lt;B51,0,IF($A100=B51,B67*B55,B67)))/(1+B47)^($A100-B48-1))</f>
        <v/>
      </c>
      <c r="C100" s="14">
        <f>IF(OR($A100&lt;=C48,$A100&gt;C34),0,(C29-IF($A100&lt;C50,0,IF($A100=C50,C63*C54,C63))-IF($A100&lt;C51,0,IF($A100=C51,C67*C55,C67)))/(1+C47)^($A100-C48-1))</f>
        <v/>
      </c>
      <c r="D100" s="14">
        <f>IF(OR($A100&lt;=D48,$A100&gt;D34),0,(D29-IF($A100&lt;D50,0,IF($A100=D50,D63*D54,D63))-IF($A100&lt;D51,0,IF($A100=D51,D67*D55,D67)))/(1+D47)^($A100-D48-1))</f>
        <v/>
      </c>
      <c r="E100" s="14">
        <f>IF(OR($A100&lt;=E48,$A100&gt;E34),0,(E29-IF($A100&lt;E50,0,IF($A100=E50,E63*E54,E63))-IF($A100&lt;E51,0,IF($A100=E51,E67*E55,E67)))/(1+E47)^($A100-E48-1))</f>
        <v/>
      </c>
      <c r="F100" s="14">
        <f>IF(OR($A100&lt;=F48,$A100&gt;F34),0,(F29-IF($A100&lt;F50,0,IF($A100=F50,F63*F54,F63))-IF($A100&lt;F51,0,IF($A100=F51,F67*F55,F67)))/(1+F47)^($A100-F48-1))</f>
        <v/>
      </c>
      <c r="G100" s="14">
        <f>IF(OR($A100&lt;=G48,$A100&gt;G34),0,(G29-IF($A100&lt;G50,0,IF($A100=G50,G63*G54,G63))-IF($A100&lt;G51,0,IF($A100=G51,G67*G55,G67)))/(1+G47)^($A100-G48-1))</f>
        <v/>
      </c>
      <c r="H100" s="14">
        <f>IF(OR($A100&lt;=H48,$A100&gt;H34),0,(H29-IF($A100&lt;H50,0,IF($A100=H50,H63*H54,H63))-IF($A100&lt;H51,0,IF($A100=H51,H67*H55,H67)))/(1+H47)^($A100-H48-1))</f>
        <v/>
      </c>
      <c r="I100" s="14">
        <f>IF(OR($A100&lt;=I48,$A100&gt;I34),0,(I29-IF($A100&lt;I50,0,IF($A100=I50,I63*I54,I63))-IF($A100&lt;I51,0,IF($A100=I51,I67*I55,I67)))/(1+I47)^($A100-I48-1))</f>
        <v/>
      </c>
      <c r="J100" s="14">
        <f>IF(OR($A100&lt;=J48,$A100&gt;J34),0,(J29-IF($A100&lt;J50,0,IF($A100=J50,J63*J54,J63))-IF($A100&lt;J51,0,IF($A100=J51,J67*J55,J67)))/(1+J47)^($A100-J48-1))</f>
        <v/>
      </c>
      <c r="K100" s="14">
        <f>IF(OR($A100&lt;=K48,$A100&gt;K34),0,(K29-IF($A100&lt;K50,0,IF($A100=K50,K63*K54,K63))-IF($A100&lt;K51,0,IF($A100=K51,K67*K55,K67)))/(1+K47)^($A100-K48-1))</f>
        <v/>
      </c>
      <c r="L100" s="14">
        <f>IF(OR($A100&lt;=L48,$A100&gt;L34),0,(L29-IF($A100&lt;L50,0,IF($A100=L50,L63*L54,L63))-IF($A100&lt;L51,0,IF($A100=L51,L67*L55,L67)))/(1+L47)^($A100-L48-1))</f>
        <v/>
      </c>
      <c r="M100" s="14">
        <f>IF(OR($A100&lt;=M48,$A100&gt;M34),0,(M29-IF($A100&lt;M50,0,IF($A100=M50,M63*M54,M63))-IF($A100&lt;M51,0,IF($A100=M51,M67*M55,M67)))/(1+M47)^($A100-M48-1))</f>
        <v/>
      </c>
      <c r="N100" s="14">
        <f>IF(OR($A100&lt;=N48,$A100&gt;N34),0,(N29-IF($A100&lt;N50,0,IF($A100=N50,N63*N54,N63))-IF($A100&lt;N51,0,IF($A100=N51,N67*N55,N67)))/(1+N47)^($A100-N48-1))</f>
        <v/>
      </c>
      <c r="O100" s="14">
        <f>IF(OR($A100&lt;=O48,$A100&gt;O34),0,(O29-IF($A100&lt;O50,0,IF($A100=O50,O63*O54,O63))-IF($A100&lt;O51,0,IF($A100=O51,O67*O55,O67)))/(1+O47)^($A100-O48-1))</f>
        <v/>
      </c>
    </row>
    <row r="101">
      <c r="A101" s="18">
        <f>A100+1</f>
        <v/>
      </c>
      <c r="B101" s="14">
        <f>IF(OR($A101&lt;=B48,$A101&gt;B34),0,(B29-IF($A101&lt;B50,0,IF($A101=B50,B63*B54,B63))-IF($A101&lt;B51,0,IF($A101=B51,B67*B55,B67)))/(1+B47)^($A101-B48-1))</f>
        <v/>
      </c>
      <c r="C101" s="14">
        <f>IF(OR($A101&lt;=C48,$A101&gt;C34),0,(C29-IF($A101&lt;C50,0,IF($A101=C50,C63*C54,C63))-IF($A101&lt;C51,0,IF($A101=C51,C67*C55,C67)))/(1+C47)^($A101-C48-1))</f>
        <v/>
      </c>
      <c r="D101" s="14">
        <f>IF(OR($A101&lt;=D48,$A101&gt;D34),0,(D29-IF($A101&lt;D50,0,IF($A101=D50,D63*D54,D63))-IF($A101&lt;D51,0,IF($A101=D51,D67*D55,D67)))/(1+D47)^($A101-D48-1))</f>
        <v/>
      </c>
      <c r="E101" s="14">
        <f>IF(OR($A101&lt;=E48,$A101&gt;E34),0,(E29-IF($A101&lt;E50,0,IF($A101=E50,E63*E54,E63))-IF($A101&lt;E51,0,IF($A101=E51,E67*E55,E67)))/(1+E47)^($A101-E48-1))</f>
        <v/>
      </c>
      <c r="F101" s="14">
        <f>IF(OR($A101&lt;=F48,$A101&gt;F34),0,(F29-IF($A101&lt;F50,0,IF($A101=F50,F63*F54,F63))-IF($A101&lt;F51,0,IF($A101=F51,F67*F55,F67)))/(1+F47)^($A101-F48-1))</f>
        <v/>
      </c>
      <c r="G101" s="14">
        <f>IF(OR($A101&lt;=G48,$A101&gt;G34),0,(G29-IF($A101&lt;G50,0,IF($A101=G50,G63*G54,G63))-IF($A101&lt;G51,0,IF($A101=G51,G67*G55,G67)))/(1+G47)^($A101-G48-1))</f>
        <v/>
      </c>
      <c r="H101" s="14">
        <f>IF(OR($A101&lt;=H48,$A101&gt;H34),0,(H29-IF($A101&lt;H50,0,IF($A101=H50,H63*H54,H63))-IF($A101&lt;H51,0,IF($A101=H51,H67*H55,H67)))/(1+H47)^($A101-H48-1))</f>
        <v/>
      </c>
      <c r="I101" s="14">
        <f>IF(OR($A101&lt;=I48,$A101&gt;I34),0,(I29-IF($A101&lt;I50,0,IF($A101=I50,I63*I54,I63))-IF($A101&lt;I51,0,IF($A101=I51,I67*I55,I67)))/(1+I47)^($A101-I48-1))</f>
        <v/>
      </c>
      <c r="J101" s="14">
        <f>IF(OR($A101&lt;=J48,$A101&gt;J34),0,(J29-IF($A101&lt;J50,0,IF($A101=J50,J63*J54,J63))-IF($A101&lt;J51,0,IF($A101=J51,J67*J55,J67)))/(1+J47)^($A101-J48-1))</f>
        <v/>
      </c>
      <c r="K101" s="14">
        <f>IF(OR($A101&lt;=K48,$A101&gt;K34),0,(K29-IF($A101&lt;K50,0,IF($A101=K50,K63*K54,K63))-IF($A101&lt;K51,0,IF($A101=K51,K67*K55,K67)))/(1+K47)^($A101-K48-1))</f>
        <v/>
      </c>
      <c r="L101" s="14">
        <f>IF(OR($A101&lt;=L48,$A101&gt;L34),0,(L29-IF($A101&lt;L50,0,IF($A101=L50,L63*L54,L63))-IF($A101&lt;L51,0,IF($A101=L51,L67*L55,L67)))/(1+L47)^($A101-L48-1))</f>
        <v/>
      </c>
      <c r="M101" s="14">
        <f>IF(OR($A101&lt;=M48,$A101&gt;M34),0,(M29-IF($A101&lt;M50,0,IF($A101=M50,M63*M54,M63))-IF($A101&lt;M51,0,IF($A101=M51,M67*M55,M67)))/(1+M47)^($A101-M48-1))</f>
        <v/>
      </c>
      <c r="N101" s="14">
        <f>IF(OR($A101&lt;=N48,$A101&gt;N34),0,(N29-IF($A101&lt;N50,0,IF($A101=N50,N63*N54,N63))-IF($A101&lt;N51,0,IF($A101=N51,N67*N55,N67)))/(1+N47)^($A101-N48-1))</f>
        <v/>
      </c>
      <c r="O101" s="14">
        <f>IF(OR($A101&lt;=O48,$A101&gt;O34),0,(O29-IF($A101&lt;O50,0,IF($A101=O50,O63*O54,O63))-IF($A101&lt;O51,0,IF($A101=O51,O67*O55,O67)))/(1+O47)^($A101-O48-1))</f>
        <v/>
      </c>
    </row>
    <row r="102">
      <c r="A102" s="18">
        <f>A101+1</f>
        <v/>
      </c>
      <c r="B102" s="14">
        <f>IF(OR($A102&lt;=B48,$A102&gt;B34),0,(B29-IF($A102&lt;B50,0,IF($A102=B50,B63*B54,B63))-IF($A102&lt;B51,0,IF($A102=B51,B67*B55,B67)))/(1+B47)^($A102-B48-1))</f>
        <v/>
      </c>
      <c r="C102" s="14">
        <f>IF(OR($A102&lt;=C48,$A102&gt;C34),0,(C29-IF($A102&lt;C50,0,IF($A102=C50,C63*C54,C63))-IF($A102&lt;C51,0,IF($A102=C51,C67*C55,C67)))/(1+C47)^($A102-C48-1))</f>
        <v/>
      </c>
      <c r="D102" s="14">
        <f>IF(OR($A102&lt;=D48,$A102&gt;D34),0,(D29-IF($A102&lt;D50,0,IF($A102=D50,D63*D54,D63))-IF($A102&lt;D51,0,IF($A102=D51,D67*D55,D67)))/(1+D47)^($A102-D48-1))</f>
        <v/>
      </c>
      <c r="E102" s="14">
        <f>IF(OR($A102&lt;=E48,$A102&gt;E34),0,(E29-IF($A102&lt;E50,0,IF($A102=E50,E63*E54,E63))-IF($A102&lt;E51,0,IF($A102=E51,E67*E55,E67)))/(1+E47)^($A102-E48-1))</f>
        <v/>
      </c>
      <c r="F102" s="14">
        <f>IF(OR($A102&lt;=F48,$A102&gt;F34),0,(F29-IF($A102&lt;F50,0,IF($A102=F50,F63*F54,F63))-IF($A102&lt;F51,0,IF($A102=F51,F67*F55,F67)))/(1+F47)^($A102-F48-1))</f>
        <v/>
      </c>
      <c r="G102" s="14">
        <f>IF(OR($A102&lt;=G48,$A102&gt;G34),0,(G29-IF($A102&lt;G50,0,IF($A102=G50,G63*G54,G63))-IF($A102&lt;G51,0,IF($A102=G51,G67*G55,G67)))/(1+G47)^($A102-G48-1))</f>
        <v/>
      </c>
      <c r="H102" s="14">
        <f>IF(OR($A102&lt;=H48,$A102&gt;H34),0,(H29-IF($A102&lt;H50,0,IF($A102=H50,H63*H54,H63))-IF($A102&lt;H51,0,IF($A102=H51,H67*H55,H67)))/(1+H47)^($A102-H48-1))</f>
        <v/>
      </c>
      <c r="I102" s="14">
        <f>IF(OR($A102&lt;=I48,$A102&gt;I34),0,(I29-IF($A102&lt;I50,0,IF($A102=I50,I63*I54,I63))-IF($A102&lt;I51,0,IF($A102=I51,I67*I55,I67)))/(1+I47)^($A102-I48-1))</f>
        <v/>
      </c>
      <c r="J102" s="14">
        <f>IF(OR($A102&lt;=J48,$A102&gt;J34),0,(J29-IF($A102&lt;J50,0,IF($A102=J50,J63*J54,J63))-IF($A102&lt;J51,0,IF($A102=J51,J67*J55,J67)))/(1+J47)^($A102-J48-1))</f>
        <v/>
      </c>
      <c r="K102" s="14">
        <f>IF(OR($A102&lt;=K48,$A102&gt;K34),0,(K29-IF($A102&lt;K50,0,IF($A102=K50,K63*K54,K63))-IF($A102&lt;K51,0,IF($A102=K51,K67*K55,K67)))/(1+K47)^($A102-K48-1))</f>
        <v/>
      </c>
      <c r="L102" s="14">
        <f>IF(OR($A102&lt;=L48,$A102&gt;L34),0,(L29-IF($A102&lt;L50,0,IF($A102=L50,L63*L54,L63))-IF($A102&lt;L51,0,IF($A102=L51,L67*L55,L67)))/(1+L47)^($A102-L48-1))</f>
        <v/>
      </c>
      <c r="M102" s="14">
        <f>IF(OR($A102&lt;=M48,$A102&gt;M34),0,(M29-IF($A102&lt;M50,0,IF($A102=M50,M63*M54,M63))-IF($A102&lt;M51,0,IF($A102=M51,M67*M55,M67)))/(1+M47)^($A102-M48-1))</f>
        <v/>
      </c>
      <c r="N102" s="14">
        <f>IF(OR($A102&lt;=N48,$A102&gt;N34),0,(N29-IF($A102&lt;N50,0,IF($A102=N50,N63*N54,N63))-IF($A102&lt;N51,0,IF($A102=N51,N67*N55,N67)))/(1+N47)^($A102-N48-1))</f>
        <v/>
      </c>
      <c r="O102" s="14">
        <f>IF(OR($A102&lt;=O48,$A102&gt;O34),0,(O29-IF($A102&lt;O50,0,IF($A102=O50,O63*O54,O63))-IF($A102&lt;O51,0,IF($A102=O51,O67*O55,O67)))/(1+O47)^($A102-O48-1))</f>
        <v/>
      </c>
    </row>
    <row r="103">
      <c r="A103" s="18">
        <f>A102+1</f>
        <v/>
      </c>
      <c r="B103" s="14">
        <f>IF(OR($A103&lt;=B48,$A103&gt;B34),0,(B29-IF($A103&lt;B50,0,IF($A103=B50,B63*B54,B63))-IF($A103&lt;B51,0,IF($A103=B51,B67*B55,B67)))/(1+B47)^($A103-B48-1))</f>
        <v/>
      </c>
      <c r="C103" s="14">
        <f>IF(OR($A103&lt;=C48,$A103&gt;C34),0,(C29-IF($A103&lt;C50,0,IF($A103=C50,C63*C54,C63))-IF($A103&lt;C51,0,IF($A103=C51,C67*C55,C67)))/(1+C47)^($A103-C48-1))</f>
        <v/>
      </c>
      <c r="D103" s="14">
        <f>IF(OR($A103&lt;=D48,$A103&gt;D34),0,(D29-IF($A103&lt;D50,0,IF($A103=D50,D63*D54,D63))-IF($A103&lt;D51,0,IF($A103=D51,D67*D55,D67)))/(1+D47)^($A103-D48-1))</f>
        <v/>
      </c>
      <c r="E103" s="14">
        <f>IF(OR($A103&lt;=E48,$A103&gt;E34),0,(E29-IF($A103&lt;E50,0,IF($A103=E50,E63*E54,E63))-IF($A103&lt;E51,0,IF($A103=E51,E67*E55,E67)))/(1+E47)^($A103-E48-1))</f>
        <v/>
      </c>
      <c r="F103" s="14">
        <f>IF(OR($A103&lt;=F48,$A103&gt;F34),0,(F29-IF($A103&lt;F50,0,IF($A103=F50,F63*F54,F63))-IF($A103&lt;F51,0,IF($A103=F51,F67*F55,F67)))/(1+F47)^($A103-F48-1))</f>
        <v/>
      </c>
      <c r="G103" s="14">
        <f>IF(OR($A103&lt;=G48,$A103&gt;G34),0,(G29-IF($A103&lt;G50,0,IF($A103=G50,G63*G54,G63))-IF($A103&lt;G51,0,IF($A103=G51,G67*G55,G67)))/(1+G47)^($A103-G48-1))</f>
        <v/>
      </c>
      <c r="H103" s="14">
        <f>IF(OR($A103&lt;=H48,$A103&gt;H34),0,(H29-IF($A103&lt;H50,0,IF($A103=H50,H63*H54,H63))-IF($A103&lt;H51,0,IF($A103=H51,H67*H55,H67)))/(1+H47)^($A103-H48-1))</f>
        <v/>
      </c>
      <c r="I103" s="14">
        <f>IF(OR($A103&lt;=I48,$A103&gt;I34),0,(I29-IF($A103&lt;I50,0,IF($A103=I50,I63*I54,I63))-IF($A103&lt;I51,0,IF($A103=I51,I67*I55,I67)))/(1+I47)^($A103-I48-1))</f>
        <v/>
      </c>
      <c r="J103" s="14">
        <f>IF(OR($A103&lt;=J48,$A103&gt;J34),0,(J29-IF($A103&lt;J50,0,IF($A103=J50,J63*J54,J63))-IF($A103&lt;J51,0,IF($A103=J51,J67*J55,J67)))/(1+J47)^($A103-J48-1))</f>
        <v/>
      </c>
      <c r="K103" s="14">
        <f>IF(OR($A103&lt;=K48,$A103&gt;K34),0,(K29-IF($A103&lt;K50,0,IF($A103=K50,K63*K54,K63))-IF($A103&lt;K51,0,IF($A103=K51,K67*K55,K67)))/(1+K47)^($A103-K48-1))</f>
        <v/>
      </c>
      <c r="L103" s="14">
        <f>IF(OR($A103&lt;=L48,$A103&gt;L34),0,(L29-IF($A103&lt;L50,0,IF($A103=L50,L63*L54,L63))-IF($A103&lt;L51,0,IF($A103=L51,L67*L55,L67)))/(1+L47)^($A103-L48-1))</f>
        <v/>
      </c>
      <c r="M103" s="14">
        <f>IF(OR($A103&lt;=M48,$A103&gt;M34),0,(M29-IF($A103&lt;M50,0,IF($A103=M50,M63*M54,M63))-IF($A103&lt;M51,0,IF($A103=M51,M67*M55,M67)))/(1+M47)^($A103-M48-1))</f>
        <v/>
      </c>
      <c r="N103" s="14">
        <f>IF(OR($A103&lt;=N48,$A103&gt;N34),0,(N29-IF($A103&lt;N50,0,IF($A103=N50,N63*N54,N63))-IF($A103&lt;N51,0,IF($A103=N51,N67*N55,N67)))/(1+N47)^($A103-N48-1))</f>
        <v/>
      </c>
      <c r="O103" s="14">
        <f>IF(OR($A103&lt;=O48,$A103&gt;O34),0,(O29-IF($A103&lt;O50,0,IF($A103=O50,O63*O54,O63))-IF($A103&lt;O51,0,IF($A103=O51,O67*O55,O67)))/(1+O47)^($A103-O48-1))</f>
        <v/>
      </c>
    </row>
    <row r="104">
      <c r="A104" s="18">
        <f>A103+1</f>
        <v/>
      </c>
      <c r="B104" s="14">
        <f>IF(OR($A104&lt;=B48,$A104&gt;B34),0,(B29-IF($A104&lt;B50,0,IF($A104=B50,B63*B54,B63))-IF($A104&lt;B51,0,IF($A104=B51,B67*B55,B67)))/(1+B47)^($A104-B48-1))</f>
        <v/>
      </c>
      <c r="C104" s="14">
        <f>IF(OR($A104&lt;=C48,$A104&gt;C34),0,(C29-IF($A104&lt;C50,0,IF($A104=C50,C63*C54,C63))-IF($A104&lt;C51,0,IF($A104=C51,C67*C55,C67)))/(1+C47)^($A104-C48-1))</f>
        <v/>
      </c>
      <c r="D104" s="14">
        <f>IF(OR($A104&lt;=D48,$A104&gt;D34),0,(D29-IF($A104&lt;D50,0,IF($A104=D50,D63*D54,D63))-IF($A104&lt;D51,0,IF($A104=D51,D67*D55,D67)))/(1+D47)^($A104-D48-1))</f>
        <v/>
      </c>
      <c r="E104" s="14">
        <f>IF(OR($A104&lt;=E48,$A104&gt;E34),0,(E29-IF($A104&lt;E50,0,IF($A104=E50,E63*E54,E63))-IF($A104&lt;E51,0,IF($A104=E51,E67*E55,E67)))/(1+E47)^($A104-E48-1))</f>
        <v/>
      </c>
      <c r="F104" s="14">
        <f>IF(OR($A104&lt;=F48,$A104&gt;F34),0,(F29-IF($A104&lt;F50,0,IF($A104=F50,F63*F54,F63))-IF($A104&lt;F51,0,IF($A104=F51,F67*F55,F67)))/(1+F47)^($A104-F48-1))</f>
        <v/>
      </c>
      <c r="G104" s="14">
        <f>IF(OR($A104&lt;=G48,$A104&gt;G34),0,(G29-IF($A104&lt;G50,0,IF($A104=G50,G63*G54,G63))-IF($A104&lt;G51,0,IF($A104=G51,G67*G55,G67)))/(1+G47)^($A104-G48-1))</f>
        <v/>
      </c>
      <c r="H104" s="14">
        <f>IF(OR($A104&lt;=H48,$A104&gt;H34),0,(H29-IF($A104&lt;H50,0,IF($A104=H50,H63*H54,H63))-IF($A104&lt;H51,0,IF($A104=H51,H67*H55,H67)))/(1+H47)^($A104-H48-1))</f>
        <v/>
      </c>
      <c r="I104" s="14">
        <f>IF(OR($A104&lt;=I48,$A104&gt;I34),0,(I29-IF($A104&lt;I50,0,IF($A104=I50,I63*I54,I63))-IF($A104&lt;I51,0,IF($A104=I51,I67*I55,I67)))/(1+I47)^($A104-I48-1))</f>
        <v/>
      </c>
      <c r="J104" s="14">
        <f>IF(OR($A104&lt;=J48,$A104&gt;J34),0,(J29-IF($A104&lt;J50,0,IF($A104=J50,J63*J54,J63))-IF($A104&lt;J51,0,IF($A104=J51,J67*J55,J67)))/(1+J47)^($A104-J48-1))</f>
        <v/>
      </c>
      <c r="K104" s="14">
        <f>IF(OR($A104&lt;=K48,$A104&gt;K34),0,(K29-IF($A104&lt;K50,0,IF($A104=K50,K63*K54,K63))-IF($A104&lt;K51,0,IF($A104=K51,K67*K55,K67)))/(1+K47)^($A104-K48-1))</f>
        <v/>
      </c>
      <c r="L104" s="14">
        <f>IF(OR($A104&lt;=L48,$A104&gt;L34),0,(L29-IF($A104&lt;L50,0,IF($A104=L50,L63*L54,L63))-IF($A104&lt;L51,0,IF($A104=L51,L67*L55,L67)))/(1+L47)^($A104-L48-1))</f>
        <v/>
      </c>
      <c r="M104" s="14">
        <f>IF(OR($A104&lt;=M48,$A104&gt;M34),0,(M29-IF($A104&lt;M50,0,IF($A104=M50,M63*M54,M63))-IF($A104&lt;M51,0,IF($A104=M51,M67*M55,M67)))/(1+M47)^($A104-M48-1))</f>
        <v/>
      </c>
      <c r="N104" s="14">
        <f>IF(OR($A104&lt;=N48,$A104&gt;N34),0,(N29-IF($A104&lt;N50,0,IF($A104=N50,N63*N54,N63))-IF($A104&lt;N51,0,IF($A104=N51,N67*N55,N67)))/(1+N47)^($A104-N48-1))</f>
        <v/>
      </c>
      <c r="O104" s="14">
        <f>IF(OR($A104&lt;=O48,$A104&gt;O34),0,(O29-IF($A104&lt;O50,0,IF($A104=O50,O63*O54,O63))-IF($A104&lt;O51,0,IF($A104=O51,O67*O55,O67)))/(1+O47)^($A104-O48-1))</f>
        <v/>
      </c>
    </row>
    <row r="105">
      <c r="A105" s="18">
        <f>A104+1</f>
        <v/>
      </c>
      <c r="B105" s="14">
        <f>IF(OR($A105&lt;=B48,$A105&gt;B34),0,(B29-IF($A105&lt;B50,0,IF($A105=B50,B63*B54,B63))-IF($A105&lt;B51,0,IF($A105=B51,B67*B55,B67)))/(1+B47)^($A105-B48-1))</f>
        <v/>
      </c>
      <c r="C105" s="14">
        <f>IF(OR($A105&lt;=C48,$A105&gt;C34),0,(C29-IF($A105&lt;C50,0,IF($A105=C50,C63*C54,C63))-IF($A105&lt;C51,0,IF($A105=C51,C67*C55,C67)))/(1+C47)^($A105-C48-1))</f>
        <v/>
      </c>
      <c r="D105" s="14">
        <f>IF(OR($A105&lt;=D48,$A105&gt;D34),0,(D29-IF($A105&lt;D50,0,IF($A105=D50,D63*D54,D63))-IF($A105&lt;D51,0,IF($A105=D51,D67*D55,D67)))/(1+D47)^($A105-D48-1))</f>
        <v/>
      </c>
      <c r="E105" s="14">
        <f>IF(OR($A105&lt;=E48,$A105&gt;E34),0,(E29-IF($A105&lt;E50,0,IF($A105=E50,E63*E54,E63))-IF($A105&lt;E51,0,IF($A105=E51,E67*E55,E67)))/(1+E47)^($A105-E48-1))</f>
        <v/>
      </c>
      <c r="F105" s="14">
        <f>IF(OR($A105&lt;=F48,$A105&gt;F34),0,(F29-IF($A105&lt;F50,0,IF($A105=F50,F63*F54,F63))-IF($A105&lt;F51,0,IF($A105=F51,F67*F55,F67)))/(1+F47)^($A105-F48-1))</f>
        <v/>
      </c>
      <c r="G105" s="14">
        <f>IF(OR($A105&lt;=G48,$A105&gt;G34),0,(G29-IF($A105&lt;G50,0,IF($A105=G50,G63*G54,G63))-IF($A105&lt;G51,0,IF($A105=G51,G67*G55,G67)))/(1+G47)^($A105-G48-1))</f>
        <v/>
      </c>
      <c r="H105" s="14">
        <f>IF(OR($A105&lt;=H48,$A105&gt;H34),0,(H29-IF($A105&lt;H50,0,IF($A105=H50,H63*H54,H63))-IF($A105&lt;H51,0,IF($A105=H51,H67*H55,H67)))/(1+H47)^($A105-H48-1))</f>
        <v/>
      </c>
      <c r="I105" s="14">
        <f>IF(OR($A105&lt;=I48,$A105&gt;I34),0,(I29-IF($A105&lt;I50,0,IF($A105=I50,I63*I54,I63))-IF($A105&lt;I51,0,IF($A105=I51,I67*I55,I67)))/(1+I47)^($A105-I48-1))</f>
        <v/>
      </c>
      <c r="J105" s="14">
        <f>IF(OR($A105&lt;=J48,$A105&gt;J34),0,(J29-IF($A105&lt;J50,0,IF($A105=J50,J63*J54,J63))-IF($A105&lt;J51,0,IF($A105=J51,J67*J55,J67)))/(1+J47)^($A105-J48-1))</f>
        <v/>
      </c>
      <c r="K105" s="14">
        <f>IF(OR($A105&lt;=K48,$A105&gt;K34),0,(K29-IF($A105&lt;K50,0,IF($A105=K50,K63*K54,K63))-IF($A105&lt;K51,0,IF($A105=K51,K67*K55,K67)))/(1+K47)^($A105-K48-1))</f>
        <v/>
      </c>
      <c r="L105" s="14">
        <f>IF(OR($A105&lt;=L48,$A105&gt;L34),0,(L29-IF($A105&lt;L50,0,IF($A105=L50,L63*L54,L63))-IF($A105&lt;L51,0,IF($A105=L51,L67*L55,L67)))/(1+L47)^($A105-L48-1))</f>
        <v/>
      </c>
      <c r="M105" s="14">
        <f>IF(OR($A105&lt;=M48,$A105&gt;M34),0,(M29-IF($A105&lt;M50,0,IF($A105=M50,M63*M54,M63))-IF($A105&lt;M51,0,IF($A105=M51,M67*M55,M67)))/(1+M47)^($A105-M48-1))</f>
        <v/>
      </c>
      <c r="N105" s="14">
        <f>IF(OR($A105&lt;=N48,$A105&gt;N34),0,(N29-IF($A105&lt;N50,0,IF($A105=N50,N63*N54,N63))-IF($A105&lt;N51,0,IF($A105=N51,N67*N55,N67)))/(1+N47)^($A105-N48-1))</f>
        <v/>
      </c>
      <c r="O105" s="14">
        <f>IF(OR($A105&lt;=O48,$A105&gt;O34),0,(O29-IF($A105&lt;O50,0,IF($A105=O50,O63*O54,O63))-IF($A105&lt;O51,0,IF($A105=O51,O67*O55,O67)))/(1+O47)^($A105-O48-1))</f>
        <v/>
      </c>
    </row>
    <row r="106">
      <c r="A106" s="18">
        <f>A105+1</f>
        <v/>
      </c>
      <c r="B106" s="14">
        <f>IF(OR($A106&lt;=B48,$A106&gt;B34),0,(B29-IF($A106&lt;B50,0,IF($A106=B50,B63*B54,B63))-IF($A106&lt;B51,0,IF($A106=B51,B67*B55,B67)))/(1+B47)^($A106-B48-1))</f>
        <v/>
      </c>
      <c r="C106" s="14">
        <f>IF(OR($A106&lt;=C48,$A106&gt;C34),0,(C29-IF($A106&lt;C50,0,IF($A106=C50,C63*C54,C63))-IF($A106&lt;C51,0,IF($A106=C51,C67*C55,C67)))/(1+C47)^($A106-C48-1))</f>
        <v/>
      </c>
      <c r="D106" s="14">
        <f>IF(OR($A106&lt;=D48,$A106&gt;D34),0,(D29-IF($A106&lt;D50,0,IF($A106=D50,D63*D54,D63))-IF($A106&lt;D51,0,IF($A106=D51,D67*D55,D67)))/(1+D47)^($A106-D48-1))</f>
        <v/>
      </c>
      <c r="E106" s="14">
        <f>IF(OR($A106&lt;=E48,$A106&gt;E34),0,(E29-IF($A106&lt;E50,0,IF($A106=E50,E63*E54,E63))-IF($A106&lt;E51,0,IF($A106=E51,E67*E55,E67)))/(1+E47)^($A106-E48-1))</f>
        <v/>
      </c>
      <c r="F106" s="14">
        <f>IF(OR($A106&lt;=F48,$A106&gt;F34),0,(F29-IF($A106&lt;F50,0,IF($A106=F50,F63*F54,F63))-IF($A106&lt;F51,0,IF($A106=F51,F67*F55,F67)))/(1+F47)^($A106-F48-1))</f>
        <v/>
      </c>
      <c r="G106" s="14">
        <f>IF(OR($A106&lt;=G48,$A106&gt;G34),0,(G29-IF($A106&lt;G50,0,IF($A106=G50,G63*G54,G63))-IF($A106&lt;G51,0,IF($A106=G51,G67*G55,G67)))/(1+G47)^($A106-G48-1))</f>
        <v/>
      </c>
      <c r="H106" s="14">
        <f>IF(OR($A106&lt;=H48,$A106&gt;H34),0,(H29-IF($A106&lt;H50,0,IF($A106=H50,H63*H54,H63))-IF($A106&lt;H51,0,IF($A106=H51,H67*H55,H67)))/(1+H47)^($A106-H48-1))</f>
        <v/>
      </c>
      <c r="I106" s="14">
        <f>IF(OR($A106&lt;=I48,$A106&gt;I34),0,(I29-IF($A106&lt;I50,0,IF($A106=I50,I63*I54,I63))-IF($A106&lt;I51,0,IF($A106=I51,I67*I55,I67)))/(1+I47)^($A106-I48-1))</f>
        <v/>
      </c>
      <c r="J106" s="14">
        <f>IF(OR($A106&lt;=J48,$A106&gt;J34),0,(J29-IF($A106&lt;J50,0,IF($A106=J50,J63*J54,J63))-IF($A106&lt;J51,0,IF($A106=J51,J67*J55,J67)))/(1+J47)^($A106-J48-1))</f>
        <v/>
      </c>
      <c r="K106" s="14">
        <f>IF(OR($A106&lt;=K48,$A106&gt;K34),0,(K29-IF($A106&lt;K50,0,IF($A106=K50,K63*K54,K63))-IF($A106&lt;K51,0,IF($A106=K51,K67*K55,K67)))/(1+K47)^($A106-K48-1))</f>
        <v/>
      </c>
      <c r="L106" s="14">
        <f>IF(OR($A106&lt;=L48,$A106&gt;L34),0,(L29-IF($A106&lt;L50,0,IF($A106=L50,L63*L54,L63))-IF($A106&lt;L51,0,IF($A106=L51,L67*L55,L67)))/(1+L47)^($A106-L48-1))</f>
        <v/>
      </c>
      <c r="M106" s="14">
        <f>IF(OR($A106&lt;=M48,$A106&gt;M34),0,(M29-IF($A106&lt;M50,0,IF($A106=M50,M63*M54,M63))-IF($A106&lt;M51,0,IF($A106=M51,M67*M55,M67)))/(1+M47)^($A106-M48-1))</f>
        <v/>
      </c>
      <c r="N106" s="14">
        <f>IF(OR($A106&lt;=N48,$A106&gt;N34),0,(N29-IF($A106&lt;N50,0,IF($A106=N50,N63*N54,N63))-IF($A106&lt;N51,0,IF($A106=N51,N67*N55,N67)))/(1+N47)^($A106-N48-1))</f>
        <v/>
      </c>
      <c r="O106" s="14">
        <f>IF(OR($A106&lt;=O48,$A106&gt;O34),0,(O29-IF($A106&lt;O50,0,IF($A106=O50,O63*O54,O63))-IF($A106&lt;O51,0,IF($A106=O51,O67*O55,O67)))/(1+O47)^($A106-O48-1))</f>
        <v/>
      </c>
    </row>
    <row r="107">
      <c r="A107" s="18">
        <f>A106+1</f>
        <v/>
      </c>
      <c r="B107" s="14">
        <f>IF(OR($A107&lt;=B48,$A107&gt;B34),0,(B29-IF($A107&lt;B50,0,IF($A107=B50,B63*B54,B63))-IF($A107&lt;B51,0,IF($A107=B51,B67*B55,B67)))/(1+B47)^($A107-B48-1))</f>
        <v/>
      </c>
      <c r="C107" s="14">
        <f>IF(OR($A107&lt;=C48,$A107&gt;C34),0,(C29-IF($A107&lt;C50,0,IF($A107=C50,C63*C54,C63))-IF($A107&lt;C51,0,IF($A107=C51,C67*C55,C67)))/(1+C47)^($A107-C48-1))</f>
        <v/>
      </c>
      <c r="D107" s="14">
        <f>IF(OR($A107&lt;=D48,$A107&gt;D34),0,(D29-IF($A107&lt;D50,0,IF($A107=D50,D63*D54,D63))-IF($A107&lt;D51,0,IF($A107=D51,D67*D55,D67)))/(1+D47)^($A107-D48-1))</f>
        <v/>
      </c>
      <c r="E107" s="14">
        <f>IF(OR($A107&lt;=E48,$A107&gt;E34),0,(E29-IF($A107&lt;E50,0,IF($A107=E50,E63*E54,E63))-IF($A107&lt;E51,0,IF($A107=E51,E67*E55,E67)))/(1+E47)^($A107-E48-1))</f>
        <v/>
      </c>
      <c r="F107" s="14">
        <f>IF(OR($A107&lt;=F48,$A107&gt;F34),0,(F29-IF($A107&lt;F50,0,IF($A107=F50,F63*F54,F63))-IF($A107&lt;F51,0,IF($A107=F51,F67*F55,F67)))/(1+F47)^($A107-F48-1))</f>
        <v/>
      </c>
      <c r="G107" s="14">
        <f>IF(OR($A107&lt;=G48,$A107&gt;G34),0,(G29-IF($A107&lt;G50,0,IF($A107=G50,G63*G54,G63))-IF($A107&lt;G51,0,IF($A107=G51,G67*G55,G67)))/(1+G47)^($A107-G48-1))</f>
        <v/>
      </c>
      <c r="H107" s="14">
        <f>IF(OR($A107&lt;=H48,$A107&gt;H34),0,(H29-IF($A107&lt;H50,0,IF($A107=H50,H63*H54,H63))-IF($A107&lt;H51,0,IF($A107=H51,H67*H55,H67)))/(1+H47)^($A107-H48-1))</f>
        <v/>
      </c>
      <c r="I107" s="14">
        <f>IF(OR($A107&lt;=I48,$A107&gt;I34),0,(I29-IF($A107&lt;I50,0,IF($A107=I50,I63*I54,I63))-IF($A107&lt;I51,0,IF($A107=I51,I67*I55,I67)))/(1+I47)^($A107-I48-1))</f>
        <v/>
      </c>
      <c r="J107" s="14">
        <f>IF(OR($A107&lt;=J48,$A107&gt;J34),0,(J29-IF($A107&lt;J50,0,IF($A107=J50,J63*J54,J63))-IF($A107&lt;J51,0,IF($A107=J51,J67*J55,J67)))/(1+J47)^($A107-J48-1))</f>
        <v/>
      </c>
      <c r="K107" s="14">
        <f>IF(OR($A107&lt;=K48,$A107&gt;K34),0,(K29-IF($A107&lt;K50,0,IF($A107=K50,K63*K54,K63))-IF($A107&lt;K51,0,IF($A107=K51,K67*K55,K67)))/(1+K47)^($A107-K48-1))</f>
        <v/>
      </c>
      <c r="L107" s="14">
        <f>IF(OR($A107&lt;=L48,$A107&gt;L34),0,(L29-IF($A107&lt;L50,0,IF($A107=L50,L63*L54,L63))-IF($A107&lt;L51,0,IF($A107=L51,L67*L55,L67)))/(1+L47)^($A107-L48-1))</f>
        <v/>
      </c>
      <c r="M107" s="14">
        <f>IF(OR($A107&lt;=M48,$A107&gt;M34),0,(M29-IF($A107&lt;M50,0,IF($A107=M50,M63*M54,M63))-IF($A107&lt;M51,0,IF($A107=M51,M67*M55,M67)))/(1+M47)^($A107-M48-1))</f>
        <v/>
      </c>
      <c r="N107" s="14">
        <f>IF(OR($A107&lt;=N48,$A107&gt;N34),0,(N29-IF($A107&lt;N50,0,IF($A107=N50,N63*N54,N63))-IF($A107&lt;N51,0,IF($A107=N51,N67*N55,N67)))/(1+N47)^($A107-N48-1))</f>
        <v/>
      </c>
      <c r="O107" s="14">
        <f>IF(OR($A107&lt;=O48,$A107&gt;O34),0,(O29-IF($A107&lt;O50,0,IF($A107=O50,O63*O54,O63))-IF($A107&lt;O51,0,IF($A107=O51,O67*O55,O67)))/(1+O47)^($A107-O48-1))</f>
        <v/>
      </c>
    </row>
    <row r="108">
      <c r="A108" s="18">
        <f>A107+1</f>
        <v/>
      </c>
      <c r="B108" s="14">
        <f>IF(OR($A108&lt;=B48,$A108&gt;B34),0,(B29-IF($A108&lt;B50,0,IF($A108=B50,B63*B54,B63))-IF($A108&lt;B51,0,IF($A108=B51,B67*B55,B67)))/(1+B47)^($A108-B48-1))</f>
        <v/>
      </c>
      <c r="C108" s="14">
        <f>IF(OR($A108&lt;=C48,$A108&gt;C34),0,(C29-IF($A108&lt;C50,0,IF($A108=C50,C63*C54,C63))-IF($A108&lt;C51,0,IF($A108=C51,C67*C55,C67)))/(1+C47)^($A108-C48-1))</f>
        <v/>
      </c>
      <c r="D108" s="14">
        <f>IF(OR($A108&lt;=D48,$A108&gt;D34),0,(D29-IF($A108&lt;D50,0,IF($A108=D50,D63*D54,D63))-IF($A108&lt;D51,0,IF($A108=D51,D67*D55,D67)))/(1+D47)^($A108-D48-1))</f>
        <v/>
      </c>
      <c r="E108" s="14">
        <f>IF(OR($A108&lt;=E48,$A108&gt;E34),0,(E29-IF($A108&lt;E50,0,IF($A108=E50,E63*E54,E63))-IF($A108&lt;E51,0,IF($A108=E51,E67*E55,E67)))/(1+E47)^($A108-E48-1))</f>
        <v/>
      </c>
      <c r="F108" s="14">
        <f>IF(OR($A108&lt;=F48,$A108&gt;F34),0,(F29-IF($A108&lt;F50,0,IF($A108=F50,F63*F54,F63))-IF($A108&lt;F51,0,IF($A108=F51,F67*F55,F67)))/(1+F47)^($A108-F48-1))</f>
        <v/>
      </c>
      <c r="G108" s="14">
        <f>IF(OR($A108&lt;=G48,$A108&gt;G34),0,(G29-IF($A108&lt;G50,0,IF($A108=G50,G63*G54,G63))-IF($A108&lt;G51,0,IF($A108=G51,G67*G55,G67)))/(1+G47)^($A108-G48-1))</f>
        <v/>
      </c>
      <c r="H108" s="14">
        <f>IF(OR($A108&lt;=H48,$A108&gt;H34),0,(H29-IF($A108&lt;H50,0,IF($A108=H50,H63*H54,H63))-IF($A108&lt;H51,0,IF($A108=H51,H67*H55,H67)))/(1+H47)^($A108-H48-1))</f>
        <v/>
      </c>
      <c r="I108" s="14">
        <f>IF(OR($A108&lt;=I48,$A108&gt;I34),0,(I29-IF($A108&lt;I50,0,IF($A108=I50,I63*I54,I63))-IF($A108&lt;I51,0,IF($A108=I51,I67*I55,I67)))/(1+I47)^($A108-I48-1))</f>
        <v/>
      </c>
      <c r="J108" s="14">
        <f>IF(OR($A108&lt;=J48,$A108&gt;J34),0,(J29-IF($A108&lt;J50,0,IF($A108=J50,J63*J54,J63))-IF($A108&lt;J51,0,IF($A108=J51,J67*J55,J67)))/(1+J47)^($A108-J48-1))</f>
        <v/>
      </c>
      <c r="K108" s="14">
        <f>IF(OR($A108&lt;=K48,$A108&gt;K34),0,(K29-IF($A108&lt;K50,0,IF($A108=K50,K63*K54,K63))-IF($A108&lt;K51,0,IF($A108=K51,K67*K55,K67)))/(1+K47)^($A108-K48-1))</f>
        <v/>
      </c>
      <c r="L108" s="14">
        <f>IF(OR($A108&lt;=L48,$A108&gt;L34),0,(L29-IF($A108&lt;L50,0,IF($A108=L50,L63*L54,L63))-IF($A108&lt;L51,0,IF($A108=L51,L67*L55,L67)))/(1+L47)^($A108-L48-1))</f>
        <v/>
      </c>
      <c r="M108" s="14">
        <f>IF(OR($A108&lt;=M48,$A108&gt;M34),0,(M29-IF($A108&lt;M50,0,IF($A108=M50,M63*M54,M63))-IF($A108&lt;M51,0,IF($A108=M51,M67*M55,M67)))/(1+M47)^($A108-M48-1))</f>
        <v/>
      </c>
      <c r="N108" s="14">
        <f>IF(OR($A108&lt;=N48,$A108&gt;N34),0,(N29-IF($A108&lt;N50,0,IF($A108=N50,N63*N54,N63))-IF($A108&lt;N51,0,IF($A108=N51,N67*N55,N67)))/(1+N47)^($A108-N48-1))</f>
        <v/>
      </c>
      <c r="O108" s="14">
        <f>IF(OR($A108&lt;=O48,$A108&gt;O34),0,(O29-IF($A108&lt;O50,0,IF($A108=O50,O63*O54,O63))-IF($A108&lt;O51,0,IF($A108=O51,O67*O55,O67)))/(1+O47)^($A108-O48-1))</f>
        <v/>
      </c>
    </row>
    <row r="109">
      <c r="A109" s="18">
        <f>A108+1</f>
        <v/>
      </c>
      <c r="B109" s="14">
        <f>IF(OR($A109&lt;=B48,$A109&gt;B34),0,(B29-IF($A109&lt;B50,0,IF($A109=B50,B63*B54,B63))-IF($A109&lt;B51,0,IF($A109=B51,B67*B55,B67)))/(1+B47)^($A109-B48-1))</f>
        <v/>
      </c>
      <c r="C109" s="14">
        <f>IF(OR($A109&lt;=C48,$A109&gt;C34),0,(C29-IF($A109&lt;C50,0,IF($A109=C50,C63*C54,C63))-IF($A109&lt;C51,0,IF($A109=C51,C67*C55,C67)))/(1+C47)^($A109-C48-1))</f>
        <v/>
      </c>
      <c r="D109" s="14">
        <f>IF(OR($A109&lt;=D48,$A109&gt;D34),0,(D29-IF($A109&lt;D50,0,IF($A109=D50,D63*D54,D63))-IF($A109&lt;D51,0,IF($A109=D51,D67*D55,D67)))/(1+D47)^($A109-D48-1))</f>
        <v/>
      </c>
      <c r="E109" s="14">
        <f>IF(OR($A109&lt;=E48,$A109&gt;E34),0,(E29-IF($A109&lt;E50,0,IF($A109=E50,E63*E54,E63))-IF($A109&lt;E51,0,IF($A109=E51,E67*E55,E67)))/(1+E47)^($A109-E48-1))</f>
        <v/>
      </c>
      <c r="F109" s="14">
        <f>IF(OR($A109&lt;=F48,$A109&gt;F34),0,(F29-IF($A109&lt;F50,0,IF($A109=F50,F63*F54,F63))-IF($A109&lt;F51,0,IF($A109=F51,F67*F55,F67)))/(1+F47)^($A109-F48-1))</f>
        <v/>
      </c>
      <c r="G109" s="14">
        <f>IF(OR($A109&lt;=G48,$A109&gt;G34),0,(G29-IF($A109&lt;G50,0,IF($A109=G50,G63*G54,G63))-IF($A109&lt;G51,0,IF($A109=G51,G67*G55,G67)))/(1+G47)^($A109-G48-1))</f>
        <v/>
      </c>
      <c r="H109" s="14">
        <f>IF(OR($A109&lt;=H48,$A109&gt;H34),0,(H29-IF($A109&lt;H50,0,IF($A109=H50,H63*H54,H63))-IF($A109&lt;H51,0,IF($A109=H51,H67*H55,H67)))/(1+H47)^($A109-H48-1))</f>
        <v/>
      </c>
      <c r="I109" s="14">
        <f>IF(OR($A109&lt;=I48,$A109&gt;I34),0,(I29-IF($A109&lt;I50,0,IF($A109=I50,I63*I54,I63))-IF($A109&lt;I51,0,IF($A109=I51,I67*I55,I67)))/(1+I47)^($A109-I48-1))</f>
        <v/>
      </c>
      <c r="J109" s="14">
        <f>IF(OR($A109&lt;=J48,$A109&gt;J34),0,(J29-IF($A109&lt;J50,0,IF($A109=J50,J63*J54,J63))-IF($A109&lt;J51,0,IF($A109=J51,J67*J55,J67)))/(1+J47)^($A109-J48-1))</f>
        <v/>
      </c>
      <c r="K109" s="14">
        <f>IF(OR($A109&lt;=K48,$A109&gt;K34),0,(K29-IF($A109&lt;K50,0,IF($A109=K50,K63*K54,K63))-IF($A109&lt;K51,0,IF($A109=K51,K67*K55,K67)))/(1+K47)^($A109-K48-1))</f>
        <v/>
      </c>
      <c r="L109" s="14">
        <f>IF(OR($A109&lt;=L48,$A109&gt;L34),0,(L29-IF($A109&lt;L50,0,IF($A109=L50,L63*L54,L63))-IF($A109&lt;L51,0,IF($A109=L51,L67*L55,L67)))/(1+L47)^($A109-L48-1))</f>
        <v/>
      </c>
      <c r="M109" s="14">
        <f>IF(OR($A109&lt;=M48,$A109&gt;M34),0,(M29-IF($A109&lt;M50,0,IF($A109=M50,M63*M54,M63))-IF($A109&lt;M51,0,IF($A109=M51,M67*M55,M67)))/(1+M47)^($A109-M48-1))</f>
        <v/>
      </c>
      <c r="N109" s="14">
        <f>IF(OR($A109&lt;=N48,$A109&gt;N34),0,(N29-IF($A109&lt;N50,0,IF($A109=N50,N63*N54,N63))-IF($A109&lt;N51,0,IF($A109=N51,N67*N55,N67)))/(1+N47)^($A109-N48-1))</f>
        <v/>
      </c>
      <c r="O109" s="14">
        <f>IF(OR($A109&lt;=O48,$A109&gt;O34),0,(O29-IF($A109&lt;O50,0,IF($A109=O50,O63*O54,O63))-IF($A109&lt;O51,0,IF($A109=O51,O67*O55,O67)))/(1+O47)^($A109-O48-1))</f>
        <v/>
      </c>
    </row>
    <row r="110">
      <c r="A110" s="18">
        <f>A109+1</f>
        <v/>
      </c>
      <c r="B110" s="14">
        <f>IF(OR($A110&lt;=B48,$A110&gt;B34),0,(B29-IF($A110&lt;B50,0,IF($A110=B50,B63*B54,B63))-IF($A110&lt;B51,0,IF($A110=B51,B67*B55,B67)))/(1+B47)^($A110-B48-1))</f>
        <v/>
      </c>
      <c r="C110" s="14">
        <f>IF(OR($A110&lt;=C48,$A110&gt;C34),0,(C29-IF($A110&lt;C50,0,IF($A110=C50,C63*C54,C63))-IF($A110&lt;C51,0,IF($A110=C51,C67*C55,C67)))/(1+C47)^($A110-C48-1))</f>
        <v/>
      </c>
      <c r="D110" s="14">
        <f>IF(OR($A110&lt;=D48,$A110&gt;D34),0,(D29-IF($A110&lt;D50,0,IF($A110=D50,D63*D54,D63))-IF($A110&lt;D51,0,IF($A110=D51,D67*D55,D67)))/(1+D47)^($A110-D48-1))</f>
        <v/>
      </c>
      <c r="E110" s="14">
        <f>IF(OR($A110&lt;=E48,$A110&gt;E34),0,(E29-IF($A110&lt;E50,0,IF($A110=E50,E63*E54,E63))-IF($A110&lt;E51,0,IF($A110=E51,E67*E55,E67)))/(1+E47)^($A110-E48-1))</f>
        <v/>
      </c>
      <c r="F110" s="14">
        <f>IF(OR($A110&lt;=F48,$A110&gt;F34),0,(F29-IF($A110&lt;F50,0,IF($A110=F50,F63*F54,F63))-IF($A110&lt;F51,0,IF($A110=F51,F67*F55,F67)))/(1+F47)^($A110-F48-1))</f>
        <v/>
      </c>
      <c r="G110" s="14">
        <f>IF(OR($A110&lt;=G48,$A110&gt;G34),0,(G29-IF($A110&lt;G50,0,IF($A110=G50,G63*G54,G63))-IF($A110&lt;G51,0,IF($A110=G51,G67*G55,G67)))/(1+G47)^($A110-G48-1))</f>
        <v/>
      </c>
      <c r="H110" s="14">
        <f>IF(OR($A110&lt;=H48,$A110&gt;H34),0,(H29-IF($A110&lt;H50,0,IF($A110=H50,H63*H54,H63))-IF($A110&lt;H51,0,IF($A110=H51,H67*H55,H67)))/(1+H47)^($A110-H48-1))</f>
        <v/>
      </c>
      <c r="I110" s="14">
        <f>IF(OR($A110&lt;=I48,$A110&gt;I34),0,(I29-IF($A110&lt;I50,0,IF($A110=I50,I63*I54,I63))-IF($A110&lt;I51,0,IF($A110=I51,I67*I55,I67)))/(1+I47)^($A110-I48-1))</f>
        <v/>
      </c>
      <c r="J110" s="14">
        <f>IF(OR($A110&lt;=J48,$A110&gt;J34),0,(J29-IF($A110&lt;J50,0,IF($A110=J50,J63*J54,J63))-IF($A110&lt;J51,0,IF($A110=J51,J67*J55,J67)))/(1+J47)^($A110-J48-1))</f>
        <v/>
      </c>
      <c r="K110" s="14">
        <f>IF(OR($A110&lt;=K48,$A110&gt;K34),0,(K29-IF($A110&lt;K50,0,IF($A110=K50,K63*K54,K63))-IF($A110&lt;K51,0,IF($A110=K51,K67*K55,K67)))/(1+K47)^($A110-K48-1))</f>
        <v/>
      </c>
      <c r="L110" s="14">
        <f>IF(OR($A110&lt;=L48,$A110&gt;L34),0,(L29-IF($A110&lt;L50,0,IF($A110=L50,L63*L54,L63))-IF($A110&lt;L51,0,IF($A110=L51,L67*L55,L67)))/(1+L47)^($A110-L48-1))</f>
        <v/>
      </c>
      <c r="M110" s="14">
        <f>IF(OR($A110&lt;=M48,$A110&gt;M34),0,(M29-IF($A110&lt;M50,0,IF($A110=M50,M63*M54,M63))-IF($A110&lt;M51,0,IF($A110=M51,M67*M55,M67)))/(1+M47)^($A110-M48-1))</f>
        <v/>
      </c>
      <c r="N110" s="14">
        <f>IF(OR($A110&lt;=N48,$A110&gt;N34),0,(N29-IF($A110&lt;N50,0,IF($A110=N50,N63*N54,N63))-IF($A110&lt;N51,0,IF($A110=N51,N67*N55,N67)))/(1+N47)^($A110-N48-1))</f>
        <v/>
      </c>
      <c r="O110" s="14">
        <f>IF(OR($A110&lt;=O48,$A110&gt;O34),0,(O29-IF($A110&lt;O50,0,IF($A110=O50,O63*O54,O63))-IF($A110&lt;O51,0,IF($A110=O51,O67*O55,O67)))/(1+O47)^($A110-O48-1))</f>
        <v/>
      </c>
    </row>
    <row r="111">
      <c r="A111" s="18">
        <f>A110+1</f>
        <v/>
      </c>
      <c r="B111" s="14">
        <f>IF(OR($A111&lt;=B48,$A111&gt;B34),0,(B29-IF($A111&lt;B50,0,IF($A111=B50,B63*B54,B63))-IF($A111&lt;B51,0,IF($A111=B51,B67*B55,B67)))/(1+B47)^($A111-B48-1))</f>
        <v/>
      </c>
      <c r="C111" s="14">
        <f>IF(OR($A111&lt;=C48,$A111&gt;C34),0,(C29-IF($A111&lt;C50,0,IF($A111=C50,C63*C54,C63))-IF($A111&lt;C51,0,IF($A111=C51,C67*C55,C67)))/(1+C47)^($A111-C48-1))</f>
        <v/>
      </c>
      <c r="D111" s="14">
        <f>IF(OR($A111&lt;=D48,$A111&gt;D34),0,(D29-IF($A111&lt;D50,0,IF($A111=D50,D63*D54,D63))-IF($A111&lt;D51,0,IF($A111=D51,D67*D55,D67)))/(1+D47)^($A111-D48-1))</f>
        <v/>
      </c>
      <c r="E111" s="14">
        <f>IF(OR($A111&lt;=E48,$A111&gt;E34),0,(E29-IF($A111&lt;E50,0,IF($A111=E50,E63*E54,E63))-IF($A111&lt;E51,0,IF($A111=E51,E67*E55,E67)))/(1+E47)^($A111-E48-1))</f>
        <v/>
      </c>
      <c r="F111" s="14">
        <f>IF(OR($A111&lt;=F48,$A111&gt;F34),0,(F29-IF($A111&lt;F50,0,IF($A111=F50,F63*F54,F63))-IF($A111&lt;F51,0,IF($A111=F51,F67*F55,F67)))/(1+F47)^($A111-F48-1))</f>
        <v/>
      </c>
      <c r="G111" s="14">
        <f>IF(OR($A111&lt;=G48,$A111&gt;G34),0,(G29-IF($A111&lt;G50,0,IF($A111=G50,G63*G54,G63))-IF($A111&lt;G51,0,IF($A111=G51,G67*G55,G67)))/(1+G47)^($A111-G48-1))</f>
        <v/>
      </c>
      <c r="H111" s="14">
        <f>IF(OR($A111&lt;=H48,$A111&gt;H34),0,(H29-IF($A111&lt;H50,0,IF($A111=H50,H63*H54,H63))-IF($A111&lt;H51,0,IF($A111=H51,H67*H55,H67)))/(1+H47)^($A111-H48-1))</f>
        <v/>
      </c>
      <c r="I111" s="14">
        <f>IF(OR($A111&lt;=I48,$A111&gt;I34),0,(I29-IF($A111&lt;I50,0,IF($A111=I50,I63*I54,I63))-IF($A111&lt;I51,0,IF($A111=I51,I67*I55,I67)))/(1+I47)^($A111-I48-1))</f>
        <v/>
      </c>
      <c r="J111" s="14">
        <f>IF(OR($A111&lt;=J48,$A111&gt;J34),0,(J29-IF($A111&lt;J50,0,IF($A111=J50,J63*J54,J63))-IF($A111&lt;J51,0,IF($A111=J51,J67*J55,J67)))/(1+J47)^($A111-J48-1))</f>
        <v/>
      </c>
      <c r="K111" s="14">
        <f>IF(OR($A111&lt;=K48,$A111&gt;K34),0,(K29-IF($A111&lt;K50,0,IF($A111=K50,K63*K54,K63))-IF($A111&lt;K51,0,IF($A111=K51,K67*K55,K67)))/(1+K47)^($A111-K48-1))</f>
        <v/>
      </c>
      <c r="L111" s="14">
        <f>IF(OR($A111&lt;=L48,$A111&gt;L34),0,(L29-IF($A111&lt;L50,0,IF($A111=L50,L63*L54,L63))-IF($A111&lt;L51,0,IF($A111=L51,L67*L55,L67)))/(1+L47)^($A111-L48-1))</f>
        <v/>
      </c>
      <c r="M111" s="14">
        <f>IF(OR($A111&lt;=M48,$A111&gt;M34),0,(M29-IF($A111&lt;M50,0,IF($A111=M50,M63*M54,M63))-IF($A111&lt;M51,0,IF($A111=M51,M67*M55,M67)))/(1+M47)^($A111-M48-1))</f>
        <v/>
      </c>
      <c r="N111" s="14">
        <f>IF(OR($A111&lt;=N48,$A111&gt;N34),0,(N29-IF($A111&lt;N50,0,IF($A111=N50,N63*N54,N63))-IF($A111&lt;N51,0,IF($A111=N51,N67*N55,N67)))/(1+N47)^($A111-N48-1))</f>
        <v/>
      </c>
      <c r="O111" s="14">
        <f>IF(OR($A111&lt;=O48,$A111&gt;O34),0,(O29-IF($A111&lt;O50,0,IF($A111=O50,O63*O54,O63))-IF($A111&lt;O51,0,IF($A111=O51,O67*O55,O67)))/(1+O47)^($A111-O48-1))</f>
        <v/>
      </c>
    </row>
    <row r="112">
      <c r="A112" s="18">
        <f>A111+1</f>
        <v/>
      </c>
      <c r="B112" s="14">
        <f>IF(OR($A112&lt;=B48,$A112&gt;B34),0,(B29-IF($A112&lt;B50,0,IF($A112=B50,B63*B54,B63))-IF($A112&lt;B51,0,IF($A112=B51,B67*B55,B67)))/(1+B47)^($A112-B48-1))</f>
        <v/>
      </c>
      <c r="C112" s="14">
        <f>IF(OR($A112&lt;=C48,$A112&gt;C34),0,(C29-IF($A112&lt;C50,0,IF($A112=C50,C63*C54,C63))-IF($A112&lt;C51,0,IF($A112=C51,C67*C55,C67)))/(1+C47)^($A112-C48-1))</f>
        <v/>
      </c>
      <c r="D112" s="14">
        <f>IF(OR($A112&lt;=D48,$A112&gt;D34),0,(D29-IF($A112&lt;D50,0,IF($A112=D50,D63*D54,D63))-IF($A112&lt;D51,0,IF($A112=D51,D67*D55,D67)))/(1+D47)^($A112-D48-1))</f>
        <v/>
      </c>
      <c r="E112" s="14">
        <f>IF(OR($A112&lt;=E48,$A112&gt;E34),0,(E29-IF($A112&lt;E50,0,IF($A112=E50,E63*E54,E63))-IF($A112&lt;E51,0,IF($A112=E51,E67*E55,E67)))/(1+E47)^($A112-E48-1))</f>
        <v/>
      </c>
      <c r="F112" s="14">
        <f>IF(OR($A112&lt;=F48,$A112&gt;F34),0,(F29-IF($A112&lt;F50,0,IF($A112=F50,F63*F54,F63))-IF($A112&lt;F51,0,IF($A112=F51,F67*F55,F67)))/(1+F47)^($A112-F48-1))</f>
        <v/>
      </c>
      <c r="G112" s="14">
        <f>IF(OR($A112&lt;=G48,$A112&gt;G34),0,(G29-IF($A112&lt;G50,0,IF($A112=G50,G63*G54,G63))-IF($A112&lt;G51,0,IF($A112=G51,G67*G55,G67)))/(1+G47)^($A112-G48-1))</f>
        <v/>
      </c>
      <c r="H112" s="14">
        <f>IF(OR($A112&lt;=H48,$A112&gt;H34),0,(H29-IF($A112&lt;H50,0,IF($A112=H50,H63*H54,H63))-IF($A112&lt;H51,0,IF($A112=H51,H67*H55,H67)))/(1+H47)^($A112-H48-1))</f>
        <v/>
      </c>
      <c r="I112" s="14">
        <f>IF(OR($A112&lt;=I48,$A112&gt;I34),0,(I29-IF($A112&lt;I50,0,IF($A112=I50,I63*I54,I63))-IF($A112&lt;I51,0,IF($A112=I51,I67*I55,I67)))/(1+I47)^($A112-I48-1))</f>
        <v/>
      </c>
      <c r="J112" s="14">
        <f>IF(OR($A112&lt;=J48,$A112&gt;J34),0,(J29-IF($A112&lt;J50,0,IF($A112=J50,J63*J54,J63))-IF($A112&lt;J51,0,IF($A112=J51,J67*J55,J67)))/(1+J47)^($A112-J48-1))</f>
        <v/>
      </c>
      <c r="K112" s="14">
        <f>IF(OR($A112&lt;=K48,$A112&gt;K34),0,(K29-IF($A112&lt;K50,0,IF($A112=K50,K63*K54,K63))-IF($A112&lt;K51,0,IF($A112=K51,K67*K55,K67)))/(1+K47)^($A112-K48-1))</f>
        <v/>
      </c>
      <c r="L112" s="14">
        <f>IF(OR($A112&lt;=L48,$A112&gt;L34),0,(L29-IF($A112&lt;L50,0,IF($A112=L50,L63*L54,L63))-IF($A112&lt;L51,0,IF($A112=L51,L67*L55,L67)))/(1+L47)^($A112-L48-1))</f>
        <v/>
      </c>
      <c r="M112" s="14">
        <f>IF(OR($A112&lt;=M48,$A112&gt;M34),0,(M29-IF($A112&lt;M50,0,IF($A112=M50,M63*M54,M63))-IF($A112&lt;M51,0,IF($A112=M51,M67*M55,M67)))/(1+M47)^($A112-M48-1))</f>
        <v/>
      </c>
      <c r="N112" s="14">
        <f>IF(OR($A112&lt;=N48,$A112&gt;N34),0,(N29-IF($A112&lt;N50,0,IF($A112=N50,N63*N54,N63))-IF($A112&lt;N51,0,IF($A112=N51,N67*N55,N67)))/(1+N47)^($A112-N48-1))</f>
        <v/>
      </c>
      <c r="O112" s="14">
        <f>IF(OR($A112&lt;=O48,$A112&gt;O34),0,(O29-IF($A112&lt;O50,0,IF($A112=O50,O63*O54,O63))-IF($A112&lt;O51,0,IF($A112=O51,O67*O55,O67)))/(1+O47)^($A112-O48-1))</f>
        <v/>
      </c>
    </row>
    <row r="113">
      <c r="A113" s="18">
        <f>A112+1</f>
        <v/>
      </c>
      <c r="B113" s="14">
        <f>IF(OR($A113&lt;=B48,$A113&gt;B34),0,(B29-IF($A113&lt;B50,0,IF($A113=B50,B63*B54,B63))-IF($A113&lt;B51,0,IF($A113=B51,B67*B55,B67)))/(1+B47)^($A113-B48-1))</f>
        <v/>
      </c>
      <c r="C113" s="14">
        <f>IF(OR($A113&lt;=C48,$A113&gt;C34),0,(C29-IF($A113&lt;C50,0,IF($A113=C50,C63*C54,C63))-IF($A113&lt;C51,0,IF($A113=C51,C67*C55,C67)))/(1+C47)^($A113-C48-1))</f>
        <v/>
      </c>
      <c r="D113" s="14">
        <f>IF(OR($A113&lt;=D48,$A113&gt;D34),0,(D29-IF($A113&lt;D50,0,IF($A113=D50,D63*D54,D63))-IF($A113&lt;D51,0,IF($A113=D51,D67*D55,D67)))/(1+D47)^($A113-D48-1))</f>
        <v/>
      </c>
      <c r="E113" s="14">
        <f>IF(OR($A113&lt;=E48,$A113&gt;E34),0,(E29-IF($A113&lt;E50,0,IF($A113=E50,E63*E54,E63))-IF($A113&lt;E51,0,IF($A113=E51,E67*E55,E67)))/(1+E47)^($A113-E48-1))</f>
        <v/>
      </c>
      <c r="F113" s="14">
        <f>IF(OR($A113&lt;=F48,$A113&gt;F34),0,(F29-IF($A113&lt;F50,0,IF($A113=F50,F63*F54,F63))-IF($A113&lt;F51,0,IF($A113=F51,F67*F55,F67)))/(1+F47)^($A113-F48-1))</f>
        <v/>
      </c>
      <c r="G113" s="14">
        <f>IF(OR($A113&lt;=G48,$A113&gt;G34),0,(G29-IF($A113&lt;G50,0,IF($A113=G50,G63*G54,G63))-IF($A113&lt;G51,0,IF($A113=G51,G67*G55,G67)))/(1+G47)^($A113-G48-1))</f>
        <v/>
      </c>
      <c r="H113" s="14">
        <f>IF(OR($A113&lt;=H48,$A113&gt;H34),0,(H29-IF($A113&lt;H50,0,IF($A113=H50,H63*H54,H63))-IF($A113&lt;H51,0,IF($A113=H51,H67*H55,H67)))/(1+H47)^($A113-H48-1))</f>
        <v/>
      </c>
      <c r="I113" s="14">
        <f>IF(OR($A113&lt;=I48,$A113&gt;I34),0,(I29-IF($A113&lt;I50,0,IF($A113=I50,I63*I54,I63))-IF($A113&lt;I51,0,IF($A113=I51,I67*I55,I67)))/(1+I47)^($A113-I48-1))</f>
        <v/>
      </c>
      <c r="J113" s="14">
        <f>IF(OR($A113&lt;=J48,$A113&gt;J34),0,(J29-IF($A113&lt;J50,0,IF($A113=J50,J63*J54,J63))-IF($A113&lt;J51,0,IF($A113=J51,J67*J55,J67)))/(1+J47)^($A113-J48-1))</f>
        <v/>
      </c>
      <c r="K113" s="14">
        <f>IF(OR($A113&lt;=K48,$A113&gt;K34),0,(K29-IF($A113&lt;K50,0,IF($A113=K50,K63*K54,K63))-IF($A113&lt;K51,0,IF($A113=K51,K67*K55,K67)))/(1+K47)^($A113-K48-1))</f>
        <v/>
      </c>
      <c r="L113" s="14">
        <f>IF(OR($A113&lt;=L48,$A113&gt;L34),0,(L29-IF($A113&lt;L50,0,IF($A113=L50,L63*L54,L63))-IF($A113&lt;L51,0,IF($A113=L51,L67*L55,L67)))/(1+L47)^($A113-L48-1))</f>
        <v/>
      </c>
      <c r="M113" s="14">
        <f>IF(OR($A113&lt;=M48,$A113&gt;M34),0,(M29-IF($A113&lt;M50,0,IF($A113=M50,M63*M54,M63))-IF($A113&lt;M51,0,IF($A113=M51,M67*M55,M67)))/(1+M47)^($A113-M48-1))</f>
        <v/>
      </c>
      <c r="N113" s="14">
        <f>IF(OR($A113&lt;=N48,$A113&gt;N34),0,(N29-IF($A113&lt;N50,0,IF($A113=N50,N63*N54,N63))-IF($A113&lt;N51,0,IF($A113=N51,N67*N55,N67)))/(1+N47)^($A113-N48-1))</f>
        <v/>
      </c>
      <c r="O113" s="14">
        <f>IF(OR($A113&lt;=O48,$A113&gt;O34),0,(O29-IF($A113&lt;O50,0,IF($A113=O50,O63*O54,O63))-IF($A113&lt;O51,0,IF($A113=O51,O67*O55,O67)))/(1+O47)^($A113-O48-1))</f>
        <v/>
      </c>
    </row>
    <row r="114">
      <c r="A114" s="18">
        <f>A113+1</f>
        <v/>
      </c>
      <c r="B114" s="14">
        <f>IF(OR($A114&lt;=B48,$A114&gt;B34),0,(B29-IF($A114&lt;B50,0,IF($A114=B50,B63*B54,B63))-IF($A114&lt;B51,0,IF($A114=B51,B67*B55,B67)))/(1+B47)^($A114-B48-1))</f>
        <v/>
      </c>
      <c r="C114" s="14">
        <f>IF(OR($A114&lt;=C48,$A114&gt;C34),0,(C29-IF($A114&lt;C50,0,IF($A114=C50,C63*C54,C63))-IF($A114&lt;C51,0,IF($A114=C51,C67*C55,C67)))/(1+C47)^($A114-C48-1))</f>
        <v/>
      </c>
      <c r="D114" s="14">
        <f>IF(OR($A114&lt;=D48,$A114&gt;D34),0,(D29-IF($A114&lt;D50,0,IF($A114=D50,D63*D54,D63))-IF($A114&lt;D51,0,IF($A114=D51,D67*D55,D67)))/(1+D47)^($A114-D48-1))</f>
        <v/>
      </c>
      <c r="E114" s="14">
        <f>IF(OR($A114&lt;=E48,$A114&gt;E34),0,(E29-IF($A114&lt;E50,0,IF($A114=E50,E63*E54,E63))-IF($A114&lt;E51,0,IF($A114=E51,E67*E55,E67)))/(1+E47)^($A114-E48-1))</f>
        <v/>
      </c>
      <c r="F114" s="14">
        <f>IF(OR($A114&lt;=F48,$A114&gt;F34),0,(F29-IF($A114&lt;F50,0,IF($A114=F50,F63*F54,F63))-IF($A114&lt;F51,0,IF($A114=F51,F67*F55,F67)))/(1+F47)^($A114-F48-1))</f>
        <v/>
      </c>
      <c r="G114" s="14">
        <f>IF(OR($A114&lt;=G48,$A114&gt;G34),0,(G29-IF($A114&lt;G50,0,IF($A114=G50,G63*G54,G63))-IF($A114&lt;G51,0,IF($A114=G51,G67*G55,G67)))/(1+G47)^($A114-G48-1))</f>
        <v/>
      </c>
      <c r="H114" s="14">
        <f>IF(OR($A114&lt;=H48,$A114&gt;H34),0,(H29-IF($A114&lt;H50,0,IF($A114=H50,H63*H54,H63))-IF($A114&lt;H51,0,IF($A114=H51,H67*H55,H67)))/(1+H47)^($A114-H48-1))</f>
        <v/>
      </c>
      <c r="I114" s="14">
        <f>IF(OR($A114&lt;=I48,$A114&gt;I34),0,(I29-IF($A114&lt;I50,0,IF($A114=I50,I63*I54,I63))-IF($A114&lt;I51,0,IF($A114=I51,I67*I55,I67)))/(1+I47)^($A114-I48-1))</f>
        <v/>
      </c>
      <c r="J114" s="14">
        <f>IF(OR($A114&lt;=J48,$A114&gt;J34),0,(J29-IF($A114&lt;J50,0,IF($A114=J50,J63*J54,J63))-IF($A114&lt;J51,0,IF($A114=J51,J67*J55,J67)))/(1+J47)^($A114-J48-1))</f>
        <v/>
      </c>
      <c r="K114" s="14">
        <f>IF(OR($A114&lt;=K48,$A114&gt;K34),0,(K29-IF($A114&lt;K50,0,IF($A114=K50,K63*K54,K63))-IF($A114&lt;K51,0,IF($A114=K51,K67*K55,K67)))/(1+K47)^($A114-K48-1))</f>
        <v/>
      </c>
      <c r="L114" s="14">
        <f>IF(OR($A114&lt;=L48,$A114&gt;L34),0,(L29-IF($A114&lt;L50,0,IF($A114=L50,L63*L54,L63))-IF($A114&lt;L51,0,IF($A114=L51,L67*L55,L67)))/(1+L47)^($A114-L48-1))</f>
        <v/>
      </c>
      <c r="M114" s="14">
        <f>IF(OR($A114&lt;=M48,$A114&gt;M34),0,(M29-IF($A114&lt;M50,0,IF($A114=M50,M63*M54,M63))-IF($A114&lt;M51,0,IF($A114=M51,M67*M55,M67)))/(1+M47)^($A114-M48-1))</f>
        <v/>
      </c>
      <c r="N114" s="14">
        <f>IF(OR($A114&lt;=N48,$A114&gt;N34),0,(N29-IF($A114&lt;N50,0,IF($A114=N50,N63*N54,N63))-IF($A114&lt;N51,0,IF($A114=N51,N67*N55,N67)))/(1+N47)^($A114-N48-1))</f>
        <v/>
      </c>
      <c r="O114" s="14">
        <f>IF(OR($A114&lt;=O48,$A114&gt;O34),0,(O29-IF($A114&lt;O50,0,IF($A114=O50,O63*O54,O63))-IF($A114&lt;O51,0,IF($A114=O51,O67*O55,O67)))/(1+O47)^($A114-O48-1))</f>
        <v/>
      </c>
    </row>
    <row r="115">
      <c r="A115" s="18">
        <f>A114+1</f>
        <v/>
      </c>
      <c r="B115" s="14">
        <f>IF(OR($A115&lt;=B48,$A115&gt;B34),0,(B29-IF($A115&lt;B50,0,IF($A115=B50,B63*B54,B63))-IF($A115&lt;B51,0,IF($A115=B51,B67*B55,B67)))/(1+B47)^($A115-B48-1))</f>
        <v/>
      </c>
      <c r="C115" s="14">
        <f>IF(OR($A115&lt;=C48,$A115&gt;C34),0,(C29-IF($A115&lt;C50,0,IF($A115=C50,C63*C54,C63))-IF($A115&lt;C51,0,IF($A115=C51,C67*C55,C67)))/(1+C47)^($A115-C48-1))</f>
        <v/>
      </c>
      <c r="D115" s="14">
        <f>IF(OR($A115&lt;=D48,$A115&gt;D34),0,(D29-IF($A115&lt;D50,0,IF($A115=D50,D63*D54,D63))-IF($A115&lt;D51,0,IF($A115=D51,D67*D55,D67)))/(1+D47)^($A115-D48-1))</f>
        <v/>
      </c>
      <c r="E115" s="14">
        <f>IF(OR($A115&lt;=E48,$A115&gt;E34),0,(E29-IF($A115&lt;E50,0,IF($A115=E50,E63*E54,E63))-IF($A115&lt;E51,0,IF($A115=E51,E67*E55,E67)))/(1+E47)^($A115-E48-1))</f>
        <v/>
      </c>
      <c r="F115" s="14">
        <f>IF(OR($A115&lt;=F48,$A115&gt;F34),0,(F29-IF($A115&lt;F50,0,IF($A115=F50,F63*F54,F63))-IF($A115&lt;F51,0,IF($A115=F51,F67*F55,F67)))/(1+F47)^($A115-F48-1))</f>
        <v/>
      </c>
      <c r="G115" s="14">
        <f>IF(OR($A115&lt;=G48,$A115&gt;G34),0,(G29-IF($A115&lt;G50,0,IF($A115=G50,G63*G54,G63))-IF($A115&lt;G51,0,IF($A115=G51,G67*G55,G67)))/(1+G47)^($A115-G48-1))</f>
        <v/>
      </c>
      <c r="H115" s="14">
        <f>IF(OR($A115&lt;=H48,$A115&gt;H34),0,(H29-IF($A115&lt;H50,0,IF($A115=H50,H63*H54,H63))-IF($A115&lt;H51,0,IF($A115=H51,H67*H55,H67)))/(1+H47)^($A115-H48-1))</f>
        <v/>
      </c>
      <c r="I115" s="14">
        <f>IF(OR($A115&lt;=I48,$A115&gt;I34),0,(I29-IF($A115&lt;I50,0,IF($A115=I50,I63*I54,I63))-IF($A115&lt;I51,0,IF($A115=I51,I67*I55,I67)))/(1+I47)^($A115-I48-1))</f>
        <v/>
      </c>
      <c r="J115" s="14">
        <f>IF(OR($A115&lt;=J48,$A115&gt;J34),0,(J29-IF($A115&lt;J50,0,IF($A115=J50,J63*J54,J63))-IF($A115&lt;J51,0,IF($A115=J51,J67*J55,J67)))/(1+J47)^($A115-J48-1))</f>
        <v/>
      </c>
      <c r="K115" s="14">
        <f>IF(OR($A115&lt;=K48,$A115&gt;K34),0,(K29-IF($A115&lt;K50,0,IF($A115=K50,K63*K54,K63))-IF($A115&lt;K51,0,IF($A115=K51,K67*K55,K67)))/(1+K47)^($A115-K48-1))</f>
        <v/>
      </c>
      <c r="L115" s="14">
        <f>IF(OR($A115&lt;=L48,$A115&gt;L34),0,(L29-IF($A115&lt;L50,0,IF($A115=L50,L63*L54,L63))-IF($A115&lt;L51,0,IF($A115=L51,L67*L55,L67)))/(1+L47)^($A115-L48-1))</f>
        <v/>
      </c>
      <c r="M115" s="14">
        <f>IF(OR($A115&lt;=M48,$A115&gt;M34),0,(M29-IF($A115&lt;M50,0,IF($A115=M50,M63*M54,M63))-IF($A115&lt;M51,0,IF($A115=M51,M67*M55,M67)))/(1+M47)^($A115-M48-1))</f>
        <v/>
      </c>
      <c r="N115" s="14">
        <f>IF(OR($A115&lt;=N48,$A115&gt;N34),0,(N29-IF($A115&lt;N50,0,IF($A115=N50,N63*N54,N63))-IF($A115&lt;N51,0,IF($A115=N51,N67*N55,N67)))/(1+N47)^($A115-N48-1))</f>
        <v/>
      </c>
      <c r="O115" s="14">
        <f>IF(OR($A115&lt;=O48,$A115&gt;O34),0,(O29-IF($A115&lt;O50,0,IF($A115=O50,O63*O54,O63))-IF($A115&lt;O51,0,IF($A115=O51,O67*O55,O67)))/(1+O47)^($A115-O48-1))</f>
        <v/>
      </c>
    </row>
    <row r="117" ht="30" customHeight="1">
      <c r="A117" s="12" t="inlineStr">
        <is>
          <t>CONVENZIONE 3 — nella riga 7 scende soltanto la BASE del montante di Chiara, non la pensione intera: i contributi futuri non dipendono dal montante di partenza. Uno scaling proporzionale sull'intera pensione sarebbe sbagliato.</t>
        </is>
      </c>
    </row>
    <row r="118" ht="45" customHeight="1">
      <c r="A118" s="12" t="inlineStr">
        <is>
          <t>LA SPESA (righe 1 e 11) NON E' UNA CAUTELA: e' un parametro del caso, e sta qui come sensibilita', non nella forbice pubblicata. Mescolarla farebbe leggere come rischio una scelta. Anche il TFR ha una banda propria (foglio 6, riga 12) e non entra qui.</t>
        </is>
      </c>
    </row>
    <row r="119" ht="30" customHeight="1">
      <c r="A119" s="12" t="inlineStr">
        <is>
          <t>Il TFR conferito al fondo pensione NON entra nella banda: vale piu' della cassa, quindi abbasserebbe il fabbisogno, e questa banda misura il rischio.</t>
        </is>
      </c>
    </row>
    <row r="120" ht="30" customHeight="1">
      <c r="A120" s="12" t="inlineStr">
        <is>
          <t>Le cautele non si sommano, si sovrappongono: messe insieme pesano meno della somma, perche' mordono in parte sugli stessi anni (riga 24).</t>
        </is>
      </c>
    </row>
    <row r="121" ht="30" customHeight="1">
      <c r="A121" s="12" t="inlineStr">
        <is>
          <t>La plusvalenza latente ha il FLOOR A ZERO in ogni colonna: il fattore di lordizzazione non scende mai sotto 1. Anche il fabbisogno finanziario ha il floor a zero — un fabbisogno negativo significa soltanto che pensioni e liquidazione bastano.</t>
        </is>
      </c>
    </row>
  </sheetData>
  <mergeCells count="10">
    <mergeCell ref="A21:E21"/>
    <mergeCell ref="A2:F2"/>
    <mergeCell ref="A121:F121"/>
    <mergeCell ref="A4:E4"/>
    <mergeCell ref="A1:F1"/>
    <mergeCell ref="A117:F117"/>
    <mergeCell ref="A118:F118"/>
    <mergeCell ref="A120:F120"/>
    <mergeCell ref="A119:F119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5" customHeight="1">
      <c r="A1" s="1" t="inlineStr">
        <is>
          <t>La verifica annuale — quattro indicatori e un semaforo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 DELLA VERIFICA — da rifare ogni gennaio</t>
        </is>
      </c>
    </row>
    <row r="5">
      <c r="A5" s="8" t="inlineStr">
        <is>
          <t>Anno della verifica</t>
        </is>
      </c>
      <c r="B5" s="9" t="n">
        <v>2027</v>
      </c>
    </row>
    <row r="6">
      <c r="A6" s="8" t="inlineStr">
        <is>
          <t>Capitale effettivo a fine anno</t>
        </is>
      </c>
      <c r="B6" s="10" t="n">
        <v>1000000</v>
      </c>
    </row>
    <row r="7">
      <c r="A7" s="8" t="inlineStr">
        <is>
          <t>Risparmio effettivo dell'anno</t>
        </is>
      </c>
      <c r="B7" s="10" t="n">
        <v>17457</v>
      </c>
    </row>
    <row r="8">
      <c r="A8" s="8" t="inlineStr">
        <is>
          <t>Quota azionaria effettiva</t>
        </is>
      </c>
      <c r="B8" s="11" t="n">
        <v>0.7</v>
      </c>
    </row>
    <row r="10">
      <c r="A10" s="7" t="inlineStr">
        <is>
          <t>INDICATORE 1 — lo scostamento dalla traiettoria</t>
        </is>
      </c>
    </row>
    <row r="11">
      <c r="A11" s="8" t="inlineStr">
        <is>
          <t>Capitale atteso per quell'anno (traiettoria centrale)</t>
        </is>
      </c>
      <c r="B11" s="14">
        <f>INDEX('8-Patrimonio'!$I$6:'8-Patrimonio'!$I$45,MATCH(B5,'8-Patrimonio'!$A$6:'8-Patrimonio'!$A$45,0))</f>
        <v/>
      </c>
    </row>
    <row r="12">
      <c r="A12" s="8" t="inlineStr">
        <is>
          <t>Scostamento in percentuale</t>
        </is>
      </c>
      <c r="B12" s="16">
        <f>B6/B11-1</f>
        <v/>
      </c>
    </row>
    <row r="13">
      <c r="A13" s="8" t="inlineStr">
        <is>
          <t>Scostamento in anni di traiettoria</t>
        </is>
      </c>
      <c r="B13" s="20">
        <f>LN(B6/B11)/LN(1+'1-Input'!$B$46)</f>
        <v/>
      </c>
    </row>
    <row r="14">
      <c r="A14" s="8" t="inlineStr">
        <is>
          <t>Semaforo</t>
        </is>
      </c>
      <c r="B14" s="27">
        <f>IF(B12&gt;=-0.05,"VERDE — dentro la traiettoria",IF(B12&gt;=-0.15,"GIALLO — scostamento da spiegare","ROSSO — rifare il piano"))</f>
        <v/>
      </c>
    </row>
    <row r="16">
      <c r="A16" s="7" t="inlineStr">
        <is>
          <t>INDICATORE 2 — il tasso di risparmio effettivo</t>
        </is>
      </c>
    </row>
    <row r="17">
      <c r="A17" s="8" t="inlineStr">
        <is>
          <t>Risparmio teorico del piano</t>
        </is>
      </c>
      <c r="B17" s="15">
        <f>'1-Input'!$B$40</f>
        <v/>
      </c>
    </row>
    <row r="18">
      <c r="A18" s="8" t="inlineStr">
        <is>
          <t>Tasso di risparmio effettivo sul netto di coppia</t>
        </is>
      </c>
      <c r="B18" s="16">
        <f>B7/'1-Input'!$B$38</f>
        <v/>
      </c>
    </row>
    <row r="19">
      <c r="A19" s="8" t="inlineStr">
        <is>
          <t>Semaforo</t>
        </is>
      </c>
      <c r="B19" s="27">
        <f>IF(B7&gt;=B17,"VERDE — in linea o meglio",IF(B7&gt;=B17*0.9,"GIALLO — sotto di poco","ROSSO — sotto il piano"))</f>
        <v/>
      </c>
    </row>
    <row r="21">
      <c r="A21" s="7" t="inlineStr">
        <is>
          <t>INDICATORE 3 — la quota azionaria contro il glide</t>
        </is>
      </c>
    </row>
    <row r="22">
      <c r="A22" s="8" t="inlineStr">
        <is>
          <t>Quota azionaria prevista dal glide per quell'anno</t>
        </is>
      </c>
      <c r="B22" s="19">
        <f>IFERROR(INDEX('10-Glide'!$B$6:'10-Glide'!$B$15,MATCH(B5,'10-Glide'!$A$6:'10-Glide'!$A$15,0)),'P-Parametri'!$B$54)</f>
        <v/>
      </c>
    </row>
    <row r="23">
      <c r="A23" s="8" t="inlineStr">
        <is>
          <t>Scostamento in punti percentuali</t>
        </is>
      </c>
      <c r="B23" s="20">
        <f>(B8-B22)*100</f>
        <v/>
      </c>
    </row>
    <row r="24">
      <c r="A24" s="8" t="inlineStr">
        <is>
          <t>Semaforo</t>
        </is>
      </c>
      <c r="B24" s="27">
        <f>IF(ABS(B23)&lt;=3,"VERDE — allineato",IF(ABS(B23)&lt;=8,"GIALLO — ribilanciare","ROSSO — allocazione fuori piano"))</f>
        <v/>
      </c>
    </row>
    <row r="26">
      <c r="A26" s="7" t="inlineStr">
        <is>
          <t>INDICATORE 4 — il fabbisogno ricalcolato coi requisiti e i coefficienti dell'anno</t>
        </is>
      </c>
    </row>
    <row r="27">
      <c r="A27" s="8" t="inlineStr">
        <is>
          <t>Fabbisogno finanziario nello scenario centrale</t>
        </is>
      </c>
      <c r="B27" s="15">
        <f>'11-Banda'!$D$9</f>
        <v/>
      </c>
    </row>
    <row r="28">
      <c r="A28" s="8" t="inlineStr">
        <is>
          <t>Fabbisogno finanziario nello scenario prudente</t>
        </is>
      </c>
      <c r="B28" s="15">
        <f>'11-Banda'!$D$18</f>
        <v/>
      </c>
    </row>
    <row r="29">
      <c r="A29" s="8" t="inlineStr">
        <is>
          <t>Capitale effettivo diviso il fabbisogno prudente</t>
        </is>
      </c>
      <c r="B29" s="17">
        <f>B6/B28</f>
        <v/>
      </c>
    </row>
    <row r="30">
      <c r="A30" s="8" t="inlineStr">
        <is>
          <t>Semaforo</t>
        </is>
      </c>
      <c r="B30" s="27">
        <f>IF(B29&gt;=2,"VERDE — margine ampio",IF(B29&gt;=1,"GIALLO — copri il prudente, senza margine","ROSSO — sotto il prudente"))</f>
        <v/>
      </c>
    </row>
    <row r="32" ht="30" customHeight="1">
      <c r="A32" s="12" t="inlineStr">
        <is>
          <t>REFRESH GENNAIO 2027 — il fabbisogno va ricalcolato coi requisiti e i coefficienti dell'anno: tre degli ingredienti di questo conto (i coefficienti di trasformazione, il requisito anagrafico e la crescita del montante) sono proiezioni, non norme, e cambiano.</t>
        </is>
      </c>
    </row>
    <row r="33" ht="30" customHeight="1">
      <c r="A33" s="12" t="inlineStr">
        <is>
          <t>Il semaforo dell'indicatore 1 confronta il capitale effettivo con la traiettoria CENTRALE: uno scostamento non e' un fallimento, e' una domanda. La risposta sta nel foglio 9: quale leva compensa, e quanto costa.</t>
        </is>
      </c>
    </row>
    <row r="34" ht="30" customHeight="1">
      <c r="A34" s="12" t="inlineStr">
        <is>
          <t>Le addizionali non sono dovute quando l'IRPEF netta e' zero, e il TFR e' gia' netto: sono le due regole che questo foglio eredita dal motore e che non vanno riscritte a mano.</t>
        </is>
      </c>
    </row>
  </sheetData>
  <mergeCells count="10">
    <mergeCell ref="A21:E21"/>
    <mergeCell ref="A34:E34"/>
    <mergeCell ref="A4:E4"/>
    <mergeCell ref="A26:E26"/>
    <mergeCell ref="A2:E2"/>
    <mergeCell ref="A16:E16"/>
    <mergeCell ref="A10:E10"/>
    <mergeCell ref="A33:E33"/>
    <mergeCell ref="A1:E1"/>
    <mergeCell ref="A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2026-09-08T17:57:27Z</dcterms:created>
  <dcterms:modified xmlns:dcterms="http://purl.org/dc/terms/" xmlns:xsi="http://www.w3.org/2001/XMLSchema-instance" xsi:type="dcterms:W3CDTF">2026-09-08T17:57:27Z</dcterms:modified>
</cp:coreProperties>
</file>