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 - Indice" sheetId="1" state="visible" r:id="rId1"/>
    <sheet xmlns:r="http://schemas.openxmlformats.org/officeDocument/2006/relationships" name="1 - Il tuo tasso vero" sheetId="2" state="visible" r:id="rId2"/>
    <sheet xmlns:r="http://schemas.openxmlformats.org/officeDocument/2006/relationships" name="2 - Quanto costa il canale" sheetId="3" state="visible" r:id="rId3"/>
    <sheet xmlns:r="http://schemas.openxmlformats.org/officeDocument/2006/relationships" name="3 - Il ponte" sheetId="4" state="visible" r:id="rId4"/>
    <sheet xmlns:r="http://schemas.openxmlformats.org/officeDocument/2006/relationships" name="4 - Cedole contro total return" sheetId="5" state="visible" r:id="rId5"/>
    <sheet xmlns:r="http://schemas.openxmlformats.org/officeDocument/2006/relationships" name="5 - Sequenz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&quot; €&quot;"/>
    <numFmt numFmtId="165" formatCode="0.0000"/>
    <numFmt numFmtId="166" formatCode="0.0%"/>
    <numFmt numFmtId="167" formatCode="0.000%"/>
  </numFmts>
  <fonts count="9">
    <font>
      <name val="Calibri"/>
      <family val="2"/>
      <color theme="1"/>
      <sz val="11"/>
      <scheme val="minor"/>
    </font>
    <font>
      <name val="Calibri"/>
      <b val="1"/>
      <color rgb="001E40AF"/>
      <sz val="16"/>
    </font>
    <font>
      <name val="Calibri"/>
      <i val="1"/>
      <color rgb="00991B1B"/>
      <sz val="10"/>
    </font>
    <font>
      <name val="Calibri"/>
      <b val="1"/>
      <sz val="14"/>
    </font>
    <font>
      <name val="Calibri"/>
      <b val="1"/>
      <sz val="11"/>
    </font>
    <font>
      <name val="Calibri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color rgb="001E40AF"/>
      <sz val="22"/>
    </font>
  </fonts>
  <fills count="9">
    <fill>
      <patternFill/>
    </fill>
    <fill>
      <patternFill patternType="gray125"/>
    </fill>
    <fill>
      <patternFill patternType="solid">
        <fgColor rgb="00FEE2E2"/>
      </patternFill>
    </fill>
    <fill>
      <patternFill patternType="solid">
        <fgColor rgb="00FAFAFA"/>
      </patternFill>
    </fill>
    <fill>
      <patternFill patternType="solid">
        <fgColor rgb="001E40AF"/>
      </patternFill>
    </fill>
    <fill>
      <patternFill patternType="solid">
        <fgColor rgb="00FFF59D"/>
      </patternFill>
    </fill>
    <fill>
      <patternFill patternType="solid">
        <fgColor rgb="00FDE68A"/>
      </patternFill>
    </fill>
    <fill>
      <patternFill patternType="solid">
        <fgColor rgb="00C8E6C9"/>
      </patternFill>
    </fill>
    <fill>
      <patternFill patternType="solid">
        <fgColor rgb="00DBEAFE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6" fillId="3" borderId="0" applyAlignment="1" pivotButton="0" quotePrefix="0" xfId="0">
      <alignment horizontal="left" vertical="center" wrapText="1"/>
    </xf>
    <xf numFmtId="0" fontId="7" fillId="4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4" fontId="5" fillId="5" borderId="1" applyAlignment="1" pivotButton="0" quotePrefix="0" xfId="0">
      <alignment horizontal="right" vertical="center"/>
    </xf>
    <xf numFmtId="10" fontId="5" fillId="5" borderId="1" applyAlignment="1" pivotButton="0" quotePrefix="0" xfId="0">
      <alignment horizontal="right" vertical="center"/>
    </xf>
    <xf numFmtId="10" fontId="1" fillId="6" borderId="1" applyAlignment="1" pivotButton="0" quotePrefix="0" xfId="0">
      <alignment horizontal="center" vertical="center" wrapText="1"/>
    </xf>
    <xf numFmtId="10" fontId="8" fillId="6" borderId="1" applyAlignment="1" pivotButton="0" quotePrefix="0" xfId="0">
      <alignment horizontal="center" vertical="center" wrapText="1"/>
    </xf>
    <xf numFmtId="164" fontId="5" fillId="7" borderId="1" applyAlignment="1" pivotButton="0" quotePrefix="0" xfId="0">
      <alignment horizontal="right" vertical="center"/>
    </xf>
    <xf numFmtId="10" fontId="5" fillId="7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10" fontId="4" fillId="6" borderId="1" applyAlignment="1" pivotButton="0" quotePrefix="0" xfId="0">
      <alignment horizontal="right" vertical="center"/>
    </xf>
    <xf numFmtId="164" fontId="4" fillId="6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2" fontId="5" fillId="7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1" fontId="5" fillId="5" borderId="1" applyAlignment="1" pivotButton="0" quotePrefix="0" xfId="0">
      <alignment horizontal="right" vertical="center"/>
    </xf>
    <xf numFmtId="164" fontId="1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165" fontId="5" fillId="7" borderId="1" applyAlignment="1" pivotButton="0" quotePrefix="0" xfId="0">
      <alignment horizontal="right" vertical="center"/>
    </xf>
    <xf numFmtId="0" fontId="1" fillId="6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166" fontId="5" fillId="7" borderId="1" applyAlignment="1" pivotButton="0" quotePrefix="0" xfId="0">
      <alignment horizontal="right" vertical="center"/>
    </xf>
    <xf numFmtId="167" fontId="5" fillId="7" borderId="1" applyAlignment="1" pivotButton="0" quotePrefix="0" xfId="0">
      <alignment horizontal="right" vertical="center"/>
    </xf>
    <xf numFmtId="164" fontId="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0" customWidth="1" min="1" max="1"/>
    <col width="30" customWidth="1" min="2" max="2"/>
  </cols>
  <sheetData>
    <row r="1" ht="32" customHeight="1">
      <c r="A1" s="1" t="inlineStr">
        <is>
          <t>Marco FIRE — Il tuo tasso vero: SWR, cedole e il ponte (2026)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3"/>
    <row r="4">
      <c r="A4" s="3" t="inlineStr">
        <is>
          <t>Indice</t>
        </is>
      </c>
    </row>
    <row r="5" ht="22" customHeight="1">
      <c r="A5" s="4" t="inlineStr">
        <is>
          <t>1 - Il tuo tasso vero</t>
        </is>
      </c>
      <c r="B5" s="5" t="inlineStr">
        <is>
          <t>I quattro tassi: quello che ti racconti, quello sulla spesa, quello vero, e quello confrontabile col 4% storico</t>
        </is>
      </c>
    </row>
    <row r="6" ht="22" customHeight="1">
      <c r="A6" s="4" t="inlineStr">
        <is>
          <t>2 - Quanto costa il canale</t>
        </is>
      </c>
      <c r="B6" s="5" t="inlineStr">
        <is>
          <t>Quanto costa ogni canale di incasso, il break-even al 48,08% e il contatore dello zainetto di minusvalenze</t>
        </is>
      </c>
    </row>
    <row r="7" ht="22" customHeight="1">
      <c r="A7" s="4" t="inlineStr">
        <is>
          <t>3 - Il ponte</t>
        </is>
      </c>
      <c r="B7" s="5" t="inlineStr">
        <is>
          <t>Il motore del ponte anno per anno, i tre scenari a 67 anni e il capitale necessario lordizzato</t>
        </is>
      </c>
    </row>
    <row r="8" ht="22" customHeight="1">
      <c r="A8" s="4" t="inlineStr">
        <is>
          <t>4 - Cedole contro total return</t>
        </is>
      </c>
      <c r="B8" s="5" t="inlineStr">
        <is>
          <t>L'identita' dei due modi di contare, e quanto costa pagare l'imposta in anticipo a parita' di aliquota</t>
        </is>
      </c>
    </row>
    <row r="9" ht="22" customHeight="1">
      <c r="A9" s="4" t="inlineStr">
        <is>
          <t>5 - Sequenza</t>
        </is>
      </c>
      <c r="B9" s="5" t="inlineStr">
        <is>
          <t>Lo stesso multiset di rendimenti in due ordini: quanto costa l'ordine</t>
        </is>
      </c>
    </row>
    <row r="10"/>
    <row r="11">
      <c r="A11" s="3" t="inlineStr">
        <is>
          <t>Come usare</t>
        </is>
      </c>
    </row>
    <row r="12">
      <c r="A12" s="5" t="inlineStr">
        <is>
          <t>1. Le celle GIALLE sono input — modificale coi tuoi numeri.</t>
        </is>
      </c>
    </row>
    <row r="13">
      <c r="A13" s="5" t="inlineStr">
        <is>
          <t>2. Le celle VERDI sono output — si aggiornano automaticamente.</t>
        </is>
      </c>
    </row>
    <row r="14">
      <c r="A14" s="5" t="inlineStr">
        <is>
          <t>3. Tutti i numeri di default sono al 2026 da fonti pubbliche.</t>
        </is>
      </c>
    </row>
    <row r="15">
      <c r="A15" s="5" t="inlineStr">
        <is>
          <t>4. Niente codice nascosto: l'Excel è solo formule modificabili.</t>
        </is>
      </c>
    </row>
    <row r="16"/>
    <row r="17">
      <c r="A17" s="3" t="inlineStr">
        <is>
          <t>Fonti dati</t>
        </is>
      </c>
    </row>
    <row r="18">
      <c r="A18" s="5" t="inlineStr">
        <is>
          <t>• MEF - Dipartimento del Tesoro, comunicato del 6 marzo 2026: BTP Valore ISIN IT0005696320, tassi DEFINITIVI 2,60% (anni 1-2), 3,20% (3-4), 3,80% (5-6), cedole trimestrali, premio fedelta' 0,8%, scadenza 10/03/2032. Rendimento vero a scadenza 3,336% lordo e 2,919% netto</t>
        </is>
      </c>
    </row>
    <row r="19">
      <c r="A19" s="5" t="inlineStr">
        <is>
          <t>• D.L. 66/2014 art. 3 (conv. L. 89/2014): 26% su plusvalenze, dividendi e proventi di fondi; 12,5% su titoli di Stato ed emittenti white list; i redditi diversi da titoli di Stato rilevano nella misura del 48,08%. Da qui il break-even: 0,26 x q = 0,125 da' q = 48,077%</t>
        </is>
      </c>
    </row>
    <row r="20">
      <c r="A20" s="5" t="inlineStr">
        <is>
          <t>• D.P.R. 600/1973 art. 26-quinquies c. 3: sulle quote di ETF e OICR l'imposta colpisce la sola plusvalenza, col costo medio ponderato</t>
        </is>
      </c>
    </row>
    <row r="21">
      <c r="A21" s="5" t="inlineStr">
        <is>
          <t>• TUIR art. 67 e art. 68 c. 5, D.Lgs. 461/1997 art. 6 c. 5: le minusvalenze sono redditi diversi, riportabili nell'anno di realizzo e nei quattro successivi, e NON compensano cedole e dividendi, che sono redditi di capitale (art. 44 TUIR)</t>
        </is>
      </c>
    </row>
    <row r="22">
      <c r="A22" s="5" t="inlineStr">
        <is>
          <t>• Imposta di bollo sui prodotti finanziari: 0,2% annuo, applicata qui al patrimonio di FINE anno (anno 1: 1.862 € su 931.139 €)</t>
        </is>
      </c>
    </row>
    <row r="23">
      <c r="A23" s="5" t="inlineStr">
        <is>
          <t>• Cooley, Hubbard, Walz, «Retirement Savings: Choosing a Withdrawal Rate That Is Sustainable», AAII Journal, febbraio 1998 (Trinity Study). Testuale nel paper: «The study did not adjust for taxes or transaction costs» — per questo il termine omogeneo col 4% e' il 3,47%, non il 3,67%</t>
        </is>
      </c>
    </row>
    <row r="24">
      <c r="A24" s="5" t="inlineStr">
        <is>
          <t>• Dimson, Marsh, Staunton, Global Investment Returns Yearbook: il 3% reale del modello e' un'ipotesi dichiarata, non una previsione. Il conto bottom-up sul portafoglio del caso da' 3,02-3,34% reale lordo</t>
        </is>
      </c>
    </row>
    <row r="25">
      <c r="A25" s="5" t="inlineStr">
        <is>
          <t>• Borsa Italiana, scheda «Fiscalita' dei certificati», e Reg. UE 1286/2014 (KID): i premi condizionati sono redditi diversi al 26% e compensano le minusvalenze; il capitale non e' garantito a scadenza</t>
        </is>
      </c>
    </row>
    <row r="26"/>
    <row r="27">
      <c r="A27" s="6" t="inlineStr">
        <is>
          <t>Aggiornamenti: github.com/marcofire-it/marco-fire-simulatori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4" customWidth="1" min="3" max="3"/>
    <col width="76" customWidth="1" min="4" max="4"/>
  </cols>
  <sheetData>
    <row r="1" ht="25" customHeight="1">
      <c r="A1" s="1" t="inlineStr">
        <is>
          <t>Il tuo tasso vero — i quattro numeri, in trenta secondi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3" ht="45" customHeight="1">
      <c r="A3" s="7" t="inlineStr">
        <is>
          <t>Tre numeri in giallo e il foglio ti dice quanto stai prelevando davvero. Il tasso che ti racconti conta solo la parte di spesa che NON e' coperta dalle cedole; il tasso vero conta tutto quello che esce dal portafoglio per farti spendere quella cifra, imposte e bollo compresi. Sono lo stesso portafoglio e la stessa spesa: cambia solo il modo di contarli.</t>
        </is>
      </c>
    </row>
    <row r="4"/>
    <row r="5">
      <c r="A5" s="8" t="inlineStr">
        <is>
          <t>I TUOI NUMERI — cambia solo le celle gialle</t>
        </is>
      </c>
    </row>
    <row r="6" ht="30" customHeight="1">
      <c r="A6" s="9" t="inlineStr">
        <is>
          <t>Patrimonio totale investito</t>
        </is>
      </c>
      <c r="B6" s="10" t="n">
        <v>920000</v>
      </c>
      <c r="D6" s="7" t="inlineStr">
        <is>
          <t>Il caso del video: 450.000 di azionario, 320.000 di BTP Valore, 80.000 di certificati, 70.000 di monetario.</t>
        </is>
      </c>
    </row>
    <row r="7" ht="15" customHeight="1">
      <c r="A7" s="9" t="inlineStr">
        <is>
          <t>Spesa netta annua che ti serve</t>
        </is>
      </c>
      <c r="B7" s="10" t="n">
        <v>30000</v>
      </c>
      <c r="D7" s="7" t="inlineStr">
        <is>
          <t>Quello che ti serve davvero in tasca in un anno, non quello che incassi.</t>
        </is>
      </c>
    </row>
    <row r="8" ht="15" customHeight="1">
      <c r="A8" s="9" t="inlineStr">
        <is>
          <t>Cedole, dividendi e premi NETTI incassati</t>
        </is>
      </c>
      <c r="B8" s="10" t="n">
        <v>15000</v>
      </c>
      <c r="D8" s="7" t="inlineStr">
        <is>
          <t>Il flusso che arriva in conto con la ritenuta gia' pagata.</t>
        </is>
      </c>
    </row>
    <row r="9" ht="30" customHeight="1">
      <c r="A9" s="9" t="inlineStr">
        <is>
          <t>Plusvalenza latente sulle quote da vendere</t>
        </is>
      </c>
      <c r="B9" s="11" t="n">
        <v>0.2</v>
      </c>
      <c r="D9" s="7" t="inlineStr">
        <is>
          <t>Quanta parte del valore delle quote e' guadagno non ancora realizzato. Se hai comprato a 80 e oggi vale 100, e' il 20%.</t>
        </is>
      </c>
    </row>
    <row r="10" ht="60" customHeight="1">
      <c r="A10" s="9" t="inlineStr">
        <is>
          <t>Aliquota media sulle cedole che incassi</t>
        </is>
      </c>
      <c r="B10" s="11" t="n">
        <v>0.0706522</v>
      </c>
      <c r="D10" s="7" t="inlineStr">
        <is>
          <t>Nel caso del video vale 7,07%: le cedole del BTP Valore pagano il 12,5%, ma i premi dei certificati sono azzerati dallo zainetto di minusvalenze finche' dura (1.040 € di imposta su 14.720 € di cedole lorde). Se incassi solo cedole di titoli di Stato scrivi 12,5%; se sono dividendi, 26%.</t>
        </is>
      </c>
    </row>
    <row r="11" ht="30" customHeight="1">
      <c r="A11" s="9" t="inlineStr">
        <is>
          <t>Aliquota sulle plusvalenze</t>
        </is>
      </c>
      <c r="B11" s="11" t="n">
        <v>0.26</v>
      </c>
      <c r="D11" s="7" t="inlineStr">
        <is>
          <t>26% sulla sola plusvalenza, calcolata col costo medio ponderato (D.P.R. 600/1973 art. 26-quinquies).</t>
        </is>
      </c>
    </row>
    <row r="12" ht="30" customHeight="1">
      <c r="A12" s="9" t="inlineStr">
        <is>
          <t>Imposta di bollo sui prodotti finanziari</t>
        </is>
      </c>
      <c r="B12" s="11" t="n">
        <v>0.002</v>
      </c>
      <c r="D12" s="7" t="inlineStr">
        <is>
          <t>0,2% annuo del valore. E' un costo, non un prelievo: per questo ha una cella sua e resta fuori dal confronto col 4% storico.</t>
        </is>
      </c>
    </row>
    <row r="13"/>
    <row r="14">
      <c r="A14" s="8" t="inlineStr">
        <is>
          <t>I QUATTRO TASSI</t>
        </is>
      </c>
    </row>
    <row r="15" ht="45" customHeight="1">
      <c r="A15" s="9" t="inlineStr">
        <is>
          <t>Tasso che ti racconti</t>
        </is>
      </c>
      <c r="B15" s="12">
        <f>($B$7-$B$8)/$B$6</f>
        <v/>
      </c>
      <c r="D15" s="7" t="inlineStr">
        <is>
          <t>(spesa netta meno cedole) diviso patrimonio. E' l'etichetta: conta solo il pezzo di spesa che le cedole non coprono, come se le cedole fossero denaro caduto dal cielo. Nel caso del video: 1,63%.</t>
        </is>
      </c>
    </row>
    <row r="16" ht="30" customHeight="1">
      <c r="A16" s="9" t="inlineStr">
        <is>
          <t>Tasso sulla spesa</t>
        </is>
      </c>
      <c r="B16" s="12">
        <f>$B$7/$B$6</f>
        <v/>
      </c>
      <c r="D16" s="7" t="inlineStr">
        <is>
          <t>spesa netta diviso patrimonio. E' il conto che torna, ed e' gia' il doppio dell'etichetta. Nel caso del video: 3,26%.</t>
        </is>
      </c>
    </row>
    <row r="17" ht="45" customHeight="1">
      <c r="A17" s="9" t="inlineStr">
        <is>
          <t>TASSO VERO DI USCITA (imposte e bollo)</t>
        </is>
      </c>
      <c r="B17" s="13">
        <f>($B$21+$B$24+$B$25)/$B$6</f>
        <v/>
      </c>
      <c r="D17" s="7" t="inlineStr">
        <is>
          <t>tutto quello che esce dal portafoglio per farti spendere quella cifra: cedole LORDE, vendita LORDA di quote e imposta di bollo. Nel caso del video: 3,67%. E' il numero-titolo.</t>
        </is>
      </c>
    </row>
    <row r="18" ht="45" customHeight="1">
      <c r="A18" s="9" t="inlineStr">
        <is>
          <t>Confrontabile con il 4% storico (senza bollo)</t>
        </is>
      </c>
      <c r="B18" s="12">
        <f>($B$21+$B$24)/$B$6</f>
        <v/>
      </c>
      <c r="D18" s="7" t="inlineStr">
        <is>
          <t>Il Trinity Study del 1998 dice testualmente «the study did not adjust for taxes or transaction costs»: il bollo li' non c'e'. Il termine omogeneo col 4% e' questo, 3,47%, non il 3,67%.</t>
        </is>
      </c>
    </row>
    <row r="19"/>
    <row r="20">
      <c r="A20" s="8" t="inlineStr">
        <is>
          <t>DA DOVE VENGONO — la cascata dell'anno 1</t>
        </is>
      </c>
    </row>
    <row r="21" ht="30" customHeight="1">
      <c r="A21" s="9" t="inlineStr">
        <is>
          <t>Cedole LORDE che il portafoglio stacca</t>
        </is>
      </c>
      <c r="B21" s="14">
        <f>$B$8/(1-$B$10)</f>
        <v/>
      </c>
      <c r="D21" s="7" t="inlineStr">
        <is>
          <t>Le cedole nette che incassi, rilordizzate: e' quello che il portafoglio ha davvero pagato, ritenuta compresa.</t>
        </is>
      </c>
    </row>
    <row r="22">
      <c r="A22" s="9" t="inlineStr">
        <is>
          <t>Fabbisogno da coprire vendendo quote</t>
        </is>
      </c>
      <c r="B22" s="14">
        <f>$B$7-$B$8</f>
        <v/>
      </c>
    </row>
    <row r="23" ht="45" customHeight="1">
      <c r="A23" s="9" t="inlineStr">
        <is>
          <t>Aliquota effettiva sulla vendita</t>
        </is>
      </c>
      <c r="B23" s="15">
        <f>$B$11*$B$9</f>
        <v/>
      </c>
      <c r="D23" s="7" t="inlineStr">
        <is>
          <t>26% sulla sola plusvalenza: col 20% latente sono il 5,2% dell'importo venduto. E' il numero che rende la vendita di quote piu' efficiente della cedola sotto il 48,08% di plusvalenza latente (foglio 2).</t>
        </is>
      </c>
    </row>
    <row r="24">
      <c r="A24" s="9" t="inlineStr">
        <is>
          <t>Vendita LORDA di quote</t>
        </is>
      </c>
      <c r="B24" s="14">
        <f>$B$22/(1-$B$23)</f>
        <v/>
      </c>
    </row>
    <row r="25">
      <c r="A25" s="9" t="inlineStr">
        <is>
          <t>Imposta di bollo in euro</t>
        </is>
      </c>
      <c r="B25" s="14">
        <f>$B$12*$B$6</f>
        <v/>
      </c>
    </row>
    <row r="26" ht="15" customHeight="1">
      <c r="A26" s="9" t="inlineStr">
        <is>
          <t>USCITA TOTALE DAL PORTAFOGLIO</t>
        </is>
      </c>
      <c r="B26" s="14">
        <f>$B$21+$B$24+$B$25</f>
        <v/>
      </c>
      <c r="D26" s="7" t="inlineStr">
        <is>
          <t>Il costo pieno di essere investita in Italia.</t>
        </is>
      </c>
    </row>
    <row r="27">
      <c r="A27" s="9" t="inlineStr">
        <is>
          <t xml:space="preserve">   di cui, senza il bollo</t>
        </is>
      </c>
      <c r="B27" s="14">
        <f>$B$21+$B$24</f>
        <v/>
      </c>
    </row>
    <row r="28"/>
    <row r="29" ht="45" customHeight="1">
      <c r="A29" s="7" t="inlineStr">
        <is>
          <t>Una nota di onesta' sul foglio: qui la cascata usa i 15.000 € netti tondi dichiarati dal caso, mentre il modello del foglio 3 calcola le cedole anno per anno e per l'anno 1 trova 13.680 € netti su 14.720 € lordi. La differenza sull'uscita totale e' di 28 € su 33.800, e non sposta nessuno dei quattro tassi al secondo decimale.</t>
        </is>
      </c>
    </row>
    <row r="30" ht="30" customHeight="1">
      <c r="A30" s="7" t="inlineStr">
        <is>
          <t>Se il tasso vero e' piu' alto di quello che ti raccontavi, non e' successo niente di grave: e' successo che adesso lo sai, e puoi fare la verifica che con l'etichetta non avresti mai fatto. Il foglio 3 la fa.</t>
        </is>
      </c>
    </row>
  </sheetData>
  <mergeCells count="8">
    <mergeCell ref="A20:B20"/>
    <mergeCell ref="A3:D3"/>
    <mergeCell ref="A30:D30"/>
    <mergeCell ref="A5:B5"/>
    <mergeCell ref="A29:D29"/>
    <mergeCell ref="A14:B14"/>
    <mergeCell ref="A2:D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54" customWidth="1" min="1" max="1"/>
    <col width="16" customWidth="1" min="2" max="2"/>
    <col width="16" customWidth="1" min="3" max="3"/>
    <col width="18" customWidth="1" min="4" max="4"/>
    <col width="16" customWidth="1" min="5" max="5"/>
    <col width="4" customWidth="1" min="6" max="6"/>
    <col width="70" customWidth="1" min="7" max="7"/>
  </cols>
  <sheetData>
    <row r="1" ht="25" customHeight="1">
      <c r="A1" s="1" t="inlineStr">
        <is>
          <t>Quanto costa il canale — la classifica dei modi di incassare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3" ht="30" customHeight="1">
      <c r="A3" s="7" t="inlineStr">
        <is>
          <t>La domanda di questo foglio e' «quale strumento tengo in portafoglio», non «da dove prelevo». Sono due domande diverse e hanno due risposte diverse: la seconda e' nel riquadro in fondo.</t>
        </is>
      </c>
    </row>
    <row r="4"/>
    <row r="5">
      <c r="A5" s="8" t="inlineStr">
        <is>
          <t>IL TUO CASO</t>
        </is>
      </c>
    </row>
    <row r="6" ht="30" customHeight="1">
      <c r="A6" s="9" t="inlineStr">
        <is>
          <t>Importo NETTO che ti serve incassare</t>
        </is>
      </c>
      <c r="B6" s="10" t="n">
        <v>15000</v>
      </c>
      <c r="G6" s="7" t="inlineStr">
        <is>
          <t>Nel video sono i 15.000 € netti che coprono meta' della spesa di Elena.</t>
        </is>
      </c>
    </row>
    <row r="7" ht="15" customHeight="1">
      <c r="A7" s="9" t="inlineStr">
        <is>
          <t>Aliquota su dividendi, premi e plusvalenze</t>
        </is>
      </c>
      <c r="B7" s="11" t="n">
        <v>0.26</v>
      </c>
      <c r="G7" s="7" t="inlineStr">
        <is>
          <t>D.L. 66/2014 art. 3 c. 1.</t>
        </is>
      </c>
    </row>
    <row r="8" ht="30" customHeight="1">
      <c r="A8" s="9" t="inlineStr">
        <is>
          <t>Aliquota su titoli di Stato e white list</t>
        </is>
      </c>
      <c r="B8" s="11" t="n">
        <v>0.125</v>
      </c>
      <c r="G8" s="7" t="inlineStr">
        <is>
          <t>D.L. 66/2014 art. 3 c. 2: i redditi diversi da titoli di Stato rilevano nella misura del 48,08%, che e' esattamente 12,5 / 26.</t>
        </is>
      </c>
    </row>
    <row r="9"/>
    <row r="10">
      <c r="A10" s="8" t="inlineStr">
        <is>
          <t>LA CLASSIFICA — quanto devi smobilizzare per averne 15.000 netti</t>
        </is>
      </c>
    </row>
    <row r="11" ht="34" customHeight="1">
      <c r="A11" s="16" t="inlineStr">
        <is>
          <t>Canale di incasso</t>
        </is>
      </c>
      <c r="B11" s="16" t="inlineStr">
        <is>
          <t>Plusvalenza latente</t>
        </is>
      </c>
      <c r="C11" s="16" t="inlineStr">
        <is>
          <t>Aliquota effettiva</t>
        </is>
      </c>
      <c r="D11" s="16" t="inlineStr">
        <is>
          <t>Lordo da smobilizzare</t>
        </is>
      </c>
      <c r="E11" s="16" t="inlineStr">
        <is>
          <t>Imposta pagata</t>
        </is>
      </c>
    </row>
    <row r="12">
      <c r="A12" s="9" t="inlineStr">
        <is>
          <t>Vendita di quote ETF, plusvalenza latente 10%</t>
        </is>
      </c>
      <c r="B12" s="11" t="n">
        <v>0.1</v>
      </c>
      <c r="C12" s="15">
        <f>$B$7*$B12</f>
        <v/>
      </c>
      <c r="D12" s="14">
        <f>$B$6/(1-$C12)</f>
        <v/>
      </c>
      <c r="E12" s="14">
        <f>$D12-$B$6</f>
        <v/>
      </c>
    </row>
    <row r="13">
      <c r="A13" s="9" t="inlineStr">
        <is>
          <t>Vendita di quote ETF, plusvalenza latente 20%</t>
        </is>
      </c>
      <c r="B13" s="11" t="n">
        <v>0.2</v>
      </c>
      <c r="C13" s="15">
        <f>$B$7*$B13</f>
        <v/>
      </c>
      <c r="D13" s="14">
        <f>$B$6/(1-$C13)</f>
        <v/>
      </c>
      <c r="E13" s="14">
        <f>$D13-$B$6</f>
        <v/>
      </c>
    </row>
    <row r="14">
      <c r="A14" s="9" t="inlineStr">
        <is>
          <t>Vendita di quote ETF, plusvalenza latente 30%</t>
        </is>
      </c>
      <c r="B14" s="11" t="n">
        <v>0.3</v>
      </c>
      <c r="C14" s="15">
        <f>$B$7*$B14</f>
        <v/>
      </c>
      <c r="D14" s="14">
        <f>$B$6/(1-$C14)</f>
        <v/>
      </c>
      <c r="E14" s="14">
        <f>$D14-$B$6</f>
        <v/>
      </c>
    </row>
    <row r="15">
      <c r="A15" s="17" t="inlineStr">
        <is>
          <t>CEDOLE BTP e titoli di Stato — il pareggio</t>
        </is>
      </c>
      <c r="B15" s="18">
        <f>$B$8/$B$7</f>
        <v/>
      </c>
      <c r="C15" s="18">
        <f>$B$8</f>
        <v/>
      </c>
      <c r="D15" s="19">
        <f>$B$6/(1-$C15)</f>
        <v/>
      </c>
      <c r="E15" s="19">
        <f>$D15-$B$6</f>
        <v/>
      </c>
    </row>
    <row r="16">
      <c r="A16" s="9" t="inlineStr">
        <is>
          <t>Vendita di quote ETF, plusvalenza latente 80%</t>
        </is>
      </c>
      <c r="B16" s="11" t="n">
        <v>0.8</v>
      </c>
      <c r="C16" s="15">
        <f>$B$7*$B16</f>
        <v/>
      </c>
      <c r="D16" s="14">
        <f>$B$6/(1-$C16)</f>
        <v/>
      </c>
      <c r="E16" s="14">
        <f>$D16-$B$6</f>
        <v/>
      </c>
    </row>
    <row r="17">
      <c r="A17" s="9" t="inlineStr">
        <is>
          <t>Dividendi, o premi senza minusvalenze in capienza</t>
        </is>
      </c>
      <c r="B17" s="20" t="inlineStr">
        <is>
          <t>—</t>
        </is>
      </c>
      <c r="C17" s="15">
        <f>$B$7</f>
        <v/>
      </c>
      <c r="D17" s="14">
        <f>$B$6/(1-$C17)</f>
        <v/>
      </c>
      <c r="E17" s="14">
        <f>$D17-$B$6</f>
        <v/>
      </c>
    </row>
    <row r="18" ht="45" customHeight="1">
      <c r="A18" s="7" t="inlineStr">
        <is>
          <t>La riga gialla e' il pareggio: la cedola di un titolo di Stato costa il 12,5% dell'INTERO flusso, la vendita di quote costa il 26% della sola plusvalenza. Sopra la riga gialla la cedola conviene, sotto conviene vendere quote — e sotto ci stanno quasi tutti.</t>
        </is>
      </c>
    </row>
    <row r="19"/>
    <row r="20">
      <c r="A20" s="8" t="inlineStr">
        <is>
          <t>IL BREAK-EVEN — sopra quanta plusvalenza la cedola conviene</t>
        </is>
      </c>
    </row>
    <row r="21" ht="45" customHeight="1">
      <c r="A21" s="9" t="inlineStr">
        <is>
          <t>Plusvalenza latente che pareggia la cedola</t>
        </is>
      </c>
      <c r="B21" s="13">
        <f>$B$8/$B$7</f>
        <v/>
      </c>
      <c r="G21" s="7" t="inlineStr">
        <is>
          <t>0,26 x q = 0,125 da' q = 48,077%. E' la stessa frazione con cui il D.L. 66/2014 abbatte la base imponibile dei titoli di Stato: la stessa divisione, fatta due volte.</t>
        </is>
      </c>
    </row>
    <row r="22" ht="45" customHeight="1">
      <c r="A22" s="7" t="inlineStr">
        <is>
          <t>Sotto il 48,08% di plusvalenza latente la cedola gia' incassata ti e' costata piu' di quanto ti sarebbe costato vendere quote per lo stesso importo. E' un costo di DETENZIONE: lo paghi ogni anno per il fatto di possedere quello strumento, anche negli anni in cui la cassa non ti serve.</t>
        </is>
      </c>
    </row>
    <row r="23"/>
    <row r="24">
      <c r="A24" s="8" t="inlineStr">
        <is>
          <t>FUORI CLASSIFICA — i premi dei certificati finche' dura la minusvalenza</t>
        </is>
      </c>
    </row>
    <row r="25" ht="60" customHeight="1">
      <c r="A25" s="7" t="inlineStr">
        <is>
          <t>Questa riga non entra in classifica perche' non e' una proprieta' dello strumento: e' una condizione temporanea, che finisce quando lo zainetto di minusvalenze si esaurisce. Le minusvalenze sono redditi diversi e si riportano nell'anno di realizzo e nei QUATTRO successivi (art. 68 c. 5 TUIR); i premi condizionati dei certificati sono anch'essi redditi diversi, e quindi li assorbono.</t>
        </is>
      </c>
    </row>
    <row r="26">
      <c r="A26" s="9" t="inlineStr">
        <is>
          <t>Premi dei certificati con minusvalenza in capienza</t>
        </is>
      </c>
      <c r="B26" s="21" t="inlineStr">
        <is>
          <t>temporaneo</t>
        </is>
      </c>
      <c r="C26" s="15">
        <f>0</f>
        <v/>
      </c>
      <c r="D26" s="14">
        <f>$B$6</f>
        <v/>
      </c>
      <c r="E26" s="14">
        <f>$D$26-$B$6</f>
        <v/>
      </c>
    </row>
    <row r="27"/>
    <row r="28" ht="15" customHeight="1">
      <c r="A28" s="9" t="inlineStr">
        <is>
          <t>Zainetto di minusvalenze da smaltire</t>
        </is>
      </c>
      <c r="B28" s="10" t="n">
        <v>10000</v>
      </c>
      <c r="G28" s="7" t="inlineStr">
        <is>
          <t>Dato del caso del video.</t>
        </is>
      </c>
    </row>
    <row r="29" ht="15" customHeight="1">
      <c r="A29" s="9" t="inlineStr">
        <is>
          <t>Premi lordi dei certificati in un anno</t>
        </is>
      </c>
      <c r="B29" s="10" t="n">
        <v>6400</v>
      </c>
      <c r="G29" s="7" t="inlineStr">
        <is>
          <t>8% su 80.000 €: ipotesi dichiarata, forbice 6-10%.</t>
        </is>
      </c>
    </row>
    <row r="30" ht="30" customHeight="1">
      <c r="A30" s="9" t="inlineStr">
        <is>
          <t>Risparmio fiscale massimo — IN TUTTO, non all'anno</t>
        </is>
      </c>
      <c r="B30" s="14">
        <f>$B$7*$B$28</f>
        <v/>
      </c>
      <c r="G30" s="7" t="inlineStr">
        <is>
          <t>26% x 10.000 = 2.600 €, una volta sola: 28 punti base sul patrimonio del caso. Manovra di smaltimento, non pilastro.</t>
        </is>
      </c>
    </row>
    <row r="31">
      <c r="A31" s="9" t="inlineStr">
        <is>
          <t>Anni per assorbirlo, ai premi dichiarati</t>
        </is>
      </c>
      <c r="B31" s="22">
        <f>$B$28/$B$29</f>
        <v/>
      </c>
    </row>
    <row r="32">
      <c r="A32" s="9" t="inlineStr">
        <is>
          <t>Se la minusvalenza venisse da titoli di Stato (48,08%)</t>
        </is>
      </c>
      <c r="B32" s="14">
        <f>$B$7*($B$8/$B$7)*$B$28</f>
        <v/>
      </c>
    </row>
    <row r="33"/>
    <row r="34" ht="34" customHeight="1">
      <c r="A34" s="16" t="inlineStr">
        <is>
          <t>Anno</t>
        </is>
      </c>
      <c r="B34" s="16" t="inlineStr">
        <is>
          <t>Minusvalenza residua a inizio anno</t>
        </is>
      </c>
      <c r="C34" s="16" t="inlineStr">
        <is>
          <t>Premi compensati</t>
        </is>
      </c>
      <c r="D34" s="16" t="inlineStr">
        <is>
          <t>Imposta risparmiata</t>
        </is>
      </c>
      <c r="E34" s="16" t="inlineStr">
        <is>
          <t>Residua a fine anno</t>
        </is>
      </c>
    </row>
    <row r="35">
      <c r="A35" s="23" t="n">
        <v>1</v>
      </c>
      <c r="B35" s="14">
        <f>$B$28</f>
        <v/>
      </c>
      <c r="C35" s="14">
        <f>MIN($B35,$B$29)</f>
        <v/>
      </c>
      <c r="D35" s="14">
        <f>$C35*$B$7</f>
        <v/>
      </c>
      <c r="E35" s="14">
        <f>$B35-$C35</f>
        <v/>
      </c>
    </row>
    <row r="36">
      <c r="A36" s="23" t="n">
        <v>2</v>
      </c>
      <c r="B36" s="14">
        <f>$E35</f>
        <v/>
      </c>
      <c r="C36" s="14">
        <f>MIN($B36,$B$29)</f>
        <v/>
      </c>
      <c r="D36" s="14">
        <f>$C36*$B$7</f>
        <v/>
      </c>
      <c r="E36" s="14">
        <f>$B36-$C36</f>
        <v/>
      </c>
    </row>
    <row r="37">
      <c r="A37" s="23" t="n">
        <v>3</v>
      </c>
      <c r="B37" s="14">
        <f>$E36</f>
        <v/>
      </c>
      <c r="C37" s="14">
        <f>MIN($B37,$B$29)</f>
        <v/>
      </c>
      <c r="D37" s="14">
        <f>$C37*$B$7</f>
        <v/>
      </c>
      <c r="E37" s="14">
        <f>$B37-$C37</f>
        <v/>
      </c>
    </row>
    <row r="38">
      <c r="A38" s="23" t="n">
        <v>4</v>
      </c>
      <c r="B38" s="14">
        <f>$E37</f>
        <v/>
      </c>
      <c r="C38" s="14">
        <f>MIN($B38,$B$29)</f>
        <v/>
      </c>
      <c r="D38" s="14">
        <f>$C38*$B$7</f>
        <v/>
      </c>
      <c r="E38" s="14">
        <f>$B38-$C38</f>
        <v/>
      </c>
    </row>
    <row r="39">
      <c r="A39" s="23" t="n">
        <v>5</v>
      </c>
      <c r="B39" s="14">
        <f>$E38</f>
        <v/>
      </c>
      <c r="C39" s="14">
        <f>MIN($B39,$B$29)</f>
        <v/>
      </c>
      <c r="D39" s="14">
        <f>$C39*$B$7</f>
        <v/>
      </c>
      <c r="E39" s="14">
        <f>$B39-$C39</f>
        <v/>
      </c>
    </row>
    <row r="40" ht="30" customHeight="1">
      <c r="A40" s="7" t="inlineStr">
        <is>
          <t>Dopo un anno e mezzo il contatore e' a zero e i certificati restano li', con i premi al 26% pieno e il capitale non garantito a scadenza. Il vantaggio fiscale era vero, ed era piccolo e a termine.</t>
        </is>
      </c>
    </row>
    <row r="41"/>
    <row r="42">
      <c r="A42" s="8" t="inlineStr">
        <is>
          <t>DOMANDA B — da dove prelevo, dato il portafoglio che ho</t>
        </is>
      </c>
    </row>
    <row r="43" ht="45" customHeight="1">
      <c r="A43" s="7" t="inlineStr">
        <is>
          <t>1. La classifica qui sopra risponde alla domanda «quale strumento tengo». Se la domanda e' invece «da dove prelevo, dato il portafoglio che ho gia'», la risposta si ribalta: la cedola gia' incassata ha costo marginale fiscale ZERO.</t>
        </is>
      </c>
    </row>
    <row r="44" ht="45" customHeight="1">
      <c r="A44" s="7" t="inlineStr">
        <is>
          <t>2. La ritenuta e' stata trattenuta comunque e la cedola e' arrivata comunque. Non spenderla e vendere altro al suo posto significa pagare DUE imposte sullo stesso euro di spesa: quella gia' pagata sulla cedola e quella nuova sulla plusvalenza della vendita.</t>
        </is>
      </c>
    </row>
    <row r="45" ht="45" customHeight="1">
      <c r="A45" s="7" t="inlineStr">
        <is>
          <t>3. La sintesi che tiene insieme le due domande: il costo fiscale della cedola e' un costo di DETENZIONE, non di prelievo. La domanda giusta non e' «da dove prelevo» — su quella la risposta era gia' corretta — ma «quanto mi costa, ogni anno, avere un portafoglio che mi consegna denaro che non ho chiesto».</t>
        </is>
      </c>
    </row>
  </sheetData>
  <mergeCells count="15">
    <mergeCell ref="A20:E20"/>
    <mergeCell ref="A24:E24"/>
    <mergeCell ref="A2:E2"/>
    <mergeCell ref="A43:E43"/>
    <mergeCell ref="A10:E10"/>
    <mergeCell ref="A25:E25"/>
    <mergeCell ref="A42:E42"/>
    <mergeCell ref="A1:E1"/>
    <mergeCell ref="A5:E5"/>
    <mergeCell ref="A45:E45"/>
    <mergeCell ref="A44:E44"/>
    <mergeCell ref="A22:E22"/>
    <mergeCell ref="A40:E40"/>
    <mergeCell ref="A18:E18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23"/>
  <sheetViews>
    <sheetView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12" customWidth="1" min="3" max="3"/>
    <col width="14" customWidth="1" min="4" max="4"/>
    <col width="14" customWidth="1" min="5" max="5"/>
    <col width="13" customWidth="1" min="6" max="6"/>
    <col width="12" customWidth="1" min="7" max="7"/>
    <col width="13" customWidth="1" min="8" max="8"/>
    <col width="12" customWidth="1" min="9" max="9"/>
    <col width="13" customWidth="1" min="10" max="10"/>
    <col width="12" customWidth="1" min="11" max="11"/>
    <col width="15" customWidth="1" min="12" max="12"/>
    <col width="12" customWidth="1" min="13" max="13"/>
    <col width="15" customWidth="1" min="14" max="14"/>
    <col width="12" customWidth="1" min="15" max="15"/>
    <col width="14" customWidth="1" min="16" max="16"/>
    <col width="15" customWidth="1" min="17" max="17"/>
    <col width="14" customWidth="1" min="18" max="18"/>
    <col width="15" customWidth="1" min="19" max="19"/>
    <col width="4" customWidth="1" min="20" max="20"/>
  </cols>
  <sheetData>
    <row r="1" ht="25" customHeight="1">
      <c r="A1" s="1" t="inlineStr">
        <is>
          <t>Il ponte — dieci anni misurati anno per anno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3" ht="60" customHeight="1">
      <c r="A3" s="7" t="inlineStr">
        <is>
          <t>Questo modello tratta il portafoglio come un blocco unico con un unico rendimento. Nella realta' una parte scade e va reinvestita, e strumenti diversi si comportano diversamente nei crolli: il modello serve a misurare i flussi e le imposte, non a premiare un'allocazione. Le uniche eccezioni sono lo schedario cedolare del BTP Valore, il premio fedelta' e il reinvestimento all'anno di rimborso, che sono espliciti.</t>
        </is>
      </c>
    </row>
    <row r="4"/>
    <row r="5">
      <c r="A5" s="8" t="inlineStr">
        <is>
          <t>PARAMETRI DEL MODELLO — cambia solo le celle gialle</t>
        </is>
      </c>
    </row>
    <row r="6" ht="15" customHeight="1">
      <c r="A6" s="9" t="inlineStr">
        <is>
          <t>Patrimonio iniziale</t>
        </is>
      </c>
      <c r="B6" s="10" t="n">
        <v>920000</v>
      </c>
      <c r="D6" s="24" t="inlineStr">
        <is>
          <t>Dato del caso.</t>
        </is>
      </c>
    </row>
    <row r="7" ht="15" customHeight="1">
      <c r="A7" s="9" t="inlineStr">
        <is>
          <t>Spesa netta dell'anno 1</t>
        </is>
      </c>
      <c r="B7" s="10" t="n">
        <v>30000</v>
      </c>
      <c r="D7" s="24" t="inlineStr">
        <is>
          <t>Indicizzata all'inflazione negli anni successivi.</t>
        </is>
      </c>
    </row>
    <row r="8" ht="15" customHeight="1">
      <c r="A8" s="9" t="inlineStr">
        <is>
          <t>Inflazione</t>
        </is>
      </c>
      <c r="B8" s="11" t="n">
        <v>0.02</v>
      </c>
      <c r="D8" s="24" t="inlineStr">
        <is>
          <t>Ipotesi del modello.</t>
        </is>
      </c>
    </row>
    <row r="9" ht="28" customHeight="1">
      <c r="A9" s="9" t="inlineStr">
        <is>
          <t>Rendimento reale — scenario centrale</t>
        </is>
      </c>
      <c r="B9" s="11" t="n">
        <v>0.03</v>
      </c>
      <c r="D9" s="24" t="inlineStr">
        <is>
          <t>Ipotesi dichiarata, non previsione. Il conto bottom-up sul portafoglio del caso da' 3,02-3,34% reale lordo: il 3% e' il pavimento della forbice.</t>
        </is>
      </c>
    </row>
    <row r="10" ht="28" customHeight="1">
      <c r="A10" s="9" t="inlineStr">
        <is>
          <t>Rendimento reale — scenario prudente</t>
        </is>
      </c>
      <c r="B10" s="11" t="n">
        <v>0.01</v>
      </c>
      <c r="D10" s="24" t="inlineStr">
        <is>
          <t>La banda dichiarata e' 1% / 3%, piu' i due ordinamenti di sequenza del foglio 5. Non esiste uno scenario al 5%.</t>
        </is>
      </c>
    </row>
    <row r="11" ht="15" customHeight="1">
      <c r="A11" s="9" t="inlineStr">
        <is>
          <t>Durata del ponte (anni)</t>
        </is>
      </c>
      <c r="B11" s="25" t="n">
        <v>10</v>
      </c>
      <c r="D11" s="24" t="inlineStr">
        <is>
          <t>Da 57 a 67 anni. Il motore ha dieci righe: per cambiare durata vanno aggiunte o tolte righe.</t>
        </is>
      </c>
    </row>
    <row r="12" ht="15" customHeight="1">
      <c r="A12" s="9" t="inlineStr">
        <is>
          <t>Plusvalenza latente iniziale</t>
        </is>
      </c>
      <c r="B12" s="11" t="n">
        <v>0.2</v>
      </c>
      <c r="D12" s="24" t="inlineStr">
        <is>
          <t>Ipotesi dichiarata.</t>
        </is>
      </c>
    </row>
    <row r="13" ht="15" customHeight="1">
      <c r="A13" s="9" t="inlineStr">
        <is>
          <t>Aliquota sulle plusvalenze</t>
        </is>
      </c>
      <c r="B13" s="11" t="n">
        <v>0.26</v>
      </c>
      <c r="D13" s="24" t="inlineStr">
        <is>
          <t>Sulla sola plusvalenza, a costo medio ponderato.</t>
        </is>
      </c>
    </row>
    <row r="14">
      <c r="A14" s="9" t="inlineStr">
        <is>
          <t>Aliquota su cedole BTP e premio fedelta'</t>
        </is>
      </c>
      <c r="B14" s="11" t="n">
        <v>0.125</v>
      </c>
    </row>
    <row r="15" ht="15" customHeight="1">
      <c r="A15" s="9" t="inlineStr">
        <is>
          <t>Aliquota sui premi dei certificati</t>
        </is>
      </c>
      <c r="B15" s="11" t="n">
        <v>0.26</v>
      </c>
      <c r="D15" s="24" t="inlineStr">
        <is>
          <t>Redditi diversi: compensano le minusvalenze.</t>
        </is>
      </c>
    </row>
    <row r="16" ht="15" customHeight="1">
      <c r="A16" s="9" t="inlineStr">
        <is>
          <t>Imposta di bollo</t>
        </is>
      </c>
      <c r="B16" s="11" t="n">
        <v>0.002</v>
      </c>
      <c r="D16" s="24" t="inlineStr">
        <is>
          <t>0,2% del patrimonio di FINE anno, applicata a fine anno. Anno 1: 1.862 €.</t>
        </is>
      </c>
    </row>
    <row r="17" ht="15" customHeight="1">
      <c r="A17" s="9" t="inlineStr">
        <is>
          <t>BTP Valore — capitale nominale</t>
        </is>
      </c>
      <c r="B17" s="10" t="n">
        <v>320000</v>
      </c>
      <c r="D17" s="24" t="inlineStr">
        <is>
          <t>ISIN IT0005696320, godimento 10/03/2026, scadenza 10/03/2032.</t>
        </is>
      </c>
    </row>
    <row r="18" ht="15" customHeight="1">
      <c r="A18" s="9" t="inlineStr">
        <is>
          <t xml:space="preserve">   cedola anni 1-2</t>
        </is>
      </c>
      <c r="B18" s="11" t="n">
        <v>0.026</v>
      </c>
      <c r="D18" s="24" t="inlineStr">
        <is>
          <t>MEF, comunicato del 6 marzo 2026: tassi DEFINITIVI, rivisti al rialzo.</t>
        </is>
      </c>
    </row>
    <row r="19">
      <c r="A19" s="9" t="inlineStr">
        <is>
          <t xml:space="preserve">   cedola anni 3-4</t>
        </is>
      </c>
      <c r="B19" s="11" t="n">
        <v>0.032</v>
      </c>
    </row>
    <row r="20" ht="28" customHeight="1">
      <c r="A20" s="9" t="inlineStr">
        <is>
          <t xml:space="preserve">   cedola anni 5-6</t>
        </is>
      </c>
      <c r="B20" s="11" t="n">
        <v>0.038</v>
      </c>
      <c r="D20" s="24" t="inlineStr">
        <is>
          <t>Cedola finale 3,80%, rendimento vero a scadenza 3,336% lordo e 2,919% netto: lo step-up e' marketing di flusso.</t>
        </is>
      </c>
    </row>
    <row r="21" ht="28" customHeight="1">
      <c r="A21" s="9" t="inlineStr">
        <is>
          <t xml:space="preserve">   premio fedelta'</t>
        </is>
      </c>
      <c r="B21" s="11" t="n">
        <v>0.008</v>
      </c>
      <c r="D21" s="24" t="inlineStr">
        <is>
          <t>0,8% a chi sottoscrive in collocamento e tiene a scadenza. Vale 12 punti base l'anno: sembra grande perche' non e' annualizzato.</t>
        </is>
      </c>
    </row>
    <row r="22" ht="28" customHeight="1">
      <c r="A22" s="9" t="inlineStr">
        <is>
          <t xml:space="preserve">   anno di rimborso del titolo</t>
        </is>
      </c>
      <c r="B22" s="25" t="n">
        <v>6</v>
      </c>
      <c r="D22" s="24" t="inlineStr">
        <is>
          <t>Il rimborso alla pari di 320.000 € dentro l'orizzonte e' 34,8 punti di patrimonio: e' la vera difesa dalla sequenza, e non viene dalle cedole.</t>
        </is>
      </c>
    </row>
    <row r="23" ht="28" customHeight="1">
      <c r="A23" s="9" t="inlineStr">
        <is>
          <t xml:space="preserve">   tasso di reinvestimento dall'anno successivo</t>
        </is>
      </c>
      <c r="B23" s="11" t="n">
        <v>0.03</v>
      </c>
      <c r="D23" s="24" t="inlineStr">
        <is>
          <t>Sensibilita': da 1,5% a 4,0% il capitale finale cambia di 851 € su 817.000, con segno NEGATIVO. Nel modello una cedola piu' alta non aggiunge rendimento: sposta reddito verso un canale piu' tassato.</t>
        </is>
      </c>
    </row>
    <row r="24">
      <c r="A24" s="9" t="inlineStr">
        <is>
          <t>Certificati — capitale nominale</t>
        </is>
      </c>
      <c r="B24" s="10" t="n">
        <v>80000</v>
      </c>
    </row>
    <row r="25" ht="28" customHeight="1">
      <c r="A25" s="9" t="inlineStr">
        <is>
          <t xml:space="preserve">   premi condizionati</t>
        </is>
      </c>
      <c r="B25" s="11" t="n">
        <v>0.08</v>
      </c>
      <c r="D25" s="24" t="inlineStr">
        <is>
          <t>Ipotesi dichiarata, forbice 6-10%. Da questa cella dipende la quota di flusso prodotta dai certificati: fra il 28% e il 49% secondo l'ipotesi e il biennio.</t>
        </is>
      </c>
    </row>
    <row r="26" ht="15" customHeight="1">
      <c r="A26" s="9" t="inlineStr">
        <is>
          <t>Zainetto di minusvalenze</t>
        </is>
      </c>
      <c r="B26" s="10" t="n">
        <v>10000</v>
      </c>
      <c r="D26" s="24" t="inlineStr">
        <is>
          <t>Si consuma sui premi dei certificati, come nel foglio 2.</t>
        </is>
      </c>
    </row>
    <row r="27"/>
    <row r="28">
      <c r="A28" s="8" t="inlineStr">
        <is>
          <t>SCHEDARIO CEDOLARE — i tassi definitivi, anno per anno</t>
        </is>
      </c>
    </row>
    <row r="29" ht="34" customHeight="1">
      <c r="A29" s="16" t="inlineStr">
        <is>
          <t>Anno</t>
        </is>
      </c>
      <c r="B29" s="16" t="inlineStr">
        <is>
          <t>Cedola BTP Valore lorda</t>
        </is>
      </c>
      <c r="C29" s="16" t="inlineStr">
        <is>
          <t>Premio fedelta'</t>
        </is>
      </c>
      <c r="D29" s="16" t="inlineStr">
        <is>
          <t>Premi dei certificati</t>
        </is>
      </c>
      <c r="E29" s="16" t="inlineStr">
        <is>
          <t>CEDOLE LORDE TOTALI</t>
        </is>
      </c>
    </row>
    <row r="30">
      <c r="A30" s="23" t="n">
        <v>1</v>
      </c>
      <c r="B30" s="14">
        <f>IF(1&lt;=2,$B$17*$B$18,IF(1&lt;=4,$B$17*$B$19,IF(1&lt;=$B$22,$B$17*$B$20,$B$17*$B$23)))</f>
        <v/>
      </c>
      <c r="C30" s="14">
        <f>IF(1=$B$22,$B$17*$B$21,0)</f>
        <v/>
      </c>
      <c r="D30" s="14">
        <f>$B$24*$B$25</f>
        <v/>
      </c>
      <c r="E30" s="14">
        <f>$B30+$C30+$D30</f>
        <v/>
      </c>
    </row>
    <row r="31">
      <c r="A31" s="23" t="n">
        <v>2</v>
      </c>
      <c r="B31" s="14">
        <f>IF(2&lt;=2,$B$17*$B$18,IF(2&lt;=4,$B$17*$B$19,IF(2&lt;=$B$22,$B$17*$B$20,$B$17*$B$23)))</f>
        <v/>
      </c>
      <c r="C31" s="14">
        <f>IF(2=$B$22,$B$17*$B$21,0)</f>
        <v/>
      </c>
      <c r="D31" s="14">
        <f>$B$24*$B$25</f>
        <v/>
      </c>
      <c r="E31" s="14">
        <f>$B31+$C31+$D31</f>
        <v/>
      </c>
    </row>
    <row r="32">
      <c r="A32" s="23" t="n">
        <v>3</v>
      </c>
      <c r="B32" s="14">
        <f>IF(3&lt;=2,$B$17*$B$18,IF(3&lt;=4,$B$17*$B$19,IF(3&lt;=$B$22,$B$17*$B$20,$B$17*$B$23)))</f>
        <v/>
      </c>
      <c r="C32" s="14">
        <f>IF(3=$B$22,$B$17*$B$21,0)</f>
        <v/>
      </c>
      <c r="D32" s="14">
        <f>$B$24*$B$25</f>
        <v/>
      </c>
      <c r="E32" s="14">
        <f>$B32+$C32+$D32</f>
        <v/>
      </c>
    </row>
    <row r="33">
      <c r="A33" s="23" t="n">
        <v>4</v>
      </c>
      <c r="B33" s="14">
        <f>IF(4&lt;=2,$B$17*$B$18,IF(4&lt;=4,$B$17*$B$19,IF(4&lt;=$B$22,$B$17*$B$20,$B$17*$B$23)))</f>
        <v/>
      </c>
      <c r="C33" s="14">
        <f>IF(4=$B$22,$B$17*$B$21,0)</f>
        <v/>
      </c>
      <c r="D33" s="14">
        <f>$B$24*$B$25</f>
        <v/>
      </c>
      <c r="E33" s="14">
        <f>$B33+$C33+$D33</f>
        <v/>
      </c>
    </row>
    <row r="34">
      <c r="A34" s="23" t="n">
        <v>5</v>
      </c>
      <c r="B34" s="14">
        <f>IF(5&lt;=2,$B$17*$B$18,IF(5&lt;=4,$B$17*$B$19,IF(5&lt;=$B$22,$B$17*$B$20,$B$17*$B$23)))</f>
        <v/>
      </c>
      <c r="C34" s="14">
        <f>IF(5=$B$22,$B$17*$B$21,0)</f>
        <v/>
      </c>
      <c r="D34" s="14">
        <f>$B$24*$B$25</f>
        <v/>
      </c>
      <c r="E34" s="14">
        <f>$B34+$C34+$D34</f>
        <v/>
      </c>
    </row>
    <row r="35">
      <c r="A35" s="23" t="n">
        <v>6</v>
      </c>
      <c r="B35" s="14">
        <f>IF(6&lt;=2,$B$17*$B$18,IF(6&lt;=4,$B$17*$B$19,IF(6&lt;=$B$22,$B$17*$B$20,$B$17*$B$23)))</f>
        <v/>
      </c>
      <c r="C35" s="14">
        <f>IF(6=$B$22,$B$17*$B$21,0)</f>
        <v/>
      </c>
      <c r="D35" s="14">
        <f>$B$24*$B$25</f>
        <v/>
      </c>
      <c r="E35" s="14">
        <f>$B35+$C35+$D35</f>
        <v/>
      </c>
    </row>
    <row r="36">
      <c r="A36" s="23" t="n">
        <v>7</v>
      </c>
      <c r="B36" s="14">
        <f>IF(7&lt;=2,$B$17*$B$18,IF(7&lt;=4,$B$17*$B$19,IF(7&lt;=$B$22,$B$17*$B$20,$B$17*$B$23)))</f>
        <v/>
      </c>
      <c r="C36" s="14">
        <f>IF(7=$B$22,$B$17*$B$21,0)</f>
        <v/>
      </c>
      <c r="D36" s="14">
        <f>$B$24*$B$25</f>
        <v/>
      </c>
      <c r="E36" s="14">
        <f>$B36+$C36+$D36</f>
        <v/>
      </c>
    </row>
    <row r="37">
      <c r="A37" s="23" t="n">
        <v>8</v>
      </c>
      <c r="B37" s="14">
        <f>IF(8&lt;=2,$B$17*$B$18,IF(8&lt;=4,$B$17*$B$19,IF(8&lt;=$B$22,$B$17*$B$20,$B$17*$B$23)))</f>
        <v/>
      </c>
      <c r="C37" s="14">
        <f>IF(8=$B$22,$B$17*$B$21,0)</f>
        <v/>
      </c>
      <c r="D37" s="14">
        <f>$B$24*$B$25</f>
        <v/>
      </c>
      <c r="E37" s="14">
        <f>$B37+$C37+$D37</f>
        <v/>
      </c>
    </row>
    <row r="38">
      <c r="A38" s="23" t="n">
        <v>9</v>
      </c>
      <c r="B38" s="14">
        <f>IF(9&lt;=2,$B$17*$B$18,IF(9&lt;=4,$B$17*$B$19,IF(9&lt;=$B$22,$B$17*$B$20,$B$17*$B$23)))</f>
        <v/>
      </c>
      <c r="C38" s="14">
        <f>IF(9=$B$22,$B$17*$B$21,0)</f>
        <v/>
      </c>
      <c r="D38" s="14">
        <f>$B$24*$B$25</f>
        <v/>
      </c>
      <c r="E38" s="14">
        <f>$B38+$C38+$D38</f>
        <v/>
      </c>
    </row>
    <row r="39">
      <c r="A39" s="23" t="n">
        <v>10</v>
      </c>
      <c r="B39" s="14">
        <f>IF(10&lt;=2,$B$17*$B$18,IF(10&lt;=4,$B$17*$B$19,IF(10&lt;=$B$22,$B$17*$B$20,$B$17*$B$23)))</f>
        <v/>
      </c>
      <c r="C39" s="14">
        <f>IF(10=$B$22,$B$17*$B$21,0)</f>
        <v/>
      </c>
      <c r="D39" s="14">
        <f>$B$24*$B$25</f>
        <v/>
      </c>
      <c r="E39" s="14">
        <f>$B39+$C39+$D39</f>
        <v/>
      </c>
    </row>
    <row r="40"/>
    <row r="41">
      <c r="A41" s="8" t="inlineStr">
        <is>
          <t>IL PONTE — scenario centrale (rendimento reale della cella B9)</t>
        </is>
      </c>
    </row>
    <row r="42" ht="44" customHeight="1">
      <c r="A42" s="16" t="inlineStr">
        <is>
          <t>Anno</t>
        </is>
      </c>
      <c r="B42" s="16" t="inlineStr">
        <is>
          <t>Spesa netta
dell'anno</t>
        </is>
      </c>
      <c r="C42" s="16" t="inlineStr">
        <is>
          <t>Cedole
lorde</t>
        </is>
      </c>
      <c r="D42" s="16" t="inlineStr">
        <is>
          <t>Imposta 12,5%
su BTP e premio</t>
        </is>
      </c>
      <c r="E42" s="16" t="inlineStr">
        <is>
          <t>Zainetto minus.
a inizio anno</t>
        </is>
      </c>
      <c r="F42" s="16" t="inlineStr">
        <is>
          <t>Imposta 26%
sui premi</t>
        </is>
      </c>
      <c r="G42" s="16" t="inlineStr">
        <is>
          <t>Cedole
nette</t>
        </is>
      </c>
      <c r="H42" s="16" t="inlineStr">
        <is>
          <t>Da coprire
vendendo</t>
        </is>
      </c>
      <c r="I42" s="16" t="inlineStr">
        <is>
          <t>Plusvalenza
latente</t>
        </is>
      </c>
      <c r="J42" s="16" t="inlineStr">
        <is>
          <t>Aliquota eff.
sulla vendita</t>
        </is>
      </c>
      <c r="K42" s="16" t="inlineStr">
        <is>
          <t>Vendita
lorda</t>
        </is>
      </c>
      <c r="L42" s="16" t="inlineStr">
        <is>
          <t>Uscita lorda
(cedole+vendita)</t>
        </is>
      </c>
      <c r="M42" s="16" t="inlineStr">
        <is>
          <t>Rendimento
reale</t>
        </is>
      </c>
      <c r="N42" s="16" t="inlineStr">
        <is>
          <t>Patrimonio
prima del bollo</t>
        </is>
      </c>
      <c r="O42" s="16" t="inlineStr">
        <is>
          <t>Imposta
di bollo</t>
        </is>
      </c>
      <c r="P42" s="16" t="inlineStr">
        <is>
          <t>Patrimonio
a fine anno</t>
        </is>
      </c>
      <c r="Q42" s="16" t="inlineStr">
        <is>
          <t>USCITA TOTALE
col bollo</t>
        </is>
      </c>
      <c r="R42" s="16" t="inlineStr">
        <is>
          <t>Costo fiscale
a fine anno</t>
        </is>
      </c>
      <c r="S42" s="16" t="inlineStr">
        <is>
          <t>Patrimonio in
euro di oggi</t>
        </is>
      </c>
    </row>
    <row r="43">
      <c r="A43" s="23" t="n">
        <v>1</v>
      </c>
      <c r="B43" s="14">
        <f>$B$7*(1+$B$8)^(1-1)</f>
        <v/>
      </c>
      <c r="C43" s="14">
        <f>$E$30</f>
        <v/>
      </c>
      <c r="D43" s="14">
        <f>($B$30+$C$30)*$B$14</f>
        <v/>
      </c>
      <c r="E43" s="14">
        <f>$B$26</f>
        <v/>
      </c>
      <c r="F43" s="14">
        <f>MAX(0,$D$30-E43)*$B$15</f>
        <v/>
      </c>
      <c r="G43" s="14">
        <f>C43-D43-F43</f>
        <v/>
      </c>
      <c r="H43" s="14">
        <f>B43-G43</f>
        <v/>
      </c>
      <c r="I43" s="15">
        <f>1-($B$6*(1-$B$12))/$B$6</f>
        <v/>
      </c>
      <c r="J43" s="15">
        <f>$B$13*I43</f>
        <v/>
      </c>
      <c r="K43" s="14">
        <f>H43/(1-J43)</f>
        <v/>
      </c>
      <c r="L43" s="14">
        <f>C43+K43</f>
        <v/>
      </c>
      <c r="M43" s="15">
        <f>$B$9</f>
        <v/>
      </c>
      <c r="N43" s="14">
        <f>($B$6-L43)*(1+M43)*(1+$B$8)</f>
        <v/>
      </c>
      <c r="O43" s="14">
        <f>N43-P43</f>
        <v/>
      </c>
      <c r="P43" s="14">
        <f>N43/(1+$B$16)</f>
        <v/>
      </c>
      <c r="Q43" s="14">
        <f>L43+O43</f>
        <v/>
      </c>
      <c r="R43" s="14">
        <f>($B$6*(1-$B$12))-K43*($B$6*(1-$B$12))/$B$6</f>
        <v/>
      </c>
      <c r="S43" s="14">
        <f>P43/(1+$B$8)^1</f>
        <v/>
      </c>
    </row>
    <row r="44">
      <c r="A44" s="23" t="n">
        <v>2</v>
      </c>
      <c r="B44" s="14">
        <f>$B$7*(1+$B$8)^(2-1)</f>
        <v/>
      </c>
      <c r="C44" s="14">
        <f>$E$31</f>
        <v/>
      </c>
      <c r="D44" s="14">
        <f>($B$31+$C$31)*$B$14</f>
        <v/>
      </c>
      <c r="E44" s="14">
        <f>MAX(0,E43-$D$30)</f>
        <v/>
      </c>
      <c r="F44" s="14">
        <f>MAX(0,$D$31-E44)*$B$15</f>
        <v/>
      </c>
      <c r="G44" s="14">
        <f>C44-D44-F44</f>
        <v/>
      </c>
      <c r="H44" s="14">
        <f>B44-G44</f>
        <v/>
      </c>
      <c r="I44" s="15">
        <f>1-R43/P43</f>
        <v/>
      </c>
      <c r="J44" s="15">
        <f>$B$13*I44</f>
        <v/>
      </c>
      <c r="K44" s="14">
        <f>H44/(1-J44)</f>
        <v/>
      </c>
      <c r="L44" s="14">
        <f>C44+K44</f>
        <v/>
      </c>
      <c r="M44" s="15">
        <f>$B$9</f>
        <v/>
      </c>
      <c r="N44" s="14">
        <f>(P43-L44)*(1+M44)*(1+$B$8)</f>
        <v/>
      </c>
      <c r="O44" s="14">
        <f>N44-P44</f>
        <v/>
      </c>
      <c r="P44" s="14">
        <f>N44/(1+$B$16)</f>
        <v/>
      </c>
      <c r="Q44" s="14">
        <f>L44+O44</f>
        <v/>
      </c>
      <c r="R44" s="14">
        <f>R43-K44*R43/P43</f>
        <v/>
      </c>
      <c r="S44" s="14">
        <f>P44/(1+$B$8)^2</f>
        <v/>
      </c>
    </row>
    <row r="45">
      <c r="A45" s="23" t="n">
        <v>3</v>
      </c>
      <c r="B45" s="14">
        <f>$B$7*(1+$B$8)^(3-1)</f>
        <v/>
      </c>
      <c r="C45" s="14">
        <f>$E$32</f>
        <v/>
      </c>
      <c r="D45" s="14">
        <f>($B$32+$C$32)*$B$14</f>
        <v/>
      </c>
      <c r="E45" s="14">
        <f>MAX(0,E44-$D$31)</f>
        <v/>
      </c>
      <c r="F45" s="14">
        <f>MAX(0,$D$32-E45)*$B$15</f>
        <v/>
      </c>
      <c r="G45" s="14">
        <f>C45-D45-F45</f>
        <v/>
      </c>
      <c r="H45" s="14">
        <f>B45-G45</f>
        <v/>
      </c>
      <c r="I45" s="15">
        <f>1-R44/P44</f>
        <v/>
      </c>
      <c r="J45" s="15">
        <f>$B$13*I45</f>
        <v/>
      </c>
      <c r="K45" s="14">
        <f>H45/(1-J45)</f>
        <v/>
      </c>
      <c r="L45" s="14">
        <f>C45+K45</f>
        <v/>
      </c>
      <c r="M45" s="15">
        <f>$B$9</f>
        <v/>
      </c>
      <c r="N45" s="14">
        <f>(P44-L45)*(1+M45)*(1+$B$8)</f>
        <v/>
      </c>
      <c r="O45" s="14">
        <f>N45-P45</f>
        <v/>
      </c>
      <c r="P45" s="14">
        <f>N45/(1+$B$16)</f>
        <v/>
      </c>
      <c r="Q45" s="14">
        <f>L45+O45</f>
        <v/>
      </c>
      <c r="R45" s="14">
        <f>R44-K45*R44/P44</f>
        <v/>
      </c>
      <c r="S45" s="14">
        <f>P45/(1+$B$8)^3</f>
        <v/>
      </c>
    </row>
    <row r="46">
      <c r="A46" s="23" t="n">
        <v>4</v>
      </c>
      <c r="B46" s="14">
        <f>$B$7*(1+$B$8)^(4-1)</f>
        <v/>
      </c>
      <c r="C46" s="14">
        <f>$E$33</f>
        <v/>
      </c>
      <c r="D46" s="14">
        <f>($B$33+$C$33)*$B$14</f>
        <v/>
      </c>
      <c r="E46" s="14">
        <f>MAX(0,E45-$D$32)</f>
        <v/>
      </c>
      <c r="F46" s="14">
        <f>MAX(0,$D$33-E46)*$B$15</f>
        <v/>
      </c>
      <c r="G46" s="14">
        <f>C46-D46-F46</f>
        <v/>
      </c>
      <c r="H46" s="14">
        <f>B46-G46</f>
        <v/>
      </c>
      <c r="I46" s="15">
        <f>1-R45/P45</f>
        <v/>
      </c>
      <c r="J46" s="15">
        <f>$B$13*I46</f>
        <v/>
      </c>
      <c r="K46" s="14">
        <f>H46/(1-J46)</f>
        <v/>
      </c>
      <c r="L46" s="14">
        <f>C46+K46</f>
        <v/>
      </c>
      <c r="M46" s="15">
        <f>$B$9</f>
        <v/>
      </c>
      <c r="N46" s="14">
        <f>(P45-L46)*(1+M46)*(1+$B$8)</f>
        <v/>
      </c>
      <c r="O46" s="14">
        <f>N46-P46</f>
        <v/>
      </c>
      <c r="P46" s="14">
        <f>N46/(1+$B$16)</f>
        <v/>
      </c>
      <c r="Q46" s="14">
        <f>L46+O46</f>
        <v/>
      </c>
      <c r="R46" s="14">
        <f>R45-K46*R45/P45</f>
        <v/>
      </c>
      <c r="S46" s="14">
        <f>P46/(1+$B$8)^4</f>
        <v/>
      </c>
    </row>
    <row r="47">
      <c r="A47" s="23" t="n">
        <v>5</v>
      </c>
      <c r="B47" s="14">
        <f>$B$7*(1+$B$8)^(5-1)</f>
        <v/>
      </c>
      <c r="C47" s="14">
        <f>$E$34</f>
        <v/>
      </c>
      <c r="D47" s="14">
        <f>($B$34+$C$34)*$B$14</f>
        <v/>
      </c>
      <c r="E47" s="14">
        <f>MAX(0,E46-$D$33)</f>
        <v/>
      </c>
      <c r="F47" s="14">
        <f>MAX(0,$D$34-E47)*$B$15</f>
        <v/>
      </c>
      <c r="G47" s="14">
        <f>C47-D47-F47</f>
        <v/>
      </c>
      <c r="H47" s="14">
        <f>B47-G47</f>
        <v/>
      </c>
      <c r="I47" s="15">
        <f>1-R46/P46</f>
        <v/>
      </c>
      <c r="J47" s="15">
        <f>$B$13*I47</f>
        <v/>
      </c>
      <c r="K47" s="14">
        <f>H47/(1-J47)</f>
        <v/>
      </c>
      <c r="L47" s="14">
        <f>C47+K47</f>
        <v/>
      </c>
      <c r="M47" s="15">
        <f>$B$9</f>
        <v/>
      </c>
      <c r="N47" s="14">
        <f>(P46-L47)*(1+M47)*(1+$B$8)</f>
        <v/>
      </c>
      <c r="O47" s="14">
        <f>N47-P47</f>
        <v/>
      </c>
      <c r="P47" s="14">
        <f>N47/(1+$B$16)</f>
        <v/>
      </c>
      <c r="Q47" s="14">
        <f>L47+O47</f>
        <v/>
      </c>
      <c r="R47" s="14">
        <f>R46-K47*R46/P46</f>
        <v/>
      </c>
      <c r="S47" s="14">
        <f>P47/(1+$B$8)^5</f>
        <v/>
      </c>
    </row>
    <row r="48">
      <c r="A48" s="23" t="n">
        <v>6</v>
      </c>
      <c r="B48" s="14">
        <f>$B$7*(1+$B$8)^(6-1)</f>
        <v/>
      </c>
      <c r="C48" s="14">
        <f>$E$35</f>
        <v/>
      </c>
      <c r="D48" s="14">
        <f>($B$35+$C$35)*$B$14</f>
        <v/>
      </c>
      <c r="E48" s="14">
        <f>MAX(0,E47-$D$34)</f>
        <v/>
      </c>
      <c r="F48" s="14">
        <f>MAX(0,$D$35-E48)*$B$15</f>
        <v/>
      </c>
      <c r="G48" s="14">
        <f>C48-D48-F48</f>
        <v/>
      </c>
      <c r="H48" s="14">
        <f>B48-G48</f>
        <v/>
      </c>
      <c r="I48" s="15">
        <f>1-R47/P47</f>
        <v/>
      </c>
      <c r="J48" s="15">
        <f>$B$13*I48</f>
        <v/>
      </c>
      <c r="K48" s="14">
        <f>H48/(1-J48)</f>
        <v/>
      </c>
      <c r="L48" s="14">
        <f>C48+K48</f>
        <v/>
      </c>
      <c r="M48" s="15">
        <f>$B$9</f>
        <v/>
      </c>
      <c r="N48" s="14">
        <f>(P47-L48)*(1+M48)*(1+$B$8)</f>
        <v/>
      </c>
      <c r="O48" s="14">
        <f>N48-P48</f>
        <v/>
      </c>
      <c r="P48" s="14">
        <f>N48/(1+$B$16)</f>
        <v/>
      </c>
      <c r="Q48" s="14">
        <f>L48+O48</f>
        <v/>
      </c>
      <c r="R48" s="14">
        <f>R47-K48*R47/P47</f>
        <v/>
      </c>
      <c r="S48" s="14">
        <f>P48/(1+$B$8)^6</f>
        <v/>
      </c>
    </row>
    <row r="49">
      <c r="A49" s="23" t="n">
        <v>7</v>
      </c>
      <c r="B49" s="14">
        <f>$B$7*(1+$B$8)^(7-1)</f>
        <v/>
      </c>
      <c r="C49" s="14">
        <f>$E$36</f>
        <v/>
      </c>
      <c r="D49" s="14">
        <f>($B$36+$C$36)*$B$14</f>
        <v/>
      </c>
      <c r="E49" s="14">
        <f>MAX(0,E48-$D$35)</f>
        <v/>
      </c>
      <c r="F49" s="14">
        <f>MAX(0,$D$36-E49)*$B$15</f>
        <v/>
      </c>
      <c r="G49" s="14">
        <f>C49-D49-F49</f>
        <v/>
      </c>
      <c r="H49" s="14">
        <f>B49-G49</f>
        <v/>
      </c>
      <c r="I49" s="15">
        <f>1-R48/P48</f>
        <v/>
      </c>
      <c r="J49" s="15">
        <f>$B$13*I49</f>
        <v/>
      </c>
      <c r="K49" s="14">
        <f>H49/(1-J49)</f>
        <v/>
      </c>
      <c r="L49" s="14">
        <f>C49+K49</f>
        <v/>
      </c>
      <c r="M49" s="15">
        <f>$B$9</f>
        <v/>
      </c>
      <c r="N49" s="14">
        <f>(P48-L49)*(1+M49)*(1+$B$8)</f>
        <v/>
      </c>
      <c r="O49" s="14">
        <f>N49-P49</f>
        <v/>
      </c>
      <c r="P49" s="14">
        <f>N49/(1+$B$16)</f>
        <v/>
      </c>
      <c r="Q49" s="14">
        <f>L49+O49</f>
        <v/>
      </c>
      <c r="R49" s="14">
        <f>R48-K49*R48/P48</f>
        <v/>
      </c>
      <c r="S49" s="14">
        <f>P49/(1+$B$8)^7</f>
        <v/>
      </c>
    </row>
    <row r="50">
      <c r="A50" s="23" t="n">
        <v>8</v>
      </c>
      <c r="B50" s="14">
        <f>$B$7*(1+$B$8)^(8-1)</f>
        <v/>
      </c>
      <c r="C50" s="14">
        <f>$E$37</f>
        <v/>
      </c>
      <c r="D50" s="14">
        <f>($B$37+$C$37)*$B$14</f>
        <v/>
      </c>
      <c r="E50" s="14">
        <f>MAX(0,E49-$D$36)</f>
        <v/>
      </c>
      <c r="F50" s="14">
        <f>MAX(0,$D$37-E50)*$B$15</f>
        <v/>
      </c>
      <c r="G50" s="14">
        <f>C50-D50-F50</f>
        <v/>
      </c>
      <c r="H50" s="14">
        <f>B50-G50</f>
        <v/>
      </c>
      <c r="I50" s="15">
        <f>1-R49/P49</f>
        <v/>
      </c>
      <c r="J50" s="15">
        <f>$B$13*I50</f>
        <v/>
      </c>
      <c r="K50" s="14">
        <f>H50/(1-J50)</f>
        <v/>
      </c>
      <c r="L50" s="14">
        <f>C50+K50</f>
        <v/>
      </c>
      <c r="M50" s="15">
        <f>$B$9</f>
        <v/>
      </c>
      <c r="N50" s="14">
        <f>(P49-L50)*(1+M50)*(1+$B$8)</f>
        <v/>
      </c>
      <c r="O50" s="14">
        <f>N50-P50</f>
        <v/>
      </c>
      <c r="P50" s="14">
        <f>N50/(1+$B$16)</f>
        <v/>
      </c>
      <c r="Q50" s="14">
        <f>L50+O50</f>
        <v/>
      </c>
      <c r="R50" s="14">
        <f>R49-K50*R49/P49</f>
        <v/>
      </c>
      <c r="S50" s="14">
        <f>P50/(1+$B$8)^8</f>
        <v/>
      </c>
    </row>
    <row r="51">
      <c r="A51" s="23" t="n">
        <v>9</v>
      </c>
      <c r="B51" s="14">
        <f>$B$7*(1+$B$8)^(9-1)</f>
        <v/>
      </c>
      <c r="C51" s="14">
        <f>$E$38</f>
        <v/>
      </c>
      <c r="D51" s="14">
        <f>($B$38+$C$38)*$B$14</f>
        <v/>
      </c>
      <c r="E51" s="14">
        <f>MAX(0,E50-$D$37)</f>
        <v/>
      </c>
      <c r="F51" s="14">
        <f>MAX(0,$D$38-E51)*$B$15</f>
        <v/>
      </c>
      <c r="G51" s="14">
        <f>C51-D51-F51</f>
        <v/>
      </c>
      <c r="H51" s="14">
        <f>B51-G51</f>
        <v/>
      </c>
      <c r="I51" s="15">
        <f>1-R50/P50</f>
        <v/>
      </c>
      <c r="J51" s="15">
        <f>$B$13*I51</f>
        <v/>
      </c>
      <c r="K51" s="14">
        <f>H51/(1-J51)</f>
        <v/>
      </c>
      <c r="L51" s="14">
        <f>C51+K51</f>
        <v/>
      </c>
      <c r="M51" s="15">
        <f>$B$9</f>
        <v/>
      </c>
      <c r="N51" s="14">
        <f>(P50-L51)*(1+M51)*(1+$B$8)</f>
        <v/>
      </c>
      <c r="O51" s="14">
        <f>N51-P51</f>
        <v/>
      </c>
      <c r="P51" s="14">
        <f>N51/(1+$B$16)</f>
        <v/>
      </c>
      <c r="Q51" s="14">
        <f>L51+O51</f>
        <v/>
      </c>
      <c r="R51" s="14">
        <f>R50-K51*R50/P50</f>
        <v/>
      </c>
      <c r="S51" s="14">
        <f>P51/(1+$B$8)^9</f>
        <v/>
      </c>
    </row>
    <row r="52">
      <c r="A52" s="23" t="n">
        <v>10</v>
      </c>
      <c r="B52" s="14">
        <f>$B$7*(1+$B$8)^(10-1)</f>
        <v/>
      </c>
      <c r="C52" s="14">
        <f>$E$39</f>
        <v/>
      </c>
      <c r="D52" s="14">
        <f>($B$39+$C$39)*$B$14</f>
        <v/>
      </c>
      <c r="E52" s="14">
        <f>MAX(0,E51-$D$38)</f>
        <v/>
      </c>
      <c r="F52" s="14">
        <f>MAX(0,$D$39-E52)*$B$15</f>
        <v/>
      </c>
      <c r="G52" s="14">
        <f>C52-D52-F52</f>
        <v/>
      </c>
      <c r="H52" s="14">
        <f>B52-G52</f>
        <v/>
      </c>
      <c r="I52" s="15">
        <f>1-R51/P51</f>
        <v/>
      </c>
      <c r="J52" s="15">
        <f>$B$13*I52</f>
        <v/>
      </c>
      <c r="K52" s="14">
        <f>H52/(1-J52)</f>
        <v/>
      </c>
      <c r="L52" s="14">
        <f>C52+K52</f>
        <v/>
      </c>
      <c r="M52" s="15">
        <f>$B$9</f>
        <v/>
      </c>
      <c r="N52" s="14">
        <f>(P51-L52)*(1+M52)*(1+$B$8)</f>
        <v/>
      </c>
      <c r="O52" s="14">
        <f>N52-P52</f>
        <v/>
      </c>
      <c r="P52" s="14">
        <f>N52/(1+$B$16)</f>
        <v/>
      </c>
      <c r="Q52" s="14">
        <f>L52+O52</f>
        <v/>
      </c>
      <c r="R52" s="14">
        <f>R51-K52*R51/P51</f>
        <v/>
      </c>
      <c r="S52" s="14">
        <f>P52/(1+$B$8)^10</f>
        <v/>
      </c>
    </row>
    <row r="53" ht="15" customHeight="1">
      <c r="A53" s="7" t="inlineStr">
        <is>
          <t>Anno 1: escono 14.720 € di cedole lorde e 17.215 € di vendita di quote, piu' 1.862 € di bollo. Uscita totale 33.797 €, che su 920.000 € e' il 3,67%. La spesa e' 30.000 €, cioe' il 3,26%: la differenza sono solo imposte e bollo.</t>
        </is>
      </c>
    </row>
    <row r="54"/>
    <row r="55">
      <c r="A55" s="8" t="inlineStr">
        <is>
          <t>IL PONTE — scenario prudente (rendimento reale della cella B10)</t>
        </is>
      </c>
    </row>
    <row r="56" ht="44" customHeight="1">
      <c r="A56" s="16" t="inlineStr">
        <is>
          <t>Anno</t>
        </is>
      </c>
      <c r="B56" s="16" t="inlineStr">
        <is>
          <t>Spesa netta
dell'anno</t>
        </is>
      </c>
      <c r="C56" s="16" t="inlineStr">
        <is>
          <t>Cedole
lorde</t>
        </is>
      </c>
      <c r="D56" s="16" t="inlineStr">
        <is>
          <t>Imposta 12,5%
su BTP e premio</t>
        </is>
      </c>
      <c r="E56" s="16" t="inlineStr">
        <is>
          <t>Zainetto minus.
a inizio anno</t>
        </is>
      </c>
      <c r="F56" s="16" t="inlineStr">
        <is>
          <t>Imposta 26%
sui premi</t>
        </is>
      </c>
      <c r="G56" s="16" t="inlineStr">
        <is>
          <t>Cedole
nette</t>
        </is>
      </c>
      <c r="H56" s="16" t="inlineStr">
        <is>
          <t>Da coprire
vendendo</t>
        </is>
      </c>
      <c r="I56" s="16" t="inlineStr">
        <is>
          <t>Plusvalenza
latente</t>
        </is>
      </c>
      <c r="J56" s="16" t="inlineStr">
        <is>
          <t>Aliquota eff.
sulla vendita</t>
        </is>
      </c>
      <c r="K56" s="16" t="inlineStr">
        <is>
          <t>Vendita
lorda</t>
        </is>
      </c>
      <c r="L56" s="16" t="inlineStr">
        <is>
          <t>Uscita lorda
(cedole+vendita)</t>
        </is>
      </c>
      <c r="M56" s="16" t="inlineStr">
        <is>
          <t>Rendimento
reale</t>
        </is>
      </c>
      <c r="N56" s="16" t="inlineStr">
        <is>
          <t>Patrimonio
prima del bollo</t>
        </is>
      </c>
      <c r="O56" s="16" t="inlineStr">
        <is>
          <t>Imposta
di bollo</t>
        </is>
      </c>
      <c r="P56" s="16" t="inlineStr">
        <is>
          <t>Patrimonio
a fine anno</t>
        </is>
      </c>
      <c r="Q56" s="16" t="inlineStr">
        <is>
          <t>USCITA TOTALE
col bollo</t>
        </is>
      </c>
      <c r="R56" s="16" t="inlineStr">
        <is>
          <t>Costo fiscale
a fine anno</t>
        </is>
      </c>
      <c r="S56" s="16" t="inlineStr">
        <is>
          <t>Patrimonio in
euro di oggi</t>
        </is>
      </c>
    </row>
    <row r="57">
      <c r="A57" s="23" t="n">
        <v>1</v>
      </c>
      <c r="B57" s="14">
        <f>$B$7*(1+$B$8)^(1-1)</f>
        <v/>
      </c>
      <c r="C57" s="14">
        <f>$E$30</f>
        <v/>
      </c>
      <c r="D57" s="14">
        <f>($B$30+$C$30)*$B$14</f>
        <v/>
      </c>
      <c r="E57" s="14">
        <f>$B$26</f>
        <v/>
      </c>
      <c r="F57" s="14">
        <f>MAX(0,$D$30-E57)*$B$15</f>
        <v/>
      </c>
      <c r="G57" s="14">
        <f>C57-D57-F57</f>
        <v/>
      </c>
      <c r="H57" s="14">
        <f>B57-G57</f>
        <v/>
      </c>
      <c r="I57" s="15">
        <f>1-($B$6*(1-$B$12))/$B$6</f>
        <v/>
      </c>
      <c r="J57" s="15">
        <f>$B$13*I57</f>
        <v/>
      </c>
      <c r="K57" s="14">
        <f>H57/(1-J57)</f>
        <v/>
      </c>
      <c r="L57" s="14">
        <f>C57+K57</f>
        <v/>
      </c>
      <c r="M57" s="15">
        <f>$B$10</f>
        <v/>
      </c>
      <c r="N57" s="14">
        <f>($B$6-L57)*(1+M57)*(1+$B$8)</f>
        <v/>
      </c>
      <c r="O57" s="14">
        <f>N57-P57</f>
        <v/>
      </c>
      <c r="P57" s="14">
        <f>N57/(1+$B$16)</f>
        <v/>
      </c>
      <c r="Q57" s="14">
        <f>L57+O57</f>
        <v/>
      </c>
      <c r="R57" s="14">
        <f>($B$6*(1-$B$12))-K57*($B$6*(1-$B$12))/$B$6</f>
        <v/>
      </c>
      <c r="S57" s="14">
        <f>P57/(1+$B$8)^1</f>
        <v/>
      </c>
    </row>
    <row r="58">
      <c r="A58" s="23" t="n">
        <v>2</v>
      </c>
      <c r="B58" s="14">
        <f>$B$7*(1+$B$8)^(2-1)</f>
        <v/>
      </c>
      <c r="C58" s="14">
        <f>$E$31</f>
        <v/>
      </c>
      <c r="D58" s="14">
        <f>($B$31+$C$31)*$B$14</f>
        <v/>
      </c>
      <c r="E58" s="14">
        <f>MAX(0,E57-$D$30)</f>
        <v/>
      </c>
      <c r="F58" s="14">
        <f>MAX(0,$D$31-E58)*$B$15</f>
        <v/>
      </c>
      <c r="G58" s="14">
        <f>C58-D58-F58</f>
        <v/>
      </c>
      <c r="H58" s="14">
        <f>B58-G58</f>
        <v/>
      </c>
      <c r="I58" s="15">
        <f>1-R57/P57</f>
        <v/>
      </c>
      <c r="J58" s="15">
        <f>$B$13*I58</f>
        <v/>
      </c>
      <c r="K58" s="14">
        <f>H58/(1-J58)</f>
        <v/>
      </c>
      <c r="L58" s="14">
        <f>C58+K58</f>
        <v/>
      </c>
      <c r="M58" s="15">
        <f>$B$10</f>
        <v/>
      </c>
      <c r="N58" s="14">
        <f>(P57-L58)*(1+M58)*(1+$B$8)</f>
        <v/>
      </c>
      <c r="O58" s="14">
        <f>N58-P58</f>
        <v/>
      </c>
      <c r="P58" s="14">
        <f>N58/(1+$B$16)</f>
        <v/>
      </c>
      <c r="Q58" s="14">
        <f>L58+O58</f>
        <v/>
      </c>
      <c r="R58" s="14">
        <f>R57-K58*R57/P57</f>
        <v/>
      </c>
      <c r="S58" s="14">
        <f>P58/(1+$B$8)^2</f>
        <v/>
      </c>
    </row>
    <row r="59">
      <c r="A59" s="23" t="n">
        <v>3</v>
      </c>
      <c r="B59" s="14">
        <f>$B$7*(1+$B$8)^(3-1)</f>
        <v/>
      </c>
      <c r="C59" s="14">
        <f>$E$32</f>
        <v/>
      </c>
      <c r="D59" s="14">
        <f>($B$32+$C$32)*$B$14</f>
        <v/>
      </c>
      <c r="E59" s="14">
        <f>MAX(0,E58-$D$31)</f>
        <v/>
      </c>
      <c r="F59" s="14">
        <f>MAX(0,$D$32-E59)*$B$15</f>
        <v/>
      </c>
      <c r="G59" s="14">
        <f>C59-D59-F59</f>
        <v/>
      </c>
      <c r="H59" s="14">
        <f>B59-G59</f>
        <v/>
      </c>
      <c r="I59" s="15">
        <f>1-R58/P58</f>
        <v/>
      </c>
      <c r="J59" s="15">
        <f>$B$13*I59</f>
        <v/>
      </c>
      <c r="K59" s="14">
        <f>H59/(1-J59)</f>
        <v/>
      </c>
      <c r="L59" s="14">
        <f>C59+K59</f>
        <v/>
      </c>
      <c r="M59" s="15">
        <f>$B$10</f>
        <v/>
      </c>
      <c r="N59" s="14">
        <f>(P58-L59)*(1+M59)*(1+$B$8)</f>
        <v/>
      </c>
      <c r="O59" s="14">
        <f>N59-P59</f>
        <v/>
      </c>
      <c r="P59" s="14">
        <f>N59/(1+$B$16)</f>
        <v/>
      </c>
      <c r="Q59" s="14">
        <f>L59+O59</f>
        <v/>
      </c>
      <c r="R59" s="14">
        <f>R58-K59*R58/P58</f>
        <v/>
      </c>
      <c r="S59" s="14">
        <f>P59/(1+$B$8)^3</f>
        <v/>
      </c>
    </row>
    <row r="60">
      <c r="A60" s="23" t="n">
        <v>4</v>
      </c>
      <c r="B60" s="14">
        <f>$B$7*(1+$B$8)^(4-1)</f>
        <v/>
      </c>
      <c r="C60" s="14">
        <f>$E$33</f>
        <v/>
      </c>
      <c r="D60" s="14">
        <f>($B$33+$C$33)*$B$14</f>
        <v/>
      </c>
      <c r="E60" s="14">
        <f>MAX(0,E59-$D$32)</f>
        <v/>
      </c>
      <c r="F60" s="14">
        <f>MAX(0,$D$33-E60)*$B$15</f>
        <v/>
      </c>
      <c r="G60" s="14">
        <f>C60-D60-F60</f>
        <v/>
      </c>
      <c r="H60" s="14">
        <f>B60-G60</f>
        <v/>
      </c>
      <c r="I60" s="15">
        <f>1-R59/P59</f>
        <v/>
      </c>
      <c r="J60" s="15">
        <f>$B$13*I60</f>
        <v/>
      </c>
      <c r="K60" s="14">
        <f>H60/(1-J60)</f>
        <v/>
      </c>
      <c r="L60" s="14">
        <f>C60+K60</f>
        <v/>
      </c>
      <c r="M60" s="15">
        <f>$B$10</f>
        <v/>
      </c>
      <c r="N60" s="14">
        <f>(P59-L60)*(1+M60)*(1+$B$8)</f>
        <v/>
      </c>
      <c r="O60" s="14">
        <f>N60-P60</f>
        <v/>
      </c>
      <c r="P60" s="14">
        <f>N60/(1+$B$16)</f>
        <v/>
      </c>
      <c r="Q60" s="14">
        <f>L60+O60</f>
        <v/>
      </c>
      <c r="R60" s="14">
        <f>R59-K60*R59/P59</f>
        <v/>
      </c>
      <c r="S60" s="14">
        <f>P60/(1+$B$8)^4</f>
        <v/>
      </c>
    </row>
    <row r="61">
      <c r="A61" s="23" t="n">
        <v>5</v>
      </c>
      <c r="B61" s="14">
        <f>$B$7*(1+$B$8)^(5-1)</f>
        <v/>
      </c>
      <c r="C61" s="14">
        <f>$E$34</f>
        <v/>
      </c>
      <c r="D61" s="14">
        <f>($B$34+$C$34)*$B$14</f>
        <v/>
      </c>
      <c r="E61" s="14">
        <f>MAX(0,E60-$D$33)</f>
        <v/>
      </c>
      <c r="F61" s="14">
        <f>MAX(0,$D$34-E61)*$B$15</f>
        <v/>
      </c>
      <c r="G61" s="14">
        <f>C61-D61-F61</f>
        <v/>
      </c>
      <c r="H61" s="14">
        <f>B61-G61</f>
        <v/>
      </c>
      <c r="I61" s="15">
        <f>1-R60/P60</f>
        <v/>
      </c>
      <c r="J61" s="15">
        <f>$B$13*I61</f>
        <v/>
      </c>
      <c r="K61" s="14">
        <f>H61/(1-J61)</f>
        <v/>
      </c>
      <c r="L61" s="14">
        <f>C61+K61</f>
        <v/>
      </c>
      <c r="M61" s="15">
        <f>$B$10</f>
        <v/>
      </c>
      <c r="N61" s="14">
        <f>(P60-L61)*(1+M61)*(1+$B$8)</f>
        <v/>
      </c>
      <c r="O61" s="14">
        <f>N61-P61</f>
        <v/>
      </c>
      <c r="P61" s="14">
        <f>N61/(1+$B$16)</f>
        <v/>
      </c>
      <c r="Q61" s="14">
        <f>L61+O61</f>
        <v/>
      </c>
      <c r="R61" s="14">
        <f>R60-K61*R60/P60</f>
        <v/>
      </c>
      <c r="S61" s="14">
        <f>P61/(1+$B$8)^5</f>
        <v/>
      </c>
    </row>
    <row r="62">
      <c r="A62" s="23" t="n">
        <v>6</v>
      </c>
      <c r="B62" s="14">
        <f>$B$7*(1+$B$8)^(6-1)</f>
        <v/>
      </c>
      <c r="C62" s="14">
        <f>$E$35</f>
        <v/>
      </c>
      <c r="D62" s="14">
        <f>($B$35+$C$35)*$B$14</f>
        <v/>
      </c>
      <c r="E62" s="14">
        <f>MAX(0,E61-$D$34)</f>
        <v/>
      </c>
      <c r="F62" s="14">
        <f>MAX(0,$D$35-E62)*$B$15</f>
        <v/>
      </c>
      <c r="G62" s="14">
        <f>C62-D62-F62</f>
        <v/>
      </c>
      <c r="H62" s="14">
        <f>B62-G62</f>
        <v/>
      </c>
      <c r="I62" s="15">
        <f>1-R61/P61</f>
        <v/>
      </c>
      <c r="J62" s="15">
        <f>$B$13*I62</f>
        <v/>
      </c>
      <c r="K62" s="14">
        <f>H62/(1-J62)</f>
        <v/>
      </c>
      <c r="L62" s="14">
        <f>C62+K62</f>
        <v/>
      </c>
      <c r="M62" s="15">
        <f>$B$10</f>
        <v/>
      </c>
      <c r="N62" s="14">
        <f>(P61-L62)*(1+M62)*(1+$B$8)</f>
        <v/>
      </c>
      <c r="O62" s="14">
        <f>N62-P62</f>
        <v/>
      </c>
      <c r="P62" s="14">
        <f>N62/(1+$B$16)</f>
        <v/>
      </c>
      <c r="Q62" s="14">
        <f>L62+O62</f>
        <v/>
      </c>
      <c r="R62" s="14">
        <f>R61-K62*R61/P61</f>
        <v/>
      </c>
      <c r="S62" s="14">
        <f>P62/(1+$B$8)^6</f>
        <v/>
      </c>
    </row>
    <row r="63">
      <c r="A63" s="23" t="n">
        <v>7</v>
      </c>
      <c r="B63" s="14">
        <f>$B$7*(1+$B$8)^(7-1)</f>
        <v/>
      </c>
      <c r="C63" s="14">
        <f>$E$36</f>
        <v/>
      </c>
      <c r="D63" s="14">
        <f>($B$36+$C$36)*$B$14</f>
        <v/>
      </c>
      <c r="E63" s="14">
        <f>MAX(0,E62-$D$35)</f>
        <v/>
      </c>
      <c r="F63" s="14">
        <f>MAX(0,$D$36-E63)*$B$15</f>
        <v/>
      </c>
      <c r="G63" s="14">
        <f>C63-D63-F63</f>
        <v/>
      </c>
      <c r="H63" s="14">
        <f>B63-G63</f>
        <v/>
      </c>
      <c r="I63" s="15">
        <f>1-R62/P62</f>
        <v/>
      </c>
      <c r="J63" s="15">
        <f>$B$13*I63</f>
        <v/>
      </c>
      <c r="K63" s="14">
        <f>H63/(1-J63)</f>
        <v/>
      </c>
      <c r="L63" s="14">
        <f>C63+K63</f>
        <v/>
      </c>
      <c r="M63" s="15">
        <f>$B$10</f>
        <v/>
      </c>
      <c r="N63" s="14">
        <f>(P62-L63)*(1+M63)*(1+$B$8)</f>
        <v/>
      </c>
      <c r="O63" s="14">
        <f>N63-P63</f>
        <v/>
      </c>
      <c r="P63" s="14">
        <f>N63/(1+$B$16)</f>
        <v/>
      </c>
      <c r="Q63" s="14">
        <f>L63+O63</f>
        <v/>
      </c>
      <c r="R63" s="14">
        <f>R62-K63*R62/P62</f>
        <v/>
      </c>
      <c r="S63" s="14">
        <f>P63/(1+$B$8)^7</f>
        <v/>
      </c>
    </row>
    <row r="64">
      <c r="A64" s="23" t="n">
        <v>8</v>
      </c>
      <c r="B64" s="14">
        <f>$B$7*(1+$B$8)^(8-1)</f>
        <v/>
      </c>
      <c r="C64" s="14">
        <f>$E$37</f>
        <v/>
      </c>
      <c r="D64" s="14">
        <f>($B$37+$C$37)*$B$14</f>
        <v/>
      </c>
      <c r="E64" s="14">
        <f>MAX(0,E63-$D$36)</f>
        <v/>
      </c>
      <c r="F64" s="14">
        <f>MAX(0,$D$37-E64)*$B$15</f>
        <v/>
      </c>
      <c r="G64" s="14">
        <f>C64-D64-F64</f>
        <v/>
      </c>
      <c r="H64" s="14">
        <f>B64-G64</f>
        <v/>
      </c>
      <c r="I64" s="15">
        <f>1-R63/P63</f>
        <v/>
      </c>
      <c r="J64" s="15">
        <f>$B$13*I64</f>
        <v/>
      </c>
      <c r="K64" s="14">
        <f>H64/(1-J64)</f>
        <v/>
      </c>
      <c r="L64" s="14">
        <f>C64+K64</f>
        <v/>
      </c>
      <c r="M64" s="15">
        <f>$B$10</f>
        <v/>
      </c>
      <c r="N64" s="14">
        <f>(P63-L64)*(1+M64)*(1+$B$8)</f>
        <v/>
      </c>
      <c r="O64" s="14">
        <f>N64-P64</f>
        <v/>
      </c>
      <c r="P64" s="14">
        <f>N64/(1+$B$16)</f>
        <v/>
      </c>
      <c r="Q64" s="14">
        <f>L64+O64</f>
        <v/>
      </c>
      <c r="R64" s="14">
        <f>R63-K64*R63/P63</f>
        <v/>
      </c>
      <c r="S64" s="14">
        <f>P64/(1+$B$8)^8</f>
        <v/>
      </c>
    </row>
    <row r="65">
      <c r="A65" s="23" t="n">
        <v>9</v>
      </c>
      <c r="B65" s="14">
        <f>$B$7*(1+$B$8)^(9-1)</f>
        <v/>
      </c>
      <c r="C65" s="14">
        <f>$E$38</f>
        <v/>
      </c>
      <c r="D65" s="14">
        <f>($B$38+$C$38)*$B$14</f>
        <v/>
      </c>
      <c r="E65" s="14">
        <f>MAX(0,E64-$D$37)</f>
        <v/>
      </c>
      <c r="F65" s="14">
        <f>MAX(0,$D$38-E65)*$B$15</f>
        <v/>
      </c>
      <c r="G65" s="14">
        <f>C65-D65-F65</f>
        <v/>
      </c>
      <c r="H65" s="14">
        <f>B65-G65</f>
        <v/>
      </c>
      <c r="I65" s="15">
        <f>1-R64/P64</f>
        <v/>
      </c>
      <c r="J65" s="15">
        <f>$B$13*I65</f>
        <v/>
      </c>
      <c r="K65" s="14">
        <f>H65/(1-J65)</f>
        <v/>
      </c>
      <c r="L65" s="14">
        <f>C65+K65</f>
        <v/>
      </c>
      <c r="M65" s="15">
        <f>$B$10</f>
        <v/>
      </c>
      <c r="N65" s="14">
        <f>(P64-L65)*(1+M65)*(1+$B$8)</f>
        <v/>
      </c>
      <c r="O65" s="14">
        <f>N65-P65</f>
        <v/>
      </c>
      <c r="P65" s="14">
        <f>N65/(1+$B$16)</f>
        <v/>
      </c>
      <c r="Q65" s="14">
        <f>L65+O65</f>
        <v/>
      </c>
      <c r="R65" s="14">
        <f>R64-K65*R64/P64</f>
        <v/>
      </c>
      <c r="S65" s="14">
        <f>P65/(1+$B$8)^9</f>
        <v/>
      </c>
    </row>
    <row r="66">
      <c r="A66" s="23" t="n">
        <v>10</v>
      </c>
      <c r="B66" s="14">
        <f>$B$7*(1+$B$8)^(10-1)</f>
        <v/>
      </c>
      <c r="C66" s="14">
        <f>$E$39</f>
        <v/>
      </c>
      <c r="D66" s="14">
        <f>($B$39+$C$39)*$B$14</f>
        <v/>
      </c>
      <c r="E66" s="14">
        <f>MAX(0,E65-$D$38)</f>
        <v/>
      </c>
      <c r="F66" s="14">
        <f>MAX(0,$D$39-E66)*$B$15</f>
        <v/>
      </c>
      <c r="G66" s="14">
        <f>C66-D66-F66</f>
        <v/>
      </c>
      <c r="H66" s="14">
        <f>B66-G66</f>
        <v/>
      </c>
      <c r="I66" s="15">
        <f>1-R65/P65</f>
        <v/>
      </c>
      <c r="J66" s="15">
        <f>$B$13*I66</f>
        <v/>
      </c>
      <c r="K66" s="14">
        <f>H66/(1-J66)</f>
        <v/>
      </c>
      <c r="L66" s="14">
        <f>C66+K66</f>
        <v/>
      </c>
      <c r="M66" s="15">
        <f>$B$10</f>
        <v/>
      </c>
      <c r="N66" s="14">
        <f>(P65-L66)*(1+M66)*(1+$B$8)</f>
        <v/>
      </c>
      <c r="O66" s="14">
        <f>N66-P66</f>
        <v/>
      </c>
      <c r="P66" s="14">
        <f>N66/(1+$B$16)</f>
        <v/>
      </c>
      <c r="Q66" s="14">
        <f>L66+O66</f>
        <v/>
      </c>
      <c r="R66" s="14">
        <f>R65-K66*R65/P65</f>
        <v/>
      </c>
      <c r="S66" s="14">
        <f>P66/(1+$B$8)^10</f>
        <v/>
      </c>
    </row>
    <row r="67" ht="15" customHeight="1">
      <c r="A67" s="7" t="inlineStr">
        <is>
          <t>Stesso motore, stesso schedario cedolare: cambia solo il rendimento reale del portafoglio.</t>
        </is>
      </c>
    </row>
    <row r="68"/>
    <row r="69">
      <c r="A69" s="8" t="inlineStr">
        <is>
          <t>CAPITALE A 67 ANNI — i tre scenari, in euro di oggi</t>
        </is>
      </c>
    </row>
    <row r="70" ht="30" customHeight="1">
      <c r="A70" s="9" t="inlineStr">
        <is>
          <t>Scenario centrale (rendimento reale 3%)</t>
        </is>
      </c>
      <c r="B70" s="26">
        <f>$S$52</f>
        <v/>
      </c>
      <c r="C70" s="27" t="n"/>
      <c r="D70" s="28" t="n"/>
    </row>
    <row r="71" ht="30" customHeight="1">
      <c r="A71" s="9" t="inlineStr">
        <is>
          <t>Scenario prudente (rendimento reale 1%)</t>
        </is>
      </c>
      <c r="B71" s="26">
        <f>$S$66</f>
        <v/>
      </c>
      <c r="C71" s="27" t="n"/>
      <c r="D71" s="28" t="n"/>
    </row>
    <row r="72" ht="30" customHeight="1">
      <c r="A72" s="9" t="inlineStr">
        <is>
          <t>Crolli all'inizio (stessa media, ordine sfavorevole)</t>
        </is>
      </c>
      <c r="B72" s="26">
        <f>'5 - Sequenza'!$S$31</f>
        <v/>
      </c>
      <c r="C72" s="27" t="n"/>
      <c r="D72" s="28" t="n"/>
    </row>
    <row r="73" ht="30" customHeight="1">
      <c r="A73" s="7" t="inlineStr">
        <is>
          <t>Il quarto scenario — gli stessi rendimenti in ordine favorevole — sta nel foglio 5, insieme al costo dell'ordine. La banda dichiarata e' 1% / 3% piu' i due ordinamenti: non esiste uno scenario al 5%.</t>
        </is>
      </c>
    </row>
    <row r="74"/>
    <row r="75">
      <c r="A75" s="8" t="inlineStr">
        <is>
          <t>LA CODA — quanto capitale serve a 67 anni per 25 anni di prelievo</t>
        </is>
      </c>
    </row>
    <row r="76" ht="45" customHeight="1">
      <c r="A76" s="7" t="inlineStr">
        <is>
          <t>Il conto e' lordizzato: il capitale necessario non e' il valore attuale del prelievo NETTO, perche' per avere 5.000 € netti in mano devi smobilizzare di piu' e pagare l'imposta sulla quota di plusvalenza, e ogni anno paghi il bollo. La lordizzazione costa fra l'11% e il 17%.</t>
        </is>
      </c>
    </row>
    <row r="77" ht="60" customHeight="1">
      <c r="A77" s="7" t="inlineStr">
        <is>
          <t>Perche' basta una tabella e non serve una ricerca del capitale: vendendo a costo medio ponderato il rapporto fra costo fiscale e patrimonio NON cambia con la vendita (base' = phi x (P - vendita)), quindi la quota di plusvalenza di ogni anno e' nota in anticipo e non dipende da quanto capitale hai. Il capitale necessario e' la semplice somma attualizzata dei prelievi lordi.</t>
        </is>
      </c>
    </row>
    <row r="78" ht="46" customHeight="1">
      <c r="A78" s="16" t="inlineStr">
        <is>
          <t>Anno</t>
        </is>
      </c>
      <c r="B78" s="16" t="inlineStr">
        <is>
          <t>Costo fiscale / patrimonio, r=1%</t>
        </is>
      </c>
      <c r="C78" s="16" t="inlineStr">
        <is>
          <t>Aliquota effettiva, r=1%</t>
        </is>
      </c>
      <c r="D78" s="16" t="inlineStr">
        <is>
          <t>Capitale per 1 € di buco, r=1%</t>
        </is>
      </c>
      <c r="E78" s="16" t="inlineStr">
        <is>
          <t>Costo fiscale / patrimonio, r=3%</t>
        </is>
      </c>
      <c r="F78" s="16" t="inlineStr">
        <is>
          <t>Aliquota effettiva, r=3%</t>
        </is>
      </c>
      <c r="G78" s="16" t="inlineStr">
        <is>
          <t>Capitale per 1 € di buco, r=3%</t>
        </is>
      </c>
    </row>
    <row r="79">
      <c r="A79" s="23" t="n">
        <v>1</v>
      </c>
      <c r="B79" s="15">
        <f>(1-$B$12)/((1+$B$10)/(1+$B$16))^(1-1)</f>
        <v/>
      </c>
      <c r="C79" s="15">
        <f>$B$13*(1-$B79)</f>
        <v/>
      </c>
      <c r="D79" s="29">
        <f>(1/(1-$C79))/((1+$B$10)/(1+$B$16))^(1-1)</f>
        <v/>
      </c>
      <c r="E79" s="15">
        <f>(1-$B$12)/((1+$B$9)/(1+$B$16))^(1-1)</f>
        <v/>
      </c>
      <c r="F79" s="15">
        <f>$B$13*(1-$E79)</f>
        <v/>
      </c>
      <c r="G79" s="29">
        <f>(1/(1-$F79))/((1+$B$9)/(1+$B$16))^(1-1)</f>
        <v/>
      </c>
    </row>
    <row r="80">
      <c r="A80" s="23" t="n">
        <v>2</v>
      </c>
      <c r="B80" s="15">
        <f>(1-$B$12)/((1+$B$10)/(1+$B$16))^(2-1)</f>
        <v/>
      </c>
      <c r="C80" s="15">
        <f>$B$13*(1-$B80)</f>
        <v/>
      </c>
      <c r="D80" s="29">
        <f>(1/(1-$C80))/((1+$B$10)/(1+$B$16))^(2-1)</f>
        <v/>
      </c>
      <c r="E80" s="15">
        <f>(1-$B$12)/((1+$B$9)/(1+$B$16))^(2-1)</f>
        <v/>
      </c>
      <c r="F80" s="15">
        <f>$B$13*(1-$E80)</f>
        <v/>
      </c>
      <c r="G80" s="29">
        <f>(1/(1-$F80))/((1+$B$9)/(1+$B$16))^(2-1)</f>
        <v/>
      </c>
    </row>
    <row r="81">
      <c r="A81" s="23" t="n">
        <v>3</v>
      </c>
      <c r="B81" s="15">
        <f>(1-$B$12)/((1+$B$10)/(1+$B$16))^(3-1)</f>
        <v/>
      </c>
      <c r="C81" s="15">
        <f>$B$13*(1-$B81)</f>
        <v/>
      </c>
      <c r="D81" s="29">
        <f>(1/(1-$C81))/((1+$B$10)/(1+$B$16))^(3-1)</f>
        <v/>
      </c>
      <c r="E81" s="15">
        <f>(1-$B$12)/((1+$B$9)/(1+$B$16))^(3-1)</f>
        <v/>
      </c>
      <c r="F81" s="15">
        <f>$B$13*(1-$E81)</f>
        <v/>
      </c>
      <c r="G81" s="29">
        <f>(1/(1-$F81))/((1+$B$9)/(1+$B$16))^(3-1)</f>
        <v/>
      </c>
    </row>
    <row r="82">
      <c r="A82" s="23" t="n">
        <v>4</v>
      </c>
      <c r="B82" s="15">
        <f>(1-$B$12)/((1+$B$10)/(1+$B$16))^(4-1)</f>
        <v/>
      </c>
      <c r="C82" s="15">
        <f>$B$13*(1-$B82)</f>
        <v/>
      </c>
      <c r="D82" s="29">
        <f>(1/(1-$C82))/((1+$B$10)/(1+$B$16))^(4-1)</f>
        <v/>
      </c>
      <c r="E82" s="15">
        <f>(1-$B$12)/((1+$B$9)/(1+$B$16))^(4-1)</f>
        <v/>
      </c>
      <c r="F82" s="15">
        <f>$B$13*(1-$E82)</f>
        <v/>
      </c>
      <c r="G82" s="29">
        <f>(1/(1-$F82))/((1+$B$9)/(1+$B$16))^(4-1)</f>
        <v/>
      </c>
    </row>
    <row r="83">
      <c r="A83" s="23" t="n">
        <v>5</v>
      </c>
      <c r="B83" s="15">
        <f>(1-$B$12)/((1+$B$10)/(1+$B$16))^(5-1)</f>
        <v/>
      </c>
      <c r="C83" s="15">
        <f>$B$13*(1-$B83)</f>
        <v/>
      </c>
      <c r="D83" s="29">
        <f>(1/(1-$C83))/((1+$B$10)/(1+$B$16))^(5-1)</f>
        <v/>
      </c>
      <c r="E83" s="15">
        <f>(1-$B$12)/((1+$B$9)/(1+$B$16))^(5-1)</f>
        <v/>
      </c>
      <c r="F83" s="15">
        <f>$B$13*(1-$E83)</f>
        <v/>
      </c>
      <c r="G83" s="29">
        <f>(1/(1-$F83))/((1+$B$9)/(1+$B$16))^(5-1)</f>
        <v/>
      </c>
    </row>
    <row r="84">
      <c r="A84" s="23" t="n">
        <v>6</v>
      </c>
      <c r="B84" s="15">
        <f>(1-$B$12)/((1+$B$10)/(1+$B$16))^(6-1)</f>
        <v/>
      </c>
      <c r="C84" s="15">
        <f>$B$13*(1-$B84)</f>
        <v/>
      </c>
      <c r="D84" s="29">
        <f>(1/(1-$C84))/((1+$B$10)/(1+$B$16))^(6-1)</f>
        <v/>
      </c>
      <c r="E84" s="15">
        <f>(1-$B$12)/((1+$B$9)/(1+$B$16))^(6-1)</f>
        <v/>
      </c>
      <c r="F84" s="15">
        <f>$B$13*(1-$E84)</f>
        <v/>
      </c>
      <c r="G84" s="29">
        <f>(1/(1-$F84))/((1+$B$9)/(1+$B$16))^(6-1)</f>
        <v/>
      </c>
    </row>
    <row r="85">
      <c r="A85" s="23" t="n">
        <v>7</v>
      </c>
      <c r="B85" s="15">
        <f>(1-$B$12)/((1+$B$10)/(1+$B$16))^(7-1)</f>
        <v/>
      </c>
      <c r="C85" s="15">
        <f>$B$13*(1-$B85)</f>
        <v/>
      </c>
      <c r="D85" s="29">
        <f>(1/(1-$C85))/((1+$B$10)/(1+$B$16))^(7-1)</f>
        <v/>
      </c>
      <c r="E85" s="15">
        <f>(1-$B$12)/((1+$B$9)/(1+$B$16))^(7-1)</f>
        <v/>
      </c>
      <c r="F85" s="15">
        <f>$B$13*(1-$E85)</f>
        <v/>
      </c>
      <c r="G85" s="29">
        <f>(1/(1-$F85))/((1+$B$9)/(1+$B$16))^(7-1)</f>
        <v/>
      </c>
    </row>
    <row r="86">
      <c r="A86" s="23" t="n">
        <v>8</v>
      </c>
      <c r="B86" s="15">
        <f>(1-$B$12)/((1+$B$10)/(1+$B$16))^(8-1)</f>
        <v/>
      </c>
      <c r="C86" s="15">
        <f>$B$13*(1-$B86)</f>
        <v/>
      </c>
      <c r="D86" s="29">
        <f>(1/(1-$C86))/((1+$B$10)/(1+$B$16))^(8-1)</f>
        <v/>
      </c>
      <c r="E86" s="15">
        <f>(1-$B$12)/((1+$B$9)/(1+$B$16))^(8-1)</f>
        <v/>
      </c>
      <c r="F86" s="15">
        <f>$B$13*(1-$E86)</f>
        <v/>
      </c>
      <c r="G86" s="29">
        <f>(1/(1-$F86))/((1+$B$9)/(1+$B$16))^(8-1)</f>
        <v/>
      </c>
    </row>
    <row r="87">
      <c r="A87" s="23" t="n">
        <v>9</v>
      </c>
      <c r="B87" s="15">
        <f>(1-$B$12)/((1+$B$10)/(1+$B$16))^(9-1)</f>
        <v/>
      </c>
      <c r="C87" s="15">
        <f>$B$13*(1-$B87)</f>
        <v/>
      </c>
      <c r="D87" s="29">
        <f>(1/(1-$C87))/((1+$B$10)/(1+$B$16))^(9-1)</f>
        <v/>
      </c>
      <c r="E87" s="15">
        <f>(1-$B$12)/((1+$B$9)/(1+$B$16))^(9-1)</f>
        <v/>
      </c>
      <c r="F87" s="15">
        <f>$B$13*(1-$E87)</f>
        <v/>
      </c>
      <c r="G87" s="29">
        <f>(1/(1-$F87))/((1+$B$9)/(1+$B$16))^(9-1)</f>
        <v/>
      </c>
    </row>
    <row r="88">
      <c r="A88" s="23" t="n">
        <v>10</v>
      </c>
      <c r="B88" s="15">
        <f>(1-$B$12)/((1+$B$10)/(1+$B$16))^(10-1)</f>
        <v/>
      </c>
      <c r="C88" s="15">
        <f>$B$13*(1-$B88)</f>
        <v/>
      </c>
      <c r="D88" s="29">
        <f>(1/(1-$C88))/((1+$B$10)/(1+$B$16))^(10-1)</f>
        <v/>
      </c>
      <c r="E88" s="15">
        <f>(1-$B$12)/((1+$B$9)/(1+$B$16))^(10-1)</f>
        <v/>
      </c>
      <c r="F88" s="15">
        <f>$B$13*(1-$E88)</f>
        <v/>
      </c>
      <c r="G88" s="29">
        <f>(1/(1-$F88))/((1+$B$9)/(1+$B$16))^(10-1)</f>
        <v/>
      </c>
    </row>
    <row r="89">
      <c r="A89" s="23" t="n">
        <v>11</v>
      </c>
      <c r="B89" s="15">
        <f>(1-$B$12)/((1+$B$10)/(1+$B$16))^(11-1)</f>
        <v/>
      </c>
      <c r="C89" s="15">
        <f>$B$13*(1-$B89)</f>
        <v/>
      </c>
      <c r="D89" s="29">
        <f>(1/(1-$C89))/((1+$B$10)/(1+$B$16))^(11-1)</f>
        <v/>
      </c>
      <c r="E89" s="15">
        <f>(1-$B$12)/((1+$B$9)/(1+$B$16))^(11-1)</f>
        <v/>
      </c>
      <c r="F89" s="15">
        <f>$B$13*(1-$E89)</f>
        <v/>
      </c>
      <c r="G89" s="29">
        <f>(1/(1-$F89))/((1+$B$9)/(1+$B$16))^(11-1)</f>
        <v/>
      </c>
    </row>
    <row r="90">
      <c r="A90" s="23" t="n">
        <v>12</v>
      </c>
      <c r="B90" s="15">
        <f>(1-$B$12)/((1+$B$10)/(1+$B$16))^(12-1)</f>
        <v/>
      </c>
      <c r="C90" s="15">
        <f>$B$13*(1-$B90)</f>
        <v/>
      </c>
      <c r="D90" s="29">
        <f>(1/(1-$C90))/((1+$B$10)/(1+$B$16))^(12-1)</f>
        <v/>
      </c>
      <c r="E90" s="15">
        <f>(1-$B$12)/((1+$B$9)/(1+$B$16))^(12-1)</f>
        <v/>
      </c>
      <c r="F90" s="15">
        <f>$B$13*(1-$E90)</f>
        <v/>
      </c>
      <c r="G90" s="29">
        <f>(1/(1-$F90))/((1+$B$9)/(1+$B$16))^(12-1)</f>
        <v/>
      </c>
    </row>
    <row r="91">
      <c r="A91" s="23" t="n">
        <v>13</v>
      </c>
      <c r="B91" s="15">
        <f>(1-$B$12)/((1+$B$10)/(1+$B$16))^(13-1)</f>
        <v/>
      </c>
      <c r="C91" s="15">
        <f>$B$13*(1-$B91)</f>
        <v/>
      </c>
      <c r="D91" s="29">
        <f>(1/(1-$C91))/((1+$B$10)/(1+$B$16))^(13-1)</f>
        <v/>
      </c>
      <c r="E91" s="15">
        <f>(1-$B$12)/((1+$B$9)/(1+$B$16))^(13-1)</f>
        <v/>
      </c>
      <c r="F91" s="15">
        <f>$B$13*(1-$E91)</f>
        <v/>
      </c>
      <c r="G91" s="29">
        <f>(1/(1-$F91))/((1+$B$9)/(1+$B$16))^(13-1)</f>
        <v/>
      </c>
    </row>
    <row r="92">
      <c r="A92" s="23" t="n">
        <v>14</v>
      </c>
      <c r="B92" s="15">
        <f>(1-$B$12)/((1+$B$10)/(1+$B$16))^(14-1)</f>
        <v/>
      </c>
      <c r="C92" s="15">
        <f>$B$13*(1-$B92)</f>
        <v/>
      </c>
      <c r="D92" s="29">
        <f>(1/(1-$C92))/((1+$B$10)/(1+$B$16))^(14-1)</f>
        <v/>
      </c>
      <c r="E92" s="15">
        <f>(1-$B$12)/((1+$B$9)/(1+$B$16))^(14-1)</f>
        <v/>
      </c>
      <c r="F92" s="15">
        <f>$B$13*(1-$E92)</f>
        <v/>
      </c>
      <c r="G92" s="29">
        <f>(1/(1-$F92))/((1+$B$9)/(1+$B$16))^(14-1)</f>
        <v/>
      </c>
    </row>
    <row r="93">
      <c r="A93" s="23" t="n">
        <v>15</v>
      </c>
      <c r="B93" s="15">
        <f>(1-$B$12)/((1+$B$10)/(1+$B$16))^(15-1)</f>
        <v/>
      </c>
      <c r="C93" s="15">
        <f>$B$13*(1-$B93)</f>
        <v/>
      </c>
      <c r="D93" s="29">
        <f>(1/(1-$C93))/((1+$B$10)/(1+$B$16))^(15-1)</f>
        <v/>
      </c>
      <c r="E93" s="15">
        <f>(1-$B$12)/((1+$B$9)/(1+$B$16))^(15-1)</f>
        <v/>
      </c>
      <c r="F93" s="15">
        <f>$B$13*(1-$E93)</f>
        <v/>
      </c>
      <c r="G93" s="29">
        <f>(1/(1-$F93))/((1+$B$9)/(1+$B$16))^(15-1)</f>
        <v/>
      </c>
    </row>
    <row r="94">
      <c r="A94" s="23" t="n">
        <v>16</v>
      </c>
      <c r="B94" s="15">
        <f>(1-$B$12)/((1+$B$10)/(1+$B$16))^(16-1)</f>
        <v/>
      </c>
      <c r="C94" s="15">
        <f>$B$13*(1-$B94)</f>
        <v/>
      </c>
      <c r="D94" s="29">
        <f>(1/(1-$C94))/((1+$B$10)/(1+$B$16))^(16-1)</f>
        <v/>
      </c>
      <c r="E94" s="15">
        <f>(1-$B$12)/((1+$B$9)/(1+$B$16))^(16-1)</f>
        <v/>
      </c>
      <c r="F94" s="15">
        <f>$B$13*(1-$E94)</f>
        <v/>
      </c>
      <c r="G94" s="29">
        <f>(1/(1-$F94))/((1+$B$9)/(1+$B$16))^(16-1)</f>
        <v/>
      </c>
    </row>
    <row r="95">
      <c r="A95" s="23" t="n">
        <v>17</v>
      </c>
      <c r="B95" s="15">
        <f>(1-$B$12)/((1+$B$10)/(1+$B$16))^(17-1)</f>
        <v/>
      </c>
      <c r="C95" s="15">
        <f>$B$13*(1-$B95)</f>
        <v/>
      </c>
      <c r="D95" s="29">
        <f>(1/(1-$C95))/((1+$B$10)/(1+$B$16))^(17-1)</f>
        <v/>
      </c>
      <c r="E95" s="15">
        <f>(1-$B$12)/((1+$B$9)/(1+$B$16))^(17-1)</f>
        <v/>
      </c>
      <c r="F95" s="15">
        <f>$B$13*(1-$E95)</f>
        <v/>
      </c>
      <c r="G95" s="29">
        <f>(1/(1-$F95))/((1+$B$9)/(1+$B$16))^(17-1)</f>
        <v/>
      </c>
    </row>
    <row r="96">
      <c r="A96" s="23" t="n">
        <v>18</v>
      </c>
      <c r="B96" s="15">
        <f>(1-$B$12)/((1+$B$10)/(1+$B$16))^(18-1)</f>
        <v/>
      </c>
      <c r="C96" s="15">
        <f>$B$13*(1-$B96)</f>
        <v/>
      </c>
      <c r="D96" s="29">
        <f>(1/(1-$C96))/((1+$B$10)/(1+$B$16))^(18-1)</f>
        <v/>
      </c>
      <c r="E96" s="15">
        <f>(1-$B$12)/((1+$B$9)/(1+$B$16))^(18-1)</f>
        <v/>
      </c>
      <c r="F96" s="15">
        <f>$B$13*(1-$E96)</f>
        <v/>
      </c>
      <c r="G96" s="29">
        <f>(1/(1-$F96))/((1+$B$9)/(1+$B$16))^(18-1)</f>
        <v/>
      </c>
    </row>
    <row r="97">
      <c r="A97" s="23" t="n">
        <v>19</v>
      </c>
      <c r="B97" s="15">
        <f>(1-$B$12)/((1+$B$10)/(1+$B$16))^(19-1)</f>
        <v/>
      </c>
      <c r="C97" s="15">
        <f>$B$13*(1-$B97)</f>
        <v/>
      </c>
      <c r="D97" s="29">
        <f>(1/(1-$C97))/((1+$B$10)/(1+$B$16))^(19-1)</f>
        <v/>
      </c>
      <c r="E97" s="15">
        <f>(1-$B$12)/((1+$B$9)/(1+$B$16))^(19-1)</f>
        <v/>
      </c>
      <c r="F97" s="15">
        <f>$B$13*(1-$E97)</f>
        <v/>
      </c>
      <c r="G97" s="29">
        <f>(1/(1-$F97))/((1+$B$9)/(1+$B$16))^(19-1)</f>
        <v/>
      </c>
    </row>
    <row r="98">
      <c r="A98" s="23" t="n">
        <v>20</v>
      </c>
      <c r="B98" s="15">
        <f>(1-$B$12)/((1+$B$10)/(1+$B$16))^(20-1)</f>
        <v/>
      </c>
      <c r="C98" s="15">
        <f>$B$13*(1-$B98)</f>
        <v/>
      </c>
      <c r="D98" s="29">
        <f>(1/(1-$C98))/((1+$B$10)/(1+$B$16))^(20-1)</f>
        <v/>
      </c>
      <c r="E98" s="15">
        <f>(1-$B$12)/((1+$B$9)/(1+$B$16))^(20-1)</f>
        <v/>
      </c>
      <c r="F98" s="15">
        <f>$B$13*(1-$E98)</f>
        <v/>
      </c>
      <c r="G98" s="29">
        <f>(1/(1-$F98))/((1+$B$9)/(1+$B$16))^(20-1)</f>
        <v/>
      </c>
    </row>
    <row r="99">
      <c r="A99" s="23" t="n">
        <v>21</v>
      </c>
      <c r="B99" s="15">
        <f>(1-$B$12)/((1+$B$10)/(1+$B$16))^(21-1)</f>
        <v/>
      </c>
      <c r="C99" s="15">
        <f>$B$13*(1-$B99)</f>
        <v/>
      </c>
      <c r="D99" s="29">
        <f>(1/(1-$C99))/((1+$B$10)/(1+$B$16))^(21-1)</f>
        <v/>
      </c>
      <c r="E99" s="15">
        <f>(1-$B$12)/((1+$B$9)/(1+$B$16))^(21-1)</f>
        <v/>
      </c>
      <c r="F99" s="15">
        <f>$B$13*(1-$E99)</f>
        <v/>
      </c>
      <c r="G99" s="29">
        <f>(1/(1-$F99))/((1+$B$9)/(1+$B$16))^(21-1)</f>
        <v/>
      </c>
    </row>
    <row r="100">
      <c r="A100" s="23" t="n">
        <v>22</v>
      </c>
      <c r="B100" s="15">
        <f>(1-$B$12)/((1+$B$10)/(1+$B$16))^(22-1)</f>
        <v/>
      </c>
      <c r="C100" s="15">
        <f>$B$13*(1-$B100)</f>
        <v/>
      </c>
      <c r="D100" s="29">
        <f>(1/(1-$C100))/((1+$B$10)/(1+$B$16))^(22-1)</f>
        <v/>
      </c>
      <c r="E100" s="15">
        <f>(1-$B$12)/((1+$B$9)/(1+$B$16))^(22-1)</f>
        <v/>
      </c>
      <c r="F100" s="15">
        <f>$B$13*(1-$E100)</f>
        <v/>
      </c>
      <c r="G100" s="29">
        <f>(1/(1-$F100))/((1+$B$9)/(1+$B$16))^(22-1)</f>
        <v/>
      </c>
    </row>
    <row r="101">
      <c r="A101" s="23" t="n">
        <v>23</v>
      </c>
      <c r="B101" s="15">
        <f>(1-$B$12)/((1+$B$10)/(1+$B$16))^(23-1)</f>
        <v/>
      </c>
      <c r="C101" s="15">
        <f>$B$13*(1-$B101)</f>
        <v/>
      </c>
      <c r="D101" s="29">
        <f>(1/(1-$C101))/((1+$B$10)/(1+$B$16))^(23-1)</f>
        <v/>
      </c>
      <c r="E101" s="15">
        <f>(1-$B$12)/((1+$B$9)/(1+$B$16))^(23-1)</f>
        <v/>
      </c>
      <c r="F101" s="15">
        <f>$B$13*(1-$E101)</f>
        <v/>
      </c>
      <c r="G101" s="29">
        <f>(1/(1-$F101))/((1+$B$9)/(1+$B$16))^(23-1)</f>
        <v/>
      </c>
    </row>
    <row r="102">
      <c r="A102" s="23" t="n">
        <v>24</v>
      </c>
      <c r="B102" s="15">
        <f>(1-$B$12)/((1+$B$10)/(1+$B$16))^(24-1)</f>
        <v/>
      </c>
      <c r="C102" s="15">
        <f>$B$13*(1-$B102)</f>
        <v/>
      </c>
      <c r="D102" s="29">
        <f>(1/(1-$C102))/((1+$B$10)/(1+$B$16))^(24-1)</f>
        <v/>
      </c>
      <c r="E102" s="15">
        <f>(1-$B$12)/((1+$B$9)/(1+$B$16))^(24-1)</f>
        <v/>
      </c>
      <c r="F102" s="15">
        <f>$B$13*(1-$E102)</f>
        <v/>
      </c>
      <c r="G102" s="29">
        <f>(1/(1-$F102))/((1+$B$9)/(1+$B$16))^(24-1)</f>
        <v/>
      </c>
    </row>
    <row r="103">
      <c r="A103" s="23" t="n">
        <v>25</v>
      </c>
      <c r="B103" s="15">
        <f>(1-$B$12)/((1+$B$10)/(1+$B$16))^(25-1)</f>
        <v/>
      </c>
      <c r="C103" s="15">
        <f>$B$13*(1-$B103)</f>
        <v/>
      </c>
      <c r="D103" s="29">
        <f>(1/(1-$C103))/((1+$B$10)/(1+$B$16))^(25-1)</f>
        <v/>
      </c>
      <c r="E103" s="15">
        <f>(1-$B$12)/((1+$B$9)/(1+$B$16))^(25-1)</f>
        <v/>
      </c>
      <c r="F103" s="15">
        <f>$B$13*(1-$E103)</f>
        <v/>
      </c>
      <c r="G103" s="29">
        <f>(1/(1-$F103))/((1+$B$9)/(1+$B$16))^(25-1)</f>
        <v/>
      </c>
    </row>
    <row r="104">
      <c r="A104" s="9" t="inlineStr">
        <is>
          <t>CAPITALE NECESSARIO PER 1 € DI BUCO NETTO ANNUO</t>
        </is>
      </c>
      <c r="D104" s="29">
        <f>SUM($D$79:$D$103)</f>
        <v/>
      </c>
      <c r="G104" s="29">
        <f>SUM($G$79:$G$103)</f>
        <v/>
      </c>
    </row>
    <row r="105"/>
    <row r="106">
      <c r="A106" s="8" t="inlineStr">
        <is>
          <t>QUANTO LE SERVE A 67 ANNI — la soglia, lordizzata</t>
        </is>
      </c>
    </row>
    <row r="107" ht="34" customHeight="1">
      <c r="A107" s="16" t="inlineStr">
        <is>
          <t>Buco netto annuo da coprire</t>
        </is>
      </c>
      <c r="B107" s="16" t="inlineStr">
        <is>
          <t>Capitale necessario, r reale 1%</t>
        </is>
      </c>
      <c r="C107" s="16" t="inlineStr">
        <is>
          <t>Capitale necessario, r reale 3%</t>
        </is>
      </c>
    </row>
    <row r="108">
      <c r="A108" s="10" t="n">
        <v>5000</v>
      </c>
      <c r="B108" s="14">
        <f>$A108*$D$104</f>
        <v/>
      </c>
      <c r="C108" s="14">
        <f>$A108*$G$104</f>
        <v/>
      </c>
    </row>
    <row r="109">
      <c r="A109" s="10" t="n">
        <v>10000</v>
      </c>
      <c r="B109" s="14">
        <f>$A109*$D$104</f>
        <v/>
      </c>
      <c r="C109" s="14">
        <f>$A109*$G$104</f>
        <v/>
      </c>
    </row>
    <row r="110">
      <c r="A110" s="10" t="n">
        <v>15000</v>
      </c>
      <c r="B110" s="14">
        <f>$A110*$D$104</f>
        <v/>
      </c>
      <c r="C110" s="14">
        <f>$A110*$G$104</f>
        <v/>
      </c>
    </row>
    <row r="111">
      <c r="A111" s="10" t="n">
        <v>20000</v>
      </c>
      <c r="B111" s="14">
        <f>$A111*$D$104</f>
        <v/>
      </c>
      <c r="C111" s="14">
        <f>$A111*$G$104</f>
        <v/>
      </c>
    </row>
    <row r="112" ht="30" customHeight="1">
      <c r="A112" s="7" t="inlineStr">
        <is>
          <t>Il buco e' un PARAMETRO dichiarato, non un dato: quanto manca ogni anno fra la pensione che prenderai e la spesa che ti serve. La pensione non si calcola qui.</t>
        </is>
      </c>
    </row>
    <row r="113"/>
    <row r="114">
      <c r="A114" s="8" t="inlineStr">
        <is>
          <t>IL VERDETTO</t>
        </is>
      </c>
    </row>
    <row r="115">
      <c r="A115" s="9" t="inlineStr">
        <is>
          <t>Capitale disponibile a 67 — il peggiore dei tre scenari</t>
        </is>
      </c>
      <c r="B115" s="14">
        <f>MIN($B$70,$B$71,$B$72)</f>
        <v/>
      </c>
    </row>
    <row r="116">
      <c r="A116" s="9" t="inlineStr">
        <is>
          <t>Capitale disponibile a 67 — il migliore dei tre scenari</t>
        </is>
      </c>
      <c r="B116" s="14">
        <f>MAX($B$70,$B$71,$B$72)</f>
        <v/>
      </c>
    </row>
    <row r="117">
      <c r="A117" s="9" t="inlineStr">
        <is>
          <t>Capitale necessario — il caso piu' favorevole</t>
        </is>
      </c>
      <c r="B117" s="14">
        <f>MIN($B$108:$C$111)</f>
        <v/>
      </c>
    </row>
    <row r="118">
      <c r="A118" s="9" t="inlineStr">
        <is>
          <t>Capitale necessario — il caso piu' oneroso</t>
        </is>
      </c>
      <c r="B118" s="14">
        <f>MAX($B$108:$C$111)</f>
        <v/>
      </c>
    </row>
    <row r="119">
      <c r="A119" s="9" t="inlineStr">
        <is>
          <t>Margine nel caso peggiore per te</t>
        </is>
      </c>
      <c r="B119" s="14">
        <f>$B$115-$B$118</f>
        <v/>
      </c>
    </row>
    <row r="120">
      <c r="A120" s="9" t="inlineStr">
        <is>
          <t>Quante volte il necessario — dal caso peggiore al migliore</t>
        </is>
      </c>
      <c r="B120" s="22">
        <f>$B$115/$B$118</f>
        <v/>
      </c>
      <c r="C120" s="22">
        <f>$B$116/$B$117</f>
        <v/>
      </c>
    </row>
    <row r="121" ht="30" customHeight="1">
      <c r="A121" s="9" t="inlineStr">
        <is>
          <t>VERDETTO</t>
        </is>
      </c>
      <c r="B121" s="30">
        <f>IF($B$115&gt;=$B$118,"IL PONTE REGGE in tutti gli scenari testati",IF($B$116&gt;=$B$117,"DIPENDE dallo scenario e dal buco: verifica riga per riga","IL PONTE NON REGGE: serve piu' capitale o meno spesa"))</f>
        <v/>
      </c>
      <c r="C121" s="27" t="n"/>
      <c r="D121" s="27" t="n"/>
      <c r="E121" s="27" t="n"/>
      <c r="F121" s="28" t="n"/>
    </row>
    <row r="122" ht="60" customHeight="1">
      <c r="A122" s="7" t="inlineStr">
        <is>
          <t>Il verdetto e' una FASCIA, non un numero: il capitale disponibile sta fra il peggiore e il migliore dei tre scenari, il necessario fra il buco piu' piccolo al rendimento piu' alto e il buco piu' grande al rendimento piu' basso. Nel caso del video la fascia disponibile e' 646.000-817.000 € contro una necessita' di 102.000-490.000 €: da una volta e un terzo a otto volte tanto.</t>
        </is>
      </c>
    </row>
    <row r="123" ht="45" customHeight="1">
      <c r="A123" s="7" t="inlineStr">
        <is>
          <t>E quello che l'errore di etichetta costa non e' il ponte — troppo corto per rompersi — ma la coda: se un giorno l'etichetta «1,6%» diventa un budget di spesa da 44.440 € l'anno, a 67 anni restano 635.000 € invece di 817.000, e con i crolli all'inizio 525.000 invece di 738.000.</t>
        </is>
      </c>
    </row>
  </sheetData>
  <mergeCells count="41">
    <mergeCell ref="D21:L21"/>
    <mergeCell ref="A5:D5"/>
    <mergeCell ref="A41:F41"/>
    <mergeCell ref="D11:L11"/>
    <mergeCell ref="D13:L13"/>
    <mergeCell ref="A106:D106"/>
    <mergeCell ref="D17:L17"/>
    <mergeCell ref="A53:S53"/>
    <mergeCell ref="A112:D112"/>
    <mergeCell ref="B121:F121"/>
    <mergeCell ref="A55:F55"/>
    <mergeCell ref="D16:L16"/>
    <mergeCell ref="D7:L7"/>
    <mergeCell ref="A114:D114"/>
    <mergeCell ref="A77:G77"/>
    <mergeCell ref="D18:L18"/>
    <mergeCell ref="A67:S67"/>
    <mergeCell ref="D9:L9"/>
    <mergeCell ref="D12:L12"/>
    <mergeCell ref="A122:F122"/>
    <mergeCell ref="D8:L8"/>
    <mergeCell ref="D25:L25"/>
    <mergeCell ref="A3:H3"/>
    <mergeCell ref="D15:L15"/>
    <mergeCell ref="D23:L23"/>
    <mergeCell ref="A69:D69"/>
    <mergeCell ref="A2:H2"/>
    <mergeCell ref="D26:L26"/>
    <mergeCell ref="D20:L20"/>
    <mergeCell ref="A75:G75"/>
    <mergeCell ref="D10:L10"/>
    <mergeCell ref="B72:D72"/>
    <mergeCell ref="A73:F73"/>
    <mergeCell ref="A123:F123"/>
    <mergeCell ref="B71:D71"/>
    <mergeCell ref="A1:F1"/>
    <mergeCell ref="A28:E28"/>
    <mergeCell ref="D22:L22"/>
    <mergeCell ref="B70:D70"/>
    <mergeCell ref="A76:G76"/>
    <mergeCell ref="D6:L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48" customWidth="1" min="1" max="1"/>
    <col width="24" customWidth="1" min="2" max="2"/>
    <col width="24" customWidth="1" min="3" max="3"/>
    <col width="18" customWidth="1" min="4" max="4"/>
    <col width="4" customWidth="1" min="5" max="5"/>
    <col width="70" customWidth="1" min="6" max="6"/>
  </cols>
  <sheetData>
    <row r="1" ht="25" customHeight="1">
      <c r="A1" s="1" t="inlineStr">
        <is>
          <t>Contabilita' a cedole contro total return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3" ht="45" customHeight="1">
      <c r="A3" s="7" t="inlineStr">
        <is>
          <t>Le prime due colonne sono IDENTICHE, e non e' un risultato: e' un'identita' del modello. A parita' di portafoglio, il modo di contare non cambia un euro dei flussi. Cambia quello che il framing ti induce a fare: quale portafoglio costruisci, quale domanda ti poni, quanto spendi quando il budget si allarga.</t>
        </is>
      </c>
    </row>
    <row r="4"/>
    <row r="5">
      <c r="A5" s="8" t="inlineStr">
        <is>
          <t>GLI STESSI FLUSSI, DUE MODI DI CONTARLI</t>
        </is>
      </c>
    </row>
    <row r="6" ht="30" customHeight="1">
      <c r="A6" s="16" t="inlineStr">
        <is>
          <t>Voce</t>
        </is>
      </c>
      <c r="B6" s="16" t="inlineStr">
        <is>
          <t>Contabilita' a cedole</t>
        </is>
      </c>
      <c r="C6" s="16" t="inlineStr">
        <is>
          <t>Total return</t>
        </is>
      </c>
      <c r="D6" s="16" t="inlineStr">
        <is>
          <t>Differenza</t>
        </is>
      </c>
    </row>
    <row r="7" ht="30" customHeight="1">
      <c r="A7" s="9" t="inlineStr">
        <is>
          <t>Come descrive il prelievo</t>
        </is>
      </c>
      <c r="B7" s="31" t="inlineStr">
        <is>
          <t>«prelevo 15.000: il mio SWR e' 1,63%»</t>
        </is>
      </c>
      <c r="C7" s="31" t="inlineStr">
        <is>
          <t>«il portafoglio mi consegna 30.000: 3,26%»</t>
        </is>
      </c>
    </row>
    <row r="8">
      <c r="A8" s="9" t="inlineStr">
        <is>
          <t>Tasso che dichiara</t>
        </is>
      </c>
      <c r="B8" s="15">
        <f>'1 - Il tuo tasso vero'!$B$15</f>
        <v/>
      </c>
      <c r="C8" s="15">
        <f>'1 - Il tuo tasso vero'!$B$16</f>
        <v/>
      </c>
      <c r="D8" s="21" t="inlineStr">
        <is>
          <t>l'unica cosa che cambia</t>
        </is>
      </c>
    </row>
    <row r="9">
      <c r="A9" s="9" t="inlineStr">
        <is>
          <t>Spesa netta dell'anno 1</t>
        </is>
      </c>
      <c r="B9" s="14">
        <f>'3 - Il ponte'!$B$43</f>
        <v/>
      </c>
      <c r="C9" s="14">
        <f>'3 - Il ponte'!$B$43</f>
        <v/>
      </c>
      <c r="D9" s="14">
        <f>$C9-$B9</f>
        <v/>
      </c>
    </row>
    <row r="10">
      <c r="A10" s="9" t="inlineStr">
        <is>
          <t>Uscita lorda dal portafoglio</t>
        </is>
      </c>
      <c r="B10" s="14">
        <f>'3 - Il ponte'!$L$43</f>
        <v/>
      </c>
      <c r="C10" s="14">
        <f>'3 - Il ponte'!$L$43</f>
        <v/>
      </c>
      <c r="D10" s="14">
        <f>$C10-$B10</f>
        <v/>
      </c>
    </row>
    <row r="11">
      <c r="A11" s="9" t="inlineStr">
        <is>
          <t>Uscita totale con il bollo</t>
        </is>
      </c>
      <c r="B11" s="14">
        <f>'3 - Il ponte'!$Q$43</f>
        <v/>
      </c>
      <c r="C11" s="14">
        <f>'3 - Il ponte'!$Q$43</f>
        <v/>
      </c>
      <c r="D11" s="14">
        <f>$C11-$B11</f>
        <v/>
      </c>
    </row>
    <row r="12">
      <c r="A12" s="9" t="inlineStr">
        <is>
          <t>Capitale a 67 anni, 3% reale</t>
        </is>
      </c>
      <c r="B12" s="14">
        <f>'3 - Il ponte'!$B$70</f>
        <v/>
      </c>
      <c r="C12" s="14">
        <f>'3 - Il ponte'!$B$70</f>
        <v/>
      </c>
      <c r="D12" s="14">
        <f>$C12-$B12</f>
        <v/>
      </c>
    </row>
    <row r="13">
      <c r="A13" s="9" t="inlineStr">
        <is>
          <t>Capitale a 67 anni, crolli all'inizio</t>
        </is>
      </c>
      <c r="B13" s="14">
        <f>'3 - Il ponte'!$B$72</f>
        <v/>
      </c>
      <c r="C13" s="14">
        <f>'3 - Il ponte'!$B$72</f>
        <v/>
      </c>
      <c r="D13" s="14">
        <f>$C13-$B13</f>
        <v/>
      </c>
    </row>
    <row r="14">
      <c r="A14" s="9" t="inlineStr">
        <is>
          <t>Tasso vero di uscita sul patrimonio</t>
        </is>
      </c>
      <c r="B14" s="15">
        <f>$B$11/'3 - Il ponte'!$B$6</f>
        <v/>
      </c>
      <c r="C14" s="15">
        <f>$C$11/'3 - Il ponte'!$B$6</f>
        <v/>
      </c>
      <c r="D14" s="15">
        <f>$C$14-$B$14</f>
        <v/>
      </c>
    </row>
    <row r="15"/>
    <row r="16" ht="60" customHeight="1">
      <c r="A16" s="7" t="inlineStr">
        <is>
          <t>La colonna «Differenza» e' zero riga per riga, e deve esserlo. Il vantaggio che la contabilita' a cedole sembra avere — vendere meno azionario in un anno storto — e' reale ma e' una proprieta' dell'ALLOCAZIONE, non della contabilita': gli stessi 320.000 € di BTP producono la stessa protezione anche se li chiami «parte del 3,26%». E nel caso del video quella protezione viene dal rimborso alla pari del 2032, non dalle cedole.</t>
        </is>
      </c>
    </row>
    <row r="17"/>
    <row r="18">
      <c r="A18" s="8" t="inlineStr">
        <is>
          <t>L'ATTRITO DELL'IMPOSTA ANTICIPATA — a parita' di aliquota</t>
        </is>
      </c>
    </row>
    <row r="19" ht="60" customHeight="1">
      <c r="A19" s="7" t="inlineStr">
        <is>
          <t>Convenzione dichiarata: versamenti a INIZIO anno, rendimento nominale, STESSA aliquota sui due rami. Cambia solo il momento in cui l'imposta si paga: subito su ogni cedola incassata, oppure alla fine su tutto il montante. Il confronto e' onesto solo cosi': confrontare il 12,5% della cedola col 26% di un ETF azionario misurerebbe due cose insieme.</t>
        </is>
      </c>
    </row>
    <row r="20" ht="15" customHeight="1">
      <c r="A20" s="9" t="inlineStr">
        <is>
          <t>Flusso annuo</t>
        </is>
      </c>
      <c r="B20" s="10" t="n">
        <v>16000</v>
      </c>
      <c r="F20" s="7" t="inlineStr">
        <is>
          <t>Il flusso cedolare che non ti serve subito.</t>
        </is>
      </c>
    </row>
    <row r="21">
      <c r="A21" s="9" t="inlineStr">
        <is>
          <t>Rendimento nominale</t>
        </is>
      </c>
      <c r="B21" s="11" t="n">
        <v>0.05</v>
      </c>
    </row>
    <row r="22">
      <c r="A22" s="9" t="inlineStr">
        <is>
          <t>Orizzonte (anni)</t>
        </is>
      </c>
      <c r="B22" s="25" t="n">
        <v>10</v>
      </c>
    </row>
    <row r="23" ht="30" customHeight="1">
      <c r="A23" s="9" t="inlineStr">
        <is>
          <t>Aliquota (selettore)</t>
        </is>
      </c>
      <c r="B23" s="11" t="n">
        <v>0.125</v>
      </c>
      <c r="F23" s="7" t="inlineStr">
        <is>
          <t>Scegli 12,50% o 26,00% dal menu. Il 12,5% e' il comparatore onesto della cedola di un titolo di Stato.</t>
        </is>
      </c>
    </row>
    <row r="24">
      <c r="A24" s="9" t="inlineStr">
        <is>
          <t>Montante lordo del flusso (senza imposte)</t>
        </is>
      </c>
      <c r="B24" s="14">
        <f>$B$20*(1+$B$21)*((1+$B$21)^$B$22-1)/$B$21</f>
        <v/>
      </c>
    </row>
    <row r="25">
      <c r="A25" s="9" t="inlineStr">
        <is>
          <t>Ramo cedola — tassata subito, netto reinvestito</t>
        </is>
      </c>
      <c r="B25" s="14">
        <f>$B$24*(1-$B$23)-($B$24*(1-$B$23)-$B$20*(1-$B$23)*$B$22)*$B$23</f>
        <v/>
      </c>
    </row>
    <row r="26">
      <c r="A26" s="9" t="inlineStr">
        <is>
          <t>Ramo accumulo — imposta pagata alla fine</t>
        </is>
      </c>
      <c r="B26" s="14">
        <f>$B$24*(1-$B$23)</f>
        <v/>
      </c>
    </row>
    <row r="27" ht="30" customHeight="1">
      <c r="A27" s="9" t="inlineStr">
        <is>
          <t>VANTAGGIO DELL'ACCUMULO</t>
        </is>
      </c>
      <c r="B27" s="26">
        <f>$B$26-$B$25</f>
        <v/>
      </c>
    </row>
    <row r="28">
      <c r="A28" s="9" t="inlineStr">
        <is>
          <t xml:space="preserve">   in percentuale</t>
        </is>
      </c>
      <c r="B28" s="32">
        <f>$B$27/$B$25</f>
        <v/>
      </c>
    </row>
    <row r="29"/>
    <row r="30">
      <c r="A30" s="8" t="inlineStr">
        <is>
          <t>LE DUE ALIQUOTE, UNA ACCANTO ALL'ALTRA</t>
        </is>
      </c>
    </row>
    <row r="31">
      <c r="A31" s="16" t="inlineStr">
        <is>
          <t>Aliquota</t>
        </is>
      </c>
      <c r="B31" s="16" t="inlineStr">
        <is>
          <t>Ramo cedola</t>
        </is>
      </c>
      <c r="C31" s="16" t="inlineStr">
        <is>
          <t>Ramo accumulo</t>
        </is>
      </c>
      <c r="D31" s="16" t="inlineStr">
        <is>
          <t>Vantaggio dell'accumulo</t>
        </is>
      </c>
    </row>
    <row r="32">
      <c r="A32" s="11" t="n">
        <v>0.125</v>
      </c>
      <c r="B32" s="14">
        <f>$B$24*(1-$A32)-($B$24*(1-$A32)-$B$20*(1-$A32)*$B$22)*$A32</f>
        <v/>
      </c>
      <c r="C32" s="14">
        <f>$B$24*(1-$A32)</f>
        <v/>
      </c>
      <c r="D32" s="14">
        <f>$C32-$B32</f>
        <v/>
      </c>
    </row>
    <row r="33">
      <c r="A33" s="11" t="n">
        <v>0.26</v>
      </c>
      <c r="B33" s="14">
        <f>$B$24*(1-$A33)-($B$24*(1-$A33)-$B$20*(1-$A33)*$B$22)*$A33</f>
        <v/>
      </c>
      <c r="C33" s="14">
        <f>$B$24*(1-$A33)</f>
        <v/>
      </c>
      <c r="D33" s="14">
        <f>$C33-$B33</f>
        <v/>
      </c>
    </row>
    <row r="34"/>
    <row r="35" ht="60" customHeight="1">
      <c r="A35" s="7" t="inlineStr">
        <is>
          <t>Al 12,5% l'accumulo vale 5.612 € in piu' su dieci anni, il 3,1%. Al 26% sono 9.872 €, il 6,7%. Il vantaggio e' esattamente l'imposta che il ramo cedola paga in anticipo sulla crescita del reinvestito: e' piccolo, ed e' vero. Lo stesso meccanismo degli ETF ad accumulazione contro quelli a distribuzione, applicato alle cedole.</t>
        </is>
      </c>
    </row>
    <row r="36" ht="30" customHeight="1">
      <c r="A36" s="7" t="inlineStr">
        <is>
          <t>Controprova in convenzione posticipata (versamenti a fine anno): il vantaggio scende a 4.511 € e 7.936 €. Il segno non cambia.</t>
        </is>
      </c>
    </row>
  </sheetData>
  <mergeCells count="10">
    <mergeCell ref="A1:D1"/>
    <mergeCell ref="A5:D5"/>
    <mergeCell ref="A18:D18"/>
    <mergeCell ref="A35:D35"/>
    <mergeCell ref="A3:D3"/>
    <mergeCell ref="A30:D30"/>
    <mergeCell ref="A16:D16"/>
    <mergeCell ref="A2:D2"/>
    <mergeCell ref="A19:D19"/>
    <mergeCell ref="A36:D36"/>
  </mergeCells>
  <dataValidations count="1">
    <dataValidation sqref="B23" showDropDown="0" showInputMessage="0" showErrorMessage="0" allowBlank="0" type="list">
      <formula1>=$A$32:$A$33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53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2" customWidth="1" min="3" max="3"/>
    <col width="14" customWidth="1" min="4" max="4"/>
    <col width="14" customWidth="1" min="5" max="5"/>
    <col width="13" customWidth="1" min="6" max="6"/>
    <col width="12" customWidth="1" min="7" max="7"/>
    <col width="13" customWidth="1" min="8" max="8"/>
    <col width="12" customWidth="1" min="9" max="9"/>
    <col width="13" customWidth="1" min="10" max="10"/>
    <col width="12" customWidth="1" min="11" max="11"/>
    <col width="15" customWidth="1" min="12" max="12"/>
    <col width="12" customWidth="1" min="13" max="13"/>
    <col width="15" customWidth="1" min="14" max="14"/>
    <col width="12" customWidth="1" min="15" max="15"/>
    <col width="14" customWidth="1" min="16" max="16"/>
    <col width="15" customWidth="1" min="17" max="17"/>
    <col width="14" customWidth="1" min="18" max="18"/>
    <col width="15" customWidth="1" min="19" max="19"/>
    <col width="4" customWidth="1" min="20" max="20"/>
  </cols>
  <sheetData>
    <row r="1" ht="25" customHeight="1">
      <c r="A1" s="1" t="inlineStr">
        <is>
          <t>La sequenza — lo stesso rendimento medio, due ordini diversi</t>
        </is>
      </c>
    </row>
    <row r="2" ht="32" customHeight="1">
      <c r="A2" s="2" t="inlineStr">
        <is>
          <t>Strumento informativo / divulgativo. NON è consulenza finanziaria. I valori sono indicativi al 2026 e vanno verificati col tuo consulente.</t>
        </is>
      </c>
    </row>
    <row r="3" ht="45" customHeight="1">
      <c r="A3" s="7" t="inlineStr">
        <is>
          <t>Le due colonne contengono ESATTAMENTE gli stessi dieci rendimenti, in ordine invertito: stessa media geometrica, stessa somma, stesso tutto. L'unica differenza e' quando arrivano i crolli. Questo e' il rischio di sequenza, e non ha niente a che vedere con quanto rende il portafoglio.</t>
        </is>
      </c>
    </row>
    <row r="4"/>
    <row r="5">
      <c r="A5" s="8" t="inlineStr">
        <is>
          <t>IL MULTISET — dieci rendimenti reali, due ordini</t>
        </is>
      </c>
    </row>
    <row r="6">
      <c r="A6" s="16" t="inlineStr">
        <is>
          <t>Anno</t>
        </is>
      </c>
      <c r="B6" s="16" t="inlineStr">
        <is>
          <t>Crolli all'inizio</t>
        </is>
      </c>
      <c r="C6" s="16" t="inlineStr">
        <is>
          <t>Crolli alla fine</t>
        </is>
      </c>
    </row>
    <row r="7">
      <c r="A7" s="23" t="n">
        <v>1</v>
      </c>
      <c r="B7" s="11" t="n">
        <v>-0.1412</v>
      </c>
      <c r="C7" s="15">
        <f>$B$16</f>
        <v/>
      </c>
    </row>
    <row r="8">
      <c r="A8" s="23" t="n">
        <v>2</v>
      </c>
      <c r="B8" s="11" t="n">
        <v>-0.0912</v>
      </c>
      <c r="C8" s="15">
        <f>$B$15</f>
        <v/>
      </c>
    </row>
    <row r="9">
      <c r="A9" s="23" t="n">
        <v>3</v>
      </c>
      <c r="B9" s="11" t="n">
        <v>-0.1212</v>
      </c>
      <c r="C9" s="15">
        <f>$B$14</f>
        <v/>
      </c>
    </row>
    <row r="10">
      <c r="A10" s="23" t="n">
        <v>4</v>
      </c>
      <c r="B10" s="11" t="n">
        <v>0.1788</v>
      </c>
      <c r="C10" s="15">
        <f>$B$13</f>
        <v/>
      </c>
    </row>
    <row r="11">
      <c r="A11" s="23" t="n">
        <v>5</v>
      </c>
      <c r="B11" s="11" t="n">
        <v>0.1188</v>
      </c>
      <c r="C11" s="15">
        <f>$B$12</f>
        <v/>
      </c>
    </row>
    <row r="12">
      <c r="A12" s="23" t="n">
        <v>6</v>
      </c>
      <c r="B12" s="11" t="n">
        <v>0.0788</v>
      </c>
      <c r="C12" s="15">
        <f>$B$11</f>
        <v/>
      </c>
    </row>
    <row r="13">
      <c r="A13" s="23" t="n">
        <v>7</v>
      </c>
      <c r="B13" s="11" t="n">
        <v>0.1388</v>
      </c>
      <c r="C13" s="15">
        <f>$B$10</f>
        <v/>
      </c>
    </row>
    <row r="14">
      <c r="A14" s="23" t="n">
        <v>8</v>
      </c>
      <c r="B14" s="11" t="n">
        <v>0.0588</v>
      </c>
      <c r="C14" s="15">
        <f>$B$9</f>
        <v/>
      </c>
    </row>
    <row r="15">
      <c r="A15" s="23" t="n">
        <v>9</v>
      </c>
      <c r="B15" s="11" t="n">
        <v>0.0888</v>
      </c>
      <c r="C15" s="15">
        <f>$B$8</f>
        <v/>
      </c>
    </row>
    <row r="16">
      <c r="A16" s="23" t="n">
        <v>10</v>
      </c>
      <c r="B16" s="11" t="n">
        <v>0.0488</v>
      </c>
      <c r="C16" s="15">
        <f>$B$7</f>
        <v/>
      </c>
    </row>
    <row r="17">
      <c r="A17" s="9" t="inlineStr">
        <is>
          <t>Media geometrica</t>
        </is>
      </c>
      <c r="B17" s="33">
        <f>EXP(SUMPRODUCT(LN(1+$B$7:$B$16))/10)-1</f>
        <v/>
      </c>
      <c r="C17" s="33">
        <f>EXP(SUMPRODUCT(LN(1+$C$7:$C$16))/10)-1</f>
        <v/>
      </c>
    </row>
    <row r="18" ht="60" customHeight="1">
      <c r="A18" s="7" t="inlineStr">
        <is>
          <t>2,998%, che si dichiara come «il 3%» e non come «esattamente il 3,0000%». La colonna di destra e' una formula che rovescia quella di sinistra: cambia un rendimento a sinistra e resta lo stesso multiset.</t>
        </is>
      </c>
    </row>
    <row r="19"/>
    <row r="20">
      <c r="A20" s="8" t="inlineStr">
        <is>
          <t>IL PONTE CON I CROLLI ALL'INIZIO</t>
        </is>
      </c>
    </row>
    <row r="21" ht="44" customHeight="1">
      <c r="A21" s="16" t="inlineStr">
        <is>
          <t>Anno</t>
        </is>
      </c>
      <c r="B21" s="16" t="inlineStr">
        <is>
          <t>Spesa netta
dell'anno</t>
        </is>
      </c>
      <c r="C21" s="16" t="inlineStr">
        <is>
          <t>Cedole
lorde</t>
        </is>
      </c>
      <c r="D21" s="16" t="inlineStr">
        <is>
          <t>Imposta 12,5%
su BTP e premio</t>
        </is>
      </c>
      <c r="E21" s="16" t="inlineStr">
        <is>
          <t>Zainetto minus.
a inizio anno</t>
        </is>
      </c>
      <c r="F21" s="16" t="inlineStr">
        <is>
          <t>Imposta 26%
sui premi</t>
        </is>
      </c>
      <c r="G21" s="16" t="inlineStr">
        <is>
          <t>Cedole
nette</t>
        </is>
      </c>
      <c r="H21" s="16" t="inlineStr">
        <is>
          <t>Da coprire
vendendo</t>
        </is>
      </c>
      <c r="I21" s="16" t="inlineStr">
        <is>
          <t>Plusvalenza
latente</t>
        </is>
      </c>
      <c r="J21" s="16" t="inlineStr">
        <is>
          <t>Aliquota eff.
sulla vendita</t>
        </is>
      </c>
      <c r="K21" s="16" t="inlineStr">
        <is>
          <t>Vendita
lorda</t>
        </is>
      </c>
      <c r="L21" s="16" t="inlineStr">
        <is>
          <t>Uscita lorda
(cedole+vendita)</t>
        </is>
      </c>
      <c r="M21" s="16" t="inlineStr">
        <is>
          <t>Rendimento
reale</t>
        </is>
      </c>
      <c r="N21" s="16" t="inlineStr">
        <is>
          <t>Patrimonio
prima del bollo</t>
        </is>
      </c>
      <c r="O21" s="16" t="inlineStr">
        <is>
          <t>Imposta
di bollo</t>
        </is>
      </c>
      <c r="P21" s="16" t="inlineStr">
        <is>
          <t>Patrimonio
a fine anno</t>
        </is>
      </c>
      <c r="Q21" s="16" t="inlineStr">
        <is>
          <t>USCITA TOTALE
col bollo</t>
        </is>
      </c>
      <c r="R21" s="16" t="inlineStr">
        <is>
          <t>Costo fiscale
a fine anno</t>
        </is>
      </c>
      <c r="S21" s="16" t="inlineStr">
        <is>
          <t>Patrimonio in
euro di oggi</t>
        </is>
      </c>
    </row>
    <row r="22">
      <c r="A22" s="23" t="n">
        <v>1</v>
      </c>
      <c r="B22" s="14">
        <f>'3 - Il ponte'!$B$7*(1+'3 - Il ponte'!$B$8)^(1-1)</f>
        <v/>
      </c>
      <c r="C22" s="14">
        <f>'3 - Il ponte'!$E$30</f>
        <v/>
      </c>
      <c r="D22" s="14">
        <f>('3 - Il ponte'!$B$30+'3 - Il ponte'!$C$30)*'3 - Il ponte'!$B$14</f>
        <v/>
      </c>
      <c r="E22" s="14">
        <f>'3 - Il ponte'!$B$26</f>
        <v/>
      </c>
      <c r="F22" s="14">
        <f>MAX(0,'3 - Il ponte'!$D$30-E22)*'3 - Il ponte'!$B$15</f>
        <v/>
      </c>
      <c r="G22" s="14">
        <f>C22-D22-F22</f>
        <v/>
      </c>
      <c r="H22" s="14">
        <f>B22-G22</f>
        <v/>
      </c>
      <c r="I22" s="15">
        <f>1-('3 - Il ponte'!$B$6*(1-'3 - Il ponte'!$B$12))/'3 - Il ponte'!$B$6</f>
        <v/>
      </c>
      <c r="J22" s="15">
        <f>'3 - Il ponte'!$B$13*I22</f>
        <v/>
      </c>
      <c r="K22" s="14">
        <f>H22/(1-J22)</f>
        <v/>
      </c>
      <c r="L22" s="14">
        <f>C22+K22</f>
        <v/>
      </c>
      <c r="M22" s="15">
        <f>$B$7</f>
        <v/>
      </c>
      <c r="N22" s="14">
        <f>('3 - Il ponte'!$B$6-L22)*(1+M22)*(1+'3 - Il ponte'!$B$8)</f>
        <v/>
      </c>
      <c r="O22" s="14">
        <f>N22-P22</f>
        <v/>
      </c>
      <c r="P22" s="14">
        <f>N22/(1+'3 - Il ponte'!$B$16)</f>
        <v/>
      </c>
      <c r="Q22" s="14">
        <f>L22+O22</f>
        <v/>
      </c>
      <c r="R22" s="14">
        <f>('3 - Il ponte'!$B$6*(1-'3 - Il ponte'!$B$12))-K22*('3 - Il ponte'!$B$6*(1-'3 - Il ponte'!$B$12))/'3 - Il ponte'!$B$6</f>
        <v/>
      </c>
      <c r="S22" s="14">
        <f>P22/(1+'3 - Il ponte'!$B$8)^1</f>
        <v/>
      </c>
    </row>
    <row r="23">
      <c r="A23" s="23" t="n">
        <v>2</v>
      </c>
      <c r="B23" s="14">
        <f>'3 - Il ponte'!$B$7*(1+'3 - Il ponte'!$B$8)^(2-1)</f>
        <v/>
      </c>
      <c r="C23" s="14">
        <f>'3 - Il ponte'!$E$31</f>
        <v/>
      </c>
      <c r="D23" s="14">
        <f>('3 - Il ponte'!$B$31+'3 - Il ponte'!$C$31)*'3 - Il ponte'!$B$14</f>
        <v/>
      </c>
      <c r="E23" s="14">
        <f>MAX(0,E22-'3 - Il ponte'!$D$30)</f>
        <v/>
      </c>
      <c r="F23" s="14">
        <f>MAX(0,'3 - Il ponte'!$D$31-E23)*'3 - Il ponte'!$B$15</f>
        <v/>
      </c>
      <c r="G23" s="14">
        <f>C23-D23-F23</f>
        <v/>
      </c>
      <c r="H23" s="14">
        <f>B23-G23</f>
        <v/>
      </c>
      <c r="I23" s="15">
        <f>1-R22/P22</f>
        <v/>
      </c>
      <c r="J23" s="15">
        <f>'3 - Il ponte'!$B$13*I23</f>
        <v/>
      </c>
      <c r="K23" s="14">
        <f>H23/(1-J23)</f>
        <v/>
      </c>
      <c r="L23" s="14">
        <f>C23+K23</f>
        <v/>
      </c>
      <c r="M23" s="15">
        <f>$B$8</f>
        <v/>
      </c>
      <c r="N23" s="14">
        <f>(P22-L23)*(1+M23)*(1+'3 - Il ponte'!$B$8)</f>
        <v/>
      </c>
      <c r="O23" s="14">
        <f>N23-P23</f>
        <v/>
      </c>
      <c r="P23" s="14">
        <f>N23/(1+'3 - Il ponte'!$B$16)</f>
        <v/>
      </c>
      <c r="Q23" s="14">
        <f>L23+O23</f>
        <v/>
      </c>
      <c r="R23" s="14">
        <f>R22-K23*R22/P22</f>
        <v/>
      </c>
      <c r="S23" s="14">
        <f>P23/(1+'3 - Il ponte'!$B$8)^2</f>
        <v/>
      </c>
    </row>
    <row r="24">
      <c r="A24" s="23" t="n">
        <v>3</v>
      </c>
      <c r="B24" s="14">
        <f>'3 - Il ponte'!$B$7*(1+'3 - Il ponte'!$B$8)^(3-1)</f>
        <v/>
      </c>
      <c r="C24" s="14">
        <f>'3 - Il ponte'!$E$32</f>
        <v/>
      </c>
      <c r="D24" s="14">
        <f>('3 - Il ponte'!$B$32+'3 - Il ponte'!$C$32)*'3 - Il ponte'!$B$14</f>
        <v/>
      </c>
      <c r="E24" s="14">
        <f>MAX(0,E23-'3 - Il ponte'!$D$31)</f>
        <v/>
      </c>
      <c r="F24" s="14">
        <f>MAX(0,'3 - Il ponte'!$D$32-E24)*'3 - Il ponte'!$B$15</f>
        <v/>
      </c>
      <c r="G24" s="14">
        <f>C24-D24-F24</f>
        <v/>
      </c>
      <c r="H24" s="14">
        <f>B24-G24</f>
        <v/>
      </c>
      <c r="I24" s="15">
        <f>1-R23/P23</f>
        <v/>
      </c>
      <c r="J24" s="15">
        <f>'3 - Il ponte'!$B$13*I24</f>
        <v/>
      </c>
      <c r="K24" s="14">
        <f>H24/(1-J24)</f>
        <v/>
      </c>
      <c r="L24" s="14">
        <f>C24+K24</f>
        <v/>
      </c>
      <c r="M24" s="15">
        <f>$B$9</f>
        <v/>
      </c>
      <c r="N24" s="14">
        <f>(P23-L24)*(1+M24)*(1+'3 - Il ponte'!$B$8)</f>
        <v/>
      </c>
      <c r="O24" s="14">
        <f>N24-P24</f>
        <v/>
      </c>
      <c r="P24" s="14">
        <f>N24/(1+'3 - Il ponte'!$B$16)</f>
        <v/>
      </c>
      <c r="Q24" s="14">
        <f>L24+O24</f>
        <v/>
      </c>
      <c r="R24" s="14">
        <f>R23-K24*R23/P23</f>
        <v/>
      </c>
      <c r="S24" s="14">
        <f>P24/(1+'3 - Il ponte'!$B$8)^3</f>
        <v/>
      </c>
    </row>
    <row r="25">
      <c r="A25" s="23" t="n">
        <v>4</v>
      </c>
      <c r="B25" s="14">
        <f>'3 - Il ponte'!$B$7*(1+'3 - Il ponte'!$B$8)^(4-1)</f>
        <v/>
      </c>
      <c r="C25" s="14">
        <f>'3 - Il ponte'!$E$33</f>
        <v/>
      </c>
      <c r="D25" s="14">
        <f>('3 - Il ponte'!$B$33+'3 - Il ponte'!$C$33)*'3 - Il ponte'!$B$14</f>
        <v/>
      </c>
      <c r="E25" s="14">
        <f>MAX(0,E24-'3 - Il ponte'!$D$32)</f>
        <v/>
      </c>
      <c r="F25" s="14">
        <f>MAX(0,'3 - Il ponte'!$D$33-E25)*'3 - Il ponte'!$B$15</f>
        <v/>
      </c>
      <c r="G25" s="14">
        <f>C25-D25-F25</f>
        <v/>
      </c>
      <c r="H25" s="14">
        <f>B25-G25</f>
        <v/>
      </c>
      <c r="I25" s="15">
        <f>1-R24/P24</f>
        <v/>
      </c>
      <c r="J25" s="15">
        <f>'3 - Il ponte'!$B$13*I25</f>
        <v/>
      </c>
      <c r="K25" s="14">
        <f>H25/(1-J25)</f>
        <v/>
      </c>
      <c r="L25" s="14">
        <f>C25+K25</f>
        <v/>
      </c>
      <c r="M25" s="15">
        <f>$B$10</f>
        <v/>
      </c>
      <c r="N25" s="14">
        <f>(P24-L25)*(1+M25)*(1+'3 - Il ponte'!$B$8)</f>
        <v/>
      </c>
      <c r="O25" s="14">
        <f>N25-P25</f>
        <v/>
      </c>
      <c r="P25" s="14">
        <f>N25/(1+'3 - Il ponte'!$B$16)</f>
        <v/>
      </c>
      <c r="Q25" s="14">
        <f>L25+O25</f>
        <v/>
      </c>
      <c r="R25" s="14">
        <f>R24-K25*R24/P24</f>
        <v/>
      </c>
      <c r="S25" s="14">
        <f>P25/(1+'3 - Il ponte'!$B$8)^4</f>
        <v/>
      </c>
    </row>
    <row r="26">
      <c r="A26" s="23" t="n">
        <v>5</v>
      </c>
      <c r="B26" s="14">
        <f>'3 - Il ponte'!$B$7*(1+'3 - Il ponte'!$B$8)^(5-1)</f>
        <v/>
      </c>
      <c r="C26" s="14">
        <f>'3 - Il ponte'!$E$34</f>
        <v/>
      </c>
      <c r="D26" s="14">
        <f>('3 - Il ponte'!$B$34+'3 - Il ponte'!$C$34)*'3 - Il ponte'!$B$14</f>
        <v/>
      </c>
      <c r="E26" s="14">
        <f>MAX(0,E25-'3 - Il ponte'!$D$33)</f>
        <v/>
      </c>
      <c r="F26" s="14">
        <f>MAX(0,'3 - Il ponte'!$D$34-E26)*'3 - Il ponte'!$B$15</f>
        <v/>
      </c>
      <c r="G26" s="14">
        <f>C26-D26-F26</f>
        <v/>
      </c>
      <c r="H26" s="14">
        <f>B26-G26</f>
        <v/>
      </c>
      <c r="I26" s="15">
        <f>1-R25/P25</f>
        <v/>
      </c>
      <c r="J26" s="15">
        <f>'3 - Il ponte'!$B$13*I26</f>
        <v/>
      </c>
      <c r="K26" s="14">
        <f>H26/(1-J26)</f>
        <v/>
      </c>
      <c r="L26" s="14">
        <f>C26+K26</f>
        <v/>
      </c>
      <c r="M26" s="15">
        <f>$B$11</f>
        <v/>
      </c>
      <c r="N26" s="14">
        <f>(P25-L26)*(1+M26)*(1+'3 - Il ponte'!$B$8)</f>
        <v/>
      </c>
      <c r="O26" s="14">
        <f>N26-P26</f>
        <v/>
      </c>
      <c r="P26" s="14">
        <f>N26/(1+'3 - Il ponte'!$B$16)</f>
        <v/>
      </c>
      <c r="Q26" s="14">
        <f>L26+O26</f>
        <v/>
      </c>
      <c r="R26" s="14">
        <f>R25-K26*R25/P25</f>
        <v/>
      </c>
      <c r="S26" s="14">
        <f>P26/(1+'3 - Il ponte'!$B$8)^5</f>
        <v/>
      </c>
    </row>
    <row r="27">
      <c r="A27" s="23" t="n">
        <v>6</v>
      </c>
      <c r="B27" s="14">
        <f>'3 - Il ponte'!$B$7*(1+'3 - Il ponte'!$B$8)^(6-1)</f>
        <v/>
      </c>
      <c r="C27" s="14">
        <f>'3 - Il ponte'!$E$35</f>
        <v/>
      </c>
      <c r="D27" s="14">
        <f>('3 - Il ponte'!$B$35+'3 - Il ponte'!$C$35)*'3 - Il ponte'!$B$14</f>
        <v/>
      </c>
      <c r="E27" s="14">
        <f>MAX(0,E26-'3 - Il ponte'!$D$34)</f>
        <v/>
      </c>
      <c r="F27" s="14">
        <f>MAX(0,'3 - Il ponte'!$D$35-E27)*'3 - Il ponte'!$B$15</f>
        <v/>
      </c>
      <c r="G27" s="14">
        <f>C27-D27-F27</f>
        <v/>
      </c>
      <c r="H27" s="14">
        <f>B27-G27</f>
        <v/>
      </c>
      <c r="I27" s="15">
        <f>1-R26/P26</f>
        <v/>
      </c>
      <c r="J27" s="15">
        <f>'3 - Il ponte'!$B$13*I27</f>
        <v/>
      </c>
      <c r="K27" s="14">
        <f>H27/(1-J27)</f>
        <v/>
      </c>
      <c r="L27" s="14">
        <f>C27+K27</f>
        <v/>
      </c>
      <c r="M27" s="15">
        <f>$B$12</f>
        <v/>
      </c>
      <c r="N27" s="14">
        <f>(P26-L27)*(1+M27)*(1+'3 - Il ponte'!$B$8)</f>
        <v/>
      </c>
      <c r="O27" s="14">
        <f>N27-P27</f>
        <v/>
      </c>
      <c r="P27" s="14">
        <f>N27/(1+'3 - Il ponte'!$B$16)</f>
        <v/>
      </c>
      <c r="Q27" s="14">
        <f>L27+O27</f>
        <v/>
      </c>
      <c r="R27" s="14">
        <f>R26-K27*R26/P26</f>
        <v/>
      </c>
      <c r="S27" s="14">
        <f>P27/(1+'3 - Il ponte'!$B$8)^6</f>
        <v/>
      </c>
    </row>
    <row r="28">
      <c r="A28" s="23" t="n">
        <v>7</v>
      </c>
      <c r="B28" s="14">
        <f>'3 - Il ponte'!$B$7*(1+'3 - Il ponte'!$B$8)^(7-1)</f>
        <v/>
      </c>
      <c r="C28" s="14">
        <f>'3 - Il ponte'!$E$36</f>
        <v/>
      </c>
      <c r="D28" s="14">
        <f>('3 - Il ponte'!$B$36+'3 - Il ponte'!$C$36)*'3 - Il ponte'!$B$14</f>
        <v/>
      </c>
      <c r="E28" s="14">
        <f>MAX(0,E27-'3 - Il ponte'!$D$35)</f>
        <v/>
      </c>
      <c r="F28" s="14">
        <f>MAX(0,'3 - Il ponte'!$D$36-E28)*'3 - Il ponte'!$B$15</f>
        <v/>
      </c>
      <c r="G28" s="14">
        <f>C28-D28-F28</f>
        <v/>
      </c>
      <c r="H28" s="14">
        <f>B28-G28</f>
        <v/>
      </c>
      <c r="I28" s="15">
        <f>1-R27/P27</f>
        <v/>
      </c>
      <c r="J28" s="15">
        <f>'3 - Il ponte'!$B$13*I28</f>
        <v/>
      </c>
      <c r="K28" s="14">
        <f>H28/(1-J28)</f>
        <v/>
      </c>
      <c r="L28" s="14">
        <f>C28+K28</f>
        <v/>
      </c>
      <c r="M28" s="15">
        <f>$B$13</f>
        <v/>
      </c>
      <c r="N28" s="14">
        <f>(P27-L28)*(1+M28)*(1+'3 - Il ponte'!$B$8)</f>
        <v/>
      </c>
      <c r="O28" s="14">
        <f>N28-P28</f>
        <v/>
      </c>
      <c r="P28" s="14">
        <f>N28/(1+'3 - Il ponte'!$B$16)</f>
        <v/>
      </c>
      <c r="Q28" s="14">
        <f>L28+O28</f>
        <v/>
      </c>
      <c r="R28" s="14">
        <f>R27-K28*R27/P27</f>
        <v/>
      </c>
      <c r="S28" s="14">
        <f>P28/(1+'3 - Il ponte'!$B$8)^7</f>
        <v/>
      </c>
    </row>
    <row r="29">
      <c r="A29" s="23" t="n">
        <v>8</v>
      </c>
      <c r="B29" s="14">
        <f>'3 - Il ponte'!$B$7*(1+'3 - Il ponte'!$B$8)^(8-1)</f>
        <v/>
      </c>
      <c r="C29" s="14">
        <f>'3 - Il ponte'!$E$37</f>
        <v/>
      </c>
      <c r="D29" s="14">
        <f>('3 - Il ponte'!$B$37+'3 - Il ponte'!$C$37)*'3 - Il ponte'!$B$14</f>
        <v/>
      </c>
      <c r="E29" s="14">
        <f>MAX(0,E28-'3 - Il ponte'!$D$36)</f>
        <v/>
      </c>
      <c r="F29" s="14">
        <f>MAX(0,'3 - Il ponte'!$D$37-E29)*'3 - Il ponte'!$B$15</f>
        <v/>
      </c>
      <c r="G29" s="14">
        <f>C29-D29-F29</f>
        <v/>
      </c>
      <c r="H29" s="14">
        <f>B29-G29</f>
        <v/>
      </c>
      <c r="I29" s="15">
        <f>1-R28/P28</f>
        <v/>
      </c>
      <c r="J29" s="15">
        <f>'3 - Il ponte'!$B$13*I29</f>
        <v/>
      </c>
      <c r="K29" s="14">
        <f>H29/(1-J29)</f>
        <v/>
      </c>
      <c r="L29" s="14">
        <f>C29+K29</f>
        <v/>
      </c>
      <c r="M29" s="15">
        <f>$B$14</f>
        <v/>
      </c>
      <c r="N29" s="14">
        <f>(P28-L29)*(1+M29)*(1+'3 - Il ponte'!$B$8)</f>
        <v/>
      </c>
      <c r="O29" s="14">
        <f>N29-P29</f>
        <v/>
      </c>
      <c r="P29" s="14">
        <f>N29/(1+'3 - Il ponte'!$B$16)</f>
        <v/>
      </c>
      <c r="Q29" s="14">
        <f>L29+O29</f>
        <v/>
      </c>
      <c r="R29" s="14">
        <f>R28-K29*R28/P28</f>
        <v/>
      </c>
      <c r="S29" s="14">
        <f>P29/(1+'3 - Il ponte'!$B$8)^8</f>
        <v/>
      </c>
    </row>
    <row r="30">
      <c r="A30" s="23" t="n">
        <v>9</v>
      </c>
      <c r="B30" s="14">
        <f>'3 - Il ponte'!$B$7*(1+'3 - Il ponte'!$B$8)^(9-1)</f>
        <v/>
      </c>
      <c r="C30" s="14">
        <f>'3 - Il ponte'!$E$38</f>
        <v/>
      </c>
      <c r="D30" s="14">
        <f>('3 - Il ponte'!$B$38+'3 - Il ponte'!$C$38)*'3 - Il ponte'!$B$14</f>
        <v/>
      </c>
      <c r="E30" s="14">
        <f>MAX(0,E29-'3 - Il ponte'!$D$37)</f>
        <v/>
      </c>
      <c r="F30" s="14">
        <f>MAX(0,'3 - Il ponte'!$D$38-E30)*'3 - Il ponte'!$B$15</f>
        <v/>
      </c>
      <c r="G30" s="14">
        <f>C30-D30-F30</f>
        <v/>
      </c>
      <c r="H30" s="14">
        <f>B30-G30</f>
        <v/>
      </c>
      <c r="I30" s="15">
        <f>1-R29/P29</f>
        <v/>
      </c>
      <c r="J30" s="15">
        <f>'3 - Il ponte'!$B$13*I30</f>
        <v/>
      </c>
      <c r="K30" s="14">
        <f>H30/(1-J30)</f>
        <v/>
      </c>
      <c r="L30" s="14">
        <f>C30+K30</f>
        <v/>
      </c>
      <c r="M30" s="15">
        <f>$B$15</f>
        <v/>
      </c>
      <c r="N30" s="14">
        <f>(P29-L30)*(1+M30)*(1+'3 - Il ponte'!$B$8)</f>
        <v/>
      </c>
      <c r="O30" s="14">
        <f>N30-P30</f>
        <v/>
      </c>
      <c r="P30" s="14">
        <f>N30/(1+'3 - Il ponte'!$B$16)</f>
        <v/>
      </c>
      <c r="Q30" s="14">
        <f>L30+O30</f>
        <v/>
      </c>
      <c r="R30" s="14">
        <f>R29-K30*R29/P29</f>
        <v/>
      </c>
      <c r="S30" s="14">
        <f>P30/(1+'3 - Il ponte'!$B$8)^9</f>
        <v/>
      </c>
    </row>
    <row r="31">
      <c r="A31" s="23" t="n">
        <v>10</v>
      </c>
      <c r="B31" s="14">
        <f>'3 - Il ponte'!$B$7*(1+'3 - Il ponte'!$B$8)^(10-1)</f>
        <v/>
      </c>
      <c r="C31" s="14">
        <f>'3 - Il ponte'!$E$39</f>
        <v/>
      </c>
      <c r="D31" s="14">
        <f>('3 - Il ponte'!$B$39+'3 - Il ponte'!$C$39)*'3 - Il ponte'!$B$14</f>
        <v/>
      </c>
      <c r="E31" s="14">
        <f>MAX(0,E30-'3 - Il ponte'!$D$38)</f>
        <v/>
      </c>
      <c r="F31" s="14">
        <f>MAX(0,'3 - Il ponte'!$D$39-E31)*'3 - Il ponte'!$B$15</f>
        <v/>
      </c>
      <c r="G31" s="14">
        <f>C31-D31-F31</f>
        <v/>
      </c>
      <c r="H31" s="14">
        <f>B31-G31</f>
        <v/>
      </c>
      <c r="I31" s="15">
        <f>1-R30/P30</f>
        <v/>
      </c>
      <c r="J31" s="15">
        <f>'3 - Il ponte'!$B$13*I31</f>
        <v/>
      </c>
      <c r="K31" s="14">
        <f>H31/(1-J31)</f>
        <v/>
      </c>
      <c r="L31" s="14">
        <f>C31+K31</f>
        <v/>
      </c>
      <c r="M31" s="15">
        <f>$B$16</f>
        <v/>
      </c>
      <c r="N31" s="14">
        <f>(P30-L31)*(1+M31)*(1+'3 - Il ponte'!$B$8)</f>
        <v/>
      </c>
      <c r="O31" s="14">
        <f>N31-P31</f>
        <v/>
      </c>
      <c r="P31" s="14">
        <f>N31/(1+'3 - Il ponte'!$B$16)</f>
        <v/>
      </c>
      <c r="Q31" s="14">
        <f>L31+O31</f>
        <v/>
      </c>
      <c r="R31" s="14">
        <f>R30-K31*R30/P30</f>
        <v/>
      </c>
      <c r="S31" s="14">
        <f>P31/(1+'3 - Il ponte'!$B$8)^10</f>
        <v/>
      </c>
    </row>
    <row r="32"/>
    <row r="33"/>
    <row r="34">
      <c r="A34" s="8" t="inlineStr">
        <is>
          <t>IL PONTE CON I CROLLI ALLA FINE</t>
        </is>
      </c>
    </row>
    <row r="35" ht="44" customHeight="1">
      <c r="A35" s="16" t="inlineStr">
        <is>
          <t>Anno</t>
        </is>
      </c>
      <c r="B35" s="16" t="inlineStr">
        <is>
          <t>Spesa netta
dell'anno</t>
        </is>
      </c>
      <c r="C35" s="16" t="inlineStr">
        <is>
          <t>Cedole
lorde</t>
        </is>
      </c>
      <c r="D35" s="16" t="inlineStr">
        <is>
          <t>Imposta 12,5%
su BTP e premio</t>
        </is>
      </c>
      <c r="E35" s="16" t="inlineStr">
        <is>
          <t>Zainetto minus.
a inizio anno</t>
        </is>
      </c>
      <c r="F35" s="16" t="inlineStr">
        <is>
          <t>Imposta 26%
sui premi</t>
        </is>
      </c>
      <c r="G35" s="16" t="inlineStr">
        <is>
          <t>Cedole
nette</t>
        </is>
      </c>
      <c r="H35" s="16" t="inlineStr">
        <is>
          <t>Da coprire
vendendo</t>
        </is>
      </c>
      <c r="I35" s="16" t="inlineStr">
        <is>
          <t>Plusvalenza
latente</t>
        </is>
      </c>
      <c r="J35" s="16" t="inlineStr">
        <is>
          <t>Aliquota eff.
sulla vendita</t>
        </is>
      </c>
      <c r="K35" s="16" t="inlineStr">
        <is>
          <t>Vendita
lorda</t>
        </is>
      </c>
      <c r="L35" s="16" t="inlineStr">
        <is>
          <t>Uscita lorda
(cedole+vendita)</t>
        </is>
      </c>
      <c r="M35" s="16" t="inlineStr">
        <is>
          <t>Rendimento
reale</t>
        </is>
      </c>
      <c r="N35" s="16" t="inlineStr">
        <is>
          <t>Patrimonio
prima del bollo</t>
        </is>
      </c>
      <c r="O35" s="16" t="inlineStr">
        <is>
          <t>Imposta
di bollo</t>
        </is>
      </c>
      <c r="P35" s="16" t="inlineStr">
        <is>
          <t>Patrimonio
a fine anno</t>
        </is>
      </c>
      <c r="Q35" s="16" t="inlineStr">
        <is>
          <t>USCITA TOTALE
col bollo</t>
        </is>
      </c>
      <c r="R35" s="16" t="inlineStr">
        <is>
          <t>Costo fiscale
a fine anno</t>
        </is>
      </c>
      <c r="S35" s="16" t="inlineStr">
        <is>
          <t>Patrimonio in
euro di oggi</t>
        </is>
      </c>
    </row>
    <row r="36">
      <c r="A36" s="23" t="n">
        <v>1</v>
      </c>
      <c r="B36" s="14">
        <f>'3 - Il ponte'!$B$7*(1+'3 - Il ponte'!$B$8)^(1-1)</f>
        <v/>
      </c>
      <c r="C36" s="14">
        <f>'3 - Il ponte'!$E$30</f>
        <v/>
      </c>
      <c r="D36" s="14">
        <f>('3 - Il ponte'!$B$30+'3 - Il ponte'!$C$30)*'3 - Il ponte'!$B$14</f>
        <v/>
      </c>
      <c r="E36" s="14">
        <f>'3 - Il ponte'!$B$26</f>
        <v/>
      </c>
      <c r="F36" s="14">
        <f>MAX(0,'3 - Il ponte'!$D$30-E36)*'3 - Il ponte'!$B$15</f>
        <v/>
      </c>
      <c r="G36" s="14">
        <f>C36-D36-F36</f>
        <v/>
      </c>
      <c r="H36" s="14">
        <f>B36-G36</f>
        <v/>
      </c>
      <c r="I36" s="15">
        <f>1-('3 - Il ponte'!$B$6*(1-'3 - Il ponte'!$B$12))/'3 - Il ponte'!$B$6</f>
        <v/>
      </c>
      <c r="J36" s="15">
        <f>'3 - Il ponte'!$B$13*I36</f>
        <v/>
      </c>
      <c r="K36" s="14">
        <f>H36/(1-J36)</f>
        <v/>
      </c>
      <c r="L36" s="14">
        <f>C36+K36</f>
        <v/>
      </c>
      <c r="M36" s="15">
        <f>$C$7</f>
        <v/>
      </c>
      <c r="N36" s="14">
        <f>('3 - Il ponte'!$B$6-L36)*(1+M36)*(1+'3 - Il ponte'!$B$8)</f>
        <v/>
      </c>
      <c r="O36" s="14">
        <f>N36-P36</f>
        <v/>
      </c>
      <c r="P36" s="14">
        <f>N36/(1+'3 - Il ponte'!$B$16)</f>
        <v/>
      </c>
      <c r="Q36" s="14">
        <f>L36+O36</f>
        <v/>
      </c>
      <c r="R36" s="14">
        <f>('3 - Il ponte'!$B$6*(1-'3 - Il ponte'!$B$12))-K36*('3 - Il ponte'!$B$6*(1-'3 - Il ponte'!$B$12))/'3 - Il ponte'!$B$6</f>
        <v/>
      </c>
      <c r="S36" s="14">
        <f>P36/(1+'3 - Il ponte'!$B$8)^1</f>
        <v/>
      </c>
    </row>
    <row r="37">
      <c r="A37" s="23" t="n">
        <v>2</v>
      </c>
      <c r="B37" s="14">
        <f>'3 - Il ponte'!$B$7*(1+'3 - Il ponte'!$B$8)^(2-1)</f>
        <v/>
      </c>
      <c r="C37" s="14">
        <f>'3 - Il ponte'!$E$31</f>
        <v/>
      </c>
      <c r="D37" s="14">
        <f>('3 - Il ponte'!$B$31+'3 - Il ponte'!$C$31)*'3 - Il ponte'!$B$14</f>
        <v/>
      </c>
      <c r="E37" s="14">
        <f>MAX(0,E36-'3 - Il ponte'!$D$30)</f>
        <v/>
      </c>
      <c r="F37" s="14">
        <f>MAX(0,'3 - Il ponte'!$D$31-E37)*'3 - Il ponte'!$B$15</f>
        <v/>
      </c>
      <c r="G37" s="14">
        <f>C37-D37-F37</f>
        <v/>
      </c>
      <c r="H37" s="14">
        <f>B37-G37</f>
        <v/>
      </c>
      <c r="I37" s="15">
        <f>1-R36/P36</f>
        <v/>
      </c>
      <c r="J37" s="15">
        <f>'3 - Il ponte'!$B$13*I37</f>
        <v/>
      </c>
      <c r="K37" s="14">
        <f>H37/(1-J37)</f>
        <v/>
      </c>
      <c r="L37" s="14">
        <f>C37+K37</f>
        <v/>
      </c>
      <c r="M37" s="15">
        <f>$C$8</f>
        <v/>
      </c>
      <c r="N37" s="14">
        <f>(P36-L37)*(1+M37)*(1+'3 - Il ponte'!$B$8)</f>
        <v/>
      </c>
      <c r="O37" s="14">
        <f>N37-P37</f>
        <v/>
      </c>
      <c r="P37" s="14">
        <f>N37/(1+'3 - Il ponte'!$B$16)</f>
        <v/>
      </c>
      <c r="Q37" s="14">
        <f>L37+O37</f>
        <v/>
      </c>
      <c r="R37" s="14">
        <f>R36-K37*R36/P36</f>
        <v/>
      </c>
      <c r="S37" s="14">
        <f>P37/(1+'3 - Il ponte'!$B$8)^2</f>
        <v/>
      </c>
    </row>
    <row r="38">
      <c r="A38" s="23" t="n">
        <v>3</v>
      </c>
      <c r="B38" s="14">
        <f>'3 - Il ponte'!$B$7*(1+'3 - Il ponte'!$B$8)^(3-1)</f>
        <v/>
      </c>
      <c r="C38" s="14">
        <f>'3 - Il ponte'!$E$32</f>
        <v/>
      </c>
      <c r="D38" s="14">
        <f>('3 - Il ponte'!$B$32+'3 - Il ponte'!$C$32)*'3 - Il ponte'!$B$14</f>
        <v/>
      </c>
      <c r="E38" s="14">
        <f>MAX(0,E37-'3 - Il ponte'!$D$31)</f>
        <v/>
      </c>
      <c r="F38" s="14">
        <f>MAX(0,'3 - Il ponte'!$D$32-E38)*'3 - Il ponte'!$B$15</f>
        <v/>
      </c>
      <c r="G38" s="14">
        <f>C38-D38-F38</f>
        <v/>
      </c>
      <c r="H38" s="14">
        <f>B38-G38</f>
        <v/>
      </c>
      <c r="I38" s="15">
        <f>1-R37/P37</f>
        <v/>
      </c>
      <c r="J38" s="15">
        <f>'3 - Il ponte'!$B$13*I38</f>
        <v/>
      </c>
      <c r="K38" s="14">
        <f>H38/(1-J38)</f>
        <v/>
      </c>
      <c r="L38" s="14">
        <f>C38+K38</f>
        <v/>
      </c>
      <c r="M38" s="15">
        <f>$C$9</f>
        <v/>
      </c>
      <c r="N38" s="14">
        <f>(P37-L38)*(1+M38)*(1+'3 - Il ponte'!$B$8)</f>
        <v/>
      </c>
      <c r="O38" s="14">
        <f>N38-P38</f>
        <v/>
      </c>
      <c r="P38" s="14">
        <f>N38/(1+'3 - Il ponte'!$B$16)</f>
        <v/>
      </c>
      <c r="Q38" s="14">
        <f>L38+O38</f>
        <v/>
      </c>
      <c r="R38" s="14">
        <f>R37-K38*R37/P37</f>
        <v/>
      </c>
      <c r="S38" s="14">
        <f>P38/(1+'3 - Il ponte'!$B$8)^3</f>
        <v/>
      </c>
    </row>
    <row r="39">
      <c r="A39" s="23" t="n">
        <v>4</v>
      </c>
      <c r="B39" s="14">
        <f>'3 - Il ponte'!$B$7*(1+'3 - Il ponte'!$B$8)^(4-1)</f>
        <v/>
      </c>
      <c r="C39" s="14">
        <f>'3 - Il ponte'!$E$33</f>
        <v/>
      </c>
      <c r="D39" s="14">
        <f>('3 - Il ponte'!$B$33+'3 - Il ponte'!$C$33)*'3 - Il ponte'!$B$14</f>
        <v/>
      </c>
      <c r="E39" s="14">
        <f>MAX(0,E38-'3 - Il ponte'!$D$32)</f>
        <v/>
      </c>
      <c r="F39" s="14">
        <f>MAX(0,'3 - Il ponte'!$D$33-E39)*'3 - Il ponte'!$B$15</f>
        <v/>
      </c>
      <c r="G39" s="14">
        <f>C39-D39-F39</f>
        <v/>
      </c>
      <c r="H39" s="14">
        <f>B39-G39</f>
        <v/>
      </c>
      <c r="I39" s="15">
        <f>1-R38/P38</f>
        <v/>
      </c>
      <c r="J39" s="15">
        <f>'3 - Il ponte'!$B$13*I39</f>
        <v/>
      </c>
      <c r="K39" s="14">
        <f>H39/(1-J39)</f>
        <v/>
      </c>
      <c r="L39" s="14">
        <f>C39+K39</f>
        <v/>
      </c>
      <c r="M39" s="15">
        <f>$C$10</f>
        <v/>
      </c>
      <c r="N39" s="14">
        <f>(P38-L39)*(1+M39)*(1+'3 - Il ponte'!$B$8)</f>
        <v/>
      </c>
      <c r="O39" s="14">
        <f>N39-P39</f>
        <v/>
      </c>
      <c r="P39" s="14">
        <f>N39/(1+'3 - Il ponte'!$B$16)</f>
        <v/>
      </c>
      <c r="Q39" s="14">
        <f>L39+O39</f>
        <v/>
      </c>
      <c r="R39" s="14">
        <f>R38-K39*R38/P38</f>
        <v/>
      </c>
      <c r="S39" s="14">
        <f>P39/(1+'3 - Il ponte'!$B$8)^4</f>
        <v/>
      </c>
    </row>
    <row r="40">
      <c r="A40" s="23" t="n">
        <v>5</v>
      </c>
      <c r="B40" s="14">
        <f>'3 - Il ponte'!$B$7*(1+'3 - Il ponte'!$B$8)^(5-1)</f>
        <v/>
      </c>
      <c r="C40" s="14">
        <f>'3 - Il ponte'!$E$34</f>
        <v/>
      </c>
      <c r="D40" s="14">
        <f>('3 - Il ponte'!$B$34+'3 - Il ponte'!$C$34)*'3 - Il ponte'!$B$14</f>
        <v/>
      </c>
      <c r="E40" s="14">
        <f>MAX(0,E39-'3 - Il ponte'!$D$33)</f>
        <v/>
      </c>
      <c r="F40" s="14">
        <f>MAX(0,'3 - Il ponte'!$D$34-E40)*'3 - Il ponte'!$B$15</f>
        <v/>
      </c>
      <c r="G40" s="14">
        <f>C40-D40-F40</f>
        <v/>
      </c>
      <c r="H40" s="14">
        <f>B40-G40</f>
        <v/>
      </c>
      <c r="I40" s="15">
        <f>1-R39/P39</f>
        <v/>
      </c>
      <c r="J40" s="15">
        <f>'3 - Il ponte'!$B$13*I40</f>
        <v/>
      </c>
      <c r="K40" s="14">
        <f>H40/(1-J40)</f>
        <v/>
      </c>
      <c r="L40" s="14">
        <f>C40+K40</f>
        <v/>
      </c>
      <c r="M40" s="15">
        <f>$C$11</f>
        <v/>
      </c>
      <c r="N40" s="14">
        <f>(P39-L40)*(1+M40)*(1+'3 - Il ponte'!$B$8)</f>
        <v/>
      </c>
      <c r="O40" s="14">
        <f>N40-P40</f>
        <v/>
      </c>
      <c r="P40" s="14">
        <f>N40/(1+'3 - Il ponte'!$B$16)</f>
        <v/>
      </c>
      <c r="Q40" s="14">
        <f>L40+O40</f>
        <v/>
      </c>
      <c r="R40" s="14">
        <f>R39-K40*R39/P39</f>
        <v/>
      </c>
      <c r="S40" s="14">
        <f>P40/(1+'3 - Il ponte'!$B$8)^5</f>
        <v/>
      </c>
    </row>
    <row r="41">
      <c r="A41" s="23" t="n">
        <v>6</v>
      </c>
      <c r="B41" s="14">
        <f>'3 - Il ponte'!$B$7*(1+'3 - Il ponte'!$B$8)^(6-1)</f>
        <v/>
      </c>
      <c r="C41" s="14">
        <f>'3 - Il ponte'!$E$35</f>
        <v/>
      </c>
      <c r="D41" s="14">
        <f>('3 - Il ponte'!$B$35+'3 - Il ponte'!$C$35)*'3 - Il ponte'!$B$14</f>
        <v/>
      </c>
      <c r="E41" s="14">
        <f>MAX(0,E40-'3 - Il ponte'!$D$34)</f>
        <v/>
      </c>
      <c r="F41" s="14">
        <f>MAX(0,'3 - Il ponte'!$D$35-E41)*'3 - Il ponte'!$B$15</f>
        <v/>
      </c>
      <c r="G41" s="14">
        <f>C41-D41-F41</f>
        <v/>
      </c>
      <c r="H41" s="14">
        <f>B41-G41</f>
        <v/>
      </c>
      <c r="I41" s="15">
        <f>1-R40/P40</f>
        <v/>
      </c>
      <c r="J41" s="15">
        <f>'3 - Il ponte'!$B$13*I41</f>
        <v/>
      </c>
      <c r="K41" s="14">
        <f>H41/(1-J41)</f>
        <v/>
      </c>
      <c r="L41" s="14">
        <f>C41+K41</f>
        <v/>
      </c>
      <c r="M41" s="15">
        <f>$C$12</f>
        <v/>
      </c>
      <c r="N41" s="14">
        <f>(P40-L41)*(1+M41)*(1+'3 - Il ponte'!$B$8)</f>
        <v/>
      </c>
      <c r="O41" s="14">
        <f>N41-P41</f>
        <v/>
      </c>
      <c r="P41" s="14">
        <f>N41/(1+'3 - Il ponte'!$B$16)</f>
        <v/>
      </c>
      <c r="Q41" s="14">
        <f>L41+O41</f>
        <v/>
      </c>
      <c r="R41" s="14">
        <f>R40-K41*R40/P40</f>
        <v/>
      </c>
      <c r="S41" s="14">
        <f>P41/(1+'3 - Il ponte'!$B$8)^6</f>
        <v/>
      </c>
    </row>
    <row r="42">
      <c r="A42" s="23" t="n">
        <v>7</v>
      </c>
      <c r="B42" s="14">
        <f>'3 - Il ponte'!$B$7*(1+'3 - Il ponte'!$B$8)^(7-1)</f>
        <v/>
      </c>
      <c r="C42" s="14">
        <f>'3 - Il ponte'!$E$36</f>
        <v/>
      </c>
      <c r="D42" s="14">
        <f>('3 - Il ponte'!$B$36+'3 - Il ponte'!$C$36)*'3 - Il ponte'!$B$14</f>
        <v/>
      </c>
      <c r="E42" s="14">
        <f>MAX(0,E41-'3 - Il ponte'!$D$35)</f>
        <v/>
      </c>
      <c r="F42" s="14">
        <f>MAX(0,'3 - Il ponte'!$D$36-E42)*'3 - Il ponte'!$B$15</f>
        <v/>
      </c>
      <c r="G42" s="14">
        <f>C42-D42-F42</f>
        <v/>
      </c>
      <c r="H42" s="14">
        <f>B42-G42</f>
        <v/>
      </c>
      <c r="I42" s="15">
        <f>1-R41/P41</f>
        <v/>
      </c>
      <c r="J42" s="15">
        <f>'3 - Il ponte'!$B$13*I42</f>
        <v/>
      </c>
      <c r="K42" s="14">
        <f>H42/(1-J42)</f>
        <v/>
      </c>
      <c r="L42" s="14">
        <f>C42+K42</f>
        <v/>
      </c>
      <c r="M42" s="15">
        <f>$C$13</f>
        <v/>
      </c>
      <c r="N42" s="14">
        <f>(P41-L42)*(1+M42)*(1+'3 - Il ponte'!$B$8)</f>
        <v/>
      </c>
      <c r="O42" s="14">
        <f>N42-P42</f>
        <v/>
      </c>
      <c r="P42" s="14">
        <f>N42/(1+'3 - Il ponte'!$B$16)</f>
        <v/>
      </c>
      <c r="Q42" s="14">
        <f>L42+O42</f>
        <v/>
      </c>
      <c r="R42" s="14">
        <f>R41-K42*R41/P41</f>
        <v/>
      </c>
      <c r="S42" s="14">
        <f>P42/(1+'3 - Il ponte'!$B$8)^7</f>
        <v/>
      </c>
    </row>
    <row r="43">
      <c r="A43" s="23" t="n">
        <v>8</v>
      </c>
      <c r="B43" s="14">
        <f>'3 - Il ponte'!$B$7*(1+'3 - Il ponte'!$B$8)^(8-1)</f>
        <v/>
      </c>
      <c r="C43" s="14">
        <f>'3 - Il ponte'!$E$37</f>
        <v/>
      </c>
      <c r="D43" s="14">
        <f>('3 - Il ponte'!$B$37+'3 - Il ponte'!$C$37)*'3 - Il ponte'!$B$14</f>
        <v/>
      </c>
      <c r="E43" s="14">
        <f>MAX(0,E42-'3 - Il ponte'!$D$36)</f>
        <v/>
      </c>
      <c r="F43" s="14">
        <f>MAX(0,'3 - Il ponte'!$D$37-E43)*'3 - Il ponte'!$B$15</f>
        <v/>
      </c>
      <c r="G43" s="14">
        <f>C43-D43-F43</f>
        <v/>
      </c>
      <c r="H43" s="14">
        <f>B43-G43</f>
        <v/>
      </c>
      <c r="I43" s="15">
        <f>1-R42/P42</f>
        <v/>
      </c>
      <c r="J43" s="15">
        <f>'3 - Il ponte'!$B$13*I43</f>
        <v/>
      </c>
      <c r="K43" s="14">
        <f>H43/(1-J43)</f>
        <v/>
      </c>
      <c r="L43" s="14">
        <f>C43+K43</f>
        <v/>
      </c>
      <c r="M43" s="15">
        <f>$C$14</f>
        <v/>
      </c>
      <c r="N43" s="14">
        <f>(P42-L43)*(1+M43)*(1+'3 - Il ponte'!$B$8)</f>
        <v/>
      </c>
      <c r="O43" s="14">
        <f>N43-P43</f>
        <v/>
      </c>
      <c r="P43" s="14">
        <f>N43/(1+'3 - Il ponte'!$B$16)</f>
        <v/>
      </c>
      <c r="Q43" s="14">
        <f>L43+O43</f>
        <v/>
      </c>
      <c r="R43" s="14">
        <f>R42-K43*R42/P42</f>
        <v/>
      </c>
      <c r="S43" s="14">
        <f>P43/(1+'3 - Il ponte'!$B$8)^8</f>
        <v/>
      </c>
    </row>
    <row r="44">
      <c r="A44" s="23" t="n">
        <v>9</v>
      </c>
      <c r="B44" s="14">
        <f>'3 - Il ponte'!$B$7*(1+'3 - Il ponte'!$B$8)^(9-1)</f>
        <v/>
      </c>
      <c r="C44" s="14">
        <f>'3 - Il ponte'!$E$38</f>
        <v/>
      </c>
      <c r="D44" s="14">
        <f>('3 - Il ponte'!$B$38+'3 - Il ponte'!$C$38)*'3 - Il ponte'!$B$14</f>
        <v/>
      </c>
      <c r="E44" s="14">
        <f>MAX(0,E43-'3 - Il ponte'!$D$37)</f>
        <v/>
      </c>
      <c r="F44" s="14">
        <f>MAX(0,'3 - Il ponte'!$D$38-E44)*'3 - Il ponte'!$B$15</f>
        <v/>
      </c>
      <c r="G44" s="14">
        <f>C44-D44-F44</f>
        <v/>
      </c>
      <c r="H44" s="14">
        <f>B44-G44</f>
        <v/>
      </c>
      <c r="I44" s="15">
        <f>1-R43/P43</f>
        <v/>
      </c>
      <c r="J44" s="15">
        <f>'3 - Il ponte'!$B$13*I44</f>
        <v/>
      </c>
      <c r="K44" s="14">
        <f>H44/(1-J44)</f>
        <v/>
      </c>
      <c r="L44" s="14">
        <f>C44+K44</f>
        <v/>
      </c>
      <c r="M44" s="15">
        <f>$C$15</f>
        <v/>
      </c>
      <c r="N44" s="14">
        <f>(P43-L44)*(1+M44)*(1+'3 - Il ponte'!$B$8)</f>
        <v/>
      </c>
      <c r="O44" s="14">
        <f>N44-P44</f>
        <v/>
      </c>
      <c r="P44" s="14">
        <f>N44/(1+'3 - Il ponte'!$B$16)</f>
        <v/>
      </c>
      <c r="Q44" s="14">
        <f>L44+O44</f>
        <v/>
      </c>
      <c r="R44" s="14">
        <f>R43-K44*R43/P43</f>
        <v/>
      </c>
      <c r="S44" s="14">
        <f>P44/(1+'3 - Il ponte'!$B$8)^9</f>
        <v/>
      </c>
    </row>
    <row r="45">
      <c r="A45" s="23" t="n">
        <v>10</v>
      </c>
      <c r="B45" s="14">
        <f>'3 - Il ponte'!$B$7*(1+'3 - Il ponte'!$B$8)^(10-1)</f>
        <v/>
      </c>
      <c r="C45" s="14">
        <f>'3 - Il ponte'!$E$39</f>
        <v/>
      </c>
      <c r="D45" s="14">
        <f>('3 - Il ponte'!$B$39+'3 - Il ponte'!$C$39)*'3 - Il ponte'!$B$14</f>
        <v/>
      </c>
      <c r="E45" s="14">
        <f>MAX(0,E44-'3 - Il ponte'!$D$38)</f>
        <v/>
      </c>
      <c r="F45" s="14">
        <f>MAX(0,'3 - Il ponte'!$D$39-E45)*'3 - Il ponte'!$B$15</f>
        <v/>
      </c>
      <c r="G45" s="14">
        <f>C45-D45-F45</f>
        <v/>
      </c>
      <c r="H45" s="14">
        <f>B45-G45</f>
        <v/>
      </c>
      <c r="I45" s="15">
        <f>1-R44/P44</f>
        <v/>
      </c>
      <c r="J45" s="15">
        <f>'3 - Il ponte'!$B$13*I45</f>
        <v/>
      </c>
      <c r="K45" s="14">
        <f>H45/(1-J45)</f>
        <v/>
      </c>
      <c r="L45" s="14">
        <f>C45+K45</f>
        <v/>
      </c>
      <c r="M45" s="15">
        <f>$C$16</f>
        <v/>
      </c>
      <c r="N45" s="14">
        <f>(P44-L45)*(1+M45)*(1+'3 - Il ponte'!$B$8)</f>
        <v/>
      </c>
      <c r="O45" s="14">
        <f>N45-P45</f>
        <v/>
      </c>
      <c r="P45" s="14">
        <f>N45/(1+'3 - Il ponte'!$B$16)</f>
        <v/>
      </c>
      <c r="Q45" s="14">
        <f>L45+O45</f>
        <v/>
      </c>
      <c r="R45" s="14">
        <f>R44-K45*R44/P44</f>
        <v/>
      </c>
      <c r="S45" s="14">
        <f>P45/(1+'3 - Il ponte'!$B$8)^10</f>
        <v/>
      </c>
    </row>
    <row r="46"/>
    <row r="47"/>
    <row r="48">
      <c r="A48" s="8" t="inlineStr">
        <is>
          <t>IL COSTO DELL'ORDINE</t>
        </is>
      </c>
    </row>
    <row r="49" ht="30" customHeight="1">
      <c r="A49" s="9" t="inlineStr">
        <is>
          <t>Capitale a 67 anni — crolli all'inizio</t>
        </is>
      </c>
      <c r="B49" s="26">
        <f>$S$31</f>
        <v/>
      </c>
      <c r="C49" s="27" t="n"/>
      <c r="D49" s="28" t="n"/>
    </row>
    <row r="50" ht="30" customHeight="1">
      <c r="A50" s="9" t="inlineStr">
        <is>
          <t>Capitale a 67 anni — crolli alla fine</t>
        </is>
      </c>
      <c r="B50" s="26">
        <f>$S$45</f>
        <v/>
      </c>
      <c r="C50" s="27" t="n"/>
      <c r="D50" s="28" t="n"/>
    </row>
    <row r="51" ht="40" customHeight="1">
      <c r="A51" s="9" t="inlineStr">
        <is>
          <t>QUANTO COSTA L'ORDINE, IN EURO DI OGGI</t>
        </is>
      </c>
      <c r="B51" s="34">
        <f>$B$50-$B$49</f>
        <v/>
      </c>
      <c r="C51" s="27" t="n"/>
      <c r="D51" s="28" t="n"/>
    </row>
    <row r="52" ht="45" customHeight="1">
      <c r="A52" s="7" t="inlineStr">
        <is>
          <t>A parita' assoluta di rendimento medio. Non e' una previsione ed e' l'unica cosa che davvero non controlli: e' il motivo per cui la domanda giusta non e' «quanto rende» ma «quanto sto prelevando, e su che orizzonte».</t>
        </is>
      </c>
    </row>
    <row r="53" ht="60" customHeight="1">
      <c r="A53" s="7" t="inlineStr">
        <is>
          <t>Attenzione a come si legge: le cedole NON proteggono da questo. Quello che protegge e' avere flussi e scadenze certe davanti all'azionario — nel caso del video, 320.000 € che rimborsano alla pari nel 2032 — e il valore di quella protezione, secondo la letteratura sul decumulo, e' comportamentale prima che matematico.</t>
        </is>
      </c>
    </row>
  </sheetData>
  <mergeCells count="13">
    <mergeCell ref="A3:H3"/>
    <mergeCell ref="A52:F52"/>
    <mergeCell ref="A5:C5"/>
    <mergeCell ref="A2:H2"/>
    <mergeCell ref="A48:D48"/>
    <mergeCell ref="B49:D49"/>
    <mergeCell ref="B50:D50"/>
    <mergeCell ref="A18:C18"/>
    <mergeCell ref="A1:E1"/>
    <mergeCell ref="A34:F34"/>
    <mergeCell ref="A20:F20"/>
    <mergeCell ref="A53:F53"/>
    <mergeCell ref="B51:D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2026-08-16T08:07:16Z</dcterms:created>
  <dcterms:modified xmlns:dcterms="http://purl.org/dc/terms/" xmlns:xsi="http://www.w3.org/2001/XMLSchema-instance" xsi:type="dcterms:W3CDTF">2026-08-16T08:07:16Z</dcterms:modified>
</cp:coreProperties>
</file>