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Parametri" sheetId="2" r:id="rId2"/>
    <sheet name="2 - Sequenza storica" sheetId="3" r:id="rId3"/>
    <sheet name="3 - Rendimento costante" sheetId="4" r:id="rId4"/>
    <sheet name="4 - Fisco e pensione" sheetId="5" r:id="rId5"/>
    <sheet name="5 - Dati" sheetId="6" r:id="rId6"/>
  </sheets>
  <definedNames>
    <definedName name="Aliq">'1 - Parametri'!$B$30</definedName>
    <definedName name="Aliq_eff">'1 - Parametri'!$B$39</definedName>
    <definedName name="Alt_pens1">'4 - Fisco e pensione'!$C$13</definedName>
    <definedName name="Alt_pens2">'4 - Fisco e pensione'!$C$14</definedName>
    <definedName name="Alt_pens3">'4 - Fisco e pensione'!$C$15</definedName>
    <definedName name="Anni">'1 - Parametri'!$B$44</definedName>
    <definedName name="Anni_ipotesi">'1 - Parametri'!$B$48</definedName>
    <definedName name="Anni_osservati">'1 - Parametri'!$B$47</definedName>
    <definedName name="Anno_inizio">'1 - Parametri'!$B$15</definedName>
    <definedName name="Anno_pens">'1 - Parametri'!$B$35</definedName>
    <definedName name="Bollo">'1 - Parametri'!$B$31</definedName>
    <definedName name="Bollo_anno1">'4 - Fisco e pensione'!$B$20</definedName>
    <definedName name="Bollo_eff">'1 - Parametri'!$B$40</definedName>
    <definedName name="Cap_con_pens">'4 - Fisco e pensione'!$B$7</definedName>
    <definedName name="Cap_diff">'4 - Fisco e pensione'!$B$8</definedName>
    <definedName name="Cap_senza_pens">'4 - Fisco e pensione'!$B$6</definedName>
    <definedName name="Durata_testo">'1 - Parametri'!$B$45</definedName>
    <definedName name="Eta_fine">'1 - Parametri'!$B$11</definedName>
    <definedName name="Eta_inizio">'1 - Parametri'!$B$10</definedName>
    <definedName name="Eta_rif_VPW">'1 - Parametri'!$B$19</definedName>
    <definedName name="GK_banda">'1 - Parametri'!$B$22</definedName>
    <definedName name="GK_taglio">'1 - Parametri'!$B$23</definedName>
    <definedName name="GK_ultimi">'1 - Parametri'!$B$24</definedName>
    <definedName name="GK_variante">'1 - Parametri'!$B$21</definedName>
    <definedName name="Imposta_anno1">'4 - Fisco e pensione'!$B$19</definedName>
    <definedName name="Infl_c">'1 - Parametri'!$B$17</definedName>
    <definedName name="Lat_anno_pens">'4 - Fisco e pensione'!$B$33</definedName>
    <definedName name="Lat_anno1">'4 - Fisco e pensione'!$B$32</definedName>
    <definedName name="Lat_ponte2">'1 - Parametri'!$B$37</definedName>
    <definedName name="Lat_ultimo">'4 - Fisco e pensione'!$B$34</definedName>
    <definedName name="Latente_eff">'1 - Parametri'!$B$41</definedName>
    <definedName name="Latente0">'1 - Parametri'!$B$29</definedName>
    <definedName name="Mese_pens">'1 - Parametri'!$B$34</definedName>
    <definedName name="Mesi_ultimo">'1 - Parametri'!$B$12</definedName>
    <definedName name="Modalita">'1 - Parametri'!$B$6</definedName>
    <definedName name="Patrimonio">'1 - Parametri'!$B$7</definedName>
    <definedName name="Pav_pct">'1 - Parametri'!$B$27</definedName>
    <definedName name="Pens_eta_testo">'1 - Parametri'!$B$46</definedName>
    <definedName name="Pens_mesi_req">'1 - Parametri'!$B$36</definedName>
    <definedName name="Pensione">'1 - Parametri'!$B$33</definedName>
    <definedName name="Ponte_L">'4 - Fisco e pensione'!$C$41</definedName>
    <definedName name="Ponte_M">'4 - Fisco e pensione'!$C$42</definedName>
    <definedName name="Ponte_N">'4 - Fisco e pensione'!$C$43</definedName>
    <definedName name="r_VPW">'1 - Parametri'!$B$20</definedName>
    <definedName name="Rend_c">'1 - Parametri'!$B$16</definedName>
    <definedName name="Serie">'1 - Parametri'!$B$14</definedName>
    <definedName name="Spesa_netta">'1 - Parametri'!$B$9</definedName>
    <definedName name="Spesa0">'1 - Parametri'!$B$42</definedName>
    <definedName name="Tasso">'1 - Parametri'!$B$8</definedName>
    <definedName name="Tasso_con_bollo">'4 - Fisco e pensione'!$B$23</definedName>
    <definedName name="Tasso_lordo_eq">'4 - Fisco e pensione'!$B$22</definedName>
    <definedName name="Tasso0">'1 - Parametri'!$B$43</definedName>
    <definedName name="Uscita_anno1">'4 - Fisco e pensione'!$B$21</definedName>
    <definedName name="Venduto_anno1">'4 - Fisco e pensione'!$B$18</definedName>
    <definedName name="VG_pav">'1 - Parametri'!$B$26</definedName>
    <definedName name="VG_tetto">'1 - Parametri'!$B$25</definedName>
  </definedNames>
  <calcPr calcId="144525"/>
</workbook>
</file>

<file path=xl/calcChain.xml><?xml version="1.0" encoding="utf-8"?>
<calcChain xmlns="http://schemas.openxmlformats.org/spreadsheetml/2006/main">
  <c r="F186" i="6" l="1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O65" i="6"/>
  <c r="P65" i="6" s="1"/>
  <c r="F65" i="6"/>
  <c r="O64" i="6"/>
  <c r="P64" i="6" s="1"/>
  <c r="F64" i="6"/>
  <c r="O63" i="6"/>
  <c r="P63" i="6" s="1"/>
  <c r="F63" i="6"/>
  <c r="O62" i="6"/>
  <c r="P62" i="6" s="1"/>
  <c r="F62" i="6"/>
  <c r="O61" i="6"/>
  <c r="P61" i="6" s="1"/>
  <c r="F61" i="6"/>
  <c r="O60" i="6"/>
  <c r="P60" i="6" s="1"/>
  <c r="F60" i="6"/>
  <c r="O59" i="6"/>
  <c r="P59" i="6" s="1"/>
  <c r="F59" i="6"/>
  <c r="O58" i="6"/>
  <c r="P58" i="6" s="1"/>
  <c r="F58" i="6"/>
  <c r="O57" i="6"/>
  <c r="P57" i="6" s="1"/>
  <c r="F57" i="6"/>
  <c r="O56" i="6"/>
  <c r="P56" i="6" s="1"/>
  <c r="F56" i="6"/>
  <c r="O55" i="6"/>
  <c r="P55" i="6" s="1"/>
  <c r="F55" i="6"/>
  <c r="P54" i="6"/>
  <c r="O54" i="6"/>
  <c r="F54" i="6"/>
  <c r="O53" i="6"/>
  <c r="P53" i="6" s="1"/>
  <c r="F53" i="6"/>
  <c r="O52" i="6"/>
  <c r="P52" i="6" s="1"/>
  <c r="F52" i="6"/>
  <c r="O51" i="6"/>
  <c r="P51" i="6" s="1"/>
  <c r="F51" i="6"/>
  <c r="O50" i="6"/>
  <c r="P50" i="6" s="1"/>
  <c r="F50" i="6"/>
  <c r="O49" i="6"/>
  <c r="P49" i="6" s="1"/>
  <c r="F49" i="6"/>
  <c r="O48" i="6"/>
  <c r="P48" i="6" s="1"/>
  <c r="F48" i="6"/>
  <c r="O47" i="6"/>
  <c r="P47" i="6" s="1"/>
  <c r="F47" i="6"/>
  <c r="O46" i="6"/>
  <c r="P46" i="6" s="1"/>
  <c r="F46" i="6"/>
  <c r="O45" i="6"/>
  <c r="P45" i="6" s="1"/>
  <c r="F45" i="6"/>
  <c r="O44" i="6"/>
  <c r="P44" i="6" s="1"/>
  <c r="F44" i="6"/>
  <c r="O43" i="6"/>
  <c r="P43" i="6" s="1"/>
  <c r="F43" i="6"/>
  <c r="O42" i="6"/>
  <c r="P42" i="6" s="1"/>
  <c r="F42" i="6"/>
  <c r="O41" i="6"/>
  <c r="P41" i="6" s="1"/>
  <c r="F41" i="6"/>
  <c r="O40" i="6"/>
  <c r="P40" i="6" s="1"/>
  <c r="F40" i="6"/>
  <c r="O39" i="6"/>
  <c r="P39" i="6" s="1"/>
  <c r="F39" i="6"/>
  <c r="O38" i="6"/>
  <c r="P38" i="6" s="1"/>
  <c r="F38" i="6"/>
  <c r="O37" i="6"/>
  <c r="P37" i="6" s="1"/>
  <c r="F37" i="6"/>
  <c r="O36" i="6"/>
  <c r="P36" i="6" s="1"/>
  <c r="F36" i="6"/>
  <c r="O35" i="6"/>
  <c r="P35" i="6" s="1"/>
  <c r="F35" i="6"/>
  <c r="O34" i="6"/>
  <c r="P34" i="6" s="1"/>
  <c r="F34" i="6"/>
  <c r="O33" i="6"/>
  <c r="P33" i="6" s="1"/>
  <c r="F33" i="6"/>
  <c r="O32" i="6"/>
  <c r="P32" i="6" s="1"/>
  <c r="F32" i="6"/>
  <c r="O31" i="6"/>
  <c r="P31" i="6" s="1"/>
  <c r="F31" i="6"/>
  <c r="O30" i="6"/>
  <c r="P30" i="6" s="1"/>
  <c r="F30" i="6"/>
  <c r="O29" i="6"/>
  <c r="P29" i="6" s="1"/>
  <c r="F29" i="6"/>
  <c r="O28" i="6"/>
  <c r="P28" i="6" s="1"/>
  <c r="F28" i="6"/>
  <c r="O27" i="6"/>
  <c r="P27" i="6" s="1"/>
  <c r="F27" i="6"/>
  <c r="O26" i="6"/>
  <c r="P26" i="6" s="1"/>
  <c r="F26" i="6"/>
  <c r="O25" i="6"/>
  <c r="P25" i="6" s="1"/>
  <c r="F25" i="6"/>
  <c r="O24" i="6"/>
  <c r="P24" i="6" s="1"/>
  <c r="F24" i="6"/>
  <c r="O23" i="6"/>
  <c r="P23" i="6" s="1"/>
  <c r="F23" i="6"/>
  <c r="O22" i="6"/>
  <c r="P22" i="6" s="1"/>
  <c r="F22" i="6"/>
  <c r="O21" i="6"/>
  <c r="P21" i="6" s="1"/>
  <c r="F21" i="6"/>
  <c r="O20" i="6"/>
  <c r="P20" i="6" s="1"/>
  <c r="F20" i="6"/>
  <c r="O19" i="6"/>
  <c r="P19" i="6" s="1"/>
  <c r="F19" i="6"/>
  <c r="O18" i="6"/>
  <c r="P18" i="6" s="1"/>
  <c r="F18" i="6"/>
  <c r="O17" i="6"/>
  <c r="P17" i="6" s="1"/>
  <c r="F17" i="6"/>
  <c r="O16" i="6"/>
  <c r="P16" i="6" s="1"/>
  <c r="F16" i="6"/>
  <c r="O15" i="6"/>
  <c r="P15" i="6" s="1"/>
  <c r="F15" i="6"/>
  <c r="O14" i="6"/>
  <c r="P14" i="6" s="1"/>
  <c r="F14" i="6"/>
  <c r="O13" i="6"/>
  <c r="P13" i="6" s="1"/>
  <c r="F13" i="6"/>
  <c r="O12" i="6"/>
  <c r="P12" i="6" s="1"/>
  <c r="F12" i="6"/>
  <c r="O11" i="6"/>
  <c r="P11" i="6" s="1"/>
  <c r="F11" i="6"/>
  <c r="O10" i="6"/>
  <c r="P10" i="6" s="1"/>
  <c r="F10" i="6"/>
  <c r="O9" i="6"/>
  <c r="P9" i="6" s="1"/>
  <c r="F9" i="6"/>
  <c r="O8" i="6"/>
  <c r="P8" i="6" s="1"/>
  <c r="F8" i="6"/>
  <c r="O7" i="6"/>
  <c r="P7" i="6" s="1"/>
  <c r="F7" i="6"/>
  <c r="O6" i="6"/>
  <c r="P6" i="6" s="1"/>
  <c r="F6" i="6"/>
  <c r="A66" i="5"/>
  <c r="H66" i="5" s="1"/>
  <c r="H65" i="5"/>
  <c r="E65" i="5"/>
  <c r="B35" i="5" s="1"/>
  <c r="B65" i="5"/>
  <c r="B42" i="5"/>
  <c r="B41" i="5"/>
  <c r="F29" i="5"/>
  <c r="B29" i="5"/>
  <c r="C29" i="5" s="1"/>
  <c r="D29" i="5" s="1"/>
  <c r="E29" i="5" s="1"/>
  <c r="F28" i="5"/>
  <c r="B28" i="5"/>
  <c r="C28" i="5" s="1"/>
  <c r="D28" i="5" s="1"/>
  <c r="E28" i="5" s="1"/>
  <c r="F27" i="5"/>
  <c r="B27" i="5"/>
  <c r="C27" i="5" s="1"/>
  <c r="D27" i="5" s="1"/>
  <c r="E27" i="5" s="1"/>
  <c r="B20" i="5"/>
  <c r="B18" i="5"/>
  <c r="B22" i="5" s="1"/>
  <c r="B12" i="5"/>
  <c r="D130" i="4"/>
  <c r="D129" i="4"/>
  <c r="F129" i="4" s="1"/>
  <c r="D128" i="4"/>
  <c r="E128" i="4" s="1"/>
  <c r="D127" i="4"/>
  <c r="E127" i="4" s="1"/>
  <c r="D126" i="4"/>
  <c r="E126" i="4" s="1"/>
  <c r="D125" i="4"/>
  <c r="F125" i="4" s="1"/>
  <c r="D124" i="4"/>
  <c r="F124" i="4" s="1"/>
  <c r="D123" i="4"/>
  <c r="F123" i="4" s="1"/>
  <c r="D122" i="4"/>
  <c r="D121" i="4"/>
  <c r="F121" i="4" s="1"/>
  <c r="D120" i="4"/>
  <c r="F120" i="4" s="1"/>
  <c r="D119" i="4"/>
  <c r="F119" i="4" s="1"/>
  <c r="D118" i="4"/>
  <c r="F118" i="4" s="1"/>
  <c r="D117" i="4"/>
  <c r="F117" i="4" s="1"/>
  <c r="D116" i="4"/>
  <c r="F116" i="4" s="1"/>
  <c r="D115" i="4"/>
  <c r="F115" i="4" s="1"/>
  <c r="D114" i="4"/>
  <c r="E114" i="4" s="1"/>
  <c r="D113" i="4"/>
  <c r="F113" i="4" s="1"/>
  <c r="D112" i="4"/>
  <c r="F112" i="4" s="1"/>
  <c r="D111" i="4"/>
  <c r="F111" i="4" s="1"/>
  <c r="D110" i="4"/>
  <c r="F110" i="4" s="1"/>
  <c r="D109" i="4"/>
  <c r="F109" i="4" s="1"/>
  <c r="D108" i="4"/>
  <c r="F108" i="4" s="1"/>
  <c r="D107" i="4"/>
  <c r="D106" i="4"/>
  <c r="F106" i="4" s="1"/>
  <c r="D105" i="4"/>
  <c r="E105" i="4" s="1"/>
  <c r="D104" i="4"/>
  <c r="F104" i="4" s="1"/>
  <c r="D103" i="4"/>
  <c r="E103" i="4" s="1"/>
  <c r="D102" i="4"/>
  <c r="E102" i="4" s="1"/>
  <c r="D101" i="4"/>
  <c r="D100" i="4"/>
  <c r="D99" i="4"/>
  <c r="F99" i="4" s="1"/>
  <c r="D98" i="4"/>
  <c r="F98" i="4" s="1"/>
  <c r="D97" i="4"/>
  <c r="D96" i="4"/>
  <c r="E96" i="4" s="1"/>
  <c r="D95" i="4"/>
  <c r="E95" i="4" s="1"/>
  <c r="D94" i="4"/>
  <c r="F94" i="4" s="1"/>
  <c r="D93" i="4"/>
  <c r="E93" i="4" s="1"/>
  <c r="D92" i="4"/>
  <c r="E92" i="4" s="1"/>
  <c r="D91" i="4"/>
  <c r="F91" i="4" s="1"/>
  <c r="D90" i="4"/>
  <c r="E89" i="4"/>
  <c r="D89" i="4"/>
  <c r="F89" i="4" s="1"/>
  <c r="D88" i="4"/>
  <c r="F88" i="4" s="1"/>
  <c r="D87" i="4"/>
  <c r="E87" i="4" s="1"/>
  <c r="D86" i="4"/>
  <c r="F86" i="4" s="1"/>
  <c r="D85" i="4"/>
  <c r="F85" i="4" s="1"/>
  <c r="D84" i="4"/>
  <c r="D83" i="4"/>
  <c r="F83" i="4" s="1"/>
  <c r="D82" i="4"/>
  <c r="D81" i="4"/>
  <c r="D80" i="4"/>
  <c r="F80" i="4" s="1"/>
  <c r="D79" i="4"/>
  <c r="E79" i="4" s="1"/>
  <c r="D78" i="4"/>
  <c r="F78" i="4" s="1"/>
  <c r="D77" i="4"/>
  <c r="F77" i="4" s="1"/>
  <c r="D76" i="4"/>
  <c r="E76" i="4" s="1"/>
  <c r="D75" i="4"/>
  <c r="D74" i="4"/>
  <c r="J73" i="4"/>
  <c r="D73" i="4"/>
  <c r="E73" i="4" s="1"/>
  <c r="D72" i="4"/>
  <c r="F72" i="4" s="1"/>
  <c r="A72" i="4"/>
  <c r="A7" i="4" s="1"/>
  <c r="AP71" i="4"/>
  <c r="AK71" i="4"/>
  <c r="AD71" i="4"/>
  <c r="X71" i="4"/>
  <c r="S71" i="4"/>
  <c r="N71" i="4"/>
  <c r="D71" i="4"/>
  <c r="F71" i="4" s="1"/>
  <c r="C71" i="4"/>
  <c r="B71" i="4"/>
  <c r="Y71" i="4" s="1"/>
  <c r="A6" i="4"/>
  <c r="A4" i="4"/>
  <c r="A72" i="3"/>
  <c r="B72" i="3" s="1"/>
  <c r="Y72" i="3" s="1"/>
  <c r="AP71" i="3"/>
  <c r="AK71" i="3"/>
  <c r="AD71" i="3"/>
  <c r="X71" i="3"/>
  <c r="S71" i="3"/>
  <c r="N71" i="3"/>
  <c r="C71" i="3"/>
  <c r="D71" i="3" s="1"/>
  <c r="B71" i="3"/>
  <c r="Y71" i="3" s="1"/>
  <c r="A6" i="3"/>
  <c r="B46" i="2"/>
  <c r="B44" i="2"/>
  <c r="B42" i="2"/>
  <c r="B41" i="2"/>
  <c r="B40" i="2"/>
  <c r="B39" i="2"/>
  <c r="F114" i="4" l="1"/>
  <c r="E80" i="4"/>
  <c r="E123" i="4"/>
  <c r="M6" i="4"/>
  <c r="E99" i="4"/>
  <c r="E108" i="4"/>
  <c r="E71" i="4"/>
  <c r="F73" i="4"/>
  <c r="E124" i="4"/>
  <c r="G124" i="4" s="1"/>
  <c r="E116" i="4"/>
  <c r="B21" i="5"/>
  <c r="B23" i="5" s="1"/>
  <c r="F103" i="4"/>
  <c r="E104" i="4"/>
  <c r="G104" i="4" s="1"/>
  <c r="E115" i="4"/>
  <c r="G115" i="4" s="1"/>
  <c r="E83" i="4"/>
  <c r="G83" i="4" s="1"/>
  <c r="F102" i="4"/>
  <c r="E109" i="4"/>
  <c r="E125" i="4"/>
  <c r="G125" i="4" s="1"/>
  <c r="E86" i="4"/>
  <c r="E110" i="4"/>
  <c r="G110" i="4" s="1"/>
  <c r="A73" i="3"/>
  <c r="C73" i="3" s="1"/>
  <c r="D73" i="3" s="1"/>
  <c r="E73" i="3" s="1"/>
  <c r="F76" i="4"/>
  <c r="F87" i="4"/>
  <c r="F126" i="4"/>
  <c r="F96" i="4"/>
  <c r="B72" i="4"/>
  <c r="Y72" i="4" s="1"/>
  <c r="E88" i="4"/>
  <c r="G88" i="4" s="1"/>
  <c r="F105" i="4"/>
  <c r="E120" i="4"/>
  <c r="G120" i="4" s="1"/>
  <c r="F127" i="4"/>
  <c r="B32" i="5"/>
  <c r="C6" i="4"/>
  <c r="L6" i="4"/>
  <c r="F79" i="4"/>
  <c r="E113" i="4"/>
  <c r="G113" i="4" s="1"/>
  <c r="E72" i="4"/>
  <c r="E98" i="4"/>
  <c r="E106" i="4"/>
  <c r="F128" i="4"/>
  <c r="B19" i="5"/>
  <c r="E66" i="5"/>
  <c r="O66" i="5" s="1"/>
  <c r="F93" i="4"/>
  <c r="F95" i="4"/>
  <c r="G105" i="4"/>
  <c r="E119" i="4"/>
  <c r="G119" i="4" s="1"/>
  <c r="E112" i="4"/>
  <c r="G112" i="4" s="1"/>
  <c r="G116" i="4"/>
  <c r="H71" i="4"/>
  <c r="H71" i="3"/>
  <c r="I71" i="3" s="1"/>
  <c r="Z71" i="3" s="1"/>
  <c r="AA71" i="3" s="1"/>
  <c r="AB71" i="3" s="1"/>
  <c r="J128" i="4"/>
  <c r="J125" i="4"/>
  <c r="J127" i="4"/>
  <c r="J120" i="4"/>
  <c r="J119" i="4"/>
  <c r="J118" i="4"/>
  <c r="J117" i="4"/>
  <c r="J129" i="4"/>
  <c r="J121" i="4"/>
  <c r="J130" i="4"/>
  <c r="J124" i="4"/>
  <c r="J110" i="4"/>
  <c r="J115" i="4"/>
  <c r="J105" i="4"/>
  <c r="J123" i="4"/>
  <c r="J96" i="4"/>
  <c r="J88" i="4"/>
  <c r="J80" i="4"/>
  <c r="J79" i="4"/>
  <c r="J126" i="4"/>
  <c r="J92" i="4"/>
  <c r="J95" i="4"/>
  <c r="J82" i="4"/>
  <c r="J83" i="4"/>
  <c r="AL71" i="3"/>
  <c r="J116" i="4"/>
  <c r="J103" i="4"/>
  <c r="J100" i="4"/>
  <c r="J111" i="4"/>
  <c r="J107" i="4"/>
  <c r="J84" i="4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106" i="4"/>
  <c r="J108" i="4"/>
  <c r="J101" i="4"/>
  <c r="J72" i="4"/>
  <c r="AE71" i="4"/>
  <c r="J71" i="4"/>
  <c r="J114" i="4"/>
  <c r="J93" i="4"/>
  <c r="AE71" i="3"/>
  <c r="J90" i="4"/>
  <c r="J89" i="4"/>
  <c r="J71" i="3"/>
  <c r="J77" i="4"/>
  <c r="J91" i="4"/>
  <c r="J81" i="4"/>
  <c r="AL71" i="4"/>
  <c r="J86" i="4"/>
  <c r="J104" i="4"/>
  <c r="J97" i="4"/>
  <c r="J85" i="4"/>
  <c r="J113" i="4"/>
  <c r="J74" i="4"/>
  <c r="J99" i="4"/>
  <c r="J109" i="4"/>
  <c r="J76" i="4"/>
  <c r="J87" i="4"/>
  <c r="J102" i="4"/>
  <c r="E74" i="4"/>
  <c r="F74" i="4"/>
  <c r="C6" i="3"/>
  <c r="B6" i="3"/>
  <c r="J6" i="3"/>
  <c r="P6" i="3"/>
  <c r="O6" i="3"/>
  <c r="G93" i="4"/>
  <c r="E121" i="4"/>
  <c r="G98" i="4"/>
  <c r="J98" i="4"/>
  <c r="A7" i="3"/>
  <c r="G102" i="4"/>
  <c r="J75" i="4"/>
  <c r="J112" i="4"/>
  <c r="J78" i="4"/>
  <c r="K6" i="3"/>
  <c r="L6" i="3"/>
  <c r="F81" i="4"/>
  <c r="E81" i="4"/>
  <c r="J122" i="4"/>
  <c r="G92" i="4"/>
  <c r="M6" i="3"/>
  <c r="G73" i="4"/>
  <c r="G126" i="4"/>
  <c r="G106" i="4"/>
  <c r="G96" i="4"/>
  <c r="G80" i="4"/>
  <c r="G79" i="4"/>
  <c r="G87" i="4"/>
  <c r="B43" i="2"/>
  <c r="G95" i="4"/>
  <c r="C72" i="3"/>
  <c r="D72" i="3" s="1"/>
  <c r="G72" i="4"/>
  <c r="G103" i="4"/>
  <c r="N6" i="3"/>
  <c r="J94" i="4"/>
  <c r="B45" i="2"/>
  <c r="E94" i="4"/>
  <c r="F92" i="4"/>
  <c r="G89" i="4"/>
  <c r="D65" i="5"/>
  <c r="G65" i="5" s="1"/>
  <c r="J65" i="5" s="1"/>
  <c r="O65" i="5"/>
  <c r="K65" i="5"/>
  <c r="Q65" i="5"/>
  <c r="P65" i="5"/>
  <c r="C65" i="5"/>
  <c r="F65" i="5" s="1"/>
  <c r="I65" i="5" s="1"/>
  <c r="P7" i="4"/>
  <c r="K66" i="5"/>
  <c r="P6" i="4"/>
  <c r="O6" i="4"/>
  <c r="N6" i="4"/>
  <c r="G76" i="4"/>
  <c r="B6" i="4"/>
  <c r="F84" i="4"/>
  <c r="E84" i="4"/>
  <c r="F101" i="4"/>
  <c r="E101" i="4"/>
  <c r="E111" i="4"/>
  <c r="F71" i="3"/>
  <c r="E71" i="3"/>
  <c r="E78" i="4"/>
  <c r="E91" i="4"/>
  <c r="G108" i="4"/>
  <c r="G71" i="4"/>
  <c r="G123" i="4"/>
  <c r="F90" i="4"/>
  <c r="E90" i="4"/>
  <c r="E85" i="4"/>
  <c r="F75" i="4"/>
  <c r="E75" i="4"/>
  <c r="F97" i="4"/>
  <c r="E97" i="4"/>
  <c r="F82" i="4"/>
  <c r="E82" i="4"/>
  <c r="E77" i="4"/>
  <c r="G86" i="4"/>
  <c r="K6" i="4"/>
  <c r="J6" i="4"/>
  <c r="G99" i="4"/>
  <c r="A73" i="4"/>
  <c r="E118" i="4"/>
  <c r="C72" i="4"/>
  <c r="C7" i="4" s="1"/>
  <c r="G114" i="4"/>
  <c r="F100" i="4"/>
  <c r="E100" i="4"/>
  <c r="G128" i="4"/>
  <c r="E129" i="4"/>
  <c r="F107" i="4"/>
  <c r="E107" i="4"/>
  <c r="G109" i="4"/>
  <c r="F130" i="4"/>
  <c r="E130" i="4"/>
  <c r="G130" i="4" s="1"/>
  <c r="C66" i="5"/>
  <c r="A67" i="5"/>
  <c r="Q66" i="5"/>
  <c r="D66" i="5"/>
  <c r="G66" i="5" s="1"/>
  <c r="J66" i="5" s="1"/>
  <c r="B66" i="5"/>
  <c r="F122" i="4"/>
  <c r="E122" i="4"/>
  <c r="E117" i="4"/>
  <c r="G127" i="4"/>
  <c r="P67" i="6"/>
  <c r="B7" i="4" l="1"/>
  <c r="B73" i="3"/>
  <c r="Y73" i="3" s="1"/>
  <c r="A74" i="3"/>
  <c r="F73" i="3"/>
  <c r="H72" i="4"/>
  <c r="I72" i="4" s="1"/>
  <c r="P66" i="5"/>
  <c r="A8" i="3"/>
  <c r="F66" i="5"/>
  <c r="I66" i="5" s="1"/>
  <c r="G78" i="4"/>
  <c r="C73" i="4"/>
  <c r="B73" i="4"/>
  <c r="Y73" i="4" s="1"/>
  <c r="A74" i="4"/>
  <c r="A8" i="4"/>
  <c r="B8" i="3"/>
  <c r="C8" i="3"/>
  <c r="P8" i="3"/>
  <c r="M66" i="5"/>
  <c r="N66" i="5"/>
  <c r="L66" i="5"/>
  <c r="K71" i="3"/>
  <c r="L71" i="3" s="1"/>
  <c r="G82" i="4"/>
  <c r="G84" i="4"/>
  <c r="G122" i="4"/>
  <c r="G121" i="4"/>
  <c r="G100" i="4"/>
  <c r="AM71" i="3"/>
  <c r="AN71" i="3" s="1"/>
  <c r="I71" i="4"/>
  <c r="K71" i="4" s="1"/>
  <c r="G74" i="4"/>
  <c r="G75" i="4"/>
  <c r="G85" i="4"/>
  <c r="G94" i="4"/>
  <c r="K72" i="4"/>
  <c r="G117" i="4"/>
  <c r="G73" i="3"/>
  <c r="A68" i="5"/>
  <c r="B67" i="5"/>
  <c r="E67" i="5"/>
  <c r="D67" i="5"/>
  <c r="G67" i="5" s="1"/>
  <c r="K67" i="5"/>
  <c r="H67" i="5"/>
  <c r="C67" i="5"/>
  <c r="G97" i="4"/>
  <c r="G81" i="4"/>
  <c r="C7" i="3"/>
  <c r="B7" i="3"/>
  <c r="P7" i="3"/>
  <c r="G71" i="3"/>
  <c r="H72" i="3" s="1"/>
  <c r="AE72" i="3"/>
  <c r="G111" i="4"/>
  <c r="AC71" i="3"/>
  <c r="AF71" i="3"/>
  <c r="AG71" i="3" s="1"/>
  <c r="AH71" i="3" s="1"/>
  <c r="AI71" i="3" s="1"/>
  <c r="G107" i="4"/>
  <c r="G101" i="4"/>
  <c r="G90" i="4"/>
  <c r="T71" i="3"/>
  <c r="U71" i="3" s="1"/>
  <c r="V71" i="3" s="1"/>
  <c r="O71" i="3"/>
  <c r="P71" i="3" s="1"/>
  <c r="Q71" i="3" s="1"/>
  <c r="A75" i="3"/>
  <c r="A9" i="3"/>
  <c r="C74" i="3"/>
  <c r="D74" i="3" s="1"/>
  <c r="B74" i="3"/>
  <c r="Y74" i="3" s="1"/>
  <c r="G118" i="4"/>
  <c r="G77" i="4"/>
  <c r="F72" i="3"/>
  <c r="E72" i="3"/>
  <c r="N65" i="5"/>
  <c r="L65" i="5"/>
  <c r="M65" i="5"/>
  <c r="G129" i="4"/>
  <c r="G91" i="4"/>
  <c r="O67" i="5" l="1"/>
  <c r="AO71" i="3"/>
  <c r="I6" i="3" s="1"/>
  <c r="H73" i="4"/>
  <c r="J67" i="5"/>
  <c r="R71" i="3"/>
  <c r="I72" i="3"/>
  <c r="L71" i="4"/>
  <c r="N72" i="4"/>
  <c r="L72" i="4" s="1"/>
  <c r="F74" i="3"/>
  <c r="E74" i="3"/>
  <c r="G72" i="3"/>
  <c r="H73" i="3" s="1"/>
  <c r="P67" i="5"/>
  <c r="H74" i="4"/>
  <c r="I73" i="4"/>
  <c r="W71" i="3"/>
  <c r="E68" i="5"/>
  <c r="Q68" i="5" s="1"/>
  <c r="A69" i="5"/>
  <c r="D68" i="5"/>
  <c r="C68" i="5"/>
  <c r="H68" i="5"/>
  <c r="B68" i="5"/>
  <c r="K68" i="5"/>
  <c r="T71" i="4"/>
  <c r="U71" i="4" s="1"/>
  <c r="W71" i="4" s="1"/>
  <c r="AJ71" i="3"/>
  <c r="C9" i="3"/>
  <c r="B9" i="3"/>
  <c r="P9" i="3"/>
  <c r="Q67" i="5"/>
  <c r="B75" i="3"/>
  <c r="Y75" i="3" s="1"/>
  <c r="C75" i="3"/>
  <c r="D75" i="3" s="1"/>
  <c r="A10" i="3"/>
  <c r="A76" i="3"/>
  <c r="M71" i="3"/>
  <c r="F67" i="5"/>
  <c r="I67" i="5" s="1"/>
  <c r="AF71" i="4"/>
  <c r="AG71" i="4" s="1"/>
  <c r="M71" i="4"/>
  <c r="Z71" i="4"/>
  <c r="AA71" i="4" s="1"/>
  <c r="AC71" i="4" s="1"/>
  <c r="G6" i="3"/>
  <c r="N67" i="5"/>
  <c r="M67" i="5"/>
  <c r="L67" i="5"/>
  <c r="AD72" i="3"/>
  <c r="AK72" i="3"/>
  <c r="AP72" i="3"/>
  <c r="X72" i="3"/>
  <c r="N72" i="3"/>
  <c r="S72" i="3"/>
  <c r="E6" i="3"/>
  <c r="AM71" i="4"/>
  <c r="AO71" i="4" s="1"/>
  <c r="O71" i="4"/>
  <c r="P71" i="4" s="1"/>
  <c r="R71" i="4" s="1"/>
  <c r="P8" i="4"/>
  <c r="B8" i="4"/>
  <c r="C8" i="4"/>
  <c r="C74" i="4"/>
  <c r="B74" i="4"/>
  <c r="Y74" i="4" s="1"/>
  <c r="A75" i="4"/>
  <c r="A9" i="4"/>
  <c r="M72" i="4" l="1"/>
  <c r="O68" i="5"/>
  <c r="G6" i="4"/>
  <c r="B54" i="2"/>
  <c r="O72" i="3"/>
  <c r="P72" i="3" s="1"/>
  <c r="Q72" i="3" s="1"/>
  <c r="K7" i="3"/>
  <c r="AH71" i="4"/>
  <c r="AE72" i="4"/>
  <c r="F6" i="4"/>
  <c r="V71" i="4"/>
  <c r="X72" i="4"/>
  <c r="N68" i="5"/>
  <c r="M68" i="5"/>
  <c r="L68" i="5"/>
  <c r="P68" i="5"/>
  <c r="B56" i="2"/>
  <c r="F68" i="5"/>
  <c r="I68" i="5" s="1"/>
  <c r="N73" i="4"/>
  <c r="J7" i="4"/>
  <c r="C9" i="4"/>
  <c r="B9" i="4"/>
  <c r="P9" i="4"/>
  <c r="G68" i="5"/>
  <c r="J68" i="5" s="1"/>
  <c r="AB71" i="4"/>
  <c r="AD72" i="4"/>
  <c r="C10" i="3"/>
  <c r="B10" i="3"/>
  <c r="P10" i="3"/>
  <c r="H74" i="3"/>
  <c r="I73" i="3"/>
  <c r="J7" i="3"/>
  <c r="AQ72" i="4"/>
  <c r="D6" i="4"/>
  <c r="F6" i="3"/>
  <c r="T72" i="3"/>
  <c r="U72" i="3" s="1"/>
  <c r="V72" i="3" s="1"/>
  <c r="L7" i="3"/>
  <c r="AL72" i="3"/>
  <c r="AM72" i="3" s="1"/>
  <c r="AN72" i="3" s="1"/>
  <c r="O7" i="3"/>
  <c r="Z72" i="3"/>
  <c r="AA72" i="3" s="1"/>
  <c r="AB72" i="3" s="1"/>
  <c r="M7" i="3"/>
  <c r="D6" i="3"/>
  <c r="Q71" i="4"/>
  <c r="S72" i="4"/>
  <c r="F75" i="3"/>
  <c r="E75" i="3"/>
  <c r="K73" i="4"/>
  <c r="H75" i="4"/>
  <c r="I74" i="4"/>
  <c r="AF72" i="3"/>
  <c r="AG72" i="3" s="1"/>
  <c r="AH72" i="3" s="1"/>
  <c r="AI72" i="3" s="1"/>
  <c r="N7" i="3"/>
  <c r="E6" i="4"/>
  <c r="H6" i="3"/>
  <c r="D7" i="4"/>
  <c r="I6" i="4"/>
  <c r="G74" i="3"/>
  <c r="AN71" i="4"/>
  <c r="AP72" i="4"/>
  <c r="C75" i="4"/>
  <c r="B75" i="4"/>
  <c r="Y75" i="4" s="1"/>
  <c r="A76" i="4"/>
  <c r="A10" i="4"/>
  <c r="B58" i="2"/>
  <c r="A77" i="3"/>
  <c r="C76" i="3"/>
  <c r="D76" i="3" s="1"/>
  <c r="B76" i="3"/>
  <c r="Y76" i="3" s="1"/>
  <c r="A11" i="3"/>
  <c r="D69" i="5"/>
  <c r="B69" i="5"/>
  <c r="K69" i="5"/>
  <c r="H69" i="5"/>
  <c r="E69" i="5"/>
  <c r="Q69" i="5" s="1"/>
  <c r="C69" i="5"/>
  <c r="F69" i="5" s="1"/>
  <c r="I69" i="5" s="1"/>
  <c r="A70" i="5"/>
  <c r="O69" i="5"/>
  <c r="AC72" i="3"/>
  <c r="R72" i="3"/>
  <c r="K72" i="3"/>
  <c r="L72" i="3" s="1"/>
  <c r="AJ72" i="3" l="1"/>
  <c r="G69" i="5"/>
  <c r="J69" i="5" s="1"/>
  <c r="P69" i="5"/>
  <c r="P10" i="4"/>
  <c r="B10" i="4"/>
  <c r="C10" i="4"/>
  <c r="N74" i="4"/>
  <c r="J8" i="4"/>
  <c r="AP73" i="3"/>
  <c r="C11" i="3"/>
  <c r="B11" i="3"/>
  <c r="P11" i="3"/>
  <c r="B68" i="2"/>
  <c r="M72" i="3"/>
  <c r="AI71" i="4"/>
  <c r="AK72" i="4"/>
  <c r="AJ71" i="4"/>
  <c r="H7" i="3"/>
  <c r="C76" i="4"/>
  <c r="B76" i="4"/>
  <c r="Y76" i="4" s="1"/>
  <c r="A77" i="4"/>
  <c r="A11" i="4"/>
  <c r="E7" i="3"/>
  <c r="AR72" i="3"/>
  <c r="AU72" i="3"/>
  <c r="X73" i="3"/>
  <c r="G75" i="3"/>
  <c r="B55" i="2"/>
  <c r="S73" i="3"/>
  <c r="W72" i="3"/>
  <c r="B64" i="2"/>
  <c r="G7" i="3"/>
  <c r="AT72" i="3"/>
  <c r="K7" i="4"/>
  <c r="O72" i="4"/>
  <c r="P72" i="4" s="1"/>
  <c r="B63" i="2"/>
  <c r="C70" i="5"/>
  <c r="D70" i="5"/>
  <c r="B70" i="5"/>
  <c r="A71" i="5"/>
  <c r="K70" i="5"/>
  <c r="H70" i="5"/>
  <c r="E70" i="5"/>
  <c r="Q70" i="5" s="1"/>
  <c r="B53" i="2"/>
  <c r="N73" i="3"/>
  <c r="K74" i="4"/>
  <c r="L74" i="4" s="1"/>
  <c r="O7" i="4"/>
  <c r="AL72" i="4"/>
  <c r="AM72" i="4" s="1"/>
  <c r="H76" i="4"/>
  <c r="I75" i="4"/>
  <c r="H75" i="3"/>
  <c r="I74" i="3"/>
  <c r="L69" i="5"/>
  <c r="N69" i="5"/>
  <c r="M69" i="5"/>
  <c r="L73" i="4"/>
  <c r="AD73" i="3"/>
  <c r="AK73" i="3"/>
  <c r="K73" i="3"/>
  <c r="Z72" i="4"/>
  <c r="AA72" i="4" s="1"/>
  <c r="AD73" i="4" s="1"/>
  <c r="M7" i="4"/>
  <c r="L7" i="4"/>
  <c r="T72" i="4"/>
  <c r="U72" i="4" s="1"/>
  <c r="M73" i="4"/>
  <c r="B66" i="2"/>
  <c r="AO72" i="3"/>
  <c r="B57" i="2"/>
  <c r="F76" i="3"/>
  <c r="E76" i="3"/>
  <c r="C77" i="3"/>
  <c r="D77" i="3" s="1"/>
  <c r="B77" i="3"/>
  <c r="Y77" i="3" s="1"/>
  <c r="A12" i="3"/>
  <c r="A78" i="3"/>
  <c r="B65" i="2"/>
  <c r="M73" i="3" l="1"/>
  <c r="F70" i="5"/>
  <c r="I70" i="5" s="1"/>
  <c r="O70" i="5"/>
  <c r="Z73" i="4"/>
  <c r="AA73" i="4" s="1"/>
  <c r="M8" i="4"/>
  <c r="D8" i="3"/>
  <c r="P11" i="4"/>
  <c r="C11" i="4"/>
  <c r="B11" i="4"/>
  <c r="O73" i="3"/>
  <c r="P73" i="3" s="1"/>
  <c r="K8" i="3"/>
  <c r="K75" i="4"/>
  <c r="AN72" i="4"/>
  <c r="AO72" i="4"/>
  <c r="N74" i="3"/>
  <c r="J8" i="3"/>
  <c r="A13" i="3"/>
  <c r="A79" i="3"/>
  <c r="C78" i="3"/>
  <c r="D78" i="3" s="1"/>
  <c r="B78" i="3"/>
  <c r="Y78" i="3" s="1"/>
  <c r="C12" i="3"/>
  <c r="B12" i="3"/>
  <c r="P12" i="3"/>
  <c r="AL73" i="3"/>
  <c r="AM73" i="3" s="1"/>
  <c r="O8" i="3"/>
  <c r="N70" i="5"/>
  <c r="M70" i="5"/>
  <c r="L70" i="5"/>
  <c r="N75" i="4"/>
  <c r="J9" i="4"/>
  <c r="P70" i="5"/>
  <c r="L73" i="3"/>
  <c r="K74" i="3"/>
  <c r="H77" i="4"/>
  <c r="I76" i="4"/>
  <c r="C77" i="4"/>
  <c r="B77" i="4"/>
  <c r="Y77" i="4" s="1"/>
  <c r="A78" i="4"/>
  <c r="A12" i="4"/>
  <c r="Q72" i="4"/>
  <c r="R72" i="4"/>
  <c r="AP73" i="4"/>
  <c r="D8" i="4"/>
  <c r="AQ73" i="4"/>
  <c r="A72" i="5"/>
  <c r="B71" i="5"/>
  <c r="E71" i="5"/>
  <c r="Q71" i="5" s="1"/>
  <c r="D71" i="5"/>
  <c r="G71" i="5" s="1"/>
  <c r="J71" i="5" s="1"/>
  <c r="C71" i="5"/>
  <c r="K71" i="5"/>
  <c r="H71" i="5"/>
  <c r="L8" i="3"/>
  <c r="T73" i="3"/>
  <c r="U73" i="3" s="1"/>
  <c r="X74" i="3" s="1"/>
  <c r="AB72" i="4"/>
  <c r="AC72" i="4"/>
  <c r="AQ73" i="3"/>
  <c r="D7" i="3"/>
  <c r="AQ72" i="3"/>
  <c r="I7" i="3"/>
  <c r="AV72" i="3"/>
  <c r="F7" i="3"/>
  <c r="AS72" i="3"/>
  <c r="H76" i="3"/>
  <c r="I75" i="3"/>
  <c r="F77" i="3"/>
  <c r="E77" i="3"/>
  <c r="N8" i="3"/>
  <c r="AE73" i="3"/>
  <c r="AF73" i="3" s="1"/>
  <c r="AG73" i="3" s="1"/>
  <c r="AH73" i="3" s="1"/>
  <c r="G76" i="3"/>
  <c r="V72" i="4"/>
  <c r="W72" i="4"/>
  <c r="X73" i="4"/>
  <c r="Z73" i="3"/>
  <c r="AA73" i="3" s="1"/>
  <c r="M8" i="3"/>
  <c r="H6" i="4"/>
  <c r="S73" i="4"/>
  <c r="M74" i="4"/>
  <c r="G70" i="5"/>
  <c r="J70" i="5" s="1"/>
  <c r="AF72" i="4"/>
  <c r="AG72" i="4" s="1"/>
  <c r="N7" i="4"/>
  <c r="L75" i="4" l="1"/>
  <c r="P71" i="5"/>
  <c r="F71" i="5"/>
  <c r="I71" i="5" s="1"/>
  <c r="O71" i="5"/>
  <c r="AI73" i="3"/>
  <c r="AJ73" i="3"/>
  <c r="AK74" i="3"/>
  <c r="T74" i="3"/>
  <c r="U74" i="3" s="1"/>
  <c r="L9" i="3"/>
  <c r="N71" i="5"/>
  <c r="M71" i="5"/>
  <c r="L71" i="5"/>
  <c r="D9" i="4"/>
  <c r="E72" i="5"/>
  <c r="Q72" i="5" s="1"/>
  <c r="C72" i="5"/>
  <c r="F72" i="5" s="1"/>
  <c r="D72" i="5"/>
  <c r="G72" i="5" s="1"/>
  <c r="B72" i="5"/>
  <c r="K72" i="5"/>
  <c r="H72" i="5"/>
  <c r="A73" i="5"/>
  <c r="Q73" i="3"/>
  <c r="R73" i="3"/>
  <c r="B67" i="2"/>
  <c r="N75" i="3"/>
  <c r="J9" i="3"/>
  <c r="H77" i="3"/>
  <c r="I76" i="3"/>
  <c r="AL73" i="4"/>
  <c r="AM73" i="4" s="1"/>
  <c r="O8" i="4"/>
  <c r="L74" i="3"/>
  <c r="F7" i="4"/>
  <c r="AS72" i="4"/>
  <c r="B78" i="4"/>
  <c r="Y78" i="4" s="1"/>
  <c r="A79" i="4"/>
  <c r="C78" i="4"/>
  <c r="A13" i="4"/>
  <c r="G7" i="4"/>
  <c r="AT72" i="4"/>
  <c r="H78" i="4"/>
  <c r="I77" i="4"/>
  <c r="AQ74" i="4"/>
  <c r="AN73" i="3"/>
  <c r="AO73" i="3"/>
  <c r="AH72" i="4"/>
  <c r="AE73" i="4"/>
  <c r="M75" i="4"/>
  <c r="G77" i="3"/>
  <c r="K76" i="4"/>
  <c r="E7" i="4"/>
  <c r="AR72" i="4"/>
  <c r="M74" i="3"/>
  <c r="AP74" i="3"/>
  <c r="AB73" i="4"/>
  <c r="AC73" i="4"/>
  <c r="F78" i="3"/>
  <c r="E78" i="3"/>
  <c r="C79" i="3"/>
  <c r="D79" i="3" s="1"/>
  <c r="A80" i="3"/>
  <c r="A14" i="3"/>
  <c r="B79" i="3"/>
  <c r="Y79" i="3" s="1"/>
  <c r="C13" i="3"/>
  <c r="B13" i="3"/>
  <c r="P13" i="3"/>
  <c r="O73" i="4"/>
  <c r="P73" i="4" s="1"/>
  <c r="S74" i="4" s="1"/>
  <c r="K8" i="4"/>
  <c r="V73" i="3"/>
  <c r="W73" i="3"/>
  <c r="N76" i="4"/>
  <c r="J10" i="4"/>
  <c r="S74" i="3"/>
  <c r="K75" i="3"/>
  <c r="AB73" i="3"/>
  <c r="AC73" i="3"/>
  <c r="AD74" i="3"/>
  <c r="T73" i="4"/>
  <c r="U73" i="4" s="1"/>
  <c r="X74" i="4" s="1"/>
  <c r="L8" i="4"/>
  <c r="C12" i="4"/>
  <c r="B12" i="4"/>
  <c r="P12" i="4"/>
  <c r="I7" i="4"/>
  <c r="AV72" i="4"/>
  <c r="AD74" i="4"/>
  <c r="M75" i="3" l="1"/>
  <c r="O72" i="5"/>
  <c r="P72" i="5"/>
  <c r="L76" i="4"/>
  <c r="O74" i="4"/>
  <c r="P74" i="4" s="1"/>
  <c r="S75" i="4" s="1"/>
  <c r="K9" i="4"/>
  <c r="T74" i="4"/>
  <c r="U74" i="4" s="1"/>
  <c r="X75" i="4" s="1"/>
  <c r="L9" i="4"/>
  <c r="F79" i="3"/>
  <c r="E79" i="3"/>
  <c r="C13" i="4"/>
  <c r="P13" i="4"/>
  <c r="B13" i="4"/>
  <c r="D73" i="5"/>
  <c r="K73" i="5"/>
  <c r="H73" i="5"/>
  <c r="C73" i="5"/>
  <c r="B73" i="5"/>
  <c r="E73" i="5"/>
  <c r="A74" i="5"/>
  <c r="I8" i="3"/>
  <c r="AV73" i="3"/>
  <c r="H78" i="3"/>
  <c r="I77" i="3"/>
  <c r="G8" i="4"/>
  <c r="V74" i="3"/>
  <c r="W74" i="3"/>
  <c r="M9" i="3"/>
  <c r="Z74" i="3"/>
  <c r="AA74" i="3" s="1"/>
  <c r="X75" i="3"/>
  <c r="G8" i="3"/>
  <c r="AT73" i="3"/>
  <c r="AT73" i="4"/>
  <c r="AE74" i="3"/>
  <c r="AF74" i="3" s="1"/>
  <c r="AG74" i="3" s="1"/>
  <c r="N9" i="3"/>
  <c r="AN73" i="4"/>
  <c r="AO73" i="4"/>
  <c r="K76" i="3"/>
  <c r="N76" i="3"/>
  <c r="J10" i="3"/>
  <c r="F8" i="3"/>
  <c r="AS73" i="3"/>
  <c r="B79" i="4"/>
  <c r="Y79" i="4" s="1"/>
  <c r="A80" i="4"/>
  <c r="C79" i="4"/>
  <c r="A14" i="4"/>
  <c r="V73" i="4"/>
  <c r="W73" i="4"/>
  <c r="AL74" i="3"/>
  <c r="AM74" i="3" s="1"/>
  <c r="O9" i="3"/>
  <c r="I72" i="5"/>
  <c r="H8" i="3"/>
  <c r="AU73" i="3"/>
  <c r="D10" i="3"/>
  <c r="E8" i="3"/>
  <c r="AR73" i="3"/>
  <c r="AI72" i="4"/>
  <c r="AJ72" i="4"/>
  <c r="AK73" i="4"/>
  <c r="AP74" i="4"/>
  <c r="G78" i="3"/>
  <c r="N77" i="4"/>
  <c r="J11" i="4"/>
  <c r="K77" i="4"/>
  <c r="L77" i="4" s="1"/>
  <c r="J72" i="5"/>
  <c r="D9" i="3"/>
  <c r="AQ75" i="3"/>
  <c r="AQ74" i="3"/>
  <c r="L75" i="3"/>
  <c r="M9" i="4"/>
  <c r="Z74" i="4"/>
  <c r="AA74" i="4" s="1"/>
  <c r="O74" i="3"/>
  <c r="P74" i="3" s="1"/>
  <c r="K9" i="3"/>
  <c r="M76" i="4"/>
  <c r="M72" i="5"/>
  <c r="N72" i="5"/>
  <c r="L72" i="5"/>
  <c r="H79" i="4"/>
  <c r="I78" i="4"/>
  <c r="Q73" i="4"/>
  <c r="R73" i="4"/>
  <c r="C14" i="3"/>
  <c r="B14" i="3"/>
  <c r="P14" i="3"/>
  <c r="C80" i="3"/>
  <c r="D80" i="3" s="1"/>
  <c r="B80" i="3"/>
  <c r="Y80" i="3" s="1"/>
  <c r="A81" i="3"/>
  <c r="A15" i="3"/>
  <c r="D10" i="4"/>
  <c r="AQ76" i="4"/>
  <c r="AQ75" i="4"/>
  <c r="Q73" i="5" l="1"/>
  <c r="AH74" i="3"/>
  <c r="AE75" i="3"/>
  <c r="T75" i="4"/>
  <c r="U75" i="4" s="1"/>
  <c r="L10" i="4"/>
  <c r="I8" i="4"/>
  <c r="AV73" i="4"/>
  <c r="H7" i="4"/>
  <c r="AU72" i="4"/>
  <c r="AN74" i="3"/>
  <c r="AO74" i="3"/>
  <c r="F73" i="5"/>
  <c r="I73" i="5" s="1"/>
  <c r="F8" i="4"/>
  <c r="AS74" i="4"/>
  <c r="AS73" i="4"/>
  <c r="D11" i="4"/>
  <c r="AB74" i="4"/>
  <c r="AC74" i="4"/>
  <c r="AF73" i="4"/>
  <c r="AG73" i="4" s="1"/>
  <c r="N8" i="4"/>
  <c r="F9" i="3"/>
  <c r="L76" i="3"/>
  <c r="G73" i="5"/>
  <c r="J73" i="5" s="1"/>
  <c r="H79" i="3"/>
  <c r="I78" i="3"/>
  <c r="A82" i="3"/>
  <c r="C81" i="3"/>
  <c r="D81" i="3" s="1"/>
  <c r="B81" i="3"/>
  <c r="Y81" i="3" s="1"/>
  <c r="A16" i="3"/>
  <c r="F80" i="3"/>
  <c r="E80" i="3"/>
  <c r="N78" i="4"/>
  <c r="J12" i="4"/>
  <c r="A81" i="4"/>
  <c r="C80" i="4"/>
  <c r="B80" i="4"/>
  <c r="Y80" i="4" s="1"/>
  <c r="A15" i="4"/>
  <c r="K74" i="5"/>
  <c r="H74" i="5"/>
  <c r="E74" i="5"/>
  <c r="P74" i="5" s="1"/>
  <c r="Q74" i="5"/>
  <c r="D74" i="5"/>
  <c r="C74" i="5"/>
  <c r="B74" i="5"/>
  <c r="A75" i="5"/>
  <c r="AS74" i="3"/>
  <c r="AP75" i="3"/>
  <c r="G79" i="3"/>
  <c r="K77" i="3"/>
  <c r="C15" i="3"/>
  <c r="B15" i="3"/>
  <c r="P15" i="3"/>
  <c r="AD75" i="4"/>
  <c r="M76" i="3"/>
  <c r="AB74" i="3"/>
  <c r="AC74" i="3"/>
  <c r="T75" i="3"/>
  <c r="U75" i="3" s="1"/>
  <c r="L10" i="3"/>
  <c r="E8" i="4"/>
  <c r="AR73" i="4"/>
  <c r="O73" i="5"/>
  <c r="Q74" i="4"/>
  <c r="R74" i="4"/>
  <c r="K78" i="4"/>
  <c r="H80" i="4"/>
  <c r="I79" i="4"/>
  <c r="N77" i="3"/>
  <c r="J11" i="3"/>
  <c r="M77" i="4"/>
  <c r="AQ77" i="4" s="1"/>
  <c r="L73" i="5"/>
  <c r="N73" i="5"/>
  <c r="M73" i="5"/>
  <c r="Q74" i="3"/>
  <c r="R74" i="3"/>
  <c r="P73" i="5"/>
  <c r="S75" i="3"/>
  <c r="P14" i="4"/>
  <c r="C14" i="4"/>
  <c r="B14" i="4"/>
  <c r="V74" i="4"/>
  <c r="W74" i="4"/>
  <c r="AL74" i="4"/>
  <c r="AM74" i="4" s="1"/>
  <c r="AP75" i="4" s="1"/>
  <c r="O9" i="4"/>
  <c r="AD75" i="3"/>
  <c r="O75" i="4"/>
  <c r="P75" i="4" s="1"/>
  <c r="S76" i="4" s="1"/>
  <c r="K10" i="4"/>
  <c r="AL75" i="4" l="1"/>
  <c r="AM75" i="4" s="1"/>
  <c r="O10" i="4"/>
  <c r="O76" i="4"/>
  <c r="P76" i="4" s="1"/>
  <c r="S77" i="4" s="1"/>
  <c r="K11" i="4"/>
  <c r="AL75" i="3"/>
  <c r="AM75" i="3" s="1"/>
  <c r="O10" i="3"/>
  <c r="A17" i="3"/>
  <c r="B82" i="3"/>
  <c r="Y82" i="3" s="1"/>
  <c r="C82" i="3"/>
  <c r="D82" i="3" s="1"/>
  <c r="A83" i="3"/>
  <c r="Z75" i="4"/>
  <c r="AA75" i="4" s="1"/>
  <c r="AD76" i="4" s="1"/>
  <c r="M10" i="4"/>
  <c r="A16" i="4"/>
  <c r="B81" i="4"/>
  <c r="Y81" i="4" s="1"/>
  <c r="A82" i="4"/>
  <c r="C81" i="4"/>
  <c r="H80" i="3"/>
  <c r="I79" i="3"/>
  <c r="N78" i="3"/>
  <c r="J12" i="3"/>
  <c r="F9" i="4"/>
  <c r="H75" i="5"/>
  <c r="A76" i="5"/>
  <c r="K75" i="5"/>
  <c r="D75" i="5"/>
  <c r="C75" i="5"/>
  <c r="E75" i="5"/>
  <c r="O75" i="5" s="1"/>
  <c r="B75" i="5"/>
  <c r="G9" i="3"/>
  <c r="AT74" i="3"/>
  <c r="F81" i="3"/>
  <c r="E81" i="3"/>
  <c r="V75" i="4"/>
  <c r="W75" i="4"/>
  <c r="I9" i="3"/>
  <c r="AV74" i="3"/>
  <c r="K78" i="3"/>
  <c r="L78" i="3" s="1"/>
  <c r="Q75" i="4"/>
  <c r="R75" i="4"/>
  <c r="D12" i="4"/>
  <c r="AQ78" i="4"/>
  <c r="G80" i="3"/>
  <c r="L78" i="4"/>
  <c r="B15" i="4"/>
  <c r="P15" i="4"/>
  <c r="C15" i="4"/>
  <c r="O75" i="3"/>
  <c r="P75" i="3" s="1"/>
  <c r="K10" i="3"/>
  <c r="M78" i="4"/>
  <c r="F74" i="5"/>
  <c r="I74" i="5" s="1"/>
  <c r="X76" i="4"/>
  <c r="G9" i="4"/>
  <c r="AT74" i="4"/>
  <c r="N74" i="5"/>
  <c r="M74" i="5"/>
  <c r="L74" i="5"/>
  <c r="O74" i="5"/>
  <c r="L77" i="3"/>
  <c r="H81" i="4"/>
  <c r="I80" i="4"/>
  <c r="M77" i="3"/>
  <c r="C16" i="3"/>
  <c r="B16" i="3"/>
  <c r="P16" i="3"/>
  <c r="V75" i="3"/>
  <c r="W75" i="3"/>
  <c r="X76" i="3"/>
  <c r="G74" i="5"/>
  <c r="J74" i="5" s="1"/>
  <c r="D11" i="3"/>
  <c r="AQ76" i="3"/>
  <c r="E9" i="4"/>
  <c r="M10" i="3"/>
  <c r="Z75" i="3"/>
  <c r="AA75" i="3" s="1"/>
  <c r="AD76" i="3" s="1"/>
  <c r="AR74" i="4"/>
  <c r="N79" i="4"/>
  <c r="J13" i="4"/>
  <c r="AN74" i="4"/>
  <c r="AO74" i="4"/>
  <c r="K79" i="4"/>
  <c r="AH73" i="4"/>
  <c r="AE74" i="4"/>
  <c r="E9" i="3"/>
  <c r="AR74" i="3"/>
  <c r="AI74" i="3"/>
  <c r="AJ74" i="3"/>
  <c r="AK75" i="3"/>
  <c r="Q75" i="5" l="1"/>
  <c r="F75" i="5"/>
  <c r="P75" i="5"/>
  <c r="Z76" i="4"/>
  <c r="AA76" i="4" s="1"/>
  <c r="M11" i="4"/>
  <c r="O77" i="4"/>
  <c r="P77" i="4" s="1"/>
  <c r="K12" i="4"/>
  <c r="Z76" i="3"/>
  <c r="AA76" i="3" s="1"/>
  <c r="M11" i="3"/>
  <c r="F10" i="4"/>
  <c r="D12" i="3"/>
  <c r="AS75" i="4"/>
  <c r="N80" i="4"/>
  <c r="J14" i="4"/>
  <c r="K80" i="4"/>
  <c r="L80" i="4" s="1"/>
  <c r="L79" i="4"/>
  <c r="E10" i="4"/>
  <c r="Q75" i="3"/>
  <c r="R75" i="3"/>
  <c r="N79" i="3"/>
  <c r="J13" i="3"/>
  <c r="C82" i="4"/>
  <c r="B82" i="4"/>
  <c r="Y82" i="4" s="1"/>
  <c r="A17" i="4"/>
  <c r="A83" i="4"/>
  <c r="K76" i="5"/>
  <c r="D76" i="5"/>
  <c r="C76" i="5"/>
  <c r="B76" i="5"/>
  <c r="A77" i="5"/>
  <c r="H76" i="5"/>
  <c r="E76" i="5"/>
  <c r="G81" i="3"/>
  <c r="AN75" i="3"/>
  <c r="AO75" i="3"/>
  <c r="D13" i="4"/>
  <c r="AP76" i="3"/>
  <c r="M79" i="4"/>
  <c r="AB75" i="4"/>
  <c r="AC75" i="4"/>
  <c r="S76" i="3"/>
  <c r="G75" i="5"/>
  <c r="J75" i="5" s="1"/>
  <c r="H81" i="3"/>
  <c r="I80" i="3"/>
  <c r="A84" i="3"/>
  <c r="A18" i="3"/>
  <c r="B83" i="3"/>
  <c r="Y83" i="3" s="1"/>
  <c r="C83" i="3"/>
  <c r="D83" i="3" s="1"/>
  <c r="AN75" i="4"/>
  <c r="AO75" i="4"/>
  <c r="T76" i="3"/>
  <c r="U76" i="3" s="1"/>
  <c r="L11" i="3"/>
  <c r="F10" i="3"/>
  <c r="AS75" i="3"/>
  <c r="AI73" i="4"/>
  <c r="AJ73" i="4"/>
  <c r="AK74" i="4"/>
  <c r="B16" i="4"/>
  <c r="P16" i="4"/>
  <c r="C16" i="4"/>
  <c r="H82" i="4"/>
  <c r="I81" i="4"/>
  <c r="AB75" i="3"/>
  <c r="AC75" i="3"/>
  <c r="I75" i="5"/>
  <c r="AV75" i="4"/>
  <c r="I9" i="4"/>
  <c r="AV74" i="4"/>
  <c r="F82" i="3"/>
  <c r="E82" i="3"/>
  <c r="AP76" i="4"/>
  <c r="C17" i="3"/>
  <c r="B17" i="3"/>
  <c r="P17" i="3"/>
  <c r="T76" i="4"/>
  <c r="U76" i="4" s="1"/>
  <c r="L11" i="4"/>
  <c r="Q76" i="4"/>
  <c r="R76" i="4"/>
  <c r="AR76" i="4" s="1"/>
  <c r="AR75" i="4"/>
  <c r="K79" i="3"/>
  <c r="AF75" i="3"/>
  <c r="AG75" i="3" s="1"/>
  <c r="N10" i="3"/>
  <c r="M78" i="3"/>
  <c r="AQ78" i="3" s="1"/>
  <c r="N75" i="5"/>
  <c r="L75" i="5"/>
  <c r="M75" i="5"/>
  <c r="H9" i="3"/>
  <c r="AU74" i="3"/>
  <c r="AQ77" i="3"/>
  <c r="P76" i="5" l="1"/>
  <c r="F83" i="3"/>
  <c r="E83" i="3"/>
  <c r="Q77" i="4"/>
  <c r="R77" i="4"/>
  <c r="D14" i="4"/>
  <c r="A18" i="4"/>
  <c r="A84" i="4"/>
  <c r="C83" i="4"/>
  <c r="B83" i="4"/>
  <c r="Y83" i="4" s="1"/>
  <c r="V76" i="3"/>
  <c r="W76" i="3"/>
  <c r="E11" i="4"/>
  <c r="AR77" i="4"/>
  <c r="O76" i="5"/>
  <c r="I10" i="4"/>
  <c r="V76" i="4"/>
  <c r="W76" i="4"/>
  <c r="Q76" i="5"/>
  <c r="AF74" i="4"/>
  <c r="AG74" i="4" s="1"/>
  <c r="N9" i="4"/>
  <c r="N81" i="4"/>
  <c r="J15" i="4"/>
  <c r="C18" i="3"/>
  <c r="B18" i="3"/>
  <c r="P18" i="3"/>
  <c r="AL76" i="3"/>
  <c r="AM76" i="3" s="1"/>
  <c r="AP77" i="3" s="1"/>
  <c r="O11" i="3"/>
  <c r="AQ79" i="4"/>
  <c r="E10" i="3"/>
  <c r="AR75" i="3"/>
  <c r="AB76" i="4"/>
  <c r="AC76" i="4"/>
  <c r="X77" i="3"/>
  <c r="D13" i="3"/>
  <c r="H82" i="3"/>
  <c r="I81" i="3"/>
  <c r="AB76" i="3"/>
  <c r="AC76" i="3"/>
  <c r="AT76" i="3" s="1"/>
  <c r="K81" i="4"/>
  <c r="L81" i="4" s="1"/>
  <c r="H83" i="4"/>
  <c r="I82" i="4"/>
  <c r="G10" i="4"/>
  <c r="AT75" i="4"/>
  <c r="N80" i="3"/>
  <c r="J14" i="3"/>
  <c r="M80" i="4"/>
  <c r="AQ80" i="4" s="1"/>
  <c r="H8" i="4"/>
  <c r="AU73" i="4"/>
  <c r="S78" i="4"/>
  <c r="L79" i="3"/>
  <c r="M76" i="5"/>
  <c r="N76" i="5"/>
  <c r="L76" i="5"/>
  <c r="M79" i="3"/>
  <c r="AL76" i="4"/>
  <c r="AM76" i="4" s="1"/>
  <c r="O11" i="4"/>
  <c r="I10" i="3"/>
  <c r="AV75" i="3"/>
  <c r="B17" i="4"/>
  <c r="P17" i="4"/>
  <c r="C17" i="4"/>
  <c r="AD77" i="4"/>
  <c r="K80" i="3"/>
  <c r="G10" i="3"/>
  <c r="AT75" i="3"/>
  <c r="H77" i="5"/>
  <c r="K77" i="5"/>
  <c r="E77" i="5"/>
  <c r="Q77" i="5"/>
  <c r="P77" i="5"/>
  <c r="O77" i="5"/>
  <c r="A78" i="5"/>
  <c r="C77" i="5"/>
  <c r="F77" i="5" s="1"/>
  <c r="I77" i="5" s="1"/>
  <c r="B77" i="5"/>
  <c r="D77" i="5"/>
  <c r="O76" i="3"/>
  <c r="P76" i="3" s="1"/>
  <c r="S77" i="3" s="1"/>
  <c r="K11" i="3"/>
  <c r="AD77" i="3"/>
  <c r="X77" i="4"/>
  <c r="AH75" i="3"/>
  <c r="AE76" i="3"/>
  <c r="F76" i="5"/>
  <c r="I76" i="5" s="1"/>
  <c r="G76" i="5"/>
  <c r="J76" i="5" s="1"/>
  <c r="G82" i="3"/>
  <c r="C84" i="3"/>
  <c r="D84" i="3" s="1"/>
  <c r="B84" i="3"/>
  <c r="Y84" i="3" s="1"/>
  <c r="A19" i="3"/>
  <c r="A85" i="3"/>
  <c r="L80" i="3" l="1"/>
  <c r="K78" i="5"/>
  <c r="D78" i="5"/>
  <c r="C78" i="5"/>
  <c r="B78" i="5"/>
  <c r="A79" i="5"/>
  <c r="H78" i="5"/>
  <c r="E78" i="5"/>
  <c r="Q78" i="5" s="1"/>
  <c r="K82" i="4"/>
  <c r="C84" i="4"/>
  <c r="B84" i="4"/>
  <c r="Y84" i="4" s="1"/>
  <c r="A19" i="4"/>
  <c r="A85" i="4"/>
  <c r="H84" i="4"/>
  <c r="I83" i="4"/>
  <c r="G11" i="4"/>
  <c r="B18" i="4"/>
  <c r="P18" i="4"/>
  <c r="C18" i="4"/>
  <c r="M81" i="4"/>
  <c r="M12" i="4"/>
  <c r="Z77" i="4"/>
  <c r="AA77" i="4" s="1"/>
  <c r="AD78" i="4" s="1"/>
  <c r="B19" i="3"/>
  <c r="C19" i="3"/>
  <c r="P19" i="3"/>
  <c r="Q76" i="3"/>
  <c r="R76" i="3"/>
  <c r="AQ80" i="3"/>
  <c r="D14" i="3"/>
  <c r="K81" i="3"/>
  <c r="L81" i="3" s="1"/>
  <c r="F11" i="3"/>
  <c r="AS76" i="3"/>
  <c r="E12" i="4"/>
  <c r="T77" i="3"/>
  <c r="U77" i="3" s="1"/>
  <c r="L12" i="3"/>
  <c r="AN76" i="4"/>
  <c r="AO76" i="4"/>
  <c r="AP77" i="4"/>
  <c r="D15" i="4"/>
  <c r="AQ81" i="4"/>
  <c r="O77" i="3"/>
  <c r="P77" i="3" s="1"/>
  <c r="K12" i="3"/>
  <c r="M80" i="3"/>
  <c r="N81" i="3"/>
  <c r="J15" i="3"/>
  <c r="H83" i="3"/>
  <c r="I82" i="3"/>
  <c r="AN76" i="3"/>
  <c r="AO76" i="3"/>
  <c r="E84" i="3"/>
  <c r="F84" i="3"/>
  <c r="AH74" i="4"/>
  <c r="AE75" i="4"/>
  <c r="O78" i="4"/>
  <c r="P78" i="4" s="1"/>
  <c r="K13" i="4"/>
  <c r="T77" i="4"/>
  <c r="U77" i="4" s="1"/>
  <c r="L12" i="4"/>
  <c r="Z77" i="3"/>
  <c r="AA77" i="3" s="1"/>
  <c r="AD78" i="3" s="1"/>
  <c r="M12" i="3"/>
  <c r="G11" i="3"/>
  <c r="G77" i="5"/>
  <c r="J77" i="5" s="1"/>
  <c r="AL77" i="3"/>
  <c r="AM77" i="3" s="1"/>
  <c r="O12" i="3"/>
  <c r="G83" i="3"/>
  <c r="F11" i="4"/>
  <c r="AS76" i="4"/>
  <c r="L77" i="5"/>
  <c r="M77" i="5"/>
  <c r="N77" i="5"/>
  <c r="AI75" i="3"/>
  <c r="AJ75" i="3"/>
  <c r="AK76" i="3"/>
  <c r="A86" i="3"/>
  <c r="C85" i="3"/>
  <c r="D85" i="3" s="1"/>
  <c r="A20" i="3"/>
  <c r="B85" i="3"/>
  <c r="Y85" i="3" s="1"/>
  <c r="AT76" i="4"/>
  <c r="AQ79" i="3"/>
  <c r="N82" i="4"/>
  <c r="J16" i="4"/>
  <c r="M82" i="4" l="1"/>
  <c r="Z78" i="3"/>
  <c r="AA78" i="3" s="1"/>
  <c r="AD79" i="3" s="1"/>
  <c r="M13" i="3"/>
  <c r="M13" i="4"/>
  <c r="Z78" i="4"/>
  <c r="AA78" i="4" s="1"/>
  <c r="I11" i="4"/>
  <c r="AV76" i="4"/>
  <c r="A20" i="4"/>
  <c r="A86" i="4"/>
  <c r="C85" i="4"/>
  <c r="B85" i="4"/>
  <c r="Y85" i="4" s="1"/>
  <c r="AI74" i="4"/>
  <c r="AJ74" i="4"/>
  <c r="AK75" i="4"/>
  <c r="C20" i="3"/>
  <c r="B20" i="3"/>
  <c r="P20" i="3"/>
  <c r="N82" i="3"/>
  <c r="J16" i="3"/>
  <c r="O78" i="5"/>
  <c r="V77" i="4"/>
  <c r="W77" i="4"/>
  <c r="M81" i="3"/>
  <c r="G78" i="5"/>
  <c r="J78" i="5" s="1"/>
  <c r="AQ81" i="3"/>
  <c r="D15" i="3"/>
  <c r="Q78" i="4"/>
  <c r="R78" i="4"/>
  <c r="V77" i="3"/>
  <c r="W77" i="3"/>
  <c r="E11" i="3"/>
  <c r="AR76" i="3"/>
  <c r="P78" i="5"/>
  <c r="AF76" i="3"/>
  <c r="AG76" i="3" s="1"/>
  <c r="N11" i="3"/>
  <c r="AQ82" i="4"/>
  <c r="D16" i="4"/>
  <c r="H10" i="3"/>
  <c r="AU75" i="3"/>
  <c r="AL77" i="4"/>
  <c r="AM77" i="4" s="1"/>
  <c r="O12" i="4"/>
  <c r="K83" i="4"/>
  <c r="H85" i="4"/>
  <c r="I84" i="4"/>
  <c r="D17" i="4"/>
  <c r="AB77" i="3"/>
  <c r="AC77" i="3"/>
  <c r="F85" i="3"/>
  <c r="E85" i="3"/>
  <c r="X78" i="4"/>
  <c r="C86" i="3"/>
  <c r="D86" i="3" s="1"/>
  <c r="B86" i="3"/>
  <c r="Y86" i="3" s="1"/>
  <c r="A21" i="3"/>
  <c r="A87" i="3"/>
  <c r="Q77" i="3"/>
  <c r="R77" i="3"/>
  <c r="AR77" i="3" s="1"/>
  <c r="X78" i="3"/>
  <c r="AB77" i="4"/>
  <c r="AC77" i="4"/>
  <c r="G84" i="3"/>
  <c r="I11" i="3"/>
  <c r="AV76" i="3"/>
  <c r="K82" i="3"/>
  <c r="M82" i="3" s="1"/>
  <c r="B19" i="4"/>
  <c r="P19" i="4"/>
  <c r="C19" i="4"/>
  <c r="A80" i="5"/>
  <c r="H79" i="5"/>
  <c r="C79" i="5"/>
  <c r="B79" i="5"/>
  <c r="K79" i="5"/>
  <c r="E79" i="5"/>
  <c r="O79" i="5" s="1"/>
  <c r="D79" i="5"/>
  <c r="G79" i="5" s="1"/>
  <c r="J79" i="5" s="1"/>
  <c r="H84" i="3"/>
  <c r="I83" i="3"/>
  <c r="F78" i="5"/>
  <c r="I78" i="5" s="1"/>
  <c r="AN77" i="3"/>
  <c r="AO77" i="3"/>
  <c r="AV77" i="3" s="1"/>
  <c r="S79" i="4"/>
  <c r="N83" i="4"/>
  <c r="J17" i="4"/>
  <c r="AP78" i="3"/>
  <c r="S78" i="3"/>
  <c r="L82" i="4"/>
  <c r="N78" i="5"/>
  <c r="M78" i="5"/>
  <c r="L78" i="5"/>
  <c r="L83" i="4" l="1"/>
  <c r="T78" i="3"/>
  <c r="U78" i="3" s="1"/>
  <c r="X79" i="3" s="1"/>
  <c r="L13" i="3"/>
  <c r="D17" i="3"/>
  <c r="C21" i="3"/>
  <c r="B21" i="3"/>
  <c r="P21" i="3"/>
  <c r="F12" i="4"/>
  <c r="AS77" i="4"/>
  <c r="N79" i="5"/>
  <c r="L79" i="5"/>
  <c r="M79" i="5"/>
  <c r="M83" i="4"/>
  <c r="AB78" i="4"/>
  <c r="AC78" i="4"/>
  <c r="H9" i="4"/>
  <c r="AU74" i="4"/>
  <c r="AL78" i="3"/>
  <c r="AM78" i="3" s="1"/>
  <c r="AP79" i="3" s="1"/>
  <c r="O13" i="3"/>
  <c r="AD79" i="4"/>
  <c r="AN77" i="4"/>
  <c r="AO77" i="4"/>
  <c r="A87" i="4"/>
  <c r="C86" i="4"/>
  <c r="B86" i="4"/>
  <c r="Y86" i="4" s="1"/>
  <c r="A21" i="4"/>
  <c r="K84" i="4"/>
  <c r="M84" i="4" s="1"/>
  <c r="H86" i="4"/>
  <c r="I85" i="4"/>
  <c r="P79" i="5"/>
  <c r="N83" i="3"/>
  <c r="J17" i="3"/>
  <c r="O78" i="3"/>
  <c r="P78" i="3" s="1"/>
  <c r="S79" i="3" s="1"/>
  <c r="K13" i="3"/>
  <c r="F79" i="5"/>
  <c r="I79" i="5" s="1"/>
  <c r="T78" i="4"/>
  <c r="U78" i="4" s="1"/>
  <c r="X79" i="4" s="1"/>
  <c r="L13" i="4"/>
  <c r="E13" i="4"/>
  <c r="AR78" i="4"/>
  <c r="AP78" i="4"/>
  <c r="B20" i="4"/>
  <c r="P20" i="4"/>
  <c r="C20" i="4"/>
  <c r="K83" i="3"/>
  <c r="H85" i="3"/>
  <c r="I84" i="3"/>
  <c r="AH76" i="3"/>
  <c r="AE77" i="3"/>
  <c r="AF75" i="4"/>
  <c r="AG75" i="4" s="1"/>
  <c r="N10" i="4"/>
  <c r="N84" i="4"/>
  <c r="J18" i="4"/>
  <c r="E80" i="5"/>
  <c r="D80" i="5"/>
  <c r="G80" i="5" s="1"/>
  <c r="C80" i="5"/>
  <c r="F80" i="5" s="1"/>
  <c r="B80" i="5"/>
  <c r="A81" i="5"/>
  <c r="K80" i="5"/>
  <c r="H80" i="5"/>
  <c r="O80" i="5" s="1"/>
  <c r="G12" i="4"/>
  <c r="AT77" i="4"/>
  <c r="G85" i="3"/>
  <c r="F12" i="3"/>
  <c r="AS77" i="3"/>
  <c r="AB78" i="3"/>
  <c r="AC78" i="3"/>
  <c r="I12" i="3"/>
  <c r="G12" i="3"/>
  <c r="AT78" i="3"/>
  <c r="AT77" i="3"/>
  <c r="E12" i="3"/>
  <c r="C87" i="3"/>
  <c r="D87" i="3" s="1"/>
  <c r="A88" i="3"/>
  <c r="A22" i="3"/>
  <c r="B87" i="3"/>
  <c r="Y87" i="3" s="1"/>
  <c r="AQ82" i="3"/>
  <c r="D16" i="3"/>
  <c r="E86" i="3"/>
  <c r="F86" i="3"/>
  <c r="Q79" i="5"/>
  <c r="O79" i="4"/>
  <c r="P79" i="4" s="1"/>
  <c r="S80" i="4" s="1"/>
  <c r="K14" i="4"/>
  <c r="L82" i="3"/>
  <c r="Z79" i="3"/>
  <c r="AA79" i="3" s="1"/>
  <c r="M14" i="3"/>
  <c r="P80" i="5" l="1"/>
  <c r="Q80" i="5"/>
  <c r="L83" i="3"/>
  <c r="I80" i="5"/>
  <c r="J80" i="5"/>
  <c r="O80" i="4"/>
  <c r="P80" i="4" s="1"/>
  <c r="K15" i="4"/>
  <c r="D19" i="4"/>
  <c r="O79" i="3"/>
  <c r="P79" i="3" s="1"/>
  <c r="K14" i="3"/>
  <c r="G13" i="3"/>
  <c r="AT79" i="3"/>
  <c r="M83" i="3"/>
  <c r="H87" i="4"/>
  <c r="I86" i="4"/>
  <c r="I12" i="4"/>
  <c r="AV77" i="4"/>
  <c r="Z79" i="4"/>
  <c r="AA79" i="4" s="1"/>
  <c r="M14" i="4"/>
  <c r="M80" i="5"/>
  <c r="N80" i="5"/>
  <c r="L80" i="5"/>
  <c r="K85" i="4"/>
  <c r="B87" i="4"/>
  <c r="Y87" i="4" s="1"/>
  <c r="A88" i="4"/>
  <c r="A22" i="4"/>
  <c r="C87" i="4"/>
  <c r="AL78" i="4"/>
  <c r="AM78" i="4" s="1"/>
  <c r="O13" i="4"/>
  <c r="N85" i="4"/>
  <c r="J19" i="4"/>
  <c r="L84" i="4"/>
  <c r="AH75" i="4"/>
  <c r="AE76" i="4"/>
  <c r="H86" i="3"/>
  <c r="I85" i="3"/>
  <c r="B21" i="4"/>
  <c r="P21" i="4"/>
  <c r="C21" i="4"/>
  <c r="AB79" i="3"/>
  <c r="AC79" i="3"/>
  <c r="Q78" i="3"/>
  <c r="R78" i="3"/>
  <c r="AD80" i="3"/>
  <c r="G13" i="4"/>
  <c r="A89" i="3"/>
  <c r="A23" i="3"/>
  <c r="C88" i="3"/>
  <c r="D88" i="3" s="1"/>
  <c r="B88" i="3"/>
  <c r="Y88" i="3" s="1"/>
  <c r="AQ84" i="4"/>
  <c r="D18" i="4"/>
  <c r="AQ83" i="4"/>
  <c r="G86" i="3"/>
  <c r="AT78" i="4"/>
  <c r="AI76" i="3"/>
  <c r="AJ76" i="3"/>
  <c r="AK77" i="3"/>
  <c r="V78" i="4"/>
  <c r="W78" i="4"/>
  <c r="AN78" i="3"/>
  <c r="AO78" i="3"/>
  <c r="V78" i="3"/>
  <c r="W78" i="3"/>
  <c r="C22" i="3"/>
  <c r="B22" i="3"/>
  <c r="P22" i="3"/>
  <c r="K84" i="3"/>
  <c r="H81" i="5"/>
  <c r="D81" i="5"/>
  <c r="E81" i="5"/>
  <c r="Q81" i="5" s="1"/>
  <c r="C81" i="5"/>
  <c r="F81" i="5" s="1"/>
  <c r="B81" i="5"/>
  <c r="K81" i="5"/>
  <c r="A82" i="5"/>
  <c r="F87" i="3"/>
  <c r="E87" i="3"/>
  <c r="N84" i="3"/>
  <c r="J18" i="3"/>
  <c r="Q79" i="4"/>
  <c r="R79" i="4"/>
  <c r="T79" i="4"/>
  <c r="U79" i="4" s="1"/>
  <c r="L14" i="4"/>
  <c r="AL79" i="3"/>
  <c r="AM79" i="3" s="1"/>
  <c r="O14" i="3"/>
  <c r="T79" i="3"/>
  <c r="U79" i="3" s="1"/>
  <c r="X80" i="3" s="1"/>
  <c r="L14" i="3"/>
  <c r="P81" i="5" l="1"/>
  <c r="G81" i="5"/>
  <c r="J81" i="5" s="1"/>
  <c r="O81" i="5"/>
  <c r="L85" i="4"/>
  <c r="L84" i="3"/>
  <c r="T80" i="3"/>
  <c r="U80" i="3" s="1"/>
  <c r="L15" i="3"/>
  <c r="A90" i="3"/>
  <c r="C89" i="3"/>
  <c r="D89" i="3" s="1"/>
  <c r="B89" i="3"/>
  <c r="Y89" i="3" s="1"/>
  <c r="A24" i="3"/>
  <c r="V79" i="4"/>
  <c r="W79" i="4"/>
  <c r="H11" i="3"/>
  <c r="AU76" i="3"/>
  <c r="K86" i="4"/>
  <c r="N86" i="4"/>
  <c r="J20" i="4"/>
  <c r="Z80" i="3"/>
  <c r="AA80" i="3" s="1"/>
  <c r="M15" i="3"/>
  <c r="D18" i="3"/>
  <c r="AQ83" i="3"/>
  <c r="AN78" i="4"/>
  <c r="AO78" i="4"/>
  <c r="N85" i="3"/>
  <c r="J19" i="3"/>
  <c r="F88" i="3"/>
  <c r="E88" i="3"/>
  <c r="N81" i="5"/>
  <c r="M81" i="5"/>
  <c r="L81" i="5"/>
  <c r="I13" i="3"/>
  <c r="AV78" i="3"/>
  <c r="G14" i="3"/>
  <c r="G87" i="3"/>
  <c r="E13" i="3"/>
  <c r="AR78" i="3"/>
  <c r="C23" i="3"/>
  <c r="B23" i="3"/>
  <c r="P23" i="3"/>
  <c r="K85" i="3"/>
  <c r="L85" i="3" s="1"/>
  <c r="A89" i="4"/>
  <c r="B88" i="4"/>
  <c r="Y88" i="4" s="1"/>
  <c r="A23" i="4"/>
  <c r="C88" i="4"/>
  <c r="M85" i="4"/>
  <c r="H88" i="4"/>
  <c r="I87" i="4"/>
  <c r="Q79" i="3"/>
  <c r="R79" i="3"/>
  <c r="AR79" i="3" s="1"/>
  <c r="V79" i="3"/>
  <c r="W79" i="3"/>
  <c r="I81" i="5"/>
  <c r="AB79" i="4"/>
  <c r="AC79" i="4"/>
  <c r="Q80" i="4"/>
  <c r="R80" i="4"/>
  <c r="AR80" i="4" s="1"/>
  <c r="AF77" i="3"/>
  <c r="AG77" i="3" s="1"/>
  <c r="N12" i="3"/>
  <c r="AI75" i="4"/>
  <c r="AJ75" i="4"/>
  <c r="AK76" i="4"/>
  <c r="X80" i="4"/>
  <c r="E14" i="4"/>
  <c r="AR79" i="4"/>
  <c r="AP79" i="4"/>
  <c r="M84" i="3"/>
  <c r="AQ84" i="3" s="1"/>
  <c r="AS79" i="3"/>
  <c r="F13" i="3"/>
  <c r="AS78" i="3"/>
  <c r="S80" i="3"/>
  <c r="C82" i="5"/>
  <c r="A83" i="5"/>
  <c r="K82" i="5"/>
  <c r="D82" i="5"/>
  <c r="B82" i="5"/>
  <c r="H82" i="5"/>
  <c r="E82" i="5"/>
  <c r="Q82" i="5" s="1"/>
  <c r="B22" i="4"/>
  <c r="P22" i="4"/>
  <c r="C22" i="4"/>
  <c r="AN79" i="3"/>
  <c r="AO79" i="3"/>
  <c r="AV79" i="3" s="1"/>
  <c r="F13" i="4"/>
  <c r="AS78" i="4"/>
  <c r="H87" i="3"/>
  <c r="I86" i="3"/>
  <c r="AP80" i="3"/>
  <c r="B43" i="5"/>
  <c r="B33" i="5"/>
  <c r="AD80" i="4"/>
  <c r="S81" i="4"/>
  <c r="C24" i="3" l="1"/>
  <c r="B24" i="3"/>
  <c r="P24" i="3"/>
  <c r="F89" i="3"/>
  <c r="E89" i="3"/>
  <c r="P82" i="5"/>
  <c r="T80" i="4"/>
  <c r="U80" i="4" s="1"/>
  <c r="L15" i="4"/>
  <c r="O81" i="4"/>
  <c r="P81" i="4" s="1"/>
  <c r="S82" i="4" s="1"/>
  <c r="K16" i="4"/>
  <c r="AF76" i="4"/>
  <c r="AG76" i="4" s="1"/>
  <c r="N11" i="4"/>
  <c r="H10" i="4"/>
  <c r="AU75" i="4"/>
  <c r="M85" i="3"/>
  <c r="N86" i="3"/>
  <c r="J20" i="3"/>
  <c r="B23" i="4"/>
  <c r="P23" i="4"/>
  <c r="C23" i="4"/>
  <c r="G14" i="4"/>
  <c r="AT79" i="4"/>
  <c r="D19" i="3"/>
  <c r="AB80" i="3"/>
  <c r="AC80" i="3"/>
  <c r="AL79" i="4"/>
  <c r="AM79" i="4" s="1"/>
  <c r="AP80" i="4" s="1"/>
  <c r="O14" i="4"/>
  <c r="N87" i="4"/>
  <c r="J21" i="4"/>
  <c r="L86" i="4"/>
  <c r="M86" i="4"/>
  <c r="AQ86" i="4" s="1"/>
  <c r="N82" i="5"/>
  <c r="M82" i="5"/>
  <c r="L82" i="5"/>
  <c r="K87" i="4"/>
  <c r="H89" i="4"/>
  <c r="I88" i="4"/>
  <c r="D20" i="4"/>
  <c r="AQ85" i="4"/>
  <c r="A84" i="5"/>
  <c r="B83" i="5"/>
  <c r="E83" i="5"/>
  <c r="D83" i="5"/>
  <c r="G83" i="5" s="1"/>
  <c r="C83" i="5"/>
  <c r="F83" i="5" s="1"/>
  <c r="K83" i="5"/>
  <c r="H83" i="5"/>
  <c r="AL80" i="3"/>
  <c r="AM80" i="3" s="1"/>
  <c r="O15" i="3"/>
  <c r="F82" i="5"/>
  <c r="I82" i="5" s="1"/>
  <c r="I13" i="4"/>
  <c r="AV78" i="4"/>
  <c r="F14" i="4"/>
  <c r="AD81" i="3"/>
  <c r="G82" i="5"/>
  <c r="J82" i="5" s="1"/>
  <c r="E14" i="3"/>
  <c r="AH77" i="3"/>
  <c r="AE78" i="3"/>
  <c r="V80" i="3"/>
  <c r="W80" i="3"/>
  <c r="AS79" i="4"/>
  <c r="I14" i="3"/>
  <c r="A24" i="4"/>
  <c r="A90" i="4"/>
  <c r="C89" i="4"/>
  <c r="B89" i="4"/>
  <c r="Y89" i="4" s="1"/>
  <c r="F14" i="3"/>
  <c r="G88" i="3"/>
  <c r="M15" i="4"/>
  <c r="Z80" i="4"/>
  <c r="AA80" i="4" s="1"/>
  <c r="AD81" i="4" s="1"/>
  <c r="O82" i="5"/>
  <c r="B90" i="3"/>
  <c r="Y90" i="3" s="1"/>
  <c r="A25" i="3"/>
  <c r="C90" i="3"/>
  <c r="D90" i="3" s="1"/>
  <c r="A91" i="3"/>
  <c r="K86" i="3"/>
  <c r="O80" i="3"/>
  <c r="P80" i="3" s="1"/>
  <c r="K15" i="3"/>
  <c r="H88" i="3"/>
  <c r="I87" i="3"/>
  <c r="E15" i="4"/>
  <c r="X81" i="3"/>
  <c r="P83" i="5" l="1"/>
  <c r="O82" i="4"/>
  <c r="P82" i="4" s="1"/>
  <c r="K17" i="4"/>
  <c r="AL80" i="4"/>
  <c r="AM80" i="4" s="1"/>
  <c r="O15" i="4"/>
  <c r="Z81" i="4"/>
  <c r="AA81" i="4" s="1"/>
  <c r="M16" i="4"/>
  <c r="F90" i="3"/>
  <c r="E90" i="3"/>
  <c r="G15" i="3"/>
  <c r="AT80" i="3"/>
  <c r="O83" i="5"/>
  <c r="Q80" i="3"/>
  <c r="R80" i="3"/>
  <c r="Q83" i="5"/>
  <c r="V80" i="4"/>
  <c r="W80" i="4"/>
  <c r="N87" i="3"/>
  <c r="J21" i="3"/>
  <c r="M86" i="3"/>
  <c r="D20" i="3"/>
  <c r="AQ86" i="3"/>
  <c r="N88" i="4"/>
  <c r="J22" i="4"/>
  <c r="K88" i="4"/>
  <c r="M88" i="4" s="1"/>
  <c r="F15" i="3"/>
  <c r="L87" i="4"/>
  <c r="M83" i="5"/>
  <c r="L83" i="5"/>
  <c r="N83" i="5"/>
  <c r="K87" i="3"/>
  <c r="L87" i="3" s="1"/>
  <c r="AQ85" i="3"/>
  <c r="S81" i="3"/>
  <c r="C90" i="4"/>
  <c r="B90" i="4"/>
  <c r="Y90" i="4" s="1"/>
  <c r="A25" i="4"/>
  <c r="A91" i="4"/>
  <c r="X81" i="4"/>
  <c r="AB80" i="4"/>
  <c r="AC80" i="4"/>
  <c r="H90" i="4"/>
  <c r="I89" i="4"/>
  <c r="AN79" i="4"/>
  <c r="AO79" i="4"/>
  <c r="AH76" i="4"/>
  <c r="AE77" i="4"/>
  <c r="I83" i="5"/>
  <c r="Q81" i="4"/>
  <c r="R81" i="4"/>
  <c r="H89" i="3"/>
  <c r="I88" i="3"/>
  <c r="B24" i="4"/>
  <c r="P24" i="4"/>
  <c r="C24" i="4"/>
  <c r="AN80" i="3"/>
  <c r="AO80" i="3"/>
  <c r="A92" i="3"/>
  <c r="C91" i="3"/>
  <c r="D91" i="3" s="1"/>
  <c r="B91" i="3"/>
  <c r="Y91" i="3" s="1"/>
  <c r="A26" i="3"/>
  <c r="AP81" i="3"/>
  <c r="T81" i="3"/>
  <c r="U81" i="3" s="1"/>
  <c r="L16" i="3"/>
  <c r="AS80" i="3"/>
  <c r="M87" i="4"/>
  <c r="AI77" i="3"/>
  <c r="AJ77" i="3"/>
  <c r="AK78" i="3"/>
  <c r="C25" i="3"/>
  <c r="B25" i="3"/>
  <c r="P25" i="3"/>
  <c r="J83" i="5"/>
  <c r="Z81" i="3"/>
  <c r="AA81" i="3" s="1"/>
  <c r="M16" i="3"/>
  <c r="L86" i="3"/>
  <c r="E84" i="5"/>
  <c r="C84" i="5"/>
  <c r="F84" i="5" s="1"/>
  <c r="B84" i="5"/>
  <c r="A85" i="5"/>
  <c r="D84" i="5"/>
  <c r="K84" i="5"/>
  <c r="H84" i="5"/>
  <c r="D21" i="4"/>
  <c r="G89" i="3"/>
  <c r="Q84" i="5" l="1"/>
  <c r="G84" i="5"/>
  <c r="G90" i="3"/>
  <c r="AL81" i="3"/>
  <c r="AM81" i="3" s="1"/>
  <c r="O16" i="3"/>
  <c r="H90" i="3"/>
  <c r="I89" i="3"/>
  <c r="I84" i="5"/>
  <c r="AN80" i="4"/>
  <c r="AO80" i="4"/>
  <c r="AV80" i="4" s="1"/>
  <c r="AI76" i="4"/>
  <c r="AJ76" i="4"/>
  <c r="AK77" i="4"/>
  <c r="AP81" i="4"/>
  <c r="H91" i="4"/>
  <c r="I90" i="4"/>
  <c r="AQ88" i="4"/>
  <c r="D22" i="4"/>
  <c r="D23" i="4"/>
  <c r="P84" i="5"/>
  <c r="V81" i="3"/>
  <c r="W81" i="3"/>
  <c r="A26" i="4"/>
  <c r="A92" i="4"/>
  <c r="C91" i="4"/>
  <c r="B91" i="4"/>
  <c r="Y91" i="4" s="1"/>
  <c r="N89" i="4"/>
  <c r="J23" i="4"/>
  <c r="D85" i="5"/>
  <c r="E85" i="5"/>
  <c r="C85" i="5"/>
  <c r="F85" i="5" s="1"/>
  <c r="H85" i="5"/>
  <c r="K85" i="5"/>
  <c r="B85" i="5"/>
  <c r="A86" i="5"/>
  <c r="K88" i="3"/>
  <c r="B25" i="4"/>
  <c r="P25" i="4"/>
  <c r="C25" i="4"/>
  <c r="C26" i="3"/>
  <c r="B26" i="3"/>
  <c r="P26" i="3"/>
  <c r="E16" i="4"/>
  <c r="AR81" i="4"/>
  <c r="AB81" i="4"/>
  <c r="AC81" i="4"/>
  <c r="AT81" i="4" s="1"/>
  <c r="AD82" i="4"/>
  <c r="N88" i="3"/>
  <c r="J22" i="3"/>
  <c r="B48" i="5" s="1"/>
  <c r="I14" i="4"/>
  <c r="AV79" i="4"/>
  <c r="L88" i="4"/>
  <c r="H12" i="3"/>
  <c r="AU77" i="3"/>
  <c r="N84" i="5"/>
  <c r="M84" i="5"/>
  <c r="L84" i="5"/>
  <c r="I15" i="3"/>
  <c r="AV80" i="3"/>
  <c r="J84" i="5"/>
  <c r="M87" i="3"/>
  <c r="X82" i="3"/>
  <c r="F91" i="3"/>
  <c r="E91" i="3"/>
  <c r="AB81" i="3"/>
  <c r="AC81" i="3"/>
  <c r="AD82" i="3"/>
  <c r="O81" i="3"/>
  <c r="P81" i="3" s="1"/>
  <c r="K16" i="3"/>
  <c r="E15" i="3"/>
  <c r="AR80" i="3"/>
  <c r="Q82" i="4"/>
  <c r="R82" i="4"/>
  <c r="AR82" i="4" s="1"/>
  <c r="G15" i="4"/>
  <c r="AT80" i="4"/>
  <c r="O84" i="5"/>
  <c r="T81" i="4"/>
  <c r="U81" i="4" s="1"/>
  <c r="L16" i="4"/>
  <c r="D21" i="3"/>
  <c r="F15" i="4"/>
  <c r="AS80" i="4"/>
  <c r="AQ87" i="4"/>
  <c r="AF78" i="3"/>
  <c r="AG78" i="3" s="1"/>
  <c r="AH78" i="3" s="1"/>
  <c r="AK79" i="3"/>
  <c r="N13" i="3"/>
  <c r="C92" i="3"/>
  <c r="D92" i="3" s="1"/>
  <c r="B92" i="3"/>
  <c r="Y92" i="3" s="1"/>
  <c r="A27" i="3"/>
  <c r="A93" i="3"/>
  <c r="K89" i="4"/>
  <c r="S83" i="4"/>
  <c r="M88" i="3" l="1"/>
  <c r="L89" i="4"/>
  <c r="Q85" i="5"/>
  <c r="P85" i="5"/>
  <c r="O85" i="5"/>
  <c r="D23" i="3"/>
  <c r="G16" i="3"/>
  <c r="AT81" i="3"/>
  <c r="V81" i="4"/>
  <c r="W81" i="4"/>
  <c r="AL81" i="4"/>
  <c r="AM81" i="4" s="1"/>
  <c r="AP82" i="4" s="1"/>
  <c r="O16" i="4"/>
  <c r="X82" i="4"/>
  <c r="I15" i="4"/>
  <c r="F16" i="3"/>
  <c r="AS81" i="3"/>
  <c r="M89" i="4"/>
  <c r="G85" i="5"/>
  <c r="J85" i="5" s="1"/>
  <c r="AN81" i="3"/>
  <c r="AO81" i="3"/>
  <c r="G91" i="3"/>
  <c r="AF77" i="4"/>
  <c r="AG77" i="4" s="1"/>
  <c r="N12" i="4"/>
  <c r="C86" i="5"/>
  <c r="E86" i="5"/>
  <c r="B86" i="5"/>
  <c r="K86" i="5"/>
  <c r="H86" i="5"/>
  <c r="A87" i="5"/>
  <c r="D86" i="5"/>
  <c r="I85" i="5"/>
  <c r="H91" i="3"/>
  <c r="I90" i="3"/>
  <c r="N90" i="4"/>
  <c r="J24" i="4"/>
  <c r="AP82" i="3"/>
  <c r="H11" i="4"/>
  <c r="AU76" i="4"/>
  <c r="C92" i="4"/>
  <c r="B92" i="4"/>
  <c r="Y92" i="4" s="1"/>
  <c r="A27" i="4"/>
  <c r="A93" i="4"/>
  <c r="D22" i="3"/>
  <c r="AQ88" i="3"/>
  <c r="Z82" i="4"/>
  <c r="AA82" i="4" s="1"/>
  <c r="AD83" i="4" s="1"/>
  <c r="M17" i="4"/>
  <c r="G16" i="4"/>
  <c r="AI78" i="3"/>
  <c r="AJ78" i="3"/>
  <c r="K89" i="3"/>
  <c r="H92" i="4"/>
  <c r="I91" i="4"/>
  <c r="F92" i="3"/>
  <c r="E92" i="3"/>
  <c r="T82" i="3"/>
  <c r="U82" i="3" s="1"/>
  <c r="L17" i="3"/>
  <c r="O83" i="4"/>
  <c r="P83" i="4" s="1"/>
  <c r="K18" i="4"/>
  <c r="N89" i="3"/>
  <c r="J23" i="3"/>
  <c r="B26" i="4"/>
  <c r="P26" i="4"/>
  <c r="C26" i="4"/>
  <c r="M85" i="5"/>
  <c r="L85" i="5"/>
  <c r="N85" i="5"/>
  <c r="E17" i="4"/>
  <c r="AE79" i="3"/>
  <c r="AF79" i="3" s="1"/>
  <c r="AG79" i="3" s="1"/>
  <c r="AH79" i="3" s="1"/>
  <c r="N14" i="3"/>
  <c r="L88" i="3"/>
  <c r="Q81" i="3"/>
  <c r="R81" i="3"/>
  <c r="A28" i="3"/>
  <c r="C93" i="3"/>
  <c r="D93" i="3" s="1"/>
  <c r="B93" i="3"/>
  <c r="Y93" i="3" s="1"/>
  <c r="A94" i="3"/>
  <c r="S82" i="3"/>
  <c r="C27" i="3"/>
  <c r="B27" i="3"/>
  <c r="P27" i="3"/>
  <c r="AQ87" i="3"/>
  <c r="M17" i="3"/>
  <c r="Z82" i="3"/>
  <c r="AA82" i="3" s="1"/>
  <c r="K90" i="4"/>
  <c r="L89" i="3" l="1"/>
  <c r="P86" i="5"/>
  <c r="M90" i="4"/>
  <c r="D25" i="4"/>
  <c r="AI79" i="3"/>
  <c r="AJ79" i="3"/>
  <c r="AK80" i="3"/>
  <c r="M18" i="4"/>
  <c r="Z83" i="4"/>
  <c r="AA83" i="4" s="1"/>
  <c r="AL82" i="4"/>
  <c r="AM82" i="4" s="1"/>
  <c r="AP83" i="4" s="1"/>
  <c r="O17" i="4"/>
  <c r="F93" i="3"/>
  <c r="E93" i="3"/>
  <c r="K90" i="3"/>
  <c r="L90" i="3" s="1"/>
  <c r="F16" i="4"/>
  <c r="AS81" i="4"/>
  <c r="A94" i="4"/>
  <c r="A28" i="4"/>
  <c r="C93" i="4"/>
  <c r="B93" i="4"/>
  <c r="Y93" i="4" s="1"/>
  <c r="M89" i="3"/>
  <c r="N90" i="3"/>
  <c r="J24" i="3"/>
  <c r="G86" i="5"/>
  <c r="J86" i="5" s="1"/>
  <c r="V82" i="3"/>
  <c r="W82" i="3"/>
  <c r="O86" i="5"/>
  <c r="F86" i="5"/>
  <c r="I86" i="5" s="1"/>
  <c r="O82" i="3"/>
  <c r="P82" i="3" s="1"/>
  <c r="K17" i="3"/>
  <c r="AH77" i="4"/>
  <c r="AE78" i="4"/>
  <c r="N91" i="4"/>
  <c r="J25" i="4"/>
  <c r="H92" i="3"/>
  <c r="I91" i="3"/>
  <c r="C28" i="3"/>
  <c r="B28" i="3"/>
  <c r="P28" i="3"/>
  <c r="I16" i="3"/>
  <c r="AV81" i="3"/>
  <c r="Q86" i="5"/>
  <c r="B27" i="4"/>
  <c r="P27" i="4"/>
  <c r="C27" i="4"/>
  <c r="A88" i="5"/>
  <c r="B87" i="5"/>
  <c r="D87" i="5"/>
  <c r="K87" i="5"/>
  <c r="H87" i="5"/>
  <c r="E87" i="5"/>
  <c r="P87" i="5" s="1"/>
  <c r="C87" i="5"/>
  <c r="F87" i="5" s="1"/>
  <c r="I87" i="5" s="1"/>
  <c r="D24" i="4"/>
  <c r="AQ90" i="4"/>
  <c r="AQ89" i="4"/>
  <c r="E16" i="3"/>
  <c r="AR81" i="3"/>
  <c r="N86" i="5"/>
  <c r="M86" i="5"/>
  <c r="L86" i="5"/>
  <c r="AB82" i="3"/>
  <c r="AC82" i="3"/>
  <c r="X83" i="3"/>
  <c r="AB82" i="4"/>
  <c r="AC82" i="4"/>
  <c r="T82" i="4"/>
  <c r="U82" i="4" s="1"/>
  <c r="X83" i="4" s="1"/>
  <c r="L17" i="4"/>
  <c r="K91" i="4"/>
  <c r="C94" i="3"/>
  <c r="D94" i="3" s="1"/>
  <c r="A29" i="3"/>
  <c r="A95" i="3"/>
  <c r="B94" i="3"/>
  <c r="Y94" i="3" s="1"/>
  <c r="H93" i="4"/>
  <c r="I92" i="4"/>
  <c r="AN81" i="4"/>
  <c r="AO81" i="4"/>
  <c r="Q83" i="4"/>
  <c r="R83" i="4"/>
  <c r="G92" i="3"/>
  <c r="AD83" i="3"/>
  <c r="AL82" i="3"/>
  <c r="AM82" i="3" s="1"/>
  <c r="AP83" i="3" s="1"/>
  <c r="O17" i="3"/>
  <c r="L90" i="4"/>
  <c r="S84" i="4"/>
  <c r="H13" i="3"/>
  <c r="AU79" i="3"/>
  <c r="AU78" i="3"/>
  <c r="M90" i="3" l="1"/>
  <c r="T83" i="4"/>
  <c r="U83" i="4" s="1"/>
  <c r="X84" i="4" s="1"/>
  <c r="L18" i="4"/>
  <c r="AL83" i="4"/>
  <c r="AM83" i="4" s="1"/>
  <c r="O18" i="4"/>
  <c r="AL83" i="3"/>
  <c r="AM83" i="3" s="1"/>
  <c r="O18" i="3"/>
  <c r="O84" i="4"/>
  <c r="P84" i="4" s="1"/>
  <c r="K19" i="4"/>
  <c r="G93" i="3"/>
  <c r="O87" i="5"/>
  <c r="Q82" i="3"/>
  <c r="R82" i="3"/>
  <c r="N87" i="5"/>
  <c r="L87" i="5"/>
  <c r="M87" i="5"/>
  <c r="S83" i="3"/>
  <c r="G17" i="3"/>
  <c r="AT82" i="3"/>
  <c r="Q87" i="5"/>
  <c r="AB83" i="4"/>
  <c r="AC83" i="4"/>
  <c r="F17" i="3"/>
  <c r="AS82" i="3"/>
  <c r="L91" i="4"/>
  <c r="H88" i="5"/>
  <c r="E88" i="5"/>
  <c r="P88" i="5" s="1"/>
  <c r="C88" i="5"/>
  <c r="F88" i="5" s="1"/>
  <c r="B88" i="5"/>
  <c r="D88" i="5"/>
  <c r="G88" i="5" s="1"/>
  <c r="J88" i="5" s="1"/>
  <c r="K88" i="5"/>
  <c r="A89" i="5"/>
  <c r="AE80" i="3"/>
  <c r="AF80" i="3" s="1"/>
  <c r="AG80" i="3" s="1"/>
  <c r="N15" i="3"/>
  <c r="I16" i="4"/>
  <c r="AV81" i="4"/>
  <c r="H14" i="3"/>
  <c r="M18" i="3"/>
  <c r="Z83" i="3"/>
  <c r="AA83" i="3" s="1"/>
  <c r="AD84" i="3" s="1"/>
  <c r="AN82" i="4"/>
  <c r="AO82" i="4"/>
  <c r="AV82" i="4" s="1"/>
  <c r="N91" i="3"/>
  <c r="J25" i="3"/>
  <c r="N92" i="4"/>
  <c r="J26" i="4"/>
  <c r="B28" i="4"/>
  <c r="P28" i="4"/>
  <c r="C28" i="4"/>
  <c r="AI77" i="4"/>
  <c r="AJ77" i="4"/>
  <c r="AK78" i="4"/>
  <c r="AN82" i="3"/>
  <c r="AO82" i="3"/>
  <c r="A96" i="3"/>
  <c r="C95" i="3"/>
  <c r="D95" i="3" s="1"/>
  <c r="B95" i="3"/>
  <c r="Y95" i="3" s="1"/>
  <c r="A30" i="3"/>
  <c r="AT83" i="4"/>
  <c r="G17" i="4"/>
  <c r="AT82" i="4"/>
  <c r="A29" i="4"/>
  <c r="C94" i="4"/>
  <c r="B94" i="4"/>
  <c r="Y94" i="4" s="1"/>
  <c r="A95" i="4"/>
  <c r="C29" i="3"/>
  <c r="B29" i="3"/>
  <c r="P29" i="3"/>
  <c r="T83" i="3"/>
  <c r="U83" i="3" s="1"/>
  <c r="X84" i="3" s="1"/>
  <c r="L18" i="3"/>
  <c r="AD84" i="4"/>
  <c r="K92" i="4"/>
  <c r="M91" i="4"/>
  <c r="K91" i="3"/>
  <c r="D24" i="3"/>
  <c r="AQ90" i="3"/>
  <c r="AQ89" i="3"/>
  <c r="V82" i="4"/>
  <c r="W82" i="4"/>
  <c r="E94" i="3"/>
  <c r="F94" i="3"/>
  <c r="G87" i="5"/>
  <c r="J87" i="5" s="1"/>
  <c r="E18" i="4"/>
  <c r="AR83" i="4"/>
  <c r="H94" i="4"/>
  <c r="I93" i="4"/>
  <c r="H93" i="3"/>
  <c r="I92" i="3"/>
  <c r="D25" i="3"/>
  <c r="L91" i="3" l="1"/>
  <c r="O88" i="5"/>
  <c r="Q88" i="5"/>
  <c r="M92" i="4"/>
  <c r="D27" i="4"/>
  <c r="T84" i="3"/>
  <c r="U84" i="3" s="1"/>
  <c r="L19" i="3"/>
  <c r="AH80" i="3"/>
  <c r="AE81" i="3"/>
  <c r="M19" i="3"/>
  <c r="Z84" i="3"/>
  <c r="AA84" i="3" s="1"/>
  <c r="B29" i="4"/>
  <c r="P29" i="4"/>
  <c r="C29" i="4"/>
  <c r="AF78" i="4"/>
  <c r="AG78" i="4" s="1"/>
  <c r="N13" i="4"/>
  <c r="K92" i="3"/>
  <c r="AN83" i="3"/>
  <c r="AO83" i="3"/>
  <c r="AV83" i="3" s="1"/>
  <c r="M88" i="5"/>
  <c r="N88" i="5"/>
  <c r="L88" i="5"/>
  <c r="AN83" i="4"/>
  <c r="AO83" i="4"/>
  <c r="AP84" i="4"/>
  <c r="G94" i="3"/>
  <c r="N93" i="4"/>
  <c r="J27" i="4"/>
  <c r="AP84" i="3"/>
  <c r="O83" i="3"/>
  <c r="P83" i="3" s="1"/>
  <c r="S84" i="3" s="1"/>
  <c r="K18" i="3"/>
  <c r="M91" i="3"/>
  <c r="C96" i="3"/>
  <c r="D96" i="3" s="1"/>
  <c r="A97" i="3"/>
  <c r="B96" i="3"/>
  <c r="Y96" i="3" s="1"/>
  <c r="A31" i="3"/>
  <c r="I88" i="5"/>
  <c r="Q84" i="4"/>
  <c r="R84" i="4"/>
  <c r="S85" i="4"/>
  <c r="V83" i="3"/>
  <c r="W83" i="3"/>
  <c r="I17" i="4"/>
  <c r="H94" i="3"/>
  <c r="I93" i="3"/>
  <c r="F95" i="3"/>
  <c r="E95" i="3"/>
  <c r="D26" i="4"/>
  <c r="AQ92" i="4"/>
  <c r="AQ91" i="4"/>
  <c r="V83" i="4"/>
  <c r="W83" i="4"/>
  <c r="I17" i="3"/>
  <c r="AV82" i="3"/>
  <c r="AS83" i="4"/>
  <c r="F17" i="4"/>
  <c r="AS82" i="4"/>
  <c r="H12" i="4"/>
  <c r="AU77" i="4"/>
  <c r="G18" i="4"/>
  <c r="M19" i="4"/>
  <c r="Z84" i="4"/>
  <c r="AA84" i="4" s="1"/>
  <c r="AD85" i="4" s="1"/>
  <c r="N92" i="3"/>
  <c r="M92" i="3" s="1"/>
  <c r="J26" i="3"/>
  <c r="A30" i="4"/>
  <c r="A96" i="4"/>
  <c r="C95" i="4"/>
  <c r="B95" i="4"/>
  <c r="Y95" i="4" s="1"/>
  <c r="H89" i="5"/>
  <c r="E89" i="5"/>
  <c r="Q89" i="5" s="1"/>
  <c r="D89" i="5"/>
  <c r="G89" i="5" s="1"/>
  <c r="J89" i="5" s="1"/>
  <c r="A90" i="5"/>
  <c r="C89" i="5"/>
  <c r="B89" i="5"/>
  <c r="K89" i="5"/>
  <c r="K93" i="4"/>
  <c r="M93" i="4" s="1"/>
  <c r="C30" i="3"/>
  <c r="B30" i="3"/>
  <c r="P30" i="3"/>
  <c r="AB83" i="3"/>
  <c r="AC83" i="3"/>
  <c r="H95" i="4"/>
  <c r="I94" i="4"/>
  <c r="L92" i="4"/>
  <c r="E17" i="3"/>
  <c r="AR82" i="3"/>
  <c r="T84" i="4"/>
  <c r="U84" i="4" s="1"/>
  <c r="L19" i="4"/>
  <c r="M20" i="4" l="1"/>
  <c r="Z85" i="4"/>
  <c r="AA85" i="4" s="1"/>
  <c r="D28" i="4"/>
  <c r="AQ93" i="4"/>
  <c r="D27" i="3"/>
  <c r="O84" i="3"/>
  <c r="P84" i="3" s="1"/>
  <c r="K19" i="3"/>
  <c r="N94" i="4"/>
  <c r="J28" i="4"/>
  <c r="E96" i="3"/>
  <c r="F96" i="3"/>
  <c r="AB84" i="3"/>
  <c r="AC84" i="3"/>
  <c r="AT84" i="3" s="1"/>
  <c r="F18" i="3"/>
  <c r="AS83" i="3"/>
  <c r="V84" i="3"/>
  <c r="W84" i="3"/>
  <c r="L93" i="4"/>
  <c r="P89" i="5"/>
  <c r="AL84" i="4"/>
  <c r="AM84" i="4" s="1"/>
  <c r="O19" i="4"/>
  <c r="AH78" i="4"/>
  <c r="AE79" i="4"/>
  <c r="L89" i="5"/>
  <c r="M89" i="5"/>
  <c r="N89" i="5"/>
  <c r="O85" i="4"/>
  <c r="P85" i="4" s="1"/>
  <c r="K20" i="4"/>
  <c r="F89" i="5"/>
  <c r="I89" i="5" s="1"/>
  <c r="E19" i="4"/>
  <c r="AR84" i="4"/>
  <c r="L92" i="3"/>
  <c r="X85" i="3"/>
  <c r="K90" i="5"/>
  <c r="C90" i="5"/>
  <c r="B90" i="5"/>
  <c r="H90" i="5"/>
  <c r="E90" i="5"/>
  <c r="P90" i="5" s="1"/>
  <c r="D90" i="5"/>
  <c r="G90" i="5" s="1"/>
  <c r="J90" i="5" s="1"/>
  <c r="A91" i="5"/>
  <c r="C31" i="3"/>
  <c r="B31" i="3"/>
  <c r="P31" i="3"/>
  <c r="G95" i="3"/>
  <c r="C97" i="3"/>
  <c r="D97" i="3" s="1"/>
  <c r="B97" i="3"/>
  <c r="Y97" i="3" s="1"/>
  <c r="A32" i="3"/>
  <c r="A98" i="3"/>
  <c r="I18" i="4"/>
  <c r="A97" i="4"/>
  <c r="A31" i="4"/>
  <c r="B96" i="4"/>
  <c r="Y96" i="4" s="1"/>
  <c r="C96" i="4"/>
  <c r="AD85" i="3"/>
  <c r="V84" i="4"/>
  <c r="W84" i="4"/>
  <c r="I18" i="3"/>
  <c r="X85" i="4"/>
  <c r="Q83" i="3"/>
  <c r="R83" i="3"/>
  <c r="O89" i="5"/>
  <c r="N93" i="3"/>
  <c r="J27" i="3"/>
  <c r="K94" i="4"/>
  <c r="AB84" i="4"/>
  <c r="AC84" i="4"/>
  <c r="H96" i="4"/>
  <c r="I95" i="4"/>
  <c r="G18" i="3"/>
  <c r="AT83" i="3"/>
  <c r="K93" i="3"/>
  <c r="H95" i="3"/>
  <c r="I94" i="3"/>
  <c r="AV83" i="4"/>
  <c r="D26" i="3"/>
  <c r="AQ92" i="3"/>
  <c r="AQ91" i="3"/>
  <c r="AI80" i="3"/>
  <c r="AJ80" i="3"/>
  <c r="AK81" i="3"/>
  <c r="B30" i="4"/>
  <c r="P30" i="4"/>
  <c r="C30" i="4"/>
  <c r="F18" i="4"/>
  <c r="AL84" i="3"/>
  <c r="AM84" i="3" s="1"/>
  <c r="O19" i="3"/>
  <c r="L93" i="3" l="1"/>
  <c r="Q90" i="5"/>
  <c r="F90" i="5"/>
  <c r="I90" i="5" s="1"/>
  <c r="L94" i="4"/>
  <c r="O90" i="5"/>
  <c r="G96" i="3"/>
  <c r="M20" i="3"/>
  <c r="Z85" i="3"/>
  <c r="AA85" i="3" s="1"/>
  <c r="AI78" i="4"/>
  <c r="AJ78" i="4"/>
  <c r="AK79" i="4"/>
  <c r="AN84" i="4"/>
  <c r="AO84" i="4"/>
  <c r="Q84" i="3"/>
  <c r="R84" i="3"/>
  <c r="S85" i="3"/>
  <c r="F19" i="3"/>
  <c r="AF81" i="3"/>
  <c r="AG81" i="3" s="1"/>
  <c r="N16" i="3"/>
  <c r="H15" i="3"/>
  <c r="AU80" i="3"/>
  <c r="E18" i="3"/>
  <c r="AR83" i="3"/>
  <c r="K91" i="5"/>
  <c r="H91" i="5"/>
  <c r="A92" i="5"/>
  <c r="E91" i="5"/>
  <c r="Q91" i="5" s="1"/>
  <c r="D91" i="5"/>
  <c r="C91" i="5"/>
  <c r="B91" i="5"/>
  <c r="K94" i="3"/>
  <c r="L94" i="3" s="1"/>
  <c r="C32" i="3"/>
  <c r="B32" i="3"/>
  <c r="P32" i="3"/>
  <c r="N90" i="5"/>
  <c r="M90" i="5"/>
  <c r="L90" i="5"/>
  <c r="T85" i="3"/>
  <c r="U85" i="3" s="1"/>
  <c r="L20" i="3"/>
  <c r="AN84" i="3"/>
  <c r="AO84" i="3"/>
  <c r="B31" i="4"/>
  <c r="P31" i="4"/>
  <c r="C31" i="4"/>
  <c r="N94" i="3"/>
  <c r="J28" i="3"/>
  <c r="B97" i="4"/>
  <c r="Y97" i="4" s="1"/>
  <c r="A32" i="4"/>
  <c r="A98" i="4"/>
  <c r="C97" i="4"/>
  <c r="Q85" i="4"/>
  <c r="R85" i="4"/>
  <c r="AS84" i="3"/>
  <c r="AB85" i="4"/>
  <c r="AC85" i="4"/>
  <c r="AT85" i="4"/>
  <c r="G19" i="4"/>
  <c r="AT84" i="4"/>
  <c r="F19" i="4"/>
  <c r="A33" i="3"/>
  <c r="A99" i="3"/>
  <c r="B98" i="3"/>
  <c r="Y98" i="3" s="1"/>
  <c r="C98" i="3"/>
  <c r="D98" i="3" s="1"/>
  <c r="M94" i="4"/>
  <c r="N95" i="4"/>
  <c r="J29" i="4"/>
  <c r="AP85" i="4"/>
  <c r="AP85" i="3"/>
  <c r="K95" i="4"/>
  <c r="T85" i="4"/>
  <c r="U85" i="4" s="1"/>
  <c r="X86" i="4" s="1"/>
  <c r="L20" i="4"/>
  <c r="S86" i="4"/>
  <c r="H96" i="3"/>
  <c r="I95" i="3"/>
  <c r="F97" i="3"/>
  <c r="E97" i="3"/>
  <c r="M93" i="3"/>
  <c r="AS84" i="4"/>
  <c r="H97" i="4"/>
  <c r="I96" i="4"/>
  <c r="G19" i="3"/>
  <c r="AD86" i="4"/>
  <c r="L95" i="4" l="1"/>
  <c r="T86" i="4"/>
  <c r="U86" i="4" s="1"/>
  <c r="L21" i="4"/>
  <c r="V85" i="3"/>
  <c r="W85" i="3"/>
  <c r="X86" i="3"/>
  <c r="M21" i="4"/>
  <c r="Z86" i="4"/>
  <c r="AA86" i="4" s="1"/>
  <c r="AD87" i="4" s="1"/>
  <c r="C33" i="3"/>
  <c r="B33" i="3"/>
  <c r="P33" i="3"/>
  <c r="K96" i="4"/>
  <c r="L96" i="4" s="1"/>
  <c r="AL85" i="3"/>
  <c r="AM85" i="3" s="1"/>
  <c r="AP86" i="3" s="1"/>
  <c r="O20" i="3"/>
  <c r="AB85" i="3"/>
  <c r="AC85" i="3"/>
  <c r="F98" i="3"/>
  <c r="E98" i="3"/>
  <c r="O91" i="5"/>
  <c r="P91" i="5"/>
  <c r="E19" i="3"/>
  <c r="C92" i="5"/>
  <c r="B92" i="5"/>
  <c r="E92" i="5"/>
  <c r="A93" i="5"/>
  <c r="D92" i="5"/>
  <c r="K92" i="5"/>
  <c r="H92" i="5"/>
  <c r="Q92" i="5" s="1"/>
  <c r="N91" i="5"/>
  <c r="L91" i="5"/>
  <c r="M91" i="5"/>
  <c r="A33" i="4"/>
  <c r="B98" i="4"/>
  <c r="Y98" i="4" s="1"/>
  <c r="A99" i="4"/>
  <c r="C98" i="4"/>
  <c r="D28" i="3"/>
  <c r="AQ93" i="3"/>
  <c r="B32" i="4"/>
  <c r="P32" i="4"/>
  <c r="C32" i="4"/>
  <c r="K95" i="3"/>
  <c r="AD86" i="3"/>
  <c r="V85" i="4"/>
  <c r="W85" i="4"/>
  <c r="E20" i="4"/>
  <c r="AR85" i="4"/>
  <c r="B99" i="3"/>
  <c r="Y99" i="3" s="1"/>
  <c r="A100" i="3"/>
  <c r="C99" i="3"/>
  <c r="D99" i="3" s="1"/>
  <c r="A34" i="3"/>
  <c r="I19" i="4"/>
  <c r="AV84" i="4"/>
  <c r="M95" i="4"/>
  <c r="AQ95" i="4" s="1"/>
  <c r="AR84" i="3"/>
  <c r="G97" i="3"/>
  <c r="N96" i="4"/>
  <c r="J30" i="4"/>
  <c r="F91" i="5"/>
  <c r="I91" i="5" s="1"/>
  <c r="AH81" i="3"/>
  <c r="AE82" i="3"/>
  <c r="O85" i="3"/>
  <c r="P85" i="3" s="1"/>
  <c r="S86" i="3" s="1"/>
  <c r="K20" i="3"/>
  <c r="H98" i="4"/>
  <c r="I97" i="4"/>
  <c r="AF79" i="4"/>
  <c r="AG79" i="4" s="1"/>
  <c r="N14" i="4"/>
  <c r="H13" i="4"/>
  <c r="AU78" i="4"/>
  <c r="AL85" i="4"/>
  <c r="AM85" i="4" s="1"/>
  <c r="O20" i="4"/>
  <c r="M94" i="3"/>
  <c r="AQ94" i="3" s="1"/>
  <c r="H97" i="3"/>
  <c r="I96" i="3"/>
  <c r="O86" i="4"/>
  <c r="P86" i="4" s="1"/>
  <c r="K21" i="4"/>
  <c r="D29" i="4"/>
  <c r="AQ94" i="4"/>
  <c r="G20" i="4"/>
  <c r="N95" i="3"/>
  <c r="J29" i="3"/>
  <c r="I19" i="3"/>
  <c r="AV84" i="3"/>
  <c r="G91" i="5"/>
  <c r="J91" i="5" s="1"/>
  <c r="L95" i="3" l="1"/>
  <c r="O92" i="5"/>
  <c r="O86" i="3"/>
  <c r="P86" i="3" s="1"/>
  <c r="K21" i="3"/>
  <c r="Z87" i="4"/>
  <c r="AA87" i="4" s="1"/>
  <c r="AD88" i="4" s="1"/>
  <c r="M22" i="4"/>
  <c r="AL86" i="3"/>
  <c r="AM86" i="3" s="1"/>
  <c r="AP87" i="3" s="1"/>
  <c r="O21" i="3"/>
  <c r="F20" i="4"/>
  <c r="AS85" i="4"/>
  <c r="A34" i="4"/>
  <c r="C99" i="4"/>
  <c r="B99" i="4"/>
  <c r="Y99" i="4" s="1"/>
  <c r="A100" i="4"/>
  <c r="K97" i="4"/>
  <c r="L97" i="4" s="1"/>
  <c r="Z86" i="3"/>
  <c r="AA86" i="3" s="1"/>
  <c r="M21" i="3"/>
  <c r="B33" i="4"/>
  <c r="P33" i="4"/>
  <c r="C33" i="4"/>
  <c r="Q86" i="4"/>
  <c r="R86" i="4"/>
  <c r="S87" i="4"/>
  <c r="M96" i="4"/>
  <c r="AQ96" i="4" s="1"/>
  <c r="H98" i="3"/>
  <c r="I97" i="3"/>
  <c r="G98" i="3"/>
  <c r="C100" i="3"/>
  <c r="D100" i="3" s="1"/>
  <c r="B100" i="3"/>
  <c r="Y100" i="3" s="1"/>
  <c r="A101" i="3"/>
  <c r="A35" i="3"/>
  <c r="P92" i="5"/>
  <c r="D30" i="4"/>
  <c r="AH79" i="4"/>
  <c r="AE80" i="4"/>
  <c r="D29" i="3"/>
  <c r="M95" i="3"/>
  <c r="N97" i="4"/>
  <c r="J31" i="4"/>
  <c r="E99" i="3"/>
  <c r="F99" i="3"/>
  <c r="AI81" i="3"/>
  <c r="AJ81" i="3"/>
  <c r="AK82" i="3"/>
  <c r="AN85" i="4"/>
  <c r="AO85" i="4"/>
  <c r="G20" i="3"/>
  <c r="AT85" i="3"/>
  <c r="N96" i="3"/>
  <c r="J30" i="3"/>
  <c r="M92" i="5"/>
  <c r="N92" i="5"/>
  <c r="L92" i="5"/>
  <c r="V86" i="4"/>
  <c r="W86" i="4"/>
  <c r="AS86" i="4" s="1"/>
  <c r="H93" i="5"/>
  <c r="K93" i="5"/>
  <c r="E93" i="5"/>
  <c r="O93" i="5" s="1"/>
  <c r="D93" i="5"/>
  <c r="G93" i="5" s="1"/>
  <c r="C93" i="5"/>
  <c r="F93" i="5" s="1"/>
  <c r="B93" i="5"/>
  <c r="A94" i="5"/>
  <c r="H99" i="4"/>
  <c r="I98" i="4"/>
  <c r="F92" i="5"/>
  <c r="I92" i="5" s="1"/>
  <c r="C34" i="3"/>
  <c r="B34" i="3"/>
  <c r="P34" i="3"/>
  <c r="Q85" i="3"/>
  <c r="R85" i="3"/>
  <c r="K96" i="3"/>
  <c r="M96" i="3" s="1"/>
  <c r="AB86" i="4"/>
  <c r="AC86" i="4"/>
  <c r="T86" i="3"/>
  <c r="U86" i="3" s="1"/>
  <c r="L21" i="3"/>
  <c r="F20" i="3"/>
  <c r="AS85" i="3"/>
  <c r="AP86" i="4"/>
  <c r="G92" i="5"/>
  <c r="J92" i="5" s="1"/>
  <c r="AN85" i="3"/>
  <c r="AO85" i="3"/>
  <c r="X87" i="4"/>
  <c r="Q93" i="5" l="1"/>
  <c r="AL87" i="3"/>
  <c r="AM87" i="3" s="1"/>
  <c r="AP88" i="3" s="1"/>
  <c r="O22" i="3"/>
  <c r="B53" i="5" s="1"/>
  <c r="Z88" i="4"/>
  <c r="AA88" i="4" s="1"/>
  <c r="AD89" i="4" s="1"/>
  <c r="M23" i="4"/>
  <c r="T87" i="4"/>
  <c r="U87" i="4" s="1"/>
  <c r="L22" i="4"/>
  <c r="H16" i="3"/>
  <c r="AU81" i="3"/>
  <c r="I20" i="3"/>
  <c r="AV85" i="3"/>
  <c r="B34" i="4"/>
  <c r="P34" i="4"/>
  <c r="C34" i="4"/>
  <c r="G99" i="3"/>
  <c r="AL86" i="4"/>
  <c r="AM86" i="4" s="1"/>
  <c r="AP87" i="4" s="1"/>
  <c r="O21" i="4"/>
  <c r="K98" i="4"/>
  <c r="AQ96" i="3"/>
  <c r="D30" i="3"/>
  <c r="H100" i="4"/>
  <c r="I99" i="4"/>
  <c r="V86" i="3"/>
  <c r="W86" i="3"/>
  <c r="X87" i="3"/>
  <c r="I93" i="5"/>
  <c r="H99" i="3"/>
  <c r="I98" i="3"/>
  <c r="L93" i="5"/>
  <c r="N93" i="5"/>
  <c r="M93" i="5"/>
  <c r="B101" i="3"/>
  <c r="Y101" i="3" s="1"/>
  <c r="A102" i="3"/>
  <c r="C101" i="3"/>
  <c r="D101" i="3" s="1"/>
  <c r="A36" i="3"/>
  <c r="F100" i="3"/>
  <c r="E100" i="3"/>
  <c r="K94" i="5"/>
  <c r="E94" i="5"/>
  <c r="D94" i="5"/>
  <c r="G94" i="5" s="1"/>
  <c r="A95" i="5"/>
  <c r="H94" i="5"/>
  <c r="Q94" i="5" s="1"/>
  <c r="C94" i="5"/>
  <c r="F94" i="5" s="1"/>
  <c r="I94" i="5" s="1"/>
  <c r="B94" i="5"/>
  <c r="K97" i="3"/>
  <c r="P93" i="5"/>
  <c r="I20" i="4"/>
  <c r="AV85" i="4"/>
  <c r="D31" i="4"/>
  <c r="D31" i="3"/>
  <c r="C35" i="3"/>
  <c r="B35" i="3"/>
  <c r="P35" i="3"/>
  <c r="AB86" i="3"/>
  <c r="AC86" i="3"/>
  <c r="M97" i="4"/>
  <c r="AQ97" i="4" s="1"/>
  <c r="N98" i="4"/>
  <c r="J32" i="4"/>
  <c r="AN86" i="3"/>
  <c r="AO86" i="3"/>
  <c r="AV86" i="3" s="1"/>
  <c r="AI79" i="4"/>
  <c r="AJ79" i="4"/>
  <c r="AK80" i="4"/>
  <c r="L96" i="3"/>
  <c r="O87" i="4"/>
  <c r="P87" i="4" s="1"/>
  <c r="K22" i="4"/>
  <c r="A101" i="4"/>
  <c r="A35" i="4"/>
  <c r="C100" i="4"/>
  <c r="B100" i="4"/>
  <c r="Y100" i="4" s="1"/>
  <c r="Q86" i="3"/>
  <c r="R86" i="3"/>
  <c r="AD87" i="3"/>
  <c r="F21" i="4"/>
  <c r="AR86" i="3"/>
  <c r="E20" i="3"/>
  <c r="AR85" i="3"/>
  <c r="AQ95" i="3"/>
  <c r="N97" i="3"/>
  <c r="J31" i="3"/>
  <c r="G21" i="4"/>
  <c r="AT86" i="4"/>
  <c r="AB87" i="4"/>
  <c r="AC87" i="4"/>
  <c r="AT87" i="4" s="1"/>
  <c r="J93" i="5"/>
  <c r="AF82" i="3"/>
  <c r="AG82" i="3" s="1"/>
  <c r="N17" i="3"/>
  <c r="E21" i="4"/>
  <c r="AR86" i="4"/>
  <c r="S87" i="3"/>
  <c r="O94" i="5" l="1"/>
  <c r="Z89" i="4"/>
  <c r="AA89" i="4" s="1"/>
  <c r="M24" i="4"/>
  <c r="F21" i="3"/>
  <c r="AS86" i="3"/>
  <c r="K99" i="4"/>
  <c r="L99" i="4" s="1"/>
  <c r="O87" i="3"/>
  <c r="P87" i="3" s="1"/>
  <c r="S88" i="3" s="1"/>
  <c r="K22" i="3"/>
  <c r="B49" i="5" s="1"/>
  <c r="Z87" i="3"/>
  <c r="AA87" i="3" s="1"/>
  <c r="M22" i="3"/>
  <c r="B51" i="5" s="1"/>
  <c r="AF80" i="4"/>
  <c r="AG80" i="4" s="1"/>
  <c r="N15" i="4"/>
  <c r="P94" i="5"/>
  <c r="G22" i="4"/>
  <c r="K98" i="3"/>
  <c r="L98" i="3" s="1"/>
  <c r="F101" i="3"/>
  <c r="E101" i="3"/>
  <c r="N99" i="4"/>
  <c r="J33" i="4"/>
  <c r="A37" i="3"/>
  <c r="C102" i="3"/>
  <c r="D102" i="3" s="1"/>
  <c r="B102" i="3"/>
  <c r="Y102" i="3" s="1"/>
  <c r="A103" i="3"/>
  <c r="N98" i="3"/>
  <c r="J32" i="3"/>
  <c r="G21" i="3"/>
  <c r="AT86" i="3"/>
  <c r="Q87" i="4"/>
  <c r="R87" i="4"/>
  <c r="AH82" i="3"/>
  <c r="AE83" i="3"/>
  <c r="S88" i="4"/>
  <c r="M94" i="5"/>
  <c r="N94" i="5"/>
  <c r="L94" i="5"/>
  <c r="G100" i="3"/>
  <c r="H100" i="3"/>
  <c r="I99" i="3"/>
  <c r="B35" i="4"/>
  <c r="P35" i="4"/>
  <c r="C35" i="4"/>
  <c r="H101" i="4"/>
  <c r="I100" i="4"/>
  <c r="L98" i="4"/>
  <c r="M98" i="4"/>
  <c r="AQ98" i="4" s="1"/>
  <c r="V87" i="4"/>
  <c r="W87" i="4"/>
  <c r="AB88" i="4"/>
  <c r="AC88" i="4"/>
  <c r="AT88" i="4" s="1"/>
  <c r="H14" i="4"/>
  <c r="AU79" i="4"/>
  <c r="L97" i="3"/>
  <c r="I21" i="3"/>
  <c r="M97" i="3"/>
  <c r="AN86" i="4"/>
  <c r="AO86" i="4"/>
  <c r="AN87" i="3"/>
  <c r="AO87" i="3"/>
  <c r="AV87" i="3" s="1"/>
  <c r="D32" i="4"/>
  <c r="B101" i="4"/>
  <c r="Y101" i="4" s="1"/>
  <c r="A36" i="4"/>
  <c r="A102" i="4"/>
  <c r="C101" i="4"/>
  <c r="A96" i="5"/>
  <c r="H95" i="5"/>
  <c r="E95" i="5"/>
  <c r="P95" i="5" s="1"/>
  <c r="K95" i="5"/>
  <c r="B95" i="5"/>
  <c r="C95" i="5"/>
  <c r="F95" i="5" s="1"/>
  <c r="I95" i="5" s="1"/>
  <c r="D95" i="5"/>
  <c r="G95" i="5" s="1"/>
  <c r="J95" i="5" s="1"/>
  <c r="J94" i="5"/>
  <c r="X88" i="4"/>
  <c r="E21" i="3"/>
  <c r="C36" i="3"/>
  <c r="B36" i="3"/>
  <c r="P36" i="3"/>
  <c r="T87" i="3"/>
  <c r="U87" i="3" s="1"/>
  <c r="X88" i="3" s="1"/>
  <c r="L22" i="3"/>
  <c r="B50" i="5" s="1"/>
  <c r="AL87" i="4"/>
  <c r="AM87" i="4" s="1"/>
  <c r="O22" i="4"/>
  <c r="AL88" i="3"/>
  <c r="AM88" i="3" s="1"/>
  <c r="O23" i="3"/>
  <c r="Q95" i="5" l="1"/>
  <c r="T88" i="3"/>
  <c r="U88" i="3" s="1"/>
  <c r="X89" i="3" s="1"/>
  <c r="L23" i="3"/>
  <c r="O88" i="3"/>
  <c r="P88" i="3" s="1"/>
  <c r="K23" i="3"/>
  <c r="N99" i="3"/>
  <c r="J33" i="3"/>
  <c r="T88" i="4"/>
  <c r="U88" i="4" s="1"/>
  <c r="L23" i="4"/>
  <c r="A37" i="4"/>
  <c r="C102" i="4"/>
  <c r="B102" i="4"/>
  <c r="Y102" i="4" s="1"/>
  <c r="A103" i="4"/>
  <c r="O88" i="4"/>
  <c r="P88" i="4" s="1"/>
  <c r="K23" i="4"/>
  <c r="C37" i="3"/>
  <c r="B37" i="3"/>
  <c r="P37" i="3"/>
  <c r="F22" i="4"/>
  <c r="AS87" i="4"/>
  <c r="D33" i="4"/>
  <c r="D32" i="3"/>
  <c r="AQ97" i="3"/>
  <c r="Q87" i="3"/>
  <c r="R87" i="3"/>
  <c r="C103" i="3"/>
  <c r="D103" i="3" s="1"/>
  <c r="A104" i="3"/>
  <c r="B103" i="3"/>
  <c r="Y103" i="3" s="1"/>
  <c r="A38" i="3"/>
  <c r="M98" i="3"/>
  <c r="AQ98" i="3" s="1"/>
  <c r="M99" i="4"/>
  <c r="AQ99" i="4" s="1"/>
  <c r="B36" i="4"/>
  <c r="P36" i="4"/>
  <c r="C36" i="4"/>
  <c r="I22" i="3"/>
  <c r="N100" i="4"/>
  <c r="J34" i="4"/>
  <c r="V87" i="3"/>
  <c r="W87" i="3"/>
  <c r="H101" i="3"/>
  <c r="I100" i="3"/>
  <c r="AI82" i="3"/>
  <c r="AJ82" i="3"/>
  <c r="AK83" i="3"/>
  <c r="E22" i="4"/>
  <c r="AR87" i="4"/>
  <c r="AN88" i="3"/>
  <c r="AO88" i="3"/>
  <c r="AV88" i="3" s="1"/>
  <c r="E96" i="5"/>
  <c r="A97" i="5"/>
  <c r="D96" i="5"/>
  <c r="G96" i="5" s="1"/>
  <c r="C96" i="5"/>
  <c r="F96" i="5" s="1"/>
  <c r="B96" i="5"/>
  <c r="K96" i="5"/>
  <c r="H96" i="5"/>
  <c r="P96" i="5" s="1"/>
  <c r="AN87" i="4"/>
  <c r="AO87" i="4"/>
  <c r="AV87" i="4" s="1"/>
  <c r="O95" i="5"/>
  <c r="K100" i="4"/>
  <c r="L100" i="4" s="1"/>
  <c r="G101" i="3"/>
  <c r="AB87" i="3"/>
  <c r="AC87" i="3"/>
  <c r="AB89" i="4"/>
  <c r="AC89" i="4"/>
  <c r="AT89" i="4" s="1"/>
  <c r="K99" i="3"/>
  <c r="F102" i="3"/>
  <c r="E102" i="3"/>
  <c r="G23" i="4"/>
  <c r="N95" i="5"/>
  <c r="M95" i="5"/>
  <c r="L95" i="5"/>
  <c r="AH80" i="4"/>
  <c r="AE81" i="4"/>
  <c r="AP89" i="3"/>
  <c r="AP88" i="4"/>
  <c r="I21" i="4"/>
  <c r="AV86" i="4"/>
  <c r="H102" i="4"/>
  <c r="I101" i="4"/>
  <c r="AD88" i="3"/>
  <c r="AD90" i="4"/>
  <c r="M100" i="4" l="1"/>
  <c r="AL88" i="4"/>
  <c r="AM88" i="4" s="1"/>
  <c r="O23" i="4"/>
  <c r="H17" i="3"/>
  <c r="AU82" i="3"/>
  <c r="C38" i="3"/>
  <c r="B38" i="3"/>
  <c r="P38" i="3"/>
  <c r="I96" i="5"/>
  <c r="Q88" i="4"/>
  <c r="R88" i="4"/>
  <c r="H102" i="3"/>
  <c r="I101" i="3"/>
  <c r="D35" i="4"/>
  <c r="AQ100" i="4"/>
  <c r="D34" i="4"/>
  <c r="I22" i="4"/>
  <c r="AI80" i="4"/>
  <c r="AJ80" i="4"/>
  <c r="AK81" i="4"/>
  <c r="O96" i="5"/>
  <c r="Q88" i="3"/>
  <c r="R88" i="3"/>
  <c r="Q96" i="5"/>
  <c r="Z88" i="3"/>
  <c r="AA88" i="3" s="1"/>
  <c r="M23" i="3"/>
  <c r="AL89" i="3"/>
  <c r="AM89" i="3" s="1"/>
  <c r="O24" i="3"/>
  <c r="F103" i="3"/>
  <c r="E103" i="3"/>
  <c r="J96" i="5"/>
  <c r="S89" i="4"/>
  <c r="F22" i="3"/>
  <c r="AS87" i="3"/>
  <c r="G102" i="3"/>
  <c r="A104" i="4"/>
  <c r="A38" i="4"/>
  <c r="C103" i="4"/>
  <c r="B103" i="4"/>
  <c r="Y103" i="4" s="1"/>
  <c r="K101" i="4"/>
  <c r="L99" i="3"/>
  <c r="N101" i="4"/>
  <c r="J35" i="4"/>
  <c r="V88" i="3"/>
  <c r="W88" i="3"/>
  <c r="AS88" i="3" s="1"/>
  <c r="AQ99" i="3"/>
  <c r="D33" i="3"/>
  <c r="AF83" i="3"/>
  <c r="AG83" i="3" s="1"/>
  <c r="N18" i="3"/>
  <c r="G24" i="4"/>
  <c r="V88" i="4"/>
  <c r="W88" i="4"/>
  <c r="N96" i="5"/>
  <c r="M96" i="5"/>
  <c r="L96" i="5"/>
  <c r="X89" i="4"/>
  <c r="G22" i="3"/>
  <c r="AT87" i="3"/>
  <c r="A105" i="3"/>
  <c r="C104" i="3"/>
  <c r="D104" i="3" s="1"/>
  <c r="B104" i="3"/>
  <c r="Y104" i="3" s="1"/>
  <c r="A39" i="3"/>
  <c r="K100" i="3"/>
  <c r="N100" i="3"/>
  <c r="J34" i="3"/>
  <c r="M25" i="4"/>
  <c r="Z90" i="4"/>
  <c r="AA90" i="4" s="1"/>
  <c r="AD91" i="4" s="1"/>
  <c r="S89" i="3"/>
  <c r="H97" i="5"/>
  <c r="D97" i="5"/>
  <c r="A98" i="5"/>
  <c r="K97" i="5"/>
  <c r="E97" i="5"/>
  <c r="Q97" i="5" s="1"/>
  <c r="C97" i="5"/>
  <c r="F97" i="5" s="1"/>
  <c r="I97" i="5" s="1"/>
  <c r="O97" i="5"/>
  <c r="B97" i="5"/>
  <c r="E22" i="3"/>
  <c r="AR87" i="3"/>
  <c r="H103" i="4"/>
  <c r="I102" i="4"/>
  <c r="M99" i="3"/>
  <c r="I23" i="3"/>
  <c r="B37" i="4"/>
  <c r="P37" i="4"/>
  <c r="C37" i="4"/>
  <c r="T89" i="3"/>
  <c r="U89" i="3" s="1"/>
  <c r="X90" i="3" s="1"/>
  <c r="L24" i="3"/>
  <c r="T90" i="3" l="1"/>
  <c r="U90" i="3" s="1"/>
  <c r="L25" i="3"/>
  <c r="Z91" i="4"/>
  <c r="AA91" i="4" s="1"/>
  <c r="AD92" i="4" s="1"/>
  <c r="M26" i="4"/>
  <c r="G103" i="3"/>
  <c r="AN89" i="3"/>
  <c r="AO89" i="3"/>
  <c r="AP90" i="3"/>
  <c r="N102" i="4"/>
  <c r="J36" i="4"/>
  <c r="H103" i="3"/>
  <c r="I102" i="3"/>
  <c r="L101" i="4"/>
  <c r="C39" i="3"/>
  <c r="B39" i="3"/>
  <c r="P39" i="3"/>
  <c r="F23" i="4"/>
  <c r="AS88" i="4"/>
  <c r="M101" i="4"/>
  <c r="D34" i="3"/>
  <c r="AF81" i="4"/>
  <c r="AG81" i="4" s="1"/>
  <c r="N16" i="4"/>
  <c r="L97" i="5"/>
  <c r="M97" i="5"/>
  <c r="N97" i="5"/>
  <c r="K101" i="3"/>
  <c r="M101" i="3" s="1"/>
  <c r="P97" i="5"/>
  <c r="AB88" i="3"/>
  <c r="AC88" i="3"/>
  <c r="F104" i="3"/>
  <c r="E104" i="3"/>
  <c r="H15" i="4"/>
  <c r="AU80" i="4"/>
  <c r="N101" i="3"/>
  <c r="J35" i="3"/>
  <c r="L100" i="3"/>
  <c r="F23" i="3"/>
  <c r="AD89" i="3"/>
  <c r="K102" i="4"/>
  <c r="H104" i="4"/>
  <c r="I103" i="4"/>
  <c r="O89" i="4"/>
  <c r="P89" i="4" s="1"/>
  <c r="K24" i="4"/>
  <c r="AN88" i="4"/>
  <c r="AO88" i="4"/>
  <c r="T89" i="4"/>
  <c r="U89" i="4" s="1"/>
  <c r="X90" i="4" s="1"/>
  <c r="L24" i="4"/>
  <c r="B38" i="4"/>
  <c r="P38" i="4"/>
  <c r="C38" i="4"/>
  <c r="M100" i="3"/>
  <c r="AQ100" i="3" s="1"/>
  <c r="C104" i="4"/>
  <c r="B104" i="4"/>
  <c r="Y104" i="4" s="1"/>
  <c r="A39" i="4"/>
  <c r="A105" i="4"/>
  <c r="E23" i="4"/>
  <c r="AR88" i="4"/>
  <c r="V89" i="3"/>
  <c r="W89" i="3"/>
  <c r="AS89" i="3" s="1"/>
  <c r="C98" i="5"/>
  <c r="B98" i="5"/>
  <c r="A99" i="5"/>
  <c r="K98" i="5"/>
  <c r="E98" i="5"/>
  <c r="D98" i="5"/>
  <c r="G98" i="5" s="1"/>
  <c r="H98" i="5"/>
  <c r="G97" i="5"/>
  <c r="J97" i="5" s="1"/>
  <c r="E23" i="3"/>
  <c r="O89" i="3"/>
  <c r="P89" i="3" s="1"/>
  <c r="K24" i="3"/>
  <c r="AB90" i="4"/>
  <c r="AC90" i="4"/>
  <c r="AR88" i="3"/>
  <c r="A106" i="3"/>
  <c r="C105" i="3"/>
  <c r="D105" i="3" s="1"/>
  <c r="B105" i="3"/>
  <c r="Y105" i="3" s="1"/>
  <c r="A40" i="3"/>
  <c r="AH83" i="3"/>
  <c r="AE84" i="3"/>
  <c r="AP89" i="4"/>
  <c r="P98" i="5" l="1"/>
  <c r="M27" i="4"/>
  <c r="Z92" i="4"/>
  <c r="AA92" i="4" s="1"/>
  <c r="T90" i="4"/>
  <c r="U90" i="4" s="1"/>
  <c r="X91" i="4" s="1"/>
  <c r="L25" i="4"/>
  <c r="K102" i="3"/>
  <c r="M102" i="3" s="1"/>
  <c r="Q89" i="4"/>
  <c r="R89" i="4"/>
  <c r="N103" i="4"/>
  <c r="J37" i="4"/>
  <c r="S90" i="4"/>
  <c r="Q98" i="5"/>
  <c r="Q89" i="3"/>
  <c r="R89" i="3"/>
  <c r="Z89" i="3"/>
  <c r="AA89" i="3" s="1"/>
  <c r="AD90" i="3" s="1"/>
  <c r="M24" i="3"/>
  <c r="F105" i="3"/>
  <c r="E105" i="3"/>
  <c r="N102" i="3"/>
  <c r="J36" i="3"/>
  <c r="N98" i="5"/>
  <c r="M98" i="5"/>
  <c r="L98" i="5"/>
  <c r="L102" i="4"/>
  <c r="A107" i="3"/>
  <c r="A41" i="3"/>
  <c r="C106" i="3"/>
  <c r="D106" i="3" s="1"/>
  <c r="B106" i="3"/>
  <c r="Y106" i="3" s="1"/>
  <c r="M102" i="4"/>
  <c r="AB91" i="4"/>
  <c r="AC91" i="4"/>
  <c r="AQ102" i="4"/>
  <c r="D36" i="4"/>
  <c r="AQ101" i="4"/>
  <c r="S90" i="3"/>
  <c r="C40" i="3"/>
  <c r="B40" i="3"/>
  <c r="P40" i="3"/>
  <c r="AQ102" i="3"/>
  <c r="D36" i="3"/>
  <c r="AL90" i="3"/>
  <c r="AM90" i="3" s="1"/>
  <c r="O25" i="3"/>
  <c r="K103" i="4"/>
  <c r="L103" i="4" s="1"/>
  <c r="B39" i="4"/>
  <c r="P39" i="4"/>
  <c r="C39" i="4"/>
  <c r="AH81" i="4"/>
  <c r="AE82" i="4"/>
  <c r="A100" i="5"/>
  <c r="B99" i="5"/>
  <c r="D99" i="5"/>
  <c r="C99" i="5"/>
  <c r="H99" i="5"/>
  <c r="K99" i="5"/>
  <c r="E99" i="5"/>
  <c r="O99" i="5"/>
  <c r="Q99" i="5"/>
  <c r="P99" i="5"/>
  <c r="G25" i="4"/>
  <c r="AT90" i="4"/>
  <c r="AL89" i="4"/>
  <c r="AM89" i="4" s="1"/>
  <c r="O24" i="4"/>
  <c r="F98" i="5"/>
  <c r="I98" i="5" s="1"/>
  <c r="D35" i="3"/>
  <c r="AQ101" i="3"/>
  <c r="L101" i="3"/>
  <c r="V90" i="3"/>
  <c r="W90" i="3"/>
  <c r="AI83" i="3"/>
  <c r="AJ83" i="3"/>
  <c r="AK84" i="3"/>
  <c r="I23" i="4"/>
  <c r="AV88" i="4"/>
  <c r="H104" i="3"/>
  <c r="I103" i="3"/>
  <c r="J98" i="5"/>
  <c r="C105" i="4"/>
  <c r="A40" i="4"/>
  <c r="B105" i="4"/>
  <c r="Y105" i="4" s="1"/>
  <c r="A106" i="4"/>
  <c r="I24" i="3"/>
  <c r="AV89" i="3"/>
  <c r="H105" i="4"/>
  <c r="I104" i="4"/>
  <c r="O98" i="5"/>
  <c r="G104" i="3"/>
  <c r="G23" i="3"/>
  <c r="AT88" i="3"/>
  <c r="F24" i="3"/>
  <c r="V89" i="4"/>
  <c r="W89" i="4"/>
  <c r="X91" i="3"/>
  <c r="M25" i="3" l="1"/>
  <c r="Z90" i="3"/>
  <c r="AA90" i="3" s="1"/>
  <c r="AQ103" i="3"/>
  <c r="D37" i="3"/>
  <c r="T91" i="4"/>
  <c r="U91" i="4" s="1"/>
  <c r="L26" i="4"/>
  <c r="G26" i="4"/>
  <c r="N103" i="3"/>
  <c r="J37" i="3"/>
  <c r="H106" i="4"/>
  <c r="I105" i="4"/>
  <c r="AF84" i="3"/>
  <c r="AG84" i="3" s="1"/>
  <c r="N19" i="3"/>
  <c r="H18" i="3"/>
  <c r="AU83" i="3"/>
  <c r="A108" i="3"/>
  <c r="C107" i="3"/>
  <c r="D107" i="3" s="1"/>
  <c r="B107" i="3"/>
  <c r="Y107" i="3" s="1"/>
  <c r="A42" i="3"/>
  <c r="B40" i="4"/>
  <c r="P40" i="4"/>
  <c r="C40" i="4"/>
  <c r="AN89" i="4"/>
  <c r="AO89" i="4"/>
  <c r="K103" i="3"/>
  <c r="L102" i="3"/>
  <c r="H105" i="3"/>
  <c r="I104" i="3"/>
  <c r="G105" i="3"/>
  <c r="AT91" i="4"/>
  <c r="M103" i="4"/>
  <c r="AN90" i="3"/>
  <c r="AO90" i="3"/>
  <c r="F25" i="3"/>
  <c r="V90" i="4"/>
  <c r="W90" i="4"/>
  <c r="AS90" i="3"/>
  <c r="F99" i="5"/>
  <c r="I99" i="5" s="1"/>
  <c r="O90" i="3"/>
  <c r="P90" i="3" s="1"/>
  <c r="K25" i="3"/>
  <c r="O90" i="4"/>
  <c r="P90" i="4" s="1"/>
  <c r="K25" i="4"/>
  <c r="AB92" i="4"/>
  <c r="AC92" i="4"/>
  <c r="AT92" i="4" s="1"/>
  <c r="AI81" i="4"/>
  <c r="AJ81" i="4"/>
  <c r="AK82" i="4"/>
  <c r="K104" i="4"/>
  <c r="L104" i="4" s="1"/>
  <c r="AP90" i="4"/>
  <c r="D37" i="4"/>
  <c r="F24" i="4"/>
  <c r="AS90" i="4"/>
  <c r="AS89" i="4"/>
  <c r="A107" i="4"/>
  <c r="C106" i="4"/>
  <c r="A41" i="4"/>
  <c r="B106" i="4"/>
  <c r="Y106" i="4" s="1"/>
  <c r="G99" i="5"/>
  <c r="J99" i="5" s="1"/>
  <c r="E100" i="5"/>
  <c r="D100" i="5"/>
  <c r="G100" i="5" s="1"/>
  <c r="C100" i="5"/>
  <c r="F100" i="5" s="1"/>
  <c r="B100" i="5"/>
  <c r="H100" i="5"/>
  <c r="Q100" i="5" s="1"/>
  <c r="A101" i="5"/>
  <c r="K100" i="5"/>
  <c r="E24" i="4"/>
  <c r="AR89" i="4"/>
  <c r="F106" i="3"/>
  <c r="E106" i="3"/>
  <c r="AB89" i="3"/>
  <c r="AC89" i="3"/>
  <c r="T91" i="3"/>
  <c r="U91" i="3" s="1"/>
  <c r="X92" i="3" s="1"/>
  <c r="L26" i="3"/>
  <c r="C41" i="3"/>
  <c r="B41" i="3"/>
  <c r="P41" i="3"/>
  <c r="E24" i="3"/>
  <c r="AR89" i="3"/>
  <c r="L99" i="5"/>
  <c r="N99" i="5"/>
  <c r="M99" i="5"/>
  <c r="AP91" i="3"/>
  <c r="N104" i="4"/>
  <c r="J38" i="4"/>
  <c r="AD93" i="4"/>
  <c r="P100" i="5" l="1"/>
  <c r="T92" i="3"/>
  <c r="U92" i="3" s="1"/>
  <c r="L27" i="3"/>
  <c r="I25" i="3"/>
  <c r="AV90" i="3"/>
  <c r="J100" i="5"/>
  <c r="D38" i="4"/>
  <c r="H107" i="4"/>
  <c r="I106" i="4"/>
  <c r="N104" i="3"/>
  <c r="J38" i="3"/>
  <c r="Q90" i="4"/>
  <c r="R90" i="4"/>
  <c r="Z93" i="4"/>
  <c r="AA93" i="4" s="1"/>
  <c r="AD94" i="4" s="1"/>
  <c r="M28" i="4"/>
  <c r="V91" i="4"/>
  <c r="W91" i="4"/>
  <c r="AL91" i="3"/>
  <c r="AM91" i="3" s="1"/>
  <c r="AP92" i="3" s="1"/>
  <c r="O26" i="3"/>
  <c r="N100" i="5"/>
  <c r="M100" i="5"/>
  <c r="L100" i="5"/>
  <c r="M104" i="4"/>
  <c r="AQ104" i="4" s="1"/>
  <c r="I100" i="5"/>
  <c r="K105" i="4"/>
  <c r="C42" i="3"/>
  <c r="B42" i="3"/>
  <c r="P42" i="3"/>
  <c r="G24" i="3"/>
  <c r="AT89" i="3"/>
  <c r="G106" i="3"/>
  <c r="S91" i="4"/>
  <c r="H106" i="3"/>
  <c r="I105" i="3"/>
  <c r="Q90" i="3"/>
  <c r="R90" i="3"/>
  <c r="C108" i="3"/>
  <c r="D108" i="3" s="1"/>
  <c r="A43" i="3"/>
  <c r="B108" i="3"/>
  <c r="Y108" i="3" s="1"/>
  <c r="A109" i="3"/>
  <c r="X92" i="4"/>
  <c r="O100" i="5"/>
  <c r="B41" i="4"/>
  <c r="P41" i="4"/>
  <c r="C41" i="4"/>
  <c r="AS91" i="4"/>
  <c r="F25" i="4"/>
  <c r="AB90" i="3"/>
  <c r="AC90" i="3"/>
  <c r="AT90" i="3" s="1"/>
  <c r="AF82" i="4"/>
  <c r="AG82" i="4" s="1"/>
  <c r="N17" i="4"/>
  <c r="I24" i="4"/>
  <c r="AV89" i="4"/>
  <c r="E107" i="3"/>
  <c r="F107" i="3"/>
  <c r="AL90" i="4"/>
  <c r="AM90" i="4" s="1"/>
  <c r="AP91" i="4" s="1"/>
  <c r="O25" i="4"/>
  <c r="L103" i="3"/>
  <c r="M103" i="3"/>
  <c r="AH84" i="3"/>
  <c r="AE85" i="3"/>
  <c r="H16" i="4"/>
  <c r="AU81" i="4"/>
  <c r="V91" i="3"/>
  <c r="W91" i="3"/>
  <c r="G27" i="4"/>
  <c r="AQ103" i="4"/>
  <c r="K104" i="3"/>
  <c r="S91" i="3"/>
  <c r="N105" i="4"/>
  <c r="J39" i="4"/>
  <c r="D101" i="5"/>
  <c r="E101" i="5"/>
  <c r="C101" i="5"/>
  <c r="B101" i="5"/>
  <c r="H101" i="5"/>
  <c r="O101" i="5" s="1"/>
  <c r="A102" i="5"/>
  <c r="Q101" i="5"/>
  <c r="K101" i="5"/>
  <c r="C107" i="4"/>
  <c r="B107" i="4"/>
  <c r="Y107" i="4" s="1"/>
  <c r="A42" i="4"/>
  <c r="A108" i="4"/>
  <c r="AD91" i="3"/>
  <c r="P101" i="5" l="1"/>
  <c r="G101" i="5"/>
  <c r="J101" i="5" s="1"/>
  <c r="AL91" i="4"/>
  <c r="AM91" i="4" s="1"/>
  <c r="O26" i="4"/>
  <c r="AL92" i="3"/>
  <c r="AM92" i="3" s="1"/>
  <c r="AP93" i="3" s="1"/>
  <c r="O27" i="3"/>
  <c r="F108" i="3"/>
  <c r="E108" i="3"/>
  <c r="N106" i="4"/>
  <c r="J40" i="4"/>
  <c r="E25" i="3"/>
  <c r="AR90" i="3"/>
  <c r="K105" i="3"/>
  <c r="AI84" i="3"/>
  <c r="AJ84" i="3"/>
  <c r="AK85" i="3"/>
  <c r="H107" i="3"/>
  <c r="I106" i="3"/>
  <c r="C102" i="5"/>
  <c r="H102" i="5"/>
  <c r="E102" i="5"/>
  <c r="P102" i="5" s="1"/>
  <c r="A103" i="5"/>
  <c r="Q102" i="5"/>
  <c r="D102" i="5"/>
  <c r="B102" i="5"/>
  <c r="K102" i="5"/>
  <c r="L105" i="4"/>
  <c r="F26" i="4"/>
  <c r="E25" i="4"/>
  <c r="AR90" i="4"/>
  <c r="G25" i="3"/>
  <c r="G107" i="3"/>
  <c r="M105" i="4"/>
  <c r="M29" i="4"/>
  <c r="Z94" i="4"/>
  <c r="AA94" i="4" s="1"/>
  <c r="AH82" i="4"/>
  <c r="AE83" i="4"/>
  <c r="N105" i="3"/>
  <c r="J39" i="3"/>
  <c r="L104" i="3"/>
  <c r="N101" i="5"/>
  <c r="M101" i="5"/>
  <c r="L101" i="5"/>
  <c r="T92" i="4"/>
  <c r="U92" i="4" s="1"/>
  <c r="L27" i="4"/>
  <c r="AN91" i="3"/>
  <c r="AO91" i="3"/>
  <c r="A110" i="3"/>
  <c r="B109" i="3"/>
  <c r="Y109" i="3" s="1"/>
  <c r="C109" i="3"/>
  <c r="D109" i="3" s="1"/>
  <c r="A44" i="3"/>
  <c r="C108" i="4"/>
  <c r="B108" i="4"/>
  <c r="Y108" i="4" s="1"/>
  <c r="A43" i="4"/>
  <c r="A109" i="4"/>
  <c r="F101" i="5"/>
  <c r="I101" i="5" s="1"/>
  <c r="C43" i="3"/>
  <c r="B43" i="3"/>
  <c r="P43" i="3"/>
  <c r="V92" i="3"/>
  <c r="W92" i="3"/>
  <c r="AS92" i="3"/>
  <c r="F26" i="3"/>
  <c r="AS91" i="3"/>
  <c r="B42" i="4"/>
  <c r="C42" i="4"/>
  <c r="P42" i="4"/>
  <c r="O91" i="3"/>
  <c r="P91" i="3" s="1"/>
  <c r="S92" i="3" s="1"/>
  <c r="K26" i="3"/>
  <c r="D39" i="4"/>
  <c r="K106" i="4"/>
  <c r="H108" i="4"/>
  <c r="I107" i="4"/>
  <c r="AQ104" i="3"/>
  <c r="D38" i="3"/>
  <c r="O91" i="4"/>
  <c r="P91" i="4" s="1"/>
  <c r="K26" i="4"/>
  <c r="M104" i="3"/>
  <c r="AN90" i="4"/>
  <c r="AO90" i="4"/>
  <c r="M26" i="3"/>
  <c r="Z91" i="3"/>
  <c r="AA91" i="3" s="1"/>
  <c r="AD92" i="3" s="1"/>
  <c r="AB93" i="4"/>
  <c r="AC93" i="4"/>
  <c r="X93" i="3"/>
  <c r="AL93" i="3" l="1"/>
  <c r="AM93" i="3" s="1"/>
  <c r="O28" i="3"/>
  <c r="O92" i="3"/>
  <c r="P92" i="3" s="1"/>
  <c r="S93" i="3" s="1"/>
  <c r="K27" i="3"/>
  <c r="D40" i="4"/>
  <c r="V92" i="4"/>
  <c r="W92" i="4"/>
  <c r="AF85" i="3"/>
  <c r="AG85" i="3" s="1"/>
  <c r="N20" i="3"/>
  <c r="F27" i="3"/>
  <c r="H109" i="4"/>
  <c r="I108" i="4"/>
  <c r="T93" i="3"/>
  <c r="U93" i="3" s="1"/>
  <c r="L28" i="3"/>
  <c r="L106" i="4"/>
  <c r="AI82" i="4"/>
  <c r="AJ82" i="4"/>
  <c r="AK83" i="4"/>
  <c r="N102" i="5"/>
  <c r="M102" i="5"/>
  <c r="L102" i="5"/>
  <c r="I25" i="4"/>
  <c r="AV90" i="4"/>
  <c r="O102" i="5"/>
  <c r="Q91" i="4"/>
  <c r="R91" i="4"/>
  <c r="C44" i="3"/>
  <c r="B44" i="3"/>
  <c r="P44" i="3"/>
  <c r="N107" i="4"/>
  <c r="J41" i="4"/>
  <c r="H108" i="3"/>
  <c r="I107" i="3"/>
  <c r="G108" i="3"/>
  <c r="AB94" i="4"/>
  <c r="AC94" i="4"/>
  <c r="AV92" i="3"/>
  <c r="I26" i="3"/>
  <c r="AV91" i="3"/>
  <c r="AQ105" i="4"/>
  <c r="D39" i="3"/>
  <c r="AQ105" i="3"/>
  <c r="X93" i="4"/>
  <c r="F102" i="5"/>
  <c r="I102" i="5" s="1"/>
  <c r="Q91" i="3"/>
  <c r="R91" i="3"/>
  <c r="K106" i="3"/>
  <c r="S92" i="4"/>
  <c r="K107" i="4"/>
  <c r="AN92" i="3"/>
  <c r="AO92" i="3"/>
  <c r="C110" i="3"/>
  <c r="D110" i="3" s="1"/>
  <c r="B110" i="3"/>
  <c r="Y110" i="3" s="1"/>
  <c r="A45" i="3"/>
  <c r="A111" i="3"/>
  <c r="M106" i="4"/>
  <c r="G102" i="5"/>
  <c r="J102" i="5" s="1"/>
  <c r="AN91" i="4"/>
  <c r="AO91" i="4"/>
  <c r="AV91" i="4" s="1"/>
  <c r="A110" i="4"/>
  <c r="C109" i="4"/>
  <c r="B109" i="4"/>
  <c r="Y109" i="4" s="1"/>
  <c r="A44" i="4"/>
  <c r="M27" i="3"/>
  <c r="Z92" i="3"/>
  <c r="AA92" i="3" s="1"/>
  <c r="AD93" i="3" s="1"/>
  <c r="C43" i="4"/>
  <c r="B43" i="4"/>
  <c r="P43" i="4"/>
  <c r="A104" i="5"/>
  <c r="B103" i="5"/>
  <c r="H103" i="5"/>
  <c r="E103" i="5"/>
  <c r="D103" i="5"/>
  <c r="G103" i="5" s="1"/>
  <c r="J103" i="5" s="1"/>
  <c r="C103" i="5"/>
  <c r="F103" i="5" s="1"/>
  <c r="I103" i="5" s="1"/>
  <c r="O103" i="5"/>
  <c r="P103" i="5"/>
  <c r="Q103" i="5"/>
  <c r="K103" i="5"/>
  <c r="F109" i="3"/>
  <c r="E109" i="3"/>
  <c r="H19" i="3"/>
  <c r="AU84" i="3"/>
  <c r="N106" i="3"/>
  <c r="J40" i="3"/>
  <c r="L105" i="3"/>
  <c r="G28" i="4"/>
  <c r="AT93" i="4"/>
  <c r="AB91" i="3"/>
  <c r="AC91" i="3"/>
  <c r="AD95" i="4"/>
  <c r="M105" i="3"/>
  <c r="AP92" i="4"/>
  <c r="L107" i="4" l="1"/>
  <c r="M107" i="4"/>
  <c r="O93" i="3"/>
  <c r="P93" i="3" s="1"/>
  <c r="K28" i="3"/>
  <c r="Z93" i="3"/>
  <c r="AA93" i="3" s="1"/>
  <c r="AD94" i="3" s="1"/>
  <c r="M28" i="3"/>
  <c r="AH85" i="3"/>
  <c r="AE86" i="3"/>
  <c r="F27" i="4"/>
  <c r="AS92" i="4"/>
  <c r="G29" i="4"/>
  <c r="N103" i="5"/>
  <c r="M103" i="5"/>
  <c r="L103" i="5"/>
  <c r="D40" i="3"/>
  <c r="AQ106" i="3"/>
  <c r="A111" i="4"/>
  <c r="A45" i="4"/>
  <c r="C110" i="4"/>
  <c r="B110" i="4"/>
  <c r="Y110" i="4" s="1"/>
  <c r="E26" i="3"/>
  <c r="AR91" i="3"/>
  <c r="H109" i="3"/>
  <c r="I108" i="3"/>
  <c r="V93" i="3"/>
  <c r="W93" i="3"/>
  <c r="H104" i="5"/>
  <c r="K104" i="5"/>
  <c r="A105" i="5"/>
  <c r="D104" i="5"/>
  <c r="C104" i="5"/>
  <c r="B104" i="5"/>
  <c r="E104" i="5"/>
  <c r="D41" i="4"/>
  <c r="AQ107" i="4"/>
  <c r="A112" i="3"/>
  <c r="C111" i="3"/>
  <c r="D111" i="3" s="1"/>
  <c r="B111" i="3"/>
  <c r="Y111" i="3" s="1"/>
  <c r="A46" i="3"/>
  <c r="C44" i="4"/>
  <c r="P44" i="4"/>
  <c r="B44" i="4"/>
  <c r="O92" i="4"/>
  <c r="P92" i="4" s="1"/>
  <c r="K27" i="4"/>
  <c r="AL92" i="4"/>
  <c r="AM92" i="4" s="1"/>
  <c r="O27" i="4"/>
  <c r="AD96" i="4"/>
  <c r="M30" i="4"/>
  <c r="Z95" i="4"/>
  <c r="AA95" i="4" s="1"/>
  <c r="G26" i="3"/>
  <c r="AT91" i="3"/>
  <c r="K107" i="3"/>
  <c r="Q92" i="3"/>
  <c r="R92" i="3"/>
  <c r="X94" i="3"/>
  <c r="N107" i="3"/>
  <c r="J41" i="3"/>
  <c r="E110" i="3"/>
  <c r="F110" i="3"/>
  <c r="AF83" i="4"/>
  <c r="AG83" i="4" s="1"/>
  <c r="N18" i="4"/>
  <c r="H17" i="4"/>
  <c r="AU82" i="4"/>
  <c r="I27" i="3"/>
  <c r="AT94" i="4"/>
  <c r="N108" i="4"/>
  <c r="J42" i="4"/>
  <c r="E26" i="4"/>
  <c r="AR91" i="4"/>
  <c r="K108" i="4"/>
  <c r="AN93" i="3"/>
  <c r="AO93" i="3"/>
  <c r="AV93" i="3" s="1"/>
  <c r="AB92" i="3"/>
  <c r="AC92" i="3"/>
  <c r="AT92" i="3" s="1"/>
  <c r="D42" i="4"/>
  <c r="AQ108" i="4"/>
  <c r="G109" i="3"/>
  <c r="C45" i="3"/>
  <c r="B45" i="3"/>
  <c r="P45" i="3"/>
  <c r="L106" i="3"/>
  <c r="AQ106" i="4"/>
  <c r="M106" i="3"/>
  <c r="I26" i="4"/>
  <c r="T93" i="4"/>
  <c r="U93" i="4" s="1"/>
  <c r="L28" i="4"/>
  <c r="H110" i="4"/>
  <c r="I109" i="4"/>
  <c r="AP94" i="3"/>
  <c r="P104" i="5" l="1"/>
  <c r="M29" i="3"/>
  <c r="Z94" i="3"/>
  <c r="AA94" i="3" s="1"/>
  <c r="N109" i="4"/>
  <c r="J43" i="4"/>
  <c r="I28" i="3"/>
  <c r="G104" i="5"/>
  <c r="J104" i="5" s="1"/>
  <c r="AI85" i="3"/>
  <c r="AJ85" i="3"/>
  <c r="AK86" i="3"/>
  <c r="O104" i="5"/>
  <c r="E111" i="3"/>
  <c r="F111" i="3"/>
  <c r="Q104" i="5"/>
  <c r="AN92" i="4"/>
  <c r="AO92" i="4"/>
  <c r="L107" i="3"/>
  <c r="K109" i="4"/>
  <c r="F104" i="5"/>
  <c r="I104" i="5" s="1"/>
  <c r="H111" i="4"/>
  <c r="I110" i="4"/>
  <c r="C46" i="3"/>
  <c r="B46" i="3"/>
  <c r="P46" i="3"/>
  <c r="V93" i="4"/>
  <c r="W93" i="4"/>
  <c r="M107" i="3"/>
  <c r="AH83" i="4"/>
  <c r="AE84" i="4"/>
  <c r="F28" i="3"/>
  <c r="AS93" i="3"/>
  <c r="Z96" i="4"/>
  <c r="AA96" i="4" s="1"/>
  <c r="M31" i="4"/>
  <c r="T94" i="3"/>
  <c r="U94" i="3" s="1"/>
  <c r="L29" i="3"/>
  <c r="G27" i="3"/>
  <c r="AP93" i="4"/>
  <c r="P45" i="4"/>
  <c r="C45" i="4"/>
  <c r="B45" i="4"/>
  <c r="L108" i="4"/>
  <c r="K105" i="5"/>
  <c r="H105" i="5"/>
  <c r="A106" i="5"/>
  <c r="C105" i="5"/>
  <c r="B105" i="5"/>
  <c r="E105" i="5"/>
  <c r="Q105" i="5" s="1"/>
  <c r="D105" i="5"/>
  <c r="M104" i="5"/>
  <c r="N104" i="5"/>
  <c r="L104" i="5"/>
  <c r="X94" i="4"/>
  <c r="M108" i="4"/>
  <c r="G110" i="3"/>
  <c r="AB95" i="4"/>
  <c r="AC95" i="4"/>
  <c r="B112" i="3"/>
  <c r="Y112" i="3" s="1"/>
  <c r="A113" i="3"/>
  <c r="C112" i="3"/>
  <c r="D112" i="3" s="1"/>
  <c r="A47" i="3"/>
  <c r="Q93" i="3"/>
  <c r="R93" i="3"/>
  <c r="N108" i="3"/>
  <c r="J42" i="3"/>
  <c r="H110" i="3"/>
  <c r="I109" i="3"/>
  <c r="E27" i="3"/>
  <c r="AR92" i="3"/>
  <c r="AL94" i="3"/>
  <c r="AM94" i="3" s="1"/>
  <c r="O29" i="3"/>
  <c r="Q92" i="4"/>
  <c r="R92" i="4"/>
  <c r="S93" i="4"/>
  <c r="A112" i="4"/>
  <c r="A46" i="4"/>
  <c r="C111" i="4"/>
  <c r="B111" i="4"/>
  <c r="Y111" i="4" s="1"/>
  <c r="AB93" i="3"/>
  <c r="AC93" i="3"/>
  <c r="AT93" i="3" s="1"/>
  <c r="AQ107" i="3"/>
  <c r="D41" i="3"/>
  <c r="K108" i="3"/>
  <c r="S94" i="3"/>
  <c r="P105" i="5" l="1"/>
  <c r="L108" i="3"/>
  <c r="L109" i="4"/>
  <c r="G105" i="5"/>
  <c r="J105" i="5" s="1"/>
  <c r="K109" i="3"/>
  <c r="L105" i="5"/>
  <c r="N105" i="5"/>
  <c r="M105" i="5"/>
  <c r="G111" i="3"/>
  <c r="AL93" i="4"/>
  <c r="AM93" i="4" s="1"/>
  <c r="AP94" i="4" s="1"/>
  <c r="O28" i="4"/>
  <c r="AQ109" i="4"/>
  <c r="D43" i="4"/>
  <c r="AF86" i="3"/>
  <c r="AG86" i="3" s="1"/>
  <c r="AH86" i="3" s="1"/>
  <c r="N21" i="3"/>
  <c r="M108" i="3"/>
  <c r="O93" i="4"/>
  <c r="P93" i="4" s="1"/>
  <c r="S94" i="4" s="1"/>
  <c r="K28" i="4"/>
  <c r="G28" i="3"/>
  <c r="AB96" i="4"/>
  <c r="AC96" i="4"/>
  <c r="AT96" i="4" s="1"/>
  <c r="N110" i="4"/>
  <c r="J44" i="4"/>
  <c r="O94" i="3"/>
  <c r="P94" i="3" s="1"/>
  <c r="S95" i="3" s="1"/>
  <c r="K29" i="3"/>
  <c r="G30" i="4"/>
  <c r="AT95" i="4"/>
  <c r="AI83" i="4"/>
  <c r="AJ83" i="4"/>
  <c r="AK84" i="4"/>
  <c r="H111" i="3"/>
  <c r="I110" i="3"/>
  <c r="AQ108" i="3"/>
  <c r="D42" i="3"/>
  <c r="F28" i="4"/>
  <c r="AS93" i="4"/>
  <c r="N109" i="3"/>
  <c r="J43" i="3"/>
  <c r="K110" i="4"/>
  <c r="E28" i="3"/>
  <c r="H20" i="3"/>
  <c r="AU85" i="3"/>
  <c r="V94" i="3"/>
  <c r="W94" i="3"/>
  <c r="M109" i="4"/>
  <c r="E27" i="4"/>
  <c r="AR92" i="4"/>
  <c r="O105" i="5"/>
  <c r="AB94" i="3"/>
  <c r="AC94" i="3"/>
  <c r="AT94" i="3" s="1"/>
  <c r="A113" i="4"/>
  <c r="C112" i="4"/>
  <c r="B112" i="4"/>
  <c r="Y112" i="4" s="1"/>
  <c r="A47" i="4"/>
  <c r="H112" i="4"/>
  <c r="I111" i="4"/>
  <c r="T94" i="4"/>
  <c r="U94" i="4" s="1"/>
  <c r="X95" i="4" s="1"/>
  <c r="L29" i="4"/>
  <c r="C47" i="3"/>
  <c r="B47" i="3"/>
  <c r="P47" i="3"/>
  <c r="X95" i="3"/>
  <c r="AN94" i="3"/>
  <c r="AO94" i="3"/>
  <c r="AP95" i="3"/>
  <c r="F105" i="5"/>
  <c r="I105" i="5" s="1"/>
  <c r="I27" i="4"/>
  <c r="AV92" i="4"/>
  <c r="E112" i="3"/>
  <c r="F112" i="3"/>
  <c r="C113" i="3"/>
  <c r="D113" i="3" s="1"/>
  <c r="A114" i="3"/>
  <c r="B113" i="3"/>
  <c r="Y113" i="3" s="1"/>
  <c r="A48" i="3"/>
  <c r="AD97" i="4"/>
  <c r="B46" i="4"/>
  <c r="C46" i="4"/>
  <c r="P46" i="4"/>
  <c r="AR93" i="3"/>
  <c r="K106" i="5"/>
  <c r="D106" i="5"/>
  <c r="C106" i="5"/>
  <c r="B106" i="5"/>
  <c r="A107" i="5"/>
  <c r="H106" i="5"/>
  <c r="E106" i="5"/>
  <c r="O106" i="5" s="1"/>
  <c r="AD95" i="3"/>
  <c r="G106" i="5" l="1"/>
  <c r="J106" i="5" s="1"/>
  <c r="F106" i="5"/>
  <c r="I106" i="5" s="1"/>
  <c r="O94" i="4"/>
  <c r="P94" i="4" s="1"/>
  <c r="K29" i="4"/>
  <c r="T95" i="4"/>
  <c r="U95" i="4" s="1"/>
  <c r="L30" i="4"/>
  <c r="AL94" i="4"/>
  <c r="AM94" i="4" s="1"/>
  <c r="AP95" i="4" s="1"/>
  <c r="O29" i="4"/>
  <c r="D44" i="4"/>
  <c r="AQ110" i="4"/>
  <c r="O95" i="3"/>
  <c r="P95" i="3" s="1"/>
  <c r="K30" i="3"/>
  <c r="N111" i="4"/>
  <c r="J45" i="4"/>
  <c r="Z97" i="4"/>
  <c r="AA97" i="4" s="1"/>
  <c r="M32" i="4"/>
  <c r="I29" i="3"/>
  <c r="AV94" i="3"/>
  <c r="L110" i="4"/>
  <c r="AF84" i="4"/>
  <c r="AG84" i="4" s="1"/>
  <c r="N19" i="4"/>
  <c r="H18" i="4"/>
  <c r="AU83" i="4"/>
  <c r="Z95" i="3"/>
  <c r="AA95" i="3" s="1"/>
  <c r="AD96" i="3" s="1"/>
  <c r="M30" i="3"/>
  <c r="M110" i="4"/>
  <c r="B114" i="3"/>
  <c r="Y114" i="3" s="1"/>
  <c r="A115" i="3"/>
  <c r="A49" i="3"/>
  <c r="C114" i="3"/>
  <c r="D114" i="3" s="1"/>
  <c r="G112" i="3"/>
  <c r="F29" i="3"/>
  <c r="AS94" i="3"/>
  <c r="P47" i="4"/>
  <c r="C47" i="4"/>
  <c r="B47" i="4"/>
  <c r="AL95" i="3"/>
  <c r="AM95" i="3" s="1"/>
  <c r="AP96" i="3" s="1"/>
  <c r="O30" i="3"/>
  <c r="B113" i="4"/>
  <c r="Y113" i="4" s="1"/>
  <c r="C113" i="4"/>
  <c r="A48" i="4"/>
  <c r="A114" i="4"/>
  <c r="G29" i="3"/>
  <c r="L109" i="3"/>
  <c r="T95" i="3"/>
  <c r="U95" i="3" s="1"/>
  <c r="X96" i="3" s="1"/>
  <c r="L30" i="3"/>
  <c r="B34" i="5"/>
  <c r="B36" i="5"/>
  <c r="V94" i="4"/>
  <c r="W94" i="4"/>
  <c r="AQ109" i="3"/>
  <c r="D43" i="3"/>
  <c r="P106" i="5"/>
  <c r="AI86" i="3"/>
  <c r="AJ86" i="3"/>
  <c r="M106" i="5"/>
  <c r="L106" i="5"/>
  <c r="N106" i="5"/>
  <c r="E48" i="3"/>
  <c r="D48" i="3"/>
  <c r="C48" i="3"/>
  <c r="B48" i="3"/>
  <c r="P48" i="3"/>
  <c r="K48" i="3"/>
  <c r="F48" i="3"/>
  <c r="J48" i="3"/>
  <c r="I48" i="3"/>
  <c r="H48" i="3"/>
  <c r="G48" i="3"/>
  <c r="O48" i="3"/>
  <c r="M48" i="3"/>
  <c r="N48" i="3"/>
  <c r="L48" i="3"/>
  <c r="F113" i="3"/>
  <c r="E113" i="3"/>
  <c r="Q106" i="5"/>
  <c r="H113" i="4"/>
  <c r="I112" i="4"/>
  <c r="AK87" i="3"/>
  <c r="N110" i="3"/>
  <c r="J44" i="3"/>
  <c r="AN93" i="4"/>
  <c r="AO93" i="4"/>
  <c r="G31" i="4"/>
  <c r="K110" i="3"/>
  <c r="H112" i="3"/>
  <c r="I111" i="3"/>
  <c r="Q93" i="4"/>
  <c r="R93" i="4"/>
  <c r="K111" i="4"/>
  <c r="K107" i="5"/>
  <c r="H107" i="5"/>
  <c r="E107" i="5"/>
  <c r="Q107" i="5" s="1"/>
  <c r="D107" i="5"/>
  <c r="A108" i="5"/>
  <c r="C107" i="5"/>
  <c r="B107" i="5"/>
  <c r="Q94" i="3"/>
  <c r="R94" i="3"/>
  <c r="M109" i="3"/>
  <c r="M110" i="3" l="1"/>
  <c r="P107" i="5"/>
  <c r="F107" i="5"/>
  <c r="AL95" i="4"/>
  <c r="AM95" i="4" s="1"/>
  <c r="O30" i="4"/>
  <c r="M31" i="3"/>
  <c r="Z96" i="3"/>
  <c r="AA96" i="3" s="1"/>
  <c r="AD97" i="3" s="1"/>
  <c r="AL96" i="3"/>
  <c r="AM96" i="3" s="1"/>
  <c r="AP97" i="3" s="1"/>
  <c r="O31" i="3"/>
  <c r="N112" i="4"/>
  <c r="J46" i="4"/>
  <c r="L111" i="4"/>
  <c r="A115" i="4"/>
  <c r="C114" i="4"/>
  <c r="B114" i="4"/>
  <c r="Y114" i="4" s="1"/>
  <c r="A49" i="4"/>
  <c r="E49" i="3"/>
  <c r="D49" i="3"/>
  <c r="C49" i="3"/>
  <c r="B49" i="3"/>
  <c r="F49" i="3"/>
  <c r="L49" i="3"/>
  <c r="P49" i="3"/>
  <c r="N49" i="3"/>
  <c r="M49" i="3"/>
  <c r="O49" i="3"/>
  <c r="K49" i="3"/>
  <c r="J49" i="3"/>
  <c r="G49" i="3"/>
  <c r="I49" i="3"/>
  <c r="H49" i="3"/>
  <c r="V95" i="4"/>
  <c r="W95" i="4"/>
  <c r="G113" i="3"/>
  <c r="O107" i="5"/>
  <c r="F114" i="3"/>
  <c r="E114" i="3"/>
  <c r="AR95" i="3"/>
  <c r="E29" i="3"/>
  <c r="AR94" i="3"/>
  <c r="H48" i="4"/>
  <c r="G48" i="4"/>
  <c r="O48" i="4"/>
  <c r="N48" i="4"/>
  <c r="M48" i="4"/>
  <c r="B48" i="4"/>
  <c r="P48" i="4"/>
  <c r="L48" i="4"/>
  <c r="K48" i="4"/>
  <c r="J48" i="4"/>
  <c r="I48" i="4"/>
  <c r="F48" i="4"/>
  <c r="E48" i="4"/>
  <c r="D48" i="4"/>
  <c r="C48" i="4"/>
  <c r="I28" i="4"/>
  <c r="AV93" i="4"/>
  <c r="I107" i="5"/>
  <c r="F29" i="4"/>
  <c r="AS94" i="4"/>
  <c r="AR94" i="4"/>
  <c r="E28" i="4"/>
  <c r="AR93" i="4"/>
  <c r="X96" i="4"/>
  <c r="A109" i="5"/>
  <c r="K108" i="5"/>
  <c r="H108" i="5"/>
  <c r="E108" i="5"/>
  <c r="D108" i="5"/>
  <c r="G108" i="5" s="1"/>
  <c r="B108" i="5"/>
  <c r="C108" i="5"/>
  <c r="F108" i="5" s="1"/>
  <c r="K111" i="3"/>
  <c r="K112" i="4"/>
  <c r="T96" i="3"/>
  <c r="U96" i="3" s="1"/>
  <c r="X97" i="3" s="1"/>
  <c r="L31" i="3"/>
  <c r="N107" i="5"/>
  <c r="M107" i="5"/>
  <c r="L107" i="5"/>
  <c r="AB95" i="3"/>
  <c r="AC95" i="3"/>
  <c r="Q95" i="3"/>
  <c r="R95" i="3"/>
  <c r="S96" i="3"/>
  <c r="M111" i="4"/>
  <c r="H21" i="3"/>
  <c r="AU86" i="3"/>
  <c r="AQ110" i="3"/>
  <c r="D44" i="3"/>
  <c r="AH84" i="4"/>
  <c r="AE85" i="4"/>
  <c r="AE87" i="3"/>
  <c r="AF87" i="3" s="1"/>
  <c r="AG87" i="3" s="1"/>
  <c r="N22" i="3"/>
  <c r="B52" i="5" s="1"/>
  <c r="G107" i="5"/>
  <c r="J107" i="5" s="1"/>
  <c r="H113" i="3"/>
  <c r="I112" i="3"/>
  <c r="H114" i="4"/>
  <c r="I113" i="4"/>
  <c r="AB97" i="4"/>
  <c r="AC97" i="4"/>
  <c r="Q94" i="4"/>
  <c r="R94" i="4"/>
  <c r="AQ111" i="3"/>
  <c r="D45" i="3"/>
  <c r="AN94" i="4"/>
  <c r="AO94" i="4"/>
  <c r="AV94" i="4" s="1"/>
  <c r="B115" i="3"/>
  <c r="Y115" i="3" s="1"/>
  <c r="C115" i="3"/>
  <c r="D115" i="3" s="1"/>
  <c r="A116" i="3"/>
  <c r="A50" i="3"/>
  <c r="N111" i="3"/>
  <c r="J45" i="3"/>
  <c r="L110" i="3"/>
  <c r="V95" i="3"/>
  <c r="W95" i="3"/>
  <c r="AN95" i="3"/>
  <c r="AO95" i="3"/>
  <c r="D45" i="4"/>
  <c r="AQ111" i="4"/>
  <c r="AD98" i="4"/>
  <c r="S95" i="4"/>
  <c r="Q108" i="5" l="1"/>
  <c r="L111" i="3"/>
  <c r="AL97" i="3"/>
  <c r="AM97" i="3" s="1"/>
  <c r="O32" i="3"/>
  <c r="Z97" i="3"/>
  <c r="AA97" i="3" s="1"/>
  <c r="AD98" i="3" s="1"/>
  <c r="M32" i="3"/>
  <c r="AH87" i="3"/>
  <c r="AE88" i="3"/>
  <c r="E50" i="3"/>
  <c r="D50" i="3"/>
  <c r="C50" i="3"/>
  <c r="B50" i="3"/>
  <c r="J50" i="3"/>
  <c r="I50" i="3"/>
  <c r="H50" i="3"/>
  <c r="F50" i="3"/>
  <c r="L50" i="3"/>
  <c r="G50" i="3"/>
  <c r="N50" i="3"/>
  <c r="K50" i="3"/>
  <c r="P50" i="3"/>
  <c r="O50" i="3"/>
  <c r="M50" i="3"/>
  <c r="M108" i="5"/>
  <c r="N108" i="5"/>
  <c r="L108" i="5"/>
  <c r="H115" i="4"/>
  <c r="I114" i="4"/>
  <c r="A116" i="4"/>
  <c r="C115" i="4"/>
  <c r="A50" i="4"/>
  <c r="B115" i="4"/>
  <c r="Y115" i="4" s="1"/>
  <c r="O108" i="5"/>
  <c r="T96" i="4"/>
  <c r="U96" i="4" s="1"/>
  <c r="L31" i="4"/>
  <c r="I30" i="3"/>
  <c r="AV96" i="3"/>
  <c r="AV95" i="3"/>
  <c r="AI84" i="4"/>
  <c r="AJ84" i="4"/>
  <c r="AK85" i="4"/>
  <c r="V96" i="3"/>
  <c r="W96" i="3"/>
  <c r="AS96" i="3" s="1"/>
  <c r="I108" i="5"/>
  <c r="G32" i="4"/>
  <c r="AT97" i="4"/>
  <c r="F115" i="3"/>
  <c r="E115" i="3"/>
  <c r="AN96" i="3"/>
  <c r="AO96" i="3"/>
  <c r="F30" i="4"/>
  <c r="F30" i="3"/>
  <c r="AS95" i="3"/>
  <c r="H49" i="4"/>
  <c r="G49" i="4"/>
  <c r="P49" i="4"/>
  <c r="O49" i="4"/>
  <c r="E49" i="4"/>
  <c r="D49" i="4"/>
  <c r="C49" i="4"/>
  <c r="L49" i="4"/>
  <c r="K49" i="4"/>
  <c r="J49" i="4"/>
  <c r="I49" i="4"/>
  <c r="N49" i="4"/>
  <c r="M49" i="4"/>
  <c r="F49" i="4"/>
  <c r="B49" i="4"/>
  <c r="T97" i="3"/>
  <c r="U97" i="3" s="1"/>
  <c r="X98" i="3" s="1"/>
  <c r="L32" i="3"/>
  <c r="AS95" i="4"/>
  <c r="K113" i="4"/>
  <c r="H109" i="5"/>
  <c r="C109" i="5"/>
  <c r="B109" i="5"/>
  <c r="E109" i="5"/>
  <c r="O109" i="5" s="1"/>
  <c r="D109" i="5"/>
  <c r="A110" i="5"/>
  <c r="K109" i="5"/>
  <c r="O95" i="4"/>
  <c r="P95" i="4" s="1"/>
  <c r="S96" i="4" s="1"/>
  <c r="K30" i="4"/>
  <c r="E30" i="3"/>
  <c r="G114" i="3"/>
  <c r="Z98" i="4"/>
  <c r="AA98" i="4" s="1"/>
  <c r="AD99" i="4" s="1"/>
  <c r="M33" i="4"/>
  <c r="H114" i="3"/>
  <c r="I113" i="3"/>
  <c r="P108" i="5"/>
  <c r="I29" i="4"/>
  <c r="AB96" i="3"/>
  <c r="AC96" i="3"/>
  <c r="AT96" i="3" s="1"/>
  <c r="L112" i="4"/>
  <c r="I63" i="2" s="1"/>
  <c r="J108" i="5"/>
  <c r="AN95" i="4"/>
  <c r="AO95" i="4"/>
  <c r="D46" i="4"/>
  <c r="AQ112" i="4"/>
  <c r="O96" i="3"/>
  <c r="P96" i="3" s="1"/>
  <c r="K31" i="3"/>
  <c r="K112" i="3"/>
  <c r="A117" i="3"/>
  <c r="C116" i="3"/>
  <c r="D116" i="3" s="1"/>
  <c r="B116" i="3"/>
  <c r="Y116" i="3" s="1"/>
  <c r="A51" i="3"/>
  <c r="G30" i="3"/>
  <c r="AT95" i="3"/>
  <c r="M111" i="3"/>
  <c r="N113" i="4"/>
  <c r="J47" i="4"/>
  <c r="N112" i="3"/>
  <c r="J46" i="3"/>
  <c r="E29" i="4"/>
  <c r="M112" i="4"/>
  <c r="AP96" i="4"/>
  <c r="P109" i="5" l="1"/>
  <c r="Q109" i="5"/>
  <c r="L113" i="4"/>
  <c r="F109" i="5"/>
  <c r="I109" i="5" s="1"/>
  <c r="M33" i="3"/>
  <c r="Z98" i="3"/>
  <c r="AA98" i="3" s="1"/>
  <c r="M34" i="4"/>
  <c r="Z99" i="4"/>
  <c r="AA99" i="4" s="1"/>
  <c r="AD100" i="4" s="1"/>
  <c r="O96" i="4"/>
  <c r="P96" i="4" s="1"/>
  <c r="K31" i="4"/>
  <c r="E51" i="3"/>
  <c r="D51" i="3"/>
  <c r="C51" i="3"/>
  <c r="B51" i="3"/>
  <c r="N51" i="3"/>
  <c r="M51" i="3"/>
  <c r="L51" i="3"/>
  <c r="P51" i="3"/>
  <c r="I51" i="3"/>
  <c r="O51" i="3"/>
  <c r="J51" i="3"/>
  <c r="H51" i="3"/>
  <c r="F51" i="3"/>
  <c r="K51" i="3"/>
  <c r="G51" i="3"/>
  <c r="T98" i="3"/>
  <c r="U98" i="3" s="1"/>
  <c r="L33" i="3"/>
  <c r="AL96" i="4"/>
  <c r="AM96" i="4" s="1"/>
  <c r="O31" i="4"/>
  <c r="I31" i="3"/>
  <c r="V96" i="4"/>
  <c r="W96" i="4"/>
  <c r="N113" i="3"/>
  <c r="J47" i="3"/>
  <c r="L112" i="3"/>
  <c r="I53" i="2" s="1"/>
  <c r="AI87" i="3"/>
  <c r="AJ87" i="3"/>
  <c r="AK88" i="3"/>
  <c r="M112" i="3"/>
  <c r="K110" i="5"/>
  <c r="A111" i="5"/>
  <c r="H110" i="5"/>
  <c r="E110" i="5"/>
  <c r="P110" i="5" s="1"/>
  <c r="C110" i="5"/>
  <c r="B110" i="5"/>
  <c r="D110" i="5"/>
  <c r="H115" i="3"/>
  <c r="I114" i="3"/>
  <c r="Q96" i="3"/>
  <c r="R96" i="3"/>
  <c r="S97" i="3"/>
  <c r="D47" i="4"/>
  <c r="AQ113" i="4"/>
  <c r="K114" i="4"/>
  <c r="M114" i="4" s="1"/>
  <c r="AQ115" i="4" s="1"/>
  <c r="I30" i="4"/>
  <c r="B117" i="3"/>
  <c r="Y117" i="3" s="1"/>
  <c r="C117" i="3"/>
  <c r="D117" i="3" s="1"/>
  <c r="A118" i="3"/>
  <c r="A52" i="3"/>
  <c r="M113" i="4"/>
  <c r="AQ114" i="4" s="1"/>
  <c r="X97" i="4"/>
  <c r="Q95" i="4"/>
  <c r="R95" i="4"/>
  <c r="L109" i="5"/>
  <c r="N109" i="5"/>
  <c r="M109" i="5"/>
  <c r="AV95" i="4"/>
  <c r="G109" i="5"/>
  <c r="J109" i="5" s="1"/>
  <c r="H50" i="4"/>
  <c r="G50" i="4"/>
  <c r="L50" i="4"/>
  <c r="K50" i="4"/>
  <c r="J50" i="4"/>
  <c r="P50" i="4"/>
  <c r="O50" i="4"/>
  <c r="N50" i="4"/>
  <c r="M50" i="4"/>
  <c r="I50" i="4"/>
  <c r="D50" i="4"/>
  <c r="F50" i="4"/>
  <c r="E50" i="4"/>
  <c r="C50" i="4"/>
  <c r="B50" i="4"/>
  <c r="AF85" i="4"/>
  <c r="AG85" i="4" s="1"/>
  <c r="N20" i="4"/>
  <c r="H19" i="4"/>
  <c r="AU84" i="4"/>
  <c r="AB98" i="4"/>
  <c r="AC98" i="4"/>
  <c r="H116" i="4"/>
  <c r="I115" i="4"/>
  <c r="G115" i="3"/>
  <c r="F31" i="3"/>
  <c r="AN97" i="3"/>
  <c r="AO97" i="3"/>
  <c r="AV97" i="3" s="1"/>
  <c r="F116" i="3"/>
  <c r="E116" i="3"/>
  <c r="G31" i="3"/>
  <c r="N114" i="4"/>
  <c r="H63" i="2"/>
  <c r="AQ112" i="3"/>
  <c r="D46" i="3"/>
  <c r="AB97" i="3"/>
  <c r="AC97" i="3"/>
  <c r="AT97" i="3" s="1"/>
  <c r="K113" i="3"/>
  <c r="L113" i="3" s="1"/>
  <c r="V97" i="3"/>
  <c r="W97" i="3"/>
  <c r="AS97" i="3" s="1"/>
  <c r="B116" i="4"/>
  <c r="Y116" i="4" s="1"/>
  <c r="A117" i="4"/>
  <c r="A51" i="4"/>
  <c r="C116" i="4"/>
  <c r="AP98" i="3"/>
  <c r="N115" i="4" l="1"/>
  <c r="M35" i="4"/>
  <c r="Z100" i="4"/>
  <c r="AA100" i="4" s="1"/>
  <c r="T97" i="4"/>
  <c r="U97" i="4" s="1"/>
  <c r="X98" i="4" s="1"/>
  <c r="L32" i="4"/>
  <c r="G33" i="4"/>
  <c r="AT99" i="4"/>
  <c r="AT98" i="4"/>
  <c r="AN96" i="4"/>
  <c r="AO96" i="4"/>
  <c r="A118" i="4"/>
  <c r="B117" i="4"/>
  <c r="Y117" i="4" s="1"/>
  <c r="A52" i="4"/>
  <c r="C117" i="4"/>
  <c r="O110" i="5"/>
  <c r="N116" i="4"/>
  <c r="V98" i="3"/>
  <c r="W98" i="3"/>
  <c r="AS98" i="3" s="1"/>
  <c r="G116" i="3"/>
  <c r="O97" i="3"/>
  <c r="P97" i="3" s="1"/>
  <c r="S98" i="3" s="1"/>
  <c r="K32" i="3"/>
  <c r="Q96" i="4"/>
  <c r="R96" i="4"/>
  <c r="M113" i="3"/>
  <c r="AQ114" i="3" s="1"/>
  <c r="H117" i="4"/>
  <c r="I116" i="4"/>
  <c r="E52" i="3"/>
  <c r="D52" i="3"/>
  <c r="C52" i="3"/>
  <c r="B52" i="3"/>
  <c r="P52" i="3"/>
  <c r="O52" i="3"/>
  <c r="N52" i="3"/>
  <c r="M52" i="3"/>
  <c r="L52" i="3"/>
  <c r="G52" i="3"/>
  <c r="K52" i="3"/>
  <c r="F52" i="3"/>
  <c r="J52" i="3"/>
  <c r="I52" i="3"/>
  <c r="H52" i="3"/>
  <c r="Q110" i="5"/>
  <c r="AP97" i="4"/>
  <c r="E117" i="3"/>
  <c r="F117" i="3"/>
  <c r="AQ113" i="3"/>
  <c r="D47" i="3"/>
  <c r="X99" i="3"/>
  <c r="K114" i="3"/>
  <c r="AB99" i="4"/>
  <c r="AC99" i="4"/>
  <c r="G110" i="5"/>
  <c r="J110" i="5" s="1"/>
  <c r="N114" i="3"/>
  <c r="N115" i="3" s="1"/>
  <c r="H53" i="2"/>
  <c r="AB98" i="3"/>
  <c r="AC98" i="3"/>
  <c r="A112" i="5"/>
  <c r="B111" i="5"/>
  <c r="K111" i="5"/>
  <c r="C111" i="5"/>
  <c r="E111" i="5"/>
  <c r="D111" i="5"/>
  <c r="H111" i="5"/>
  <c r="F32" i="3"/>
  <c r="C118" i="3"/>
  <c r="D118" i="3" s="1"/>
  <c r="A119" i="3"/>
  <c r="B118" i="3"/>
  <c r="Y118" i="3" s="1"/>
  <c r="A53" i="3"/>
  <c r="AH85" i="4"/>
  <c r="AE86" i="4"/>
  <c r="E31" i="3"/>
  <c r="AR96" i="3"/>
  <c r="H22" i="3"/>
  <c r="AU87" i="3"/>
  <c r="H116" i="3"/>
  <c r="I115" i="3"/>
  <c r="AR96" i="4"/>
  <c r="E30" i="4"/>
  <c r="AR95" i="4"/>
  <c r="L114" i="4"/>
  <c r="F31" i="4"/>
  <c r="AS96" i="4"/>
  <c r="N110" i="5"/>
  <c r="M110" i="5"/>
  <c r="L110" i="5"/>
  <c r="AF88" i="3"/>
  <c r="AG88" i="3" s="1"/>
  <c r="N23" i="3"/>
  <c r="I32" i="3"/>
  <c r="S97" i="4"/>
  <c r="AL98" i="3"/>
  <c r="AM98" i="3" s="1"/>
  <c r="O33" i="3"/>
  <c r="H51" i="4"/>
  <c r="G51" i="4"/>
  <c r="C51" i="4"/>
  <c r="B51" i="4"/>
  <c r="P51" i="4"/>
  <c r="O51" i="4"/>
  <c r="I51" i="4"/>
  <c r="F51" i="4"/>
  <c r="E51" i="4"/>
  <c r="D51" i="4"/>
  <c r="J51" i="4"/>
  <c r="N51" i="4"/>
  <c r="M51" i="4"/>
  <c r="L51" i="4"/>
  <c r="K51" i="4"/>
  <c r="AT98" i="3"/>
  <c r="G32" i="3"/>
  <c r="K115" i="4"/>
  <c r="L115" i="4" s="1"/>
  <c r="F110" i="5"/>
  <c r="I110" i="5" s="1"/>
  <c r="AD99" i="3"/>
  <c r="Q111" i="5" l="1"/>
  <c r="M114" i="3"/>
  <c r="AQ115" i="3" s="1"/>
  <c r="T98" i="4"/>
  <c r="U98" i="4" s="1"/>
  <c r="L33" i="4"/>
  <c r="O98" i="3"/>
  <c r="P98" i="3" s="1"/>
  <c r="S99" i="3" s="1"/>
  <c r="K33" i="3"/>
  <c r="F111" i="5"/>
  <c r="I111" i="5" s="1"/>
  <c r="N111" i="5"/>
  <c r="M111" i="5"/>
  <c r="L111" i="5"/>
  <c r="O111" i="5"/>
  <c r="E53" i="3"/>
  <c r="D53" i="3"/>
  <c r="C53" i="3"/>
  <c r="B53" i="3"/>
  <c r="F53" i="3"/>
  <c r="K53" i="3"/>
  <c r="H53" i="3"/>
  <c r="J53" i="3"/>
  <c r="I53" i="3"/>
  <c r="G53" i="3"/>
  <c r="O53" i="3"/>
  <c r="M53" i="3"/>
  <c r="L53" i="3"/>
  <c r="P53" i="3"/>
  <c r="N53" i="3"/>
  <c r="O97" i="4"/>
  <c r="P97" i="4" s="1"/>
  <c r="S98" i="4" s="1"/>
  <c r="K32" i="4"/>
  <c r="G33" i="3"/>
  <c r="N117" i="4"/>
  <c r="AL97" i="4"/>
  <c r="AM97" i="4" s="1"/>
  <c r="O32" i="4"/>
  <c r="AH88" i="3"/>
  <c r="AE89" i="3"/>
  <c r="K116" i="4"/>
  <c r="L116" i="4" s="1"/>
  <c r="H52" i="4"/>
  <c r="G52" i="4"/>
  <c r="E52" i="4"/>
  <c r="D52" i="4"/>
  <c r="C52" i="4"/>
  <c r="P52" i="4"/>
  <c r="O52" i="4"/>
  <c r="N52" i="4"/>
  <c r="K52" i="4"/>
  <c r="B52" i="4"/>
  <c r="J52" i="4"/>
  <c r="I52" i="4"/>
  <c r="F52" i="4"/>
  <c r="M52" i="4"/>
  <c r="L52" i="4"/>
  <c r="AN98" i="3"/>
  <c r="AO98" i="3"/>
  <c r="P111" i="5"/>
  <c r="I31" i="4"/>
  <c r="AV96" i="4"/>
  <c r="H117" i="3"/>
  <c r="I116" i="3"/>
  <c r="V97" i="4"/>
  <c r="W97" i="4"/>
  <c r="G34" i="4"/>
  <c r="H118" i="4"/>
  <c r="I117" i="4"/>
  <c r="AB100" i="4"/>
  <c r="AC100" i="4"/>
  <c r="AT100" i="4" s="1"/>
  <c r="E118" i="3"/>
  <c r="F118" i="3"/>
  <c r="G117" i="3"/>
  <c r="M115" i="4"/>
  <c r="AQ116" i="4" s="1"/>
  <c r="AI85" i="4"/>
  <c r="AJ85" i="4"/>
  <c r="AK86" i="4"/>
  <c r="Q97" i="3"/>
  <c r="R97" i="3"/>
  <c r="AP99" i="3"/>
  <c r="T99" i="3"/>
  <c r="U99" i="3" s="1"/>
  <c r="L34" i="3"/>
  <c r="F33" i="3"/>
  <c r="E112" i="5"/>
  <c r="Q112" i="5" s="1"/>
  <c r="B112" i="5"/>
  <c r="A113" i="5"/>
  <c r="K112" i="5"/>
  <c r="H112" i="5"/>
  <c r="D112" i="5"/>
  <c r="C112" i="5"/>
  <c r="K115" i="3"/>
  <c r="L115" i="3" s="1"/>
  <c r="C119" i="3"/>
  <c r="D119" i="3" s="1"/>
  <c r="B119" i="3"/>
  <c r="Y119" i="3" s="1"/>
  <c r="A120" i="3"/>
  <c r="A54" i="3"/>
  <c r="Z99" i="3"/>
  <c r="AA99" i="3" s="1"/>
  <c r="M34" i="3"/>
  <c r="G111" i="5"/>
  <c r="J111" i="5" s="1"/>
  <c r="L114" i="3"/>
  <c r="E31" i="4"/>
  <c r="A119" i="4"/>
  <c r="A53" i="4"/>
  <c r="C118" i="4"/>
  <c r="B118" i="4"/>
  <c r="Y118" i="4" s="1"/>
  <c r="AD101" i="4"/>
  <c r="O99" i="3" l="1"/>
  <c r="P99" i="3" s="1"/>
  <c r="K34" i="3"/>
  <c r="O98" i="4"/>
  <c r="P98" i="4" s="1"/>
  <c r="S99" i="4" s="1"/>
  <c r="K33" i="4"/>
  <c r="G118" i="3"/>
  <c r="M36" i="4"/>
  <c r="Z101" i="4"/>
  <c r="AA101" i="4" s="1"/>
  <c r="AD102" i="4" s="1"/>
  <c r="E54" i="3"/>
  <c r="D54" i="3"/>
  <c r="C54" i="3"/>
  <c r="B54" i="3"/>
  <c r="J54" i="3"/>
  <c r="I54" i="3"/>
  <c r="H54" i="3"/>
  <c r="N54" i="3"/>
  <c r="L54" i="3"/>
  <c r="K54" i="3"/>
  <c r="P54" i="3"/>
  <c r="O54" i="3"/>
  <c r="M54" i="3"/>
  <c r="F54" i="3"/>
  <c r="G54" i="3"/>
  <c r="M116" i="4"/>
  <c r="AQ117" i="4" s="1"/>
  <c r="F112" i="5"/>
  <c r="I112" i="5" s="1"/>
  <c r="F32" i="4"/>
  <c r="AS98" i="4"/>
  <c r="AS97" i="4"/>
  <c r="AF86" i="4"/>
  <c r="AG86" i="4" s="1"/>
  <c r="N21" i="4"/>
  <c r="O112" i="5"/>
  <c r="H20" i="4"/>
  <c r="AU85" i="4"/>
  <c r="K116" i="3"/>
  <c r="AI88" i="3"/>
  <c r="AJ88" i="3"/>
  <c r="AK89" i="3"/>
  <c r="H113" i="5"/>
  <c r="D113" i="5"/>
  <c r="C113" i="5"/>
  <c r="B113" i="5"/>
  <c r="A114" i="5"/>
  <c r="E113" i="5"/>
  <c r="Q113" i="5"/>
  <c r="K113" i="5"/>
  <c r="P113" i="5"/>
  <c r="O113" i="5"/>
  <c r="N116" i="3"/>
  <c r="AB99" i="3"/>
  <c r="AC99" i="3"/>
  <c r="H119" i="4"/>
  <c r="I118" i="4"/>
  <c r="H53" i="4"/>
  <c r="G53" i="4"/>
  <c r="I53" i="4"/>
  <c r="F53" i="4"/>
  <c r="E53" i="4"/>
  <c r="K53" i="4"/>
  <c r="J53" i="4"/>
  <c r="D53" i="4"/>
  <c r="N53" i="4"/>
  <c r="M53" i="4"/>
  <c r="L53" i="4"/>
  <c r="C53" i="4"/>
  <c r="O53" i="4"/>
  <c r="B53" i="4"/>
  <c r="P53" i="4"/>
  <c r="F119" i="3"/>
  <c r="E119" i="3"/>
  <c r="P112" i="5"/>
  <c r="H118" i="3"/>
  <c r="I117" i="3"/>
  <c r="K117" i="4"/>
  <c r="L117" i="4" s="1"/>
  <c r="A120" i="4"/>
  <c r="C119" i="4"/>
  <c r="B119" i="4"/>
  <c r="Y119" i="4" s="1"/>
  <c r="A54" i="4"/>
  <c r="C120" i="3"/>
  <c r="D120" i="3" s="1"/>
  <c r="A121" i="3"/>
  <c r="B120" i="3"/>
  <c r="Y120" i="3" s="1"/>
  <c r="A55" i="3"/>
  <c r="Q98" i="3"/>
  <c r="R98" i="3"/>
  <c r="AN97" i="4"/>
  <c r="AO97" i="4"/>
  <c r="V98" i="4"/>
  <c r="W98" i="4"/>
  <c r="G35" i="4"/>
  <c r="I33" i="3"/>
  <c r="AV98" i="3"/>
  <c r="Q97" i="4"/>
  <c r="R97" i="4"/>
  <c r="M115" i="3"/>
  <c r="AQ116" i="3" s="1"/>
  <c r="V99" i="3"/>
  <c r="W99" i="3"/>
  <c r="AD100" i="3"/>
  <c r="X100" i="3"/>
  <c r="AL99" i="3"/>
  <c r="AM99" i="3" s="1"/>
  <c r="O34" i="3"/>
  <c r="AR98" i="3"/>
  <c r="E32" i="3"/>
  <c r="AR97" i="3"/>
  <c r="G112" i="5"/>
  <c r="J112" i="5" s="1"/>
  <c r="L112" i="5"/>
  <c r="N112" i="5"/>
  <c r="M112" i="5"/>
  <c r="AP98" i="4"/>
  <c r="X99" i="4"/>
  <c r="L116" i="3" l="1"/>
  <c r="O99" i="4"/>
  <c r="P99" i="4" s="1"/>
  <c r="K34" i="4"/>
  <c r="Z102" i="4"/>
  <c r="AA102" i="4" s="1"/>
  <c r="AD103" i="4" s="1"/>
  <c r="M37" i="4"/>
  <c r="E32" i="4"/>
  <c r="AR97" i="4"/>
  <c r="G34" i="3"/>
  <c r="AT99" i="3"/>
  <c r="N117" i="3"/>
  <c r="F33" i="4"/>
  <c r="AN99" i="3"/>
  <c r="AO99" i="3"/>
  <c r="N118" i="4"/>
  <c r="AP100" i="3"/>
  <c r="K117" i="3"/>
  <c r="M117" i="3" s="1"/>
  <c r="AQ118" i="3" s="1"/>
  <c r="F113" i="5"/>
  <c r="I113" i="5" s="1"/>
  <c r="AH86" i="4"/>
  <c r="AE87" i="4"/>
  <c r="E55" i="3"/>
  <c r="D55" i="3"/>
  <c r="C55" i="3"/>
  <c r="B55" i="3"/>
  <c r="N55" i="3"/>
  <c r="M55" i="3"/>
  <c r="L55" i="3"/>
  <c r="F55" i="3"/>
  <c r="P55" i="3"/>
  <c r="O55" i="3"/>
  <c r="I55" i="3"/>
  <c r="H55" i="3"/>
  <c r="G55" i="3"/>
  <c r="K55" i="3"/>
  <c r="J55" i="3"/>
  <c r="H120" i="4"/>
  <c r="I119" i="4"/>
  <c r="AL98" i="4"/>
  <c r="AM98" i="4" s="1"/>
  <c r="O33" i="4"/>
  <c r="E120" i="3"/>
  <c r="F120" i="3"/>
  <c r="L113" i="5"/>
  <c r="M113" i="5"/>
  <c r="N113" i="5"/>
  <c r="Q98" i="4"/>
  <c r="R98" i="4"/>
  <c r="AR98" i="4" s="1"/>
  <c r="T100" i="3"/>
  <c r="U100" i="3" s="1"/>
  <c r="X101" i="3" s="1"/>
  <c r="L35" i="3"/>
  <c r="AR99" i="3"/>
  <c r="E33" i="3"/>
  <c r="H119" i="3"/>
  <c r="I118" i="3"/>
  <c r="G113" i="5"/>
  <c r="J113" i="5" s="1"/>
  <c r="A121" i="4"/>
  <c r="B120" i="4"/>
  <c r="Y120" i="4" s="1"/>
  <c r="A55" i="4"/>
  <c r="C120" i="4"/>
  <c r="H23" i="3"/>
  <c r="AU88" i="3"/>
  <c r="T99" i="4"/>
  <c r="U99" i="4" s="1"/>
  <c r="L34" i="4"/>
  <c r="AB101" i="4"/>
  <c r="AC101" i="4"/>
  <c r="H54" i="4"/>
  <c r="G54" i="4"/>
  <c r="K54" i="4"/>
  <c r="J54" i="4"/>
  <c r="I54" i="4"/>
  <c r="P54" i="4"/>
  <c r="O54" i="4"/>
  <c r="N54" i="4"/>
  <c r="M54" i="4"/>
  <c r="L54" i="4"/>
  <c r="F54" i="4"/>
  <c r="E54" i="4"/>
  <c r="D54" i="4"/>
  <c r="C54" i="4"/>
  <c r="B54" i="4"/>
  <c r="M35" i="3"/>
  <c r="Z100" i="3"/>
  <c r="AA100" i="3" s="1"/>
  <c r="Q99" i="3"/>
  <c r="R99" i="3"/>
  <c r="K118" i="4"/>
  <c r="A122" i="3"/>
  <c r="C121" i="3"/>
  <c r="D121" i="3" s="1"/>
  <c r="B121" i="3"/>
  <c r="Y121" i="3" s="1"/>
  <c r="A56" i="3"/>
  <c r="M116" i="3"/>
  <c r="AQ117" i="3" s="1"/>
  <c r="M117" i="4"/>
  <c r="AQ118" i="4" s="1"/>
  <c r="C114" i="5"/>
  <c r="E114" i="5"/>
  <c r="D114" i="5"/>
  <c r="G114" i="5" s="1"/>
  <c r="B114" i="5"/>
  <c r="K114" i="5"/>
  <c r="H114" i="5"/>
  <c r="A115" i="5"/>
  <c r="I32" i="4"/>
  <c r="AV97" i="4"/>
  <c r="F34" i="3"/>
  <c r="AS99" i="3"/>
  <c r="G119" i="3"/>
  <c r="AF89" i="3"/>
  <c r="AG89" i="3" s="1"/>
  <c r="N24" i="3"/>
  <c r="S100" i="3"/>
  <c r="Q114" i="5" l="1"/>
  <c r="J114" i="5"/>
  <c r="N118" i="3"/>
  <c r="L118" i="4"/>
  <c r="T101" i="3"/>
  <c r="U101" i="3" s="1"/>
  <c r="L36" i="3"/>
  <c r="Z103" i="4"/>
  <c r="AA103" i="4" s="1"/>
  <c r="AD104" i="4" s="1"/>
  <c r="M38" i="4"/>
  <c r="AN98" i="4"/>
  <c r="AO98" i="4"/>
  <c r="V99" i="4"/>
  <c r="W99" i="4"/>
  <c r="X100" i="4"/>
  <c r="H121" i="4"/>
  <c r="I120" i="4"/>
  <c r="F114" i="5"/>
  <c r="I114" i="5" s="1"/>
  <c r="M118" i="4"/>
  <c r="AQ119" i="4" s="1"/>
  <c r="H55" i="4"/>
  <c r="G55" i="4"/>
  <c r="M55" i="4"/>
  <c r="L55" i="4"/>
  <c r="K55" i="4"/>
  <c r="O55" i="4"/>
  <c r="N55" i="4"/>
  <c r="J55" i="4"/>
  <c r="I55" i="4"/>
  <c r="B55" i="4"/>
  <c r="E55" i="4"/>
  <c r="P55" i="4"/>
  <c r="F55" i="4"/>
  <c r="D55" i="4"/>
  <c r="C55" i="4"/>
  <c r="AB100" i="3"/>
  <c r="AC100" i="3"/>
  <c r="AP99" i="4"/>
  <c r="F121" i="3"/>
  <c r="E121" i="3"/>
  <c r="AB102" i="4"/>
  <c r="AC102" i="4"/>
  <c r="O114" i="5"/>
  <c r="P114" i="5"/>
  <c r="AD101" i="3"/>
  <c r="B121" i="4"/>
  <c r="Y121" i="4" s="1"/>
  <c r="A122" i="4"/>
  <c r="A56" i="4"/>
  <c r="C121" i="4"/>
  <c r="AL100" i="3"/>
  <c r="AM100" i="3" s="1"/>
  <c r="O35" i="3"/>
  <c r="N114" i="5"/>
  <c r="M114" i="5"/>
  <c r="L114" i="5"/>
  <c r="AH89" i="3"/>
  <c r="AE90" i="3"/>
  <c r="K118" i="3"/>
  <c r="L118" i="3" s="1"/>
  <c r="H120" i="3"/>
  <c r="I119" i="3"/>
  <c r="L117" i="3"/>
  <c r="E34" i="3"/>
  <c r="A116" i="5"/>
  <c r="B115" i="5"/>
  <c r="E115" i="5"/>
  <c r="Q115" i="5" s="1"/>
  <c r="D115" i="5"/>
  <c r="G115" i="5" s="1"/>
  <c r="J115" i="5" s="1"/>
  <c r="C115" i="5"/>
  <c r="F115" i="5" s="1"/>
  <c r="I115" i="5" s="1"/>
  <c r="K115" i="5"/>
  <c r="H115" i="5"/>
  <c r="G36" i="4"/>
  <c r="AT101" i="4"/>
  <c r="G120" i="3"/>
  <c r="N119" i="4"/>
  <c r="Q99" i="4"/>
  <c r="R99" i="4"/>
  <c r="K119" i="4"/>
  <c r="M119" i="4" s="1"/>
  <c r="AQ120" i="4" s="1"/>
  <c r="N119" i="3"/>
  <c r="AI86" i="4"/>
  <c r="AJ86" i="4"/>
  <c r="AK87" i="4"/>
  <c r="V100" i="3"/>
  <c r="W100" i="3"/>
  <c r="E56" i="3"/>
  <c r="D56" i="3"/>
  <c r="C56" i="3"/>
  <c r="B56" i="3"/>
  <c r="P56" i="3"/>
  <c r="M56" i="3"/>
  <c r="L56" i="3"/>
  <c r="K56" i="3"/>
  <c r="I56" i="3"/>
  <c r="H56" i="3"/>
  <c r="J56" i="3"/>
  <c r="G56" i="3"/>
  <c r="F56" i="3"/>
  <c r="O56" i="3"/>
  <c r="N56" i="3"/>
  <c r="E33" i="4"/>
  <c r="C122" i="3"/>
  <c r="D122" i="3" s="1"/>
  <c r="B122" i="3"/>
  <c r="Y122" i="3" s="1"/>
  <c r="A57" i="3"/>
  <c r="A123" i="3"/>
  <c r="O100" i="3"/>
  <c r="P100" i="3" s="1"/>
  <c r="K35" i="3"/>
  <c r="I34" i="3"/>
  <c r="AV99" i="3"/>
  <c r="S100" i="4"/>
  <c r="N120" i="4" l="1"/>
  <c r="O115" i="5"/>
  <c r="P115" i="5"/>
  <c r="M118" i="3"/>
  <c r="AQ119" i="3" s="1"/>
  <c r="M39" i="4"/>
  <c r="Z104" i="4"/>
  <c r="AA104" i="4" s="1"/>
  <c r="O100" i="4"/>
  <c r="P100" i="4" s="1"/>
  <c r="S101" i="4" s="1"/>
  <c r="K35" i="4"/>
  <c r="E116" i="5"/>
  <c r="A117" i="5"/>
  <c r="B116" i="5"/>
  <c r="H116" i="5"/>
  <c r="Q116" i="5" s="1"/>
  <c r="D116" i="5"/>
  <c r="G116" i="5" s="1"/>
  <c r="J116" i="5" s="1"/>
  <c r="C116" i="5"/>
  <c r="F116" i="5" s="1"/>
  <c r="I116" i="5" s="1"/>
  <c r="K116" i="5"/>
  <c r="P116" i="5"/>
  <c r="I33" i="4"/>
  <c r="AV98" i="4"/>
  <c r="F35" i="3"/>
  <c r="AS100" i="3"/>
  <c r="G37" i="4"/>
  <c r="AN100" i="3"/>
  <c r="AO100" i="3"/>
  <c r="K119" i="3"/>
  <c r="L119" i="3" s="1"/>
  <c r="AP101" i="3"/>
  <c r="Q100" i="3"/>
  <c r="R100" i="3"/>
  <c r="H21" i="4"/>
  <c r="AU86" i="4"/>
  <c r="AT102" i="4"/>
  <c r="H121" i="3"/>
  <c r="I120" i="3"/>
  <c r="E57" i="3"/>
  <c r="D57" i="3"/>
  <c r="C57" i="3"/>
  <c r="B57" i="3"/>
  <c r="F57" i="3"/>
  <c r="P57" i="3"/>
  <c r="N57" i="3"/>
  <c r="O57" i="3"/>
  <c r="M57" i="3"/>
  <c r="L57" i="3"/>
  <c r="K57" i="3"/>
  <c r="I57" i="3"/>
  <c r="G57" i="3"/>
  <c r="H57" i="3"/>
  <c r="J57" i="3"/>
  <c r="K120" i="4"/>
  <c r="L120" i="4" s="1"/>
  <c r="H122" i="4"/>
  <c r="I121" i="4"/>
  <c r="E34" i="4"/>
  <c r="M36" i="3"/>
  <c r="Z101" i="3"/>
  <c r="AA101" i="3" s="1"/>
  <c r="S101" i="3"/>
  <c r="H56" i="4"/>
  <c r="G56" i="4"/>
  <c r="O56" i="4"/>
  <c r="N56" i="4"/>
  <c r="M56" i="4"/>
  <c r="E56" i="4"/>
  <c r="D56" i="4"/>
  <c r="C56" i="4"/>
  <c r="K56" i="4"/>
  <c r="J56" i="4"/>
  <c r="I56" i="4"/>
  <c r="F56" i="4"/>
  <c r="P56" i="4"/>
  <c r="L56" i="4"/>
  <c r="B56" i="4"/>
  <c r="AL99" i="4"/>
  <c r="AM99" i="4" s="1"/>
  <c r="AP100" i="4" s="1"/>
  <c r="O34" i="4"/>
  <c r="T100" i="4"/>
  <c r="U100" i="4" s="1"/>
  <c r="L35" i="4"/>
  <c r="F34" i="4"/>
  <c r="AS99" i="4"/>
  <c r="AR99" i="4"/>
  <c r="AF87" i="4"/>
  <c r="AG87" i="4" s="1"/>
  <c r="N22" i="4"/>
  <c r="G121" i="3"/>
  <c r="V101" i="3"/>
  <c r="W101" i="3"/>
  <c r="A124" i="3"/>
  <c r="C123" i="3"/>
  <c r="D123" i="3" s="1"/>
  <c r="B123" i="3"/>
  <c r="Y123" i="3" s="1"/>
  <c r="A58" i="3"/>
  <c r="F122" i="3"/>
  <c r="E122" i="3"/>
  <c r="AI89" i="3"/>
  <c r="AJ89" i="3"/>
  <c r="AK90" i="3"/>
  <c r="AB103" i="4"/>
  <c r="AC103" i="4"/>
  <c r="L119" i="4"/>
  <c r="N115" i="5"/>
  <c r="M115" i="5"/>
  <c r="L115" i="5"/>
  <c r="B122" i="4"/>
  <c r="Y122" i="4" s="1"/>
  <c r="A123" i="4"/>
  <c r="C122" i="4"/>
  <c r="A57" i="4"/>
  <c r="G35" i="3"/>
  <c r="AT100" i="3"/>
  <c r="X102" i="3"/>
  <c r="N121" i="4" l="1"/>
  <c r="M119" i="3"/>
  <c r="AQ120" i="3" s="1"/>
  <c r="O116" i="5"/>
  <c r="N120" i="3"/>
  <c r="M120" i="4"/>
  <c r="AQ121" i="4" s="1"/>
  <c r="O101" i="4"/>
  <c r="P101" i="4" s="1"/>
  <c r="K36" i="4"/>
  <c r="AL100" i="4"/>
  <c r="AM100" i="4" s="1"/>
  <c r="O35" i="4"/>
  <c r="M116" i="5"/>
  <c r="L116" i="5"/>
  <c r="N116" i="5"/>
  <c r="F36" i="3"/>
  <c r="H122" i="3"/>
  <c r="I121" i="3"/>
  <c r="H24" i="3"/>
  <c r="AU89" i="3"/>
  <c r="G122" i="3"/>
  <c r="AS101" i="3"/>
  <c r="T102" i="3"/>
  <c r="U102" i="3" s="1"/>
  <c r="X103" i="3" s="1"/>
  <c r="L37" i="3"/>
  <c r="V100" i="4"/>
  <c r="W100" i="4"/>
  <c r="G38" i="4"/>
  <c r="K120" i="3"/>
  <c r="L120" i="3" s="1"/>
  <c r="H57" i="4"/>
  <c r="G57" i="4"/>
  <c r="P57" i="4"/>
  <c r="O57" i="4"/>
  <c r="L57" i="4"/>
  <c r="K57" i="4"/>
  <c r="J57" i="4"/>
  <c r="N57" i="4"/>
  <c r="M57" i="4"/>
  <c r="I57" i="4"/>
  <c r="F57" i="4"/>
  <c r="E57" i="4"/>
  <c r="D57" i="4"/>
  <c r="C57" i="4"/>
  <c r="B57" i="4"/>
  <c r="AT103" i="4"/>
  <c r="AB101" i="3"/>
  <c r="AC101" i="3"/>
  <c r="AD102" i="3"/>
  <c r="E58" i="3"/>
  <c r="D58" i="3"/>
  <c r="C58" i="3"/>
  <c r="B58" i="3"/>
  <c r="J58" i="3"/>
  <c r="I58" i="3"/>
  <c r="H58" i="3"/>
  <c r="K58" i="3"/>
  <c r="G58" i="3"/>
  <c r="F58" i="3"/>
  <c r="O58" i="3"/>
  <c r="N58" i="3"/>
  <c r="P58" i="3"/>
  <c r="L58" i="3"/>
  <c r="M58" i="3"/>
  <c r="K121" i="4"/>
  <c r="L121" i="4" s="1"/>
  <c r="AL101" i="3"/>
  <c r="AM101" i="3" s="1"/>
  <c r="O36" i="3"/>
  <c r="AB104" i="4"/>
  <c r="AC104" i="4"/>
  <c r="C124" i="3"/>
  <c r="D124" i="3" s="1"/>
  <c r="B124" i="3"/>
  <c r="Y124" i="3" s="1"/>
  <c r="A125" i="3"/>
  <c r="A59" i="3"/>
  <c r="X101" i="4"/>
  <c r="AN99" i="4"/>
  <c r="AO99" i="4"/>
  <c r="Q100" i="4"/>
  <c r="R100" i="4"/>
  <c r="B123" i="4"/>
  <c r="Y123" i="4" s="1"/>
  <c r="C123" i="4"/>
  <c r="A124" i="4"/>
  <c r="A58" i="4"/>
  <c r="H123" i="4"/>
  <c r="I122" i="4"/>
  <c r="E123" i="3"/>
  <c r="F123" i="3"/>
  <c r="I35" i="3"/>
  <c r="AV100" i="3"/>
  <c r="AF90" i="3"/>
  <c r="AG90" i="3" s="1"/>
  <c r="N25" i="3"/>
  <c r="O101" i="3"/>
  <c r="P101" i="3" s="1"/>
  <c r="S102" i="3" s="1"/>
  <c r="K36" i="3"/>
  <c r="D117" i="5"/>
  <c r="A118" i="5"/>
  <c r="B117" i="5"/>
  <c r="K117" i="5"/>
  <c r="E117" i="5"/>
  <c r="C117" i="5"/>
  <c r="H117" i="5"/>
  <c r="AH87" i="4"/>
  <c r="AE88" i="4"/>
  <c r="E35" i="3"/>
  <c r="AR100" i="3"/>
  <c r="AD105" i="4"/>
  <c r="M120" i="3" l="1"/>
  <c r="AQ121" i="3" s="1"/>
  <c r="N121" i="3"/>
  <c r="O117" i="5"/>
  <c r="T103" i="3"/>
  <c r="U103" i="3" s="1"/>
  <c r="L38" i="3"/>
  <c r="O102" i="3"/>
  <c r="P102" i="3" s="1"/>
  <c r="K37" i="3"/>
  <c r="L117" i="5"/>
  <c r="N117" i="5"/>
  <c r="M117" i="5"/>
  <c r="P117" i="5"/>
  <c r="I34" i="4"/>
  <c r="AV100" i="4"/>
  <c r="AV99" i="4"/>
  <c r="K121" i="3"/>
  <c r="L121" i="3" s="1"/>
  <c r="G39" i="4"/>
  <c r="E35" i="4"/>
  <c r="AR100" i="4"/>
  <c r="G123" i="3"/>
  <c r="Q117" i="5"/>
  <c r="H123" i="3"/>
  <c r="I122" i="3"/>
  <c r="E59" i="3"/>
  <c r="F59" i="3"/>
  <c r="D59" i="3"/>
  <c r="C59" i="3"/>
  <c r="B59" i="3"/>
  <c r="O59" i="3"/>
  <c r="N59" i="3"/>
  <c r="M59" i="3"/>
  <c r="P59" i="3"/>
  <c r="K59" i="3"/>
  <c r="J59" i="3"/>
  <c r="L59" i="3"/>
  <c r="I59" i="3"/>
  <c r="H59" i="3"/>
  <c r="G59" i="3"/>
  <c r="G117" i="5"/>
  <c r="J117" i="5" s="1"/>
  <c r="F35" i="4"/>
  <c r="AS100" i="4"/>
  <c r="AN100" i="4"/>
  <c r="AO100" i="4"/>
  <c r="H58" i="4"/>
  <c r="G58" i="4"/>
  <c r="P58" i="4"/>
  <c r="O58" i="4"/>
  <c r="F58" i="4"/>
  <c r="E58" i="4"/>
  <c r="D58" i="4"/>
  <c r="C58" i="4"/>
  <c r="I58" i="4"/>
  <c r="B58" i="4"/>
  <c r="J58" i="4"/>
  <c r="N58" i="4"/>
  <c r="L58" i="4"/>
  <c r="M58" i="4"/>
  <c r="K58" i="4"/>
  <c r="G36" i="3"/>
  <c r="AT101" i="3"/>
  <c r="AP101" i="4"/>
  <c r="AN101" i="3"/>
  <c r="AO101" i="3"/>
  <c r="K122" i="4"/>
  <c r="M122" i="4" s="1"/>
  <c r="AQ123" i="4" s="1"/>
  <c r="AP102" i="3"/>
  <c r="H124" i="4"/>
  <c r="I123" i="4"/>
  <c r="C118" i="5"/>
  <c r="A119" i="5"/>
  <c r="B118" i="5"/>
  <c r="D118" i="5"/>
  <c r="K118" i="5"/>
  <c r="E118" i="5"/>
  <c r="H118" i="5"/>
  <c r="F124" i="3"/>
  <c r="E124" i="3"/>
  <c r="T101" i="4"/>
  <c r="U101" i="4" s="1"/>
  <c r="L36" i="4"/>
  <c r="N122" i="4"/>
  <c r="M40" i="4"/>
  <c r="Z105" i="4"/>
  <c r="AA105" i="4" s="1"/>
  <c r="AT104" i="4"/>
  <c r="M121" i="4"/>
  <c r="AQ122" i="4" s="1"/>
  <c r="M37" i="3"/>
  <c r="Z102" i="3"/>
  <c r="AA102" i="3" s="1"/>
  <c r="B124" i="4"/>
  <c r="Y124" i="4" s="1"/>
  <c r="A59" i="4"/>
  <c r="A125" i="4"/>
  <c r="C124" i="4"/>
  <c r="AH90" i="3"/>
  <c r="AE91" i="3"/>
  <c r="Q101" i="4"/>
  <c r="R101" i="4"/>
  <c r="Q101" i="3"/>
  <c r="R101" i="3"/>
  <c r="C125" i="3"/>
  <c r="D125" i="3" s="1"/>
  <c r="A126" i="3"/>
  <c r="B125" i="3"/>
  <c r="Y125" i="3" s="1"/>
  <c r="A60" i="3"/>
  <c r="V102" i="3"/>
  <c r="W102" i="3"/>
  <c r="AI87" i="4"/>
  <c r="AJ87" i="4"/>
  <c r="AK88" i="4"/>
  <c r="F117" i="5"/>
  <c r="I117" i="5" s="1"/>
  <c r="S102" i="4"/>
  <c r="M121" i="3" l="1"/>
  <c r="AQ122" i="3" s="1"/>
  <c r="Q118" i="5"/>
  <c r="N122" i="3"/>
  <c r="N123" i="4"/>
  <c r="AB102" i="3"/>
  <c r="AC102" i="3"/>
  <c r="I36" i="3"/>
  <c r="AV101" i="3"/>
  <c r="P118" i="5"/>
  <c r="AL101" i="4"/>
  <c r="AM101" i="4" s="1"/>
  <c r="O36" i="4"/>
  <c r="F118" i="5"/>
  <c r="I118" i="5" s="1"/>
  <c r="Q102" i="3"/>
  <c r="R102" i="3"/>
  <c r="AR102" i="3" s="1"/>
  <c r="H125" i="4"/>
  <c r="I124" i="4"/>
  <c r="I35" i="4"/>
  <c r="S103" i="3"/>
  <c r="K122" i="3"/>
  <c r="L122" i="3" s="1"/>
  <c r="N118" i="5"/>
  <c r="M118" i="5"/>
  <c r="L118" i="5"/>
  <c r="H124" i="3"/>
  <c r="I123" i="3"/>
  <c r="AF88" i="4"/>
  <c r="AG88" i="4" s="1"/>
  <c r="N23" i="4"/>
  <c r="H22" i="4"/>
  <c r="AU87" i="4"/>
  <c r="O118" i="5"/>
  <c r="F37" i="3"/>
  <c r="AS102" i="3"/>
  <c r="AB105" i="4"/>
  <c r="AC105" i="4"/>
  <c r="E60" i="3"/>
  <c r="D60" i="3"/>
  <c r="C60" i="3"/>
  <c r="I60" i="3"/>
  <c r="H60" i="3"/>
  <c r="G60" i="3"/>
  <c r="F60" i="3"/>
  <c r="J60" i="3"/>
  <c r="B60" i="3"/>
  <c r="M60" i="3"/>
  <c r="L60" i="3"/>
  <c r="P60" i="3"/>
  <c r="N60" i="3"/>
  <c r="K60" i="3"/>
  <c r="O60" i="3"/>
  <c r="A120" i="5"/>
  <c r="B119" i="5"/>
  <c r="D119" i="5"/>
  <c r="C119" i="5"/>
  <c r="K119" i="5"/>
  <c r="H119" i="5"/>
  <c r="E119" i="5"/>
  <c r="Q119" i="5" s="1"/>
  <c r="AD106" i="4"/>
  <c r="K123" i="4"/>
  <c r="L123" i="4" s="1"/>
  <c r="V101" i="4"/>
  <c r="W101" i="4"/>
  <c r="AL102" i="3"/>
  <c r="AM102" i="3" s="1"/>
  <c r="AP103" i="3" s="1"/>
  <c r="O37" i="3"/>
  <c r="O102" i="4"/>
  <c r="P102" i="4" s="1"/>
  <c r="K37" i="4"/>
  <c r="AD103" i="3"/>
  <c r="X102" i="4"/>
  <c r="V103" i="3"/>
  <c r="W103" i="3"/>
  <c r="F125" i="3"/>
  <c r="E125" i="3"/>
  <c r="E36" i="3"/>
  <c r="AR101" i="3"/>
  <c r="G118" i="5"/>
  <c r="J118" i="5" s="1"/>
  <c r="E36" i="4"/>
  <c r="AI90" i="3"/>
  <c r="AJ90" i="3"/>
  <c r="AK91" i="3"/>
  <c r="AR101" i="4"/>
  <c r="B125" i="4"/>
  <c r="Y125" i="4" s="1"/>
  <c r="C125" i="4"/>
  <c r="A126" i="4"/>
  <c r="A60" i="4"/>
  <c r="L122" i="4"/>
  <c r="C126" i="3"/>
  <c r="D126" i="3" s="1"/>
  <c r="B126" i="3"/>
  <c r="Y126" i="3" s="1"/>
  <c r="A127" i="3"/>
  <c r="A61" i="3"/>
  <c r="H59" i="4"/>
  <c r="G59" i="4"/>
  <c r="C59" i="4"/>
  <c r="B59" i="4"/>
  <c r="D59" i="4"/>
  <c r="P59" i="4"/>
  <c r="O59" i="4"/>
  <c r="N59" i="4"/>
  <c r="M59" i="4"/>
  <c r="L59" i="4"/>
  <c r="K59" i="4"/>
  <c r="J59" i="4"/>
  <c r="I59" i="4"/>
  <c r="F59" i="4"/>
  <c r="E59" i="4"/>
  <c r="G124" i="3"/>
  <c r="X104" i="3"/>
  <c r="F119" i="5" l="1"/>
  <c r="I119" i="5" s="1"/>
  <c r="N124" i="4"/>
  <c r="P119" i="5"/>
  <c r="G119" i="5"/>
  <c r="J119" i="5" s="1"/>
  <c r="O119" i="5"/>
  <c r="AL103" i="3"/>
  <c r="AM103" i="3" s="1"/>
  <c r="O38" i="3"/>
  <c r="G125" i="3"/>
  <c r="M123" i="4"/>
  <c r="AQ124" i="4" s="1"/>
  <c r="G40" i="4"/>
  <c r="AT105" i="4"/>
  <c r="F38" i="3"/>
  <c r="AN101" i="4"/>
  <c r="AO101" i="4"/>
  <c r="M122" i="3"/>
  <c r="AQ123" i="3" s="1"/>
  <c r="AF91" i="3"/>
  <c r="AG91" i="3" s="1"/>
  <c r="N26" i="3"/>
  <c r="H60" i="4"/>
  <c r="G60" i="4"/>
  <c r="E60" i="4"/>
  <c r="D60" i="4"/>
  <c r="C60" i="4"/>
  <c r="K60" i="4"/>
  <c r="J60" i="4"/>
  <c r="I60" i="4"/>
  <c r="M60" i="4"/>
  <c r="L60" i="4"/>
  <c r="F60" i="4"/>
  <c r="B60" i="4"/>
  <c r="P60" i="4"/>
  <c r="O60" i="4"/>
  <c r="N60" i="4"/>
  <c r="T104" i="3"/>
  <c r="U104" i="3" s="1"/>
  <c r="X105" i="3" s="1"/>
  <c r="L39" i="3"/>
  <c r="H126" i="4"/>
  <c r="I125" i="4"/>
  <c r="E126" i="3"/>
  <c r="F126" i="3"/>
  <c r="Z106" i="4"/>
  <c r="AA106" i="4" s="1"/>
  <c r="AD107" i="4" s="1"/>
  <c r="M41" i="4"/>
  <c r="H25" i="3"/>
  <c r="AU90" i="3"/>
  <c r="Q102" i="4"/>
  <c r="R102" i="4"/>
  <c r="AN102" i="3"/>
  <c r="AO102" i="3"/>
  <c r="K123" i="3"/>
  <c r="E37" i="3"/>
  <c r="B126" i="4"/>
  <c r="Y126" i="4" s="1"/>
  <c r="C126" i="4"/>
  <c r="A61" i="4"/>
  <c r="A127" i="4"/>
  <c r="A121" i="5"/>
  <c r="B120" i="5"/>
  <c r="H120" i="5"/>
  <c r="K120" i="5"/>
  <c r="E120" i="5"/>
  <c r="O120" i="5" s="1"/>
  <c r="D120" i="5"/>
  <c r="G120" i="5" s="1"/>
  <c r="J120" i="5" s="1"/>
  <c r="C120" i="5"/>
  <c r="F120" i="5" s="1"/>
  <c r="I120" i="5" s="1"/>
  <c r="AP102" i="4"/>
  <c r="T102" i="4"/>
  <c r="U102" i="4" s="1"/>
  <c r="X103" i="4" s="1"/>
  <c r="L37" i="4"/>
  <c r="M38" i="3"/>
  <c r="Z103" i="3"/>
  <c r="AA103" i="3" s="1"/>
  <c r="S103" i="4"/>
  <c r="G37" i="3"/>
  <c r="AT102" i="3"/>
  <c r="AH88" i="4"/>
  <c r="AE89" i="4"/>
  <c r="F36" i="4"/>
  <c r="AS101" i="4"/>
  <c r="K124" i="4"/>
  <c r="L124" i="4" s="1"/>
  <c r="H125" i="3"/>
  <c r="I124" i="3"/>
  <c r="E61" i="3"/>
  <c r="D61" i="3"/>
  <c r="C61" i="3"/>
  <c r="L61" i="3"/>
  <c r="K61" i="3"/>
  <c r="J61" i="3"/>
  <c r="I61" i="3"/>
  <c r="M61" i="3"/>
  <c r="H61" i="3"/>
  <c r="G61" i="3"/>
  <c r="P61" i="3"/>
  <c r="O61" i="3"/>
  <c r="N61" i="3"/>
  <c r="F61" i="3"/>
  <c r="B61" i="3"/>
  <c r="A128" i="3"/>
  <c r="C127" i="3"/>
  <c r="D127" i="3" s="1"/>
  <c r="A62" i="3"/>
  <c r="B127" i="3"/>
  <c r="Y127" i="3" s="1"/>
  <c r="N123" i="3"/>
  <c r="AS103" i="3"/>
  <c r="N119" i="5"/>
  <c r="L119" i="5"/>
  <c r="M119" i="5"/>
  <c r="O103" i="3"/>
  <c r="P103" i="3" s="1"/>
  <c r="K38" i="3"/>
  <c r="L123" i="3" l="1"/>
  <c r="Z107" i="4"/>
  <c r="AA107" i="4" s="1"/>
  <c r="M42" i="4"/>
  <c r="E37" i="4"/>
  <c r="AR102" i="4"/>
  <c r="N120" i="5"/>
  <c r="M120" i="5"/>
  <c r="L120" i="5"/>
  <c r="I36" i="4"/>
  <c r="AV101" i="4"/>
  <c r="AI88" i="4"/>
  <c r="AJ88" i="4"/>
  <c r="AK89" i="4"/>
  <c r="Q103" i="3"/>
  <c r="R103" i="3"/>
  <c r="P120" i="5"/>
  <c r="G126" i="3"/>
  <c r="C127" i="4"/>
  <c r="B127" i="4"/>
  <c r="Y127" i="4" s="1"/>
  <c r="A128" i="4"/>
  <c r="A62" i="4"/>
  <c r="M123" i="3"/>
  <c r="AQ124" i="3" s="1"/>
  <c r="AB106" i="4"/>
  <c r="AC106" i="4"/>
  <c r="O103" i="4"/>
  <c r="P103" i="4" s="1"/>
  <c r="K38" i="4"/>
  <c r="AB103" i="3"/>
  <c r="AC103" i="3"/>
  <c r="M124" i="4"/>
  <c r="AQ125" i="4" s="1"/>
  <c r="K125" i="4"/>
  <c r="L125" i="4" s="1"/>
  <c r="N124" i="3"/>
  <c r="N125" i="3" s="1"/>
  <c r="V102" i="4"/>
  <c r="W102" i="4"/>
  <c r="H61" i="4"/>
  <c r="G61" i="4"/>
  <c r="I61" i="4"/>
  <c r="F61" i="4"/>
  <c r="E61" i="4"/>
  <c r="P61" i="4"/>
  <c r="O61" i="4"/>
  <c r="N61" i="4"/>
  <c r="M61" i="4"/>
  <c r="L61" i="4"/>
  <c r="K61" i="4"/>
  <c r="J61" i="4"/>
  <c r="C61" i="4"/>
  <c r="D61" i="4"/>
  <c r="B61" i="4"/>
  <c r="I37" i="3"/>
  <c r="AV102" i="3"/>
  <c r="V104" i="3"/>
  <c r="W104" i="3"/>
  <c r="F127" i="3"/>
  <c r="E127" i="3"/>
  <c r="S104" i="3"/>
  <c r="Q120" i="5"/>
  <c r="H126" i="3"/>
  <c r="I125" i="3"/>
  <c r="T103" i="4"/>
  <c r="U103" i="4" s="1"/>
  <c r="L38" i="4"/>
  <c r="T105" i="3"/>
  <c r="U105" i="3" s="1"/>
  <c r="X106" i="3" s="1"/>
  <c r="L40" i="3"/>
  <c r="AN103" i="3"/>
  <c r="AO103" i="3"/>
  <c r="E62" i="3"/>
  <c r="D62" i="3"/>
  <c r="C62" i="3"/>
  <c r="O62" i="3"/>
  <c r="N62" i="3"/>
  <c r="M62" i="3"/>
  <c r="L62" i="3"/>
  <c r="G62" i="3"/>
  <c r="F62" i="3"/>
  <c r="B62" i="3"/>
  <c r="P62" i="3"/>
  <c r="I62" i="3"/>
  <c r="K62" i="3"/>
  <c r="J62" i="3"/>
  <c r="H62" i="3"/>
  <c r="AH91" i="3"/>
  <c r="AE92" i="3"/>
  <c r="C128" i="3"/>
  <c r="D128" i="3" s="1"/>
  <c r="B128" i="3"/>
  <c r="Y128" i="3" s="1"/>
  <c r="A129" i="3"/>
  <c r="A63" i="3"/>
  <c r="K124" i="3"/>
  <c r="A122" i="5"/>
  <c r="B121" i="5"/>
  <c r="K121" i="5"/>
  <c r="H121" i="5"/>
  <c r="E121" i="5"/>
  <c r="P121" i="5" s="1"/>
  <c r="D121" i="5"/>
  <c r="G121" i="5" s="1"/>
  <c r="J121" i="5" s="1"/>
  <c r="C121" i="5"/>
  <c r="F121" i="5" s="1"/>
  <c r="I121" i="5" s="1"/>
  <c r="AD104" i="3"/>
  <c r="H127" i="4"/>
  <c r="I126" i="4"/>
  <c r="AL102" i="4"/>
  <c r="AM102" i="4" s="1"/>
  <c r="AP103" i="4" s="1"/>
  <c r="O37" i="4"/>
  <c r="N125" i="4"/>
  <c r="AP104" i="3"/>
  <c r="AL103" i="4" l="1"/>
  <c r="AM103" i="4" s="1"/>
  <c r="O38" i="4"/>
  <c r="K122" i="5"/>
  <c r="H122" i="5"/>
  <c r="E122" i="5"/>
  <c r="P122" i="5" s="1"/>
  <c r="A123" i="5"/>
  <c r="B122" i="5"/>
  <c r="D122" i="5"/>
  <c r="G122" i="5" s="1"/>
  <c r="J122" i="5" s="1"/>
  <c r="C122" i="5"/>
  <c r="F122" i="5" s="1"/>
  <c r="I122" i="5" s="1"/>
  <c r="AI91" i="3"/>
  <c r="AJ91" i="3"/>
  <c r="AK92" i="3"/>
  <c r="I38" i="3"/>
  <c r="Q103" i="4"/>
  <c r="R103" i="4"/>
  <c r="T106" i="3"/>
  <c r="U106" i="3" s="1"/>
  <c r="L41" i="3"/>
  <c r="E128" i="3"/>
  <c r="F128" i="3"/>
  <c r="Q121" i="5"/>
  <c r="N126" i="4"/>
  <c r="G127" i="3"/>
  <c r="A129" i="4"/>
  <c r="C128" i="4"/>
  <c r="B128" i="4"/>
  <c r="Y128" i="4" s="1"/>
  <c r="A63" i="4"/>
  <c r="G38" i="3"/>
  <c r="AT103" i="3"/>
  <c r="L124" i="3"/>
  <c r="K126" i="4"/>
  <c r="M124" i="3"/>
  <c r="AQ125" i="3" s="1"/>
  <c r="AV103" i="3"/>
  <c r="S104" i="4"/>
  <c r="E63" i="3"/>
  <c r="D63" i="3"/>
  <c r="C63" i="3"/>
  <c r="P63" i="3"/>
  <c r="O63" i="3"/>
  <c r="G63" i="3"/>
  <c r="F63" i="3"/>
  <c r="B63" i="3"/>
  <c r="K63" i="3"/>
  <c r="M63" i="3"/>
  <c r="J63" i="3"/>
  <c r="N63" i="3"/>
  <c r="L63" i="3"/>
  <c r="I63" i="3"/>
  <c r="H63" i="3"/>
  <c r="V103" i="4"/>
  <c r="W103" i="4"/>
  <c r="H62" i="4"/>
  <c r="G62" i="4"/>
  <c r="K62" i="4"/>
  <c r="J62" i="4"/>
  <c r="I62" i="4"/>
  <c r="N62" i="4"/>
  <c r="M62" i="4"/>
  <c r="L62" i="4"/>
  <c r="F62" i="4"/>
  <c r="D62" i="4"/>
  <c r="C62" i="4"/>
  <c r="B62" i="4"/>
  <c r="E62" i="4"/>
  <c r="P62" i="4"/>
  <c r="O62" i="4"/>
  <c r="A64" i="3"/>
  <c r="A130" i="3"/>
  <c r="C129" i="3"/>
  <c r="D129" i="3" s="1"/>
  <c r="B129" i="3"/>
  <c r="Y129" i="3" s="1"/>
  <c r="X104" i="4"/>
  <c r="M125" i="4"/>
  <c r="AQ126" i="4" s="1"/>
  <c r="O121" i="5"/>
  <c r="AN102" i="4"/>
  <c r="AO102" i="4"/>
  <c r="F39" i="3"/>
  <c r="AS105" i="3"/>
  <c r="AS104" i="3"/>
  <c r="H128" i="4"/>
  <c r="I127" i="4"/>
  <c r="AS103" i="4"/>
  <c r="F37" i="4"/>
  <c r="AS102" i="4"/>
  <c r="G41" i="4"/>
  <c r="AT106" i="4"/>
  <c r="AB107" i="4"/>
  <c r="AC107" i="4"/>
  <c r="AF89" i="4"/>
  <c r="AG89" i="4" s="1"/>
  <c r="N24" i="4"/>
  <c r="H23" i="4"/>
  <c r="AU88" i="4"/>
  <c r="N121" i="5"/>
  <c r="M121" i="5"/>
  <c r="L121" i="5"/>
  <c r="K125" i="3"/>
  <c r="L125" i="3" s="1"/>
  <c r="H127" i="3"/>
  <c r="I126" i="3"/>
  <c r="AL104" i="3"/>
  <c r="AM104" i="3" s="1"/>
  <c r="O39" i="3"/>
  <c r="O104" i="3"/>
  <c r="P104" i="3" s="1"/>
  <c r="K39" i="3"/>
  <c r="Z104" i="3"/>
  <c r="AA104" i="3" s="1"/>
  <c r="M39" i="3"/>
  <c r="V105" i="3"/>
  <c r="W105" i="3"/>
  <c r="E38" i="3"/>
  <c r="AR103" i="3"/>
  <c r="AD108" i="4"/>
  <c r="M125" i="3" l="1"/>
  <c r="AQ126" i="3" s="1"/>
  <c r="N127" i="4"/>
  <c r="AB104" i="3"/>
  <c r="AC104" i="3"/>
  <c r="AD105" i="3"/>
  <c r="C130" i="3"/>
  <c r="D130" i="3" s="1"/>
  <c r="B130" i="3"/>
  <c r="Y130" i="3" s="1"/>
  <c r="A65" i="3"/>
  <c r="F38" i="4"/>
  <c r="H63" i="4"/>
  <c r="G63" i="4"/>
  <c r="M63" i="4"/>
  <c r="L63" i="4"/>
  <c r="K63" i="4"/>
  <c r="E63" i="4"/>
  <c r="D63" i="4"/>
  <c r="C63" i="4"/>
  <c r="J63" i="4"/>
  <c r="I63" i="4"/>
  <c r="F63" i="4"/>
  <c r="B63" i="4"/>
  <c r="P63" i="4"/>
  <c r="O63" i="4"/>
  <c r="N63" i="4"/>
  <c r="O122" i="5"/>
  <c r="Q122" i="5"/>
  <c r="H128" i="3"/>
  <c r="I127" i="3"/>
  <c r="A130" i="4"/>
  <c r="C129" i="4"/>
  <c r="B129" i="4"/>
  <c r="Y129" i="4" s="1"/>
  <c r="A64" i="4"/>
  <c r="N126" i="3"/>
  <c r="F129" i="3"/>
  <c r="E129" i="3"/>
  <c r="Q104" i="3"/>
  <c r="R104" i="3"/>
  <c r="H129" i="4"/>
  <c r="I128" i="4"/>
  <c r="S105" i="3"/>
  <c r="V106" i="3"/>
  <c r="W106" i="3"/>
  <c r="O104" i="4"/>
  <c r="P104" i="4" s="1"/>
  <c r="K39" i="4"/>
  <c r="E38" i="4"/>
  <c r="AR103" i="4"/>
  <c r="G42" i="4"/>
  <c r="T104" i="4"/>
  <c r="U104" i="4" s="1"/>
  <c r="L39" i="4"/>
  <c r="AF92" i="3"/>
  <c r="AG92" i="3" s="1"/>
  <c r="N27" i="3"/>
  <c r="K127" i="4"/>
  <c r="L127" i="4" s="1"/>
  <c r="E64" i="3"/>
  <c r="D64" i="3"/>
  <c r="C64" i="3"/>
  <c r="B64" i="3"/>
  <c r="N64" i="3"/>
  <c r="M64" i="3"/>
  <c r="L64" i="3"/>
  <c r="H64" i="3"/>
  <c r="G64" i="3"/>
  <c r="F64" i="3"/>
  <c r="I64" i="3"/>
  <c r="P64" i="3"/>
  <c r="J64" i="3"/>
  <c r="O64" i="3"/>
  <c r="K64" i="3"/>
  <c r="N122" i="5"/>
  <c r="M122" i="5"/>
  <c r="L122" i="5"/>
  <c r="X107" i="3"/>
  <c r="I37" i="4"/>
  <c r="AV102" i="4"/>
  <c r="K126" i="3"/>
  <c r="M126" i="3" s="1"/>
  <c r="AQ127" i="3" s="1"/>
  <c r="AH89" i="4"/>
  <c r="AE90" i="4"/>
  <c r="L126" i="4"/>
  <c r="H26" i="3"/>
  <c r="AU91" i="3"/>
  <c r="AN103" i="4"/>
  <c r="AO103" i="4"/>
  <c r="K123" i="5"/>
  <c r="H123" i="5"/>
  <c r="E123" i="5"/>
  <c r="P123" i="5" s="1"/>
  <c r="D123" i="5"/>
  <c r="G123" i="5" s="1"/>
  <c r="J123" i="5" s="1"/>
  <c r="A124" i="5"/>
  <c r="B123" i="5"/>
  <c r="Q123" i="5"/>
  <c r="C123" i="5"/>
  <c r="F123" i="5" s="1"/>
  <c r="I123" i="5" s="1"/>
  <c r="G128" i="3"/>
  <c r="AN104" i="3"/>
  <c r="AO104" i="3"/>
  <c r="AP105" i="3"/>
  <c r="M43" i="4"/>
  <c r="Z108" i="4"/>
  <c r="AA108" i="4" s="1"/>
  <c r="F40" i="3"/>
  <c r="AT107" i="4"/>
  <c r="M126" i="4"/>
  <c r="AQ127" i="4" s="1"/>
  <c r="AP104" i="4"/>
  <c r="N128" i="4" l="1"/>
  <c r="N127" i="3"/>
  <c r="AL105" i="3"/>
  <c r="AM105" i="3" s="1"/>
  <c r="O40" i="3"/>
  <c r="H129" i="3"/>
  <c r="I128" i="3"/>
  <c r="T107" i="3"/>
  <c r="U107" i="3" s="1"/>
  <c r="X108" i="3" s="1"/>
  <c r="L42" i="3"/>
  <c r="F130" i="3"/>
  <c r="E130" i="3"/>
  <c r="G130" i="3" s="1"/>
  <c r="B47" i="2"/>
  <c r="F41" i="3"/>
  <c r="AS107" i="3"/>
  <c r="V104" i="4"/>
  <c r="W104" i="4"/>
  <c r="N129" i="4"/>
  <c r="I39" i="3"/>
  <c r="AV104" i="3"/>
  <c r="G129" i="3"/>
  <c r="E65" i="3"/>
  <c r="D65" i="3"/>
  <c r="C65" i="3"/>
  <c r="H65" i="3"/>
  <c r="G65" i="3"/>
  <c r="F65" i="3"/>
  <c r="B65" i="3"/>
  <c r="N65" i="3"/>
  <c r="M65" i="3"/>
  <c r="L65" i="3"/>
  <c r="P65" i="3"/>
  <c r="O65" i="3"/>
  <c r="K65" i="3"/>
  <c r="J65" i="3"/>
  <c r="I65" i="3"/>
  <c r="H64" i="4"/>
  <c r="G64" i="4"/>
  <c r="O64" i="4"/>
  <c r="N64" i="4"/>
  <c r="M64" i="4"/>
  <c r="L64" i="4"/>
  <c r="K64" i="4"/>
  <c r="J64" i="4"/>
  <c r="P64" i="4"/>
  <c r="I64" i="4"/>
  <c r="B64" i="4"/>
  <c r="D64" i="4"/>
  <c r="E64" i="4"/>
  <c r="C64" i="4"/>
  <c r="F64" i="4"/>
  <c r="AL104" i="4"/>
  <c r="AM104" i="4" s="1"/>
  <c r="AP105" i="4" s="1"/>
  <c r="O39" i="4"/>
  <c r="AI89" i="4"/>
  <c r="AJ89" i="4"/>
  <c r="AK90" i="4"/>
  <c r="M127" i="4"/>
  <c r="AQ128" i="4" s="1"/>
  <c r="AS106" i="3"/>
  <c r="AH92" i="3"/>
  <c r="AE93" i="3"/>
  <c r="K128" i="4"/>
  <c r="L128" i="4" s="1"/>
  <c r="C130" i="4"/>
  <c r="B130" i="4"/>
  <c r="Y130" i="4" s="1"/>
  <c r="A65" i="4"/>
  <c r="AD106" i="3"/>
  <c r="M40" i="3"/>
  <c r="Z105" i="3"/>
  <c r="AA105" i="3" s="1"/>
  <c r="I38" i="4"/>
  <c r="X105" i="4"/>
  <c r="Q104" i="4"/>
  <c r="R104" i="4"/>
  <c r="K124" i="5"/>
  <c r="E124" i="5"/>
  <c r="D124" i="5"/>
  <c r="G124" i="5" s="1"/>
  <c r="C124" i="5"/>
  <c r="F124" i="5" s="1"/>
  <c r="B124" i="5"/>
  <c r="H124" i="5"/>
  <c r="P124" i="5" s="1"/>
  <c r="C14" i="5" s="1"/>
  <c r="N123" i="5"/>
  <c r="M123" i="5"/>
  <c r="L123" i="5"/>
  <c r="O123" i="5"/>
  <c r="H130" i="4"/>
  <c r="I130" i="4" s="1"/>
  <c r="I129" i="4"/>
  <c r="G39" i="3"/>
  <c r="AT104" i="3"/>
  <c r="AV103" i="4"/>
  <c r="L126" i="3"/>
  <c r="S105" i="4"/>
  <c r="O105" i="3"/>
  <c r="P105" i="3" s="1"/>
  <c r="K40" i="3"/>
  <c r="AB108" i="4"/>
  <c r="AC108" i="4"/>
  <c r="AD109" i="4"/>
  <c r="E39" i="3"/>
  <c r="AR104" i="3"/>
  <c r="K127" i="3"/>
  <c r="L127" i="3" s="1"/>
  <c r="O124" i="5" l="1"/>
  <c r="C13" i="5" s="1"/>
  <c r="AL105" i="4"/>
  <c r="AM105" i="4" s="1"/>
  <c r="O40" i="4"/>
  <c r="T108" i="3"/>
  <c r="U108" i="3" s="1"/>
  <c r="X109" i="3" s="1"/>
  <c r="L43" i="3"/>
  <c r="Q105" i="3"/>
  <c r="R105" i="3"/>
  <c r="AI92" i="3"/>
  <c r="AJ92" i="3"/>
  <c r="AK93" i="3"/>
  <c r="N128" i="3"/>
  <c r="H24" i="4"/>
  <c r="AU89" i="4"/>
  <c r="K129" i="4"/>
  <c r="L129" i="4" s="1"/>
  <c r="K128" i="3"/>
  <c r="M128" i="3" s="1"/>
  <c r="AQ129" i="3" s="1"/>
  <c r="T105" i="4"/>
  <c r="U105" i="4" s="1"/>
  <c r="L40" i="4"/>
  <c r="M128" i="4"/>
  <c r="AQ129" i="4" s="1"/>
  <c r="H130" i="3"/>
  <c r="I130" i="3" s="1"/>
  <c r="I129" i="3"/>
  <c r="M41" i="3"/>
  <c r="Z106" i="3"/>
  <c r="AA106" i="3" s="1"/>
  <c r="F39" i="4"/>
  <c r="AS104" i="4"/>
  <c r="Q124" i="5"/>
  <c r="C15" i="5" s="1"/>
  <c r="O105" i="4"/>
  <c r="P105" i="4" s="1"/>
  <c r="S106" i="4" s="1"/>
  <c r="K40" i="4"/>
  <c r="H65" i="4"/>
  <c r="G65" i="4"/>
  <c r="P65" i="4"/>
  <c r="O65" i="4"/>
  <c r="E65" i="4"/>
  <c r="D65" i="4"/>
  <c r="C65" i="4"/>
  <c r="B65" i="4"/>
  <c r="F65" i="4"/>
  <c r="J65" i="4"/>
  <c r="K65" i="4"/>
  <c r="I65" i="4"/>
  <c r="N65" i="4"/>
  <c r="M65" i="4"/>
  <c r="L65" i="4"/>
  <c r="J124" i="5"/>
  <c r="B7" i="5" s="1"/>
  <c r="C12" i="5" s="1"/>
  <c r="E39" i="4"/>
  <c r="AR104" i="4"/>
  <c r="K130" i="4"/>
  <c r="Z109" i="4"/>
  <c r="AA109" i="4" s="1"/>
  <c r="AD110" i="4" s="1"/>
  <c r="M44" i="4"/>
  <c r="B48" i="2"/>
  <c r="A4" i="3" s="1"/>
  <c r="E53" i="2"/>
  <c r="F53" i="2"/>
  <c r="C53" i="2"/>
  <c r="D53" i="2"/>
  <c r="AN104" i="4"/>
  <c r="AO104" i="4"/>
  <c r="AN105" i="3"/>
  <c r="AO105" i="3"/>
  <c r="S106" i="3"/>
  <c r="I124" i="5"/>
  <c r="B6" i="5" s="1"/>
  <c r="B8" i="5" s="1"/>
  <c r="B9" i="5" s="1"/>
  <c r="M127" i="3"/>
  <c r="AQ128" i="3" s="1"/>
  <c r="N124" i="5"/>
  <c r="C43" i="5" s="1"/>
  <c r="M124" i="5"/>
  <c r="C42" i="5" s="1"/>
  <c r="L124" i="5"/>
  <c r="C41" i="5" s="1"/>
  <c r="AF90" i="4"/>
  <c r="AG90" i="4" s="1"/>
  <c r="N25" i="4"/>
  <c r="V107" i="3"/>
  <c r="W107" i="3"/>
  <c r="G43" i="4"/>
  <c r="AT108" i="4"/>
  <c r="AB105" i="3"/>
  <c r="AC105" i="3"/>
  <c r="AP106" i="3"/>
  <c r="N129" i="3" l="1"/>
  <c r="Z110" i="4"/>
  <c r="AA110" i="4" s="1"/>
  <c r="M45" i="4"/>
  <c r="O106" i="4"/>
  <c r="P106" i="4" s="1"/>
  <c r="K41" i="4"/>
  <c r="T109" i="3"/>
  <c r="U109" i="3" s="1"/>
  <c r="L44" i="3"/>
  <c r="AB106" i="3"/>
  <c r="AC106" i="3"/>
  <c r="AT106" i="3" s="1"/>
  <c r="AD107" i="3"/>
  <c r="K129" i="3"/>
  <c r="L129" i="3" s="1"/>
  <c r="AL106" i="3"/>
  <c r="AM106" i="3" s="1"/>
  <c r="O41" i="3"/>
  <c r="N130" i="4"/>
  <c r="L130" i="4" s="1"/>
  <c r="V105" i="4"/>
  <c r="W105" i="4"/>
  <c r="K130" i="3"/>
  <c r="E40" i="3"/>
  <c r="AR105" i="3"/>
  <c r="O106" i="3"/>
  <c r="P106" i="3" s="1"/>
  <c r="S107" i="3" s="1"/>
  <c r="K41" i="3"/>
  <c r="I40" i="3"/>
  <c r="AV105" i="3"/>
  <c r="V108" i="3"/>
  <c r="W108" i="3"/>
  <c r="I39" i="4"/>
  <c r="AV104" i="4"/>
  <c r="X106" i="4"/>
  <c r="C49" i="5"/>
  <c r="D49" i="5" s="1"/>
  <c r="C52" i="5"/>
  <c r="D52" i="5" s="1"/>
  <c r="C50" i="5"/>
  <c r="D50" i="5" s="1"/>
  <c r="C48" i="5"/>
  <c r="D48" i="5" s="1"/>
  <c r="C51" i="5"/>
  <c r="D51" i="5" s="1"/>
  <c r="C53" i="5"/>
  <c r="D53" i="5" s="1"/>
  <c r="D63" i="2"/>
  <c r="F63" i="2"/>
  <c r="E63" i="2"/>
  <c r="C63" i="2"/>
  <c r="AF93" i="3"/>
  <c r="AG93" i="3" s="1"/>
  <c r="AH93" i="3" s="1"/>
  <c r="AK94" i="3" s="1"/>
  <c r="N28" i="3"/>
  <c r="AH90" i="4"/>
  <c r="AE91" i="4"/>
  <c r="L128" i="3"/>
  <c r="AN105" i="4"/>
  <c r="AO105" i="4"/>
  <c r="N130" i="3"/>
  <c r="M130" i="3" s="1"/>
  <c r="G40" i="3"/>
  <c r="AT105" i="3"/>
  <c r="AB109" i="4"/>
  <c r="AC109" i="4"/>
  <c r="H27" i="3"/>
  <c r="AU92" i="3"/>
  <c r="AS108" i="3"/>
  <c r="F42" i="3"/>
  <c r="Q105" i="4"/>
  <c r="R105" i="4"/>
  <c r="M129" i="4"/>
  <c r="AQ130" i="4" s="1"/>
  <c r="G63" i="2" s="1"/>
  <c r="AP106" i="4"/>
  <c r="O107" i="3" l="1"/>
  <c r="P107" i="3" s="1"/>
  <c r="K42" i="3"/>
  <c r="M130" i="4"/>
  <c r="AN106" i="3"/>
  <c r="AO106" i="3"/>
  <c r="AP107" i="3"/>
  <c r="Q106" i="4"/>
  <c r="R106" i="4"/>
  <c r="AR106" i="4"/>
  <c r="E40" i="4"/>
  <c r="AR105" i="4"/>
  <c r="N29" i="3"/>
  <c r="AE94" i="3"/>
  <c r="AF94" i="3" s="1"/>
  <c r="AG94" i="3" s="1"/>
  <c r="T106" i="4"/>
  <c r="U106" i="4" s="1"/>
  <c r="L41" i="4"/>
  <c r="S107" i="4"/>
  <c r="AI93" i="3"/>
  <c r="AJ93" i="3"/>
  <c r="F43" i="3"/>
  <c r="AS109" i="3"/>
  <c r="I40" i="4"/>
  <c r="Z107" i="3"/>
  <c r="AA107" i="3" s="1"/>
  <c r="M42" i="3"/>
  <c r="AL106" i="4"/>
  <c r="AM106" i="4" s="1"/>
  <c r="O41" i="4"/>
  <c r="Q106" i="3"/>
  <c r="R106" i="3"/>
  <c r="M129" i="3"/>
  <c r="AQ130" i="3" s="1"/>
  <c r="G53" i="2" s="1"/>
  <c r="AB110" i="4"/>
  <c r="AC110" i="4"/>
  <c r="AT110" i="4" s="1"/>
  <c r="G41" i="3"/>
  <c r="F40" i="4"/>
  <c r="AS105" i="4"/>
  <c r="G44" i="4"/>
  <c r="AT109" i="4"/>
  <c r="V109" i="3"/>
  <c r="W109" i="3"/>
  <c r="X110" i="3"/>
  <c r="AI90" i="4"/>
  <c r="AJ90" i="4"/>
  <c r="AK91" i="4"/>
  <c r="AV105" i="4"/>
  <c r="L130" i="3"/>
  <c r="AD111" i="4"/>
  <c r="AH94" i="3" l="1"/>
  <c r="AE95" i="3"/>
  <c r="AB107" i="3"/>
  <c r="AC107" i="3"/>
  <c r="AS110" i="3"/>
  <c r="F44" i="3"/>
  <c r="E41" i="3"/>
  <c r="AR106" i="3"/>
  <c r="O107" i="4"/>
  <c r="P107" i="4" s="1"/>
  <c r="K42" i="4"/>
  <c r="AF91" i="4"/>
  <c r="AG91" i="4" s="1"/>
  <c r="N26" i="4"/>
  <c r="AD108" i="3"/>
  <c r="Z111" i="4"/>
  <c r="AA111" i="4" s="1"/>
  <c r="AD112" i="4" s="1"/>
  <c r="M46" i="4"/>
  <c r="E41" i="4"/>
  <c r="AN106" i="4"/>
  <c r="AO106" i="4"/>
  <c r="H25" i="4"/>
  <c r="AU90" i="4"/>
  <c r="I41" i="3"/>
  <c r="AV106" i="3"/>
  <c r="AP107" i="4"/>
  <c r="V106" i="4"/>
  <c r="W106" i="4"/>
  <c r="Q107" i="3"/>
  <c r="R107" i="3"/>
  <c r="AR107" i="3" s="1"/>
  <c r="T110" i="3"/>
  <c r="U110" i="3" s="1"/>
  <c r="L45" i="3"/>
  <c r="G45" i="4"/>
  <c r="AL107" i="3"/>
  <c r="AM107" i="3" s="1"/>
  <c r="AP108" i="3" s="1"/>
  <c r="O42" i="3"/>
  <c r="H28" i="3"/>
  <c r="AU93" i="3"/>
  <c r="X107" i="4"/>
  <c r="S108" i="3"/>
  <c r="M47" i="4" l="1"/>
  <c r="Z112" i="4"/>
  <c r="AA112" i="4" s="1"/>
  <c r="AD113" i="4" s="1"/>
  <c r="AL108" i="3"/>
  <c r="AM108" i="3" s="1"/>
  <c r="O43" i="3"/>
  <c r="AH91" i="4"/>
  <c r="AE92" i="4"/>
  <c r="V110" i="3"/>
  <c r="W110" i="3"/>
  <c r="F41" i="4"/>
  <c r="AS106" i="4"/>
  <c r="I41" i="4"/>
  <c r="AV106" i="4"/>
  <c r="Q107" i="4"/>
  <c r="R107" i="4"/>
  <c r="AN107" i="3"/>
  <c r="AO107" i="3"/>
  <c r="X111" i="3"/>
  <c r="AB111" i="4"/>
  <c r="AC111" i="4"/>
  <c r="E42" i="3"/>
  <c r="M43" i="3"/>
  <c r="Z108" i="3"/>
  <c r="AA108" i="3" s="1"/>
  <c r="O108" i="3"/>
  <c r="P108" i="3" s="1"/>
  <c r="K43" i="3"/>
  <c r="G42" i="3"/>
  <c r="AT107" i="3"/>
  <c r="T107" i="4"/>
  <c r="U107" i="4" s="1"/>
  <c r="L42" i="4"/>
  <c r="AL107" i="4"/>
  <c r="AM107" i="4" s="1"/>
  <c r="AP108" i="4" s="1"/>
  <c r="O42" i="4"/>
  <c r="S108" i="4"/>
  <c r="AI94" i="3"/>
  <c r="AJ94" i="3"/>
  <c r="AK95" i="3"/>
  <c r="AL108" i="4" l="1"/>
  <c r="AM108" i="4" s="1"/>
  <c r="O43" i="4"/>
  <c r="AB108" i="3"/>
  <c r="AC108" i="3"/>
  <c r="AF95" i="3"/>
  <c r="AG95" i="3" s="1"/>
  <c r="N30" i="3"/>
  <c r="AV108" i="3"/>
  <c r="I42" i="3"/>
  <c r="AV107" i="3"/>
  <c r="Q108" i="3"/>
  <c r="R108" i="3"/>
  <c r="S109" i="3"/>
  <c r="AI91" i="4"/>
  <c r="AJ91" i="4"/>
  <c r="AK92" i="4"/>
  <c r="AN108" i="3"/>
  <c r="AO108" i="3"/>
  <c r="AD109" i="3"/>
  <c r="E42" i="4"/>
  <c r="AR107" i="4"/>
  <c r="AP109" i="3"/>
  <c r="V107" i="4"/>
  <c r="W107" i="4"/>
  <c r="AB112" i="4"/>
  <c r="I66" i="2" s="1"/>
  <c r="AC112" i="4"/>
  <c r="AT112" i="4" s="1"/>
  <c r="T111" i="3"/>
  <c r="U111" i="3" s="1"/>
  <c r="L46" i="3"/>
  <c r="O108" i="4"/>
  <c r="P108" i="4" s="1"/>
  <c r="K43" i="4"/>
  <c r="F45" i="3"/>
  <c r="AS111" i="3"/>
  <c r="X108" i="4"/>
  <c r="G46" i="4"/>
  <c r="AT111" i="4"/>
  <c r="H29" i="3"/>
  <c r="AU94" i="3"/>
  <c r="AN107" i="4"/>
  <c r="AO107" i="4"/>
  <c r="H66" i="2"/>
  <c r="Z113" i="4"/>
  <c r="AA113" i="4" s="1"/>
  <c r="V111" i="3" l="1"/>
  <c r="W111" i="3"/>
  <c r="X112" i="3"/>
  <c r="E43" i="3"/>
  <c r="AR108" i="3"/>
  <c r="AB113" i="4"/>
  <c r="AC113" i="4"/>
  <c r="AT114" i="4" s="1"/>
  <c r="G47" i="4"/>
  <c r="D66" i="2" s="1"/>
  <c r="AT113" i="4"/>
  <c r="AD114" i="4"/>
  <c r="F42" i="4"/>
  <c r="AS107" i="4"/>
  <c r="Q108" i="4"/>
  <c r="R108" i="4"/>
  <c r="I42" i="4"/>
  <c r="AV107" i="4"/>
  <c r="M44" i="3"/>
  <c r="Z109" i="3"/>
  <c r="AA109" i="3" s="1"/>
  <c r="O109" i="3"/>
  <c r="P109" i="3" s="1"/>
  <c r="S110" i="3" s="1"/>
  <c r="K44" i="3"/>
  <c r="S109" i="4"/>
  <c r="AH95" i="3"/>
  <c r="AE96" i="3"/>
  <c r="G43" i="3"/>
  <c r="AT108" i="3"/>
  <c r="I43" i="3"/>
  <c r="C66" i="2"/>
  <c r="F66" i="2"/>
  <c r="E66" i="2"/>
  <c r="T108" i="4"/>
  <c r="U108" i="4" s="1"/>
  <c r="L43" i="4"/>
  <c r="AL109" i="3"/>
  <c r="AM109" i="3" s="1"/>
  <c r="O44" i="3"/>
  <c r="AN108" i="4"/>
  <c r="AO108" i="4"/>
  <c r="H26" i="4"/>
  <c r="AU91" i="4"/>
  <c r="AF92" i="4"/>
  <c r="AG92" i="4" s="1"/>
  <c r="N27" i="4"/>
  <c r="AP109" i="4"/>
  <c r="O110" i="3" l="1"/>
  <c r="P110" i="3" s="1"/>
  <c r="S111" i="3" s="1"/>
  <c r="K45" i="3"/>
  <c r="I43" i="4"/>
  <c r="AV108" i="4"/>
  <c r="AN109" i="3"/>
  <c r="AO109" i="3"/>
  <c r="O109" i="4"/>
  <c r="P109" i="4" s="1"/>
  <c r="K44" i="4"/>
  <c r="AP110" i="3"/>
  <c r="T112" i="3"/>
  <c r="U112" i="3" s="1"/>
  <c r="L47" i="3"/>
  <c r="AH92" i="4"/>
  <c r="AE93" i="4"/>
  <c r="V108" i="4"/>
  <c r="W108" i="4"/>
  <c r="AB109" i="3"/>
  <c r="AC109" i="3"/>
  <c r="AD110" i="3"/>
  <c r="AL109" i="4"/>
  <c r="AM109" i="4" s="1"/>
  <c r="AP110" i="4" s="1"/>
  <c r="O44" i="4"/>
  <c r="E43" i="4"/>
  <c r="AR108" i="4"/>
  <c r="AS112" i="3"/>
  <c r="F46" i="3"/>
  <c r="Q109" i="3"/>
  <c r="R109" i="3"/>
  <c r="Z114" i="4"/>
  <c r="AA114" i="4" s="1"/>
  <c r="X109" i="4"/>
  <c r="AI95" i="3"/>
  <c r="AJ95" i="3"/>
  <c r="AK96" i="3"/>
  <c r="AL110" i="4" l="1"/>
  <c r="AM110" i="4" s="1"/>
  <c r="O45" i="4"/>
  <c r="Z110" i="3"/>
  <c r="AA110" i="3" s="1"/>
  <c r="M45" i="3"/>
  <c r="G44" i="3"/>
  <c r="AT109" i="3"/>
  <c r="T109" i="4"/>
  <c r="U109" i="4" s="1"/>
  <c r="L44" i="4"/>
  <c r="AI92" i="4"/>
  <c r="AJ92" i="4"/>
  <c r="AK93" i="4"/>
  <c r="H30" i="3"/>
  <c r="AU95" i="3"/>
  <c r="AB114" i="4"/>
  <c r="AC114" i="4"/>
  <c r="AT115" i="4" s="1"/>
  <c r="F43" i="4"/>
  <c r="AS108" i="4"/>
  <c r="Q110" i="3"/>
  <c r="R110" i="3"/>
  <c r="AL110" i="3"/>
  <c r="AM110" i="3" s="1"/>
  <c r="O45" i="3"/>
  <c r="AN109" i="4"/>
  <c r="AO109" i="4"/>
  <c r="AF96" i="3"/>
  <c r="AG96" i="3" s="1"/>
  <c r="N31" i="3"/>
  <c r="Q109" i="4"/>
  <c r="R109" i="4"/>
  <c r="E44" i="3"/>
  <c r="AR109" i="3"/>
  <c r="V112" i="3"/>
  <c r="I55" i="2" s="1"/>
  <c r="W112" i="3"/>
  <c r="O111" i="3"/>
  <c r="P111" i="3" s="1"/>
  <c r="S112" i="3" s="1"/>
  <c r="K46" i="3"/>
  <c r="S110" i="4"/>
  <c r="AD115" i="4"/>
  <c r="I44" i="3"/>
  <c r="AV109" i="3"/>
  <c r="X113" i="3"/>
  <c r="O112" i="3" l="1"/>
  <c r="P112" i="3" s="1"/>
  <c r="K47" i="3"/>
  <c r="V109" i="4"/>
  <c r="W109" i="4"/>
  <c r="E45" i="3"/>
  <c r="AR110" i="3"/>
  <c r="E44" i="4"/>
  <c r="AR109" i="4"/>
  <c r="AB110" i="3"/>
  <c r="AC110" i="3"/>
  <c r="AD111" i="3"/>
  <c r="F47" i="3"/>
  <c r="AS113" i="3"/>
  <c r="AN110" i="3"/>
  <c r="AO110" i="3"/>
  <c r="AP111" i="3"/>
  <c r="X110" i="4"/>
  <c r="AH96" i="3"/>
  <c r="AE97" i="3"/>
  <c r="Q111" i="3"/>
  <c r="R111" i="3"/>
  <c r="AF93" i="4"/>
  <c r="AG93" i="4" s="1"/>
  <c r="N28" i="4"/>
  <c r="H27" i="4"/>
  <c r="AU92" i="4"/>
  <c r="I44" i="4"/>
  <c r="AV109" i="4"/>
  <c r="AN110" i="4"/>
  <c r="AO110" i="4"/>
  <c r="AV110" i="4" s="1"/>
  <c r="H55" i="2"/>
  <c r="T113" i="3"/>
  <c r="U113" i="3" s="1"/>
  <c r="X114" i="3" s="1"/>
  <c r="Z115" i="4"/>
  <c r="AA115" i="4" s="1"/>
  <c r="O110" i="4"/>
  <c r="P110" i="4" s="1"/>
  <c r="K45" i="4"/>
  <c r="AP111" i="4"/>
  <c r="F55" i="2" l="1"/>
  <c r="C55" i="2"/>
  <c r="D55" i="2"/>
  <c r="E55" i="2"/>
  <c r="Z111" i="3"/>
  <c r="AA111" i="3" s="1"/>
  <c r="M46" i="3"/>
  <c r="F44" i="4"/>
  <c r="AS109" i="4"/>
  <c r="V113" i="3"/>
  <c r="W113" i="3"/>
  <c r="AS114" i="3" s="1"/>
  <c r="AL111" i="3"/>
  <c r="AM111" i="3" s="1"/>
  <c r="O46" i="3"/>
  <c r="I45" i="4"/>
  <c r="AL111" i="4"/>
  <c r="AM111" i="4" s="1"/>
  <c r="O46" i="4"/>
  <c r="I45" i="3"/>
  <c r="AV110" i="3"/>
  <c r="Q112" i="3"/>
  <c r="I54" i="2" s="1"/>
  <c r="R112" i="3"/>
  <c r="AR112" i="3"/>
  <c r="E46" i="3"/>
  <c r="G45" i="3"/>
  <c r="AT110" i="3"/>
  <c r="Q110" i="4"/>
  <c r="R110" i="4"/>
  <c r="AI96" i="3"/>
  <c r="AJ96" i="3"/>
  <c r="AK97" i="3"/>
  <c r="S111" i="4"/>
  <c r="T110" i="4"/>
  <c r="U110" i="4" s="1"/>
  <c r="L45" i="4"/>
  <c r="AB115" i="4"/>
  <c r="AC115" i="4"/>
  <c r="AT116" i="4" s="1"/>
  <c r="AR111" i="3"/>
  <c r="AD116" i="4"/>
  <c r="T114" i="3"/>
  <c r="U114" i="3" s="1"/>
  <c r="X115" i="3" s="1"/>
  <c r="AH93" i="4"/>
  <c r="AE94" i="4"/>
  <c r="S113" i="3"/>
  <c r="T115" i="3" l="1"/>
  <c r="U115" i="3" s="1"/>
  <c r="AF97" i="3"/>
  <c r="AG97" i="3" s="1"/>
  <c r="N32" i="3"/>
  <c r="AN111" i="4"/>
  <c r="AO111" i="4"/>
  <c r="AP112" i="4"/>
  <c r="AN111" i="3"/>
  <c r="AO111" i="3"/>
  <c r="O111" i="4"/>
  <c r="P111" i="4" s="1"/>
  <c r="K46" i="4"/>
  <c r="E45" i="4"/>
  <c r="AR110" i="4"/>
  <c r="AB111" i="3"/>
  <c r="AC111" i="3"/>
  <c r="AD112" i="3"/>
  <c r="Z116" i="4"/>
  <c r="AA116" i="4" s="1"/>
  <c r="V110" i="4"/>
  <c r="W110" i="4"/>
  <c r="H31" i="3"/>
  <c r="AU96" i="3"/>
  <c r="H54" i="2"/>
  <c r="O113" i="3"/>
  <c r="P113" i="3" s="1"/>
  <c r="AI93" i="4"/>
  <c r="AJ93" i="4"/>
  <c r="AK94" i="4"/>
  <c r="V114" i="3"/>
  <c r="W114" i="3"/>
  <c r="AS115" i="3" s="1"/>
  <c r="AP112" i="3"/>
  <c r="AR113" i="3"/>
  <c r="E47" i="3"/>
  <c r="X111" i="4"/>
  <c r="I46" i="4" l="1"/>
  <c r="AV111" i="4"/>
  <c r="AB116" i="4"/>
  <c r="AC116" i="4"/>
  <c r="AT117" i="4" s="1"/>
  <c r="AH97" i="3"/>
  <c r="AE98" i="3"/>
  <c r="AF94" i="4"/>
  <c r="AG94" i="4" s="1"/>
  <c r="N29" i="4"/>
  <c r="Q111" i="4"/>
  <c r="R111" i="4"/>
  <c r="AL112" i="4"/>
  <c r="AM112" i="4" s="1"/>
  <c r="O47" i="4"/>
  <c r="T111" i="4"/>
  <c r="U111" i="4" s="1"/>
  <c r="X112" i="4" s="1"/>
  <c r="L46" i="4"/>
  <c r="AD117" i="4"/>
  <c r="AL112" i="3"/>
  <c r="AM112" i="3" s="1"/>
  <c r="O47" i="3"/>
  <c r="Z112" i="3"/>
  <c r="AA112" i="3" s="1"/>
  <c r="M47" i="3"/>
  <c r="Q113" i="3"/>
  <c r="R113" i="3"/>
  <c r="AR114" i="3" s="1"/>
  <c r="S114" i="3"/>
  <c r="I46" i="3"/>
  <c r="AV111" i="3"/>
  <c r="V115" i="3"/>
  <c r="W115" i="3"/>
  <c r="AS116" i="3" s="1"/>
  <c r="H28" i="4"/>
  <c r="AU93" i="4"/>
  <c r="S112" i="4"/>
  <c r="F45" i="4"/>
  <c r="AS110" i="4"/>
  <c r="C54" i="2"/>
  <c r="E54" i="2"/>
  <c r="F54" i="2"/>
  <c r="D54" i="2"/>
  <c r="G46" i="3"/>
  <c r="AT111" i="3"/>
  <c r="X116" i="3"/>
  <c r="AN112" i="4" l="1"/>
  <c r="I68" i="2" s="1"/>
  <c r="AO112" i="4"/>
  <c r="AP113" i="4"/>
  <c r="O114" i="3"/>
  <c r="P114" i="3" s="1"/>
  <c r="S115" i="3" s="1"/>
  <c r="E46" i="4"/>
  <c r="AR111" i="4"/>
  <c r="AN112" i="3"/>
  <c r="I58" i="2" s="1"/>
  <c r="AO112" i="3"/>
  <c r="AP113" i="3"/>
  <c r="T116" i="3"/>
  <c r="U116" i="3" s="1"/>
  <c r="AB112" i="3"/>
  <c r="I56" i="2" s="1"/>
  <c r="AC112" i="3"/>
  <c r="AD113" i="3"/>
  <c r="AI97" i="3"/>
  <c r="AJ97" i="3"/>
  <c r="AK98" i="3"/>
  <c r="O112" i="4"/>
  <c r="P112" i="4" s="1"/>
  <c r="K47" i="4"/>
  <c r="Z117" i="4"/>
  <c r="AA117" i="4" s="1"/>
  <c r="T112" i="4"/>
  <c r="U112" i="4" s="1"/>
  <c r="L47" i="4"/>
  <c r="AH94" i="4"/>
  <c r="AE95" i="4"/>
  <c r="V111" i="4"/>
  <c r="W111" i="4"/>
  <c r="O115" i="3" l="1"/>
  <c r="P115" i="3" s="1"/>
  <c r="V116" i="3"/>
  <c r="W116" i="3"/>
  <c r="AS117" i="3" s="1"/>
  <c r="I47" i="3"/>
  <c r="AV113" i="3"/>
  <c r="AV112" i="3"/>
  <c r="AI94" i="4"/>
  <c r="AJ94" i="4"/>
  <c r="AK95" i="4"/>
  <c r="Q112" i="4"/>
  <c r="I64" i="2" s="1"/>
  <c r="R112" i="4"/>
  <c r="AF98" i="3"/>
  <c r="AG98" i="3" s="1"/>
  <c r="N33" i="3"/>
  <c r="H68" i="2"/>
  <c r="AL113" i="4"/>
  <c r="AM113" i="4" s="1"/>
  <c r="AP114" i="4" s="1"/>
  <c r="AB117" i="4"/>
  <c r="AC117" i="4"/>
  <c r="AT118" i="4" s="1"/>
  <c r="AD118" i="4"/>
  <c r="Q114" i="3"/>
  <c r="R114" i="3"/>
  <c r="AR115" i="3" s="1"/>
  <c r="S113" i="4"/>
  <c r="F46" i="4"/>
  <c r="AS111" i="4"/>
  <c r="H32" i="3"/>
  <c r="AU97" i="3"/>
  <c r="I47" i="4"/>
  <c r="AV113" i="4"/>
  <c r="AV112" i="4"/>
  <c r="H56" i="2"/>
  <c r="Z113" i="3"/>
  <c r="AA113" i="3" s="1"/>
  <c r="AT113" i="3"/>
  <c r="G47" i="3"/>
  <c r="AT112" i="3"/>
  <c r="V112" i="4"/>
  <c r="I65" i="2" s="1"/>
  <c r="W112" i="4"/>
  <c r="X113" i="4"/>
  <c r="X117" i="3"/>
  <c r="H58" i="2"/>
  <c r="AL113" i="3"/>
  <c r="AM113" i="3" s="1"/>
  <c r="AL114" i="4" l="1"/>
  <c r="AM114" i="4" s="1"/>
  <c r="AP115" i="4" s="1"/>
  <c r="AF95" i="4"/>
  <c r="AG95" i="4" s="1"/>
  <c r="N30" i="4"/>
  <c r="H29" i="4"/>
  <c r="AU94" i="4"/>
  <c r="D56" i="2"/>
  <c r="F56" i="2"/>
  <c r="C56" i="2"/>
  <c r="E56" i="2"/>
  <c r="AH98" i="3"/>
  <c r="AE99" i="3"/>
  <c r="AR113" i="4"/>
  <c r="E47" i="4"/>
  <c r="AR112" i="4"/>
  <c r="H65" i="2"/>
  <c r="T113" i="4"/>
  <c r="U113" i="4" s="1"/>
  <c r="F47" i="4"/>
  <c r="AS113" i="4"/>
  <c r="H64" i="2"/>
  <c r="O113" i="4"/>
  <c r="P113" i="4" s="1"/>
  <c r="Z118" i="4"/>
  <c r="AA118" i="4" s="1"/>
  <c r="AB113" i="3"/>
  <c r="AC113" i="3"/>
  <c r="AT114" i="3" s="1"/>
  <c r="AN113" i="3"/>
  <c r="AO113" i="3"/>
  <c r="AV114" i="3" s="1"/>
  <c r="T117" i="3"/>
  <c r="U117" i="3" s="1"/>
  <c r="X118" i="3" s="1"/>
  <c r="AS112" i="4"/>
  <c r="AD114" i="3"/>
  <c r="Q115" i="3"/>
  <c r="R115" i="3"/>
  <c r="AR116" i="3" s="1"/>
  <c r="E68" i="2"/>
  <c r="F68" i="2"/>
  <c r="C68" i="2"/>
  <c r="D68" i="2"/>
  <c r="AP114" i="3"/>
  <c r="F58" i="2"/>
  <c r="D58" i="2"/>
  <c r="C58" i="2"/>
  <c r="E58" i="2"/>
  <c r="AN113" i="4"/>
  <c r="AO113" i="4"/>
  <c r="AV114" i="4" s="1"/>
  <c r="S116" i="3"/>
  <c r="AB118" i="4" l="1"/>
  <c r="AC118" i="4"/>
  <c r="AT119" i="4" s="1"/>
  <c r="AI98" i="3"/>
  <c r="AJ98" i="3"/>
  <c r="AK99" i="3"/>
  <c r="C65" i="2"/>
  <c r="E65" i="2"/>
  <c r="D65" i="2"/>
  <c r="F65" i="2"/>
  <c r="V113" i="4"/>
  <c r="W113" i="4"/>
  <c r="AS114" i="4" s="1"/>
  <c r="Z114" i="3"/>
  <c r="AA114" i="3" s="1"/>
  <c r="AH95" i="4"/>
  <c r="AE96" i="4"/>
  <c r="X114" i="4"/>
  <c r="AN114" i="4"/>
  <c r="AO114" i="4"/>
  <c r="AV115" i="4" s="1"/>
  <c r="T118" i="3"/>
  <c r="U118" i="3" s="1"/>
  <c r="C64" i="2"/>
  <c r="D64" i="2"/>
  <c r="E64" i="2"/>
  <c r="F64" i="2"/>
  <c r="AL114" i="3"/>
  <c r="AM114" i="3" s="1"/>
  <c r="AD119" i="4"/>
  <c r="Q113" i="4"/>
  <c r="R113" i="4"/>
  <c r="AR114" i="4" s="1"/>
  <c r="S114" i="4"/>
  <c r="O116" i="3"/>
  <c r="P116" i="3" s="1"/>
  <c r="V117" i="3"/>
  <c r="W117" i="3"/>
  <c r="AS118" i="3" s="1"/>
  <c r="AL115" i="4"/>
  <c r="AM115" i="4" s="1"/>
  <c r="T114" i="4" l="1"/>
  <c r="U114" i="4" s="1"/>
  <c r="O114" i="4"/>
  <c r="P114" i="4" s="1"/>
  <c r="S115" i="4" s="1"/>
  <c r="H33" i="3"/>
  <c r="AU98" i="3"/>
  <c r="AF99" i="3"/>
  <c r="AG99" i="3" s="1"/>
  <c r="N34" i="3"/>
  <c r="Q116" i="3"/>
  <c r="R116" i="3"/>
  <c r="AR117" i="3" s="1"/>
  <c r="S117" i="3"/>
  <c r="AI95" i="4"/>
  <c r="AJ95" i="4"/>
  <c r="AK96" i="4"/>
  <c r="AB114" i="3"/>
  <c r="AC114" i="3"/>
  <c r="AT115" i="3" s="1"/>
  <c r="AD115" i="3"/>
  <c r="AN114" i="3"/>
  <c r="AO114" i="3"/>
  <c r="AV115" i="3" s="1"/>
  <c r="AP115" i="3"/>
  <c r="AN115" i="4"/>
  <c r="AO115" i="4"/>
  <c r="AV116" i="4" s="1"/>
  <c r="Z119" i="4"/>
  <c r="AA119" i="4" s="1"/>
  <c r="V118" i="3"/>
  <c r="W118" i="3"/>
  <c r="AS119" i="3" s="1"/>
  <c r="AP116" i="4"/>
  <c r="X119" i="3"/>
  <c r="H30" i="4" l="1"/>
  <c r="AU95" i="4"/>
  <c r="AB119" i="4"/>
  <c r="AC119" i="4"/>
  <c r="AT120" i="4" s="1"/>
  <c r="AL115" i="3"/>
  <c r="AM115" i="3" s="1"/>
  <c r="Q114" i="4"/>
  <c r="R114" i="4"/>
  <c r="AR115" i="4" s="1"/>
  <c r="Z115" i="3"/>
  <c r="AA115" i="3" s="1"/>
  <c r="AD116" i="3" s="1"/>
  <c r="O115" i="4"/>
  <c r="P115" i="4" s="1"/>
  <c r="S116" i="4" s="1"/>
  <c r="AF96" i="4"/>
  <c r="AG96" i="4" s="1"/>
  <c r="N31" i="4"/>
  <c r="AH99" i="3"/>
  <c r="AE100" i="3"/>
  <c r="V114" i="4"/>
  <c r="W114" i="4"/>
  <c r="AS115" i="4" s="1"/>
  <c r="T119" i="3"/>
  <c r="U119" i="3" s="1"/>
  <c r="AL116" i="4"/>
  <c r="AM116" i="4" s="1"/>
  <c r="AP117" i="4" s="1"/>
  <c r="O117" i="3"/>
  <c r="P117" i="3" s="1"/>
  <c r="AD120" i="4"/>
  <c r="X115" i="4"/>
  <c r="AL117" i="4" l="1"/>
  <c r="AM117" i="4" s="1"/>
  <c r="Z116" i="3"/>
  <c r="AA116" i="3" s="1"/>
  <c r="O116" i="4"/>
  <c r="P116" i="4" s="1"/>
  <c r="S117" i="4" s="1"/>
  <c r="Q117" i="3"/>
  <c r="R117" i="3"/>
  <c r="AR118" i="3" s="1"/>
  <c r="S118" i="3"/>
  <c r="T115" i="4"/>
  <c r="U115" i="4" s="1"/>
  <c r="X116" i="4" s="1"/>
  <c r="AE97" i="4"/>
  <c r="AH96" i="4"/>
  <c r="Z120" i="4"/>
  <c r="AA120" i="4" s="1"/>
  <c r="V119" i="3"/>
  <c r="W119" i="3"/>
  <c r="AS120" i="3" s="1"/>
  <c r="Q115" i="4"/>
  <c r="R115" i="4"/>
  <c r="AR116" i="4" s="1"/>
  <c r="AB115" i="3"/>
  <c r="AC115" i="3"/>
  <c r="AT116" i="3" s="1"/>
  <c r="AN116" i="4"/>
  <c r="AO116" i="4"/>
  <c r="AV117" i="4" s="1"/>
  <c r="AN115" i="3"/>
  <c r="AO115" i="3"/>
  <c r="AV116" i="3" s="1"/>
  <c r="AP116" i="3"/>
  <c r="X120" i="3"/>
  <c r="AI99" i="3"/>
  <c r="AJ99" i="3"/>
  <c r="AK100" i="3"/>
  <c r="O117" i="4" l="1"/>
  <c r="P117" i="4" s="1"/>
  <c r="S118" i="4" s="1"/>
  <c r="T116" i="4"/>
  <c r="U116" i="4" s="1"/>
  <c r="AB120" i="4"/>
  <c r="AC120" i="4"/>
  <c r="AT121" i="4" s="1"/>
  <c r="AI96" i="4"/>
  <c r="AJ96" i="4"/>
  <c r="AK97" i="4"/>
  <c r="AB116" i="3"/>
  <c r="AC116" i="3"/>
  <c r="AT117" i="3" s="1"/>
  <c r="H34" i="3"/>
  <c r="AU99" i="3"/>
  <c r="AL116" i="3"/>
  <c r="AM116" i="3" s="1"/>
  <c r="AD117" i="3"/>
  <c r="AF100" i="3"/>
  <c r="AG100" i="3" s="1"/>
  <c r="N35" i="3"/>
  <c r="T120" i="3"/>
  <c r="U120" i="3" s="1"/>
  <c r="O118" i="3"/>
  <c r="P118" i="3" s="1"/>
  <c r="Q116" i="4"/>
  <c r="R116" i="4"/>
  <c r="AR117" i="4" s="1"/>
  <c r="AN117" i="4"/>
  <c r="AO117" i="4"/>
  <c r="AV118" i="4" s="1"/>
  <c r="AD121" i="4"/>
  <c r="V115" i="4"/>
  <c r="W115" i="4"/>
  <c r="AS116" i="4" s="1"/>
  <c r="AP118" i="4"/>
  <c r="Q118" i="3" l="1"/>
  <c r="R118" i="3"/>
  <c r="AR119" i="3" s="1"/>
  <c r="V120" i="3"/>
  <c r="W120" i="3"/>
  <c r="AS121" i="3" s="1"/>
  <c r="V116" i="4"/>
  <c r="W116" i="4"/>
  <c r="AS117" i="4" s="1"/>
  <c r="AN116" i="3"/>
  <c r="AO116" i="3"/>
  <c r="AV117" i="3" s="1"/>
  <c r="X121" i="3"/>
  <c r="X117" i="4"/>
  <c r="AP117" i="3"/>
  <c r="Z121" i="4"/>
  <c r="AA121" i="4" s="1"/>
  <c r="H31" i="4"/>
  <c r="AU96" i="4"/>
  <c r="AH100" i="3"/>
  <c r="AE101" i="3"/>
  <c r="Q117" i="4"/>
  <c r="R117" i="4"/>
  <c r="AR118" i="4" s="1"/>
  <c r="AL118" i="4"/>
  <c r="AM118" i="4" s="1"/>
  <c r="AF97" i="4"/>
  <c r="AG97" i="4" s="1"/>
  <c r="N32" i="4"/>
  <c r="S119" i="3"/>
  <c r="Z117" i="3"/>
  <c r="AA117" i="3" s="1"/>
  <c r="O118" i="4"/>
  <c r="P118" i="4" s="1"/>
  <c r="Q118" i="4" l="1"/>
  <c r="R118" i="4"/>
  <c r="AR119" i="4" s="1"/>
  <c r="S119" i="4"/>
  <c r="AL117" i="3"/>
  <c r="AM117" i="3" s="1"/>
  <c r="AN118" i="4"/>
  <c r="AO118" i="4"/>
  <c r="AV119" i="4" s="1"/>
  <c r="AB121" i="4"/>
  <c r="AC121" i="4"/>
  <c r="AT122" i="4" s="1"/>
  <c r="AD122" i="4"/>
  <c r="O119" i="3"/>
  <c r="P119" i="3" s="1"/>
  <c r="S120" i="3" s="1"/>
  <c r="T121" i="3"/>
  <c r="U121" i="3" s="1"/>
  <c r="X122" i="3" s="1"/>
  <c r="AH97" i="4"/>
  <c r="AE98" i="4"/>
  <c r="AB117" i="3"/>
  <c r="AC117" i="3"/>
  <c r="AT118" i="3" s="1"/>
  <c r="AD118" i="3"/>
  <c r="T117" i="4"/>
  <c r="U117" i="4" s="1"/>
  <c r="X118" i="4" s="1"/>
  <c r="AP119" i="4"/>
  <c r="AI100" i="3"/>
  <c r="AJ100" i="3"/>
  <c r="AK101" i="3"/>
  <c r="O120" i="3" l="1"/>
  <c r="P120" i="3" s="1"/>
  <c r="T122" i="3"/>
  <c r="U122" i="3" s="1"/>
  <c r="T118" i="4"/>
  <c r="U118" i="4" s="1"/>
  <c r="AI97" i="4"/>
  <c r="AJ97" i="4"/>
  <c r="AK98" i="4"/>
  <c r="AN117" i="3"/>
  <c r="AO117" i="3"/>
  <c r="AV118" i="3" s="1"/>
  <c r="AP118" i="3"/>
  <c r="V121" i="3"/>
  <c r="W121" i="3"/>
  <c r="AS122" i="3" s="1"/>
  <c r="Z122" i="4"/>
  <c r="AA122" i="4" s="1"/>
  <c r="AD123" i="4" s="1"/>
  <c r="H35" i="3"/>
  <c r="AU100" i="3"/>
  <c r="V117" i="4"/>
  <c r="W117" i="4"/>
  <c r="AS118" i="4" s="1"/>
  <c r="Z118" i="3"/>
  <c r="AA118" i="3" s="1"/>
  <c r="O119" i="4"/>
  <c r="P119" i="4" s="1"/>
  <c r="S120" i="4" s="1"/>
  <c r="Q119" i="3"/>
  <c r="R119" i="3"/>
  <c r="AR120" i="3" s="1"/>
  <c r="AF101" i="3"/>
  <c r="AG101" i="3" s="1"/>
  <c r="N36" i="3"/>
  <c r="AL119" i="4"/>
  <c r="AM119" i="4" s="1"/>
  <c r="Z123" i="4" l="1"/>
  <c r="AA123" i="4" s="1"/>
  <c r="O120" i="4"/>
  <c r="P120" i="4" s="1"/>
  <c r="AF98" i="4"/>
  <c r="AG98" i="4" s="1"/>
  <c r="N33" i="4"/>
  <c r="AB118" i="3"/>
  <c r="AC118" i="3"/>
  <c r="AT119" i="3" s="1"/>
  <c r="V122" i="3"/>
  <c r="W122" i="3"/>
  <c r="AS123" i="3" s="1"/>
  <c r="AD119" i="3"/>
  <c r="X123" i="3"/>
  <c r="AN119" i="4"/>
  <c r="AO119" i="4"/>
  <c r="AV120" i="4" s="1"/>
  <c r="AL118" i="3"/>
  <c r="AM118" i="3" s="1"/>
  <c r="AP119" i="3" s="1"/>
  <c r="V118" i="4"/>
  <c r="W118" i="4"/>
  <c r="AS119" i="4" s="1"/>
  <c r="AB122" i="4"/>
  <c r="AC122" i="4"/>
  <c r="AT123" i="4" s="1"/>
  <c r="AP120" i="4"/>
  <c r="AH101" i="3"/>
  <c r="AE102" i="3"/>
  <c r="Q119" i="4"/>
  <c r="R119" i="4"/>
  <c r="AR120" i="4" s="1"/>
  <c r="H32" i="4"/>
  <c r="AU97" i="4"/>
  <c r="X119" i="4"/>
  <c r="Q120" i="3"/>
  <c r="R120" i="3"/>
  <c r="AR121" i="3" s="1"/>
  <c r="S121" i="3"/>
  <c r="T123" i="3" l="1"/>
  <c r="U123" i="3" s="1"/>
  <c r="Q120" i="4"/>
  <c r="R120" i="4"/>
  <c r="AR121" i="4" s="1"/>
  <c r="Z119" i="3"/>
  <c r="AA119" i="3" s="1"/>
  <c r="AI101" i="3"/>
  <c r="AJ101" i="3"/>
  <c r="AK102" i="3"/>
  <c r="AL120" i="4"/>
  <c r="AM120" i="4" s="1"/>
  <c r="AP121" i="4" s="1"/>
  <c r="S121" i="4"/>
  <c r="T119" i="4"/>
  <c r="U119" i="4" s="1"/>
  <c r="AL119" i="3"/>
  <c r="AM119" i="3" s="1"/>
  <c r="AH98" i="4"/>
  <c r="AE99" i="4"/>
  <c r="AB123" i="4"/>
  <c r="AC123" i="4"/>
  <c r="AT124" i="4" s="1"/>
  <c r="O121" i="3"/>
  <c r="P121" i="3" s="1"/>
  <c r="AN118" i="3"/>
  <c r="AO118" i="3"/>
  <c r="AV119" i="3" s="1"/>
  <c r="AD124" i="4"/>
  <c r="AL121" i="4" l="1"/>
  <c r="AM121" i="4" s="1"/>
  <c r="AP122" i="4" s="1"/>
  <c r="V119" i="4"/>
  <c r="W119" i="4"/>
  <c r="AS120" i="4" s="1"/>
  <c r="AN119" i="3"/>
  <c r="AO119" i="3"/>
  <c r="AV120" i="3" s="1"/>
  <c r="O121" i="4"/>
  <c r="P121" i="4" s="1"/>
  <c r="Z124" i="4"/>
  <c r="AA124" i="4" s="1"/>
  <c r="AF102" i="3"/>
  <c r="AG102" i="3" s="1"/>
  <c r="N37" i="3"/>
  <c r="AP120" i="3"/>
  <c r="X120" i="4"/>
  <c r="H36" i="3"/>
  <c r="AU101" i="3"/>
  <c r="AB119" i="3"/>
  <c r="AC119" i="3"/>
  <c r="AT120" i="3" s="1"/>
  <c r="AN120" i="4"/>
  <c r="AO120" i="4"/>
  <c r="AV121" i="4" s="1"/>
  <c r="Q121" i="3"/>
  <c r="R121" i="3"/>
  <c r="AR122" i="3" s="1"/>
  <c r="S122" i="3"/>
  <c r="AD120" i="3"/>
  <c r="V123" i="3"/>
  <c r="W123" i="3"/>
  <c r="AS124" i="3" s="1"/>
  <c r="AI98" i="4"/>
  <c r="AJ98" i="4"/>
  <c r="AK99" i="4"/>
  <c r="X124" i="3"/>
  <c r="Z120" i="3" l="1"/>
  <c r="AA120" i="3" s="1"/>
  <c r="AD121" i="3" s="1"/>
  <c r="AF99" i="4"/>
  <c r="AG99" i="4" s="1"/>
  <c r="N34" i="4"/>
  <c r="AL120" i="3"/>
  <c r="AM120" i="3" s="1"/>
  <c r="AP121" i="3" s="1"/>
  <c r="AB124" i="4"/>
  <c r="AC124" i="4"/>
  <c r="AT125" i="4" s="1"/>
  <c r="Q121" i="4"/>
  <c r="R121" i="4"/>
  <c r="AR122" i="4" s="1"/>
  <c r="T124" i="3"/>
  <c r="U124" i="3" s="1"/>
  <c r="X125" i="3" s="1"/>
  <c r="H33" i="4"/>
  <c r="AU98" i="4"/>
  <c r="AH102" i="3"/>
  <c r="AE103" i="3"/>
  <c r="S122" i="4"/>
  <c r="AN121" i="4"/>
  <c r="AO121" i="4"/>
  <c r="AV122" i="4" s="1"/>
  <c r="T120" i="4"/>
  <c r="U120" i="4" s="1"/>
  <c r="O122" i="3"/>
  <c r="P122" i="3" s="1"/>
  <c r="S123" i="3" s="1"/>
  <c r="AD125" i="4"/>
  <c r="AL122" i="4"/>
  <c r="AM122" i="4" s="1"/>
  <c r="O123" i="3" l="1"/>
  <c r="P123" i="3" s="1"/>
  <c r="T125" i="3"/>
  <c r="U125" i="3" s="1"/>
  <c r="AL121" i="3"/>
  <c r="AM121" i="3" s="1"/>
  <c r="AP122" i="3" s="1"/>
  <c r="Z125" i="4"/>
  <c r="AA125" i="4" s="1"/>
  <c r="V124" i="3"/>
  <c r="W124" i="3"/>
  <c r="AS125" i="3" s="1"/>
  <c r="V120" i="4"/>
  <c r="W120" i="4"/>
  <c r="AS121" i="4" s="1"/>
  <c r="X121" i="4"/>
  <c r="O122" i="4"/>
  <c r="P122" i="4" s="1"/>
  <c r="AH99" i="4"/>
  <c r="AE100" i="4"/>
  <c r="AN122" i="4"/>
  <c r="AO122" i="4"/>
  <c r="AV123" i="4" s="1"/>
  <c r="AP123" i="4"/>
  <c r="Q122" i="3"/>
  <c r="R122" i="3"/>
  <c r="AR123" i="3" s="1"/>
  <c r="AN120" i="3"/>
  <c r="AO120" i="3"/>
  <c r="AV121" i="3" s="1"/>
  <c r="AB120" i="3"/>
  <c r="AC120" i="3"/>
  <c r="AT121" i="3" s="1"/>
  <c r="AI102" i="3"/>
  <c r="AJ102" i="3"/>
  <c r="AK103" i="3"/>
  <c r="Z121" i="3"/>
  <c r="AA121" i="3" s="1"/>
  <c r="AL122" i="3" l="1"/>
  <c r="AM122" i="3" s="1"/>
  <c r="Q122" i="4"/>
  <c r="R122" i="4"/>
  <c r="AR123" i="4" s="1"/>
  <c r="AB121" i="3"/>
  <c r="AC121" i="3"/>
  <c r="AT122" i="3" s="1"/>
  <c r="S123" i="4"/>
  <c r="AI99" i="4"/>
  <c r="AJ99" i="4"/>
  <c r="AK100" i="4"/>
  <c r="AD122" i="3"/>
  <c r="AF103" i="3"/>
  <c r="AG103" i="3" s="1"/>
  <c r="N38" i="3"/>
  <c r="T121" i="4"/>
  <c r="U121" i="4" s="1"/>
  <c r="H37" i="3"/>
  <c r="AU102" i="3"/>
  <c r="AB125" i="4"/>
  <c r="AC125" i="4"/>
  <c r="AT126" i="4" s="1"/>
  <c r="AL123" i="4"/>
  <c r="AM123" i="4" s="1"/>
  <c r="AP124" i="4" s="1"/>
  <c r="AD126" i="4"/>
  <c r="V125" i="3"/>
  <c r="W125" i="3"/>
  <c r="AS126" i="3" s="1"/>
  <c r="X126" i="3"/>
  <c r="Q123" i="3"/>
  <c r="R123" i="3"/>
  <c r="AR124" i="3" s="1"/>
  <c r="AN121" i="3"/>
  <c r="AO121" i="3"/>
  <c r="AV122" i="3" s="1"/>
  <c r="S124" i="3"/>
  <c r="AL124" i="4" l="1"/>
  <c r="AM124" i="4" s="1"/>
  <c r="H34" i="4"/>
  <c r="AU99" i="4"/>
  <c r="O124" i="3"/>
  <c r="P124" i="3" s="1"/>
  <c r="S125" i="3" s="1"/>
  <c r="AN123" i="4"/>
  <c r="AO123" i="4"/>
  <c r="AV124" i="4" s="1"/>
  <c r="AH103" i="3"/>
  <c r="AE104" i="3"/>
  <c r="T126" i="3"/>
  <c r="U126" i="3" s="1"/>
  <c r="X127" i="3" s="1"/>
  <c r="AF100" i="4"/>
  <c r="AG100" i="4" s="1"/>
  <c r="N35" i="4"/>
  <c r="Z126" i="4"/>
  <c r="AA126" i="4" s="1"/>
  <c r="O123" i="4"/>
  <c r="P123" i="4" s="1"/>
  <c r="AN122" i="3"/>
  <c r="AO122" i="3"/>
  <c r="AV123" i="3" s="1"/>
  <c r="V121" i="4"/>
  <c r="W121" i="4"/>
  <c r="AS122" i="4" s="1"/>
  <c r="X122" i="4"/>
  <c r="Z122" i="3"/>
  <c r="AA122" i="3" s="1"/>
  <c r="AP123" i="3"/>
  <c r="O125" i="3" l="1"/>
  <c r="P125" i="3" s="1"/>
  <c r="T127" i="3"/>
  <c r="U127" i="3" s="1"/>
  <c r="AH100" i="4"/>
  <c r="AE101" i="4"/>
  <c r="AL123" i="3"/>
  <c r="AM123" i="3" s="1"/>
  <c r="AB122" i="3"/>
  <c r="AC122" i="3"/>
  <c r="AT123" i="3" s="1"/>
  <c r="AD123" i="3"/>
  <c r="Q123" i="4"/>
  <c r="R123" i="4"/>
  <c r="AR124" i="4" s="1"/>
  <c r="S124" i="4"/>
  <c r="V126" i="3"/>
  <c r="W126" i="3"/>
  <c r="AS127" i="3" s="1"/>
  <c r="Q124" i="3"/>
  <c r="R124" i="3"/>
  <c r="AR125" i="3" s="1"/>
  <c r="AN124" i="4"/>
  <c r="AO124" i="4"/>
  <c r="AV125" i="4" s="1"/>
  <c r="AI103" i="3"/>
  <c r="AJ103" i="3"/>
  <c r="AK104" i="3"/>
  <c r="T122" i="4"/>
  <c r="U122" i="4" s="1"/>
  <c r="AB126" i="4"/>
  <c r="AC126" i="4"/>
  <c r="AT127" i="4" s="1"/>
  <c r="AD127" i="4"/>
  <c r="AP125" i="4"/>
  <c r="Z127" i="4" l="1"/>
  <c r="AA127" i="4" s="1"/>
  <c r="V127" i="3"/>
  <c r="W127" i="3"/>
  <c r="AS128" i="3" s="1"/>
  <c r="O124" i="4"/>
  <c r="P124" i="4" s="1"/>
  <c r="AN123" i="3"/>
  <c r="AO123" i="3"/>
  <c r="AV124" i="3" s="1"/>
  <c r="AI100" i="4"/>
  <c r="AJ100" i="4"/>
  <c r="AK101" i="4"/>
  <c r="Z123" i="3"/>
  <c r="AA123" i="3" s="1"/>
  <c r="AL125" i="4"/>
  <c r="AM125" i="4" s="1"/>
  <c r="V122" i="4"/>
  <c r="W122" i="4"/>
  <c r="AS123" i="4" s="1"/>
  <c r="X123" i="4"/>
  <c r="AF104" i="3"/>
  <c r="AG104" i="3" s="1"/>
  <c r="N39" i="3"/>
  <c r="AP124" i="3"/>
  <c r="H38" i="3"/>
  <c r="AU103" i="3"/>
  <c r="X128" i="3"/>
  <c r="Q125" i="3"/>
  <c r="R125" i="3"/>
  <c r="AR126" i="3" s="1"/>
  <c r="S126" i="3"/>
  <c r="H35" i="4" l="1"/>
  <c r="AU100" i="4"/>
  <c r="AL124" i="3"/>
  <c r="AM124" i="3" s="1"/>
  <c r="AP125" i="3" s="1"/>
  <c r="AB123" i="3"/>
  <c r="AC123" i="3"/>
  <c r="AT124" i="3" s="1"/>
  <c r="T128" i="3"/>
  <c r="U128" i="3" s="1"/>
  <c r="X129" i="3" s="1"/>
  <c r="AH104" i="3"/>
  <c r="AE105" i="3"/>
  <c r="O126" i="3"/>
  <c r="P126" i="3" s="1"/>
  <c r="S127" i="3" s="1"/>
  <c r="Q124" i="4"/>
  <c r="R124" i="4"/>
  <c r="AR125" i="4" s="1"/>
  <c r="T123" i="4"/>
  <c r="U123" i="4" s="1"/>
  <c r="X124" i="4" s="1"/>
  <c r="AB127" i="4"/>
  <c r="AC127" i="4"/>
  <c r="AT128" i="4" s="1"/>
  <c r="AN125" i="4"/>
  <c r="AO125" i="4"/>
  <c r="AV126" i="4" s="1"/>
  <c r="AP126" i="4"/>
  <c r="AD124" i="3"/>
  <c r="AF101" i="4"/>
  <c r="AG101" i="4" s="1"/>
  <c r="N36" i="4"/>
  <c r="S125" i="4"/>
  <c r="AD128" i="4"/>
  <c r="O127" i="3" l="1"/>
  <c r="P127" i="3" s="1"/>
  <c r="T129" i="3"/>
  <c r="U129" i="3" s="1"/>
  <c r="AL125" i="3"/>
  <c r="AM125" i="3" s="1"/>
  <c r="T124" i="4"/>
  <c r="U124" i="4" s="1"/>
  <c r="AL126" i="4"/>
  <c r="AM126" i="4" s="1"/>
  <c r="AH101" i="4"/>
  <c r="AE102" i="4"/>
  <c r="Z124" i="3"/>
  <c r="AA124" i="3" s="1"/>
  <c r="AD125" i="3" s="1"/>
  <c r="Z128" i="4"/>
  <c r="AA128" i="4" s="1"/>
  <c r="V128" i="3"/>
  <c r="W128" i="3"/>
  <c r="AS129" i="3" s="1"/>
  <c r="Q126" i="3"/>
  <c r="R126" i="3"/>
  <c r="AR127" i="3" s="1"/>
  <c r="O125" i="4"/>
  <c r="P125" i="4" s="1"/>
  <c r="AI104" i="3"/>
  <c r="AJ104" i="3"/>
  <c r="AK105" i="3"/>
  <c r="AN124" i="3"/>
  <c r="AO124" i="3"/>
  <c r="AV125" i="3" s="1"/>
  <c r="V123" i="4"/>
  <c r="W123" i="4"/>
  <c r="AS124" i="4" s="1"/>
  <c r="Z125" i="3" l="1"/>
  <c r="AA125" i="3" s="1"/>
  <c r="V124" i="4"/>
  <c r="W124" i="4"/>
  <c r="AS125" i="4" s="1"/>
  <c r="V129" i="3"/>
  <c r="W129" i="3"/>
  <c r="AS130" i="3" s="1"/>
  <c r="G55" i="2" s="1"/>
  <c r="AI101" i="4"/>
  <c r="AJ101" i="4"/>
  <c r="AK102" i="4"/>
  <c r="AF105" i="3"/>
  <c r="AG105" i="3" s="1"/>
  <c r="N40" i="3"/>
  <c r="H39" i="3"/>
  <c r="AU104" i="3"/>
  <c r="X125" i="4"/>
  <c r="X130" i="3"/>
  <c r="T130" i="3" s="1"/>
  <c r="U130" i="3" s="1"/>
  <c r="AB128" i="4"/>
  <c r="AC128" i="4"/>
  <c r="AT129" i="4" s="1"/>
  <c r="AD129" i="4"/>
  <c r="AN126" i="4"/>
  <c r="AO126" i="4"/>
  <c r="AV127" i="4" s="1"/>
  <c r="AP127" i="4"/>
  <c r="Q125" i="4"/>
  <c r="R125" i="4"/>
  <c r="AR126" i="4" s="1"/>
  <c r="Q127" i="3"/>
  <c r="R127" i="3"/>
  <c r="AR128" i="3" s="1"/>
  <c r="AB124" i="3"/>
  <c r="AC124" i="3"/>
  <c r="AT125" i="3" s="1"/>
  <c r="AN125" i="3"/>
  <c r="AO125" i="3"/>
  <c r="AV126" i="3" s="1"/>
  <c r="S126" i="4"/>
  <c r="AP126" i="3"/>
  <c r="S128" i="3"/>
  <c r="T125" i="4" l="1"/>
  <c r="U125" i="4" s="1"/>
  <c r="AF102" i="4"/>
  <c r="AG102" i="4" s="1"/>
  <c r="N37" i="4"/>
  <c r="AL127" i="4"/>
  <c r="AM127" i="4" s="1"/>
  <c r="H36" i="4"/>
  <c r="AU101" i="4"/>
  <c r="AB125" i="3"/>
  <c r="AC125" i="3"/>
  <c r="AT126" i="3" s="1"/>
  <c r="O126" i="4"/>
  <c r="P126" i="4" s="1"/>
  <c r="AH105" i="3"/>
  <c r="AE106" i="3"/>
  <c r="Z129" i="4"/>
  <c r="AA129" i="4" s="1"/>
  <c r="O128" i="3"/>
  <c r="P128" i="3" s="1"/>
  <c r="AL126" i="3"/>
  <c r="AM126" i="3" s="1"/>
  <c r="V130" i="3"/>
  <c r="W130" i="3"/>
  <c r="AD126" i="3"/>
  <c r="AI105" i="3" l="1"/>
  <c r="AJ105" i="3"/>
  <c r="AK106" i="3"/>
  <c r="AN127" i="4"/>
  <c r="AO127" i="4"/>
  <c r="AV128" i="4" s="1"/>
  <c r="AH102" i="4"/>
  <c r="AE103" i="4"/>
  <c r="Q126" i="4"/>
  <c r="R126" i="4"/>
  <c r="AR127" i="4" s="1"/>
  <c r="Z126" i="3"/>
  <c r="AA126" i="3" s="1"/>
  <c r="AD127" i="3" s="1"/>
  <c r="AN126" i="3"/>
  <c r="AO126" i="3"/>
  <c r="AV127" i="3" s="1"/>
  <c r="AP128" i="4"/>
  <c r="AP127" i="3"/>
  <c r="Q128" i="3"/>
  <c r="R128" i="3"/>
  <c r="AR129" i="3" s="1"/>
  <c r="S129" i="3"/>
  <c r="V125" i="4"/>
  <c r="W125" i="4"/>
  <c r="AS126" i="4" s="1"/>
  <c r="S127" i="4"/>
  <c r="AB129" i="4"/>
  <c r="AC129" i="4"/>
  <c r="AT130" i="4" s="1"/>
  <c r="G66" i="2" s="1"/>
  <c r="AD130" i="4"/>
  <c r="Z130" i="4" s="1"/>
  <c r="AA130" i="4" s="1"/>
  <c r="X126" i="4"/>
  <c r="Z127" i="3" l="1"/>
  <c r="AA127" i="3" s="1"/>
  <c r="AD128" i="3" s="1"/>
  <c r="T126" i="4"/>
  <c r="U126" i="4" s="1"/>
  <c r="AL128" i="4"/>
  <c r="AM128" i="4" s="1"/>
  <c r="AB126" i="3"/>
  <c r="AC126" i="3"/>
  <c r="AT127" i="3" s="1"/>
  <c r="AB130" i="4"/>
  <c r="AC130" i="4"/>
  <c r="O127" i="4"/>
  <c r="P127" i="4" s="1"/>
  <c r="S128" i="4" s="1"/>
  <c r="AL127" i="3"/>
  <c r="AM127" i="3" s="1"/>
  <c r="AI102" i="4"/>
  <c r="AJ102" i="4"/>
  <c r="AK103" i="4"/>
  <c r="AF106" i="3"/>
  <c r="AG106" i="3" s="1"/>
  <c r="N41" i="3"/>
  <c r="O129" i="3"/>
  <c r="P129" i="3" s="1"/>
  <c r="H40" i="3"/>
  <c r="AU105" i="3"/>
  <c r="S129" i="4" l="1"/>
  <c r="O128" i="4"/>
  <c r="P128" i="4" s="1"/>
  <c r="AN127" i="3"/>
  <c r="AO127" i="3"/>
  <c r="AV128" i="3" s="1"/>
  <c r="Q129" i="3"/>
  <c r="R129" i="3"/>
  <c r="AR130" i="3" s="1"/>
  <c r="G54" i="2" s="1"/>
  <c r="AP128" i="3"/>
  <c r="AH106" i="3"/>
  <c r="AE107" i="3"/>
  <c r="H37" i="4"/>
  <c r="AU102" i="4"/>
  <c r="Q127" i="4"/>
  <c r="R127" i="4"/>
  <c r="AR128" i="4" s="1"/>
  <c r="AN128" i="4"/>
  <c r="AO128" i="4"/>
  <c r="AV129" i="4" s="1"/>
  <c r="S130" i="3"/>
  <c r="O130" i="3" s="1"/>
  <c r="P130" i="3" s="1"/>
  <c r="AP129" i="4"/>
  <c r="V126" i="4"/>
  <c r="W126" i="4"/>
  <c r="AS127" i="4" s="1"/>
  <c r="X127" i="4"/>
  <c r="AB127" i="3"/>
  <c r="AC127" i="3"/>
  <c r="AT128" i="3" s="1"/>
  <c r="AF103" i="4"/>
  <c r="AG103" i="4" s="1"/>
  <c r="N38" i="4"/>
  <c r="Z128" i="3"/>
  <c r="AA128" i="3" s="1"/>
  <c r="AB128" i="3" l="1"/>
  <c r="AC128" i="3"/>
  <c r="AT129" i="3" s="1"/>
  <c r="AD129" i="3"/>
  <c r="AL128" i="3"/>
  <c r="AM128" i="3" s="1"/>
  <c r="T127" i="4"/>
  <c r="U127" i="4" s="1"/>
  <c r="AL129" i="4"/>
  <c r="AM129" i="4" s="1"/>
  <c r="AP130" i="4" s="1"/>
  <c r="AL130" i="4" s="1"/>
  <c r="AM130" i="4" s="1"/>
  <c r="Q128" i="4"/>
  <c r="R128" i="4"/>
  <c r="AR129" i="4" s="1"/>
  <c r="AH103" i="4"/>
  <c r="AE104" i="4"/>
  <c r="AI106" i="3"/>
  <c r="AJ106" i="3"/>
  <c r="AK107" i="3"/>
  <c r="Q130" i="3"/>
  <c r="R130" i="3"/>
  <c r="O129" i="4"/>
  <c r="P129" i="4" s="1"/>
  <c r="AN130" i="4" l="1"/>
  <c r="AO130" i="4"/>
  <c r="AF107" i="3"/>
  <c r="AG107" i="3" s="1"/>
  <c r="N42" i="3"/>
  <c r="AI103" i="4"/>
  <c r="AJ103" i="4"/>
  <c r="AK104" i="4"/>
  <c r="AN128" i="3"/>
  <c r="AO128" i="3"/>
  <c r="AV129" i="3" s="1"/>
  <c r="H41" i="3"/>
  <c r="AU106" i="3"/>
  <c r="AN129" i="4"/>
  <c r="AO129" i="4"/>
  <c r="AV130" i="4" s="1"/>
  <c r="G68" i="2" s="1"/>
  <c r="V127" i="4"/>
  <c r="W127" i="4"/>
  <c r="AS128" i="4" s="1"/>
  <c r="X128" i="4"/>
  <c r="Q129" i="4"/>
  <c r="R129" i="4"/>
  <c r="AR130" i="4" s="1"/>
  <c r="G64" i="2" s="1"/>
  <c r="AP129" i="3"/>
  <c r="S130" i="4"/>
  <c r="O130" i="4" s="1"/>
  <c r="P130" i="4" s="1"/>
  <c r="Z129" i="3"/>
  <c r="AA129" i="3" s="1"/>
  <c r="AF104" i="4" l="1"/>
  <c r="AG104" i="4" s="1"/>
  <c r="N39" i="4"/>
  <c r="H38" i="4"/>
  <c r="AU103" i="4"/>
  <c r="AB129" i="3"/>
  <c r="AC129" i="3"/>
  <c r="AT130" i="3" s="1"/>
  <c r="G56" i="2" s="1"/>
  <c r="Q130" i="4"/>
  <c r="R130" i="4"/>
  <c r="AL129" i="3"/>
  <c r="AM129" i="3" s="1"/>
  <c r="AH107" i="3"/>
  <c r="AE108" i="3"/>
  <c r="T128" i="4"/>
  <c r="U128" i="4" s="1"/>
  <c r="AD130" i="3"/>
  <c r="Z130" i="3" s="1"/>
  <c r="AA130" i="3" s="1"/>
  <c r="V128" i="4" l="1"/>
  <c r="W128" i="4"/>
  <c r="AS129" i="4" s="1"/>
  <c r="AN129" i="3"/>
  <c r="AO129" i="3"/>
  <c r="AV130" i="3" s="1"/>
  <c r="G58" i="2" s="1"/>
  <c r="AP130" i="3"/>
  <c r="AL130" i="3" s="1"/>
  <c r="AM130" i="3" s="1"/>
  <c r="AE105" i="4"/>
  <c r="AH104" i="4"/>
  <c r="X129" i="4"/>
  <c r="AI107" i="3"/>
  <c r="AJ107" i="3"/>
  <c r="AK108" i="3"/>
  <c r="AB130" i="3"/>
  <c r="AC130" i="3"/>
  <c r="AN130" i="3" l="1"/>
  <c r="AO130" i="3"/>
  <c r="AF108" i="3"/>
  <c r="AG108" i="3" s="1"/>
  <c r="N43" i="3"/>
  <c r="H42" i="3"/>
  <c r="AU107" i="3"/>
  <c r="AI104" i="4"/>
  <c r="AJ104" i="4"/>
  <c r="AK105" i="4"/>
  <c r="T129" i="4"/>
  <c r="U129" i="4" s="1"/>
  <c r="X130" i="4" s="1"/>
  <c r="T130" i="4" s="1"/>
  <c r="U130" i="4" s="1"/>
  <c r="V130" i="4" l="1"/>
  <c r="W130" i="4"/>
  <c r="AF105" i="4"/>
  <c r="AG105" i="4" s="1"/>
  <c r="N40" i="4"/>
  <c r="H39" i="4"/>
  <c r="AU104" i="4"/>
  <c r="AH108" i="3"/>
  <c r="AE109" i="3"/>
  <c r="V129" i="4"/>
  <c r="W129" i="4"/>
  <c r="AS130" i="4" s="1"/>
  <c r="G65" i="2" s="1"/>
  <c r="AH105" i="4" l="1"/>
  <c r="AE106" i="4"/>
  <c r="AI108" i="3"/>
  <c r="AJ108" i="3"/>
  <c r="AK109" i="3"/>
  <c r="AF109" i="3" l="1"/>
  <c r="AG109" i="3" s="1"/>
  <c r="N44" i="3"/>
  <c r="H43" i="3"/>
  <c r="AU108" i="3"/>
  <c r="AI105" i="4"/>
  <c r="AJ105" i="4"/>
  <c r="AK106" i="4"/>
  <c r="H40" i="4" l="1"/>
  <c r="AU105" i="4"/>
  <c r="AF106" i="4"/>
  <c r="AG106" i="4" s="1"/>
  <c r="N41" i="4"/>
  <c r="AH109" i="3"/>
  <c r="AE110" i="3"/>
  <c r="AH106" i="4" l="1"/>
  <c r="AE107" i="4"/>
  <c r="AI109" i="3"/>
  <c r="AJ109" i="3"/>
  <c r="AK110" i="3"/>
  <c r="AF110" i="3" l="1"/>
  <c r="AG110" i="3" s="1"/>
  <c r="N45" i="3"/>
  <c r="H44" i="3"/>
  <c r="AU109" i="3"/>
  <c r="AI106" i="4"/>
  <c r="AJ106" i="4"/>
  <c r="AK107" i="4"/>
  <c r="AF107" i="4" l="1"/>
  <c r="AG107" i="4" s="1"/>
  <c r="N42" i="4"/>
  <c r="H41" i="4"/>
  <c r="AU106" i="4"/>
  <c r="AH110" i="3"/>
  <c r="AE111" i="3"/>
  <c r="AI110" i="3" l="1"/>
  <c r="AJ110" i="3"/>
  <c r="AK111" i="3"/>
  <c r="AH107" i="4"/>
  <c r="AE108" i="4"/>
  <c r="AI107" i="4" l="1"/>
  <c r="AJ107" i="4"/>
  <c r="AK108" i="4"/>
  <c r="AF111" i="3"/>
  <c r="AG111" i="3" s="1"/>
  <c r="N46" i="3"/>
  <c r="H45" i="3"/>
  <c r="AU110" i="3"/>
  <c r="AH111" i="3" l="1"/>
  <c r="AE112" i="3"/>
  <c r="AF108" i="4"/>
  <c r="AG108" i="4" s="1"/>
  <c r="N43" i="4"/>
  <c r="H42" i="4"/>
  <c r="AU107" i="4"/>
  <c r="AH108" i="4" l="1"/>
  <c r="AE109" i="4"/>
  <c r="AI111" i="3"/>
  <c r="AJ111" i="3"/>
  <c r="AK112" i="3"/>
  <c r="AF112" i="3" l="1"/>
  <c r="AG112" i="3" s="1"/>
  <c r="N47" i="3"/>
  <c r="H46" i="3"/>
  <c r="AU111" i="3"/>
  <c r="AI108" i="4"/>
  <c r="AJ108" i="4"/>
  <c r="AK109" i="4"/>
  <c r="H43" i="4" l="1"/>
  <c r="AU108" i="4"/>
  <c r="AF109" i="4"/>
  <c r="AG109" i="4" s="1"/>
  <c r="N44" i="4"/>
  <c r="AH112" i="3"/>
  <c r="AE113" i="3"/>
  <c r="AH109" i="4" l="1"/>
  <c r="AE110" i="4"/>
  <c r="AI112" i="3"/>
  <c r="I57" i="2" s="1"/>
  <c r="AJ112" i="3"/>
  <c r="AK113" i="3"/>
  <c r="AU113" i="3" l="1"/>
  <c r="H47" i="3"/>
  <c r="AU112" i="3"/>
  <c r="AF113" i="3"/>
  <c r="AG113" i="3" s="1"/>
  <c r="H57" i="2"/>
  <c r="AI109" i="4"/>
  <c r="AJ109" i="4"/>
  <c r="AK110" i="4"/>
  <c r="H44" i="4" l="1"/>
  <c r="AU109" i="4"/>
  <c r="AF110" i="4"/>
  <c r="AG110" i="4" s="1"/>
  <c r="N45" i="4"/>
  <c r="C57" i="2"/>
  <c r="D57" i="2"/>
  <c r="E57" i="2"/>
  <c r="F57" i="2"/>
  <c r="AH113" i="3"/>
  <c r="AE114" i="3"/>
  <c r="AI113" i="3" l="1"/>
  <c r="AJ113" i="3"/>
  <c r="AU114" i="3" s="1"/>
  <c r="AK114" i="3"/>
  <c r="AH110" i="4"/>
  <c r="AE111" i="4"/>
  <c r="AF114" i="3" l="1"/>
  <c r="AG114" i="3" s="1"/>
  <c r="AI110" i="4"/>
  <c r="AJ110" i="4"/>
  <c r="AK111" i="4"/>
  <c r="AF111" i="4" l="1"/>
  <c r="AG111" i="4" s="1"/>
  <c r="N46" i="4"/>
  <c r="H45" i="4"/>
  <c r="AU110" i="4"/>
  <c r="AH114" i="3"/>
  <c r="AE115" i="3"/>
  <c r="AI114" i="3" l="1"/>
  <c r="AJ114" i="3"/>
  <c r="AU115" i="3" s="1"/>
  <c r="AK115" i="3"/>
  <c r="AH111" i="4"/>
  <c r="AE112" i="4"/>
  <c r="AF115" i="3" l="1"/>
  <c r="AG115" i="3" s="1"/>
  <c r="AI111" i="4"/>
  <c r="AJ111" i="4"/>
  <c r="AK112" i="4"/>
  <c r="H46" i="4" l="1"/>
  <c r="AU111" i="4"/>
  <c r="AF112" i="4"/>
  <c r="AG112" i="4" s="1"/>
  <c r="N47" i="4"/>
  <c r="AH115" i="3"/>
  <c r="AE116" i="3"/>
  <c r="AH112" i="4" l="1"/>
  <c r="AE113" i="4"/>
  <c r="AI115" i="3"/>
  <c r="AJ115" i="3"/>
  <c r="AU116" i="3" s="1"/>
  <c r="AK116" i="3"/>
  <c r="AF116" i="3" l="1"/>
  <c r="AG116" i="3" s="1"/>
  <c r="AI112" i="4"/>
  <c r="I67" i="2" s="1"/>
  <c r="AJ112" i="4"/>
  <c r="AK113" i="4"/>
  <c r="H47" i="4" l="1"/>
  <c r="AU113" i="4"/>
  <c r="AU112" i="4"/>
  <c r="AF113" i="4"/>
  <c r="AG113" i="4" s="1"/>
  <c r="H67" i="2"/>
  <c r="AH116" i="3"/>
  <c r="AE117" i="3"/>
  <c r="AH113" i="4" l="1"/>
  <c r="AE114" i="4"/>
  <c r="AI116" i="3"/>
  <c r="AJ116" i="3"/>
  <c r="AU117" i="3" s="1"/>
  <c r="AK117" i="3"/>
  <c r="E67" i="2"/>
  <c r="D67" i="2"/>
  <c r="F67" i="2"/>
  <c r="C67" i="2"/>
  <c r="AF117" i="3" l="1"/>
  <c r="AG117" i="3" s="1"/>
  <c r="AI113" i="4"/>
  <c r="AJ113" i="4"/>
  <c r="AU114" i="4" s="1"/>
  <c r="AK114" i="4"/>
  <c r="AF114" i="4" l="1"/>
  <c r="AG114" i="4" s="1"/>
  <c r="AH117" i="3"/>
  <c r="AE118" i="3"/>
  <c r="AI117" i="3" l="1"/>
  <c r="AJ117" i="3"/>
  <c r="AU118" i="3" s="1"/>
  <c r="AK118" i="3"/>
  <c r="AH114" i="4"/>
  <c r="AE115" i="4"/>
  <c r="AI114" i="4" l="1"/>
  <c r="AJ114" i="4"/>
  <c r="AU115" i="4" s="1"/>
  <c r="AK115" i="4"/>
  <c r="AF118" i="3"/>
  <c r="AG118" i="3" s="1"/>
  <c r="AH118" i="3" l="1"/>
  <c r="AE119" i="3"/>
  <c r="AF115" i="4"/>
  <c r="AG115" i="4" s="1"/>
  <c r="AH115" i="4" l="1"/>
  <c r="AE116" i="4"/>
  <c r="AI118" i="3"/>
  <c r="AJ118" i="3"/>
  <c r="AU119" i="3" s="1"/>
  <c r="AK119" i="3"/>
  <c r="AF119" i="3" l="1"/>
  <c r="AG119" i="3" s="1"/>
  <c r="AI115" i="4"/>
  <c r="AJ115" i="4"/>
  <c r="AU116" i="4" s="1"/>
  <c r="AK116" i="4"/>
  <c r="AF116" i="4" l="1"/>
  <c r="AG116" i="4" s="1"/>
  <c r="AH119" i="3"/>
  <c r="AE120" i="3"/>
  <c r="AI119" i="3" l="1"/>
  <c r="AJ119" i="3"/>
  <c r="AU120" i="3" s="1"/>
  <c r="AK120" i="3"/>
  <c r="AH116" i="4"/>
  <c r="AE117" i="4"/>
  <c r="AI116" i="4" l="1"/>
  <c r="AJ116" i="4"/>
  <c r="AU117" i="4" s="1"/>
  <c r="AK117" i="4"/>
  <c r="AF120" i="3"/>
  <c r="AG120" i="3" s="1"/>
  <c r="AF117" i="4" l="1"/>
  <c r="AG117" i="4" s="1"/>
  <c r="AH120" i="3"/>
  <c r="AE121" i="3"/>
  <c r="AI120" i="3" l="1"/>
  <c r="AJ120" i="3"/>
  <c r="AU121" i="3" s="1"/>
  <c r="AK121" i="3"/>
  <c r="AH117" i="4"/>
  <c r="AE118" i="4"/>
  <c r="AF121" i="3" l="1"/>
  <c r="AG121" i="3" s="1"/>
  <c r="AI117" i="4"/>
  <c r="AJ117" i="4"/>
  <c r="AU118" i="4" s="1"/>
  <c r="AK118" i="4"/>
  <c r="AF118" i="4" l="1"/>
  <c r="AG118" i="4" s="1"/>
  <c r="AH121" i="3"/>
  <c r="AE122" i="3"/>
  <c r="AI121" i="3" l="1"/>
  <c r="AJ121" i="3"/>
  <c r="AU122" i="3" s="1"/>
  <c r="AK122" i="3"/>
  <c r="AH118" i="4"/>
  <c r="AE119" i="4"/>
  <c r="AI118" i="4" l="1"/>
  <c r="AJ118" i="4"/>
  <c r="AU119" i="4" s="1"/>
  <c r="AK119" i="4"/>
  <c r="AF122" i="3"/>
  <c r="AG122" i="3" s="1"/>
  <c r="AH122" i="3" l="1"/>
  <c r="AE123" i="3"/>
  <c r="AF119" i="4"/>
  <c r="AG119" i="4" s="1"/>
  <c r="AH119" i="4" l="1"/>
  <c r="AE120" i="4"/>
  <c r="AI122" i="3"/>
  <c r="AJ122" i="3"/>
  <c r="AU123" i="3" s="1"/>
  <c r="AK123" i="3"/>
  <c r="AF123" i="3" l="1"/>
  <c r="AG123" i="3" s="1"/>
  <c r="AI119" i="4"/>
  <c r="AJ119" i="4"/>
  <c r="AU120" i="4" s="1"/>
  <c r="AK120" i="4"/>
  <c r="AH123" i="3" l="1"/>
  <c r="AE124" i="3"/>
  <c r="AF120" i="4"/>
  <c r="AG120" i="4" s="1"/>
  <c r="AH120" i="4" l="1"/>
  <c r="AE121" i="4"/>
  <c r="AI123" i="3"/>
  <c r="AJ123" i="3"/>
  <c r="AU124" i="3" s="1"/>
  <c r="AK124" i="3"/>
  <c r="AI120" i="4" l="1"/>
  <c r="AJ120" i="4"/>
  <c r="AU121" i="4" s="1"/>
  <c r="AK121" i="4"/>
  <c r="AF124" i="3"/>
  <c r="AG124" i="3" s="1"/>
  <c r="AH124" i="3" l="1"/>
  <c r="AE125" i="3"/>
  <c r="AF121" i="4"/>
  <c r="AG121" i="4" s="1"/>
  <c r="AI124" i="3" l="1"/>
  <c r="AJ124" i="3"/>
  <c r="AU125" i="3" s="1"/>
  <c r="AK125" i="3"/>
  <c r="AH121" i="4"/>
  <c r="AE122" i="4"/>
  <c r="AI121" i="4" l="1"/>
  <c r="AJ121" i="4"/>
  <c r="AU122" i="4" s="1"/>
  <c r="AK122" i="4"/>
  <c r="AF125" i="3"/>
  <c r="AG125" i="3" s="1"/>
  <c r="AH125" i="3" l="1"/>
  <c r="AE126" i="3"/>
  <c r="AF122" i="4"/>
  <c r="AG122" i="4" s="1"/>
  <c r="AH122" i="4" l="1"/>
  <c r="AE123" i="4"/>
  <c r="AI125" i="3"/>
  <c r="AJ125" i="3"/>
  <c r="AU126" i="3" s="1"/>
  <c r="AK126" i="3"/>
  <c r="AF126" i="3" l="1"/>
  <c r="AG126" i="3" s="1"/>
  <c r="AI122" i="4"/>
  <c r="AJ122" i="4"/>
  <c r="AU123" i="4" s="1"/>
  <c r="AK123" i="4"/>
  <c r="AF123" i="4" l="1"/>
  <c r="AG123" i="4" s="1"/>
  <c r="AH126" i="3"/>
  <c r="AE127" i="3"/>
  <c r="AI126" i="3" l="1"/>
  <c r="AJ126" i="3"/>
  <c r="AU127" i="3" s="1"/>
  <c r="AK127" i="3"/>
  <c r="AH123" i="4"/>
  <c r="AE124" i="4"/>
  <c r="AI123" i="4" l="1"/>
  <c r="AJ123" i="4"/>
  <c r="AU124" i="4" s="1"/>
  <c r="AK124" i="4"/>
  <c r="AF127" i="3"/>
  <c r="AG127" i="3" s="1"/>
  <c r="AH127" i="3" l="1"/>
  <c r="AE128" i="3"/>
  <c r="AF124" i="4"/>
  <c r="AG124" i="4" s="1"/>
  <c r="AH124" i="4" l="1"/>
  <c r="AE125" i="4"/>
  <c r="AI127" i="3"/>
  <c r="AJ127" i="3"/>
  <c r="AU128" i="3" s="1"/>
  <c r="AK128" i="3"/>
  <c r="AF128" i="3" l="1"/>
  <c r="AG128" i="3" s="1"/>
  <c r="AI124" i="4"/>
  <c r="AJ124" i="4"/>
  <c r="AU125" i="4" s="1"/>
  <c r="AK125" i="4"/>
  <c r="AF125" i="4" l="1"/>
  <c r="AG125" i="4" s="1"/>
  <c r="AH128" i="3"/>
  <c r="AE129" i="3"/>
  <c r="AI128" i="3" l="1"/>
  <c r="AJ128" i="3"/>
  <c r="AU129" i="3" s="1"/>
  <c r="AK129" i="3"/>
  <c r="AH125" i="4"/>
  <c r="AE126" i="4"/>
  <c r="AF129" i="3" l="1"/>
  <c r="AG129" i="3" s="1"/>
  <c r="AI125" i="4"/>
  <c r="AJ125" i="4"/>
  <c r="AU126" i="4" s="1"/>
  <c r="AK126" i="4"/>
  <c r="AF126" i="4" l="1"/>
  <c r="AG126" i="4" s="1"/>
  <c r="AH129" i="3"/>
  <c r="AE130" i="3"/>
  <c r="AI129" i="3" l="1"/>
  <c r="AJ129" i="3"/>
  <c r="AU130" i="3" s="1"/>
  <c r="G57" i="2" s="1"/>
  <c r="AK130" i="3"/>
  <c r="AF130" i="3" s="1"/>
  <c r="AG130" i="3" s="1"/>
  <c r="AH130" i="3" s="1"/>
  <c r="AE127" i="4"/>
  <c r="AH126" i="4"/>
  <c r="AI130" i="3" l="1"/>
  <c r="AJ130" i="3"/>
  <c r="AI126" i="4"/>
  <c r="AJ126" i="4"/>
  <c r="AU127" i="4" s="1"/>
  <c r="AK127" i="4"/>
  <c r="AF127" i="4" l="1"/>
  <c r="AG127" i="4" s="1"/>
  <c r="AH127" i="4" l="1"/>
  <c r="AE128" i="4"/>
  <c r="AI127" i="4" l="1"/>
  <c r="AJ127" i="4"/>
  <c r="AU128" i="4" s="1"/>
  <c r="AK128" i="4"/>
  <c r="AF128" i="4" l="1"/>
  <c r="AG128" i="4" s="1"/>
  <c r="AH128" i="4" l="1"/>
  <c r="AE129" i="4"/>
  <c r="AI128" i="4" l="1"/>
  <c r="AJ128" i="4"/>
  <c r="AU129" i="4" s="1"/>
  <c r="AK129" i="4"/>
  <c r="AF129" i="4" l="1"/>
  <c r="AG129" i="4" s="1"/>
  <c r="AH129" i="4" l="1"/>
  <c r="AE130" i="4"/>
  <c r="AI129" i="4" l="1"/>
  <c r="AJ129" i="4"/>
  <c r="AU130" i="4" s="1"/>
  <c r="G67" i="2" s="1"/>
  <c r="AK130" i="4"/>
  <c r="AF130" i="4" s="1"/>
  <c r="AG130" i="4" s="1"/>
  <c r="AH130" i="4" s="1"/>
  <c r="AI130" i="4" l="1"/>
  <c r="AJ130" i="4"/>
</calcChain>
</file>

<file path=xl/sharedStrings.xml><?xml version="1.0" encoding="utf-8"?>
<sst xmlns="http://schemas.openxmlformats.org/spreadsheetml/2006/main" count="589" uniqueCount="295">
  <si>
    <t>Regole di prelievo: quanto posso spendere quest'anno? (caso inventato e illustrativo)</t>
  </si>
  <si>
    <t>Strumento informativo / divulgativo. NON è consulenza finanziaria. I valori sono indicativi al 2026 e vanno verificati col tuo consulente.</t>
  </si>
  <si>
    <t>Indice</t>
  </si>
  <si>
    <t>0 - Indice</t>
  </si>
  <si>
    <t>Questo indice</t>
  </si>
  <si>
    <t>1 - Parametri</t>
  </si>
  <si>
    <t>I tuoi dati (celle gialle) e la sintesi per regola</t>
  </si>
  <si>
    <t>2 - Sequenza storica</t>
  </si>
  <si>
    <t>Le sei regole su una sequenza storica, anno per anno</t>
  </si>
  <si>
    <t>3 - Rendimento costante</t>
  </si>
  <si>
    <t>Le stesse sei regole con rendimento costante</t>
  </si>
  <si>
    <t>4 - Fisco e pensione</t>
  </si>
  <si>
    <t>Fisco, plusvalenza latente, pensione e ponte</t>
  </si>
  <si>
    <t>5 - Dati</t>
  </si>
  <si>
    <t>Serie annuali e tabella di controllo della percentuale variabile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</si>
  <si>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</si>
  <si>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</si>
  <si>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</si>
  <si>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</si>
  <si>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</si>
  <si>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</si>
  <si>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Primo studio sul quattro per cento: Bengen, Journal of Financial Planning, ottobre 1994</t>
  </si>
  <si>
    <t>• Regola dei guardrail: Guyton e Klinger, Journal of Financial Planning, marzo 2006 (qui senza il tetto del 6% all'inflazione)</t>
  </si>
  <si>
    <t>• Regole con pavimento e con tetto e pavimento: Morningstar, State of Retirement Income 2025 (3/12/2025)</t>
  </si>
  <si>
    <t>• Tabella della percentuale variabile: wiki Bogleheads, «Variable percentage withdrawal»</t>
  </si>
  <si>
    <t>• Serie USA dal 1871: Shiller. Serie in euro: indice azionario mondiale (rendimento netto), titolo di Stato tedesco a 10 anni, inflazione armonizzata italiana (HICP)</t>
  </si>
  <si>
    <t>• Pensione: Ragioneria generale dello Stato, Le tendenze di medio-lungo periodo, rapporto n. 27 (22/09/2026)</t>
  </si>
  <si>
    <t>• Fisco: aliquota del 26% sulla plusvalenza e bollo dello 0,20% (nuovo testo unico fiscale, D.Lgs. 117/2026, effetti dal 1/1/2027)</t>
  </si>
  <si>
    <t>• Data dei dati: 17/10/2026. Importi in euro di oggi (reali); i rendimenti nominali sono deflazionati con l'inflazione dell'anno.</t>
  </si>
  <si>
    <t>Aggiornamenti: github.com/marcofire-it/marco-fire-simulatori</t>
  </si>
  <si>
    <t>Note</t>
  </si>
  <si>
    <t>Come si legge: «osservato» = rendimento storico dell'anno; «ipotesi» = rendimento costante al canone (3% reale, 2% di inflazione).</t>
  </si>
  <si>
    <t>Modalità «lordo»: la regola decide il venduto, senza imposte (backtest di distribuzione). Modalità «tassato»: la regola decide la spesa netta in cassa.</t>
  </si>
  <si>
    <t>La regola dei guardrail è senza il tetto del 6% all'inflazione previsto dagli autori: con il tetto i risultati peggiorano.</t>
  </si>
  <si>
    <t>Il caso di Corrado è inventato e illustrativo e non è un consiglio. Prima di decidere, fai i conti sul tuo caso e parlane con professionisti abilitati.</t>
  </si>
  <si>
    <t>Il motore del calcolo è in fondo ai fogli 2, 3 e 4: non modificare. Nessuna macro, solo formule.</t>
  </si>
  <si>
    <t>1 - Parametri: le celle gialle sono i tuoi dati</t>
  </si>
  <si>
    <t>Il caso di default è Corrado, inventato e illustrativo: 51 anni, 1.056.000 € in un portafoglio 60/40, casa senza mutuo, 38.000 € netti l'anno fino a 93 anni. Importi in euro di oggi (reali). Il foglio 2 usa una sequenza storica, il foglio 3 un rendimento costante.</t>
  </si>
  <si>
    <t>Modalità e caso</t>
  </si>
  <si>
    <t>Modalità (lordo / tassato)</t>
  </si>
  <si>
    <t>tassato</t>
  </si>
  <si>
    <t>Lordo = backtest di distribuzione: la regola decide il venduto, nessuna imposta. Tassato = caso Corrado: la regola decide la spesa netta, in cassa.</t>
  </si>
  <si>
    <t>Patrimonio iniziale (€)</t>
  </si>
  <si>
    <t>Valore di mercato a inizio piano, in euro di oggi.</t>
  </si>
  <si>
    <t>Tasso di prelievo iniziale (solo modalità lordo)</t>
  </si>
  <si>
    <t>Spesa iniziale lorda = patrimonio × tasso: 42.240 € con i default.</t>
  </si>
  <si>
    <t>Spesa netta annua (solo modalità tassato) (€)</t>
  </si>
  <si>
    <t>Quanto vuoi avere in cassa ogni anno, in euro di oggi.</t>
  </si>
  <si>
    <t>Età a inizio piano (anni)</t>
  </si>
  <si>
    <t>Età all'inizio del primo anno di prelievi.</t>
  </si>
  <si>
    <t>Età a fine piano (anni)</t>
  </si>
  <si>
    <t>La durata del piano è età finale meno età iniziale (massimo 59 anni).</t>
  </si>
  <si>
    <t>Mesi dell'ultimo anno del piano</t>
  </si>
  <si>
    <t>Con 93 anni al 15/03/2068 l'ultimo anno ha 2 mesi. Con 12 il piano è di 42 anni pieni (usato nei vettori di prova).</t>
  </si>
  <si>
    <t>Sequenza dei rendimenti</t>
  </si>
  <si>
    <t>Serie storica (EUR / USA)</t>
  </si>
  <si>
    <t>EUR</t>
  </si>
  <si>
    <t>EUR: partenze 2000-2025. USA: partenze 1871-2025. Oltre l'ultimo dato la sequenza prosegue al rendimento costante.</t>
  </si>
  <si>
    <t>Anno di partenza della sequenza (gennaio)</t>
  </si>
  <si>
    <t>Prova 2007 o 2010 per vedere un altro inizio; un anno senza dati dà il rendimento costante per tutto il piano.</t>
  </si>
  <si>
    <t>Rendimento reale costante</t>
  </si>
  <si>
    <t>Ipotesi al canone: usata nel foglio 3 e dopo l'ultimo dato storico.</t>
  </si>
  <si>
    <t>Inflazione costante</t>
  </si>
  <si>
    <t>Ipotesi al canone.</t>
  </si>
  <si>
    <t>Parametri delle regole</t>
  </si>
  <si>
    <t>Percentuale variabile: età di esaurimento</t>
  </si>
  <si>
    <t>L'età a cui la percentuale variabile porta il capitale a zero.</t>
  </si>
  <si>
    <t>Percentuale variabile: rendimento reale ipotizzato</t>
  </si>
  <si>
    <t>Default 3% (canone). Alternativa 3,76% (tabella del 60/40 di una comunità di investitori americani).</t>
  </si>
  <si>
    <t>Guardrail: variante (1 = 2006, 2 = 2004, 3 = senza congelamento)</t>
  </si>
  <si>
    <t>1 = proposta del 2006 (non indicizza dopo un anno negativo solo se il tasso supererebbe l'iniziale). Qui senza il tetto del 6% all'inflazione degli autori.</t>
  </si>
  <si>
    <t>Guardrail: banda sul tasso iniziale</t>
  </si>
  <si>
    <t>Se il tasso corrente esce da ±20% del tasso iniziale scatta la correzione.</t>
  </si>
  <si>
    <t>Guardrail: taglio o aumento</t>
  </si>
  <si>
    <t>Correzione della spesa quando si esce dalla banda.</t>
  </si>
  <si>
    <t>Guardrail: anni finali senza taglio</t>
  </si>
  <si>
    <t>Negli ultimi anni del piano il taglio è spento.</t>
  </si>
  <si>
    <t>Tetto e pavimento: massimo aumento annuo</t>
  </si>
  <si>
    <t>La spesa non cresce più del 5% l'anno.</t>
  </si>
  <si>
    <t>Tetto e pavimento: massimo calo annuo</t>
  </si>
  <si>
    <t>La spesa non cala più del 2,5% l'anno.</t>
  </si>
  <si>
    <t>Percentuale con pavimento: quota della spesa iniziale</t>
  </si>
  <si>
    <t>Pavimento al 90% della spesa iniziale.</t>
  </si>
  <si>
    <t>Fisco</t>
  </si>
  <si>
    <t>Plusvalenza latente iniziale</t>
  </si>
  <si>
    <t>1 − base di costo / valore: 1 − 597.580 / 1.056.460 = 43,4% (valore pieno: con 0,434 le uscite divergono di più di 1 €).</t>
  </si>
  <si>
    <t>Aliquota sulla plusvalenza</t>
  </si>
  <si>
    <t>Norma di oggi (nuovo testo unico fiscale, effetti dal 1/1/2027).</t>
  </si>
  <si>
    <t>Bollo annuo sul valore</t>
  </si>
  <si>
    <t>0,20% del valore a fine anno.</t>
  </si>
  <si>
    <t>Pensione (proiezione RGS n. 27, revisione centrale)</t>
  </si>
  <si>
    <t>Pensione netta annua (€)</t>
  </si>
  <si>
    <t>Proiezione della Ragioneria generale dello Stato, rapporto n. 27, in euro di oggi (valore pieno: 30.712 € mostrati). Alternative: 31.829 · 29.951 · 29.349 (ipotesi di scuola).</t>
  </si>
  <si>
    <t>Mese della prima rata nell'anno di pensione</t>
  </si>
  <si>
    <t>Ottobre 2043: tre rate nel primo anno.</t>
  </si>
  <si>
    <t>Anno del piano in cui parte la pensione</t>
  </si>
  <si>
    <t>Anno 17 del piano. Se superiore a 60 la pensione non entra nel calcolo.</t>
  </si>
  <si>
    <t>Requisito della pensione (mesi di età compiuti)</t>
  </si>
  <si>
    <t>822 mesi: vedi la lettura in anni e mesi qui sotto.</t>
  </si>
  <si>
    <t>Seconda ipotesi di plusvalenza latente per il ponte</t>
  </si>
  <si>
    <t>Usata nel foglio 4.</t>
  </si>
  <si>
    <t>Derivati (formule)</t>
  </si>
  <si>
    <t>Aliquota effettiva</t>
  </si>
  <si>
    <t>Zero in modalità lordo.</t>
  </si>
  <si>
    <t>Bollo effettivo</t>
  </si>
  <si>
    <t>Plusvalenza latente effettiva</t>
  </si>
  <si>
    <t>Spesa iniziale pianificata (€)</t>
  </si>
  <si>
    <t>In modalità tassato è la spesa netta; in lordo è il venduto.</t>
  </si>
  <si>
    <t>Tasso di prelievo iniziale lordo equivalente</t>
  </si>
  <si>
    <t>Spesa iniziale divisa per il patrimonio, al lordo dell'imposta sul venduto: 4,057% con i default.</t>
  </si>
  <si>
    <t>Anni del piano</t>
  </si>
  <si>
    <t>Con i default 42.</t>
  </si>
  <si>
    <t>Durata del piano</t>
  </si>
  <si>
    <t>Anni pieni più i mesi dell'ultimo anno.</t>
  </si>
  <si>
    <t>Età alla prima rata di pensione</t>
  </si>
  <si>
    <t>Requisito del caso: 68 anni e 6 mesi.</t>
  </si>
  <si>
    <t>Anni osservati nella sequenza (foglio 2)</t>
  </si>
  <si>
    <t>Anni con dati storici; gli altri sono ipotesi al canone.</t>
  </si>
  <si>
    <t>Anni di ipotesi al canone (foglio 2)</t>
  </si>
  <si>
    <t>Da qui in poi non è storia, è un'ipotesi.</t>
  </si>
  <si>
    <t>Sintesi per regola: foglio 2 (sequenza storica, poi ipotesi al canone)</t>
  </si>
  <si>
    <t>Anno peggiore = sull'intero piano, storia più ipotesi; il video cita i soli anni di storia. Anni magri = anni con spesa sotto l'80% (o il 75%) della spesa desiderata, uguale per tutte le regole. «Anno di esaurimento»: primo anno in cui il capitale non basta; «no» se regge fino a fine piano. Capitale in euro di oggi.</t>
  </si>
  <si>
    <t>Regola</t>
  </si>
  <si>
    <t>Spesa
anno 1</t>
  </si>
  <si>
    <t>Mediana
della spesa</t>
  </si>
  <si>
    <t>Anno peggiore
(spesa minima)</t>
  </si>
  <si>
    <t>Anni magri
(sotto l'80%)</t>
  </si>
  <si>
    <t>Anni sotto
il 75%</t>
  </si>
  <si>
    <t>Variabilità annua
(dev. standard)</t>
  </si>
  <si>
    <t>Capitale a
fine piano</t>
  </si>
  <si>
    <t>Anno di
esaurimento</t>
  </si>
  <si>
    <t>Fisso indicizzato</t>
  </si>
  <si>
    <t>Percentuale costante</t>
  </si>
  <si>
    <t>Percentuale con pavimento</t>
  </si>
  <si>
    <t>Percentuale variabile</t>
  </si>
  <si>
    <t>Guardrail (senza tetto all'inflazione)</t>
  </si>
  <si>
    <t>Tetto e pavimento (+5% / −2,5%)</t>
  </si>
  <si>
    <t>Sintesi per regola: foglio 3 (rendimento costante)</t>
  </si>
  <si>
    <t>Stesse regole, con rendimento reale e inflazione costanti (celle gialle Rend_c e Infl_c): nessun dato storico, solo ipotesi.</t>
  </si>
  <si>
    <t>2 - Sequenza storica: spesa pagata e capitale, anno per anno (euro di oggi)</t>
  </si>
  <si>
    <t>Risultati: spesa pagata (euro in cassa se «tassato», venduto lordo se «lordo») e capitale a inizio anno</t>
  </si>
  <si>
    <t>t</t>
  </si>
  <si>
    <t>Età</t>
  </si>
  <si>
    <t>Anno</t>
  </si>
  <si>
    <t>Spesa pagata:
Fisso indicizzato</t>
  </si>
  <si>
    <t>Spesa pagata:
Percentuale costante</t>
  </si>
  <si>
    <t>Spesa pagata:
Percentuale con pavimento</t>
  </si>
  <si>
    <t>Spesa pagata:
Percentuale variabile</t>
  </si>
  <si>
    <t>Spesa pagata:
Guardrail (senza tetto all'inflazione)</t>
  </si>
  <si>
    <t>Spesa pagata:
Tetto e pavimento (+5% / −2,5%)</t>
  </si>
  <si>
    <t>Capitale inizio anno:
Fisso indicizzato</t>
  </si>
  <si>
    <t>Capitale inizio anno:
Percentuale costante</t>
  </si>
  <si>
    <t>Capitale inizio anno:
Percentuale con pavimento</t>
  </si>
  <si>
    <t>Capitale inizio anno:
Percentuale variabile</t>
  </si>
  <si>
    <t>Capitale inizio anno:
Guardrail (senza tetto all'inflazione)</t>
  </si>
  <si>
    <t>Capitale inizio anno:
Tetto e pavimento (+5% / −2,5%)</t>
  </si>
  <si>
    <t>Dato storico
o ipotesi</t>
  </si>
  <si>
    <t>Il grafico mostra i primi 42 anni (righe 6-47); la tabella a sinistra mostra l'intero piano.</t>
  </si>
  <si>
    <t>Motore del calcolo, non modificare</t>
  </si>
  <si>
    <t>Anno e rendimenti</t>
  </si>
  <si>
    <t>Tetto e pavimento</t>
  </si>
  <si>
    <t>Cambio % annuo della spesa pagata</t>
  </si>
  <si>
    <t>Dato storico
(1/0)</t>
  </si>
  <si>
    <t>Rendimento
nominale 60/40</t>
  </si>
  <si>
    <t>Inflazione</t>
  </si>
  <si>
    <t>Fattore nominale
dopo bollo (g)</t>
  </si>
  <si>
    <t>Base di costo /
valore (k)</t>
  </si>
  <si>
    <t>Quota netta
del venduto (q)</t>
  </si>
  <si>
    <t>Fisso:
pianificata</t>
  </si>
  <si>
    <t>Fisso:
venduto</t>
  </si>
  <si>
    <t>Fisso:
esaurimento</t>
  </si>
  <si>
    <t>Fisso:
pagata</t>
  </si>
  <si>
    <t>Fisso:
capitale (W)</t>
  </si>
  <si>
    <t>Perc. costante:
pianificata</t>
  </si>
  <si>
    <t>Perc. costante:
venduto</t>
  </si>
  <si>
    <t>Perc. costante:
esaurimento</t>
  </si>
  <si>
    <t>Perc. costante:
pagata</t>
  </si>
  <si>
    <t>Perc. costante:
capitale (W)</t>
  </si>
  <si>
    <t>Perc. con pav.:
pianificata</t>
  </si>
  <si>
    <t>Perc. con pav.:
venduto</t>
  </si>
  <si>
    <t>Perc. con pav.:
esaurimento</t>
  </si>
  <si>
    <t>Perc. con pav.:
pagata</t>
  </si>
  <si>
    <t>Perc. con pav.:
capitale (W)</t>
  </si>
  <si>
    <t>Perc. variabile:
percentuale</t>
  </si>
  <si>
    <t>Perc. variabile:
pianificata</t>
  </si>
  <si>
    <t>Perc. variabile:
venduto</t>
  </si>
  <si>
    <t>Perc. variabile:
esaurimento</t>
  </si>
  <si>
    <t>Perc. variabile:
pagata</t>
  </si>
  <si>
    <t>Perc. variabile:
capitale (W)</t>
  </si>
  <si>
    <t>Guardrail: prima
della regola</t>
  </si>
  <si>
    <t>Guardrail:
tasso corrente</t>
  </si>
  <si>
    <t>Guardrail:
pianificata</t>
  </si>
  <si>
    <t>Guardrail:
venduto</t>
  </si>
  <si>
    <t>Guardrail:
esaurimento</t>
  </si>
  <si>
    <t>Guardrail:
pagata</t>
  </si>
  <si>
    <t>Guardrail:
capitale (W)</t>
  </si>
  <si>
    <t>Tetto e pav.:
pianificata</t>
  </si>
  <si>
    <t>Tetto e pav.:
venduto</t>
  </si>
  <si>
    <t>Tetto e pav.:
esaurimento</t>
  </si>
  <si>
    <t>Tetto e pav.:
pagata</t>
  </si>
  <si>
    <t>Tetto e pav.:
capitale (W)</t>
  </si>
  <si>
    <t>Cambio %
fisso</t>
  </si>
  <si>
    <t>Cambio %
perc. costante</t>
  </si>
  <si>
    <t>Cambio %
perc. con pav.</t>
  </si>
  <si>
    <t>Cambio %
perc. variabile</t>
  </si>
  <si>
    <t>Cambio %
guardrail</t>
  </si>
  <si>
    <t>Cambio %
tetto e pav.</t>
  </si>
  <si>
    <t>3 - Rendimento costante: spesa pagata e capitale, anno per anno (euro di oggi)</t>
  </si>
  <si>
    <t>4 - Fisco e pensione: quanto capitale serve davvero (euro di oggi)</t>
  </si>
  <si>
    <t>L'ordine dei prelievi fra le sacche del portafoglio NON è in questo file: i numeri del video sull'ordine vengono da uno script. Qui il calcolo è in forma chiusa: ogni anno si vende quanto serve per avere in cassa la spesa netta, pagando il 26% sulla sola plusvalenza latente.</t>
  </si>
  <si>
    <t>Capitale necessario oggi per spendere la spesa netta fino a fine piano (valore attuale al rendimento reale costante)</t>
  </si>
  <si>
    <t>Senza pensione</t>
  </si>
  <si>
    <t>Piano per Anni anni; l'ultimo anno conta solo i mesi indicati.</t>
  </si>
  <si>
    <t>Con pensione (parametro «Pensione»)</t>
  </si>
  <si>
    <t>Differenza dovuta alla pensione</t>
  </si>
  <si>
    <t>Differenza in % del capitale senza pensione</t>
  </si>
  <si>
    <t>Scenario di pensione</t>
  </si>
  <si>
    <t>Pensione netta
annua</t>
  </si>
  <si>
    <t>Capitale necessario
con pensione</t>
  </si>
  <si>
    <t>Revisione centrale (parametro «Pensione»)</t>
  </si>
  <si>
    <t>Alternativa 1 (coefficienti di oggi)</t>
  </si>
  <si>
    <t>Alternativa 2 (revisione accelerata)</t>
  </si>
  <si>
    <t>Ipotesi di scuola: requisito fermo a 67 anni</t>
  </si>
  <si>
    <t>Il primo anno: quanto esce davvero dal portafoglio</t>
  </si>
  <si>
    <t>Venduto necessario per la spesa netta</t>
  </si>
  <si>
    <t>Imposta sulla plusvalenza</t>
  </si>
  <si>
    <t>Bollo sul patrimonio</t>
  </si>
  <si>
    <t>Uscita totale dal portafoglio</t>
  </si>
  <si>
    <t>Tasso lordo equivalente (venduto / patrimonio)</t>
  </si>
  <si>
    <t>Tasso con il bollo (uscita / patrimonio)</t>
  </si>
  <si>
    <t>Confronto fra tassi di prelievo lordi (primo anno)</t>
  </si>
  <si>
    <t>Tasso di prelievo
lordo</t>
  </si>
  <si>
    <t>Venduto</t>
  </si>
  <si>
    <t>Netto dopo
imposta</t>
  </si>
  <si>
    <t>Netto dopo
bollo</t>
  </si>
  <si>
    <t>% della
spesa netta</t>
  </si>
  <si>
    <t>Capitale per la spesa netta
al primo anno (non è un piano)</t>
  </si>
  <si>
    <t>La plusvalenza latente cresce: l'imposta sul venduto pesa sempre di più</t>
  </si>
  <si>
    <t>Plusvalenza latente al primo anno</t>
  </si>
  <si>
    <t>Plusvalenza latente all'anno della pensione</t>
  </si>
  <si>
    <t>Plusvalenza latente all'ultimo anno del piano</t>
  </si>
  <si>
    <t>Imposta sul venduto, primo anno</t>
  </si>
  <si>
    <t>Imposta sul venduto, ultimo anno del piano</t>
  </si>
  <si>
    <t>Il ponte: capitale richiesto all'inizio dell'anno della prima rata di pensione</t>
  </si>
  <si>
    <t>Serve per coprire i fabbisogni residui, già al netto della pensione, con tre ipotesi di plusvalenza latente quel giorno.</t>
  </si>
  <si>
    <t>Ipotesi di plusvalenza latente</t>
  </si>
  <si>
    <t>Plusvalenza
latente</t>
  </si>
  <si>
    <t>Capitale
richiesto</t>
  </si>
  <si>
    <t>Latente iniziale (Latente0)</t>
  </si>
  <si>
    <t>Seconda ipotesi (Lat_ponte2)</t>
  </si>
  <si>
    <t>Latente effettiva all'anno della pensione</t>
  </si>
  <si>
    <t>Confronto con il capitale delle regole all'anno della pensione (foglio 2)</t>
  </si>
  <si>
    <t>Il confronto è omogeneo solo in modalità «tassato»: il richiesto è netto di imposte, il capitale delle regole è lordo di imposte latenti.</t>
  </si>
  <si>
    <t>Capitale a inizio
anno della pensione</t>
  </si>
  <si>
    <t>Richiesto
(latente iniziale)</t>
  </si>
  <si>
    <t>Differenza</t>
  </si>
  <si>
    <t>Motore del calcolo, non modificare (forma chiusa, nessuna bisezione)</t>
  </si>
  <si>
    <t>Anno della
sequenza</t>
  </si>
  <si>
    <t>Fabbisogno netto
senza pensione</t>
  </si>
  <si>
    <t>Fabbisogno netto
con pensione</t>
  </si>
  <si>
    <t>k = base di
costo / valore</t>
  </si>
  <si>
    <t>Venduto senza
pensione</t>
  </si>
  <si>
    <t>Venduto con
pensione</t>
  </si>
  <si>
    <t>Fattore di
sconto</t>
  </si>
  <si>
    <t>Valore attuale
senza pensione</t>
  </si>
  <si>
    <t>Valore attuale
con pensione</t>
  </si>
  <si>
    <t>s = anni dalla
prima rata</t>
  </si>
  <si>
    <t>Ponte con
latente iniziale</t>
  </si>
  <si>
    <t>Ponte con
seconda ipotesi</t>
  </si>
  <si>
    <t>Ponte con latente
effettiva</t>
  </si>
  <si>
    <t>Valore attuale
alternativa 1</t>
  </si>
  <si>
    <t>Valore attuale
alternativa 2</t>
  </si>
  <si>
    <t>Valore attuale
alternativa 3</t>
  </si>
  <si>
    <t>5 - Dati: serie annuali e tabella di controllo della percentuale variabile</t>
  </si>
  <si>
    <t>Serie annuali in euro: la partenza è gennaio, i rendimenti vanno da febbraio a gennaio. EUR = 60% indice azionario mondiale in euro (rendimento netto) + 40% titolo di Stato tedesco a dieci anni (serie sintetica), inflazione armonizzata italiana (HICP), gennaio 2000-gennaio 2026. USA = 60% azioni e 40% titoli di Stato americani dal 1871, inflazione americana (serie storica di Shiller). Colonne C, D, E: dati di fonte. Colonna F: formula (60% azioni + 40% obbligazioni, ribilanciato ogni anno).</t>
  </si>
  <si>
    <t>Serie annuali (euro nominali, inflazione dell'anno)</t>
  </si>
  <si>
    <t>Tabella della percentuale variabile di una comunità di investitori americani (controllo)</t>
  </si>
  <si>
    <t>Serie</t>
  </si>
  <si>
    <t>Anno di partenza
(gennaio)</t>
  </si>
  <si>
    <t>Rendimento azioni
nominale</t>
  </si>
  <si>
    <t>Rendimento obbligazioni
nominale</t>
  </si>
  <si>
    <t>Inflazione
dell'anno</t>
  </si>
  <si>
    <t>Rendimento 60/40
nominale</t>
  </si>
  <si>
    <t>Anni
residui</t>
  </si>
  <si>
    <t>30%
azioni</t>
  </si>
  <si>
    <t>40%
azioni</t>
  </si>
  <si>
    <t>50%
azioni</t>
  </si>
  <si>
    <t>60%
azioni</t>
  </si>
  <si>
    <t>70%
azioni</t>
  </si>
  <si>
    <t>Ricostruzione
60/40 (%)</t>
  </si>
  <si>
    <t>Scarto
(punti %)</t>
  </si>
  <si>
    <t>USA</t>
  </si>
  <si>
    <t>Celle con scarto:</t>
  </si>
  <si>
    <t>Controllo: la tabella del 60% azioni si ricostruisce con un rendimento reale del 3,76% (5% azioni, 1,9% obbligazioni, annualità anticipata). Con il parametro r_VPW del foglio 1 la regola usa invece il rendimento che scegli tu (default 3%).</t>
  </si>
  <si>
    <t>r reale 60/40: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</si>
</sst>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&quot; €&quot;"/>
    <numFmt numFmtId="165" formatCode="0.000%"/>
    <numFmt numFmtId="166" formatCode="0.0000"/>
    <numFmt numFmtId="167" formatCode="#,##0.00&quot; €&quot;"/>
    <numFmt numFmtId="168" formatCode="0.00000"/>
    <numFmt numFmtId="169" formatCode="0.0000%"/>
    <numFmt numFmtId="170" formatCode="0.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49" fontId="5" fillId="6" borderId="1" xfId="0" applyNumberFormat="1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right" vertical="center"/>
    </xf>
    <xf numFmtId="1" fontId="5" fillId="0" borderId="1" xfId="0" applyNumberFormat="1" applyFont="1" applyBorder="1"/>
    <xf numFmtId="10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7" fontId="5" fillId="6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 wrapText="1"/>
    </xf>
    <xf numFmtId="167" fontId="5" fillId="0" borderId="1" xfId="0" applyNumberFormat="1" applyFont="1" applyBorder="1"/>
    <xf numFmtId="168" fontId="5" fillId="0" borderId="1" xfId="0" applyNumberFormat="1" applyFont="1" applyBorder="1"/>
    <xf numFmtId="0" fontId="5" fillId="0" borderId="1" xfId="0" applyFont="1" applyBorder="1"/>
    <xf numFmtId="169" fontId="5" fillId="0" borderId="1" xfId="0" applyNumberFormat="1" applyFont="1" applyBorder="1"/>
    <xf numFmtId="169" fontId="5" fillId="6" borderId="1" xfId="0" applyNumberFormat="1" applyFont="1" applyFill="1" applyBorder="1" applyAlignment="1">
      <alignment horizontal="right" vertical="center"/>
    </xf>
    <xf numFmtId="170" fontId="5" fillId="0" borderId="1" xfId="0" applyNumberFormat="1" applyFont="1" applyBorder="1"/>
    <xf numFmtId="170" fontId="5" fillId="6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6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Spesa pagata per regola (euro di oggi)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'2 - Sequenza storica'!$D$5</c:f>
              <c:strCache>
                <c:ptCount val="1"/>
                <c:pt idx="0">
                  <c:v>Spesa pagata:
Fisso indicizzato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'2 - Sequenza storica'!$C$6:$C$47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'2 - Sequenza storica'!$D$6:$D$47</c:f>
              <c:numCache>
                <c:formatCode>#,##0" €"</c:formatCode>
                <c:ptCount val="42"/>
                <c:pt idx="0">
                  <c:v>38000</c:v>
                </c:pt>
                <c:pt idx="1">
                  <c:v>38000</c:v>
                </c:pt>
                <c:pt idx="2">
                  <c:v>38000</c:v>
                </c:pt>
                <c:pt idx="3">
                  <c:v>38000</c:v>
                </c:pt>
                <c:pt idx="4">
                  <c:v>38000</c:v>
                </c:pt>
                <c:pt idx="5">
                  <c:v>38000</c:v>
                </c:pt>
                <c:pt idx="6">
                  <c:v>38000</c:v>
                </c:pt>
                <c:pt idx="7">
                  <c:v>38000</c:v>
                </c:pt>
                <c:pt idx="8">
                  <c:v>38000</c:v>
                </c:pt>
                <c:pt idx="9">
                  <c:v>38000</c:v>
                </c:pt>
                <c:pt idx="10">
                  <c:v>38000</c:v>
                </c:pt>
                <c:pt idx="11">
                  <c:v>38000</c:v>
                </c:pt>
                <c:pt idx="12">
                  <c:v>38000</c:v>
                </c:pt>
                <c:pt idx="13">
                  <c:v>38000</c:v>
                </c:pt>
                <c:pt idx="14">
                  <c:v>38000</c:v>
                </c:pt>
                <c:pt idx="15">
                  <c:v>38000</c:v>
                </c:pt>
                <c:pt idx="16">
                  <c:v>38000</c:v>
                </c:pt>
                <c:pt idx="17">
                  <c:v>38000</c:v>
                </c:pt>
                <c:pt idx="18">
                  <c:v>38000</c:v>
                </c:pt>
                <c:pt idx="19">
                  <c:v>38000</c:v>
                </c:pt>
                <c:pt idx="20">
                  <c:v>38000</c:v>
                </c:pt>
                <c:pt idx="21">
                  <c:v>38000</c:v>
                </c:pt>
                <c:pt idx="22">
                  <c:v>38000</c:v>
                </c:pt>
                <c:pt idx="23">
                  <c:v>38000</c:v>
                </c:pt>
                <c:pt idx="24">
                  <c:v>38000</c:v>
                </c:pt>
                <c:pt idx="25">
                  <c:v>38000</c:v>
                </c:pt>
                <c:pt idx="26">
                  <c:v>38000</c:v>
                </c:pt>
                <c:pt idx="27">
                  <c:v>38000</c:v>
                </c:pt>
                <c:pt idx="28">
                  <c:v>33185.562696250599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'2 - Sequenza storica'!$E$5</c:f>
              <c:strCache>
                <c:ptCount val="1"/>
                <c:pt idx="0">
                  <c:v>Spesa pagata:
Percentuale costante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'2 - Sequenza storica'!$C$6:$C$47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'2 - Sequenza storica'!$E$6:$E$47</c:f>
              <c:numCache>
                <c:formatCode>#,##0" €"</c:formatCode>
                <c:ptCount val="42"/>
                <c:pt idx="0">
                  <c:v>38000</c:v>
                </c:pt>
                <c:pt idx="1">
                  <c:v>36810.118126540365</c:v>
                </c:pt>
                <c:pt idx="2">
                  <c:v>32361.466818255583</c:v>
                </c:pt>
                <c:pt idx="3">
                  <c:v>26006.674282128508</c:v>
                </c:pt>
                <c:pt idx="4">
                  <c:v>26959.760172574533</c:v>
                </c:pt>
                <c:pt idx="5">
                  <c:v>26924.160977169948</c:v>
                </c:pt>
                <c:pt idx="6">
                  <c:v>28803.531089012395</c:v>
                </c:pt>
                <c:pt idx="7">
                  <c:v>28184.306796437901</c:v>
                </c:pt>
                <c:pt idx="8">
                  <c:v>24895.373398090185</c:v>
                </c:pt>
                <c:pt idx="9">
                  <c:v>20288.787693574683</c:v>
                </c:pt>
                <c:pt idx="10">
                  <c:v>21967.594390460341</c:v>
                </c:pt>
                <c:pt idx="11">
                  <c:v>23079.085603563432</c:v>
                </c:pt>
                <c:pt idx="12">
                  <c:v>22715.18270055325</c:v>
                </c:pt>
                <c:pt idx="13">
                  <c:v>22900.852648230692</c:v>
                </c:pt>
                <c:pt idx="14">
                  <c:v>23804.130762441742</c:v>
                </c:pt>
                <c:pt idx="15">
                  <c:v>27559.052947146771</c:v>
                </c:pt>
                <c:pt idx="16">
                  <c:v>26193.397776665406</c:v>
                </c:pt>
                <c:pt idx="17">
                  <c:v>27061.879096721121</c:v>
                </c:pt>
                <c:pt idx="18">
                  <c:v>26721.950327066876</c:v>
                </c:pt>
                <c:pt idx="19">
                  <c:v>26121.972277688226</c:v>
                </c:pt>
                <c:pt idx="20">
                  <c:v>28429.323140011162</c:v>
                </c:pt>
                <c:pt idx="21">
                  <c:v>27909.093528686346</c:v>
                </c:pt>
                <c:pt idx="22">
                  <c:v>28714.467082019008</c:v>
                </c:pt>
                <c:pt idx="23">
                  <c:v>22438.063671793072</c:v>
                </c:pt>
                <c:pt idx="24">
                  <c:v>23532.821494164931</c:v>
                </c:pt>
                <c:pt idx="25">
                  <c:v>25520.186095386227</c:v>
                </c:pt>
                <c:pt idx="26">
                  <c:v>24728.186980185197</c:v>
                </c:pt>
                <c:pt idx="27">
                  <c:v>24329.974562050025</c:v>
                </c:pt>
                <c:pt idx="28">
                  <c:v>23940.683225286684</c:v>
                </c:pt>
                <c:pt idx="29">
                  <c:v>23559.985846630039</c:v>
                </c:pt>
                <c:pt idx="30">
                  <c:v>23187.571939270816</c:v>
                </c:pt>
                <c:pt idx="31">
                  <c:v>22823.146703364171</c:v>
                </c:pt>
                <c:pt idx="32">
                  <c:v>22466.430132389822</c:v>
                </c:pt>
                <c:pt idx="33">
                  <c:v>22117.156172054707</c:v>
                </c:pt>
                <c:pt idx="34">
                  <c:v>21775.071928625384</c:v>
                </c:pt>
                <c:pt idx="35">
                  <c:v>21439.936923762234</c:v>
                </c:pt>
                <c:pt idx="36">
                  <c:v>21111.522393101121</c:v>
                </c:pt>
                <c:pt idx="37">
                  <c:v>20789.610625991849</c:v>
                </c:pt>
                <c:pt idx="38">
                  <c:v>20473.994343956245</c:v>
                </c:pt>
                <c:pt idx="39">
                  <c:v>20164.476115573525</c:v>
                </c:pt>
                <c:pt idx="40">
                  <c:v>19860.867805636506</c:v>
                </c:pt>
                <c:pt idx="41">
                  <c:v>19562.990056550148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'2 - Sequenza storica'!$F$5</c:f>
              <c:strCache>
                <c:ptCount val="1"/>
                <c:pt idx="0">
                  <c:v>Spesa pagata:
Percentuale con pavimento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'2 - Sequenza storica'!$C$6:$C$47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'2 - Sequenza storica'!$F$6:$F$47</c:f>
              <c:numCache>
                <c:formatCode>#,##0" €"</c:formatCode>
                <c:ptCount val="42"/>
                <c:pt idx="0">
                  <c:v>38000</c:v>
                </c:pt>
                <c:pt idx="1">
                  <c:v>36810.118126540365</c:v>
                </c:pt>
                <c:pt idx="2">
                  <c:v>34200</c:v>
                </c:pt>
                <c:pt idx="3">
                  <c:v>34200</c:v>
                </c:pt>
                <c:pt idx="4">
                  <c:v>34200</c:v>
                </c:pt>
                <c:pt idx="5">
                  <c:v>34200</c:v>
                </c:pt>
                <c:pt idx="6">
                  <c:v>34200</c:v>
                </c:pt>
                <c:pt idx="7">
                  <c:v>34200</c:v>
                </c:pt>
                <c:pt idx="8">
                  <c:v>34200</c:v>
                </c:pt>
                <c:pt idx="9">
                  <c:v>34200</c:v>
                </c:pt>
                <c:pt idx="10">
                  <c:v>34200</c:v>
                </c:pt>
                <c:pt idx="11">
                  <c:v>34200</c:v>
                </c:pt>
                <c:pt idx="12">
                  <c:v>34200</c:v>
                </c:pt>
                <c:pt idx="13">
                  <c:v>34200</c:v>
                </c:pt>
                <c:pt idx="14">
                  <c:v>34200</c:v>
                </c:pt>
                <c:pt idx="15">
                  <c:v>34200</c:v>
                </c:pt>
                <c:pt idx="16">
                  <c:v>34200</c:v>
                </c:pt>
                <c:pt idx="17">
                  <c:v>34200</c:v>
                </c:pt>
                <c:pt idx="18">
                  <c:v>34200</c:v>
                </c:pt>
                <c:pt idx="19">
                  <c:v>34200</c:v>
                </c:pt>
                <c:pt idx="20">
                  <c:v>34200</c:v>
                </c:pt>
                <c:pt idx="21">
                  <c:v>34200</c:v>
                </c:pt>
                <c:pt idx="22">
                  <c:v>34200</c:v>
                </c:pt>
                <c:pt idx="23">
                  <c:v>34200</c:v>
                </c:pt>
                <c:pt idx="24">
                  <c:v>34200</c:v>
                </c:pt>
                <c:pt idx="25">
                  <c:v>34200</c:v>
                </c:pt>
                <c:pt idx="26">
                  <c:v>34200</c:v>
                </c:pt>
                <c:pt idx="27">
                  <c:v>34200</c:v>
                </c:pt>
                <c:pt idx="28">
                  <c:v>34200</c:v>
                </c:pt>
                <c:pt idx="29">
                  <c:v>34200</c:v>
                </c:pt>
                <c:pt idx="30">
                  <c:v>34200</c:v>
                </c:pt>
                <c:pt idx="31">
                  <c:v>34200</c:v>
                </c:pt>
                <c:pt idx="32">
                  <c:v>34200</c:v>
                </c:pt>
                <c:pt idx="33">
                  <c:v>34200</c:v>
                </c:pt>
                <c:pt idx="34">
                  <c:v>14580.776298505438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'2 - Sequenza storica'!$G$5</c:f>
              <c:strCache>
                <c:ptCount val="1"/>
                <c:pt idx="0">
                  <c:v>Spesa pagata:
Percentuale variabile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'2 - Sequenza storica'!$C$6:$C$47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'2 - Sequenza storica'!$G$6:$G$47</c:f>
              <c:numCache>
                <c:formatCode>#,##0" €"</c:formatCode>
                <c:ptCount val="42"/>
                <c:pt idx="0">
                  <c:v>35662.760400352119</c:v>
                </c:pt>
                <c:pt idx="1">
                  <c:v>34957.975687541235</c:v>
                </c:pt>
                <c:pt idx="2">
                  <c:v>31099.611857237829</c:v>
                </c:pt>
                <c:pt idx="3">
                  <c:v>25290.609427418894</c:v>
                </c:pt>
                <c:pt idx="4">
                  <c:v>26530.058426447526</c:v>
                </c:pt>
                <c:pt idx="5">
                  <c:v>26810.941565105903</c:v>
                </c:pt>
                <c:pt idx="6">
                  <c:v>29024.404998050806</c:v>
                </c:pt>
                <c:pt idx="7">
                  <c:v>28739.066454986187</c:v>
                </c:pt>
                <c:pt idx="8">
                  <c:v>25688.080242342337</c:v>
                </c:pt>
                <c:pt idx="9">
                  <c:v>21184.431211600349</c:v>
                </c:pt>
                <c:pt idx="10">
                  <c:v>23210.843171534325</c:v>
                </c:pt>
                <c:pt idx="11">
                  <c:v>24675.997623446798</c:v>
                </c:pt>
                <c:pt idx="12">
                  <c:v>24576.50156453246</c:v>
                </c:pt>
                <c:pt idx="13">
                  <c:v>25072.820151184154</c:v>
                </c:pt>
                <c:pt idx="14">
                  <c:v>26372.516097004987</c:v>
                </c:pt>
                <c:pt idx="15">
                  <c:v>30896.638652133017</c:v>
                </c:pt>
                <c:pt idx="16">
                  <c:v>29715.735799229809</c:v>
                </c:pt>
                <c:pt idx="17">
                  <c:v>31067.070665901199</c:v>
                </c:pt>
                <c:pt idx="18">
                  <c:v>31042.608939852249</c:v>
                </c:pt>
                <c:pt idx="19">
                  <c:v>30707.448449275933</c:v>
                </c:pt>
                <c:pt idx="20">
                  <c:v>33818.317162381056</c:v>
                </c:pt>
                <c:pt idx="21">
                  <c:v>33595.329864419189</c:v>
                </c:pt>
                <c:pt idx="22">
                  <c:v>34976.92653298653</c:v>
                </c:pt>
                <c:pt idx="23">
                  <c:v>27657.566548260889</c:v>
                </c:pt>
                <c:pt idx="24">
                  <c:v>29352.851415968136</c:v>
                </c:pt>
                <c:pt idx="25">
                  <c:v>32211.269269298926</c:v>
                </c:pt>
                <c:pt idx="26">
                  <c:v>31583.771062492491</c:v>
                </c:pt>
                <c:pt idx="27">
                  <c:v>31445.68557320609</c:v>
                </c:pt>
                <c:pt idx="28">
                  <c:v>31311.484524578784</c:v>
                </c:pt>
                <c:pt idx="29">
                  <c:v>31180.986362800817</c:v>
                </c:pt>
                <c:pt idx="30">
                  <c:v>31054.018267165618</c:v>
                </c:pt>
                <c:pt idx="31">
                  <c:v>30930.415729479955</c:v>
                </c:pt>
                <c:pt idx="32">
                  <c:v>30810.022153730752</c:v>
                </c:pt>
                <c:pt idx="33">
                  <c:v>30692.688475033188</c:v>
                </c:pt>
                <c:pt idx="34">
                  <c:v>30578.272796931287</c:v>
                </c:pt>
                <c:pt idx="35">
                  <c:v>30466.640046167216</c:v>
                </c:pt>
                <c:pt idx="36">
                  <c:v>30357.661644077732</c:v>
                </c:pt>
                <c:pt idx="37">
                  <c:v>30251.215193817232</c:v>
                </c:pt>
                <c:pt idx="38">
                  <c:v>30147.184182644938</c:v>
                </c:pt>
                <c:pt idx="39">
                  <c:v>30045.457698550857</c:v>
                </c:pt>
                <c:pt idx="40">
                  <c:v>29945.930160529759</c:v>
                </c:pt>
                <c:pt idx="41">
                  <c:v>29848.501061845855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'2 - Sequenza storica'!$H$5</c:f>
              <c:strCache>
                <c:ptCount val="1"/>
                <c:pt idx="0">
                  <c:v>Spesa pagata:
Guardrail (senza tetto all'inflazione)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'2 - Sequenza storica'!$C$6:$C$47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'2 - Sequenza storica'!$H$6:$H$47</c:f>
              <c:numCache>
                <c:formatCode>#,##0" €"</c:formatCode>
                <c:ptCount val="42"/>
                <c:pt idx="0">
                  <c:v>38000</c:v>
                </c:pt>
                <c:pt idx="1">
                  <c:v>38000</c:v>
                </c:pt>
                <c:pt idx="2">
                  <c:v>37157.756648942966</c:v>
                </c:pt>
                <c:pt idx="3">
                  <c:v>32509.504684380692</c:v>
                </c:pt>
                <c:pt idx="4">
                  <c:v>29258.554215942619</c:v>
                </c:pt>
                <c:pt idx="5">
                  <c:v>29258.554215942619</c:v>
                </c:pt>
                <c:pt idx="6">
                  <c:v>29258.554215942615</c:v>
                </c:pt>
                <c:pt idx="7">
                  <c:v>29258.554215942615</c:v>
                </c:pt>
                <c:pt idx="8">
                  <c:v>28363.898429834862</c:v>
                </c:pt>
                <c:pt idx="9">
                  <c:v>25185.240165591385</c:v>
                </c:pt>
                <c:pt idx="10">
                  <c:v>22666.716149032247</c:v>
                </c:pt>
                <c:pt idx="11">
                  <c:v>22666.716149032247</c:v>
                </c:pt>
                <c:pt idx="12">
                  <c:v>22666.716149032247</c:v>
                </c:pt>
                <c:pt idx="13">
                  <c:v>22666.716149032247</c:v>
                </c:pt>
                <c:pt idx="14">
                  <c:v>22666.716149032247</c:v>
                </c:pt>
                <c:pt idx="15">
                  <c:v>22666.716149032247</c:v>
                </c:pt>
                <c:pt idx="16">
                  <c:v>22666.716149032247</c:v>
                </c:pt>
                <c:pt idx="17">
                  <c:v>22666.716149032247</c:v>
                </c:pt>
                <c:pt idx="18">
                  <c:v>22666.716149032247</c:v>
                </c:pt>
                <c:pt idx="19">
                  <c:v>22666.716149032247</c:v>
                </c:pt>
                <c:pt idx="20">
                  <c:v>22666.716149032247</c:v>
                </c:pt>
                <c:pt idx="21">
                  <c:v>22666.716149032247</c:v>
                </c:pt>
                <c:pt idx="22">
                  <c:v>22666.716149032247</c:v>
                </c:pt>
                <c:pt idx="23">
                  <c:v>20481.743793274625</c:v>
                </c:pt>
                <c:pt idx="24">
                  <c:v>20481.743793274625</c:v>
                </c:pt>
                <c:pt idx="25">
                  <c:v>20481.743793274625</c:v>
                </c:pt>
                <c:pt idx="26">
                  <c:v>20481.743793274625</c:v>
                </c:pt>
                <c:pt idx="27">
                  <c:v>20481.743793274625</c:v>
                </c:pt>
                <c:pt idx="28">
                  <c:v>20481.743793274625</c:v>
                </c:pt>
                <c:pt idx="29">
                  <c:v>20481.743793274625</c:v>
                </c:pt>
                <c:pt idx="30">
                  <c:v>20481.743793274625</c:v>
                </c:pt>
                <c:pt idx="31">
                  <c:v>20481.743793274625</c:v>
                </c:pt>
                <c:pt idx="32">
                  <c:v>20481.743793274625</c:v>
                </c:pt>
                <c:pt idx="33">
                  <c:v>20481.743793274625</c:v>
                </c:pt>
                <c:pt idx="34">
                  <c:v>20481.743793274625</c:v>
                </c:pt>
                <c:pt idx="35">
                  <c:v>20481.743793274625</c:v>
                </c:pt>
                <c:pt idx="36">
                  <c:v>20481.743793274625</c:v>
                </c:pt>
                <c:pt idx="37">
                  <c:v>20481.743793274625</c:v>
                </c:pt>
                <c:pt idx="38">
                  <c:v>20481.743793274625</c:v>
                </c:pt>
                <c:pt idx="39">
                  <c:v>20481.743793274625</c:v>
                </c:pt>
                <c:pt idx="40">
                  <c:v>20481.743793274625</c:v>
                </c:pt>
                <c:pt idx="41">
                  <c:v>20481.743793274625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'2 - Sequenza storica'!$I$5</c:f>
              <c:strCache>
                <c:ptCount val="1"/>
                <c:pt idx="0">
                  <c:v>Spesa pagata:
Tetto e pavimento (+5% / −2,5%)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'2 - Sequenza storica'!$C$6:$C$47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'2 - Sequenza storica'!$I$6:$I$47</c:f>
              <c:numCache>
                <c:formatCode>#,##0" €"</c:formatCode>
                <c:ptCount val="42"/>
                <c:pt idx="0">
                  <c:v>38000</c:v>
                </c:pt>
                <c:pt idx="1">
                  <c:v>37050</c:v>
                </c:pt>
                <c:pt idx="2">
                  <c:v>36123.75</c:v>
                </c:pt>
                <c:pt idx="3">
                  <c:v>35220.65625</c:v>
                </c:pt>
                <c:pt idx="4">
                  <c:v>34340.139843749996</c:v>
                </c:pt>
                <c:pt idx="5">
                  <c:v>33481.636347656247</c:v>
                </c:pt>
                <c:pt idx="6">
                  <c:v>32644.59543896484</c:v>
                </c:pt>
                <c:pt idx="7">
                  <c:v>31828.480552990717</c:v>
                </c:pt>
                <c:pt idx="8">
                  <c:v>31032.768539165947</c:v>
                </c:pt>
                <c:pt idx="9">
                  <c:v>30256.949325686794</c:v>
                </c:pt>
                <c:pt idx="10">
                  <c:v>29500.525592544629</c:v>
                </c:pt>
                <c:pt idx="11">
                  <c:v>28763.012452731007</c:v>
                </c:pt>
                <c:pt idx="12">
                  <c:v>28043.937141412734</c:v>
                </c:pt>
                <c:pt idx="13">
                  <c:v>27342.838712877416</c:v>
                </c:pt>
                <c:pt idx="14">
                  <c:v>26659.26774505548</c:v>
                </c:pt>
                <c:pt idx="15">
                  <c:v>25992.786051429091</c:v>
                </c:pt>
                <c:pt idx="16">
                  <c:v>25342.966400143363</c:v>
                </c:pt>
                <c:pt idx="17">
                  <c:v>24709.392240139779</c:v>
                </c:pt>
                <c:pt idx="18">
                  <c:v>24091.657434136283</c:v>
                </c:pt>
                <c:pt idx="19">
                  <c:v>23489.365998282876</c:v>
                </c:pt>
                <c:pt idx="20">
                  <c:v>22902.131848325804</c:v>
                </c:pt>
                <c:pt idx="21">
                  <c:v>22477.889546561913</c:v>
                </c:pt>
                <c:pt idx="22">
                  <c:v>23126.53468284792</c:v>
                </c:pt>
                <c:pt idx="23">
                  <c:v>22548.37131577672</c:v>
                </c:pt>
                <c:pt idx="24">
                  <c:v>21984.662032882301</c:v>
                </c:pt>
                <c:pt idx="25">
                  <c:v>21435.045482060243</c:v>
                </c:pt>
                <c:pt idx="26">
                  <c:v>20899.169345008737</c:v>
                </c:pt>
                <c:pt idx="27">
                  <c:v>20376.690111383519</c:v>
                </c:pt>
                <c:pt idx="28">
                  <c:v>19867.272858598932</c:v>
                </c:pt>
                <c:pt idx="29">
                  <c:v>19370.59103713396</c:v>
                </c:pt>
                <c:pt idx="30">
                  <c:v>18886.32626120561</c:v>
                </c:pt>
                <c:pt idx="31">
                  <c:v>18414.168104675467</c:v>
                </c:pt>
                <c:pt idx="32">
                  <c:v>17953.81390205858</c:v>
                </c:pt>
                <c:pt idx="33">
                  <c:v>17504.968554507115</c:v>
                </c:pt>
                <c:pt idx="34">
                  <c:v>17067.344340644438</c:v>
                </c:pt>
                <c:pt idx="35">
                  <c:v>16651.760708504004</c:v>
                </c:pt>
                <c:pt idx="36">
                  <c:v>16396.690919949564</c:v>
                </c:pt>
                <c:pt idx="37">
                  <c:v>16146.671634248483</c:v>
                </c:pt>
                <c:pt idx="38">
                  <c:v>15901.541864377759</c:v>
                </c:pt>
                <c:pt idx="39">
                  <c:v>15661.148271230719</c:v>
                </c:pt>
                <c:pt idx="40">
                  <c:v>15425.344735793013</c:v>
                </c:pt>
                <c:pt idx="41">
                  <c:v>15193.991956360323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14272"/>
        <c:axId val="204215808"/>
      </c:lineChart>
      <c:catAx>
        <c:axId val="20421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Anno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4215808"/>
        <c:crosses val="autoZero"/>
        <c:auto val="1"/>
        <c:lblAlgn val="ctr"/>
        <c:lblOffset val="100"/>
        <c:noMultiLvlLbl val="1"/>
      </c:catAx>
      <c:valAx>
        <c:axId val="204215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€ l'anno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20421427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Spesa pagata per regola (euro di oggi)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'3 - Rendimento costante'!$D$5</c:f>
              <c:strCache>
                <c:ptCount val="1"/>
                <c:pt idx="0">
                  <c:v>Spesa pagata:
Fisso indicizzato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 Rendimento costante'!$C$6:$C$47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'3 - Rendimento costante'!$D$6:$D$47</c:f>
              <c:numCache>
                <c:formatCode>#,##0" €"</c:formatCode>
                <c:ptCount val="42"/>
                <c:pt idx="0">
                  <c:v>38000</c:v>
                </c:pt>
                <c:pt idx="1">
                  <c:v>38000</c:v>
                </c:pt>
                <c:pt idx="2">
                  <c:v>38000</c:v>
                </c:pt>
                <c:pt idx="3">
                  <c:v>38000</c:v>
                </c:pt>
                <c:pt idx="4">
                  <c:v>38000</c:v>
                </c:pt>
                <c:pt idx="5">
                  <c:v>38000</c:v>
                </c:pt>
                <c:pt idx="6">
                  <c:v>38000</c:v>
                </c:pt>
                <c:pt idx="7">
                  <c:v>38000</c:v>
                </c:pt>
                <c:pt idx="8">
                  <c:v>38000</c:v>
                </c:pt>
                <c:pt idx="9">
                  <c:v>38000</c:v>
                </c:pt>
                <c:pt idx="10">
                  <c:v>38000</c:v>
                </c:pt>
                <c:pt idx="11">
                  <c:v>38000</c:v>
                </c:pt>
                <c:pt idx="12">
                  <c:v>38000</c:v>
                </c:pt>
                <c:pt idx="13">
                  <c:v>38000</c:v>
                </c:pt>
                <c:pt idx="14">
                  <c:v>38000</c:v>
                </c:pt>
                <c:pt idx="15">
                  <c:v>38000</c:v>
                </c:pt>
                <c:pt idx="16">
                  <c:v>38000</c:v>
                </c:pt>
                <c:pt idx="17">
                  <c:v>38000</c:v>
                </c:pt>
                <c:pt idx="18">
                  <c:v>38000</c:v>
                </c:pt>
                <c:pt idx="19">
                  <c:v>38000</c:v>
                </c:pt>
                <c:pt idx="20">
                  <c:v>38000</c:v>
                </c:pt>
                <c:pt idx="21">
                  <c:v>38000</c:v>
                </c:pt>
                <c:pt idx="22">
                  <c:v>38000</c:v>
                </c:pt>
                <c:pt idx="23">
                  <c:v>38000</c:v>
                </c:pt>
                <c:pt idx="24">
                  <c:v>38000</c:v>
                </c:pt>
                <c:pt idx="25">
                  <c:v>38000</c:v>
                </c:pt>
                <c:pt idx="26">
                  <c:v>38000</c:v>
                </c:pt>
                <c:pt idx="27">
                  <c:v>38000</c:v>
                </c:pt>
                <c:pt idx="28">
                  <c:v>38000</c:v>
                </c:pt>
                <c:pt idx="29">
                  <c:v>38000</c:v>
                </c:pt>
                <c:pt idx="30">
                  <c:v>38000</c:v>
                </c:pt>
                <c:pt idx="31">
                  <c:v>38000</c:v>
                </c:pt>
                <c:pt idx="32">
                  <c:v>38000</c:v>
                </c:pt>
                <c:pt idx="33">
                  <c:v>38000</c:v>
                </c:pt>
                <c:pt idx="34">
                  <c:v>38000</c:v>
                </c:pt>
                <c:pt idx="35">
                  <c:v>5737.3962100942072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'3 - Rendimento costante'!$E$5</c:f>
              <c:strCache>
                <c:ptCount val="1"/>
                <c:pt idx="0">
                  <c:v>Spesa pagata:
Percentuale costante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 Rendimento costante'!$C$6:$C$47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'3 - Rendimento costante'!$E$6:$E$47</c:f>
              <c:numCache>
                <c:formatCode>#,##0" €"</c:formatCode>
                <c:ptCount val="42"/>
                <c:pt idx="0">
                  <c:v>38000</c:v>
                </c:pt>
                <c:pt idx="1">
                  <c:v>37189.737427456603</c:v>
                </c:pt>
                <c:pt idx="2">
                  <c:v>36407.689148136407</c:v>
                </c:pt>
                <c:pt idx="3">
                  <c:v>35652.453624299247</c:v>
                </c:pt>
                <c:pt idx="4">
                  <c:v>34922.708772282786</c:v>
                </c:pt>
                <c:pt idx="5">
                  <c:v>34217.207296471846</c:v>
                </c:pt>
                <c:pt idx="6">
                  <c:v>33534.772299616598</c:v>
                </c:pt>
                <c:pt idx="7">
                  <c:v>32874.29315310005</c:v>
                </c:pt>
                <c:pt idx="8">
                  <c:v>32234.721611729139</c:v>
                </c:pt>
                <c:pt idx="9">
                  <c:v>31615.068158539609</c:v>
                </c:pt>
                <c:pt idx="10">
                  <c:v>31014.398565966148</c:v>
                </c:pt>
                <c:pt idx="11">
                  <c:v>30431.830660539643</c:v>
                </c:pt>
                <c:pt idx="12">
                  <c:v>29866.531279035546</c:v>
                </c:pt>
                <c:pt idx="13">
                  <c:v>29317.713404714297</c:v>
                </c:pt>
                <c:pt idx="14">
                  <c:v>28784.633472969232</c:v>
                </c:pt>
                <c:pt idx="15">
                  <c:v>28266.588836331408</c:v>
                </c:pt>
                <c:pt idx="16">
                  <c:v>27762.915379377726</c:v>
                </c:pt>
                <c:pt idx="17">
                  <c:v>27272.985274649916</c:v>
                </c:pt>
                <c:pt idx="18">
                  <c:v>26796.20487121971</c:v>
                </c:pt>
                <c:pt idx="19">
                  <c:v>26332.012708032216</c:v>
                </c:pt>
                <c:pt idx="20">
                  <c:v>25879.877644626515</c:v>
                </c:pt>
                <c:pt idx="21">
                  <c:v>25439.297102271932</c:v>
                </c:pt>
                <c:pt idx="22">
                  <c:v>25009.795408971604</c:v>
                </c:pt>
                <c:pt idx="23">
                  <c:v>24590.922242173721</c:v>
                </c:pt>
                <c:pt idx="24">
                  <c:v>24182.251163396471</c:v>
                </c:pt>
                <c:pt idx="25">
                  <c:v>23783.378239316578</c:v>
                </c:pt>
                <c:pt idx="26">
                  <c:v>23393.920744195064</c:v>
                </c:pt>
                <c:pt idx="27">
                  <c:v>23013.515938817738</c:v>
                </c:pt>
                <c:pt idx="28">
                  <c:v>22641.819921414648</c:v>
                </c:pt>
                <c:pt idx="29">
                  <c:v>22278.506546291595</c:v>
                </c:pt>
                <c:pt idx="30">
                  <c:v>21923.266406160245</c:v>
                </c:pt>
                <c:pt idx="31">
                  <c:v>21575.805874391564</c:v>
                </c:pt>
                <c:pt idx="32">
                  <c:v>21235.846203641308</c:v>
                </c:pt>
                <c:pt idx="33">
                  <c:v>20903.122677507177</c:v>
                </c:pt>
                <c:pt idx="34">
                  <c:v>20577.383812075444</c:v>
                </c:pt>
                <c:pt idx="35">
                  <c:v>20258.390604401266</c:v>
                </c:pt>
                <c:pt idx="36">
                  <c:v>19945.915825142551</c:v>
                </c:pt>
                <c:pt idx="37">
                  <c:v>19639.743352731901</c:v>
                </c:pt>
                <c:pt idx="38">
                  <c:v>19339.667546626701</c:v>
                </c:pt>
                <c:pt idx="39">
                  <c:v>19045.492657323171</c:v>
                </c:pt>
                <c:pt idx="40">
                  <c:v>18757.032270957621</c:v>
                </c:pt>
                <c:pt idx="41">
                  <c:v>18474.108786447297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'3 - Rendimento costante'!$F$5</c:f>
              <c:strCache>
                <c:ptCount val="1"/>
                <c:pt idx="0">
                  <c:v>Spesa pagata:
Percentuale con pavimento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 Rendimento costante'!$C$6:$C$47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'3 - Rendimento costante'!$F$6:$F$47</c:f>
              <c:numCache>
                <c:formatCode>#,##0" €"</c:formatCode>
                <c:ptCount val="42"/>
                <c:pt idx="0">
                  <c:v>38000</c:v>
                </c:pt>
                <c:pt idx="1">
                  <c:v>37189.737427456603</c:v>
                </c:pt>
                <c:pt idx="2">
                  <c:v>36407.689148136407</c:v>
                </c:pt>
                <c:pt idx="3">
                  <c:v>35652.453624299247</c:v>
                </c:pt>
                <c:pt idx="4">
                  <c:v>34922.708772282786</c:v>
                </c:pt>
                <c:pt idx="5">
                  <c:v>34217.207296471846</c:v>
                </c:pt>
                <c:pt idx="6">
                  <c:v>34200</c:v>
                </c:pt>
                <c:pt idx="7">
                  <c:v>34200</c:v>
                </c:pt>
                <c:pt idx="8">
                  <c:v>34200</c:v>
                </c:pt>
                <c:pt idx="9">
                  <c:v>34200</c:v>
                </c:pt>
                <c:pt idx="10">
                  <c:v>34200</c:v>
                </c:pt>
                <c:pt idx="11">
                  <c:v>34200</c:v>
                </c:pt>
                <c:pt idx="12">
                  <c:v>34200</c:v>
                </c:pt>
                <c:pt idx="13">
                  <c:v>34200</c:v>
                </c:pt>
                <c:pt idx="14">
                  <c:v>34200</c:v>
                </c:pt>
                <c:pt idx="15">
                  <c:v>34200</c:v>
                </c:pt>
                <c:pt idx="16">
                  <c:v>34200</c:v>
                </c:pt>
                <c:pt idx="17">
                  <c:v>34200</c:v>
                </c:pt>
                <c:pt idx="18">
                  <c:v>34200</c:v>
                </c:pt>
                <c:pt idx="19">
                  <c:v>34200</c:v>
                </c:pt>
                <c:pt idx="20">
                  <c:v>34200</c:v>
                </c:pt>
                <c:pt idx="21">
                  <c:v>34200</c:v>
                </c:pt>
                <c:pt idx="22">
                  <c:v>34200</c:v>
                </c:pt>
                <c:pt idx="23">
                  <c:v>34200</c:v>
                </c:pt>
                <c:pt idx="24">
                  <c:v>34200</c:v>
                </c:pt>
                <c:pt idx="25">
                  <c:v>34200</c:v>
                </c:pt>
                <c:pt idx="26">
                  <c:v>34200</c:v>
                </c:pt>
                <c:pt idx="27">
                  <c:v>34200</c:v>
                </c:pt>
                <c:pt idx="28">
                  <c:v>34200</c:v>
                </c:pt>
                <c:pt idx="29">
                  <c:v>34200</c:v>
                </c:pt>
                <c:pt idx="30">
                  <c:v>34200</c:v>
                </c:pt>
                <c:pt idx="31">
                  <c:v>34200</c:v>
                </c:pt>
                <c:pt idx="32">
                  <c:v>34200</c:v>
                </c:pt>
                <c:pt idx="33">
                  <c:v>34200</c:v>
                </c:pt>
                <c:pt idx="34">
                  <c:v>34200</c:v>
                </c:pt>
                <c:pt idx="35">
                  <c:v>34200</c:v>
                </c:pt>
                <c:pt idx="36">
                  <c:v>34200</c:v>
                </c:pt>
                <c:pt idx="37">
                  <c:v>34200</c:v>
                </c:pt>
                <c:pt idx="38">
                  <c:v>34200</c:v>
                </c:pt>
                <c:pt idx="39">
                  <c:v>34200</c:v>
                </c:pt>
                <c:pt idx="40">
                  <c:v>34200</c:v>
                </c:pt>
                <c:pt idx="41">
                  <c:v>797.0332575035336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'3 - Rendimento costante'!$G$5</c:f>
              <c:strCache>
                <c:ptCount val="1"/>
                <c:pt idx="0">
                  <c:v>Spesa pagata:
Percentuale variabile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 Rendimento costante'!$C$6:$C$47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'3 - Rendimento costante'!$G$6:$G$47</c:f>
              <c:numCache>
                <c:formatCode>#,##0" €"</c:formatCode>
                <c:ptCount val="42"/>
                <c:pt idx="0">
                  <c:v>35662.760400352119</c:v>
                </c:pt>
                <c:pt idx="1">
                  <c:v>35318.49401694</c:v>
                </c:pt>
                <c:pt idx="2">
                  <c:v>34988.061804642442</c:v>
                </c:pt>
                <c:pt idx="3">
                  <c:v>34670.802962335576</c:v>
                </c:pt>
                <c:pt idx="4">
                  <c:v>34366.088504043131</c:v>
                </c:pt>
                <c:pt idx="5">
                  <c:v>34073.319726646914</c:v>
                </c:pt>
                <c:pt idx="6">
                  <c:v>33791.926751396808</c:v>
                </c:pt>
                <c:pt idx="7">
                  <c:v>33521.36713566594</c:v>
                </c:pt>
                <c:pt idx="8">
                  <c:v>33261.124551567773</c:v>
                </c:pt>
                <c:pt idx="9">
                  <c:v>33010.707528214851</c:v>
                </c:pt>
                <c:pt idx="10">
                  <c:v>32769.648254553998</c:v>
                </c:pt>
                <c:pt idx="11">
                  <c:v>32537.501439860611</c:v>
                </c:pt>
                <c:pt idx="12">
                  <c:v>32313.843229114631</c:v>
                </c:pt>
                <c:pt idx="13">
                  <c:v>32098.270170615422</c:v>
                </c:pt>
                <c:pt idx="14">
                  <c:v>31890.398233319131</c:v>
                </c:pt>
                <c:pt idx="15">
                  <c:v>31689.861871504079</c:v>
                </c:pt>
                <c:pt idx="16">
                  <c:v>31496.313134484441</c:v>
                </c:pt>
                <c:pt idx="17">
                  <c:v>31309.420819202882</c:v>
                </c:pt>
                <c:pt idx="18">
                  <c:v>31128.869663636637</c:v>
                </c:pt>
                <c:pt idx="19">
                  <c:v>30954.359579051565</c:v>
                </c:pt>
                <c:pt idx="20">
                  <c:v>30785.604919233079</c:v>
                </c:pt>
                <c:pt idx="21">
                  <c:v>30622.333784913</c:v>
                </c:pt>
                <c:pt idx="22">
                  <c:v>30464.28736169725</c:v>
                </c:pt>
                <c:pt idx="23">
                  <c:v>30311.219289880832</c:v>
                </c:pt>
                <c:pt idx="24">
                  <c:v>30162.895064614397</c:v>
                </c:pt>
                <c:pt idx="25">
                  <c:v>30019.091464960438</c:v>
                </c:pt>
                <c:pt idx="26">
                  <c:v>29879.596010447876</c:v>
                </c:pt>
                <c:pt idx="27">
                  <c:v>29744.206443800434</c:v>
                </c:pt>
                <c:pt idx="28">
                  <c:v>29612.730238578421</c:v>
                </c:pt>
                <c:pt idx="29">
                  <c:v>29484.984130533758</c:v>
                </c:pt>
                <c:pt idx="30">
                  <c:v>29360.793671536438</c:v>
                </c:pt>
                <c:pt idx="31">
                  <c:v>29239.992804985046</c:v>
                </c:pt>
                <c:pt idx="32">
                  <c:v>29122.423461666807</c:v>
                </c:pt>
                <c:pt idx="33">
                  <c:v>29007.935175082068</c:v>
                </c:pt>
                <c:pt idx="34">
                  <c:v>28896.38471529595</c:v>
                </c:pt>
                <c:pt idx="35">
                  <c:v>28787.635740424714</c:v>
                </c:pt>
                <c:pt idx="36">
                  <c:v>28681.558464907466</c:v>
                </c:pt>
                <c:pt idx="37">
                  <c:v>28578.029343754923</c:v>
                </c:pt>
                <c:pt idx="38">
                  <c:v>28476.930772005584</c:v>
                </c:pt>
                <c:pt idx="39">
                  <c:v>28378.150798657065</c:v>
                </c:pt>
                <c:pt idx="40">
                  <c:v>28281.582854375094</c:v>
                </c:pt>
                <c:pt idx="41">
                  <c:v>28187.125492316965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'3 - Rendimento costante'!$H$5</c:f>
              <c:strCache>
                <c:ptCount val="1"/>
                <c:pt idx="0">
                  <c:v>Spesa pagata:
Guardrail (senza tetto all'inflazione)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 Rendimento costante'!$C$6:$C$47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'3 - Rendimento costante'!$H$6:$H$47</c:f>
              <c:numCache>
                <c:formatCode>#,##0" €"</c:formatCode>
                <c:ptCount val="42"/>
                <c:pt idx="0">
                  <c:v>38000</c:v>
                </c:pt>
                <c:pt idx="1">
                  <c:v>38000</c:v>
                </c:pt>
                <c:pt idx="2">
                  <c:v>38000</c:v>
                </c:pt>
                <c:pt idx="3">
                  <c:v>38000</c:v>
                </c:pt>
                <c:pt idx="4">
                  <c:v>38000</c:v>
                </c:pt>
                <c:pt idx="5">
                  <c:v>38000</c:v>
                </c:pt>
                <c:pt idx="6">
                  <c:v>38000</c:v>
                </c:pt>
                <c:pt idx="7">
                  <c:v>38000</c:v>
                </c:pt>
                <c:pt idx="8">
                  <c:v>34200</c:v>
                </c:pt>
                <c:pt idx="9">
                  <c:v>34200</c:v>
                </c:pt>
                <c:pt idx="10">
                  <c:v>34200</c:v>
                </c:pt>
                <c:pt idx="11">
                  <c:v>34200</c:v>
                </c:pt>
                <c:pt idx="12">
                  <c:v>30780</c:v>
                </c:pt>
                <c:pt idx="13">
                  <c:v>30780</c:v>
                </c:pt>
                <c:pt idx="14">
                  <c:v>30780</c:v>
                </c:pt>
                <c:pt idx="15">
                  <c:v>30780</c:v>
                </c:pt>
                <c:pt idx="16">
                  <c:v>30779.999999999996</c:v>
                </c:pt>
                <c:pt idx="17">
                  <c:v>27702.000000000004</c:v>
                </c:pt>
                <c:pt idx="18">
                  <c:v>27702</c:v>
                </c:pt>
                <c:pt idx="19">
                  <c:v>27702</c:v>
                </c:pt>
                <c:pt idx="20">
                  <c:v>27702</c:v>
                </c:pt>
                <c:pt idx="21">
                  <c:v>24931.8</c:v>
                </c:pt>
                <c:pt idx="22">
                  <c:v>24931.8</c:v>
                </c:pt>
                <c:pt idx="23">
                  <c:v>24931.8</c:v>
                </c:pt>
                <c:pt idx="24">
                  <c:v>24931.8</c:v>
                </c:pt>
                <c:pt idx="25">
                  <c:v>24931.8</c:v>
                </c:pt>
                <c:pt idx="26">
                  <c:v>22438.62</c:v>
                </c:pt>
                <c:pt idx="27">
                  <c:v>22438.62</c:v>
                </c:pt>
                <c:pt idx="28">
                  <c:v>22438.62</c:v>
                </c:pt>
                <c:pt idx="29">
                  <c:v>22438.62</c:v>
                </c:pt>
                <c:pt idx="30">
                  <c:v>22438.62</c:v>
                </c:pt>
                <c:pt idx="31">
                  <c:v>22438.62</c:v>
                </c:pt>
                <c:pt idx="32">
                  <c:v>22438.62</c:v>
                </c:pt>
                <c:pt idx="33">
                  <c:v>22438.62</c:v>
                </c:pt>
                <c:pt idx="34">
                  <c:v>22438.62</c:v>
                </c:pt>
                <c:pt idx="35">
                  <c:v>22438.62</c:v>
                </c:pt>
                <c:pt idx="36">
                  <c:v>22438.62</c:v>
                </c:pt>
                <c:pt idx="37">
                  <c:v>22438.62</c:v>
                </c:pt>
                <c:pt idx="38">
                  <c:v>22438.62</c:v>
                </c:pt>
                <c:pt idx="39">
                  <c:v>22438.62</c:v>
                </c:pt>
                <c:pt idx="40">
                  <c:v>22438.62</c:v>
                </c:pt>
                <c:pt idx="41">
                  <c:v>22438.62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'3 - Rendimento costante'!$I$5</c:f>
              <c:strCache>
                <c:ptCount val="1"/>
                <c:pt idx="0">
                  <c:v>Spesa pagata:
Tetto e pavimento (+5% / −2,5%)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'3 - Rendimento costante'!$C$6:$C$47</c:f>
              <c:numCache>
                <c:formatCode>0</c:formatCode>
                <c:ptCount val="4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</c:numCache>
            </c:numRef>
          </c:cat>
          <c:val>
            <c:numRef>
              <c:f>'3 - Rendimento costante'!$I$6:$I$47</c:f>
              <c:numCache>
                <c:formatCode>#,##0" €"</c:formatCode>
                <c:ptCount val="42"/>
                <c:pt idx="0">
                  <c:v>38000</c:v>
                </c:pt>
                <c:pt idx="1">
                  <c:v>37189.737427456603</c:v>
                </c:pt>
                <c:pt idx="2">
                  <c:v>36407.689148136407</c:v>
                </c:pt>
                <c:pt idx="3">
                  <c:v>35652.453624299247</c:v>
                </c:pt>
                <c:pt idx="4">
                  <c:v>34922.708772282786</c:v>
                </c:pt>
                <c:pt idx="5">
                  <c:v>34217.207296471846</c:v>
                </c:pt>
                <c:pt idx="6">
                  <c:v>33534.772299616598</c:v>
                </c:pt>
                <c:pt idx="7">
                  <c:v>32874.29315310005</c:v>
                </c:pt>
                <c:pt idx="8">
                  <c:v>32234.721611729139</c:v>
                </c:pt>
                <c:pt idx="9">
                  <c:v>31615.068158539609</c:v>
                </c:pt>
                <c:pt idx="10">
                  <c:v>31014.398565966148</c:v>
                </c:pt>
                <c:pt idx="11">
                  <c:v>30431.830660539643</c:v>
                </c:pt>
                <c:pt idx="12">
                  <c:v>29866.531279035546</c:v>
                </c:pt>
                <c:pt idx="13">
                  <c:v>29317.713404714297</c:v>
                </c:pt>
                <c:pt idx="14">
                  <c:v>28784.633472969232</c:v>
                </c:pt>
                <c:pt idx="15">
                  <c:v>28266.588836331408</c:v>
                </c:pt>
                <c:pt idx="16">
                  <c:v>27762.915379377726</c:v>
                </c:pt>
                <c:pt idx="17">
                  <c:v>27272.985274649916</c:v>
                </c:pt>
                <c:pt idx="18">
                  <c:v>26796.20487121971</c:v>
                </c:pt>
                <c:pt idx="19">
                  <c:v>26332.012708032216</c:v>
                </c:pt>
                <c:pt idx="20">
                  <c:v>25879.877644626515</c:v>
                </c:pt>
                <c:pt idx="21">
                  <c:v>25439.297102271932</c:v>
                </c:pt>
                <c:pt idx="22">
                  <c:v>25009.795408971604</c:v>
                </c:pt>
                <c:pt idx="23">
                  <c:v>24590.922242173721</c:v>
                </c:pt>
                <c:pt idx="24">
                  <c:v>24182.251163396471</c:v>
                </c:pt>
                <c:pt idx="25">
                  <c:v>23783.378239316578</c:v>
                </c:pt>
                <c:pt idx="26">
                  <c:v>23393.920744195064</c:v>
                </c:pt>
                <c:pt idx="27">
                  <c:v>23013.515938817738</c:v>
                </c:pt>
                <c:pt idx="28">
                  <c:v>22641.819921414648</c:v>
                </c:pt>
                <c:pt idx="29">
                  <c:v>22278.506546291595</c:v>
                </c:pt>
                <c:pt idx="30">
                  <c:v>21923.266406160245</c:v>
                </c:pt>
                <c:pt idx="31">
                  <c:v>21575.805874391564</c:v>
                </c:pt>
                <c:pt idx="32">
                  <c:v>21235.846203641308</c:v>
                </c:pt>
                <c:pt idx="33">
                  <c:v>20903.122677507177</c:v>
                </c:pt>
                <c:pt idx="34">
                  <c:v>20577.383812075444</c:v>
                </c:pt>
                <c:pt idx="35">
                  <c:v>20258.390604401266</c:v>
                </c:pt>
                <c:pt idx="36">
                  <c:v>19945.915825142551</c:v>
                </c:pt>
                <c:pt idx="37">
                  <c:v>19639.743352731901</c:v>
                </c:pt>
                <c:pt idx="38">
                  <c:v>19339.667546626701</c:v>
                </c:pt>
                <c:pt idx="39">
                  <c:v>19045.492657323171</c:v>
                </c:pt>
                <c:pt idx="40">
                  <c:v>18757.032270957621</c:v>
                </c:pt>
                <c:pt idx="41">
                  <c:v>18474.108786447297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19008"/>
        <c:axId val="205033856"/>
      </c:lineChart>
      <c:catAx>
        <c:axId val="20501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Anno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205033856"/>
        <c:crosses val="autoZero"/>
        <c:auto val="1"/>
        <c:lblAlgn val="ctr"/>
        <c:lblOffset val="100"/>
        <c:noMultiLvlLbl val="1"/>
      </c:catAx>
      <c:valAx>
        <c:axId val="205033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€ l'anno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205019008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864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864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sqref="A1:B1"/>
    </sheetView>
  </sheetViews>
  <sheetFormatPr defaultRowHeight="15"/>
  <cols>
    <col min="1" max="1" width="112" customWidth="1"/>
    <col min="2" max="2" width="67" customWidth="1"/>
  </cols>
  <sheetData>
    <row r="1" spans="1:2" ht="32.1" customHeight="1">
      <c r="A1" s="33" t="s">
        <v>0</v>
      </c>
      <c r="B1" s="32"/>
    </row>
    <row r="2" spans="1:2" ht="32.1" customHeight="1">
      <c r="A2" s="31" t="s">
        <v>1</v>
      </c>
      <c r="B2" s="32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2" spans="1:2" ht="18.75">
      <c r="A12" s="1" t="s">
        <v>15</v>
      </c>
    </row>
    <row r="13" spans="1:2">
      <c r="A13" s="3" t="s">
        <v>16</v>
      </c>
    </row>
    <row r="14" spans="1:2">
      <c r="A14" s="3" t="s">
        <v>17</v>
      </c>
    </row>
    <row r="15" spans="1:2">
      <c r="A15" s="3" t="s">
        <v>18</v>
      </c>
    </row>
    <row r="16" spans="1:2">
      <c r="A16" s="3" t="s">
        <v>19</v>
      </c>
    </row>
    <row r="18" spans="1:1" ht="18.75">
      <c r="A18" s="1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5" spans="1:1">
      <c r="A25" s="3" t="s">
        <v>27</v>
      </c>
    </row>
    <row r="26" spans="1:1">
      <c r="A26" s="3" t="s">
        <v>28</v>
      </c>
    </row>
    <row r="28" spans="1:1">
      <c r="A28" s="4" t="s">
        <v>29</v>
      </c>
    </row>
    <row r="29" spans="1:1">
      <c r="A29" s="2" t="s">
        <v>30</v>
      </c>
    </row>
    <row r="30" spans="1:1">
      <c r="A30" s="3" t="s">
        <v>31</v>
      </c>
    </row>
    <row r="31" spans="1:1">
      <c r="A31" s="3" t="s">
        <v>32</v>
      </c>
    </row>
    <row r="32" spans="1:1">
      <c r="A32" s="3" t="s">
        <v>33</v>
      </c>
    </row>
    <row r="33" spans="1:1">
      <c r="A33" s="3" t="s">
        <v>34</v>
      </c>
    </row>
    <row r="34" spans="1:1">
      <c r="A34" s="3" t="s">
        <v>35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workbookViewId="0"/>
  </sheetViews>
  <sheetFormatPr defaultRowHeight="15"/>
  <cols>
    <col min="1" max="1" width="70" customWidth="1"/>
    <col min="2" max="6" width="17" customWidth="1"/>
    <col min="7" max="7" width="20" customWidth="1"/>
    <col min="8" max="9" width="17" customWidth="1"/>
  </cols>
  <sheetData>
    <row r="1" spans="1:9" ht="24.95" customHeight="1">
      <c r="A1" s="33" t="s">
        <v>36</v>
      </c>
      <c r="B1" s="32"/>
      <c r="C1" s="32"/>
      <c r="D1" s="32"/>
      <c r="E1" s="32"/>
      <c r="F1" s="32"/>
      <c r="G1" s="32"/>
      <c r="H1" s="32"/>
      <c r="I1" s="32"/>
    </row>
    <row r="2" spans="1:9" ht="32.1" customHeight="1">
      <c r="A2" s="31" t="s">
        <v>1</v>
      </c>
      <c r="B2" s="32"/>
      <c r="C2" s="32"/>
      <c r="D2" s="32"/>
      <c r="E2" s="32"/>
      <c r="F2" s="32"/>
      <c r="G2" s="32"/>
      <c r="H2" s="32"/>
      <c r="I2" s="32"/>
    </row>
    <row r="3" spans="1:9" ht="36" customHeight="1">
      <c r="A3" s="34" t="s">
        <v>37</v>
      </c>
      <c r="B3" s="32"/>
      <c r="C3" s="32"/>
      <c r="D3" s="32"/>
      <c r="E3" s="32"/>
      <c r="F3" s="32"/>
      <c r="G3" s="32"/>
      <c r="H3" s="32"/>
      <c r="I3" s="32"/>
    </row>
    <row r="5" spans="1:9">
      <c r="A5" s="35" t="s">
        <v>38</v>
      </c>
      <c r="B5" s="32"/>
      <c r="C5" s="32"/>
      <c r="D5" s="32"/>
      <c r="E5" s="32"/>
      <c r="F5" s="32"/>
      <c r="G5" s="32"/>
      <c r="H5" s="32"/>
      <c r="I5" s="32"/>
    </row>
    <row r="6" spans="1:9" ht="30" customHeight="1">
      <c r="A6" s="5" t="s">
        <v>39</v>
      </c>
      <c r="B6" s="6" t="s">
        <v>40</v>
      </c>
      <c r="C6" s="34" t="s">
        <v>41</v>
      </c>
      <c r="D6" s="32"/>
      <c r="E6" s="32"/>
      <c r="F6" s="32"/>
      <c r="G6" s="32"/>
      <c r="H6" s="32"/>
      <c r="I6" s="32"/>
    </row>
    <row r="7" spans="1:9" ht="15" customHeight="1">
      <c r="A7" s="5" t="s">
        <v>42</v>
      </c>
      <c r="B7" s="7">
        <v>1056000</v>
      </c>
      <c r="C7" s="34" t="s">
        <v>43</v>
      </c>
      <c r="D7" s="32"/>
      <c r="E7" s="32"/>
      <c r="F7" s="32"/>
      <c r="G7" s="32"/>
      <c r="H7" s="32"/>
      <c r="I7" s="32"/>
    </row>
    <row r="8" spans="1:9" ht="15" customHeight="1">
      <c r="A8" s="5" t="s">
        <v>44</v>
      </c>
      <c r="B8" s="8">
        <v>0.04</v>
      </c>
      <c r="C8" s="34" t="s">
        <v>45</v>
      </c>
      <c r="D8" s="32"/>
      <c r="E8" s="32"/>
      <c r="F8" s="32"/>
      <c r="G8" s="32"/>
      <c r="H8" s="32"/>
      <c r="I8" s="32"/>
    </row>
    <row r="9" spans="1:9" ht="15" customHeight="1">
      <c r="A9" s="5" t="s">
        <v>46</v>
      </c>
      <c r="B9" s="7">
        <v>38000</v>
      </c>
      <c r="C9" s="34" t="s">
        <v>47</v>
      </c>
      <c r="D9" s="32"/>
      <c r="E9" s="32"/>
      <c r="F9" s="32"/>
      <c r="G9" s="32"/>
      <c r="H9" s="32"/>
      <c r="I9" s="32"/>
    </row>
    <row r="10" spans="1:9" ht="15" customHeight="1">
      <c r="A10" s="5" t="s">
        <v>48</v>
      </c>
      <c r="B10" s="9">
        <v>51</v>
      </c>
      <c r="C10" s="34" t="s">
        <v>49</v>
      </c>
      <c r="D10" s="32"/>
      <c r="E10" s="32"/>
      <c r="F10" s="32"/>
      <c r="G10" s="32"/>
      <c r="H10" s="32"/>
      <c r="I10" s="32"/>
    </row>
    <row r="11" spans="1:9" ht="15" customHeight="1">
      <c r="A11" s="5" t="s">
        <v>50</v>
      </c>
      <c r="B11" s="9">
        <v>93</v>
      </c>
      <c r="C11" s="34" t="s">
        <v>51</v>
      </c>
      <c r="D11" s="32"/>
      <c r="E11" s="32"/>
      <c r="F11" s="32"/>
      <c r="G11" s="32"/>
      <c r="H11" s="32"/>
      <c r="I11" s="32"/>
    </row>
    <row r="12" spans="1:9" ht="30" customHeight="1">
      <c r="A12" s="5" t="s">
        <v>52</v>
      </c>
      <c r="B12" s="9">
        <v>2</v>
      </c>
      <c r="C12" s="34" t="s">
        <v>53</v>
      </c>
      <c r="D12" s="32"/>
      <c r="E12" s="32"/>
      <c r="F12" s="32"/>
      <c r="G12" s="32"/>
      <c r="H12" s="32"/>
      <c r="I12" s="32"/>
    </row>
    <row r="13" spans="1:9">
      <c r="A13" s="35" t="s">
        <v>54</v>
      </c>
      <c r="B13" s="32"/>
      <c r="C13" s="32"/>
      <c r="D13" s="32"/>
      <c r="E13" s="32"/>
      <c r="F13" s="32"/>
      <c r="G13" s="32"/>
      <c r="H13" s="32"/>
      <c r="I13" s="32"/>
    </row>
    <row r="14" spans="1:9" ht="30" customHeight="1">
      <c r="A14" s="5" t="s">
        <v>55</v>
      </c>
      <c r="B14" s="6" t="s">
        <v>56</v>
      </c>
      <c r="C14" s="34" t="s">
        <v>57</v>
      </c>
      <c r="D14" s="32"/>
      <c r="E14" s="32"/>
      <c r="F14" s="32"/>
      <c r="G14" s="32"/>
      <c r="H14" s="32"/>
      <c r="I14" s="32"/>
    </row>
    <row r="15" spans="1:9" ht="15" customHeight="1">
      <c r="A15" s="5" t="s">
        <v>58</v>
      </c>
      <c r="B15" s="9">
        <v>2000</v>
      </c>
      <c r="C15" s="34" t="s">
        <v>59</v>
      </c>
      <c r="D15" s="32"/>
      <c r="E15" s="32"/>
      <c r="F15" s="32"/>
      <c r="G15" s="32"/>
      <c r="H15" s="32"/>
      <c r="I15" s="32"/>
    </row>
    <row r="16" spans="1:9" ht="15" customHeight="1">
      <c r="A16" s="5" t="s">
        <v>60</v>
      </c>
      <c r="B16" s="8">
        <v>0.03</v>
      </c>
      <c r="C16" s="34" t="s">
        <v>61</v>
      </c>
      <c r="D16" s="32"/>
      <c r="E16" s="32"/>
      <c r="F16" s="32"/>
      <c r="G16" s="32"/>
      <c r="H16" s="32"/>
      <c r="I16" s="32"/>
    </row>
    <row r="17" spans="1:9" ht="15" customHeight="1">
      <c r="A17" s="5" t="s">
        <v>62</v>
      </c>
      <c r="B17" s="8">
        <v>0.02</v>
      </c>
      <c r="C17" s="34" t="s">
        <v>63</v>
      </c>
      <c r="D17" s="32"/>
      <c r="E17" s="32"/>
      <c r="F17" s="32"/>
      <c r="G17" s="32"/>
      <c r="H17" s="32"/>
      <c r="I17" s="32"/>
    </row>
    <row r="18" spans="1:9">
      <c r="A18" s="35" t="s">
        <v>64</v>
      </c>
      <c r="B18" s="32"/>
      <c r="C18" s="32"/>
      <c r="D18" s="32"/>
      <c r="E18" s="32"/>
      <c r="F18" s="32"/>
      <c r="G18" s="32"/>
      <c r="H18" s="32"/>
      <c r="I18" s="32"/>
    </row>
    <row r="19" spans="1:9" ht="15" customHeight="1">
      <c r="A19" s="5" t="s">
        <v>65</v>
      </c>
      <c r="B19" s="9">
        <v>100</v>
      </c>
      <c r="C19" s="34" t="s">
        <v>66</v>
      </c>
      <c r="D19" s="32"/>
      <c r="E19" s="32"/>
      <c r="F19" s="32"/>
      <c r="G19" s="32"/>
      <c r="H19" s="32"/>
      <c r="I19" s="32"/>
    </row>
    <row r="20" spans="1:9" ht="15" customHeight="1">
      <c r="A20" s="5" t="s">
        <v>67</v>
      </c>
      <c r="B20" s="8">
        <v>0.03</v>
      </c>
      <c r="C20" s="34" t="s">
        <v>68</v>
      </c>
      <c r="D20" s="32"/>
      <c r="E20" s="32"/>
      <c r="F20" s="32"/>
      <c r="G20" s="32"/>
      <c r="H20" s="32"/>
      <c r="I20" s="32"/>
    </row>
    <row r="21" spans="1:9" ht="30" customHeight="1">
      <c r="A21" s="5" t="s">
        <v>69</v>
      </c>
      <c r="B21" s="9">
        <v>1</v>
      </c>
      <c r="C21" s="34" t="s">
        <v>70</v>
      </c>
      <c r="D21" s="32"/>
      <c r="E21" s="32"/>
      <c r="F21" s="32"/>
      <c r="G21" s="32"/>
      <c r="H21" s="32"/>
      <c r="I21" s="32"/>
    </row>
    <row r="22" spans="1:9" ht="15" customHeight="1">
      <c r="A22" s="5" t="s">
        <v>71</v>
      </c>
      <c r="B22" s="8">
        <v>0.2</v>
      </c>
      <c r="C22" s="34" t="s">
        <v>72</v>
      </c>
      <c r="D22" s="32"/>
      <c r="E22" s="32"/>
      <c r="F22" s="32"/>
      <c r="G22" s="32"/>
      <c r="H22" s="32"/>
      <c r="I22" s="32"/>
    </row>
    <row r="23" spans="1:9" ht="15" customHeight="1">
      <c r="A23" s="5" t="s">
        <v>73</v>
      </c>
      <c r="B23" s="8">
        <v>0.1</v>
      </c>
      <c r="C23" s="34" t="s">
        <v>74</v>
      </c>
      <c r="D23" s="32"/>
      <c r="E23" s="32"/>
      <c r="F23" s="32"/>
      <c r="G23" s="32"/>
      <c r="H23" s="32"/>
      <c r="I23" s="32"/>
    </row>
    <row r="24" spans="1:9" ht="15" customHeight="1">
      <c r="A24" s="5" t="s">
        <v>75</v>
      </c>
      <c r="B24" s="9">
        <v>15</v>
      </c>
      <c r="C24" s="34" t="s">
        <v>76</v>
      </c>
      <c r="D24" s="32"/>
      <c r="E24" s="32"/>
      <c r="F24" s="32"/>
      <c r="G24" s="32"/>
      <c r="H24" s="32"/>
      <c r="I24" s="32"/>
    </row>
    <row r="25" spans="1:9" ht="15" customHeight="1">
      <c r="A25" s="5" t="s">
        <v>77</v>
      </c>
      <c r="B25" s="8">
        <v>0.05</v>
      </c>
      <c r="C25" s="34" t="s">
        <v>78</v>
      </c>
      <c r="D25" s="32"/>
      <c r="E25" s="32"/>
      <c r="F25" s="32"/>
      <c r="G25" s="32"/>
      <c r="H25" s="32"/>
      <c r="I25" s="32"/>
    </row>
    <row r="26" spans="1:9" ht="15" customHeight="1">
      <c r="A26" s="5" t="s">
        <v>79</v>
      </c>
      <c r="B26" s="8">
        <v>-2.5000000000000001E-2</v>
      </c>
      <c r="C26" s="34" t="s">
        <v>80</v>
      </c>
      <c r="D26" s="32"/>
      <c r="E26" s="32"/>
      <c r="F26" s="32"/>
      <c r="G26" s="32"/>
      <c r="H26" s="32"/>
      <c r="I26" s="32"/>
    </row>
    <row r="27" spans="1:9" ht="15" customHeight="1">
      <c r="A27" s="5" t="s">
        <v>81</v>
      </c>
      <c r="B27" s="8">
        <v>0.9</v>
      </c>
      <c r="C27" s="34" t="s">
        <v>82</v>
      </c>
      <c r="D27" s="32"/>
      <c r="E27" s="32"/>
      <c r="F27" s="32"/>
      <c r="G27" s="32"/>
      <c r="H27" s="32"/>
      <c r="I27" s="32"/>
    </row>
    <row r="28" spans="1:9">
      <c r="A28" s="35" t="s">
        <v>83</v>
      </c>
      <c r="B28" s="32"/>
      <c r="C28" s="32"/>
      <c r="D28" s="32"/>
      <c r="E28" s="32"/>
      <c r="F28" s="32"/>
      <c r="G28" s="32"/>
      <c r="H28" s="32"/>
      <c r="I28" s="32"/>
    </row>
    <row r="29" spans="1:9" ht="30" customHeight="1">
      <c r="A29" s="5" t="s">
        <v>84</v>
      </c>
      <c r="B29" s="8">
        <v>0.43435582302013193</v>
      </c>
      <c r="C29" s="34" t="s">
        <v>85</v>
      </c>
      <c r="D29" s="32"/>
      <c r="E29" s="32"/>
      <c r="F29" s="32"/>
      <c r="G29" s="32"/>
      <c r="H29" s="32"/>
      <c r="I29" s="32"/>
    </row>
    <row r="30" spans="1:9" ht="15" customHeight="1">
      <c r="A30" s="5" t="s">
        <v>86</v>
      </c>
      <c r="B30" s="8">
        <v>0.26</v>
      </c>
      <c r="C30" s="34" t="s">
        <v>87</v>
      </c>
      <c r="D30" s="32"/>
      <c r="E30" s="32"/>
      <c r="F30" s="32"/>
      <c r="G30" s="32"/>
      <c r="H30" s="32"/>
      <c r="I30" s="32"/>
    </row>
    <row r="31" spans="1:9" ht="15" customHeight="1">
      <c r="A31" s="5" t="s">
        <v>88</v>
      </c>
      <c r="B31" s="8">
        <v>2E-3</v>
      </c>
      <c r="C31" s="34" t="s">
        <v>89</v>
      </c>
      <c r="D31" s="32"/>
      <c r="E31" s="32"/>
      <c r="F31" s="32"/>
      <c r="G31" s="32"/>
      <c r="H31" s="32"/>
      <c r="I31" s="32"/>
    </row>
    <row r="32" spans="1:9">
      <c r="A32" s="35" t="s">
        <v>90</v>
      </c>
      <c r="B32" s="32"/>
      <c r="C32" s="32"/>
      <c r="D32" s="32"/>
      <c r="E32" s="32"/>
      <c r="F32" s="32"/>
      <c r="G32" s="32"/>
      <c r="H32" s="32"/>
      <c r="I32" s="32"/>
    </row>
    <row r="33" spans="1:9" ht="30" customHeight="1">
      <c r="A33" s="5" t="s">
        <v>91</v>
      </c>
      <c r="B33" s="7">
        <v>30711.54386469151</v>
      </c>
      <c r="C33" s="34" t="s">
        <v>92</v>
      </c>
      <c r="D33" s="32"/>
      <c r="E33" s="32"/>
      <c r="F33" s="32"/>
      <c r="G33" s="32"/>
      <c r="H33" s="32"/>
      <c r="I33" s="32"/>
    </row>
    <row r="34" spans="1:9" ht="15" customHeight="1">
      <c r="A34" s="5" t="s">
        <v>93</v>
      </c>
      <c r="B34" s="9">
        <v>10</v>
      </c>
      <c r="C34" s="34" t="s">
        <v>94</v>
      </c>
      <c r="D34" s="32"/>
      <c r="E34" s="32"/>
      <c r="F34" s="32"/>
      <c r="G34" s="32"/>
      <c r="H34" s="32"/>
      <c r="I34" s="32"/>
    </row>
    <row r="35" spans="1:9" ht="15" customHeight="1">
      <c r="A35" s="5" t="s">
        <v>95</v>
      </c>
      <c r="B35" s="9">
        <v>17</v>
      </c>
      <c r="C35" s="34" t="s">
        <v>96</v>
      </c>
      <c r="D35" s="32"/>
      <c r="E35" s="32"/>
      <c r="F35" s="32"/>
      <c r="G35" s="32"/>
      <c r="H35" s="32"/>
      <c r="I35" s="32"/>
    </row>
    <row r="36" spans="1:9" ht="15" customHeight="1">
      <c r="A36" s="5" t="s">
        <v>97</v>
      </c>
      <c r="B36" s="9">
        <v>822</v>
      </c>
      <c r="C36" s="34" t="s">
        <v>98</v>
      </c>
      <c r="D36" s="32"/>
      <c r="E36" s="32"/>
      <c r="F36" s="32"/>
      <c r="G36" s="32"/>
      <c r="H36" s="32"/>
      <c r="I36" s="32"/>
    </row>
    <row r="37" spans="1:9" ht="15" customHeight="1">
      <c r="A37" s="5" t="s">
        <v>99</v>
      </c>
      <c r="B37" s="8">
        <v>0.6</v>
      </c>
      <c r="C37" s="34" t="s">
        <v>100</v>
      </c>
      <c r="D37" s="32"/>
      <c r="E37" s="32"/>
      <c r="F37" s="32"/>
      <c r="G37" s="32"/>
      <c r="H37" s="32"/>
      <c r="I37" s="32"/>
    </row>
    <row r="38" spans="1:9">
      <c r="A38" s="35" t="s">
        <v>101</v>
      </c>
      <c r="B38" s="32"/>
      <c r="C38" s="32"/>
      <c r="D38" s="32"/>
      <c r="E38" s="32"/>
      <c r="F38" s="32"/>
      <c r="G38" s="32"/>
      <c r="H38" s="32"/>
      <c r="I38" s="32"/>
    </row>
    <row r="39" spans="1:9" ht="15" customHeight="1">
      <c r="A39" s="5" t="s">
        <v>102</v>
      </c>
      <c r="B39" s="10">
        <f>IF(Modalita="tassato",Aliq,0)</f>
        <v>0.26</v>
      </c>
      <c r="C39" s="34" t="s">
        <v>103</v>
      </c>
      <c r="D39" s="32"/>
      <c r="E39" s="32"/>
      <c r="F39" s="32"/>
      <c r="G39" s="32"/>
      <c r="H39" s="32"/>
      <c r="I39" s="32"/>
    </row>
    <row r="40" spans="1:9" ht="15" customHeight="1">
      <c r="A40" s="5" t="s">
        <v>104</v>
      </c>
      <c r="B40" s="10">
        <f>IF(Modalita="tassato",Bollo,0)</f>
        <v>2E-3</v>
      </c>
      <c r="C40" s="34" t="s">
        <v>103</v>
      </c>
      <c r="D40" s="32"/>
      <c r="E40" s="32"/>
      <c r="F40" s="32"/>
      <c r="G40" s="32"/>
      <c r="H40" s="32"/>
      <c r="I40" s="32"/>
    </row>
    <row r="41" spans="1:9" ht="15" customHeight="1">
      <c r="A41" s="5" t="s">
        <v>105</v>
      </c>
      <c r="B41" s="10">
        <f>IF(Modalita="tassato",Latente0,0)</f>
        <v>0.43435582302013193</v>
      </c>
      <c r="C41" s="34" t="s">
        <v>103</v>
      </c>
      <c r="D41" s="32"/>
      <c r="E41" s="32"/>
      <c r="F41" s="32"/>
      <c r="G41" s="32"/>
      <c r="H41" s="32"/>
      <c r="I41" s="32"/>
    </row>
    <row r="42" spans="1:9" ht="15" customHeight="1">
      <c r="A42" s="5" t="s">
        <v>106</v>
      </c>
      <c r="B42" s="11">
        <f>IF(Modalita="tassato",Spesa_netta,Patrimonio*Tasso)</f>
        <v>38000</v>
      </c>
      <c r="C42" s="34" t="s">
        <v>107</v>
      </c>
      <c r="D42" s="32"/>
      <c r="E42" s="32"/>
      <c r="F42" s="32"/>
      <c r="G42" s="32"/>
      <c r="H42" s="32"/>
      <c r="I42" s="32"/>
    </row>
    <row r="43" spans="1:9" ht="15" customHeight="1">
      <c r="A43" s="5" t="s">
        <v>108</v>
      </c>
      <c r="B43" s="12">
        <f>Spesa0/(Patrimonio*(1-Aliq_eff*Latente_eff))</f>
        <v>4.0566077612103457E-2</v>
      </c>
      <c r="C43" s="34" t="s">
        <v>109</v>
      </c>
      <c r="D43" s="32"/>
      <c r="E43" s="32"/>
      <c r="F43" s="32"/>
      <c r="G43" s="32"/>
      <c r="H43" s="32"/>
      <c r="I43" s="32"/>
    </row>
    <row r="44" spans="1:9" ht="15" customHeight="1">
      <c r="A44" s="5" t="s">
        <v>110</v>
      </c>
      <c r="B44" s="13">
        <f>Eta_fine-Eta_inizio</f>
        <v>42</v>
      </c>
      <c r="C44" s="34" t="s">
        <v>111</v>
      </c>
      <c r="D44" s="32"/>
      <c r="E44" s="32"/>
      <c r="F44" s="32"/>
      <c r="G44" s="32"/>
      <c r="H44" s="32"/>
      <c r="I44" s="32"/>
    </row>
    <row r="45" spans="1:9" ht="15" customHeight="1">
      <c r="A45" s="5" t="s">
        <v>112</v>
      </c>
      <c r="B45" s="14" t="str">
        <f>INT(((Anni-1)*12+Mesi_ultimo)/12)&amp;" anni e "&amp;MOD((Anni-1)*12+Mesi_ultimo,12)&amp;" mesi"</f>
        <v>41 anni e 2 mesi</v>
      </c>
      <c r="C45" s="34" t="s">
        <v>113</v>
      </c>
      <c r="D45" s="32"/>
      <c r="E45" s="32"/>
      <c r="F45" s="32"/>
      <c r="G45" s="32"/>
      <c r="H45" s="32"/>
      <c r="I45" s="32"/>
    </row>
    <row r="46" spans="1:9" ht="15" customHeight="1">
      <c r="A46" s="5" t="s">
        <v>114</v>
      </c>
      <c r="B46" s="14" t="str">
        <f>INT(Pens_mesi_req/12)&amp;" anni e "&amp;MOD(Pens_mesi_req,12)&amp;" mesi"</f>
        <v>68 anni e 6 mesi</v>
      </c>
      <c r="C46" s="34" t="s">
        <v>115</v>
      </c>
      <c r="D46" s="32"/>
      <c r="E46" s="32"/>
      <c r="F46" s="32"/>
      <c r="G46" s="32"/>
      <c r="H46" s="32"/>
      <c r="I46" s="32"/>
    </row>
    <row r="47" spans="1:9" ht="15" customHeight="1">
      <c r="A47" s="5" t="s">
        <v>116</v>
      </c>
      <c r="B47" s="13">
        <f>SUMPRODUCT(('2 - Sequenza storica'!$A$71:$A$130&lt;=Anni)*'2 - Sequenza storica'!$D$71:$D$130)</f>
        <v>26</v>
      </c>
      <c r="C47" s="34" t="s">
        <v>117</v>
      </c>
      <c r="D47" s="32"/>
      <c r="E47" s="32"/>
      <c r="F47" s="32"/>
      <c r="G47" s="32"/>
      <c r="H47" s="32"/>
      <c r="I47" s="32"/>
    </row>
    <row r="48" spans="1:9" ht="15" customHeight="1">
      <c r="A48" s="5" t="s">
        <v>118</v>
      </c>
      <c r="B48" s="13">
        <f>Anni-Anni_osservati</f>
        <v>16</v>
      </c>
      <c r="C48" s="34" t="s">
        <v>119</v>
      </c>
      <c r="D48" s="32"/>
      <c r="E48" s="32"/>
      <c r="F48" s="32"/>
      <c r="G48" s="32"/>
      <c r="H48" s="32"/>
      <c r="I48" s="32"/>
    </row>
    <row r="50" spans="1:9">
      <c r="A50" s="35" t="s">
        <v>120</v>
      </c>
      <c r="B50" s="32"/>
      <c r="C50" s="32"/>
      <c r="D50" s="32"/>
      <c r="E50" s="32"/>
      <c r="F50" s="32"/>
      <c r="G50" s="32"/>
      <c r="H50" s="32"/>
      <c r="I50" s="32"/>
    </row>
    <row r="51" spans="1:9" ht="30" customHeight="1">
      <c r="A51" s="34" t="s">
        <v>121</v>
      </c>
      <c r="B51" s="32"/>
      <c r="C51" s="32"/>
      <c r="D51" s="32"/>
      <c r="E51" s="32"/>
      <c r="F51" s="32"/>
      <c r="G51" s="32"/>
      <c r="H51" s="32"/>
      <c r="I51" s="32"/>
    </row>
    <row r="52" spans="1:9" ht="45" customHeight="1">
      <c r="A52" s="15" t="s">
        <v>122</v>
      </c>
      <c r="B52" s="15" t="s">
        <v>123</v>
      </c>
      <c r="C52" s="15" t="s">
        <v>124</v>
      </c>
      <c r="D52" s="15" t="s">
        <v>125</v>
      </c>
      <c r="E52" s="15" t="s">
        <v>126</v>
      </c>
      <c r="F52" s="15" t="s">
        <v>127</v>
      </c>
      <c r="G52" s="15" t="s">
        <v>128</v>
      </c>
      <c r="H52" s="15" t="s">
        <v>129</v>
      </c>
      <c r="I52" s="15" t="s">
        <v>130</v>
      </c>
    </row>
    <row r="53" spans="1:9">
      <c r="A53" s="5" t="s">
        <v>131</v>
      </c>
      <c r="B53" s="11">
        <f>'2 - Sequenza storica'!D6</f>
        <v>38000</v>
      </c>
      <c r="C53" s="11">
        <f>MEDIAN('2 - Sequenza storica'!D$6:D$65)</f>
        <v>38000</v>
      </c>
      <c r="D53" s="11">
        <f>MIN('2 - Sequenza storica'!D$6:D$65)</f>
        <v>0</v>
      </c>
      <c r="E53" s="13">
        <f>COUNTIF('2 - Sequenza storica'!D$6:D$65,"&lt;"&amp;0.8*Spesa0)</f>
        <v>13</v>
      </c>
      <c r="F53" s="13">
        <f>COUNTIF('2 - Sequenza storica'!D$6:D$65,"&lt;"&amp;0.75*Spesa0)</f>
        <v>13</v>
      </c>
      <c r="G53" s="10">
        <f>IFERROR(STDEVP('2 - Sequenza storica'!AQ$72:AQ$130),"")</f>
        <v>0.18310331549288955</v>
      </c>
      <c r="H53" s="11">
        <f>INDEX('2 - Sequenza storica'!N$71:N$130,Anni+1)</f>
        <v>0</v>
      </c>
      <c r="I53" s="13">
        <f>IFERROR(MATCH(1,INDEX('2 - Sequenza storica'!L$71:L$130,1):INDEX('2 - Sequenza storica'!L$71:L$130,Anni),0),"no")</f>
        <v>29</v>
      </c>
    </row>
    <row r="54" spans="1:9">
      <c r="A54" s="5" t="s">
        <v>132</v>
      </c>
      <c r="B54" s="11">
        <f>'2 - Sequenza storica'!E6</f>
        <v>38000</v>
      </c>
      <c r="C54" s="11">
        <f>MEDIAN('2 - Sequenza storica'!E$6:E$65)</f>
        <v>23872.406993864213</v>
      </c>
      <c r="D54" s="11">
        <f>MIN('2 - Sequenza storica'!E$6:E$65)</f>
        <v>19562.990056550148</v>
      </c>
      <c r="E54" s="13">
        <f>COUNTIF('2 - Sequenza storica'!E$6:E$65,"&lt;"&amp;0.8*Spesa0)</f>
        <v>39</v>
      </c>
      <c r="F54" s="13">
        <f>COUNTIF('2 - Sequenza storica'!E$6:E$65,"&lt;"&amp;0.75*Spesa0)</f>
        <v>37</v>
      </c>
      <c r="G54" s="10">
        <f>IFERROR(STDEVP('2 - Sequenza storica'!AR$72:AR$130),"")</f>
        <v>7.2016440912640575E-2</v>
      </c>
      <c r="H54" s="11">
        <f>INDEX('2 - Sequenza storica'!S$71:S$130,Anni+1)</f>
        <v>626056.2182405513</v>
      </c>
      <c r="I54" s="13" t="str">
        <f>IFERROR(MATCH(1,INDEX('2 - Sequenza storica'!Q$71:Q$130,1):INDEX('2 - Sequenza storica'!Q$71:Q$130,Anni),0),"no")</f>
        <v>no</v>
      </c>
    </row>
    <row r="55" spans="1:9">
      <c r="A55" s="5" t="s">
        <v>133</v>
      </c>
      <c r="B55" s="11">
        <f>'2 - Sequenza storica'!F6</f>
        <v>38000</v>
      </c>
      <c r="C55" s="11">
        <f>MEDIAN('2 - Sequenza storica'!F$6:F$65)</f>
        <v>34200</v>
      </c>
      <c r="D55" s="11">
        <f>MIN('2 - Sequenza storica'!F$6:F$65)</f>
        <v>0</v>
      </c>
      <c r="E55" s="13">
        <f>COUNTIF('2 - Sequenza storica'!F$6:F$65,"&lt;"&amp;0.8*Spesa0)</f>
        <v>8</v>
      </c>
      <c r="F55" s="13">
        <f>COUNTIF('2 - Sequenza storica'!F$6:F$65,"&lt;"&amp;0.75*Spesa0)</f>
        <v>8</v>
      </c>
      <c r="G55" s="10">
        <f>IFERROR(STDEVP('2 - Sequenza storica'!AS$72:AS$130),"")</f>
        <v>0.18934856492456462</v>
      </c>
      <c r="H55" s="11">
        <f>INDEX('2 - Sequenza storica'!X$71:X$130,Anni+1)</f>
        <v>0</v>
      </c>
      <c r="I55" s="13">
        <f>IFERROR(MATCH(1,INDEX('2 - Sequenza storica'!V$71:V$130,1):INDEX('2 - Sequenza storica'!V$71:V$130,Anni),0),"no")</f>
        <v>35</v>
      </c>
    </row>
    <row r="56" spans="1:9">
      <c r="A56" s="5" t="s">
        <v>134</v>
      </c>
      <c r="B56" s="11">
        <f>'2 - Sequenza storica'!G6</f>
        <v>35662.760400352119</v>
      </c>
      <c r="C56" s="11">
        <f>MEDIAN('2 - Sequenza storica'!G$6:G$65)</f>
        <v>30412.150845122473</v>
      </c>
      <c r="D56" s="11">
        <f>MIN('2 - Sequenza storica'!G$6:G$65)</f>
        <v>21184.431211600349</v>
      </c>
      <c r="E56" s="13">
        <f>COUNTIF('2 - Sequenza storica'!G$6:G$65,"&lt;"&amp;0.8*Spesa0)</f>
        <v>21</v>
      </c>
      <c r="F56" s="13">
        <f>COUNTIF('2 - Sequenza storica'!G$6:G$65,"&lt;"&amp;0.75*Spesa0)</f>
        <v>11</v>
      </c>
      <c r="G56" s="10">
        <f>IFERROR(STDEVP('2 - Sequenza storica'!AT$72:AT$130),"")</f>
        <v>7.287513297262653E-2</v>
      </c>
      <c r="H56" s="11">
        <f>INDEX('2 - Sequenza storica'!AD$71:AD$130,Anni+1)</f>
        <v>251626.48128095659</v>
      </c>
      <c r="I56" s="13" t="str">
        <f>IFERROR(MATCH(1,INDEX('2 - Sequenza storica'!AB$71:AB$130,1):INDEX('2 - Sequenza storica'!AB$71:AB$130,Anni),0),"no")</f>
        <v>no</v>
      </c>
    </row>
    <row r="57" spans="1:9">
      <c r="A57" s="5" t="s">
        <v>135</v>
      </c>
      <c r="B57" s="11">
        <f>'2 - Sequenza storica'!H6</f>
        <v>38000</v>
      </c>
      <c r="C57" s="11">
        <f>MEDIAN('2 - Sequenza storica'!H$6:H$65)</f>
        <v>22666.716149032247</v>
      </c>
      <c r="D57" s="11">
        <f>MIN('2 - Sequenza storica'!H$6:H$65)</f>
        <v>20481.743793274625</v>
      </c>
      <c r="E57" s="13">
        <f>COUNTIF('2 - Sequenza storica'!H$6:H$65,"&lt;"&amp;0.8*Spesa0)</f>
        <v>38</v>
      </c>
      <c r="F57" s="13">
        <f>COUNTIF('2 - Sequenza storica'!H$6:H$65,"&lt;"&amp;0.75*Spesa0)</f>
        <v>34</v>
      </c>
      <c r="G57" s="10">
        <f>IFERROR(STDEVP('2 - Sequenza storica'!AU$72:AU$130),"")</f>
        <v>3.5110307137854631E-2</v>
      </c>
      <c r="H57" s="11">
        <f>INDEX('2 - Sequenza storica'!AK$71:AK$130,Anni+1)</f>
        <v>667073.2527344604</v>
      </c>
      <c r="I57" s="13" t="str">
        <f>IFERROR(MATCH(1,INDEX('2 - Sequenza storica'!AI$71:AI$130,1):INDEX('2 - Sequenza storica'!AI$71:AI$130,Anni),0),"no")</f>
        <v>no</v>
      </c>
    </row>
    <row r="58" spans="1:9">
      <c r="A58" s="5" t="s">
        <v>136</v>
      </c>
      <c r="B58" s="11">
        <f>'2 - Sequenza storica'!I6</f>
        <v>38000</v>
      </c>
      <c r="C58" s="11">
        <f>MEDIAN('2 - Sequenza storica'!I$6:I$65)</f>
        <v>23014.333265586862</v>
      </c>
      <c r="D58" s="11">
        <f>MIN('2 - Sequenza storica'!I$6:I$65)</f>
        <v>15193.991956360323</v>
      </c>
      <c r="E58" s="13">
        <f>COUNTIF('2 - Sequenza storica'!I$6:I$65,"&lt;"&amp;0.8*Spesa0)</f>
        <v>33</v>
      </c>
      <c r="F58" s="13">
        <f>COUNTIF('2 - Sequenza storica'!I$6:I$65,"&lt;"&amp;0.75*Spesa0)</f>
        <v>30</v>
      </c>
      <c r="G58" s="10">
        <f>IFERROR(STDEVP('2 - Sequenza storica'!AV$72:AV$130),"")</f>
        <v>8.7973986508047136E-3</v>
      </c>
      <c r="H58" s="11">
        <f>INDEX('2 - Sequenza storica'!AP$71:AP$130,Anni+1)</f>
        <v>486239.2260426142</v>
      </c>
      <c r="I58" s="13" t="str">
        <f>IFERROR(MATCH(1,INDEX('2 - Sequenza storica'!AN$71:AN$130,1):INDEX('2 - Sequenza storica'!AN$71:AN$130,Anni),0),"no")</f>
        <v>no</v>
      </c>
    </row>
    <row r="60" spans="1:9">
      <c r="A60" s="35" t="s">
        <v>137</v>
      </c>
      <c r="B60" s="32"/>
      <c r="C60" s="32"/>
      <c r="D60" s="32"/>
      <c r="E60" s="32"/>
      <c r="F60" s="32"/>
      <c r="G60" s="32"/>
      <c r="H60" s="32"/>
      <c r="I60" s="32"/>
    </row>
    <row r="61" spans="1:9" ht="15" customHeight="1">
      <c r="A61" s="34" t="s">
        <v>138</v>
      </c>
      <c r="B61" s="32"/>
      <c r="C61" s="32"/>
      <c r="D61" s="32"/>
      <c r="E61" s="32"/>
      <c r="F61" s="32"/>
      <c r="G61" s="32"/>
      <c r="H61" s="32"/>
      <c r="I61" s="32"/>
    </row>
    <row r="62" spans="1:9" ht="45" customHeight="1">
      <c r="A62" s="15" t="s">
        <v>122</v>
      </c>
      <c r="B62" s="15" t="s">
        <v>123</v>
      </c>
      <c r="C62" s="15" t="s">
        <v>124</v>
      </c>
      <c r="D62" s="15" t="s">
        <v>125</v>
      </c>
      <c r="E62" s="15" t="s">
        <v>126</v>
      </c>
      <c r="F62" s="15" t="s">
        <v>127</v>
      </c>
      <c r="G62" s="15" t="s">
        <v>128</v>
      </c>
      <c r="H62" s="15" t="s">
        <v>129</v>
      </c>
      <c r="I62" s="15" t="s">
        <v>130</v>
      </c>
    </row>
    <row r="63" spans="1:9">
      <c r="A63" s="5" t="s">
        <v>131</v>
      </c>
      <c r="B63" s="11">
        <f>'3 - Rendimento costante'!D6</f>
        <v>38000</v>
      </c>
      <c r="C63" s="11">
        <f>MEDIAN('3 - Rendimento costante'!D$6:D$65)</f>
        <v>38000</v>
      </c>
      <c r="D63" s="11">
        <f>MIN('3 - Rendimento costante'!D$6:D$65)</f>
        <v>0</v>
      </c>
      <c r="E63" s="13">
        <f>COUNTIF('3 - Rendimento costante'!D$6:D$65,"&lt;"&amp;0.8*Spesa0)</f>
        <v>7</v>
      </c>
      <c r="F63" s="13">
        <f>COUNTIF('3 - Rendimento costante'!D$6:D$65,"&lt;"&amp;0.75*Spesa0)</f>
        <v>7</v>
      </c>
      <c r="G63" s="10">
        <f>IFERROR(STDEVP('3 - Rendimento costante'!AQ$72:AQ$130),"")</f>
        <v>0.21251533627674926</v>
      </c>
      <c r="H63" s="11">
        <f>INDEX('3 - Rendimento costante'!N$71:N$130,Anni+1)</f>
        <v>0</v>
      </c>
      <c r="I63" s="13">
        <f>IFERROR(MATCH(1,INDEX('3 - Rendimento costante'!L$71:L$130,1):INDEX('3 - Rendimento costante'!L$71:L$130,Anni),0),"no")</f>
        <v>36</v>
      </c>
    </row>
    <row r="64" spans="1:9">
      <c r="A64" s="5" t="s">
        <v>132</v>
      </c>
      <c r="B64" s="11">
        <f>'3 - Rendimento costante'!E6</f>
        <v>38000</v>
      </c>
      <c r="C64" s="11">
        <f>MEDIAN('3 - Rendimento costante'!E$6:E$65)</f>
        <v>25659.587373449223</v>
      </c>
      <c r="D64" s="11">
        <f>MIN('3 - Rendimento costante'!E$6:E$65)</f>
        <v>18474.108786447297</v>
      </c>
      <c r="E64" s="13">
        <f>COUNTIF('3 - Rendimento costante'!E$6:E$65,"&lt;"&amp;0.8*Spesa0)</f>
        <v>30</v>
      </c>
      <c r="F64" s="13">
        <f>COUNTIF('3 - Rendimento costante'!E$6:E$65,"&lt;"&amp;0.75*Spesa0)</f>
        <v>27</v>
      </c>
      <c r="G64" s="10">
        <f>IFERROR(STDEVP('3 - Rendimento costante'!AR$72:AR$130),"")</f>
        <v>1.8298871896930873E-3</v>
      </c>
      <c r="H64" s="11">
        <f>INDEX('3 - Rendimento costante'!S$71:S$130,Anni+1)</f>
        <v>590123.64114651969</v>
      </c>
      <c r="I64" s="13" t="str">
        <f>IFERROR(MATCH(1,INDEX('3 - Rendimento costante'!Q$71:Q$130,1):INDEX('3 - Rendimento costante'!Q$71:Q$130,Anni),0),"no")</f>
        <v>no</v>
      </c>
    </row>
    <row r="65" spans="1:9">
      <c r="A65" s="5" t="s">
        <v>133</v>
      </c>
      <c r="B65" s="11">
        <f>'3 - Rendimento costante'!F6</f>
        <v>38000</v>
      </c>
      <c r="C65" s="11">
        <f>MEDIAN('3 - Rendimento costante'!F$6:F$65)</f>
        <v>34200</v>
      </c>
      <c r="D65" s="11">
        <f>MIN('3 - Rendimento costante'!F$6:F$65)</f>
        <v>797.0332575035336</v>
      </c>
      <c r="E65" s="13">
        <f>COUNTIF('3 - Rendimento costante'!F$6:F$65,"&lt;"&amp;0.8*Spesa0)</f>
        <v>1</v>
      </c>
      <c r="F65" s="13">
        <f>COUNTIF('3 - Rendimento costante'!F$6:F$65,"&lt;"&amp;0.75*Spesa0)</f>
        <v>1</v>
      </c>
      <c r="G65" s="10">
        <f>IFERROR(STDEVP('3 - Rendimento costante'!AS$72:AS$130),"")</f>
        <v>0.15041308466889597</v>
      </c>
      <c r="H65" s="11">
        <f>INDEX('3 - Rendimento costante'!X$71:X$130,Anni+1)</f>
        <v>0</v>
      </c>
      <c r="I65" s="13">
        <f>IFERROR(MATCH(1,INDEX('3 - Rendimento costante'!V$71:V$130,1):INDEX('3 - Rendimento costante'!V$71:V$130,Anni),0),"no")</f>
        <v>42</v>
      </c>
    </row>
    <row r="66" spans="1:9">
      <c r="A66" s="5" t="s">
        <v>134</v>
      </c>
      <c r="B66" s="11">
        <f>'3 - Rendimento costante'!G6</f>
        <v>35662.760400352119</v>
      </c>
      <c r="C66" s="11">
        <f>MEDIAN('3 - Rendimento costante'!G$6:G$65)</f>
        <v>30703.96935207304</v>
      </c>
      <c r="D66" s="11">
        <f>MIN('3 - Rendimento costante'!G$6:G$65)</f>
        <v>28187.125492316965</v>
      </c>
      <c r="E66" s="13">
        <f>COUNTIF('3 - Rendimento costante'!G$6:G$65,"&lt;"&amp;0.8*Spesa0)</f>
        <v>19</v>
      </c>
      <c r="F66" s="13">
        <f>COUNTIF('3 - Rendimento costante'!G$6:G$65,"&lt;"&amp;0.75*Spesa0)</f>
        <v>4</v>
      </c>
      <c r="G66" s="10">
        <f>IFERROR(STDEVP('3 - Rendimento costante'!AT$72:AT$130),"")</f>
        <v>1.8517059519166307E-3</v>
      </c>
      <c r="H66" s="11">
        <f>INDEX('3 - Rendimento costante'!AD$71:AD$130,Anni+1)</f>
        <v>237184.34705387702</v>
      </c>
      <c r="I66" s="13" t="str">
        <f>IFERROR(MATCH(1,INDEX('3 - Rendimento costante'!AB$71:AB$130,1):INDEX('3 - Rendimento costante'!AB$71:AB$130,Anni),0),"no")</f>
        <v>no</v>
      </c>
    </row>
    <row r="67" spans="1:9">
      <c r="A67" s="5" t="s">
        <v>135</v>
      </c>
      <c r="B67" s="11">
        <f>'3 - Rendimento costante'!H6</f>
        <v>38000</v>
      </c>
      <c r="C67" s="11">
        <f>MEDIAN('3 - Rendimento costante'!H$6:H$65)</f>
        <v>26316.9</v>
      </c>
      <c r="D67" s="11">
        <f>MIN('3 - Rendimento costante'!H$6:H$65)</f>
        <v>22438.62</v>
      </c>
      <c r="E67" s="13">
        <f>COUNTIF('3 - Rendimento costante'!H$6:H$65,"&lt;"&amp;0.8*Spesa0)</f>
        <v>25</v>
      </c>
      <c r="F67" s="13">
        <f>COUNTIF('3 - Rendimento costante'!H$6:H$65,"&lt;"&amp;0.75*Spesa0)</f>
        <v>25</v>
      </c>
      <c r="G67" s="10">
        <f>IFERROR(STDEVP('3 - Rendimento costante'!AU$72:AU$130),"")</f>
        <v>3.2722946012192021E-2</v>
      </c>
      <c r="H67" s="11">
        <f>INDEX('3 - Rendimento costante'!AK$71:AK$130,Anni+1)</f>
        <v>409607.07358657807</v>
      </c>
      <c r="I67" s="13" t="str">
        <f>IFERROR(MATCH(1,INDEX('3 - Rendimento costante'!AI$71:AI$130,1):INDEX('3 - Rendimento costante'!AI$71:AI$130,Anni),0),"no")</f>
        <v>no</v>
      </c>
    </row>
    <row r="68" spans="1:9">
      <c r="A68" s="5" t="s">
        <v>136</v>
      </c>
      <c r="B68" s="11">
        <f>'3 - Rendimento costante'!I6</f>
        <v>38000</v>
      </c>
      <c r="C68" s="11">
        <f>MEDIAN('3 - Rendimento costante'!I$6:I$65)</f>
        <v>25659.587373449223</v>
      </c>
      <c r="D68" s="11">
        <f>MIN('3 - Rendimento costante'!I$6:I$65)</f>
        <v>18474.108786447297</v>
      </c>
      <c r="E68" s="13">
        <f>COUNTIF('3 - Rendimento costante'!I$6:I$65,"&lt;"&amp;0.8*Spesa0)</f>
        <v>30</v>
      </c>
      <c r="F68" s="13">
        <f>COUNTIF('3 - Rendimento costante'!I$6:I$65,"&lt;"&amp;0.75*Spesa0)</f>
        <v>27</v>
      </c>
      <c r="G68" s="10">
        <f>IFERROR(STDEVP('3 - Rendimento costante'!AV$72:AV$130),"")</f>
        <v>1.8298871896930873E-3</v>
      </c>
      <c r="H68" s="11">
        <f>INDEX('3 - Rendimento costante'!AP$71:AP$130,Anni+1)</f>
        <v>590123.64114651969</v>
      </c>
      <c r="I68" s="13" t="str">
        <f>IFERROR(MATCH(1,INDEX('3 - Rendimento costante'!AN$71:AN$130,1):INDEX('3 - Rendimento costante'!AN$71:AN$130,Anni),0),"no")</f>
        <v>no</v>
      </c>
    </row>
  </sheetData>
  <mergeCells count="51">
    <mergeCell ref="A61:I61"/>
    <mergeCell ref="C11:I11"/>
    <mergeCell ref="C27:I27"/>
    <mergeCell ref="C9:I9"/>
    <mergeCell ref="A51:I51"/>
    <mergeCell ref="A60:I60"/>
    <mergeCell ref="C21:I21"/>
    <mergeCell ref="A1:I1"/>
    <mergeCell ref="C12:I12"/>
    <mergeCell ref="C43:I43"/>
    <mergeCell ref="C46:I46"/>
    <mergeCell ref="A2:I2"/>
    <mergeCell ref="A5:I5"/>
    <mergeCell ref="A32:I32"/>
    <mergeCell ref="C34:I34"/>
    <mergeCell ref="C6:I6"/>
    <mergeCell ref="C24:I24"/>
    <mergeCell ref="C30:I30"/>
    <mergeCell ref="C15:I15"/>
    <mergeCell ref="C33:I33"/>
    <mergeCell ref="C14:I14"/>
    <mergeCell ref="C26:I26"/>
    <mergeCell ref="A28:I28"/>
    <mergeCell ref="A13:I13"/>
    <mergeCell ref="C20:I20"/>
    <mergeCell ref="C29:I29"/>
    <mergeCell ref="C10:I10"/>
    <mergeCell ref="C8:I8"/>
    <mergeCell ref="A18:I18"/>
    <mergeCell ref="A3:I3"/>
    <mergeCell ref="C7:I7"/>
    <mergeCell ref="A50:I50"/>
    <mergeCell ref="C19:I19"/>
    <mergeCell ref="C37:I37"/>
    <mergeCell ref="C42:I42"/>
    <mergeCell ref="A38:I38"/>
    <mergeCell ref="C45:I45"/>
    <mergeCell ref="C35:I35"/>
    <mergeCell ref="C16:I16"/>
    <mergeCell ref="C47:I47"/>
    <mergeCell ref="C25:I25"/>
    <mergeCell ref="C41:I41"/>
    <mergeCell ref="C31:I31"/>
    <mergeCell ref="C36:I36"/>
    <mergeCell ref="C23:I23"/>
    <mergeCell ref="C48:I48"/>
    <mergeCell ref="C17:I17"/>
    <mergeCell ref="C39:I39"/>
    <mergeCell ref="C44:I44"/>
    <mergeCell ref="C22:I22"/>
    <mergeCell ref="C40:I40"/>
  </mergeCells>
  <dataValidations count="3">
    <dataValidation type="list" sqref="B6">
      <formula1>"lordo,tassato"</formula1>
    </dataValidation>
    <dataValidation type="list" sqref="B14">
      <formula1>"EUR,USA"</formula1>
    </dataValidation>
    <dataValidation type="list" sqref="B21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0"/>
  <sheetViews>
    <sheetView workbookViewId="0"/>
  </sheetViews>
  <sheetFormatPr defaultRowHeight="15"/>
  <cols>
    <col min="1" max="1" width="10" customWidth="1"/>
    <col min="2" max="3" width="17" customWidth="1"/>
    <col min="4" max="4" width="20" customWidth="1"/>
    <col min="5" max="5" width="23" customWidth="1"/>
    <col min="6" max="6" width="25" customWidth="1"/>
    <col min="7" max="7" width="24" customWidth="1"/>
    <col min="8" max="9" width="25" customWidth="1"/>
    <col min="10" max="11" width="24" customWidth="1"/>
    <col min="12" max="12" width="25" customWidth="1"/>
    <col min="13" max="13" width="24" customWidth="1"/>
    <col min="14" max="15" width="25" customWidth="1"/>
    <col min="16" max="24" width="18" customWidth="1"/>
    <col min="25" max="31" width="19" customWidth="1"/>
    <col min="32" max="45" width="17" customWidth="1"/>
    <col min="46" max="46" width="18" customWidth="1"/>
    <col min="47" max="48" width="17" customWidth="1"/>
  </cols>
  <sheetData>
    <row r="1" spans="1:16" ht="24.95" customHeight="1">
      <c r="A1" s="33" t="s">
        <v>139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32.1" customHeight="1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>
      <c r="A3" s="35" t="s">
        <v>140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>
      <c r="A4" s="37" t="str">
        <f>"Sequenza: "&amp;Serie&amp;" dal "&amp;Anno_inizio&amp;" · anni osservati: "&amp;Anni_osservati&amp;" · anni di ipotesi al canone: "&amp;Anni_ipotesi&amp;" · modalità: "&amp;Modalita</f>
        <v>Sequenza: EUR dal 2000 · anni osservati: 26 · anni di ipotesi al canone: 16 · modalità: tassato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62.1" customHeight="1">
      <c r="A5" s="15" t="s">
        <v>141</v>
      </c>
      <c r="B5" s="15" t="s">
        <v>142</v>
      </c>
      <c r="C5" s="15" t="s">
        <v>143</v>
      </c>
      <c r="D5" s="15" t="s">
        <v>144</v>
      </c>
      <c r="E5" s="15" t="s">
        <v>145</v>
      </c>
      <c r="F5" s="15" t="s">
        <v>146</v>
      </c>
      <c r="G5" s="15" t="s">
        <v>147</v>
      </c>
      <c r="H5" s="15" t="s">
        <v>148</v>
      </c>
      <c r="I5" s="15" t="s">
        <v>149</v>
      </c>
      <c r="J5" s="15" t="s">
        <v>150</v>
      </c>
      <c r="K5" s="15" t="s">
        <v>151</v>
      </c>
      <c r="L5" s="15" t="s">
        <v>152</v>
      </c>
      <c r="M5" s="15" t="s">
        <v>153</v>
      </c>
      <c r="N5" s="15" t="s">
        <v>154</v>
      </c>
      <c r="O5" s="15" t="s">
        <v>155</v>
      </c>
      <c r="P5" s="15" t="s">
        <v>156</v>
      </c>
    </row>
    <row r="6" spans="1:16">
      <c r="A6" s="13">
        <f t="shared" ref="A6:A37" si="0">A71</f>
        <v>1</v>
      </c>
      <c r="B6" s="13">
        <f t="shared" ref="B6:C25" si="1">IF($A6&gt;Anni,"",B71)</f>
        <v>51</v>
      </c>
      <c r="C6" s="13">
        <f t="shared" si="1"/>
        <v>2000</v>
      </c>
      <c r="D6" s="11">
        <f t="shared" ref="D6:D37" si="2">IF($A6&gt;Anni,"",M71)</f>
        <v>38000</v>
      </c>
      <c r="E6" s="11">
        <f t="shared" ref="E6:E37" si="3">IF($A6&gt;Anni,"",R71)</f>
        <v>38000</v>
      </c>
      <c r="F6" s="11">
        <f t="shared" ref="F6:F37" si="4">IF($A6&gt;Anni,"",W71)</f>
        <v>38000</v>
      </c>
      <c r="G6" s="11">
        <f t="shared" ref="G6:G37" si="5">IF($A6&gt;Anni,"",AC71)</f>
        <v>35662.760400352119</v>
      </c>
      <c r="H6" s="11">
        <f t="shared" ref="H6:H37" si="6">IF($A6&gt;Anni,"",AJ71)</f>
        <v>38000</v>
      </c>
      <c r="I6" s="11">
        <f t="shared" ref="I6:I37" si="7">IF($A6&gt;Anni,"",AO71)</f>
        <v>38000</v>
      </c>
      <c r="J6" s="11">
        <f t="shared" ref="J6:J37" si="8">IF($A6&gt;Anni,"",N71)</f>
        <v>1056000</v>
      </c>
      <c r="K6" s="11">
        <f t="shared" ref="K6:K37" si="9">IF($A6&gt;Anni,"",S71)</f>
        <v>1056000</v>
      </c>
      <c r="L6" s="11">
        <f t="shared" ref="L6:L37" si="10">IF($A6&gt;Anni,"",X71)</f>
        <v>1056000</v>
      </c>
      <c r="M6" s="11">
        <f t="shared" ref="M6:M37" si="11">IF($A6&gt;Anni,"",AD71)</f>
        <v>1056000</v>
      </c>
      <c r="N6" s="11">
        <f t="shared" ref="N6:N37" si="12">IF($A6&gt;Anni,"",AK71)</f>
        <v>1056000</v>
      </c>
      <c r="O6" s="11">
        <f t="shared" ref="O6:O37" si="13">IF($A6&gt;Anni,"",AP71)</f>
        <v>1056000</v>
      </c>
      <c r="P6" s="16" t="str">
        <f t="shared" ref="P6:P37" si="14">IF($A6&gt;Anni,"",IF(D71=1,"osservato","ipotesi"))</f>
        <v>osservato</v>
      </c>
    </row>
    <row r="7" spans="1:16">
      <c r="A7" s="13">
        <f t="shared" si="0"/>
        <v>2</v>
      </c>
      <c r="B7" s="13">
        <f t="shared" si="1"/>
        <v>52</v>
      </c>
      <c r="C7" s="13">
        <f t="shared" si="1"/>
        <v>2001</v>
      </c>
      <c r="D7" s="11">
        <f t="shared" si="2"/>
        <v>38000</v>
      </c>
      <c r="E7" s="11">
        <f t="shared" si="3"/>
        <v>36810.118126540365</v>
      </c>
      <c r="F7" s="11">
        <f t="shared" si="4"/>
        <v>36810.118126540365</v>
      </c>
      <c r="G7" s="11">
        <f t="shared" si="5"/>
        <v>34957.975687541235</v>
      </c>
      <c r="H7" s="11">
        <f t="shared" si="6"/>
        <v>38000</v>
      </c>
      <c r="I7" s="11">
        <f t="shared" si="7"/>
        <v>37050</v>
      </c>
      <c r="J7" s="11">
        <f t="shared" si="8"/>
        <v>1029708.3507333182</v>
      </c>
      <c r="K7" s="11">
        <f t="shared" si="9"/>
        <v>1029708.3507333182</v>
      </c>
      <c r="L7" s="11">
        <f t="shared" si="10"/>
        <v>1029708.3507333182</v>
      </c>
      <c r="M7" s="11">
        <f t="shared" si="11"/>
        <v>1032386.1734514688</v>
      </c>
      <c r="N7" s="11">
        <f t="shared" si="12"/>
        <v>1029708.3507333182</v>
      </c>
      <c r="O7" s="11">
        <f t="shared" si="13"/>
        <v>1029708.3507333182</v>
      </c>
      <c r="P7" s="16" t="str">
        <f t="shared" si="14"/>
        <v>osservato</v>
      </c>
    </row>
    <row r="8" spans="1:16">
      <c r="A8" s="13">
        <f t="shared" si="0"/>
        <v>3</v>
      </c>
      <c r="B8" s="13">
        <f t="shared" si="1"/>
        <v>53</v>
      </c>
      <c r="C8" s="13">
        <f t="shared" si="1"/>
        <v>2002</v>
      </c>
      <c r="D8" s="11">
        <f t="shared" si="2"/>
        <v>38000</v>
      </c>
      <c r="E8" s="11">
        <f t="shared" si="3"/>
        <v>32361.466818255583</v>
      </c>
      <c r="F8" s="11">
        <f t="shared" si="4"/>
        <v>34200</v>
      </c>
      <c r="G8" s="11">
        <f t="shared" si="5"/>
        <v>31099.611857237829</v>
      </c>
      <c r="H8" s="11">
        <f t="shared" si="6"/>
        <v>37157.756648942966</v>
      </c>
      <c r="I8" s="11">
        <f t="shared" si="7"/>
        <v>36123.75</v>
      </c>
      <c r="J8" s="11">
        <f t="shared" si="8"/>
        <v>892443.19504208106</v>
      </c>
      <c r="K8" s="11">
        <f t="shared" si="9"/>
        <v>893664.59848327772</v>
      </c>
      <c r="L8" s="11">
        <f t="shared" si="10"/>
        <v>893664.59848327772</v>
      </c>
      <c r="M8" s="11">
        <f t="shared" si="11"/>
        <v>897988.10187743616</v>
      </c>
      <c r="N8" s="11">
        <f t="shared" si="12"/>
        <v>892443.19504208106</v>
      </c>
      <c r="O8" s="11">
        <f t="shared" si="13"/>
        <v>893418.36181705107</v>
      </c>
      <c r="P8" s="16" t="str">
        <f t="shared" si="14"/>
        <v>osservato</v>
      </c>
    </row>
    <row r="9" spans="1:16">
      <c r="A9" s="13">
        <f t="shared" si="0"/>
        <v>4</v>
      </c>
      <c r="B9" s="13">
        <f t="shared" si="1"/>
        <v>54</v>
      </c>
      <c r="C9" s="13">
        <f t="shared" si="1"/>
        <v>2003</v>
      </c>
      <c r="D9" s="11">
        <f t="shared" si="2"/>
        <v>38000</v>
      </c>
      <c r="E9" s="11">
        <f t="shared" si="3"/>
        <v>26006.674282128508</v>
      </c>
      <c r="F9" s="11">
        <f t="shared" si="4"/>
        <v>34200</v>
      </c>
      <c r="G9" s="11">
        <f t="shared" si="5"/>
        <v>25290.609427418894</v>
      </c>
      <c r="H9" s="11">
        <f t="shared" si="6"/>
        <v>32509.504684380692</v>
      </c>
      <c r="I9" s="11">
        <f t="shared" si="7"/>
        <v>35220.65625</v>
      </c>
      <c r="J9" s="11">
        <f t="shared" si="8"/>
        <v>688278.51371984836</v>
      </c>
      <c r="K9" s="11">
        <f t="shared" si="9"/>
        <v>694383.14290237823</v>
      </c>
      <c r="L9" s="11">
        <f t="shared" si="10"/>
        <v>692715.16462273628</v>
      </c>
      <c r="M9" s="11">
        <f t="shared" si="11"/>
        <v>699029.36877767101</v>
      </c>
      <c r="N9" s="11">
        <f t="shared" si="12"/>
        <v>689042.62482194067</v>
      </c>
      <c r="O9" s="11">
        <f t="shared" si="13"/>
        <v>690770.45777813054</v>
      </c>
      <c r="P9" s="16" t="str">
        <f t="shared" si="14"/>
        <v>osservato</v>
      </c>
    </row>
    <row r="10" spans="1:16">
      <c r="A10" s="13">
        <f t="shared" si="0"/>
        <v>5</v>
      </c>
      <c r="B10" s="13">
        <f t="shared" si="1"/>
        <v>55</v>
      </c>
      <c r="C10" s="13">
        <f t="shared" si="1"/>
        <v>2004</v>
      </c>
      <c r="D10" s="11">
        <f t="shared" si="2"/>
        <v>38000</v>
      </c>
      <c r="E10" s="11">
        <f t="shared" si="3"/>
        <v>26959.760172574533</v>
      </c>
      <c r="F10" s="11">
        <f t="shared" si="4"/>
        <v>34200</v>
      </c>
      <c r="G10" s="11">
        <f t="shared" si="5"/>
        <v>26530.058426447526</v>
      </c>
      <c r="H10" s="11">
        <f t="shared" si="6"/>
        <v>29258.554215942619</v>
      </c>
      <c r="I10" s="11">
        <f t="shared" si="7"/>
        <v>34340.139843749996</v>
      </c>
      <c r="J10" s="11">
        <f t="shared" si="8"/>
        <v>715476.35785484093</v>
      </c>
      <c r="K10" s="11">
        <f t="shared" si="9"/>
        <v>736588.24777011457</v>
      </c>
      <c r="L10" s="11">
        <f t="shared" si="10"/>
        <v>724932.29031398229</v>
      </c>
      <c r="M10" s="11">
        <f t="shared" si="11"/>
        <v>742582.77527919039</v>
      </c>
      <c r="N10" s="11">
        <f t="shared" si="12"/>
        <v>722896.2391932566</v>
      </c>
      <c r="O10" s="11">
        <f t="shared" si="13"/>
        <v>721559.88972347835</v>
      </c>
      <c r="P10" s="16" t="str">
        <f t="shared" si="14"/>
        <v>osservato</v>
      </c>
    </row>
    <row r="11" spans="1:16">
      <c r="A11" s="13">
        <f t="shared" si="0"/>
        <v>6</v>
      </c>
      <c r="B11" s="13">
        <f t="shared" si="1"/>
        <v>56</v>
      </c>
      <c r="C11" s="13">
        <f t="shared" si="1"/>
        <v>2005</v>
      </c>
      <c r="D11" s="11">
        <f t="shared" si="2"/>
        <v>38000</v>
      </c>
      <c r="E11" s="11">
        <f t="shared" si="3"/>
        <v>26924.160977169948</v>
      </c>
      <c r="F11" s="11">
        <f t="shared" si="4"/>
        <v>34200</v>
      </c>
      <c r="G11" s="11">
        <f t="shared" si="5"/>
        <v>26810.941565105903</v>
      </c>
      <c r="H11" s="11">
        <f t="shared" si="6"/>
        <v>29258.554215942619</v>
      </c>
      <c r="I11" s="11">
        <f t="shared" si="7"/>
        <v>33481.636347656247</v>
      </c>
      <c r="J11" s="11">
        <f t="shared" si="8"/>
        <v>709816.36481122416</v>
      </c>
      <c r="K11" s="11">
        <f t="shared" si="9"/>
        <v>744970.08630347194</v>
      </c>
      <c r="L11" s="11">
        <f t="shared" si="10"/>
        <v>724223.96465482318</v>
      </c>
      <c r="M11" s="11">
        <f t="shared" si="11"/>
        <v>751791.20700019796</v>
      </c>
      <c r="N11" s="11">
        <f t="shared" si="12"/>
        <v>727850.98719939694</v>
      </c>
      <c r="O11" s="11">
        <f t="shared" si="13"/>
        <v>720505.24512530805</v>
      </c>
      <c r="P11" s="16" t="str">
        <f t="shared" si="14"/>
        <v>osservato</v>
      </c>
    </row>
    <row r="12" spans="1:16">
      <c r="A12" s="13">
        <f t="shared" si="0"/>
        <v>7</v>
      </c>
      <c r="B12" s="13">
        <f t="shared" si="1"/>
        <v>57</v>
      </c>
      <c r="C12" s="13">
        <f t="shared" si="1"/>
        <v>2006</v>
      </c>
      <c r="D12" s="11">
        <f t="shared" si="2"/>
        <v>38000</v>
      </c>
      <c r="E12" s="11">
        <f t="shared" si="3"/>
        <v>28803.531089012395</v>
      </c>
      <c r="F12" s="11">
        <f t="shared" si="4"/>
        <v>34200</v>
      </c>
      <c r="G12" s="11">
        <f t="shared" si="5"/>
        <v>29024.404998050806</v>
      </c>
      <c r="H12" s="11">
        <f t="shared" si="6"/>
        <v>29258.554215942615</v>
      </c>
      <c r="I12" s="11">
        <f t="shared" si="7"/>
        <v>32644.59543896484</v>
      </c>
      <c r="J12" s="11">
        <f t="shared" si="8"/>
        <v>762479.53899909346</v>
      </c>
      <c r="K12" s="11">
        <f t="shared" si="9"/>
        <v>816863.5246051487</v>
      </c>
      <c r="L12" s="11">
        <f t="shared" si="10"/>
        <v>783820.10460806673</v>
      </c>
      <c r="M12" s="11">
        <f t="shared" si="11"/>
        <v>824804.3933192821</v>
      </c>
      <c r="N12" s="11">
        <f t="shared" si="12"/>
        <v>794304.14106298413</v>
      </c>
      <c r="O12" s="11">
        <f t="shared" si="13"/>
        <v>780491.61277180375</v>
      </c>
      <c r="P12" s="16" t="str">
        <f t="shared" si="14"/>
        <v>osservato</v>
      </c>
    </row>
    <row r="13" spans="1:16">
      <c r="A13" s="13">
        <f t="shared" si="0"/>
        <v>8</v>
      </c>
      <c r="B13" s="13">
        <f t="shared" si="1"/>
        <v>58</v>
      </c>
      <c r="C13" s="13">
        <f t="shared" si="1"/>
        <v>2007</v>
      </c>
      <c r="D13" s="11">
        <f t="shared" si="2"/>
        <v>38000</v>
      </c>
      <c r="E13" s="11">
        <f t="shared" si="3"/>
        <v>28184.306796437901</v>
      </c>
      <c r="F13" s="11">
        <f t="shared" si="4"/>
        <v>34200</v>
      </c>
      <c r="G13" s="11">
        <f t="shared" si="5"/>
        <v>28739.066454986187</v>
      </c>
      <c r="H13" s="11">
        <f t="shared" si="6"/>
        <v>29258.554215942615</v>
      </c>
      <c r="I13" s="11">
        <f t="shared" si="7"/>
        <v>31828.480552990717</v>
      </c>
      <c r="J13" s="11">
        <f t="shared" si="8"/>
        <v>737887.97942738771</v>
      </c>
      <c r="K13" s="11">
        <f t="shared" si="9"/>
        <v>804580.63765418308</v>
      </c>
      <c r="L13" s="11">
        <f t="shared" si="10"/>
        <v>764284.41918358218</v>
      </c>
      <c r="M13" s="11">
        <f t="shared" si="11"/>
        <v>812471.93850799464</v>
      </c>
      <c r="N13" s="11">
        <f t="shared" si="12"/>
        <v>780883.56547383696</v>
      </c>
      <c r="O13" s="11">
        <f t="shared" si="13"/>
        <v>762704.38540775818</v>
      </c>
      <c r="P13" s="16" t="str">
        <f t="shared" si="14"/>
        <v>osservato</v>
      </c>
    </row>
    <row r="14" spans="1:16">
      <c r="A14" s="13">
        <f t="shared" si="0"/>
        <v>9</v>
      </c>
      <c r="B14" s="13">
        <f t="shared" si="1"/>
        <v>59</v>
      </c>
      <c r="C14" s="13">
        <f t="shared" si="1"/>
        <v>2008</v>
      </c>
      <c r="D14" s="11">
        <f t="shared" si="2"/>
        <v>38000</v>
      </c>
      <c r="E14" s="11">
        <f t="shared" si="3"/>
        <v>24895.373398090185</v>
      </c>
      <c r="F14" s="11">
        <f t="shared" si="4"/>
        <v>34200</v>
      </c>
      <c r="G14" s="11">
        <f t="shared" si="5"/>
        <v>25688.080242342337</v>
      </c>
      <c r="H14" s="11">
        <f t="shared" si="6"/>
        <v>28363.898429834862</v>
      </c>
      <c r="I14" s="11">
        <f t="shared" si="7"/>
        <v>31032.768539165947</v>
      </c>
      <c r="J14" s="11">
        <f t="shared" si="8"/>
        <v>633176.44083526928</v>
      </c>
      <c r="K14" s="11">
        <f t="shared" si="9"/>
        <v>704406.88315621729</v>
      </c>
      <c r="L14" s="11">
        <f t="shared" si="10"/>
        <v>661279.10417274537</v>
      </c>
      <c r="M14" s="11">
        <f t="shared" si="11"/>
        <v>711021.56448291405</v>
      </c>
      <c r="N14" s="11">
        <f t="shared" si="12"/>
        <v>681647.8126460315</v>
      </c>
      <c r="O14" s="11">
        <f t="shared" si="13"/>
        <v>662343.35977282957</v>
      </c>
      <c r="P14" s="16" t="str">
        <f t="shared" si="14"/>
        <v>osservato</v>
      </c>
    </row>
    <row r="15" spans="1:16">
      <c r="A15" s="13">
        <f t="shared" si="0"/>
        <v>10</v>
      </c>
      <c r="B15" s="13">
        <f t="shared" si="1"/>
        <v>60</v>
      </c>
      <c r="C15" s="13">
        <f t="shared" si="1"/>
        <v>2009</v>
      </c>
      <c r="D15" s="11">
        <f t="shared" si="2"/>
        <v>38000</v>
      </c>
      <c r="E15" s="11">
        <f t="shared" si="3"/>
        <v>20288.787693574683</v>
      </c>
      <c r="F15" s="11">
        <f t="shared" si="4"/>
        <v>34200</v>
      </c>
      <c r="G15" s="11">
        <f t="shared" si="5"/>
        <v>21184.431211600349</v>
      </c>
      <c r="H15" s="11">
        <f t="shared" si="6"/>
        <v>25185.240165591385</v>
      </c>
      <c r="I15" s="11">
        <f t="shared" si="7"/>
        <v>30256.949325686794</v>
      </c>
      <c r="J15" s="11">
        <f t="shared" si="8"/>
        <v>486442.45385422593</v>
      </c>
      <c r="K15" s="11">
        <f t="shared" si="9"/>
        <v>557624.97910340573</v>
      </c>
      <c r="L15" s="11">
        <f t="shared" si="10"/>
        <v>513228.57823708054</v>
      </c>
      <c r="M15" s="11">
        <f t="shared" si="11"/>
        <v>562331.98399373924</v>
      </c>
      <c r="N15" s="11">
        <f t="shared" si="12"/>
        <v>535561.74479126686</v>
      </c>
      <c r="O15" s="11">
        <f t="shared" si="13"/>
        <v>517106.2063976776</v>
      </c>
      <c r="P15" s="16" t="str">
        <f t="shared" si="14"/>
        <v>osservato</v>
      </c>
    </row>
    <row r="16" spans="1:16">
      <c r="A16" s="13">
        <f t="shared" si="0"/>
        <v>11</v>
      </c>
      <c r="B16" s="13">
        <f t="shared" si="1"/>
        <v>61</v>
      </c>
      <c r="C16" s="13">
        <f t="shared" si="1"/>
        <v>2010</v>
      </c>
      <c r="D16" s="11">
        <f t="shared" si="2"/>
        <v>38000</v>
      </c>
      <c r="E16" s="11">
        <f t="shared" si="3"/>
        <v>21967.594390460341</v>
      </c>
      <c r="F16" s="11">
        <f t="shared" si="4"/>
        <v>34200</v>
      </c>
      <c r="G16" s="11">
        <f t="shared" si="5"/>
        <v>23210.843171534325</v>
      </c>
      <c r="H16" s="11">
        <f t="shared" si="6"/>
        <v>22666.716149032247</v>
      </c>
      <c r="I16" s="11">
        <f t="shared" si="7"/>
        <v>29500.525592544629</v>
      </c>
      <c r="J16" s="11">
        <f t="shared" si="8"/>
        <v>514498.21792332985</v>
      </c>
      <c r="K16" s="11">
        <f t="shared" si="9"/>
        <v>619847.53056569118</v>
      </c>
      <c r="L16" s="11">
        <f t="shared" si="10"/>
        <v>550440.8275601319</v>
      </c>
      <c r="M16" s="11">
        <f t="shared" si="11"/>
        <v>624144.04899610416</v>
      </c>
      <c r="N16" s="11">
        <f t="shared" si="12"/>
        <v>587960.44975349295</v>
      </c>
      <c r="O16" s="11">
        <f t="shared" si="13"/>
        <v>560026.80136135477</v>
      </c>
      <c r="P16" s="16" t="str">
        <f t="shared" si="14"/>
        <v>osservato</v>
      </c>
    </row>
    <row r="17" spans="1:16">
      <c r="A17" s="13">
        <f t="shared" si="0"/>
        <v>12</v>
      </c>
      <c r="B17" s="13">
        <f t="shared" si="1"/>
        <v>62</v>
      </c>
      <c r="C17" s="13">
        <f t="shared" si="1"/>
        <v>2011</v>
      </c>
      <c r="D17" s="11">
        <f t="shared" si="2"/>
        <v>38000</v>
      </c>
      <c r="E17" s="11">
        <f t="shared" si="3"/>
        <v>23079.085603563432</v>
      </c>
      <c r="F17" s="11">
        <f t="shared" si="4"/>
        <v>34200</v>
      </c>
      <c r="G17" s="11">
        <f t="shared" si="5"/>
        <v>24675.997623446798</v>
      </c>
      <c r="H17" s="11">
        <f t="shared" si="6"/>
        <v>22666.716149032247</v>
      </c>
      <c r="I17" s="11">
        <f t="shared" si="7"/>
        <v>28763.012452731007</v>
      </c>
      <c r="J17" s="11">
        <f t="shared" si="8"/>
        <v>525493.43186842627</v>
      </c>
      <c r="K17" s="11">
        <f t="shared" si="9"/>
        <v>663505.08297117823</v>
      </c>
      <c r="L17" s="11">
        <f t="shared" si="10"/>
        <v>570447.12310839968</v>
      </c>
      <c r="M17" s="11">
        <f t="shared" si="11"/>
        <v>666710.97667095647</v>
      </c>
      <c r="N17" s="11">
        <f t="shared" si="12"/>
        <v>627036.10566003958</v>
      </c>
      <c r="O17" s="11">
        <f t="shared" si="13"/>
        <v>587143.60580798355</v>
      </c>
      <c r="P17" s="16" t="str">
        <f t="shared" si="14"/>
        <v>osservato</v>
      </c>
    </row>
    <row r="18" spans="1:16">
      <c r="A18" s="13">
        <f t="shared" si="0"/>
        <v>13</v>
      </c>
      <c r="B18" s="13">
        <f t="shared" si="1"/>
        <v>63</v>
      </c>
      <c r="C18" s="13">
        <f t="shared" si="1"/>
        <v>2012</v>
      </c>
      <c r="D18" s="11">
        <f t="shared" si="2"/>
        <v>38000</v>
      </c>
      <c r="E18" s="11">
        <f t="shared" si="3"/>
        <v>22715.18270055325</v>
      </c>
      <c r="F18" s="11">
        <f t="shared" si="4"/>
        <v>34200</v>
      </c>
      <c r="G18" s="11">
        <f t="shared" si="5"/>
        <v>24576.50156453246</v>
      </c>
      <c r="H18" s="11">
        <f t="shared" si="6"/>
        <v>22666.716149032247</v>
      </c>
      <c r="I18" s="11">
        <f t="shared" si="7"/>
        <v>28043.937141412734</v>
      </c>
      <c r="J18" s="11">
        <f t="shared" si="8"/>
        <v>498063.74912856455</v>
      </c>
      <c r="K18" s="11">
        <f t="shared" si="9"/>
        <v>658931.2224204744</v>
      </c>
      <c r="L18" s="11">
        <f t="shared" si="10"/>
        <v>549182.405866688</v>
      </c>
      <c r="M18" s="11">
        <f t="shared" si="11"/>
        <v>660321.88244529918</v>
      </c>
      <c r="N18" s="11">
        <f t="shared" si="12"/>
        <v>621680.11957139499</v>
      </c>
      <c r="O18" s="11">
        <f t="shared" si="13"/>
        <v>573028.25698485668</v>
      </c>
      <c r="P18" s="16" t="str">
        <f t="shared" si="14"/>
        <v>osservato</v>
      </c>
    </row>
    <row r="19" spans="1:16">
      <c r="A19" s="13">
        <f t="shared" si="0"/>
        <v>14</v>
      </c>
      <c r="B19" s="13">
        <f t="shared" si="1"/>
        <v>64</v>
      </c>
      <c r="C19" s="13">
        <f t="shared" si="1"/>
        <v>2013</v>
      </c>
      <c r="D19" s="11">
        <f t="shared" si="2"/>
        <v>38000</v>
      </c>
      <c r="E19" s="11">
        <f t="shared" si="3"/>
        <v>22900.852648230692</v>
      </c>
      <c r="F19" s="11">
        <f t="shared" si="4"/>
        <v>34200</v>
      </c>
      <c r="G19" s="11">
        <f t="shared" si="5"/>
        <v>25072.820151184154</v>
      </c>
      <c r="H19" s="11">
        <f t="shared" si="6"/>
        <v>22666.716149032247</v>
      </c>
      <c r="I19" s="11">
        <f t="shared" si="7"/>
        <v>27342.838712877416</v>
      </c>
      <c r="J19" s="11">
        <f t="shared" si="8"/>
        <v>481374.52142434573</v>
      </c>
      <c r="K19" s="11">
        <f t="shared" si="9"/>
        <v>671285.91314633319</v>
      </c>
      <c r="L19" s="11">
        <f t="shared" si="10"/>
        <v>540401.65069554839</v>
      </c>
      <c r="M19" s="11">
        <f t="shared" si="11"/>
        <v>670436.81487950706</v>
      </c>
      <c r="N19" s="11">
        <f t="shared" si="12"/>
        <v>631792.37202754116</v>
      </c>
      <c r="O19" s="11">
        <f t="shared" si="13"/>
        <v>573413.79184419441</v>
      </c>
      <c r="P19" s="16" t="str">
        <f t="shared" si="14"/>
        <v>osservato</v>
      </c>
    </row>
    <row r="20" spans="1:16">
      <c r="A20" s="13">
        <f t="shared" si="0"/>
        <v>15</v>
      </c>
      <c r="B20" s="13">
        <f t="shared" si="1"/>
        <v>65</v>
      </c>
      <c r="C20" s="13">
        <f t="shared" si="1"/>
        <v>2014</v>
      </c>
      <c r="D20" s="11">
        <f t="shared" si="2"/>
        <v>38000</v>
      </c>
      <c r="E20" s="11">
        <f t="shared" si="3"/>
        <v>23804.130762441742</v>
      </c>
      <c r="F20" s="11">
        <f t="shared" si="4"/>
        <v>34200</v>
      </c>
      <c r="G20" s="11">
        <f t="shared" si="5"/>
        <v>26372.516097004987</v>
      </c>
      <c r="H20" s="11">
        <f t="shared" si="6"/>
        <v>22666.716149032247</v>
      </c>
      <c r="I20" s="11">
        <f t="shared" si="7"/>
        <v>26659.26774505548</v>
      </c>
      <c r="J20" s="11">
        <f t="shared" si="8"/>
        <v>477889.05810905126</v>
      </c>
      <c r="K20" s="11">
        <f t="shared" si="9"/>
        <v>705627.19816892978</v>
      </c>
      <c r="L20" s="11">
        <f t="shared" si="10"/>
        <v>547509.85297135543</v>
      </c>
      <c r="M20" s="11">
        <f t="shared" si="11"/>
        <v>701867.32539773197</v>
      </c>
      <c r="N20" s="11">
        <f t="shared" si="12"/>
        <v>662663.03495589562</v>
      </c>
      <c r="O20" s="11">
        <f t="shared" si="13"/>
        <v>592611.39526282344</v>
      </c>
      <c r="P20" s="16" t="str">
        <f t="shared" si="14"/>
        <v>osservato</v>
      </c>
    </row>
    <row r="21" spans="1:16">
      <c r="A21" s="13">
        <f t="shared" si="0"/>
        <v>16</v>
      </c>
      <c r="B21" s="13">
        <f t="shared" si="1"/>
        <v>66</v>
      </c>
      <c r="C21" s="13">
        <f t="shared" si="1"/>
        <v>2015</v>
      </c>
      <c r="D21" s="11">
        <f t="shared" si="2"/>
        <v>38000</v>
      </c>
      <c r="E21" s="11">
        <f t="shared" si="3"/>
        <v>27559.052947146771</v>
      </c>
      <c r="F21" s="11">
        <f t="shared" si="4"/>
        <v>34200</v>
      </c>
      <c r="G21" s="11">
        <f t="shared" si="5"/>
        <v>30896.638652133017</v>
      </c>
      <c r="H21" s="11">
        <f t="shared" si="6"/>
        <v>22666.716149032247</v>
      </c>
      <c r="I21" s="11">
        <f t="shared" si="7"/>
        <v>25992.786051429091</v>
      </c>
      <c r="J21" s="11">
        <f t="shared" si="8"/>
        <v>532310.28824567748</v>
      </c>
      <c r="K21" s="11">
        <f t="shared" si="9"/>
        <v>833828.13891840319</v>
      </c>
      <c r="L21" s="11">
        <f t="shared" si="10"/>
        <v>623686.53568708501</v>
      </c>
      <c r="M21" s="11">
        <f t="shared" si="11"/>
        <v>825393.37530739116</v>
      </c>
      <c r="N21" s="11">
        <f t="shared" si="12"/>
        <v>782596.04433000996</v>
      </c>
      <c r="O21" s="11">
        <f t="shared" si="13"/>
        <v>690403.96810495597</v>
      </c>
      <c r="P21" s="16" t="str">
        <f t="shared" si="14"/>
        <v>osservato</v>
      </c>
    </row>
    <row r="22" spans="1:16">
      <c r="A22" s="13">
        <f t="shared" si="0"/>
        <v>17</v>
      </c>
      <c r="B22" s="13">
        <f t="shared" si="1"/>
        <v>67</v>
      </c>
      <c r="C22" s="13">
        <f t="shared" si="1"/>
        <v>2016</v>
      </c>
      <c r="D22" s="11">
        <f t="shared" si="2"/>
        <v>38000</v>
      </c>
      <c r="E22" s="11">
        <f t="shared" si="3"/>
        <v>26193.397776665406</v>
      </c>
      <c r="F22" s="11">
        <f t="shared" si="4"/>
        <v>34200</v>
      </c>
      <c r="G22" s="11">
        <f t="shared" si="5"/>
        <v>29715.735799229809</v>
      </c>
      <c r="H22" s="11">
        <f t="shared" si="6"/>
        <v>22666.716149032247</v>
      </c>
      <c r="I22" s="11">
        <f t="shared" si="7"/>
        <v>25342.966400143363</v>
      </c>
      <c r="J22" s="11">
        <f t="shared" si="8"/>
        <v>480860.48725090863</v>
      </c>
      <c r="K22" s="11">
        <f t="shared" si="9"/>
        <v>792080.28714379622</v>
      </c>
      <c r="L22" s="11">
        <f t="shared" si="10"/>
        <v>575949.61741009227</v>
      </c>
      <c r="M22" s="11">
        <f t="shared" si="11"/>
        <v>779673.1742012609</v>
      </c>
      <c r="N22" s="11">
        <f t="shared" si="12"/>
        <v>747300.79976976442</v>
      </c>
      <c r="O22" s="11">
        <f t="shared" si="13"/>
        <v>651979.84689119062</v>
      </c>
      <c r="P22" s="16" t="str">
        <f t="shared" si="14"/>
        <v>osservato</v>
      </c>
    </row>
    <row r="23" spans="1:16">
      <c r="A23" s="13">
        <f t="shared" si="0"/>
        <v>18</v>
      </c>
      <c r="B23" s="13">
        <f t="shared" si="1"/>
        <v>68</v>
      </c>
      <c r="C23" s="13">
        <f t="shared" si="1"/>
        <v>2017</v>
      </c>
      <c r="D23" s="11">
        <f t="shared" si="2"/>
        <v>38000</v>
      </c>
      <c r="E23" s="11">
        <f t="shared" si="3"/>
        <v>27061.879096721121</v>
      </c>
      <c r="F23" s="11">
        <f t="shared" si="4"/>
        <v>34200</v>
      </c>
      <c r="G23" s="11">
        <f t="shared" si="5"/>
        <v>31067.070665901199</v>
      </c>
      <c r="H23" s="11">
        <f t="shared" si="6"/>
        <v>22666.716149032247</v>
      </c>
      <c r="I23" s="11">
        <f t="shared" si="7"/>
        <v>24709.392240139779</v>
      </c>
      <c r="J23" s="11">
        <f t="shared" si="8"/>
        <v>471447.31269951811</v>
      </c>
      <c r="K23" s="11">
        <f t="shared" si="9"/>
        <v>825053.1787422942</v>
      </c>
      <c r="L23" s="11">
        <f t="shared" si="10"/>
        <v>579743.51706394053</v>
      </c>
      <c r="M23" s="11">
        <f t="shared" si="11"/>
        <v>806892.11428849911</v>
      </c>
      <c r="N23" s="11">
        <f t="shared" si="12"/>
        <v>781134.27592535981</v>
      </c>
      <c r="O23" s="11">
        <f t="shared" si="13"/>
        <v>674082.99529736349</v>
      </c>
      <c r="P23" s="16" t="str">
        <f t="shared" si="14"/>
        <v>osservato</v>
      </c>
    </row>
    <row r="24" spans="1:16">
      <c r="A24" s="13">
        <f t="shared" si="0"/>
        <v>19</v>
      </c>
      <c r="B24" s="13">
        <f t="shared" si="1"/>
        <v>69</v>
      </c>
      <c r="C24" s="13">
        <f t="shared" si="1"/>
        <v>2018</v>
      </c>
      <c r="D24" s="11">
        <f t="shared" si="2"/>
        <v>38000</v>
      </c>
      <c r="E24" s="11">
        <f t="shared" si="3"/>
        <v>26721.950327066876</v>
      </c>
      <c r="F24" s="11">
        <f t="shared" si="4"/>
        <v>34200</v>
      </c>
      <c r="G24" s="11">
        <f t="shared" si="5"/>
        <v>31042.608939852249</v>
      </c>
      <c r="H24" s="11">
        <f t="shared" si="6"/>
        <v>22666.716149032247</v>
      </c>
      <c r="I24" s="11">
        <f t="shared" si="7"/>
        <v>24091.657434136283</v>
      </c>
      <c r="J24" s="11">
        <f t="shared" si="8"/>
        <v>438456.50195473403</v>
      </c>
      <c r="K24" s="11">
        <f t="shared" si="9"/>
        <v>817705.12621233764</v>
      </c>
      <c r="L24" s="11">
        <f t="shared" si="10"/>
        <v>555181.11176164146</v>
      </c>
      <c r="M24" s="11">
        <f t="shared" si="11"/>
        <v>793827.83678015252</v>
      </c>
      <c r="N24" s="11">
        <f t="shared" si="12"/>
        <v>777952.1179603748</v>
      </c>
      <c r="O24" s="11">
        <f t="shared" si="13"/>
        <v>664758.62727394945</v>
      </c>
      <c r="P24" s="16" t="str">
        <f t="shared" si="14"/>
        <v>osservato</v>
      </c>
    </row>
    <row r="25" spans="1:16">
      <c r="A25" s="13">
        <f t="shared" si="0"/>
        <v>20</v>
      </c>
      <c r="B25" s="13">
        <f t="shared" si="1"/>
        <v>70</v>
      </c>
      <c r="C25" s="13">
        <f t="shared" si="1"/>
        <v>2019</v>
      </c>
      <c r="D25" s="11">
        <f t="shared" si="2"/>
        <v>38000</v>
      </c>
      <c r="E25" s="11">
        <f t="shared" si="3"/>
        <v>26121.972277688226</v>
      </c>
      <c r="F25" s="11">
        <f t="shared" si="4"/>
        <v>34200</v>
      </c>
      <c r="G25" s="11">
        <f t="shared" si="5"/>
        <v>30707.448449275933</v>
      </c>
      <c r="H25" s="11">
        <f t="shared" si="6"/>
        <v>22666.716149032247</v>
      </c>
      <c r="I25" s="11">
        <f t="shared" si="7"/>
        <v>23489.365998282876</v>
      </c>
      <c r="J25" s="11">
        <f t="shared" si="8"/>
        <v>399634.82351138705</v>
      </c>
      <c r="K25" s="11">
        <f t="shared" si="9"/>
        <v>801274.58921347023</v>
      </c>
      <c r="L25" s="11">
        <f t="shared" si="10"/>
        <v>523667.88321102632</v>
      </c>
      <c r="M25" s="11">
        <f t="shared" si="11"/>
        <v>771409.93875445484</v>
      </c>
      <c r="N25" s="11">
        <f t="shared" si="12"/>
        <v>765814.67211547028</v>
      </c>
      <c r="O25" s="11">
        <f t="shared" si="13"/>
        <v>648399.25097129738</v>
      </c>
      <c r="P25" s="16" t="str">
        <f t="shared" si="14"/>
        <v>osservato</v>
      </c>
    </row>
    <row r="26" spans="1:16">
      <c r="A26" s="13">
        <f t="shared" si="0"/>
        <v>21</v>
      </c>
      <c r="B26" s="13">
        <f t="shared" ref="B26:C45" si="15">IF($A26&gt;Anni,"",B91)</f>
        <v>71</v>
      </c>
      <c r="C26" s="13">
        <f t="shared" si="15"/>
        <v>2020</v>
      </c>
      <c r="D26" s="11">
        <f t="shared" si="2"/>
        <v>38000</v>
      </c>
      <c r="E26" s="11">
        <f t="shared" si="3"/>
        <v>28429.323140011162</v>
      </c>
      <c r="F26" s="11">
        <f t="shared" si="4"/>
        <v>34200</v>
      </c>
      <c r="G26" s="11">
        <f t="shared" si="5"/>
        <v>33818.317162381056</v>
      </c>
      <c r="H26" s="11">
        <f t="shared" si="6"/>
        <v>22666.716149032247</v>
      </c>
      <c r="I26" s="11">
        <f t="shared" si="7"/>
        <v>22902.131848325804</v>
      </c>
      <c r="J26" s="11">
        <f t="shared" si="8"/>
        <v>403876.64206442534</v>
      </c>
      <c r="K26" s="11">
        <f t="shared" si="9"/>
        <v>881192.78773904359</v>
      </c>
      <c r="L26" s="11">
        <f t="shared" si="10"/>
        <v>551467.91294448776</v>
      </c>
      <c r="M26" s="11">
        <f t="shared" si="11"/>
        <v>840420.51948559878</v>
      </c>
      <c r="N26" s="11">
        <f t="shared" si="12"/>
        <v>845475.56701327988</v>
      </c>
      <c r="O26" s="11">
        <f t="shared" si="13"/>
        <v>709716.29395746696</v>
      </c>
      <c r="P26" s="16" t="str">
        <f t="shared" si="14"/>
        <v>osservato</v>
      </c>
    </row>
    <row r="27" spans="1:16">
      <c r="A27" s="13">
        <f t="shared" si="0"/>
        <v>22</v>
      </c>
      <c r="B27" s="13">
        <f t="shared" si="15"/>
        <v>72</v>
      </c>
      <c r="C27" s="13">
        <f t="shared" si="15"/>
        <v>2021</v>
      </c>
      <c r="D27" s="11">
        <f t="shared" si="2"/>
        <v>38000</v>
      </c>
      <c r="E27" s="11">
        <f t="shared" si="3"/>
        <v>27909.093528686346</v>
      </c>
      <c r="F27" s="11">
        <f t="shared" si="4"/>
        <v>34200</v>
      </c>
      <c r="G27" s="11">
        <f t="shared" si="5"/>
        <v>33595.329864419189</v>
      </c>
      <c r="H27" s="11">
        <f t="shared" si="6"/>
        <v>22666.716149032247</v>
      </c>
      <c r="I27" s="11">
        <f t="shared" si="7"/>
        <v>22477.889546561913</v>
      </c>
      <c r="J27" s="11">
        <f t="shared" si="8"/>
        <v>365159.76205212227</v>
      </c>
      <c r="K27" s="11">
        <f t="shared" si="9"/>
        <v>866965.26083485223</v>
      </c>
      <c r="L27" s="11">
        <f t="shared" si="10"/>
        <v>521407.31867272407</v>
      </c>
      <c r="M27" s="11">
        <f t="shared" si="11"/>
        <v>818206.72635013412</v>
      </c>
      <c r="N27" s="11">
        <f t="shared" si="12"/>
        <v>837769.16314643179</v>
      </c>
      <c r="O27" s="11">
        <f t="shared" si="13"/>
        <v>698250.88922081201</v>
      </c>
      <c r="P27" s="16" t="str">
        <f t="shared" si="14"/>
        <v>osservato</v>
      </c>
    </row>
    <row r="28" spans="1:16">
      <c r="A28" s="13">
        <f t="shared" si="0"/>
        <v>23</v>
      </c>
      <c r="B28" s="13">
        <f t="shared" si="15"/>
        <v>73</v>
      </c>
      <c r="C28" s="13">
        <f t="shared" si="15"/>
        <v>2022</v>
      </c>
      <c r="D28" s="11">
        <f t="shared" si="2"/>
        <v>38000</v>
      </c>
      <c r="E28" s="11">
        <f t="shared" si="3"/>
        <v>28714.467082019008</v>
      </c>
      <c r="F28" s="11">
        <f t="shared" si="4"/>
        <v>34200</v>
      </c>
      <c r="G28" s="11">
        <f t="shared" si="5"/>
        <v>34976.92653298653</v>
      </c>
      <c r="H28" s="11">
        <f t="shared" si="6"/>
        <v>22666.716149032247</v>
      </c>
      <c r="I28" s="11">
        <f t="shared" si="7"/>
        <v>23126.53468284792</v>
      </c>
      <c r="J28" s="11">
        <f t="shared" si="8"/>
        <v>343001.35132145783</v>
      </c>
      <c r="K28" s="11">
        <f t="shared" si="9"/>
        <v>899243.97179751028</v>
      </c>
      <c r="L28" s="11">
        <f t="shared" si="10"/>
        <v>517095.42549234233</v>
      </c>
      <c r="M28" s="11">
        <f t="shared" si="11"/>
        <v>838785.25434824789</v>
      </c>
      <c r="N28" s="11">
        <f t="shared" si="12"/>
        <v>874822.24679918995</v>
      </c>
      <c r="O28" s="11">
        <f t="shared" si="13"/>
        <v>724248.05387176201</v>
      </c>
      <c r="P28" s="16" t="str">
        <f t="shared" si="14"/>
        <v>osservato</v>
      </c>
    </row>
    <row r="29" spans="1:16">
      <c r="A29" s="13">
        <f t="shared" si="0"/>
        <v>24</v>
      </c>
      <c r="B29" s="13">
        <f t="shared" si="15"/>
        <v>74</v>
      </c>
      <c r="C29" s="13">
        <f t="shared" si="15"/>
        <v>2023</v>
      </c>
      <c r="D29" s="11">
        <f t="shared" si="2"/>
        <v>38000</v>
      </c>
      <c r="E29" s="11">
        <f t="shared" si="3"/>
        <v>22438.063671793072</v>
      </c>
      <c r="F29" s="11">
        <f t="shared" si="4"/>
        <v>34200</v>
      </c>
      <c r="G29" s="11">
        <f t="shared" si="5"/>
        <v>27657.566548260889</v>
      </c>
      <c r="H29" s="11">
        <f t="shared" si="6"/>
        <v>20481.743793274625</v>
      </c>
      <c r="I29" s="11">
        <f t="shared" si="7"/>
        <v>22548.37131577672</v>
      </c>
      <c r="J29" s="11">
        <f t="shared" si="8"/>
        <v>238368.39594983074</v>
      </c>
      <c r="K29" s="11">
        <f t="shared" si="9"/>
        <v>697786.38648433541</v>
      </c>
      <c r="L29" s="11">
        <f t="shared" si="10"/>
        <v>383076.42482425086</v>
      </c>
      <c r="M29" s="11">
        <f t="shared" si="11"/>
        <v>642454.14599507675</v>
      </c>
      <c r="N29" s="11">
        <f t="shared" si="12"/>
        <v>684248.49741573457</v>
      </c>
      <c r="O29" s="11">
        <f t="shared" si="13"/>
        <v>561994.79593874572</v>
      </c>
      <c r="P29" s="16" t="str">
        <f t="shared" si="14"/>
        <v>osservato</v>
      </c>
    </row>
    <row r="30" spans="1:16">
      <c r="A30" s="13">
        <f t="shared" si="0"/>
        <v>25</v>
      </c>
      <c r="B30" s="13">
        <f t="shared" si="15"/>
        <v>75</v>
      </c>
      <c r="C30" s="13">
        <f t="shared" si="15"/>
        <v>2024</v>
      </c>
      <c r="D30" s="11">
        <f t="shared" si="2"/>
        <v>38000</v>
      </c>
      <c r="E30" s="11">
        <f t="shared" si="3"/>
        <v>23532.821494164931</v>
      </c>
      <c r="F30" s="11">
        <f t="shared" si="4"/>
        <v>34200</v>
      </c>
      <c r="G30" s="11">
        <f t="shared" si="5"/>
        <v>29352.851415968136</v>
      </c>
      <c r="H30" s="11">
        <f t="shared" si="6"/>
        <v>20481.743793274625</v>
      </c>
      <c r="I30" s="11">
        <f t="shared" si="7"/>
        <v>21984.662032882301</v>
      </c>
      <c r="J30" s="11">
        <f t="shared" si="8"/>
        <v>209552.08421218695</v>
      </c>
      <c r="K30" s="11">
        <f t="shared" si="9"/>
        <v>736706.0519891826</v>
      </c>
      <c r="L30" s="11">
        <f t="shared" si="10"/>
        <v>374066.25151240471</v>
      </c>
      <c r="M30" s="11">
        <f t="shared" si="11"/>
        <v>668571.80672426603</v>
      </c>
      <c r="N30" s="11">
        <f t="shared" si="12"/>
        <v>724524.54290074366</v>
      </c>
      <c r="O30" s="11">
        <f t="shared" si="13"/>
        <v>587125.75827708165</v>
      </c>
      <c r="P30" s="16" t="str">
        <f t="shared" si="14"/>
        <v>osservato</v>
      </c>
    </row>
    <row r="31" spans="1:16">
      <c r="A31" s="13">
        <f t="shared" si="0"/>
        <v>26</v>
      </c>
      <c r="B31" s="13">
        <f t="shared" si="15"/>
        <v>76</v>
      </c>
      <c r="C31" s="13">
        <f t="shared" si="15"/>
        <v>2025</v>
      </c>
      <c r="D31" s="11">
        <f t="shared" si="2"/>
        <v>38000</v>
      </c>
      <c r="E31" s="11">
        <f t="shared" si="3"/>
        <v>25520.186095386227</v>
      </c>
      <c r="F31" s="11">
        <f t="shared" si="4"/>
        <v>34200</v>
      </c>
      <c r="G31" s="11">
        <f t="shared" si="5"/>
        <v>32211.269269298926</v>
      </c>
      <c r="H31" s="11">
        <f t="shared" si="6"/>
        <v>20481.743793274625</v>
      </c>
      <c r="I31" s="11">
        <f t="shared" si="7"/>
        <v>21435.045482060243</v>
      </c>
      <c r="J31" s="11">
        <f t="shared" si="8"/>
        <v>183827.73220345884</v>
      </c>
      <c r="K31" s="11">
        <f t="shared" si="9"/>
        <v>805566.05798054661</v>
      </c>
      <c r="L31" s="11">
        <f t="shared" si="10"/>
        <v>376825.04105650325</v>
      </c>
      <c r="M31" s="11">
        <f t="shared" si="11"/>
        <v>719489.57534440048</v>
      </c>
      <c r="N31" s="11">
        <f t="shared" si="12"/>
        <v>796098.74337264884</v>
      </c>
      <c r="O31" s="11">
        <f t="shared" si="13"/>
        <v>637329.62201007758</v>
      </c>
      <c r="P31" s="16" t="str">
        <f t="shared" si="14"/>
        <v>osservato</v>
      </c>
    </row>
    <row r="32" spans="1:16">
      <c r="A32" s="13">
        <f t="shared" si="0"/>
        <v>27</v>
      </c>
      <c r="B32" s="13">
        <f t="shared" si="15"/>
        <v>77</v>
      </c>
      <c r="C32" s="13">
        <f t="shared" si="15"/>
        <v>2026</v>
      </c>
      <c r="D32" s="11">
        <f t="shared" si="2"/>
        <v>38000</v>
      </c>
      <c r="E32" s="11">
        <f t="shared" si="3"/>
        <v>24728.186980185197</v>
      </c>
      <c r="F32" s="11">
        <f t="shared" si="4"/>
        <v>34200</v>
      </c>
      <c r="G32" s="11">
        <f t="shared" si="5"/>
        <v>31583.771062492491</v>
      </c>
      <c r="H32" s="11">
        <f t="shared" si="6"/>
        <v>20481.743793274625</v>
      </c>
      <c r="I32" s="11">
        <f t="shared" si="7"/>
        <v>20899.169345008737</v>
      </c>
      <c r="J32" s="11">
        <f t="shared" si="8"/>
        <v>136661.97826075976</v>
      </c>
      <c r="K32" s="11">
        <f t="shared" si="9"/>
        <v>781426.1919716117</v>
      </c>
      <c r="L32" s="11">
        <f t="shared" si="10"/>
        <v>336711.17029012856</v>
      </c>
      <c r="M32" s="11">
        <f t="shared" si="11"/>
        <v>685736.13941629906</v>
      </c>
      <c r="N32" s="11">
        <f t="shared" si="12"/>
        <v>778377.2981426639</v>
      </c>
      <c r="O32" s="11">
        <f t="shared" si="13"/>
        <v>616619.91889663122</v>
      </c>
      <c r="P32" s="16" t="str">
        <f t="shared" si="14"/>
        <v>ipotesi</v>
      </c>
    </row>
    <row r="33" spans="1:25">
      <c r="A33" s="13">
        <f t="shared" si="0"/>
        <v>28</v>
      </c>
      <c r="B33" s="13">
        <f t="shared" si="15"/>
        <v>78</v>
      </c>
      <c r="C33" s="13">
        <f t="shared" si="15"/>
        <v>2027</v>
      </c>
      <c r="D33" s="11">
        <f t="shared" si="2"/>
        <v>38000</v>
      </c>
      <c r="E33" s="11">
        <f t="shared" si="3"/>
        <v>24329.974562050025</v>
      </c>
      <c r="F33" s="11">
        <f t="shared" si="4"/>
        <v>34200</v>
      </c>
      <c r="G33" s="11">
        <f t="shared" si="5"/>
        <v>31445.68557320609</v>
      </c>
      <c r="H33" s="11">
        <f t="shared" si="6"/>
        <v>20481.743793274625</v>
      </c>
      <c r="I33" s="11">
        <f t="shared" si="7"/>
        <v>20376.690111383519</v>
      </c>
      <c r="J33" s="11">
        <f t="shared" si="8"/>
        <v>90406.569578389724</v>
      </c>
      <c r="K33" s="11">
        <f t="shared" si="9"/>
        <v>770674.16311193444</v>
      </c>
      <c r="L33" s="11">
        <f t="shared" si="10"/>
        <v>301052.5104685566</v>
      </c>
      <c r="M33" s="11">
        <f t="shared" si="11"/>
        <v>663276.720889766</v>
      </c>
      <c r="N33" s="11">
        <f t="shared" si="12"/>
        <v>773135.74925675557</v>
      </c>
      <c r="O33" s="11">
        <f t="shared" si="13"/>
        <v>606308.81461446325</v>
      </c>
      <c r="P33" s="16" t="str">
        <f t="shared" si="14"/>
        <v>ipotesi</v>
      </c>
    </row>
    <row r="34" spans="1:25">
      <c r="A34" s="13">
        <f t="shared" si="0"/>
        <v>29</v>
      </c>
      <c r="B34" s="13">
        <f t="shared" si="15"/>
        <v>79</v>
      </c>
      <c r="C34" s="13">
        <f t="shared" si="15"/>
        <v>2028</v>
      </c>
      <c r="D34" s="11">
        <f t="shared" si="2"/>
        <v>33185.562696250599</v>
      </c>
      <c r="E34" s="11">
        <f t="shared" si="3"/>
        <v>23940.683225286684</v>
      </c>
      <c r="F34" s="11">
        <f t="shared" si="4"/>
        <v>34200</v>
      </c>
      <c r="G34" s="11">
        <f t="shared" si="5"/>
        <v>31311.484524578784</v>
      </c>
      <c r="H34" s="11">
        <f t="shared" si="6"/>
        <v>20481.743793274625</v>
      </c>
      <c r="I34" s="11">
        <f t="shared" si="7"/>
        <v>19867.272858598932</v>
      </c>
      <c r="J34" s="11">
        <f t="shared" si="8"/>
        <v>42739.486308808839</v>
      </c>
      <c r="K34" s="11">
        <f t="shared" si="9"/>
        <v>760070.07672691066</v>
      </c>
      <c r="L34" s="11">
        <f t="shared" si="10"/>
        <v>264290.17906980711</v>
      </c>
      <c r="M34" s="11">
        <f t="shared" si="11"/>
        <v>640273.02398212522</v>
      </c>
      <c r="N34" s="11">
        <f t="shared" si="12"/>
        <v>767683.45042472985</v>
      </c>
      <c r="O34" s="11">
        <f t="shared" si="13"/>
        <v>596334.13343784597</v>
      </c>
      <c r="P34" s="16" t="str">
        <f t="shared" si="14"/>
        <v>ipotesi</v>
      </c>
    </row>
    <row r="35" spans="1:25">
      <c r="A35" s="13">
        <f t="shared" si="0"/>
        <v>30</v>
      </c>
      <c r="B35" s="13">
        <f t="shared" si="15"/>
        <v>80</v>
      </c>
      <c r="C35" s="13">
        <f t="shared" si="15"/>
        <v>2029</v>
      </c>
      <c r="D35" s="11">
        <f t="shared" si="2"/>
        <v>0</v>
      </c>
      <c r="E35" s="11">
        <f t="shared" si="3"/>
        <v>23559.985846630039</v>
      </c>
      <c r="F35" s="11">
        <f t="shared" si="4"/>
        <v>34200</v>
      </c>
      <c r="G35" s="11">
        <f t="shared" si="5"/>
        <v>31180.986362800817</v>
      </c>
      <c r="H35" s="11">
        <f t="shared" si="6"/>
        <v>20481.743793274625</v>
      </c>
      <c r="I35" s="11">
        <f t="shared" si="7"/>
        <v>19370.59103713396</v>
      </c>
      <c r="J35" s="11">
        <f t="shared" si="8"/>
        <v>0</v>
      </c>
      <c r="K35" s="11">
        <f t="shared" si="9"/>
        <v>749611.89720297465</v>
      </c>
      <c r="L35" s="11">
        <f t="shared" si="10"/>
        <v>226397.82815738715</v>
      </c>
      <c r="M35" s="11">
        <f t="shared" si="11"/>
        <v>616709.67507986363</v>
      </c>
      <c r="N35" s="11">
        <f t="shared" si="12"/>
        <v>762017.20146050397</v>
      </c>
      <c r="O35" s="11">
        <f t="shared" si="13"/>
        <v>586693.86894584424</v>
      </c>
      <c r="P35" s="16" t="str">
        <f t="shared" si="14"/>
        <v>ipotesi</v>
      </c>
    </row>
    <row r="36" spans="1:25">
      <c r="A36" s="13">
        <f t="shared" si="0"/>
        <v>31</v>
      </c>
      <c r="B36" s="13">
        <f t="shared" si="15"/>
        <v>81</v>
      </c>
      <c r="C36" s="13">
        <f t="shared" si="15"/>
        <v>2030</v>
      </c>
      <c r="D36" s="11">
        <f t="shared" si="2"/>
        <v>0</v>
      </c>
      <c r="E36" s="11">
        <f t="shared" si="3"/>
        <v>23187.571939270816</v>
      </c>
      <c r="F36" s="11">
        <f t="shared" si="4"/>
        <v>34200</v>
      </c>
      <c r="G36" s="11">
        <f t="shared" si="5"/>
        <v>31054.018267165618</v>
      </c>
      <c r="H36" s="11">
        <f t="shared" si="6"/>
        <v>20481.743793274625</v>
      </c>
      <c r="I36" s="11">
        <f t="shared" si="7"/>
        <v>18886.32626120561</v>
      </c>
      <c r="J36" s="11">
        <f t="shared" si="8"/>
        <v>0</v>
      </c>
      <c r="K36" s="11">
        <f t="shared" si="9"/>
        <v>739297.61693557282</v>
      </c>
      <c r="L36" s="11">
        <f t="shared" si="10"/>
        <v>187348.20620508073</v>
      </c>
      <c r="M36" s="11">
        <f t="shared" si="11"/>
        <v>592570.87136365753</v>
      </c>
      <c r="N36" s="11">
        <f t="shared" si="12"/>
        <v>756133.61249505519</v>
      </c>
      <c r="O36" s="11">
        <f t="shared" si="13"/>
        <v>577385.97862213105</v>
      </c>
      <c r="P36" s="16" t="str">
        <f t="shared" si="14"/>
        <v>ipotesi</v>
      </c>
    </row>
    <row r="37" spans="1:25">
      <c r="A37" s="13">
        <f t="shared" si="0"/>
        <v>32</v>
      </c>
      <c r="B37" s="13">
        <f t="shared" si="15"/>
        <v>82</v>
      </c>
      <c r="C37" s="13">
        <f t="shared" si="15"/>
        <v>2031</v>
      </c>
      <c r="D37" s="11">
        <f t="shared" si="2"/>
        <v>0</v>
      </c>
      <c r="E37" s="11">
        <f t="shared" si="3"/>
        <v>22823.146703364171</v>
      </c>
      <c r="F37" s="11">
        <f t="shared" si="4"/>
        <v>34200</v>
      </c>
      <c r="G37" s="11">
        <f t="shared" si="5"/>
        <v>30930.415729479955</v>
      </c>
      <c r="H37" s="11">
        <f t="shared" si="6"/>
        <v>20481.743793274625</v>
      </c>
      <c r="I37" s="11">
        <f t="shared" si="7"/>
        <v>18414.168104675467</v>
      </c>
      <c r="J37" s="11">
        <f t="shared" si="8"/>
        <v>0</v>
      </c>
      <c r="K37" s="11">
        <f t="shared" si="9"/>
        <v>729125.25594377401</v>
      </c>
      <c r="L37" s="11">
        <f t="shared" si="10"/>
        <v>147113.13733383393</v>
      </c>
      <c r="M37" s="11">
        <f t="shared" si="11"/>
        <v>567840.36881569645</v>
      </c>
      <c r="N37" s="11">
        <f t="shared" si="12"/>
        <v>750029.10136157414</v>
      </c>
      <c r="O37" s="11">
        <f t="shared" si="13"/>
        <v>568408.39782403875</v>
      </c>
      <c r="P37" s="16" t="str">
        <f t="shared" si="14"/>
        <v>ipotesi</v>
      </c>
    </row>
    <row r="38" spans="1:25">
      <c r="A38" s="13">
        <f t="shared" ref="A38:A69" si="16">A103</f>
        <v>33</v>
      </c>
      <c r="B38" s="13">
        <f t="shared" si="15"/>
        <v>83</v>
      </c>
      <c r="C38" s="13">
        <f t="shared" si="15"/>
        <v>2032</v>
      </c>
      <c r="D38" s="11">
        <f t="shared" ref="D38:D69" si="17">IF($A38&gt;Anni,"",M103)</f>
        <v>0</v>
      </c>
      <c r="E38" s="11">
        <f t="shared" ref="E38:E69" si="18">IF($A38&gt;Anni,"",R103)</f>
        <v>22466.430132389822</v>
      </c>
      <c r="F38" s="11">
        <f t="shared" ref="F38:F69" si="19">IF($A38&gt;Anni,"",W103)</f>
        <v>34200</v>
      </c>
      <c r="G38" s="11">
        <f t="shared" ref="G38:G69" si="20">IF($A38&gt;Anni,"",AC103)</f>
        <v>30810.022153730752</v>
      </c>
      <c r="H38" s="11">
        <f t="shared" ref="H38:H69" si="21">IF($A38&gt;Anni,"",AJ103)</f>
        <v>20481.743793274625</v>
      </c>
      <c r="I38" s="11">
        <f t="shared" ref="I38:I69" si="22">IF($A38&gt;Anni,"",AO103)</f>
        <v>17953.81390205858</v>
      </c>
      <c r="J38" s="11">
        <f t="shared" ref="J38:J69" si="23">IF($A38&gt;Anni,"",N103)</f>
        <v>0</v>
      </c>
      <c r="K38" s="11">
        <f t="shared" ref="K38:K69" si="24">IF($A38&gt;Anni,"",S103)</f>
        <v>719092.86149018269</v>
      </c>
      <c r="L38" s="11">
        <f t="shared" ref="L38:L69" si="25">IF($A38&gt;Anni,"",X103)</f>
        <v>105663.50001047931</v>
      </c>
      <c r="M38" s="11">
        <f t="shared" ref="M38:M69" si="26">IF($A38&gt;Anni,"",AD103)</f>
        <v>542501.46989193314</v>
      </c>
      <c r="N38" s="11">
        <f t="shared" ref="N38:N69" si="27">IF($A38&gt;Anni,"",AK103)</f>
        <v>743699.89093268802</v>
      </c>
      <c r="O38" s="11">
        <f t="shared" ref="O38:O69" si="28">IF($A38&gt;Anni,"",AP103)</f>
        <v>559759.05299891462</v>
      </c>
      <c r="P38" s="16" t="str">
        <f t="shared" ref="P38:P69" si="29">IF($A38&gt;Anni,"",IF(D103=1,"osservato","ipotesi"))</f>
        <v>ipotesi</v>
      </c>
    </row>
    <row r="39" spans="1:25">
      <c r="A39" s="13">
        <f t="shared" si="16"/>
        <v>34</v>
      </c>
      <c r="B39" s="13">
        <f t="shared" si="15"/>
        <v>84</v>
      </c>
      <c r="C39" s="13">
        <f t="shared" si="15"/>
        <v>2033</v>
      </c>
      <c r="D39" s="11">
        <f t="shared" si="17"/>
        <v>0</v>
      </c>
      <c r="E39" s="11">
        <f t="shared" si="18"/>
        <v>22117.156172054707</v>
      </c>
      <c r="F39" s="11">
        <f t="shared" si="19"/>
        <v>34200</v>
      </c>
      <c r="G39" s="11">
        <f t="shared" si="20"/>
        <v>30692.688475033188</v>
      </c>
      <c r="H39" s="11">
        <f t="shared" si="21"/>
        <v>20481.743793274625</v>
      </c>
      <c r="I39" s="11">
        <f t="shared" si="22"/>
        <v>17504.968554507115</v>
      </c>
      <c r="J39" s="11">
        <f t="shared" si="23"/>
        <v>0</v>
      </c>
      <c r="K39" s="11">
        <f t="shared" si="24"/>
        <v>709198.50770608115</v>
      </c>
      <c r="L39" s="11">
        <f t="shared" si="25"/>
        <v>62969.205174191869</v>
      </c>
      <c r="M39" s="11">
        <f t="shared" si="26"/>
        <v>516537.01084989682</v>
      </c>
      <c r="N39" s="11">
        <f t="shared" si="27"/>
        <v>737142.00639699446</v>
      </c>
      <c r="O39" s="11">
        <f t="shared" si="28"/>
        <v>551435.87417849398</v>
      </c>
      <c r="P39" s="16" t="str">
        <f t="shared" si="29"/>
        <v>ipotesi</v>
      </c>
    </row>
    <row r="40" spans="1:25">
      <c r="A40" s="13">
        <f t="shared" si="16"/>
        <v>35</v>
      </c>
      <c r="B40" s="13">
        <f t="shared" si="15"/>
        <v>85</v>
      </c>
      <c r="C40" s="13">
        <f t="shared" si="15"/>
        <v>2034</v>
      </c>
      <c r="D40" s="11">
        <f t="shared" si="17"/>
        <v>0</v>
      </c>
      <c r="E40" s="11">
        <f t="shared" si="18"/>
        <v>21775.071928625384</v>
      </c>
      <c r="F40" s="11">
        <f t="shared" si="19"/>
        <v>14580.776298505438</v>
      </c>
      <c r="G40" s="11">
        <f t="shared" si="20"/>
        <v>30578.272796931287</v>
      </c>
      <c r="H40" s="11">
        <f t="shared" si="21"/>
        <v>20481.743793274625</v>
      </c>
      <c r="I40" s="11">
        <f t="shared" si="22"/>
        <v>17067.344340644438</v>
      </c>
      <c r="J40" s="11">
        <f t="shared" si="23"/>
        <v>0</v>
      </c>
      <c r="K40" s="11">
        <f t="shared" si="24"/>
        <v>699440.29522173072</v>
      </c>
      <c r="L40" s="11">
        <f t="shared" si="25"/>
        <v>18999.173757428467</v>
      </c>
      <c r="M40" s="11">
        <f t="shared" si="26"/>
        <v>489929.34872244758</v>
      </c>
      <c r="N40" s="11">
        <f t="shared" si="27"/>
        <v>730351.27246287325</v>
      </c>
      <c r="O40" s="11">
        <f t="shared" si="28"/>
        <v>543436.80678271677</v>
      </c>
      <c r="P40" s="16" t="str">
        <f t="shared" si="29"/>
        <v>ipotesi</v>
      </c>
    </row>
    <row r="41" spans="1:25">
      <c r="A41" s="13">
        <f t="shared" si="16"/>
        <v>36</v>
      </c>
      <c r="B41" s="13">
        <f t="shared" si="15"/>
        <v>86</v>
      </c>
      <c r="C41" s="13">
        <f t="shared" si="15"/>
        <v>2035</v>
      </c>
      <c r="D41" s="11">
        <f t="shared" si="17"/>
        <v>0</v>
      </c>
      <c r="E41" s="11">
        <f t="shared" si="18"/>
        <v>21439.936923762234</v>
      </c>
      <c r="F41" s="11">
        <f t="shared" si="19"/>
        <v>0</v>
      </c>
      <c r="G41" s="11">
        <f t="shared" si="20"/>
        <v>30466.640046167216</v>
      </c>
      <c r="H41" s="11">
        <f t="shared" si="21"/>
        <v>20481.743793274625</v>
      </c>
      <c r="I41" s="11">
        <f t="shared" si="22"/>
        <v>16651.760708504004</v>
      </c>
      <c r="J41" s="11">
        <f t="shared" si="23"/>
        <v>0</v>
      </c>
      <c r="K41" s="11">
        <f t="shared" si="24"/>
        <v>689816.3508017587</v>
      </c>
      <c r="L41" s="11">
        <f t="shared" si="25"/>
        <v>0</v>
      </c>
      <c r="M41" s="11">
        <f t="shared" si="26"/>
        <v>462660.34792757861</v>
      </c>
      <c r="N41" s="11">
        <f t="shared" si="27"/>
        <v>723323.31047823199</v>
      </c>
      <c r="O41" s="11">
        <f t="shared" si="28"/>
        <v>535759.82276484638</v>
      </c>
      <c r="P41" s="16" t="str">
        <f t="shared" si="29"/>
        <v>ipotesi</v>
      </c>
    </row>
    <row r="42" spans="1:25">
      <c r="A42" s="13">
        <f t="shared" si="16"/>
        <v>37</v>
      </c>
      <c r="B42" s="13">
        <f t="shared" si="15"/>
        <v>87</v>
      </c>
      <c r="C42" s="13">
        <f t="shared" si="15"/>
        <v>2036</v>
      </c>
      <c r="D42" s="11">
        <f t="shared" si="17"/>
        <v>0</v>
      </c>
      <c r="E42" s="11">
        <f t="shared" si="18"/>
        <v>21111.522393101121</v>
      </c>
      <c r="F42" s="11">
        <f t="shared" si="19"/>
        <v>0</v>
      </c>
      <c r="G42" s="11">
        <f t="shared" si="20"/>
        <v>30357.661644077732</v>
      </c>
      <c r="H42" s="11">
        <f t="shared" si="21"/>
        <v>20481.743793274625</v>
      </c>
      <c r="I42" s="11">
        <f t="shared" si="22"/>
        <v>16396.690919949564</v>
      </c>
      <c r="J42" s="11">
        <f t="shared" si="23"/>
        <v>0</v>
      </c>
      <c r="K42" s="11">
        <f t="shared" si="24"/>
        <v>680324.82698556292</v>
      </c>
      <c r="L42" s="11">
        <f t="shared" si="25"/>
        <v>0</v>
      </c>
      <c r="M42" s="11">
        <f t="shared" si="26"/>
        <v>434711.36650409736</v>
      </c>
      <c r="N42" s="11">
        <f t="shared" si="27"/>
        <v>716053.53545549011</v>
      </c>
      <c r="O42" s="11">
        <f t="shared" si="28"/>
        <v>528388.0387941954</v>
      </c>
      <c r="P42" s="16" t="str">
        <f t="shared" si="29"/>
        <v>ipotesi</v>
      </c>
    </row>
    <row r="43" spans="1:25">
      <c r="A43" s="13">
        <f t="shared" si="16"/>
        <v>38</v>
      </c>
      <c r="B43" s="13">
        <f t="shared" si="15"/>
        <v>88</v>
      </c>
      <c r="C43" s="13">
        <f t="shared" si="15"/>
        <v>2037</v>
      </c>
      <c r="D43" s="11">
        <f t="shared" si="17"/>
        <v>0</v>
      </c>
      <c r="E43" s="11">
        <f t="shared" si="18"/>
        <v>20789.610625991849</v>
      </c>
      <c r="F43" s="11">
        <f t="shared" si="19"/>
        <v>0</v>
      </c>
      <c r="G43" s="11">
        <f t="shared" si="20"/>
        <v>30251.215193817232</v>
      </c>
      <c r="H43" s="11">
        <f t="shared" si="21"/>
        <v>20481.743793274625</v>
      </c>
      <c r="I43" s="11">
        <f t="shared" si="22"/>
        <v>16146.671634248483</v>
      </c>
      <c r="J43" s="11">
        <f t="shared" si="23"/>
        <v>0</v>
      </c>
      <c r="K43" s="11">
        <f t="shared" si="24"/>
        <v>670963.90173266409</v>
      </c>
      <c r="L43" s="11">
        <f t="shared" si="25"/>
        <v>0</v>
      </c>
      <c r="M43" s="11">
        <f t="shared" si="26"/>
        <v>406063.24196273321</v>
      </c>
      <c r="N43" s="11">
        <f t="shared" si="27"/>
        <v>708537.1529917072</v>
      </c>
      <c r="O43" s="11">
        <f t="shared" si="28"/>
        <v>521117.68683953525</v>
      </c>
      <c r="P43" s="16" t="str">
        <f t="shared" si="29"/>
        <v>ipotesi</v>
      </c>
    </row>
    <row r="44" spans="1:25">
      <c r="A44" s="13">
        <f t="shared" si="16"/>
        <v>39</v>
      </c>
      <c r="B44" s="13">
        <f t="shared" si="15"/>
        <v>89</v>
      </c>
      <c r="C44" s="13">
        <f t="shared" si="15"/>
        <v>2038</v>
      </c>
      <c r="D44" s="11">
        <f t="shared" si="17"/>
        <v>0</v>
      </c>
      <c r="E44" s="11">
        <f t="shared" si="18"/>
        <v>20473.994343956245</v>
      </c>
      <c r="F44" s="11">
        <f t="shared" si="19"/>
        <v>0</v>
      </c>
      <c r="G44" s="11">
        <f t="shared" si="20"/>
        <v>30147.184182644938</v>
      </c>
      <c r="H44" s="11">
        <f t="shared" si="21"/>
        <v>20481.743793274625</v>
      </c>
      <c r="I44" s="11">
        <f t="shared" si="22"/>
        <v>15901.541864377759</v>
      </c>
      <c r="J44" s="11">
        <f t="shared" si="23"/>
        <v>0</v>
      </c>
      <c r="K44" s="11">
        <f t="shared" si="24"/>
        <v>661731.77807293751</v>
      </c>
      <c r="L44" s="11">
        <f t="shared" si="25"/>
        <v>0</v>
      </c>
      <c r="M44" s="11">
        <f t="shared" si="26"/>
        <v>376696.27674192638</v>
      </c>
      <c r="N44" s="11">
        <f t="shared" si="27"/>
        <v>700769.15607432765</v>
      </c>
      <c r="O44" s="11">
        <f t="shared" si="28"/>
        <v>513947.37124766869</v>
      </c>
      <c r="P44" s="16" t="str">
        <f t="shared" si="29"/>
        <v>ipotesi</v>
      </c>
    </row>
    <row r="45" spans="1:25">
      <c r="A45" s="13">
        <f t="shared" si="16"/>
        <v>40</v>
      </c>
      <c r="B45" s="13">
        <f t="shared" si="15"/>
        <v>90</v>
      </c>
      <c r="C45" s="13">
        <f t="shared" si="15"/>
        <v>2039</v>
      </c>
      <c r="D45" s="11">
        <f t="shared" si="17"/>
        <v>0</v>
      </c>
      <c r="E45" s="11">
        <f t="shared" si="18"/>
        <v>20164.476115573525</v>
      </c>
      <c r="F45" s="11">
        <f t="shared" si="19"/>
        <v>0</v>
      </c>
      <c r="G45" s="11">
        <f t="shared" si="20"/>
        <v>30045.457698550857</v>
      </c>
      <c r="H45" s="11">
        <f t="shared" si="21"/>
        <v>20481.743793274625</v>
      </c>
      <c r="I45" s="11">
        <f t="shared" si="22"/>
        <v>15661.148271230719</v>
      </c>
      <c r="J45" s="11">
        <f t="shared" si="23"/>
        <v>0</v>
      </c>
      <c r="K45" s="11">
        <f t="shared" si="24"/>
        <v>652626.6837616578</v>
      </c>
      <c r="L45" s="11">
        <f t="shared" si="25"/>
        <v>0</v>
      </c>
      <c r="M45" s="11">
        <f t="shared" si="26"/>
        <v>346590.22325725266</v>
      </c>
      <c r="N45" s="11">
        <f t="shared" si="27"/>
        <v>692744.32176353002</v>
      </c>
      <c r="O45" s="11">
        <f t="shared" si="28"/>
        <v>506875.71556888014</v>
      </c>
      <c r="P45" s="16" t="str">
        <f t="shared" si="29"/>
        <v>ipotesi</v>
      </c>
    </row>
    <row r="46" spans="1:25">
      <c r="A46" s="13">
        <f t="shared" si="16"/>
        <v>41</v>
      </c>
      <c r="B46" s="13">
        <f t="shared" ref="B46:C65" si="30">IF($A46&gt;Anni,"",B111)</f>
        <v>91</v>
      </c>
      <c r="C46" s="13">
        <f t="shared" si="30"/>
        <v>2040</v>
      </c>
      <c r="D46" s="11">
        <f t="shared" si="17"/>
        <v>0</v>
      </c>
      <c r="E46" s="11">
        <f t="shared" si="18"/>
        <v>19860.867805636506</v>
      </c>
      <c r="F46" s="11">
        <f t="shared" si="19"/>
        <v>0</v>
      </c>
      <c r="G46" s="11">
        <f t="shared" si="20"/>
        <v>29945.930160529759</v>
      </c>
      <c r="H46" s="11">
        <f t="shared" si="21"/>
        <v>20481.743793274625</v>
      </c>
      <c r="I46" s="11">
        <f t="shared" si="22"/>
        <v>15425.344735793013</v>
      </c>
      <c r="J46" s="11">
        <f t="shared" si="23"/>
        <v>0</v>
      </c>
      <c r="K46" s="11">
        <f t="shared" si="24"/>
        <v>643646.87093929003</v>
      </c>
      <c r="L46" s="11">
        <f t="shared" si="25"/>
        <v>0</v>
      </c>
      <c r="M46" s="11">
        <f t="shared" si="26"/>
        <v>315724.26853313082</v>
      </c>
      <c r="N46" s="11">
        <f t="shared" si="27"/>
        <v>684457.20774265041</v>
      </c>
      <c r="O46" s="11">
        <f t="shared" si="28"/>
        <v>499901.36229270522</v>
      </c>
      <c r="P46" s="16" t="str">
        <f t="shared" si="29"/>
        <v>ipotesi</v>
      </c>
    </row>
    <row r="47" spans="1:25">
      <c r="A47" s="13">
        <f t="shared" si="16"/>
        <v>42</v>
      </c>
      <c r="B47" s="13">
        <f t="shared" si="30"/>
        <v>92</v>
      </c>
      <c r="C47" s="13">
        <f t="shared" si="30"/>
        <v>2041</v>
      </c>
      <c r="D47" s="11">
        <f t="shared" si="17"/>
        <v>0</v>
      </c>
      <c r="E47" s="11">
        <f t="shared" si="18"/>
        <v>19562.990056550148</v>
      </c>
      <c r="F47" s="11">
        <f t="shared" si="19"/>
        <v>0</v>
      </c>
      <c r="G47" s="11">
        <f t="shared" si="20"/>
        <v>29848.501061845855</v>
      </c>
      <c r="H47" s="11">
        <f t="shared" si="21"/>
        <v>20481.743793274625</v>
      </c>
      <c r="I47" s="11">
        <f t="shared" si="22"/>
        <v>15193.991956360323</v>
      </c>
      <c r="J47" s="11">
        <f t="shared" si="23"/>
        <v>0</v>
      </c>
      <c r="K47" s="11">
        <f t="shared" si="24"/>
        <v>634790.61579596158</v>
      </c>
      <c r="L47" s="11">
        <f t="shared" si="25"/>
        <v>0</v>
      </c>
      <c r="M47" s="11">
        <f t="shared" si="26"/>
        <v>284077.0184051409</v>
      </c>
      <c r="N47" s="11">
        <f t="shared" si="27"/>
        <v>675902.14872858289</v>
      </c>
      <c r="O47" s="11">
        <f t="shared" si="28"/>
        <v>493022.97258733638</v>
      </c>
      <c r="P47" s="16" t="str">
        <f t="shared" si="29"/>
        <v>ipotesi</v>
      </c>
    </row>
    <row r="48" spans="1:25" ht="30" customHeight="1">
      <c r="A48" s="13">
        <f t="shared" si="16"/>
        <v>43</v>
      </c>
      <c r="B48" s="13" t="str">
        <f t="shared" si="30"/>
        <v/>
      </c>
      <c r="C48" s="13" t="str">
        <f t="shared" si="30"/>
        <v/>
      </c>
      <c r="D48" s="11" t="str">
        <f t="shared" si="17"/>
        <v/>
      </c>
      <c r="E48" s="11" t="str">
        <f t="shared" si="18"/>
        <v/>
      </c>
      <c r="F48" s="11" t="str">
        <f t="shared" si="19"/>
        <v/>
      </c>
      <c r="G48" s="11" t="str">
        <f t="shared" si="20"/>
        <v/>
      </c>
      <c r="H48" s="11" t="str">
        <f t="shared" si="21"/>
        <v/>
      </c>
      <c r="I48" s="11" t="str">
        <f t="shared" si="22"/>
        <v/>
      </c>
      <c r="J48" s="11" t="str">
        <f t="shared" si="23"/>
        <v/>
      </c>
      <c r="K48" s="11" t="str">
        <f t="shared" si="24"/>
        <v/>
      </c>
      <c r="L48" s="11" t="str">
        <f t="shared" si="25"/>
        <v/>
      </c>
      <c r="M48" s="11" t="str">
        <f t="shared" si="26"/>
        <v/>
      </c>
      <c r="N48" s="11" t="str">
        <f t="shared" si="27"/>
        <v/>
      </c>
      <c r="O48" s="11" t="str">
        <f t="shared" si="28"/>
        <v/>
      </c>
      <c r="P48" s="16" t="str">
        <f t="shared" si="29"/>
        <v/>
      </c>
      <c r="R48" s="34" t="s">
        <v>157</v>
      </c>
      <c r="S48" s="32"/>
      <c r="T48" s="32"/>
      <c r="U48" s="32"/>
      <c r="V48" s="32"/>
      <c r="W48" s="32"/>
      <c r="X48" s="32"/>
      <c r="Y48" s="32"/>
    </row>
    <row r="49" spans="1:16">
      <c r="A49" s="13">
        <f t="shared" si="16"/>
        <v>44</v>
      </c>
      <c r="B49" s="13" t="str">
        <f t="shared" si="30"/>
        <v/>
      </c>
      <c r="C49" s="13" t="str">
        <f t="shared" si="30"/>
        <v/>
      </c>
      <c r="D49" s="11" t="str">
        <f t="shared" si="17"/>
        <v/>
      </c>
      <c r="E49" s="11" t="str">
        <f t="shared" si="18"/>
        <v/>
      </c>
      <c r="F49" s="11" t="str">
        <f t="shared" si="19"/>
        <v/>
      </c>
      <c r="G49" s="11" t="str">
        <f t="shared" si="20"/>
        <v/>
      </c>
      <c r="H49" s="11" t="str">
        <f t="shared" si="21"/>
        <v/>
      </c>
      <c r="I49" s="11" t="str">
        <f t="shared" si="22"/>
        <v/>
      </c>
      <c r="J49" s="11" t="str">
        <f t="shared" si="23"/>
        <v/>
      </c>
      <c r="K49" s="11" t="str">
        <f t="shared" si="24"/>
        <v/>
      </c>
      <c r="L49" s="11" t="str">
        <f t="shared" si="25"/>
        <v/>
      </c>
      <c r="M49" s="11" t="str">
        <f t="shared" si="26"/>
        <v/>
      </c>
      <c r="N49" s="11" t="str">
        <f t="shared" si="27"/>
        <v/>
      </c>
      <c r="O49" s="11" t="str">
        <f t="shared" si="28"/>
        <v/>
      </c>
      <c r="P49" s="16" t="str">
        <f t="shared" si="29"/>
        <v/>
      </c>
    </row>
    <row r="50" spans="1:16">
      <c r="A50" s="13">
        <f t="shared" si="16"/>
        <v>45</v>
      </c>
      <c r="B50" s="13" t="str">
        <f t="shared" si="30"/>
        <v/>
      </c>
      <c r="C50" s="13" t="str">
        <f t="shared" si="30"/>
        <v/>
      </c>
      <c r="D50" s="11" t="str">
        <f t="shared" si="17"/>
        <v/>
      </c>
      <c r="E50" s="11" t="str">
        <f t="shared" si="18"/>
        <v/>
      </c>
      <c r="F50" s="11" t="str">
        <f t="shared" si="19"/>
        <v/>
      </c>
      <c r="G50" s="11" t="str">
        <f t="shared" si="20"/>
        <v/>
      </c>
      <c r="H50" s="11" t="str">
        <f t="shared" si="21"/>
        <v/>
      </c>
      <c r="I50" s="11" t="str">
        <f t="shared" si="22"/>
        <v/>
      </c>
      <c r="J50" s="11" t="str">
        <f t="shared" si="23"/>
        <v/>
      </c>
      <c r="K50" s="11" t="str">
        <f t="shared" si="24"/>
        <v/>
      </c>
      <c r="L50" s="11" t="str">
        <f t="shared" si="25"/>
        <v/>
      </c>
      <c r="M50" s="11" t="str">
        <f t="shared" si="26"/>
        <v/>
      </c>
      <c r="N50" s="11" t="str">
        <f t="shared" si="27"/>
        <v/>
      </c>
      <c r="O50" s="11" t="str">
        <f t="shared" si="28"/>
        <v/>
      </c>
      <c r="P50" s="16" t="str">
        <f t="shared" si="29"/>
        <v/>
      </c>
    </row>
    <row r="51" spans="1:16">
      <c r="A51" s="13">
        <f t="shared" si="16"/>
        <v>46</v>
      </c>
      <c r="B51" s="13" t="str">
        <f t="shared" si="30"/>
        <v/>
      </c>
      <c r="C51" s="13" t="str">
        <f t="shared" si="30"/>
        <v/>
      </c>
      <c r="D51" s="11" t="str">
        <f t="shared" si="17"/>
        <v/>
      </c>
      <c r="E51" s="11" t="str">
        <f t="shared" si="18"/>
        <v/>
      </c>
      <c r="F51" s="11" t="str">
        <f t="shared" si="19"/>
        <v/>
      </c>
      <c r="G51" s="11" t="str">
        <f t="shared" si="20"/>
        <v/>
      </c>
      <c r="H51" s="11" t="str">
        <f t="shared" si="21"/>
        <v/>
      </c>
      <c r="I51" s="11" t="str">
        <f t="shared" si="22"/>
        <v/>
      </c>
      <c r="J51" s="11" t="str">
        <f t="shared" si="23"/>
        <v/>
      </c>
      <c r="K51" s="11" t="str">
        <f t="shared" si="24"/>
        <v/>
      </c>
      <c r="L51" s="11" t="str">
        <f t="shared" si="25"/>
        <v/>
      </c>
      <c r="M51" s="11" t="str">
        <f t="shared" si="26"/>
        <v/>
      </c>
      <c r="N51" s="11" t="str">
        <f t="shared" si="27"/>
        <v/>
      </c>
      <c r="O51" s="11" t="str">
        <f t="shared" si="28"/>
        <v/>
      </c>
      <c r="P51" s="16" t="str">
        <f t="shared" si="29"/>
        <v/>
      </c>
    </row>
    <row r="52" spans="1:16">
      <c r="A52" s="13">
        <f t="shared" si="16"/>
        <v>47</v>
      </c>
      <c r="B52" s="13" t="str">
        <f t="shared" si="30"/>
        <v/>
      </c>
      <c r="C52" s="13" t="str">
        <f t="shared" si="30"/>
        <v/>
      </c>
      <c r="D52" s="11" t="str">
        <f t="shared" si="17"/>
        <v/>
      </c>
      <c r="E52" s="11" t="str">
        <f t="shared" si="18"/>
        <v/>
      </c>
      <c r="F52" s="11" t="str">
        <f t="shared" si="19"/>
        <v/>
      </c>
      <c r="G52" s="11" t="str">
        <f t="shared" si="20"/>
        <v/>
      </c>
      <c r="H52" s="11" t="str">
        <f t="shared" si="21"/>
        <v/>
      </c>
      <c r="I52" s="11" t="str">
        <f t="shared" si="22"/>
        <v/>
      </c>
      <c r="J52" s="11" t="str">
        <f t="shared" si="23"/>
        <v/>
      </c>
      <c r="K52" s="11" t="str">
        <f t="shared" si="24"/>
        <v/>
      </c>
      <c r="L52" s="11" t="str">
        <f t="shared" si="25"/>
        <v/>
      </c>
      <c r="M52" s="11" t="str">
        <f t="shared" si="26"/>
        <v/>
      </c>
      <c r="N52" s="11" t="str">
        <f t="shared" si="27"/>
        <v/>
      </c>
      <c r="O52" s="11" t="str">
        <f t="shared" si="28"/>
        <v/>
      </c>
      <c r="P52" s="16" t="str">
        <f t="shared" si="29"/>
        <v/>
      </c>
    </row>
    <row r="53" spans="1:16">
      <c r="A53" s="13">
        <f t="shared" si="16"/>
        <v>48</v>
      </c>
      <c r="B53" s="13" t="str">
        <f t="shared" si="30"/>
        <v/>
      </c>
      <c r="C53" s="13" t="str">
        <f t="shared" si="30"/>
        <v/>
      </c>
      <c r="D53" s="11" t="str">
        <f t="shared" si="17"/>
        <v/>
      </c>
      <c r="E53" s="11" t="str">
        <f t="shared" si="18"/>
        <v/>
      </c>
      <c r="F53" s="11" t="str">
        <f t="shared" si="19"/>
        <v/>
      </c>
      <c r="G53" s="11" t="str">
        <f t="shared" si="20"/>
        <v/>
      </c>
      <c r="H53" s="11" t="str">
        <f t="shared" si="21"/>
        <v/>
      </c>
      <c r="I53" s="11" t="str">
        <f t="shared" si="22"/>
        <v/>
      </c>
      <c r="J53" s="11" t="str">
        <f t="shared" si="23"/>
        <v/>
      </c>
      <c r="K53" s="11" t="str">
        <f t="shared" si="24"/>
        <v/>
      </c>
      <c r="L53" s="11" t="str">
        <f t="shared" si="25"/>
        <v/>
      </c>
      <c r="M53" s="11" t="str">
        <f t="shared" si="26"/>
        <v/>
      </c>
      <c r="N53" s="11" t="str">
        <f t="shared" si="27"/>
        <v/>
      </c>
      <c r="O53" s="11" t="str">
        <f t="shared" si="28"/>
        <v/>
      </c>
      <c r="P53" s="16" t="str">
        <f t="shared" si="29"/>
        <v/>
      </c>
    </row>
    <row r="54" spans="1:16">
      <c r="A54" s="13">
        <f t="shared" si="16"/>
        <v>49</v>
      </c>
      <c r="B54" s="13" t="str">
        <f t="shared" si="30"/>
        <v/>
      </c>
      <c r="C54" s="13" t="str">
        <f t="shared" si="30"/>
        <v/>
      </c>
      <c r="D54" s="11" t="str">
        <f t="shared" si="17"/>
        <v/>
      </c>
      <c r="E54" s="11" t="str">
        <f t="shared" si="18"/>
        <v/>
      </c>
      <c r="F54" s="11" t="str">
        <f t="shared" si="19"/>
        <v/>
      </c>
      <c r="G54" s="11" t="str">
        <f t="shared" si="20"/>
        <v/>
      </c>
      <c r="H54" s="11" t="str">
        <f t="shared" si="21"/>
        <v/>
      </c>
      <c r="I54" s="11" t="str">
        <f t="shared" si="22"/>
        <v/>
      </c>
      <c r="J54" s="11" t="str">
        <f t="shared" si="23"/>
        <v/>
      </c>
      <c r="K54" s="11" t="str">
        <f t="shared" si="24"/>
        <v/>
      </c>
      <c r="L54" s="11" t="str">
        <f t="shared" si="25"/>
        <v/>
      </c>
      <c r="M54" s="11" t="str">
        <f t="shared" si="26"/>
        <v/>
      </c>
      <c r="N54" s="11" t="str">
        <f t="shared" si="27"/>
        <v/>
      </c>
      <c r="O54" s="11" t="str">
        <f t="shared" si="28"/>
        <v/>
      </c>
      <c r="P54" s="16" t="str">
        <f t="shared" si="29"/>
        <v/>
      </c>
    </row>
    <row r="55" spans="1:16">
      <c r="A55" s="13">
        <f t="shared" si="16"/>
        <v>50</v>
      </c>
      <c r="B55" s="13" t="str">
        <f t="shared" si="30"/>
        <v/>
      </c>
      <c r="C55" s="13" t="str">
        <f t="shared" si="30"/>
        <v/>
      </c>
      <c r="D55" s="11" t="str">
        <f t="shared" si="17"/>
        <v/>
      </c>
      <c r="E55" s="11" t="str">
        <f t="shared" si="18"/>
        <v/>
      </c>
      <c r="F55" s="11" t="str">
        <f t="shared" si="19"/>
        <v/>
      </c>
      <c r="G55" s="11" t="str">
        <f t="shared" si="20"/>
        <v/>
      </c>
      <c r="H55" s="11" t="str">
        <f t="shared" si="21"/>
        <v/>
      </c>
      <c r="I55" s="11" t="str">
        <f t="shared" si="22"/>
        <v/>
      </c>
      <c r="J55" s="11" t="str">
        <f t="shared" si="23"/>
        <v/>
      </c>
      <c r="K55" s="11" t="str">
        <f t="shared" si="24"/>
        <v/>
      </c>
      <c r="L55" s="11" t="str">
        <f t="shared" si="25"/>
        <v/>
      </c>
      <c r="M55" s="11" t="str">
        <f t="shared" si="26"/>
        <v/>
      </c>
      <c r="N55" s="11" t="str">
        <f t="shared" si="27"/>
        <v/>
      </c>
      <c r="O55" s="11" t="str">
        <f t="shared" si="28"/>
        <v/>
      </c>
      <c r="P55" s="16" t="str">
        <f t="shared" si="29"/>
        <v/>
      </c>
    </row>
    <row r="56" spans="1:16">
      <c r="A56" s="13">
        <f t="shared" si="16"/>
        <v>51</v>
      </c>
      <c r="B56" s="13" t="str">
        <f t="shared" si="30"/>
        <v/>
      </c>
      <c r="C56" s="13" t="str">
        <f t="shared" si="30"/>
        <v/>
      </c>
      <c r="D56" s="11" t="str">
        <f t="shared" si="17"/>
        <v/>
      </c>
      <c r="E56" s="11" t="str">
        <f t="shared" si="18"/>
        <v/>
      </c>
      <c r="F56" s="11" t="str">
        <f t="shared" si="19"/>
        <v/>
      </c>
      <c r="G56" s="11" t="str">
        <f t="shared" si="20"/>
        <v/>
      </c>
      <c r="H56" s="11" t="str">
        <f t="shared" si="21"/>
        <v/>
      </c>
      <c r="I56" s="11" t="str">
        <f t="shared" si="22"/>
        <v/>
      </c>
      <c r="J56" s="11" t="str">
        <f t="shared" si="23"/>
        <v/>
      </c>
      <c r="K56" s="11" t="str">
        <f t="shared" si="24"/>
        <v/>
      </c>
      <c r="L56" s="11" t="str">
        <f t="shared" si="25"/>
        <v/>
      </c>
      <c r="M56" s="11" t="str">
        <f t="shared" si="26"/>
        <v/>
      </c>
      <c r="N56" s="11" t="str">
        <f t="shared" si="27"/>
        <v/>
      </c>
      <c r="O56" s="11" t="str">
        <f t="shared" si="28"/>
        <v/>
      </c>
      <c r="P56" s="16" t="str">
        <f t="shared" si="29"/>
        <v/>
      </c>
    </row>
    <row r="57" spans="1:16">
      <c r="A57" s="13">
        <f t="shared" si="16"/>
        <v>52</v>
      </c>
      <c r="B57" s="13" t="str">
        <f t="shared" si="30"/>
        <v/>
      </c>
      <c r="C57" s="13" t="str">
        <f t="shared" si="30"/>
        <v/>
      </c>
      <c r="D57" s="11" t="str">
        <f t="shared" si="17"/>
        <v/>
      </c>
      <c r="E57" s="11" t="str">
        <f t="shared" si="18"/>
        <v/>
      </c>
      <c r="F57" s="11" t="str">
        <f t="shared" si="19"/>
        <v/>
      </c>
      <c r="G57" s="11" t="str">
        <f t="shared" si="20"/>
        <v/>
      </c>
      <c r="H57" s="11" t="str">
        <f t="shared" si="21"/>
        <v/>
      </c>
      <c r="I57" s="11" t="str">
        <f t="shared" si="22"/>
        <v/>
      </c>
      <c r="J57" s="11" t="str">
        <f t="shared" si="23"/>
        <v/>
      </c>
      <c r="K57" s="11" t="str">
        <f t="shared" si="24"/>
        <v/>
      </c>
      <c r="L57" s="11" t="str">
        <f t="shared" si="25"/>
        <v/>
      </c>
      <c r="M57" s="11" t="str">
        <f t="shared" si="26"/>
        <v/>
      </c>
      <c r="N57" s="11" t="str">
        <f t="shared" si="27"/>
        <v/>
      </c>
      <c r="O57" s="11" t="str">
        <f t="shared" si="28"/>
        <v/>
      </c>
      <c r="P57" s="16" t="str">
        <f t="shared" si="29"/>
        <v/>
      </c>
    </row>
    <row r="58" spans="1:16">
      <c r="A58" s="13">
        <f t="shared" si="16"/>
        <v>53</v>
      </c>
      <c r="B58" s="13" t="str">
        <f t="shared" si="30"/>
        <v/>
      </c>
      <c r="C58" s="13" t="str">
        <f t="shared" si="30"/>
        <v/>
      </c>
      <c r="D58" s="11" t="str">
        <f t="shared" si="17"/>
        <v/>
      </c>
      <c r="E58" s="11" t="str">
        <f t="shared" si="18"/>
        <v/>
      </c>
      <c r="F58" s="11" t="str">
        <f t="shared" si="19"/>
        <v/>
      </c>
      <c r="G58" s="11" t="str">
        <f t="shared" si="20"/>
        <v/>
      </c>
      <c r="H58" s="11" t="str">
        <f t="shared" si="21"/>
        <v/>
      </c>
      <c r="I58" s="11" t="str">
        <f t="shared" si="22"/>
        <v/>
      </c>
      <c r="J58" s="11" t="str">
        <f t="shared" si="23"/>
        <v/>
      </c>
      <c r="K58" s="11" t="str">
        <f t="shared" si="24"/>
        <v/>
      </c>
      <c r="L58" s="11" t="str">
        <f t="shared" si="25"/>
        <v/>
      </c>
      <c r="M58" s="11" t="str">
        <f t="shared" si="26"/>
        <v/>
      </c>
      <c r="N58" s="11" t="str">
        <f t="shared" si="27"/>
        <v/>
      </c>
      <c r="O58" s="11" t="str">
        <f t="shared" si="28"/>
        <v/>
      </c>
      <c r="P58" s="16" t="str">
        <f t="shared" si="29"/>
        <v/>
      </c>
    </row>
    <row r="59" spans="1:16">
      <c r="A59" s="13">
        <f t="shared" si="16"/>
        <v>54</v>
      </c>
      <c r="B59" s="13" t="str">
        <f t="shared" si="30"/>
        <v/>
      </c>
      <c r="C59" s="13" t="str">
        <f t="shared" si="30"/>
        <v/>
      </c>
      <c r="D59" s="11" t="str">
        <f t="shared" si="17"/>
        <v/>
      </c>
      <c r="E59" s="11" t="str">
        <f t="shared" si="18"/>
        <v/>
      </c>
      <c r="F59" s="11" t="str">
        <f t="shared" si="19"/>
        <v/>
      </c>
      <c r="G59" s="11" t="str">
        <f t="shared" si="20"/>
        <v/>
      </c>
      <c r="H59" s="11" t="str">
        <f t="shared" si="21"/>
        <v/>
      </c>
      <c r="I59" s="11" t="str">
        <f t="shared" si="22"/>
        <v/>
      </c>
      <c r="J59" s="11" t="str">
        <f t="shared" si="23"/>
        <v/>
      </c>
      <c r="K59" s="11" t="str">
        <f t="shared" si="24"/>
        <v/>
      </c>
      <c r="L59" s="11" t="str">
        <f t="shared" si="25"/>
        <v/>
      </c>
      <c r="M59" s="11" t="str">
        <f t="shared" si="26"/>
        <v/>
      </c>
      <c r="N59" s="11" t="str">
        <f t="shared" si="27"/>
        <v/>
      </c>
      <c r="O59" s="11" t="str">
        <f t="shared" si="28"/>
        <v/>
      </c>
      <c r="P59" s="16" t="str">
        <f t="shared" si="29"/>
        <v/>
      </c>
    </row>
    <row r="60" spans="1:16">
      <c r="A60" s="13">
        <f t="shared" si="16"/>
        <v>55</v>
      </c>
      <c r="B60" s="13" t="str">
        <f t="shared" si="30"/>
        <v/>
      </c>
      <c r="C60" s="13" t="str">
        <f t="shared" si="30"/>
        <v/>
      </c>
      <c r="D60" s="11" t="str">
        <f t="shared" si="17"/>
        <v/>
      </c>
      <c r="E60" s="11" t="str">
        <f t="shared" si="18"/>
        <v/>
      </c>
      <c r="F60" s="11" t="str">
        <f t="shared" si="19"/>
        <v/>
      </c>
      <c r="G60" s="11" t="str">
        <f t="shared" si="20"/>
        <v/>
      </c>
      <c r="H60" s="11" t="str">
        <f t="shared" si="21"/>
        <v/>
      </c>
      <c r="I60" s="11" t="str">
        <f t="shared" si="22"/>
        <v/>
      </c>
      <c r="J60" s="11" t="str">
        <f t="shared" si="23"/>
        <v/>
      </c>
      <c r="K60" s="11" t="str">
        <f t="shared" si="24"/>
        <v/>
      </c>
      <c r="L60" s="11" t="str">
        <f t="shared" si="25"/>
        <v/>
      </c>
      <c r="M60" s="11" t="str">
        <f t="shared" si="26"/>
        <v/>
      </c>
      <c r="N60" s="11" t="str">
        <f t="shared" si="27"/>
        <v/>
      </c>
      <c r="O60" s="11" t="str">
        <f t="shared" si="28"/>
        <v/>
      </c>
      <c r="P60" s="16" t="str">
        <f t="shared" si="29"/>
        <v/>
      </c>
    </row>
    <row r="61" spans="1:16">
      <c r="A61" s="13">
        <f t="shared" si="16"/>
        <v>56</v>
      </c>
      <c r="B61" s="13" t="str">
        <f t="shared" si="30"/>
        <v/>
      </c>
      <c r="C61" s="13" t="str">
        <f t="shared" si="30"/>
        <v/>
      </c>
      <c r="D61" s="11" t="str">
        <f t="shared" si="17"/>
        <v/>
      </c>
      <c r="E61" s="11" t="str">
        <f t="shared" si="18"/>
        <v/>
      </c>
      <c r="F61" s="11" t="str">
        <f t="shared" si="19"/>
        <v/>
      </c>
      <c r="G61" s="11" t="str">
        <f t="shared" si="20"/>
        <v/>
      </c>
      <c r="H61" s="11" t="str">
        <f t="shared" si="21"/>
        <v/>
      </c>
      <c r="I61" s="11" t="str">
        <f t="shared" si="22"/>
        <v/>
      </c>
      <c r="J61" s="11" t="str">
        <f t="shared" si="23"/>
        <v/>
      </c>
      <c r="K61" s="11" t="str">
        <f t="shared" si="24"/>
        <v/>
      </c>
      <c r="L61" s="11" t="str">
        <f t="shared" si="25"/>
        <v/>
      </c>
      <c r="M61" s="11" t="str">
        <f t="shared" si="26"/>
        <v/>
      </c>
      <c r="N61" s="11" t="str">
        <f t="shared" si="27"/>
        <v/>
      </c>
      <c r="O61" s="11" t="str">
        <f t="shared" si="28"/>
        <v/>
      </c>
      <c r="P61" s="16" t="str">
        <f t="shared" si="29"/>
        <v/>
      </c>
    </row>
    <row r="62" spans="1:16">
      <c r="A62" s="13">
        <f t="shared" si="16"/>
        <v>57</v>
      </c>
      <c r="B62" s="13" t="str">
        <f t="shared" si="30"/>
        <v/>
      </c>
      <c r="C62" s="13" t="str">
        <f t="shared" si="30"/>
        <v/>
      </c>
      <c r="D62" s="11" t="str">
        <f t="shared" si="17"/>
        <v/>
      </c>
      <c r="E62" s="11" t="str">
        <f t="shared" si="18"/>
        <v/>
      </c>
      <c r="F62" s="11" t="str">
        <f t="shared" si="19"/>
        <v/>
      </c>
      <c r="G62" s="11" t="str">
        <f t="shared" si="20"/>
        <v/>
      </c>
      <c r="H62" s="11" t="str">
        <f t="shared" si="21"/>
        <v/>
      </c>
      <c r="I62" s="11" t="str">
        <f t="shared" si="22"/>
        <v/>
      </c>
      <c r="J62" s="11" t="str">
        <f t="shared" si="23"/>
        <v/>
      </c>
      <c r="K62" s="11" t="str">
        <f t="shared" si="24"/>
        <v/>
      </c>
      <c r="L62" s="11" t="str">
        <f t="shared" si="25"/>
        <v/>
      </c>
      <c r="M62" s="11" t="str">
        <f t="shared" si="26"/>
        <v/>
      </c>
      <c r="N62" s="11" t="str">
        <f t="shared" si="27"/>
        <v/>
      </c>
      <c r="O62" s="11" t="str">
        <f t="shared" si="28"/>
        <v/>
      </c>
      <c r="P62" s="16" t="str">
        <f t="shared" si="29"/>
        <v/>
      </c>
    </row>
    <row r="63" spans="1:16">
      <c r="A63" s="13">
        <f t="shared" si="16"/>
        <v>58</v>
      </c>
      <c r="B63" s="13" t="str">
        <f t="shared" si="30"/>
        <v/>
      </c>
      <c r="C63" s="13" t="str">
        <f t="shared" si="30"/>
        <v/>
      </c>
      <c r="D63" s="11" t="str">
        <f t="shared" si="17"/>
        <v/>
      </c>
      <c r="E63" s="11" t="str">
        <f t="shared" si="18"/>
        <v/>
      </c>
      <c r="F63" s="11" t="str">
        <f t="shared" si="19"/>
        <v/>
      </c>
      <c r="G63" s="11" t="str">
        <f t="shared" si="20"/>
        <v/>
      </c>
      <c r="H63" s="11" t="str">
        <f t="shared" si="21"/>
        <v/>
      </c>
      <c r="I63" s="11" t="str">
        <f t="shared" si="22"/>
        <v/>
      </c>
      <c r="J63" s="11" t="str">
        <f t="shared" si="23"/>
        <v/>
      </c>
      <c r="K63" s="11" t="str">
        <f t="shared" si="24"/>
        <v/>
      </c>
      <c r="L63" s="11" t="str">
        <f t="shared" si="25"/>
        <v/>
      </c>
      <c r="M63" s="11" t="str">
        <f t="shared" si="26"/>
        <v/>
      </c>
      <c r="N63" s="11" t="str">
        <f t="shared" si="27"/>
        <v/>
      </c>
      <c r="O63" s="11" t="str">
        <f t="shared" si="28"/>
        <v/>
      </c>
      <c r="P63" s="16" t="str">
        <f t="shared" si="29"/>
        <v/>
      </c>
    </row>
    <row r="64" spans="1:16">
      <c r="A64" s="13">
        <f t="shared" si="16"/>
        <v>59</v>
      </c>
      <c r="B64" s="13" t="str">
        <f t="shared" si="30"/>
        <v/>
      </c>
      <c r="C64" s="13" t="str">
        <f t="shared" si="30"/>
        <v/>
      </c>
      <c r="D64" s="11" t="str">
        <f t="shared" si="17"/>
        <v/>
      </c>
      <c r="E64" s="11" t="str">
        <f t="shared" si="18"/>
        <v/>
      </c>
      <c r="F64" s="11" t="str">
        <f t="shared" si="19"/>
        <v/>
      </c>
      <c r="G64" s="11" t="str">
        <f t="shared" si="20"/>
        <v/>
      </c>
      <c r="H64" s="11" t="str">
        <f t="shared" si="21"/>
        <v/>
      </c>
      <c r="I64" s="11" t="str">
        <f t="shared" si="22"/>
        <v/>
      </c>
      <c r="J64" s="11" t="str">
        <f t="shared" si="23"/>
        <v/>
      </c>
      <c r="K64" s="11" t="str">
        <f t="shared" si="24"/>
        <v/>
      </c>
      <c r="L64" s="11" t="str">
        <f t="shared" si="25"/>
        <v/>
      </c>
      <c r="M64" s="11" t="str">
        <f t="shared" si="26"/>
        <v/>
      </c>
      <c r="N64" s="11" t="str">
        <f t="shared" si="27"/>
        <v/>
      </c>
      <c r="O64" s="11" t="str">
        <f t="shared" si="28"/>
        <v/>
      </c>
      <c r="P64" s="16" t="str">
        <f t="shared" si="29"/>
        <v/>
      </c>
    </row>
    <row r="65" spans="1:48">
      <c r="A65" s="13">
        <f t="shared" si="16"/>
        <v>60</v>
      </c>
      <c r="B65" s="13" t="str">
        <f t="shared" si="30"/>
        <v/>
      </c>
      <c r="C65" s="13" t="str">
        <f t="shared" si="30"/>
        <v/>
      </c>
      <c r="D65" s="11" t="str">
        <f t="shared" si="17"/>
        <v/>
      </c>
      <c r="E65" s="11" t="str">
        <f t="shared" si="18"/>
        <v/>
      </c>
      <c r="F65" s="11" t="str">
        <f t="shared" si="19"/>
        <v/>
      </c>
      <c r="G65" s="11" t="str">
        <f t="shared" si="20"/>
        <v/>
      </c>
      <c r="H65" s="11" t="str">
        <f t="shared" si="21"/>
        <v/>
      </c>
      <c r="I65" s="11" t="str">
        <f t="shared" si="22"/>
        <v/>
      </c>
      <c r="J65" s="11" t="str">
        <f t="shared" si="23"/>
        <v/>
      </c>
      <c r="K65" s="11" t="str">
        <f t="shared" si="24"/>
        <v/>
      </c>
      <c r="L65" s="11" t="str">
        <f t="shared" si="25"/>
        <v/>
      </c>
      <c r="M65" s="11" t="str">
        <f t="shared" si="26"/>
        <v/>
      </c>
      <c r="N65" s="11" t="str">
        <f t="shared" si="27"/>
        <v/>
      </c>
      <c r="O65" s="11" t="str">
        <f t="shared" si="28"/>
        <v/>
      </c>
      <c r="P65" s="16" t="str">
        <f t="shared" si="29"/>
        <v/>
      </c>
    </row>
    <row r="68" spans="1:48">
      <c r="A68" s="35" t="s">
        <v>158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spans="1:48">
      <c r="A69" s="36" t="s">
        <v>159</v>
      </c>
      <c r="B69" s="32"/>
      <c r="C69" s="32"/>
      <c r="D69" s="32"/>
      <c r="E69" s="32"/>
      <c r="F69" s="32"/>
      <c r="G69" s="32"/>
      <c r="H69" s="32"/>
      <c r="I69" s="32"/>
      <c r="J69" s="36" t="s">
        <v>131</v>
      </c>
      <c r="K69" s="32"/>
      <c r="L69" s="32"/>
      <c r="M69" s="32"/>
      <c r="N69" s="32"/>
      <c r="O69" s="36" t="s">
        <v>132</v>
      </c>
      <c r="P69" s="32"/>
      <c r="Q69" s="32"/>
      <c r="R69" s="32"/>
      <c r="S69" s="32"/>
      <c r="T69" s="36" t="s">
        <v>133</v>
      </c>
      <c r="U69" s="32"/>
      <c r="V69" s="32"/>
      <c r="W69" s="32"/>
      <c r="X69" s="32"/>
      <c r="Y69" s="36" t="s">
        <v>134</v>
      </c>
      <c r="Z69" s="32"/>
      <c r="AA69" s="32"/>
      <c r="AB69" s="32"/>
      <c r="AC69" s="32"/>
      <c r="AD69" s="32"/>
      <c r="AE69" s="36" t="s">
        <v>135</v>
      </c>
      <c r="AF69" s="32"/>
      <c r="AG69" s="32"/>
      <c r="AH69" s="32"/>
      <c r="AI69" s="32"/>
      <c r="AJ69" s="32"/>
      <c r="AK69" s="32"/>
      <c r="AL69" s="36" t="s">
        <v>160</v>
      </c>
      <c r="AM69" s="32"/>
      <c r="AN69" s="32"/>
      <c r="AO69" s="32"/>
      <c r="AP69" s="32"/>
      <c r="AQ69" s="36" t="s">
        <v>161</v>
      </c>
      <c r="AR69" s="32"/>
      <c r="AS69" s="32"/>
      <c r="AT69" s="32"/>
      <c r="AU69" s="32"/>
      <c r="AV69" s="32"/>
    </row>
    <row r="70" spans="1:48" ht="62.1" customHeight="1">
      <c r="A70" s="15" t="s">
        <v>141</v>
      </c>
      <c r="B70" s="15" t="s">
        <v>142</v>
      </c>
      <c r="C70" s="15" t="s">
        <v>143</v>
      </c>
      <c r="D70" s="15" t="s">
        <v>162</v>
      </c>
      <c r="E70" s="15" t="s">
        <v>163</v>
      </c>
      <c r="F70" s="15" t="s">
        <v>164</v>
      </c>
      <c r="G70" s="15" t="s">
        <v>165</v>
      </c>
      <c r="H70" s="15" t="s">
        <v>166</v>
      </c>
      <c r="I70" s="15" t="s">
        <v>167</v>
      </c>
      <c r="J70" s="15" t="s">
        <v>168</v>
      </c>
      <c r="K70" s="15" t="s">
        <v>169</v>
      </c>
      <c r="L70" s="15" t="s">
        <v>170</v>
      </c>
      <c r="M70" s="15" t="s">
        <v>171</v>
      </c>
      <c r="N70" s="15" t="s">
        <v>172</v>
      </c>
      <c r="O70" s="15" t="s">
        <v>173</v>
      </c>
      <c r="P70" s="15" t="s">
        <v>174</v>
      </c>
      <c r="Q70" s="15" t="s">
        <v>175</v>
      </c>
      <c r="R70" s="15" t="s">
        <v>176</v>
      </c>
      <c r="S70" s="15" t="s">
        <v>177</v>
      </c>
      <c r="T70" s="15" t="s">
        <v>178</v>
      </c>
      <c r="U70" s="15" t="s">
        <v>179</v>
      </c>
      <c r="V70" s="15" t="s">
        <v>180</v>
      </c>
      <c r="W70" s="15" t="s">
        <v>181</v>
      </c>
      <c r="X70" s="15" t="s">
        <v>182</v>
      </c>
      <c r="Y70" s="15" t="s">
        <v>183</v>
      </c>
      <c r="Z70" s="15" t="s">
        <v>184</v>
      </c>
      <c r="AA70" s="15" t="s">
        <v>185</v>
      </c>
      <c r="AB70" s="15" t="s">
        <v>186</v>
      </c>
      <c r="AC70" s="15" t="s">
        <v>187</v>
      </c>
      <c r="AD70" s="15" t="s">
        <v>188</v>
      </c>
      <c r="AE70" s="15" t="s">
        <v>189</v>
      </c>
      <c r="AF70" s="15" t="s">
        <v>190</v>
      </c>
      <c r="AG70" s="15" t="s">
        <v>191</v>
      </c>
      <c r="AH70" s="15" t="s">
        <v>192</v>
      </c>
      <c r="AI70" s="15" t="s">
        <v>193</v>
      </c>
      <c r="AJ70" s="15" t="s">
        <v>194</v>
      </c>
      <c r="AK70" s="15" t="s">
        <v>195</v>
      </c>
      <c r="AL70" s="15" t="s">
        <v>196</v>
      </c>
      <c r="AM70" s="15" t="s">
        <v>197</v>
      </c>
      <c r="AN70" s="15" t="s">
        <v>198</v>
      </c>
      <c r="AO70" s="15" t="s">
        <v>199</v>
      </c>
      <c r="AP70" s="15" t="s">
        <v>200</v>
      </c>
      <c r="AQ70" s="15" t="s">
        <v>201</v>
      </c>
      <c r="AR70" s="15" t="s">
        <v>202</v>
      </c>
      <c r="AS70" s="15" t="s">
        <v>203</v>
      </c>
      <c r="AT70" s="15" t="s">
        <v>204</v>
      </c>
      <c r="AU70" s="15" t="s">
        <v>205</v>
      </c>
      <c r="AV70" s="15" t="s">
        <v>206</v>
      </c>
    </row>
    <row r="71" spans="1:48">
      <c r="A71" s="17">
        <v>1</v>
      </c>
      <c r="B71" s="17">
        <f t="shared" ref="B71:B102" si="31">Eta_inizio+A71-1</f>
        <v>51</v>
      </c>
      <c r="C71" s="17">
        <f t="shared" ref="C71:C102" si="32">Anno_inizio+A71-1</f>
        <v>2000</v>
      </c>
      <c r="D71" s="17">
        <f>IF(COUNTIFS('5 - Dati'!$A$6:$A$186,Serie,'5 - Dati'!$B$6:$B$186,C71)&gt;0,1,0)</f>
        <v>1</v>
      </c>
      <c r="E71" s="18">
        <f>IF(D71=1,SUMIFS('5 - Dati'!$F$6:$F$186,'5 - Dati'!$A$6:$A$186,Serie,'5 - Dati'!$B$6:$B$186,C71),(1+Rend_c)*(1+Infl_c)-1)</f>
        <v>4.3409750000000004E-2</v>
      </c>
      <c r="F71" s="18">
        <f>IF(D71=1,SUMIFS('5 - Dati'!$E$6:$E$186,'5 - Dati'!$A$6:$A$186,Serie,'5 - Dati'!$B$6:$B$186,C71),Infl_c)</f>
        <v>2.4590170000000001E-2</v>
      </c>
      <c r="G71" s="19">
        <f t="shared" ref="G71:G102" si="33">(1+E71)*(1-Bollo_eff)</f>
        <v>1.0413229305</v>
      </c>
      <c r="H71" s="19">
        <f>1-Latente_eff</f>
        <v>0.56564417697986813</v>
      </c>
      <c r="I71" s="19">
        <f t="shared" ref="I71:I102" si="34">1-Aliq_eff*MAX(0,1-H71)</f>
        <v>0.8870674860147657</v>
      </c>
      <c r="J71" s="20">
        <f t="shared" ref="J71:J102" si="35">Spesa0</f>
        <v>38000</v>
      </c>
      <c r="K71" s="20">
        <f t="shared" ref="K71:K102" si="36">J71/I71</f>
        <v>42837.777958381252</v>
      </c>
      <c r="L71" s="17">
        <f t="shared" ref="L71:L102" si="37">IF(K71&gt;N71+0.000000001,1,0)</f>
        <v>0</v>
      </c>
      <c r="M71" s="20">
        <f t="shared" ref="M71:M102" si="38">MIN(K71,N71)*I71</f>
        <v>38000</v>
      </c>
      <c r="N71" s="20">
        <f>Patrimonio</f>
        <v>1056000</v>
      </c>
      <c r="O71" s="20">
        <f t="shared" ref="O71:O102" si="39">Tasso0*S71*I71</f>
        <v>38000</v>
      </c>
      <c r="P71" s="20">
        <f t="shared" ref="P71:P102" si="40">O71/I71</f>
        <v>42837.777958381252</v>
      </c>
      <c r="Q71" s="17">
        <f t="shared" ref="Q71:Q102" si="41">IF(P71&gt;S71+0.000000001,1,0)</f>
        <v>0</v>
      </c>
      <c r="R71" s="20">
        <f t="shared" ref="R71:R102" si="42">MIN(P71,S71)*I71</f>
        <v>38000</v>
      </c>
      <c r="S71" s="20">
        <f>Patrimonio</f>
        <v>1056000</v>
      </c>
      <c r="T71" s="20">
        <f t="shared" ref="T71:T102" si="43">MAX(Tasso0*X71*I71,Pav_pct*Spesa0)</f>
        <v>38000</v>
      </c>
      <c r="U71" s="20">
        <f t="shared" ref="U71:U102" si="44">T71/I71</f>
        <v>42837.777958381252</v>
      </c>
      <c r="V71" s="17">
        <f t="shared" ref="V71:V102" si="45">IF(U71&gt;X71+0.000000001,1,0)</f>
        <v>0</v>
      </c>
      <c r="W71" s="20">
        <f t="shared" ref="W71:W102" si="46">MIN(U71,X71)*I71</f>
        <v>38000</v>
      </c>
      <c r="X71" s="20">
        <f>Patrimonio</f>
        <v>1056000</v>
      </c>
      <c r="Y71" s="18">
        <f t="shared" ref="Y71:Y102" si="47">IF(Eta_rif_VPW-B71&lt;=1,1,IF(r_VPW=0,1/(Eta_rif_VPW-B71),r_VPW/(1-(1+r_VPW)^(-(Eta_rif_VPW-B71)))/(1+r_VPW)))</f>
        <v>3.8071008059540362E-2</v>
      </c>
      <c r="Z71" s="20">
        <f t="shared" ref="Z71:Z102" si="48">Y71*AD71*I71</f>
        <v>35662.760400352119</v>
      </c>
      <c r="AA71" s="20">
        <f t="shared" ref="AA71:AA102" si="49">Z71/I71</f>
        <v>40202.984510874623</v>
      </c>
      <c r="AB71" s="17">
        <f t="shared" ref="AB71:AB102" si="50">IF(AA71&gt;AD71+0.000000001,1,0)</f>
        <v>0</v>
      </c>
      <c r="AC71" s="20">
        <f t="shared" ref="AC71:AC102" si="51">MIN(AA71,AD71)*I71</f>
        <v>35662.760400352119</v>
      </c>
      <c r="AD71" s="20">
        <f>Patrimonio</f>
        <v>1056000</v>
      </c>
      <c r="AE71" s="20">
        <f>Spesa0</f>
        <v>38000</v>
      </c>
      <c r="AF71" s="18">
        <f t="shared" ref="AF71:AF102" si="52">IF(AK71*I71&lt;=0,9.9,AE71/(AK71*I71))</f>
        <v>4.0566077612103457E-2</v>
      </c>
      <c r="AG71" s="20">
        <f t="shared" ref="AG71:AG102" si="53">IF(AND(AF71&gt;Tasso0*(1+GK_banda),A71&lt;=Anni-GK_ultimi),AE71*(1-GK_taglio),IF(AF71&lt;Tasso0*(1-GK_banda),AE71*(1+GK_taglio),AE71))</f>
        <v>38000</v>
      </c>
      <c r="AH71" s="20">
        <f t="shared" ref="AH71:AH102" si="54">AG71/I71</f>
        <v>42837.777958381252</v>
      </c>
      <c r="AI71" s="17">
        <f t="shared" ref="AI71:AI102" si="55">IF(AH71&gt;AK71+0.000000001,1,0)</f>
        <v>0</v>
      </c>
      <c r="AJ71" s="20">
        <f t="shared" ref="AJ71:AJ102" si="56">MIN(AH71,AK71)*I71</f>
        <v>38000</v>
      </c>
      <c r="AK71" s="20">
        <f>Patrimonio</f>
        <v>1056000</v>
      </c>
      <c r="AL71" s="20">
        <f>Spesa0</f>
        <v>38000</v>
      </c>
      <c r="AM71" s="20">
        <f t="shared" ref="AM71:AM102" si="57">AL71/I71</f>
        <v>42837.777958381252</v>
      </c>
      <c r="AN71" s="17">
        <f t="shared" ref="AN71:AN102" si="58">IF(AM71&gt;AP71+0.000000001,1,0)</f>
        <v>0</v>
      </c>
      <c r="AO71" s="20">
        <f t="shared" ref="AO71:AO102" si="59">MIN(AM71,AP71)*I71</f>
        <v>38000</v>
      </c>
      <c r="AP71" s="20">
        <f>Patrimonio</f>
        <v>1056000</v>
      </c>
    </row>
    <row r="72" spans="1:48">
      <c r="A72" s="17">
        <f t="shared" ref="A72:A103" si="60">A71+1</f>
        <v>2</v>
      </c>
      <c r="B72" s="17">
        <f t="shared" si="31"/>
        <v>52</v>
      </c>
      <c r="C72" s="17">
        <f t="shared" si="32"/>
        <v>2001</v>
      </c>
      <c r="D72" s="17">
        <f>IF(COUNTIFS('5 - Dati'!$A$6:$A$186,Serie,'5 - Dati'!$B$6:$B$186,C72)&gt;0,1,0)</f>
        <v>1</v>
      </c>
      <c r="E72" s="18">
        <f>IF(D72=1,SUMIFS('5 - Dati'!$F$6:$F$186,'5 - Dati'!$A$6:$A$186,Serie,'5 - Dati'!$B$6:$B$186,C72),(1+Rend_c)*(1+Infl_c)-1)</f>
        <v>-7.3065985999999999E-2</v>
      </c>
      <c r="F72" s="18">
        <f>IF(D72=1,SUMIFS('5 - Dati'!$E$6:$E$186,'5 - Dati'!$A$6:$A$186,Serie,'5 - Dati'!$B$6:$B$186,C72),Infl_c)</f>
        <v>2.266669E-2</v>
      </c>
      <c r="G72" s="19">
        <f t="shared" si="33"/>
        <v>0.92508014597199995</v>
      </c>
      <c r="H72" s="19">
        <f t="shared" ref="H72:H103" si="61">H71/G71</f>
        <v>0.54319765791412011</v>
      </c>
      <c r="I72" s="19">
        <f t="shared" si="34"/>
        <v>0.88123139105767123</v>
      </c>
      <c r="J72" s="20">
        <f t="shared" si="35"/>
        <v>38000</v>
      </c>
      <c r="K72" s="20">
        <f t="shared" si="36"/>
        <v>43121.477951882371</v>
      </c>
      <c r="L72" s="17">
        <f t="shared" si="37"/>
        <v>0</v>
      </c>
      <c r="M72" s="20">
        <f t="shared" si="38"/>
        <v>38000</v>
      </c>
      <c r="N72" s="20">
        <f t="shared" ref="N72:N103" si="62">(N71-MIN(K71,N71))*G71/(1+F71)</f>
        <v>1029708.3507333182</v>
      </c>
      <c r="O72" s="20">
        <f t="shared" si="39"/>
        <v>36810.118126540365</v>
      </c>
      <c r="P72" s="20">
        <f t="shared" si="40"/>
        <v>41771.22887367884</v>
      </c>
      <c r="Q72" s="17">
        <f t="shared" si="41"/>
        <v>0</v>
      </c>
      <c r="R72" s="20">
        <f t="shared" si="42"/>
        <v>36810.118126540365</v>
      </c>
      <c r="S72" s="20">
        <f t="shared" ref="S72:S103" si="63">(S71-MIN(P71,S71))*G71/(1+F71)</f>
        <v>1029708.3507333182</v>
      </c>
      <c r="T72" s="20">
        <f t="shared" si="43"/>
        <v>36810.118126540365</v>
      </c>
      <c r="U72" s="20">
        <f t="shared" si="44"/>
        <v>41771.22887367884</v>
      </c>
      <c r="V72" s="17">
        <f t="shared" si="45"/>
        <v>0</v>
      </c>
      <c r="W72" s="20">
        <f t="shared" si="46"/>
        <v>36810.118126540365</v>
      </c>
      <c r="X72" s="20">
        <f t="shared" ref="X72:X103" si="64">(X71-MIN(U71,X71))*G71/(1+F71)</f>
        <v>1029708.3507333182</v>
      </c>
      <c r="Y72" s="18">
        <f t="shared" si="47"/>
        <v>3.8425023111700131E-2</v>
      </c>
      <c r="Z72" s="20">
        <f t="shared" si="48"/>
        <v>34957.975687541235</v>
      </c>
      <c r="AA72" s="20">
        <f t="shared" si="49"/>
        <v>39669.46257507235</v>
      </c>
      <c r="AB72" s="17">
        <f t="shared" si="50"/>
        <v>0</v>
      </c>
      <c r="AC72" s="20">
        <f t="shared" si="51"/>
        <v>34957.975687541235</v>
      </c>
      <c r="AD72" s="20">
        <f t="shared" ref="AD72:AD103" si="65">(AD71-MIN(AA71,AD71))*G71/(1+F71)</f>
        <v>1032386.1734514688</v>
      </c>
      <c r="AE72" s="20">
        <f t="shared" ref="AE72:AE103" si="66">IF(OR(E71&gt;=0,GK_variante=3),AG71,IF(GK_variante=2,AG71/(1+F71),IF(AK72*I72&lt;=0,AG71/(1+F71),IF(AG71/(AK72*I72)&gt;Tasso0,AG71/(1+F71),AG71))))</f>
        <v>38000</v>
      </c>
      <c r="AF72" s="18">
        <f t="shared" si="52"/>
        <v>4.187737034585854E-2</v>
      </c>
      <c r="AG72" s="20">
        <f t="shared" si="53"/>
        <v>38000</v>
      </c>
      <c r="AH72" s="20">
        <f t="shared" si="54"/>
        <v>43121.477951882371</v>
      </c>
      <c r="AI72" s="17">
        <f t="shared" si="55"/>
        <v>0</v>
      </c>
      <c r="AJ72" s="20">
        <f t="shared" si="56"/>
        <v>38000</v>
      </c>
      <c r="AK72" s="20">
        <f t="shared" ref="AK72:AK103" si="67">(AK71-MIN(AH71,AK71))*G71/(1+F71)</f>
        <v>1029708.3507333182</v>
      </c>
      <c r="AL72" s="20">
        <f t="shared" ref="AL72:AL103" si="68">MIN(MAX(Tasso0*AP72*I72,AL71*(1+VG_pav)),AL71*(1+VG_tetto))</f>
        <v>37050</v>
      </c>
      <c r="AM72" s="20">
        <f t="shared" si="57"/>
        <v>42043.441003085311</v>
      </c>
      <c r="AN72" s="17">
        <f t="shared" si="58"/>
        <v>0</v>
      </c>
      <c r="AO72" s="20">
        <f t="shared" si="59"/>
        <v>37050</v>
      </c>
      <c r="AP72" s="20">
        <f t="shared" ref="AP72:AP103" si="69">(AP71-MIN(AM71,AP71))*G71/(1+F71)</f>
        <v>1029708.3507333182</v>
      </c>
      <c r="AQ72" s="18">
        <f t="shared" ref="AQ72:AQ103" si="70">IF(AND(A72&lt;=Anni,M71&gt;0),M72/M71-1,"")</f>
        <v>0</v>
      </c>
      <c r="AR72" s="18">
        <f t="shared" ref="AR72:AR103" si="71">IF(AND(A72&lt;=Anni,R71&gt;0),R72/R71-1,"")</f>
        <v>-3.1312680880516752E-2</v>
      </c>
      <c r="AS72" s="18">
        <f t="shared" ref="AS72:AS103" si="72">IF(AND(A72&lt;=Anni,W71&gt;0),W72/W71-1,"")</f>
        <v>-3.1312680880516752E-2</v>
      </c>
      <c r="AT72" s="18">
        <f t="shared" ref="AT72:AT103" si="73">IF(AND(A72&lt;=Anni,AC71&gt;0),AC72/AC71-1,"")</f>
        <v>-1.9762483467318015E-2</v>
      </c>
      <c r="AU72" s="18">
        <f t="shared" ref="AU72:AU103" si="74">IF(AND(A72&lt;=Anni,AJ71&gt;0),AJ72/AJ71-1,"")</f>
        <v>0</v>
      </c>
      <c r="AV72" s="18">
        <f t="shared" ref="AV72:AV103" si="75">IF(AND(A72&lt;=Anni,AO71&gt;0),AO72/AO71-1,"")</f>
        <v>-2.5000000000000022E-2</v>
      </c>
    </row>
    <row r="73" spans="1:48">
      <c r="A73" s="17">
        <f t="shared" si="60"/>
        <v>3</v>
      </c>
      <c r="B73" s="17">
        <f t="shared" si="31"/>
        <v>53</v>
      </c>
      <c r="C73" s="17">
        <f t="shared" si="32"/>
        <v>2002</v>
      </c>
      <c r="D73" s="17">
        <f>IF(COUNTIFS('5 - Dati'!$A$6:$A$186,Serie,'5 - Dati'!$B$6:$B$186,C73)&gt;0,1,0)</f>
        <v>1</v>
      </c>
      <c r="E73" s="18">
        <f>IF(D73=1,SUMIFS('5 - Dati'!$F$6:$F$186,'5 - Dati'!$A$6:$A$186,Serie,'5 - Dati'!$B$6:$B$186,C73),(1+Rend_c)*(1+Infl_c)-1)</f>
        <v>-0.16524188999999997</v>
      </c>
      <c r="F73" s="18">
        <f>IF(D73=1,SUMIFS('5 - Dati'!$E$6:$E$186,'5 - Dati'!$A$6:$A$186,Serie,'5 - Dati'!$B$6:$B$186,C73),Infl_c)</f>
        <v>2.8683190000000001E-2</v>
      </c>
      <c r="G73" s="19">
        <f t="shared" si="33"/>
        <v>0.83308859378</v>
      </c>
      <c r="H73" s="19">
        <f t="shared" si="61"/>
        <v>0.58718983460981278</v>
      </c>
      <c r="I73" s="19">
        <f t="shared" si="34"/>
        <v>0.89266935699855132</v>
      </c>
      <c r="J73" s="20">
        <f t="shared" si="35"/>
        <v>38000</v>
      </c>
      <c r="K73" s="20">
        <f t="shared" si="36"/>
        <v>42568.953109098009</v>
      </c>
      <c r="L73" s="17">
        <f t="shared" si="37"/>
        <v>0</v>
      </c>
      <c r="M73" s="20">
        <f t="shared" si="38"/>
        <v>38000</v>
      </c>
      <c r="N73" s="20">
        <f t="shared" si="62"/>
        <v>892443.19504208106</v>
      </c>
      <c r="O73" s="20">
        <f t="shared" si="39"/>
        <v>32361.466818255583</v>
      </c>
      <c r="P73" s="20">
        <f t="shared" si="40"/>
        <v>36252.46746126192</v>
      </c>
      <c r="Q73" s="17">
        <f t="shared" si="41"/>
        <v>0</v>
      </c>
      <c r="R73" s="20">
        <f t="shared" si="42"/>
        <v>32361.466818255583</v>
      </c>
      <c r="S73" s="20">
        <f t="shared" si="63"/>
        <v>893664.59848327772</v>
      </c>
      <c r="T73" s="20">
        <f t="shared" si="43"/>
        <v>34200</v>
      </c>
      <c r="U73" s="20">
        <f t="shared" si="44"/>
        <v>38312.057798188209</v>
      </c>
      <c r="V73" s="17">
        <f t="shared" si="45"/>
        <v>0</v>
      </c>
      <c r="W73" s="20">
        <f t="shared" si="46"/>
        <v>34200</v>
      </c>
      <c r="X73" s="20">
        <f t="shared" si="64"/>
        <v>893664.59848327772</v>
      </c>
      <c r="Y73" s="18">
        <f t="shared" si="47"/>
        <v>3.8796608249921059E-2</v>
      </c>
      <c r="Z73" s="20">
        <f t="shared" si="48"/>
        <v>31099.611857237829</v>
      </c>
      <c r="AA73" s="20">
        <f t="shared" si="49"/>
        <v>34838.892601629093</v>
      </c>
      <c r="AB73" s="17">
        <f t="shared" si="50"/>
        <v>0</v>
      </c>
      <c r="AC73" s="20">
        <f t="shared" si="51"/>
        <v>31099.611857237829</v>
      </c>
      <c r="AD73" s="20">
        <f t="shared" si="65"/>
        <v>897988.10187743616</v>
      </c>
      <c r="AE73" s="20">
        <f t="shared" si="66"/>
        <v>37157.756648942966</v>
      </c>
      <c r="AF73" s="18">
        <f t="shared" si="52"/>
        <v>4.6642119462367494E-2</v>
      </c>
      <c r="AG73" s="20">
        <f t="shared" si="53"/>
        <v>37157.756648942966</v>
      </c>
      <c r="AH73" s="20">
        <f t="shared" si="54"/>
        <v>41625.442116529681</v>
      </c>
      <c r="AI73" s="17">
        <f t="shared" si="55"/>
        <v>0</v>
      </c>
      <c r="AJ73" s="20">
        <f t="shared" si="56"/>
        <v>37157.756648942966</v>
      </c>
      <c r="AK73" s="20">
        <f t="shared" si="67"/>
        <v>892443.19504208106</v>
      </c>
      <c r="AL73" s="20">
        <f t="shared" si="68"/>
        <v>36123.75</v>
      </c>
      <c r="AM73" s="20">
        <f t="shared" si="57"/>
        <v>40467.111049336294</v>
      </c>
      <c r="AN73" s="17">
        <f t="shared" si="58"/>
        <v>0</v>
      </c>
      <c r="AO73" s="20">
        <f t="shared" si="59"/>
        <v>36123.75</v>
      </c>
      <c r="AP73" s="20">
        <f t="shared" si="69"/>
        <v>893418.36181705107</v>
      </c>
      <c r="AQ73" s="18">
        <f t="shared" si="70"/>
        <v>0</v>
      </c>
      <c r="AR73" s="18">
        <f t="shared" si="71"/>
        <v>-0.12085403510501835</v>
      </c>
      <c r="AS73" s="18">
        <f t="shared" si="72"/>
        <v>-7.0907627016237429E-2</v>
      </c>
      <c r="AT73" s="18">
        <f t="shared" si="73"/>
        <v>-0.11037148903557648</v>
      </c>
      <c r="AU73" s="18">
        <f t="shared" si="74"/>
        <v>-2.2164298712027186E-2</v>
      </c>
      <c r="AV73" s="18">
        <f t="shared" si="75"/>
        <v>-2.5000000000000022E-2</v>
      </c>
    </row>
    <row r="74" spans="1:48">
      <c r="A74" s="17">
        <f t="shared" si="60"/>
        <v>4</v>
      </c>
      <c r="B74" s="17">
        <f t="shared" si="31"/>
        <v>54</v>
      </c>
      <c r="C74" s="17">
        <f t="shared" si="32"/>
        <v>2003</v>
      </c>
      <c r="D74" s="17">
        <f>IF(COUNTIFS('5 - Dati'!$A$6:$A$186,Serie,'5 - Dati'!$B$6:$B$186,C74)&gt;0,1,0)</f>
        <v>1</v>
      </c>
      <c r="E74" s="18">
        <f>IF(D74=1,SUMIFS('5 - Dati'!$F$6:$F$186,'5 - Dati'!$A$6:$A$186,Serie,'5 - Dati'!$B$6:$B$186,C74),(1+Rend_c)*(1+Infl_c)-1)</f>
        <v>0.13171752</v>
      </c>
      <c r="F74" s="18">
        <f>IF(D74=1,SUMIFS('5 - Dati'!$E$6:$E$186,'5 - Dati'!$A$6:$A$186,Serie,'5 - Dati'!$B$6:$B$186,C74),Infl_c)</f>
        <v>2.1546249999999999E-2</v>
      </c>
      <c r="G74" s="19">
        <f t="shared" si="33"/>
        <v>1.1294540849600001</v>
      </c>
      <c r="H74" s="19">
        <f t="shared" si="61"/>
        <v>0.70483480267751264</v>
      </c>
      <c r="I74" s="19">
        <f t="shared" si="34"/>
        <v>0.92325704869615333</v>
      </c>
      <c r="J74" s="20">
        <f t="shared" si="35"/>
        <v>38000</v>
      </c>
      <c r="K74" s="20">
        <f t="shared" si="36"/>
        <v>41158.635131640258</v>
      </c>
      <c r="L74" s="17">
        <f t="shared" si="37"/>
        <v>0</v>
      </c>
      <c r="M74" s="20">
        <f t="shared" si="38"/>
        <v>38000</v>
      </c>
      <c r="N74" s="20">
        <f t="shared" si="62"/>
        <v>688278.51371984836</v>
      </c>
      <c r="O74" s="20">
        <f t="shared" si="39"/>
        <v>26006.674282128508</v>
      </c>
      <c r="P74" s="20">
        <f t="shared" si="40"/>
        <v>28168.400467514202</v>
      </c>
      <c r="Q74" s="17">
        <f t="shared" si="41"/>
        <v>0</v>
      </c>
      <c r="R74" s="20">
        <f t="shared" si="42"/>
        <v>26006.674282128508</v>
      </c>
      <c r="S74" s="20">
        <f t="shared" si="63"/>
        <v>694383.14290237823</v>
      </c>
      <c r="T74" s="20">
        <f t="shared" si="43"/>
        <v>34200</v>
      </c>
      <c r="U74" s="20">
        <f t="shared" si="44"/>
        <v>37042.771618476232</v>
      </c>
      <c r="V74" s="17">
        <f t="shared" si="45"/>
        <v>0</v>
      </c>
      <c r="W74" s="20">
        <f t="shared" si="46"/>
        <v>34200</v>
      </c>
      <c r="X74" s="20">
        <f t="shared" si="64"/>
        <v>692715.16462273628</v>
      </c>
      <c r="Y74" s="18">
        <f t="shared" si="47"/>
        <v>3.9186929920003138E-2</v>
      </c>
      <c r="Z74" s="20">
        <f t="shared" si="48"/>
        <v>25290.609427418894</v>
      </c>
      <c r="AA74" s="20">
        <f t="shared" si="49"/>
        <v>27392.814886314623</v>
      </c>
      <c r="AB74" s="17">
        <f t="shared" si="50"/>
        <v>0</v>
      </c>
      <c r="AC74" s="20">
        <f t="shared" si="51"/>
        <v>25290.609427418894</v>
      </c>
      <c r="AD74" s="20">
        <f t="shared" si="65"/>
        <v>699029.36877767101</v>
      </c>
      <c r="AE74" s="20">
        <f t="shared" si="66"/>
        <v>36121.671871534098</v>
      </c>
      <c r="AF74" s="18">
        <f t="shared" si="52"/>
        <v>5.6780488239770457E-2</v>
      </c>
      <c r="AG74" s="20">
        <f t="shared" si="53"/>
        <v>32509.504684380689</v>
      </c>
      <c r="AH74" s="20">
        <f t="shared" si="54"/>
        <v>35211.758989862494</v>
      </c>
      <c r="AI74" s="17">
        <f t="shared" si="55"/>
        <v>0</v>
      </c>
      <c r="AJ74" s="20">
        <f t="shared" si="56"/>
        <v>32509.504684380692</v>
      </c>
      <c r="AK74" s="20">
        <f t="shared" si="67"/>
        <v>689042.62482194067</v>
      </c>
      <c r="AL74" s="20">
        <f t="shared" si="68"/>
        <v>35220.65625</v>
      </c>
      <c r="AM74" s="20">
        <f t="shared" si="57"/>
        <v>38148.266833965135</v>
      </c>
      <c r="AN74" s="17">
        <f t="shared" si="58"/>
        <v>0</v>
      </c>
      <c r="AO74" s="20">
        <f t="shared" si="59"/>
        <v>35220.65625</v>
      </c>
      <c r="AP74" s="20">
        <f t="shared" si="69"/>
        <v>690770.45777813054</v>
      </c>
      <c r="AQ74" s="18">
        <f t="shared" si="70"/>
        <v>0</v>
      </c>
      <c r="AR74" s="18">
        <f t="shared" si="71"/>
        <v>-0.19636911305090299</v>
      </c>
      <c r="AS74" s="18">
        <f t="shared" si="72"/>
        <v>0</v>
      </c>
      <c r="AT74" s="18">
        <f t="shared" si="73"/>
        <v>-0.18678697523573762</v>
      </c>
      <c r="AU74" s="18">
        <f t="shared" si="74"/>
        <v>-0.12509506449697105</v>
      </c>
      <c r="AV74" s="18">
        <f t="shared" si="75"/>
        <v>-2.5000000000000022E-2</v>
      </c>
    </row>
    <row r="75" spans="1:48">
      <c r="A75" s="17">
        <f t="shared" si="60"/>
        <v>5</v>
      </c>
      <c r="B75" s="17">
        <f t="shared" si="31"/>
        <v>55</v>
      </c>
      <c r="C75" s="17">
        <f t="shared" si="32"/>
        <v>2004</v>
      </c>
      <c r="D75" s="17">
        <f>IF(COUNTIFS('5 - Dati'!$A$6:$A$186,Serie,'5 - Dati'!$B$6:$B$186,C75)&gt;0,1,0)</f>
        <v>1</v>
      </c>
      <c r="E75" s="18">
        <f>IF(D75=1,SUMIFS('5 - Dati'!$F$6:$F$186,'5 - Dati'!$A$6:$A$186,Serie,'5 - Dati'!$B$6:$B$186,C75),(1+Rend_c)*(1+Infl_c)-1)</f>
        <v>7.7222001999999998E-2</v>
      </c>
      <c r="F75" s="18">
        <f>IF(D75=1,SUMIFS('5 - Dati'!$E$6:$E$186,'5 - Dati'!$A$6:$A$186,Serie,'5 - Dati'!$B$6:$B$186,C75),Infl_c)</f>
        <v>1.985112E-2</v>
      </c>
      <c r="G75" s="19">
        <f t="shared" si="33"/>
        <v>1.0750675579960001</v>
      </c>
      <c r="H75" s="19">
        <f t="shared" si="61"/>
        <v>0.62404909775723605</v>
      </c>
      <c r="I75" s="19">
        <f t="shared" si="34"/>
        <v>0.90225276541688137</v>
      </c>
      <c r="J75" s="20">
        <f t="shared" si="35"/>
        <v>38000</v>
      </c>
      <c r="K75" s="20">
        <f t="shared" si="36"/>
        <v>42116.80080852098</v>
      </c>
      <c r="L75" s="17">
        <f t="shared" si="37"/>
        <v>0</v>
      </c>
      <c r="M75" s="20">
        <f t="shared" si="38"/>
        <v>38000</v>
      </c>
      <c r="N75" s="20">
        <f t="shared" si="62"/>
        <v>715476.35785484093</v>
      </c>
      <c r="O75" s="20">
        <f t="shared" si="39"/>
        <v>26959.760172574533</v>
      </c>
      <c r="P75" s="20">
        <f t="shared" si="40"/>
        <v>29880.496027205758</v>
      </c>
      <c r="Q75" s="17">
        <f t="shared" si="41"/>
        <v>0</v>
      </c>
      <c r="R75" s="20">
        <f t="shared" si="42"/>
        <v>26959.760172574533</v>
      </c>
      <c r="S75" s="20">
        <f t="shared" si="63"/>
        <v>736588.24777011457</v>
      </c>
      <c r="T75" s="20">
        <f t="shared" si="43"/>
        <v>34200</v>
      </c>
      <c r="U75" s="20">
        <f t="shared" si="44"/>
        <v>37905.12072766888</v>
      </c>
      <c r="V75" s="17">
        <f t="shared" si="45"/>
        <v>0</v>
      </c>
      <c r="W75" s="20">
        <f t="shared" si="46"/>
        <v>34200</v>
      </c>
      <c r="X75" s="20">
        <f t="shared" si="64"/>
        <v>724932.29031398229</v>
      </c>
      <c r="Y75" s="18">
        <f t="shared" si="47"/>
        <v>3.9597258003538194E-2</v>
      </c>
      <c r="Z75" s="20">
        <f t="shared" si="48"/>
        <v>26530.058426447526</v>
      </c>
      <c r="AA75" s="20">
        <f t="shared" si="49"/>
        <v>29404.241741713526</v>
      </c>
      <c r="AB75" s="17">
        <f t="shared" si="50"/>
        <v>0</v>
      </c>
      <c r="AC75" s="20">
        <f t="shared" si="51"/>
        <v>26530.058426447526</v>
      </c>
      <c r="AD75" s="20">
        <f t="shared" si="65"/>
        <v>742582.77527919039</v>
      </c>
      <c r="AE75" s="20">
        <f t="shared" si="66"/>
        <v>32509.504684380689</v>
      </c>
      <c r="AF75" s="18">
        <f t="shared" si="52"/>
        <v>4.98432285277952E-2</v>
      </c>
      <c r="AG75" s="20">
        <f t="shared" si="53"/>
        <v>29258.554215942619</v>
      </c>
      <c r="AH75" s="20">
        <f t="shared" si="54"/>
        <v>32428.334206793868</v>
      </c>
      <c r="AI75" s="17">
        <f t="shared" si="55"/>
        <v>0</v>
      </c>
      <c r="AJ75" s="20">
        <f t="shared" si="56"/>
        <v>29258.554215942619</v>
      </c>
      <c r="AK75" s="20">
        <f t="shared" si="67"/>
        <v>722896.2391932566</v>
      </c>
      <c r="AL75" s="20">
        <f t="shared" si="68"/>
        <v>34340.139843749996</v>
      </c>
      <c r="AM75" s="20">
        <f t="shared" si="57"/>
        <v>38060.442882525611</v>
      </c>
      <c r="AN75" s="17">
        <f t="shared" si="58"/>
        <v>0</v>
      </c>
      <c r="AO75" s="20">
        <f t="shared" si="59"/>
        <v>34340.139843749996</v>
      </c>
      <c r="AP75" s="20">
        <f t="shared" si="69"/>
        <v>721559.88972347835</v>
      </c>
      <c r="AQ75" s="18">
        <f t="shared" si="70"/>
        <v>0</v>
      </c>
      <c r="AR75" s="18">
        <f t="shared" si="71"/>
        <v>3.6647742041394871E-2</v>
      </c>
      <c r="AS75" s="18">
        <f t="shared" si="72"/>
        <v>0</v>
      </c>
      <c r="AT75" s="18">
        <f t="shared" si="73"/>
        <v>4.9008269357276868E-2</v>
      </c>
      <c r="AU75" s="18">
        <f t="shared" si="74"/>
        <v>-0.10000000000000009</v>
      </c>
      <c r="AV75" s="18">
        <f t="shared" si="75"/>
        <v>-2.5000000000000133E-2</v>
      </c>
    </row>
    <row r="76" spans="1:48">
      <c r="A76" s="17">
        <f t="shared" si="60"/>
        <v>6</v>
      </c>
      <c r="B76" s="17">
        <f t="shared" si="31"/>
        <v>56</v>
      </c>
      <c r="C76" s="17">
        <f t="shared" si="32"/>
        <v>2005</v>
      </c>
      <c r="D76" s="17">
        <f>IF(COUNTIFS('5 - Dati'!$A$6:$A$186,Serie,'5 - Dati'!$B$6:$B$186,C76)&gt;0,1,0)</f>
        <v>1</v>
      </c>
      <c r="E76" s="18">
        <f>IF(D76=1,SUMIFS('5 - Dati'!$F$6:$F$186,'5 - Dati'!$A$6:$A$186,Serie,'5 - Dati'!$B$6:$B$186,C76),(1+Rend_c)*(1+Infl_c)-1)</f>
        <v>0.17023350200000001</v>
      </c>
      <c r="F76" s="18">
        <f>IF(D76=1,SUMIFS('5 - Dati'!$E$6:$E$186,'5 - Dati'!$A$6:$A$186,Serie,'5 - Dati'!$B$6:$B$186,C76),Infl_c)</f>
        <v>2.189781E-2</v>
      </c>
      <c r="G76" s="19">
        <f t="shared" si="33"/>
        <v>1.1678930349960002</v>
      </c>
      <c r="H76" s="19">
        <f t="shared" si="61"/>
        <v>0.58047430890808993</v>
      </c>
      <c r="I76" s="19">
        <f t="shared" si="34"/>
        <v>0.89092332031610333</v>
      </c>
      <c r="J76" s="20">
        <f t="shared" si="35"/>
        <v>38000</v>
      </c>
      <c r="K76" s="20">
        <f t="shared" si="36"/>
        <v>42652.379989915898</v>
      </c>
      <c r="L76" s="17">
        <f t="shared" si="37"/>
        <v>0</v>
      </c>
      <c r="M76" s="20">
        <f t="shared" si="38"/>
        <v>38000</v>
      </c>
      <c r="N76" s="20">
        <f t="shared" si="62"/>
        <v>709816.36481122416</v>
      </c>
      <c r="O76" s="20">
        <f t="shared" si="39"/>
        <v>26924.160977169948</v>
      </c>
      <c r="P76" s="20">
        <f t="shared" si="40"/>
        <v>30220.514339682053</v>
      </c>
      <c r="Q76" s="17">
        <f t="shared" si="41"/>
        <v>0</v>
      </c>
      <c r="R76" s="20">
        <f t="shared" si="42"/>
        <v>26924.160977169948</v>
      </c>
      <c r="S76" s="20">
        <f t="shared" si="63"/>
        <v>744970.08630347194</v>
      </c>
      <c r="T76" s="20">
        <f t="shared" si="43"/>
        <v>34200</v>
      </c>
      <c r="U76" s="20">
        <f t="shared" si="44"/>
        <v>38387.141990924312</v>
      </c>
      <c r="V76" s="17">
        <f t="shared" si="45"/>
        <v>0</v>
      </c>
      <c r="W76" s="20">
        <f t="shared" si="46"/>
        <v>34200</v>
      </c>
      <c r="X76" s="20">
        <f t="shared" si="64"/>
        <v>724223.96465482318</v>
      </c>
      <c r="Y76" s="18">
        <f t="shared" si="47"/>
        <v>4.0028977561376029E-2</v>
      </c>
      <c r="Z76" s="20">
        <f t="shared" si="48"/>
        <v>26810.941565105903</v>
      </c>
      <c r="AA76" s="20">
        <f t="shared" si="49"/>
        <v>30093.433355850724</v>
      </c>
      <c r="AB76" s="17">
        <f t="shared" si="50"/>
        <v>0</v>
      </c>
      <c r="AC76" s="20">
        <f t="shared" si="51"/>
        <v>26810.941565105903</v>
      </c>
      <c r="AD76" s="20">
        <f t="shared" si="65"/>
        <v>751791.20700019796</v>
      </c>
      <c r="AE76" s="20">
        <f t="shared" si="66"/>
        <v>29258.554215942619</v>
      </c>
      <c r="AF76" s="18">
        <f t="shared" si="52"/>
        <v>4.512010064818036E-2</v>
      </c>
      <c r="AG76" s="20">
        <f t="shared" si="53"/>
        <v>29258.554215942619</v>
      </c>
      <c r="AH76" s="20">
        <f t="shared" si="54"/>
        <v>32840.709799314223</v>
      </c>
      <c r="AI76" s="17">
        <f t="shared" si="55"/>
        <v>0</v>
      </c>
      <c r="AJ76" s="20">
        <f t="shared" si="56"/>
        <v>29258.554215942619</v>
      </c>
      <c r="AK76" s="20">
        <f t="shared" si="67"/>
        <v>727850.98719939694</v>
      </c>
      <c r="AL76" s="20">
        <f t="shared" si="68"/>
        <v>33481.636347656247</v>
      </c>
      <c r="AM76" s="20">
        <f t="shared" si="57"/>
        <v>37580.828320642482</v>
      </c>
      <c r="AN76" s="17">
        <f t="shared" si="58"/>
        <v>0</v>
      </c>
      <c r="AO76" s="20">
        <f t="shared" si="59"/>
        <v>33481.636347656247</v>
      </c>
      <c r="AP76" s="20">
        <f t="shared" si="69"/>
        <v>720505.24512530805</v>
      </c>
      <c r="AQ76" s="18">
        <f t="shared" si="70"/>
        <v>0</v>
      </c>
      <c r="AR76" s="18">
        <f t="shared" si="71"/>
        <v>-1.3204566797593298E-3</v>
      </c>
      <c r="AS76" s="18">
        <f t="shared" si="72"/>
        <v>0</v>
      </c>
      <c r="AT76" s="18">
        <f t="shared" si="73"/>
        <v>1.0587354695697382E-2</v>
      </c>
      <c r="AU76" s="18">
        <f t="shared" si="74"/>
        <v>0</v>
      </c>
      <c r="AV76" s="18">
        <f t="shared" si="75"/>
        <v>-2.4999999999999911E-2</v>
      </c>
    </row>
    <row r="77" spans="1:48">
      <c r="A77" s="17">
        <f t="shared" si="60"/>
        <v>7</v>
      </c>
      <c r="B77" s="17">
        <f t="shared" si="31"/>
        <v>57</v>
      </c>
      <c r="C77" s="17">
        <f t="shared" si="32"/>
        <v>2006</v>
      </c>
      <c r="D77" s="17">
        <f>IF(COUNTIFS('5 - Dati'!$A$6:$A$186,Serie,'5 - Dati'!$B$6:$B$186,C77)&gt;0,1,0)</f>
        <v>1</v>
      </c>
      <c r="E77" s="18">
        <f>IF(D77=1,SUMIFS('5 - Dati'!$F$6:$F$186,'5 - Dati'!$A$6:$A$186,Serie,'5 - Dati'!$B$6:$B$186,C77),(1+Rend_c)*(1+Infl_c)-1)</f>
        <v>4.8259824E-2</v>
      </c>
      <c r="F77" s="18">
        <f>IF(D77=1,SUMIFS('5 - Dati'!$E$6:$E$186,'5 - Dati'!$A$6:$A$186,Serie,'5 - Dati'!$B$6:$B$186,C77),Infl_c)</f>
        <v>1.9047620000000001E-2</v>
      </c>
      <c r="G77" s="19">
        <f t="shared" si="33"/>
        <v>1.046163304352</v>
      </c>
      <c r="H77" s="19">
        <f t="shared" si="61"/>
        <v>0.49702694640188344</v>
      </c>
      <c r="I77" s="19">
        <f t="shared" si="34"/>
        <v>0.86922700606448977</v>
      </c>
      <c r="J77" s="20">
        <f t="shared" si="35"/>
        <v>38000</v>
      </c>
      <c r="K77" s="20">
        <f t="shared" si="36"/>
        <v>43717.00342359209</v>
      </c>
      <c r="L77" s="17">
        <f t="shared" si="37"/>
        <v>0</v>
      </c>
      <c r="M77" s="20">
        <f t="shared" si="38"/>
        <v>38000</v>
      </c>
      <c r="N77" s="20">
        <f t="shared" si="62"/>
        <v>762479.53899909346</v>
      </c>
      <c r="O77" s="20">
        <f t="shared" si="39"/>
        <v>28803.531089012395</v>
      </c>
      <c r="P77" s="20">
        <f t="shared" si="40"/>
        <v>33136.949137628842</v>
      </c>
      <c r="Q77" s="17">
        <f t="shared" si="41"/>
        <v>0</v>
      </c>
      <c r="R77" s="20">
        <f t="shared" si="42"/>
        <v>28803.531089012395</v>
      </c>
      <c r="S77" s="20">
        <f t="shared" si="63"/>
        <v>816863.5246051487</v>
      </c>
      <c r="T77" s="20">
        <f t="shared" si="43"/>
        <v>34200</v>
      </c>
      <c r="U77" s="20">
        <f t="shared" si="44"/>
        <v>39345.30308123288</v>
      </c>
      <c r="V77" s="17">
        <f t="shared" si="45"/>
        <v>0</v>
      </c>
      <c r="W77" s="20">
        <f t="shared" si="46"/>
        <v>34200</v>
      </c>
      <c r="X77" s="20">
        <f t="shared" si="64"/>
        <v>783820.10460806673</v>
      </c>
      <c r="Y77" s="18">
        <f t="shared" si="47"/>
        <v>4.0483602215742313E-2</v>
      </c>
      <c r="Z77" s="20">
        <f t="shared" si="48"/>
        <v>29024.404998050806</v>
      </c>
      <c r="AA77" s="20">
        <f t="shared" si="49"/>
        <v>33391.052964934483</v>
      </c>
      <c r="AB77" s="17">
        <f t="shared" si="50"/>
        <v>0</v>
      </c>
      <c r="AC77" s="20">
        <f t="shared" si="51"/>
        <v>29024.404998050806</v>
      </c>
      <c r="AD77" s="20">
        <f t="shared" si="65"/>
        <v>824804.3933192821</v>
      </c>
      <c r="AE77" s="20">
        <f t="shared" si="66"/>
        <v>29258.554215942619</v>
      </c>
      <c r="AF77" s="18">
        <f t="shared" si="52"/>
        <v>4.2377255257067127E-2</v>
      </c>
      <c r="AG77" s="20">
        <f t="shared" si="53"/>
        <v>29258.554215942619</v>
      </c>
      <c r="AH77" s="20">
        <f t="shared" si="54"/>
        <v>33660.429337571528</v>
      </c>
      <c r="AI77" s="17">
        <f t="shared" si="55"/>
        <v>0</v>
      </c>
      <c r="AJ77" s="20">
        <f t="shared" si="56"/>
        <v>29258.554215942615</v>
      </c>
      <c r="AK77" s="20">
        <f t="shared" si="67"/>
        <v>794304.14106298413</v>
      </c>
      <c r="AL77" s="20">
        <f t="shared" si="68"/>
        <v>32644.59543896484</v>
      </c>
      <c r="AM77" s="20">
        <f t="shared" si="57"/>
        <v>37555.891857026436</v>
      </c>
      <c r="AN77" s="17">
        <f t="shared" si="58"/>
        <v>0</v>
      </c>
      <c r="AO77" s="20">
        <f t="shared" si="59"/>
        <v>32644.59543896484</v>
      </c>
      <c r="AP77" s="20">
        <f t="shared" si="69"/>
        <v>780491.61277180375</v>
      </c>
      <c r="AQ77" s="18">
        <f t="shared" si="70"/>
        <v>0</v>
      </c>
      <c r="AR77" s="18">
        <f t="shared" si="71"/>
        <v>6.9802364999824507E-2</v>
      </c>
      <c r="AS77" s="18">
        <f t="shared" si="72"/>
        <v>0</v>
      </c>
      <c r="AT77" s="18">
        <f t="shared" si="73"/>
        <v>8.2558213316376028E-2</v>
      </c>
      <c r="AU77" s="18">
        <f t="shared" si="74"/>
        <v>-1.1102230246251565E-16</v>
      </c>
      <c r="AV77" s="18">
        <f t="shared" si="75"/>
        <v>-2.5000000000000022E-2</v>
      </c>
    </row>
    <row r="78" spans="1:48">
      <c r="A78" s="17">
        <f t="shared" si="60"/>
        <v>8</v>
      </c>
      <c r="B78" s="17">
        <f t="shared" si="31"/>
        <v>58</v>
      </c>
      <c r="C78" s="17">
        <f t="shared" si="32"/>
        <v>2007</v>
      </c>
      <c r="D78" s="17">
        <f>IF(COUNTIFS('5 - Dati'!$A$6:$A$186,Serie,'5 - Dati'!$B$6:$B$186,C78)&gt;0,1,0)</f>
        <v>1</v>
      </c>
      <c r="E78" s="18">
        <f>IF(D78=1,SUMIFS('5 - Dati'!$F$6:$F$186,'5 - Dati'!$A$6:$A$186,Serie,'5 - Dati'!$B$6:$B$186,C78),(1+Rend_c)*(1+Infl_c)-1)</f>
        <v>-5.6818347999999998E-2</v>
      </c>
      <c r="F78" s="18">
        <f>IF(D78=1,SUMIFS('5 - Dati'!$E$6:$E$186,'5 - Dati'!$A$6:$A$186,Serie,'5 - Dati'!$B$6:$B$186,C78),Infl_c)</f>
        <v>3.1542059999999997E-2</v>
      </c>
      <c r="G78" s="19">
        <f t="shared" si="33"/>
        <v>0.94129528869599999</v>
      </c>
      <c r="H78" s="19">
        <f t="shared" si="61"/>
        <v>0.47509499170375219</v>
      </c>
      <c r="I78" s="19">
        <f t="shared" si="34"/>
        <v>0.86352469784297559</v>
      </c>
      <c r="J78" s="20">
        <f t="shared" si="35"/>
        <v>38000</v>
      </c>
      <c r="K78" s="20">
        <f t="shared" si="36"/>
        <v>44005.689813992984</v>
      </c>
      <c r="L78" s="17">
        <f t="shared" si="37"/>
        <v>0</v>
      </c>
      <c r="M78" s="20">
        <f t="shared" si="38"/>
        <v>38000</v>
      </c>
      <c r="N78" s="20">
        <f t="shared" si="62"/>
        <v>737887.97942738771</v>
      </c>
      <c r="O78" s="20">
        <f t="shared" si="39"/>
        <v>28184.306796437901</v>
      </c>
      <c r="P78" s="20">
        <f t="shared" si="40"/>
        <v>32638.680592275279</v>
      </c>
      <c r="Q78" s="17">
        <f t="shared" si="41"/>
        <v>0</v>
      </c>
      <c r="R78" s="20">
        <f t="shared" si="42"/>
        <v>28184.306796437901</v>
      </c>
      <c r="S78" s="20">
        <f t="shared" si="63"/>
        <v>804580.63765418308</v>
      </c>
      <c r="T78" s="20">
        <f t="shared" si="43"/>
        <v>34200</v>
      </c>
      <c r="U78" s="20">
        <f t="shared" si="44"/>
        <v>39605.120832593682</v>
      </c>
      <c r="V78" s="17">
        <f t="shared" si="45"/>
        <v>0</v>
      </c>
      <c r="W78" s="20">
        <f t="shared" si="46"/>
        <v>34200</v>
      </c>
      <c r="X78" s="20">
        <f t="shared" si="64"/>
        <v>764284.41918358218</v>
      </c>
      <c r="Y78" s="18">
        <f t="shared" si="47"/>
        <v>4.0962789444126839E-2</v>
      </c>
      <c r="Z78" s="20">
        <f t="shared" si="48"/>
        <v>28739.066454986187</v>
      </c>
      <c r="AA78" s="20">
        <f t="shared" si="49"/>
        <v>33281.116946364556</v>
      </c>
      <c r="AB78" s="17">
        <f t="shared" si="50"/>
        <v>0</v>
      </c>
      <c r="AC78" s="20">
        <f t="shared" si="51"/>
        <v>28739.066454986187</v>
      </c>
      <c r="AD78" s="20">
        <f t="shared" si="65"/>
        <v>812471.93850799464</v>
      </c>
      <c r="AE78" s="20">
        <f t="shared" si="66"/>
        <v>29258.554215942619</v>
      </c>
      <c r="AF78" s="18">
        <f t="shared" si="52"/>
        <v>4.3390216381342328E-2</v>
      </c>
      <c r="AG78" s="20">
        <f t="shared" si="53"/>
        <v>29258.554215942619</v>
      </c>
      <c r="AH78" s="20">
        <f t="shared" si="54"/>
        <v>33882.706874543881</v>
      </c>
      <c r="AI78" s="17">
        <f t="shared" si="55"/>
        <v>0</v>
      </c>
      <c r="AJ78" s="20">
        <f t="shared" si="56"/>
        <v>29258.554215942615</v>
      </c>
      <c r="AK78" s="20">
        <f t="shared" si="67"/>
        <v>780883.56547383696</v>
      </c>
      <c r="AL78" s="20">
        <f t="shared" si="68"/>
        <v>31828.480552990717</v>
      </c>
      <c r="AM78" s="20">
        <f t="shared" si="57"/>
        <v>36858.795854358352</v>
      </c>
      <c r="AN78" s="17">
        <f t="shared" si="58"/>
        <v>0</v>
      </c>
      <c r="AO78" s="20">
        <f t="shared" si="59"/>
        <v>31828.480552990717</v>
      </c>
      <c r="AP78" s="20">
        <f t="shared" si="69"/>
        <v>762704.38540775818</v>
      </c>
      <c r="AQ78" s="18">
        <f t="shared" si="70"/>
        <v>0</v>
      </c>
      <c r="AR78" s="18">
        <f t="shared" si="71"/>
        <v>-2.1498207655890722E-2</v>
      </c>
      <c r="AS78" s="18">
        <f t="shared" si="72"/>
        <v>0</v>
      </c>
      <c r="AT78" s="18">
        <f t="shared" si="73"/>
        <v>-9.8309868224268904E-3</v>
      </c>
      <c r="AU78" s="18">
        <f t="shared" si="74"/>
        <v>0</v>
      </c>
      <c r="AV78" s="18">
        <f t="shared" si="75"/>
        <v>-2.5000000000000022E-2</v>
      </c>
    </row>
    <row r="79" spans="1:48">
      <c r="A79" s="17">
        <f t="shared" si="60"/>
        <v>9</v>
      </c>
      <c r="B79" s="17">
        <f t="shared" si="31"/>
        <v>59</v>
      </c>
      <c r="C79" s="17">
        <f t="shared" si="32"/>
        <v>2008</v>
      </c>
      <c r="D79" s="17">
        <f>IF(COUNTIFS('5 - Dati'!$A$6:$A$186,Serie,'5 - Dati'!$B$6:$B$186,C79)&gt;0,1,0)</f>
        <v>1</v>
      </c>
      <c r="E79" s="18">
        <f>IF(D79=1,SUMIFS('5 - Dati'!$F$6:$F$186,'5 - Dati'!$A$6:$A$186,Serie,'5 - Dati'!$B$6:$B$186,C79),(1+Rend_c)*(1+Infl_c)-1)</f>
        <v>-0.16201672199999997</v>
      </c>
      <c r="F79" s="18">
        <f>IF(D79=1,SUMIFS('5 - Dati'!$E$6:$E$186,'5 - Dati'!$A$6:$A$186,Serie,'5 - Dati'!$B$6:$B$186,C79),Infl_c)</f>
        <v>1.3590039999999999E-2</v>
      </c>
      <c r="G79" s="19">
        <f t="shared" si="33"/>
        <v>0.83630731144400006</v>
      </c>
      <c r="H79" s="19">
        <f t="shared" si="61"/>
        <v>0.50472471009805353</v>
      </c>
      <c r="I79" s="19">
        <f t="shared" si="34"/>
        <v>0.87122842462549388</v>
      </c>
      <c r="J79" s="20">
        <f t="shared" si="35"/>
        <v>38000</v>
      </c>
      <c r="K79" s="20">
        <f t="shared" si="36"/>
        <v>43616.575086303768</v>
      </c>
      <c r="L79" s="17">
        <f t="shared" si="37"/>
        <v>0</v>
      </c>
      <c r="M79" s="20">
        <f t="shared" si="38"/>
        <v>38000</v>
      </c>
      <c r="N79" s="20">
        <f t="shared" si="62"/>
        <v>633176.44083526928</v>
      </c>
      <c r="O79" s="20">
        <f t="shared" si="39"/>
        <v>24895.373398090185</v>
      </c>
      <c r="P79" s="20">
        <f t="shared" si="40"/>
        <v>28575.024292615002</v>
      </c>
      <c r="Q79" s="17">
        <f t="shared" si="41"/>
        <v>0</v>
      </c>
      <c r="R79" s="20">
        <f t="shared" si="42"/>
        <v>24895.373398090185</v>
      </c>
      <c r="S79" s="20">
        <f t="shared" si="63"/>
        <v>704406.88315621729</v>
      </c>
      <c r="T79" s="20">
        <f t="shared" si="43"/>
        <v>34200</v>
      </c>
      <c r="U79" s="20">
        <f t="shared" si="44"/>
        <v>39254.917577673397</v>
      </c>
      <c r="V79" s="17">
        <f t="shared" si="45"/>
        <v>0</v>
      </c>
      <c r="W79" s="20">
        <f t="shared" si="46"/>
        <v>34200</v>
      </c>
      <c r="X79" s="20">
        <f t="shared" si="64"/>
        <v>661279.10417274537</v>
      </c>
      <c r="Y79" s="18">
        <f t="shared" si="47"/>
        <v>4.1468358111352514E-2</v>
      </c>
      <c r="Z79" s="20">
        <f t="shared" si="48"/>
        <v>25688.080242342337</v>
      </c>
      <c r="AA79" s="20">
        <f t="shared" si="49"/>
        <v>29484.896860871606</v>
      </c>
      <c r="AB79" s="17">
        <f t="shared" si="50"/>
        <v>0</v>
      </c>
      <c r="AC79" s="20">
        <f t="shared" si="51"/>
        <v>25688.080242342337</v>
      </c>
      <c r="AD79" s="20">
        <f t="shared" si="65"/>
        <v>711021.56448291405</v>
      </c>
      <c r="AE79" s="20">
        <f t="shared" si="66"/>
        <v>28363.898429834862</v>
      </c>
      <c r="AF79" s="18">
        <f t="shared" si="52"/>
        <v>4.7761047129341462E-2</v>
      </c>
      <c r="AG79" s="20">
        <f t="shared" si="53"/>
        <v>28363.898429834862</v>
      </c>
      <c r="AH79" s="20">
        <f t="shared" si="54"/>
        <v>32556.213305399629</v>
      </c>
      <c r="AI79" s="17">
        <f t="shared" si="55"/>
        <v>0</v>
      </c>
      <c r="AJ79" s="20">
        <f t="shared" si="56"/>
        <v>28363.898429834862</v>
      </c>
      <c r="AK79" s="20">
        <f t="shared" si="67"/>
        <v>681647.8126460315</v>
      </c>
      <c r="AL79" s="20">
        <f t="shared" si="68"/>
        <v>31032.768539165947</v>
      </c>
      <c r="AM79" s="20">
        <f t="shared" si="57"/>
        <v>35619.554713800448</v>
      </c>
      <c r="AN79" s="17">
        <f t="shared" si="58"/>
        <v>0</v>
      </c>
      <c r="AO79" s="20">
        <f t="shared" si="59"/>
        <v>31032.768539165947</v>
      </c>
      <c r="AP79" s="20">
        <f t="shared" si="69"/>
        <v>662343.35977282957</v>
      </c>
      <c r="AQ79" s="18">
        <f t="shared" si="70"/>
        <v>0</v>
      </c>
      <c r="AR79" s="18">
        <f t="shared" si="71"/>
        <v>-0.11669378360454796</v>
      </c>
      <c r="AS79" s="18">
        <f t="shared" si="72"/>
        <v>0</v>
      </c>
      <c r="AT79" s="18">
        <f t="shared" si="73"/>
        <v>-0.10616163254372191</v>
      </c>
      <c r="AU79" s="18">
        <f t="shared" si="74"/>
        <v>-3.0577580132796434E-2</v>
      </c>
      <c r="AV79" s="18">
        <f t="shared" si="75"/>
        <v>-2.5000000000000022E-2</v>
      </c>
    </row>
    <row r="80" spans="1:48">
      <c r="A80" s="17">
        <f t="shared" si="60"/>
        <v>10</v>
      </c>
      <c r="B80" s="17">
        <f t="shared" si="31"/>
        <v>60</v>
      </c>
      <c r="C80" s="17">
        <f t="shared" si="32"/>
        <v>2009</v>
      </c>
      <c r="D80" s="17">
        <f>IF(COUNTIFS('5 - Dati'!$A$6:$A$186,Serie,'5 - Dati'!$B$6:$B$186,C80)&gt;0,1,0)</f>
        <v>1</v>
      </c>
      <c r="E80" s="18">
        <f>IF(D80=1,SUMIFS('5 - Dati'!$F$6:$F$186,'5 - Dati'!$A$6:$A$186,Serie,'5 - Dati'!$B$6:$B$186,C80),(1+Rend_c)*(1+Infl_c)-1)</f>
        <v>0.17647118800000003</v>
      </c>
      <c r="F80" s="18">
        <f>IF(D80=1,SUMIFS('5 - Dati'!$E$6:$E$186,'5 - Dati'!$A$6:$A$186,Serie,'5 - Dati'!$B$6:$B$186,C80),Infl_c)</f>
        <v>1.3407820000000001E-2</v>
      </c>
      <c r="G80" s="19">
        <f t="shared" si="33"/>
        <v>1.174118245624</v>
      </c>
      <c r="H80" s="19">
        <f t="shared" si="61"/>
        <v>0.60351584063826569</v>
      </c>
      <c r="I80" s="19">
        <f t="shared" si="34"/>
        <v>0.89691411856594905</v>
      </c>
      <c r="J80" s="20">
        <f t="shared" si="35"/>
        <v>38000</v>
      </c>
      <c r="K80" s="20">
        <f t="shared" si="36"/>
        <v>42367.490056636794</v>
      </c>
      <c r="L80" s="17">
        <f t="shared" si="37"/>
        <v>0</v>
      </c>
      <c r="M80" s="20">
        <f t="shared" si="38"/>
        <v>38000</v>
      </c>
      <c r="N80" s="20">
        <f t="shared" si="62"/>
        <v>486442.45385422593</v>
      </c>
      <c r="O80" s="20">
        <f t="shared" si="39"/>
        <v>20288.787693574683</v>
      </c>
      <c r="P80" s="20">
        <f t="shared" si="40"/>
        <v>22620.658180756323</v>
      </c>
      <c r="Q80" s="17">
        <f t="shared" si="41"/>
        <v>0</v>
      </c>
      <c r="R80" s="20">
        <f t="shared" si="42"/>
        <v>20288.787693574683</v>
      </c>
      <c r="S80" s="20">
        <f t="shared" si="63"/>
        <v>557624.97910340573</v>
      </c>
      <c r="T80" s="20">
        <f t="shared" si="43"/>
        <v>34200</v>
      </c>
      <c r="U80" s="20">
        <f t="shared" si="44"/>
        <v>38130.741050973113</v>
      </c>
      <c r="V80" s="17">
        <f t="shared" si="45"/>
        <v>0</v>
      </c>
      <c r="W80" s="20">
        <f t="shared" si="46"/>
        <v>34200</v>
      </c>
      <c r="X80" s="20">
        <f t="shared" si="64"/>
        <v>513228.57823708054</v>
      </c>
      <c r="Y80" s="18">
        <f t="shared" si="47"/>
        <v>4.2002308631517375E-2</v>
      </c>
      <c r="Z80" s="20">
        <f t="shared" si="48"/>
        <v>21184.431211600349</v>
      </c>
      <c r="AA80" s="20">
        <f t="shared" si="49"/>
        <v>23619.241545078523</v>
      </c>
      <c r="AB80" s="17">
        <f t="shared" si="50"/>
        <v>0</v>
      </c>
      <c r="AC80" s="20">
        <f t="shared" si="51"/>
        <v>21184.431211600349</v>
      </c>
      <c r="AD80" s="20">
        <f t="shared" si="65"/>
        <v>562331.98399373924</v>
      </c>
      <c r="AE80" s="20">
        <f t="shared" si="66"/>
        <v>27983.600183990427</v>
      </c>
      <c r="AF80" s="18">
        <f t="shared" si="52"/>
        <v>5.825633768629998E-2</v>
      </c>
      <c r="AG80" s="20">
        <f t="shared" si="53"/>
        <v>25185.240165591385</v>
      </c>
      <c r="AH80" s="20">
        <f t="shared" si="54"/>
        <v>28079.879270781646</v>
      </c>
      <c r="AI80" s="17">
        <f t="shared" si="55"/>
        <v>0</v>
      </c>
      <c r="AJ80" s="20">
        <f t="shared" si="56"/>
        <v>25185.240165591385</v>
      </c>
      <c r="AK80" s="20">
        <f t="shared" si="67"/>
        <v>535561.74479126686</v>
      </c>
      <c r="AL80" s="20">
        <f t="shared" si="68"/>
        <v>30256.949325686797</v>
      </c>
      <c r="AM80" s="20">
        <f t="shared" si="57"/>
        <v>33734.49999211049</v>
      </c>
      <c r="AN80" s="17">
        <f t="shared" si="58"/>
        <v>0</v>
      </c>
      <c r="AO80" s="20">
        <f t="shared" si="59"/>
        <v>30256.949325686794</v>
      </c>
      <c r="AP80" s="20">
        <f t="shared" si="69"/>
        <v>517106.2063976776</v>
      </c>
      <c r="AQ80" s="18">
        <f t="shared" si="70"/>
        <v>0</v>
      </c>
      <c r="AR80" s="18">
        <f t="shared" si="71"/>
        <v>-0.18503782332780316</v>
      </c>
      <c r="AS80" s="18">
        <f t="shared" si="72"/>
        <v>0</v>
      </c>
      <c r="AT80" s="18">
        <f t="shared" si="73"/>
        <v>-0.17532057624604058</v>
      </c>
      <c r="AU80" s="18">
        <f t="shared" si="74"/>
        <v>-0.11206704438413773</v>
      </c>
      <c r="AV80" s="18">
        <f t="shared" si="75"/>
        <v>-2.5000000000000133E-2</v>
      </c>
    </row>
    <row r="81" spans="1:48">
      <c r="A81" s="17">
        <f t="shared" si="60"/>
        <v>11</v>
      </c>
      <c r="B81" s="17">
        <f t="shared" si="31"/>
        <v>61</v>
      </c>
      <c r="C81" s="17">
        <f t="shared" si="32"/>
        <v>2010</v>
      </c>
      <c r="D81" s="17">
        <f>IF(COUNTIFS('5 - Dati'!$A$6:$A$186,Serie,'5 - Dati'!$B$6:$B$186,C81)&gt;0,1,0)</f>
        <v>1</v>
      </c>
      <c r="E81" s="18">
        <f>IF(D81=1,SUMIFS('5 - Dati'!$F$6:$F$186,'5 - Dati'!$A$6:$A$186,Serie,'5 - Dati'!$B$6:$B$186,C81),(1+Rend_c)*(1+Infl_c)-1)</f>
        <v>0.140113824</v>
      </c>
      <c r="F81" s="18">
        <f>IF(D81=1,SUMIFS('5 - Dati'!$E$6:$E$186,'5 - Dati'!$A$6:$A$186,Serie,'5 - Dati'!$B$6:$B$186,C81),Infl_c)</f>
        <v>1.9845640000000001E-2</v>
      </c>
      <c r="G81" s="19">
        <f t="shared" si="33"/>
        <v>1.1378335963519999</v>
      </c>
      <c r="H81" s="19">
        <f t="shared" si="61"/>
        <v>0.51401623549212416</v>
      </c>
      <c r="I81" s="19">
        <f t="shared" si="34"/>
        <v>0.87364422122795227</v>
      </c>
      <c r="J81" s="20">
        <f t="shared" si="35"/>
        <v>38000</v>
      </c>
      <c r="K81" s="20">
        <f t="shared" si="36"/>
        <v>43495.96675244876</v>
      </c>
      <c r="L81" s="17">
        <f t="shared" si="37"/>
        <v>0</v>
      </c>
      <c r="M81" s="20">
        <f t="shared" si="38"/>
        <v>38000</v>
      </c>
      <c r="N81" s="20">
        <f t="shared" si="62"/>
        <v>514498.21792332985</v>
      </c>
      <c r="O81" s="20">
        <f t="shared" si="39"/>
        <v>21967.594390460341</v>
      </c>
      <c r="P81" s="20">
        <f t="shared" si="40"/>
        <v>25144.783032598498</v>
      </c>
      <c r="Q81" s="17">
        <f t="shared" si="41"/>
        <v>0</v>
      </c>
      <c r="R81" s="20">
        <f t="shared" si="42"/>
        <v>21967.594390460341</v>
      </c>
      <c r="S81" s="20">
        <f t="shared" si="63"/>
        <v>619847.53056569118</v>
      </c>
      <c r="T81" s="20">
        <f t="shared" si="43"/>
        <v>34200</v>
      </c>
      <c r="U81" s="20">
        <f t="shared" si="44"/>
        <v>39146.370077203886</v>
      </c>
      <c r="V81" s="17">
        <f t="shared" si="45"/>
        <v>0</v>
      </c>
      <c r="W81" s="20">
        <f t="shared" si="46"/>
        <v>34200</v>
      </c>
      <c r="X81" s="20">
        <f t="shared" si="64"/>
        <v>550440.8275601319</v>
      </c>
      <c r="Y81" s="18">
        <f t="shared" si="47"/>
        <v>4.2566846231849385E-2</v>
      </c>
      <c r="Z81" s="20">
        <f t="shared" si="48"/>
        <v>23210.843171534325</v>
      </c>
      <c r="AA81" s="20">
        <f t="shared" si="49"/>
        <v>26567.843760141033</v>
      </c>
      <c r="AB81" s="17">
        <f t="shared" si="50"/>
        <v>0</v>
      </c>
      <c r="AC81" s="20">
        <f t="shared" si="51"/>
        <v>23210.843171534325</v>
      </c>
      <c r="AD81" s="20">
        <f t="shared" si="65"/>
        <v>624144.04899610416</v>
      </c>
      <c r="AE81" s="20">
        <f t="shared" si="66"/>
        <v>25185.240165591385</v>
      </c>
      <c r="AF81" s="18">
        <f t="shared" si="52"/>
        <v>4.903016723919721E-2</v>
      </c>
      <c r="AG81" s="20">
        <f t="shared" si="53"/>
        <v>22666.716149032247</v>
      </c>
      <c r="AH81" s="20">
        <f t="shared" si="54"/>
        <v>25945.019263302631</v>
      </c>
      <c r="AI81" s="17">
        <f t="shared" si="55"/>
        <v>0</v>
      </c>
      <c r="AJ81" s="20">
        <f t="shared" si="56"/>
        <v>22666.716149032247</v>
      </c>
      <c r="AK81" s="20">
        <f t="shared" si="67"/>
        <v>587960.44975349295</v>
      </c>
      <c r="AL81" s="20">
        <f t="shared" si="68"/>
        <v>29500.525592544625</v>
      </c>
      <c r="AM81" s="20">
        <f t="shared" si="57"/>
        <v>33767.207377712759</v>
      </c>
      <c r="AN81" s="17">
        <f t="shared" si="58"/>
        <v>0</v>
      </c>
      <c r="AO81" s="20">
        <f t="shared" si="59"/>
        <v>29500.525592544629</v>
      </c>
      <c r="AP81" s="20">
        <f t="shared" si="69"/>
        <v>560026.80136135477</v>
      </c>
      <c r="AQ81" s="18">
        <f t="shared" si="70"/>
        <v>0</v>
      </c>
      <c r="AR81" s="18">
        <f t="shared" si="71"/>
        <v>8.2745540159470776E-2</v>
      </c>
      <c r="AS81" s="18">
        <f t="shared" si="72"/>
        <v>0</v>
      </c>
      <c r="AT81" s="18">
        <f t="shared" si="73"/>
        <v>9.5655717148749098E-2</v>
      </c>
      <c r="AU81" s="18">
        <f t="shared" si="74"/>
        <v>-9.9999999999999978E-2</v>
      </c>
      <c r="AV81" s="18">
        <f t="shared" si="75"/>
        <v>-2.49999999999998E-2</v>
      </c>
    </row>
    <row r="82" spans="1:48">
      <c r="A82" s="17">
        <f t="shared" si="60"/>
        <v>12</v>
      </c>
      <c r="B82" s="17">
        <f t="shared" si="31"/>
        <v>62</v>
      </c>
      <c r="C82" s="17">
        <f t="shared" si="32"/>
        <v>2011</v>
      </c>
      <c r="D82" s="17">
        <f>IF(COUNTIFS('5 - Dati'!$A$6:$A$186,Serie,'5 - Dati'!$B$6:$B$186,C82)&gt;0,1,0)</f>
        <v>1</v>
      </c>
      <c r="E82" s="18">
        <f>IF(D82=1,SUMIFS('5 - Dati'!$F$6:$F$186,'5 - Dati'!$A$6:$A$186,Serie,'5 - Dati'!$B$6:$B$186,C82),(1+Rend_c)*(1+Infl_c)-1)</f>
        <v>7.1929896000000007E-2</v>
      </c>
      <c r="F82" s="18">
        <f>IF(D82=1,SUMIFS('5 - Dati'!$E$6:$E$186,'5 - Dati'!$A$6:$A$186,Serie,'5 - Dati'!$B$6:$B$186,C82),Infl_c)</f>
        <v>3.3513519999999998E-2</v>
      </c>
      <c r="G82" s="19">
        <f t="shared" si="33"/>
        <v>1.0697860362080001</v>
      </c>
      <c r="H82" s="19">
        <f t="shared" si="61"/>
        <v>0.45174991944350029</v>
      </c>
      <c r="I82" s="19">
        <f t="shared" si="34"/>
        <v>0.8574549790553101</v>
      </c>
      <c r="J82" s="20">
        <f t="shared" si="35"/>
        <v>38000</v>
      </c>
      <c r="K82" s="20">
        <f t="shared" si="36"/>
        <v>44317.195570857853</v>
      </c>
      <c r="L82" s="17">
        <f t="shared" si="37"/>
        <v>0</v>
      </c>
      <c r="M82" s="20">
        <f t="shared" si="38"/>
        <v>38000</v>
      </c>
      <c r="N82" s="20">
        <f t="shared" si="62"/>
        <v>525493.43186842627</v>
      </c>
      <c r="O82" s="20">
        <f t="shared" si="39"/>
        <v>23079.085603563432</v>
      </c>
      <c r="P82" s="20">
        <f t="shared" si="40"/>
        <v>26915.798691833959</v>
      </c>
      <c r="Q82" s="17">
        <f t="shared" si="41"/>
        <v>0</v>
      </c>
      <c r="R82" s="20">
        <f t="shared" si="42"/>
        <v>23079.085603563432</v>
      </c>
      <c r="S82" s="20">
        <f t="shared" si="63"/>
        <v>663505.08297117823</v>
      </c>
      <c r="T82" s="20">
        <f t="shared" si="43"/>
        <v>34200</v>
      </c>
      <c r="U82" s="20">
        <f t="shared" si="44"/>
        <v>39885.476013772066</v>
      </c>
      <c r="V82" s="17">
        <f t="shared" si="45"/>
        <v>0</v>
      </c>
      <c r="W82" s="20">
        <f t="shared" si="46"/>
        <v>34200</v>
      </c>
      <c r="X82" s="20">
        <f t="shared" si="64"/>
        <v>570447.12310839968</v>
      </c>
      <c r="Y82" s="18">
        <f t="shared" si="47"/>
        <v>4.3164407889890608E-2</v>
      </c>
      <c r="Z82" s="20">
        <f t="shared" si="48"/>
        <v>24675.997623446798</v>
      </c>
      <c r="AA82" s="20">
        <f t="shared" si="49"/>
        <v>28778.184541692506</v>
      </c>
      <c r="AB82" s="17">
        <f t="shared" si="50"/>
        <v>0</v>
      </c>
      <c r="AC82" s="20">
        <f t="shared" si="51"/>
        <v>24675.997623446798</v>
      </c>
      <c r="AD82" s="20">
        <f t="shared" si="65"/>
        <v>666710.97667095647</v>
      </c>
      <c r="AE82" s="20">
        <f t="shared" si="66"/>
        <v>22666.716149032247</v>
      </c>
      <c r="AF82" s="18">
        <f t="shared" si="52"/>
        <v>4.2158459266509588E-2</v>
      </c>
      <c r="AG82" s="20">
        <f t="shared" si="53"/>
        <v>22666.716149032247</v>
      </c>
      <c r="AH82" s="20">
        <f t="shared" si="54"/>
        <v>26434.876119099579</v>
      </c>
      <c r="AI82" s="17">
        <f t="shared" si="55"/>
        <v>0</v>
      </c>
      <c r="AJ82" s="20">
        <f t="shared" si="56"/>
        <v>22666.716149032247</v>
      </c>
      <c r="AK82" s="20">
        <f t="shared" si="67"/>
        <v>627036.10566003958</v>
      </c>
      <c r="AL82" s="20">
        <f t="shared" si="68"/>
        <v>28763.012452731011</v>
      </c>
      <c r="AM82" s="20">
        <f t="shared" si="57"/>
        <v>33544.632844071049</v>
      </c>
      <c r="AN82" s="17">
        <f t="shared" si="58"/>
        <v>0</v>
      </c>
      <c r="AO82" s="20">
        <f t="shared" si="59"/>
        <v>28763.012452731007</v>
      </c>
      <c r="AP82" s="20">
        <f t="shared" si="69"/>
        <v>587143.60580798355</v>
      </c>
      <c r="AQ82" s="18">
        <f t="shared" si="70"/>
        <v>0</v>
      </c>
      <c r="AR82" s="18">
        <f t="shared" si="71"/>
        <v>5.059685613941256E-2</v>
      </c>
      <c r="AS82" s="18">
        <f t="shared" si="72"/>
        <v>0</v>
      </c>
      <c r="AT82" s="18">
        <f t="shared" si="73"/>
        <v>6.3123706497200116E-2</v>
      </c>
      <c r="AU82" s="18">
        <f t="shared" si="74"/>
        <v>0</v>
      </c>
      <c r="AV82" s="18">
        <f t="shared" si="75"/>
        <v>-2.5000000000000244E-2</v>
      </c>
    </row>
    <row r="83" spans="1:48">
      <c r="A83" s="17">
        <f t="shared" si="60"/>
        <v>13</v>
      </c>
      <c r="B83" s="17">
        <f t="shared" si="31"/>
        <v>63</v>
      </c>
      <c r="C83" s="17">
        <f t="shared" si="32"/>
        <v>2012</v>
      </c>
      <c r="D83" s="17">
        <f>IF(COUNTIFS('5 - Dati'!$A$6:$A$186,Serie,'5 - Dati'!$B$6:$B$186,C83)&gt;0,1,0)</f>
        <v>1</v>
      </c>
      <c r="E83" s="18">
        <f>IF(D83=1,SUMIFS('5 - Dati'!$F$6:$F$186,'5 - Dati'!$A$6:$A$186,Serie,'5 - Dati'!$B$6:$B$186,C83),(1+Rend_c)*(1+Infl_c)-1)</f>
        <v>8.9548654000000005E-2</v>
      </c>
      <c r="F83" s="18">
        <f>IF(D83=1,SUMIFS('5 - Dati'!$E$6:$E$186,'5 - Dati'!$A$6:$A$186,Serie,'5 - Dati'!$B$6:$B$186,C83),Infl_c)</f>
        <v>2.405856E-2</v>
      </c>
      <c r="G83" s="19">
        <f t="shared" si="33"/>
        <v>1.0873695566920001</v>
      </c>
      <c r="H83" s="19">
        <f t="shared" si="61"/>
        <v>0.42228062823178025</v>
      </c>
      <c r="I83" s="19">
        <f t="shared" si="34"/>
        <v>0.84979296334026289</v>
      </c>
      <c r="J83" s="20">
        <f t="shared" si="35"/>
        <v>38000</v>
      </c>
      <c r="K83" s="20">
        <f t="shared" si="36"/>
        <v>44716.774131235703</v>
      </c>
      <c r="L83" s="17">
        <f t="shared" si="37"/>
        <v>0</v>
      </c>
      <c r="M83" s="20">
        <f t="shared" si="38"/>
        <v>38000</v>
      </c>
      <c r="N83" s="20">
        <f t="shared" si="62"/>
        <v>498063.74912856455</v>
      </c>
      <c r="O83" s="20">
        <f t="shared" si="39"/>
        <v>22715.18270055325</v>
      </c>
      <c r="P83" s="20">
        <f t="shared" si="40"/>
        <v>26730.25510974717</v>
      </c>
      <c r="Q83" s="17">
        <f t="shared" si="41"/>
        <v>0</v>
      </c>
      <c r="R83" s="20">
        <f t="shared" si="42"/>
        <v>22715.18270055325</v>
      </c>
      <c r="S83" s="20">
        <f t="shared" si="63"/>
        <v>658931.2224204744</v>
      </c>
      <c r="T83" s="20">
        <f t="shared" si="43"/>
        <v>34200</v>
      </c>
      <c r="U83" s="20">
        <f t="shared" si="44"/>
        <v>40245.096718112138</v>
      </c>
      <c r="V83" s="17">
        <f t="shared" si="45"/>
        <v>0</v>
      </c>
      <c r="W83" s="20">
        <f t="shared" si="46"/>
        <v>34200</v>
      </c>
      <c r="X83" s="20">
        <f t="shared" si="64"/>
        <v>549182.405866688</v>
      </c>
      <c r="Y83" s="18">
        <f t="shared" si="47"/>
        <v>4.3797693638976627E-2</v>
      </c>
      <c r="Z83" s="20">
        <f t="shared" si="48"/>
        <v>24576.50156453246</v>
      </c>
      <c r="AA83" s="20">
        <f t="shared" si="49"/>
        <v>28920.575510451552</v>
      </c>
      <c r="AB83" s="17">
        <f t="shared" si="50"/>
        <v>0</v>
      </c>
      <c r="AC83" s="20">
        <f t="shared" si="51"/>
        <v>24576.50156453246</v>
      </c>
      <c r="AD83" s="20">
        <f t="shared" si="65"/>
        <v>660321.88244529918</v>
      </c>
      <c r="AE83" s="20">
        <f t="shared" si="66"/>
        <v>22666.716149032247</v>
      </c>
      <c r="AF83" s="18">
        <f t="shared" si="52"/>
        <v>4.2905058254070316E-2</v>
      </c>
      <c r="AG83" s="20">
        <f t="shared" si="53"/>
        <v>22666.716149032247</v>
      </c>
      <c r="AH83" s="20">
        <f t="shared" si="54"/>
        <v>26673.221745608102</v>
      </c>
      <c r="AI83" s="17">
        <f t="shared" si="55"/>
        <v>0</v>
      </c>
      <c r="AJ83" s="20">
        <f t="shared" si="56"/>
        <v>22666.716149032247</v>
      </c>
      <c r="AK83" s="20">
        <f t="shared" si="67"/>
        <v>621680.11957139499</v>
      </c>
      <c r="AL83" s="20">
        <f t="shared" si="68"/>
        <v>28043.937141412734</v>
      </c>
      <c r="AM83" s="20">
        <f t="shared" si="57"/>
        <v>33000.905339555924</v>
      </c>
      <c r="AN83" s="17">
        <f t="shared" si="58"/>
        <v>0</v>
      </c>
      <c r="AO83" s="20">
        <f t="shared" si="59"/>
        <v>28043.937141412734</v>
      </c>
      <c r="AP83" s="20">
        <f t="shared" si="69"/>
        <v>573028.25698485668</v>
      </c>
      <c r="AQ83" s="18">
        <f t="shared" si="70"/>
        <v>0</v>
      </c>
      <c r="AR83" s="18">
        <f t="shared" si="71"/>
        <v>-1.5767648218870223E-2</v>
      </c>
      <c r="AS83" s="18">
        <f t="shared" si="72"/>
        <v>0</v>
      </c>
      <c r="AT83" s="18">
        <f t="shared" si="73"/>
        <v>-4.0320987395378038E-3</v>
      </c>
      <c r="AU83" s="18">
        <f t="shared" si="74"/>
        <v>0</v>
      </c>
      <c r="AV83" s="18">
        <f t="shared" si="75"/>
        <v>-2.4999999999999911E-2</v>
      </c>
    </row>
    <row r="84" spans="1:48">
      <c r="A84" s="17">
        <f t="shared" si="60"/>
        <v>14</v>
      </c>
      <c r="B84" s="17">
        <f t="shared" si="31"/>
        <v>64</v>
      </c>
      <c r="C84" s="17">
        <f t="shared" si="32"/>
        <v>2013</v>
      </c>
      <c r="D84" s="17">
        <f>IF(COUNTIFS('5 - Dati'!$A$6:$A$186,Serie,'5 - Dati'!$B$6:$B$186,C84)&gt;0,1,0)</f>
        <v>1</v>
      </c>
      <c r="E84" s="18">
        <f>IF(D84=1,SUMIFS('5 - Dati'!$F$6:$F$186,'5 - Dati'!$A$6:$A$186,Serie,'5 - Dati'!$B$6:$B$186,C84),(1+Rend_c)*(1+Infl_c)-1)</f>
        <v>0.10452539399999999</v>
      </c>
      <c r="F84" s="18">
        <f>IF(D84=1,SUMIFS('5 - Dati'!$E$6:$E$186,'5 - Dati'!$A$6:$A$186,Serie,'5 - Dati'!$B$6:$B$186,C84),Infl_c)</f>
        <v>6.1286999999999999E-3</v>
      </c>
      <c r="G84" s="19">
        <f t="shared" si="33"/>
        <v>1.102316343212</v>
      </c>
      <c r="H84" s="19">
        <f t="shared" si="61"/>
        <v>0.38835060778825187</v>
      </c>
      <c r="I84" s="19">
        <f t="shared" si="34"/>
        <v>0.84097115802494549</v>
      </c>
      <c r="J84" s="20">
        <f t="shared" si="35"/>
        <v>38000</v>
      </c>
      <c r="K84" s="20">
        <f t="shared" si="36"/>
        <v>45185.854041944229</v>
      </c>
      <c r="L84" s="17">
        <f t="shared" si="37"/>
        <v>0</v>
      </c>
      <c r="M84" s="20">
        <f t="shared" si="38"/>
        <v>38000</v>
      </c>
      <c r="N84" s="20">
        <f t="shared" si="62"/>
        <v>481374.52142434573</v>
      </c>
      <c r="O84" s="20">
        <f t="shared" si="39"/>
        <v>22900.852648230692</v>
      </c>
      <c r="P84" s="20">
        <f t="shared" si="40"/>
        <v>27231.436452605893</v>
      </c>
      <c r="Q84" s="17">
        <f t="shared" si="41"/>
        <v>0</v>
      </c>
      <c r="R84" s="20">
        <f t="shared" si="42"/>
        <v>22900.852648230692</v>
      </c>
      <c r="S84" s="20">
        <f t="shared" si="63"/>
        <v>671285.91314633319</v>
      </c>
      <c r="T84" s="20">
        <f t="shared" si="43"/>
        <v>34200</v>
      </c>
      <c r="U84" s="20">
        <f t="shared" si="44"/>
        <v>40667.268637749803</v>
      </c>
      <c r="V84" s="17">
        <f t="shared" si="45"/>
        <v>0</v>
      </c>
      <c r="W84" s="20">
        <f t="shared" si="46"/>
        <v>34200</v>
      </c>
      <c r="X84" s="20">
        <f t="shared" si="64"/>
        <v>540401.65069554839</v>
      </c>
      <c r="Y84" s="18">
        <f t="shared" si="47"/>
        <v>4.4469703091414639E-2</v>
      </c>
      <c r="Z84" s="20">
        <f t="shared" si="48"/>
        <v>25072.820151184154</v>
      </c>
      <c r="AA84" s="20">
        <f t="shared" si="49"/>
        <v>29814.126099245401</v>
      </c>
      <c r="AB84" s="17">
        <f t="shared" si="50"/>
        <v>0</v>
      </c>
      <c r="AC84" s="20">
        <f t="shared" si="51"/>
        <v>25072.820151184154</v>
      </c>
      <c r="AD84" s="20">
        <f t="shared" si="65"/>
        <v>670436.81487950706</v>
      </c>
      <c r="AE84" s="20">
        <f t="shared" si="66"/>
        <v>22666.716149032247</v>
      </c>
      <c r="AF84" s="18">
        <f t="shared" si="52"/>
        <v>4.2661205803946237E-2</v>
      </c>
      <c r="AG84" s="20">
        <f t="shared" si="53"/>
        <v>22666.716149032247</v>
      </c>
      <c r="AH84" s="20">
        <f t="shared" si="54"/>
        <v>26953.024408430294</v>
      </c>
      <c r="AI84" s="17">
        <f t="shared" si="55"/>
        <v>0</v>
      </c>
      <c r="AJ84" s="20">
        <f t="shared" si="56"/>
        <v>22666.716149032247</v>
      </c>
      <c r="AK84" s="20">
        <f t="shared" si="67"/>
        <v>631792.37202754116</v>
      </c>
      <c r="AL84" s="20">
        <f t="shared" si="68"/>
        <v>27342.838712877416</v>
      </c>
      <c r="AM84" s="20">
        <f t="shared" si="57"/>
        <v>32513.408399276344</v>
      </c>
      <c r="AN84" s="17">
        <f t="shared" si="58"/>
        <v>0</v>
      </c>
      <c r="AO84" s="20">
        <f t="shared" si="59"/>
        <v>27342.838712877416</v>
      </c>
      <c r="AP84" s="20">
        <f t="shared" si="69"/>
        <v>573413.79184419441</v>
      </c>
      <c r="AQ84" s="18">
        <f t="shared" si="70"/>
        <v>0</v>
      </c>
      <c r="AR84" s="18">
        <f t="shared" si="71"/>
        <v>8.1738258558192722E-3</v>
      </c>
      <c r="AS84" s="18">
        <f t="shared" si="72"/>
        <v>0</v>
      </c>
      <c r="AT84" s="18">
        <f t="shared" si="73"/>
        <v>2.0194842839957206E-2</v>
      </c>
      <c r="AU84" s="18">
        <f t="shared" si="74"/>
        <v>0</v>
      </c>
      <c r="AV84" s="18">
        <f t="shared" si="75"/>
        <v>-2.5000000000000022E-2</v>
      </c>
    </row>
    <row r="85" spans="1:48">
      <c r="A85" s="17">
        <f t="shared" si="60"/>
        <v>15</v>
      </c>
      <c r="B85" s="17">
        <f t="shared" si="31"/>
        <v>65</v>
      </c>
      <c r="C85" s="17">
        <f t="shared" si="32"/>
        <v>2014</v>
      </c>
      <c r="D85" s="17">
        <f>IF(COUNTIFS('5 - Dati'!$A$6:$A$186,Serie,'5 - Dati'!$B$6:$B$186,C85)&gt;0,1,0)</f>
        <v>1</v>
      </c>
      <c r="E85" s="18">
        <f>IF(D85=1,SUMIFS('5 - Dati'!$F$6:$F$186,'5 - Dati'!$A$6:$A$186,Serie,'5 - Dati'!$B$6:$B$186,C85),(1+Rend_c)*(1+Infl_c)-1)</f>
        <v>0.22785045200000001</v>
      </c>
      <c r="F85" s="18">
        <f>IF(D85=1,SUMIFS('5 - Dati'!$E$6:$E$186,'5 - Dati'!$A$6:$A$186,Serie,'5 - Dati'!$B$6:$B$186,C85),Infl_c)</f>
        <v>-5.0761299999999999E-3</v>
      </c>
      <c r="G85" s="19">
        <f t="shared" si="33"/>
        <v>1.2253947510959999</v>
      </c>
      <c r="H85" s="19">
        <f t="shared" si="61"/>
        <v>0.35230413681126327</v>
      </c>
      <c r="I85" s="19">
        <f t="shared" si="34"/>
        <v>0.83159907557092838</v>
      </c>
      <c r="J85" s="20">
        <f t="shared" si="35"/>
        <v>38000</v>
      </c>
      <c r="K85" s="20">
        <f t="shared" si="36"/>
        <v>45695.096490951932</v>
      </c>
      <c r="L85" s="17">
        <f t="shared" si="37"/>
        <v>0</v>
      </c>
      <c r="M85" s="20">
        <f t="shared" si="38"/>
        <v>38000</v>
      </c>
      <c r="N85" s="20">
        <f t="shared" si="62"/>
        <v>477889.05810905126</v>
      </c>
      <c r="O85" s="20">
        <f t="shared" si="39"/>
        <v>23804.130762441742</v>
      </c>
      <c r="P85" s="20">
        <f t="shared" si="40"/>
        <v>28624.527686131911</v>
      </c>
      <c r="Q85" s="17">
        <f t="shared" si="41"/>
        <v>0</v>
      </c>
      <c r="R85" s="20">
        <f t="shared" si="42"/>
        <v>23804.130762441742</v>
      </c>
      <c r="S85" s="20">
        <f t="shared" si="63"/>
        <v>705627.19816892978</v>
      </c>
      <c r="T85" s="20">
        <f t="shared" si="43"/>
        <v>34200</v>
      </c>
      <c r="U85" s="20">
        <f t="shared" si="44"/>
        <v>41125.586841856741</v>
      </c>
      <c r="V85" s="17">
        <f t="shared" si="45"/>
        <v>0</v>
      </c>
      <c r="W85" s="20">
        <f t="shared" si="46"/>
        <v>34200</v>
      </c>
      <c r="X85" s="20">
        <f t="shared" si="64"/>
        <v>547509.85297135543</v>
      </c>
      <c r="Y85" s="18">
        <f t="shared" si="47"/>
        <v>4.5183778222912141E-2</v>
      </c>
      <c r="Z85" s="20">
        <f t="shared" si="48"/>
        <v>26372.516097004987</v>
      </c>
      <c r="AA85" s="20">
        <f t="shared" si="49"/>
        <v>31713.01757267963</v>
      </c>
      <c r="AB85" s="17">
        <f t="shared" si="50"/>
        <v>0</v>
      </c>
      <c r="AC85" s="20">
        <f t="shared" si="51"/>
        <v>26372.516097004987</v>
      </c>
      <c r="AD85" s="20">
        <f t="shared" si="65"/>
        <v>701867.32539773197</v>
      </c>
      <c r="AE85" s="20">
        <f t="shared" si="66"/>
        <v>22666.716149032247</v>
      </c>
      <c r="AF85" s="18">
        <f t="shared" si="52"/>
        <v>4.1132192815248027E-2</v>
      </c>
      <c r="AG85" s="20">
        <f t="shared" si="53"/>
        <v>22666.716149032247</v>
      </c>
      <c r="AH85" s="20">
        <f t="shared" si="54"/>
        <v>27256.783725343339</v>
      </c>
      <c r="AI85" s="17">
        <f t="shared" si="55"/>
        <v>0</v>
      </c>
      <c r="AJ85" s="20">
        <f t="shared" si="56"/>
        <v>22666.716149032247</v>
      </c>
      <c r="AK85" s="20">
        <f t="shared" si="67"/>
        <v>662663.03495589562</v>
      </c>
      <c r="AL85" s="20">
        <f t="shared" si="68"/>
        <v>26659.26774505548</v>
      </c>
      <c r="AM85" s="20">
        <f t="shared" si="57"/>
        <v>32057.837157590333</v>
      </c>
      <c r="AN85" s="17">
        <f t="shared" si="58"/>
        <v>0</v>
      </c>
      <c r="AO85" s="20">
        <f t="shared" si="59"/>
        <v>26659.26774505548</v>
      </c>
      <c r="AP85" s="20">
        <f t="shared" si="69"/>
        <v>592611.39526282344</v>
      </c>
      <c r="AQ85" s="18">
        <f t="shared" si="70"/>
        <v>0</v>
      </c>
      <c r="AR85" s="18">
        <f t="shared" si="71"/>
        <v>3.9442990533404387E-2</v>
      </c>
      <c r="AS85" s="18">
        <f t="shared" si="72"/>
        <v>0</v>
      </c>
      <c r="AT85" s="18">
        <f t="shared" si="73"/>
        <v>5.1836847150975585E-2</v>
      </c>
      <c r="AU85" s="18">
        <f t="shared" si="74"/>
        <v>0</v>
      </c>
      <c r="AV85" s="18">
        <f t="shared" si="75"/>
        <v>-2.5000000000000022E-2</v>
      </c>
    </row>
    <row r="86" spans="1:48">
      <c r="A86" s="17">
        <f t="shared" si="60"/>
        <v>16</v>
      </c>
      <c r="B86" s="17">
        <f t="shared" si="31"/>
        <v>66</v>
      </c>
      <c r="C86" s="17">
        <f t="shared" si="32"/>
        <v>2015</v>
      </c>
      <c r="D86" s="17">
        <f>IF(COUNTIFS('5 - Dati'!$A$6:$A$186,Serie,'5 - Dati'!$B$6:$B$186,C86)&gt;0,1,0)</f>
        <v>1</v>
      </c>
      <c r="E86" s="18">
        <f>IF(D86=1,SUMIFS('5 - Dati'!$F$6:$F$186,'5 - Dati'!$A$6:$A$186,Serie,'5 - Dati'!$B$6:$B$186,C86),(1+Rend_c)*(1+Infl_c)-1)</f>
        <v>-3.8698779999999998E-3</v>
      </c>
      <c r="F86" s="18">
        <f>IF(D86=1,SUMIFS('5 - Dati'!$E$6:$E$186,'5 - Dati'!$A$6:$A$186,Serie,'5 - Dati'!$B$6:$B$186,C86),Infl_c)</f>
        <v>4.0816400000000001E-3</v>
      </c>
      <c r="G86" s="19">
        <f t="shared" si="33"/>
        <v>0.99413786175599994</v>
      </c>
      <c r="H86" s="19">
        <f t="shared" si="61"/>
        <v>0.28750256723081313</v>
      </c>
      <c r="I86" s="19">
        <f t="shared" si="34"/>
        <v>0.81475066748001135</v>
      </c>
      <c r="J86" s="20">
        <f t="shared" si="35"/>
        <v>38000</v>
      </c>
      <c r="K86" s="20">
        <f t="shared" si="36"/>
        <v>46640.035432597266</v>
      </c>
      <c r="L86" s="17">
        <f t="shared" si="37"/>
        <v>0</v>
      </c>
      <c r="M86" s="20">
        <f t="shared" si="38"/>
        <v>38000</v>
      </c>
      <c r="N86" s="20">
        <f t="shared" si="62"/>
        <v>532310.28824567748</v>
      </c>
      <c r="O86" s="20">
        <f t="shared" si="39"/>
        <v>27559.052947146771</v>
      </c>
      <c r="P86" s="20">
        <f t="shared" si="40"/>
        <v>33825.136998519723</v>
      </c>
      <c r="Q86" s="17">
        <f t="shared" si="41"/>
        <v>0</v>
      </c>
      <c r="R86" s="20">
        <f t="shared" si="42"/>
        <v>27559.052947146771</v>
      </c>
      <c r="S86" s="20">
        <f t="shared" si="63"/>
        <v>833828.13891840319</v>
      </c>
      <c r="T86" s="20">
        <f t="shared" si="43"/>
        <v>34200</v>
      </c>
      <c r="U86" s="20">
        <f t="shared" si="44"/>
        <v>41976.031889337537</v>
      </c>
      <c r="V86" s="17">
        <f t="shared" si="45"/>
        <v>0</v>
      </c>
      <c r="W86" s="20">
        <f t="shared" si="46"/>
        <v>34200</v>
      </c>
      <c r="X86" s="20">
        <f t="shared" si="64"/>
        <v>623686.53568708501</v>
      </c>
      <c r="Y86" s="18">
        <f t="shared" si="47"/>
        <v>4.5943653707350735E-2</v>
      </c>
      <c r="Z86" s="20">
        <f t="shared" si="48"/>
        <v>30896.638652133017</v>
      </c>
      <c r="AA86" s="20">
        <f t="shared" si="49"/>
        <v>37921.587407464162</v>
      </c>
      <c r="AB86" s="17">
        <f t="shared" si="50"/>
        <v>0</v>
      </c>
      <c r="AC86" s="20">
        <f t="shared" si="51"/>
        <v>30896.638652133017</v>
      </c>
      <c r="AD86" s="20">
        <f t="shared" si="65"/>
        <v>825393.37530739116</v>
      </c>
      <c r="AE86" s="20">
        <f t="shared" si="66"/>
        <v>22666.716149032247</v>
      </c>
      <c r="AF86" s="18">
        <f t="shared" si="52"/>
        <v>3.5548905399059236E-2</v>
      </c>
      <c r="AG86" s="20">
        <f t="shared" si="53"/>
        <v>22666.716149032247</v>
      </c>
      <c r="AH86" s="20">
        <f t="shared" si="54"/>
        <v>27820.432745565489</v>
      </c>
      <c r="AI86" s="17">
        <f t="shared" si="55"/>
        <v>0</v>
      </c>
      <c r="AJ86" s="20">
        <f t="shared" si="56"/>
        <v>22666.716149032247</v>
      </c>
      <c r="AK86" s="20">
        <f t="shared" si="67"/>
        <v>782596.04433000996</v>
      </c>
      <c r="AL86" s="20">
        <f t="shared" si="68"/>
        <v>25992.786051429091</v>
      </c>
      <c r="AM86" s="20">
        <f t="shared" si="57"/>
        <v>31902.749011330863</v>
      </c>
      <c r="AN86" s="17">
        <f t="shared" si="58"/>
        <v>0</v>
      </c>
      <c r="AO86" s="20">
        <f t="shared" si="59"/>
        <v>25992.786051429091</v>
      </c>
      <c r="AP86" s="20">
        <f t="shared" si="69"/>
        <v>690403.96810495597</v>
      </c>
      <c r="AQ86" s="18">
        <f t="shared" si="70"/>
        <v>0</v>
      </c>
      <c r="AR86" s="18">
        <f t="shared" si="71"/>
        <v>0.15774246168356454</v>
      </c>
      <c r="AS86" s="18">
        <f t="shared" si="72"/>
        <v>0</v>
      </c>
      <c r="AT86" s="18">
        <f t="shared" si="73"/>
        <v>0.17154686866005231</v>
      </c>
      <c r="AU86" s="18">
        <f t="shared" si="74"/>
        <v>0</v>
      </c>
      <c r="AV86" s="18">
        <f t="shared" si="75"/>
        <v>-2.5000000000000022E-2</v>
      </c>
    </row>
    <row r="87" spans="1:48">
      <c r="A87" s="17">
        <f t="shared" si="60"/>
        <v>17</v>
      </c>
      <c r="B87" s="17">
        <f t="shared" si="31"/>
        <v>67</v>
      </c>
      <c r="C87" s="17">
        <f t="shared" si="32"/>
        <v>2016</v>
      </c>
      <c r="D87" s="17">
        <f>IF(COUNTIFS('5 - Dati'!$A$6:$A$186,Serie,'5 - Dati'!$B$6:$B$186,C87)&gt;0,1,0)</f>
        <v>1</v>
      </c>
      <c r="E87" s="18">
        <f>IF(D87=1,SUMIFS('5 - Dati'!$F$6:$F$186,'5 - Dati'!$A$6:$A$186,Serie,'5 - Dati'!$B$6:$B$186,C87),(1+Rend_c)*(1+Infl_c)-1)</f>
        <v>9.890060199999999E-2</v>
      </c>
      <c r="F87" s="18">
        <f>IF(D87=1,SUMIFS('5 - Dati'!$E$6:$E$186,'5 - Dati'!$A$6:$A$186,Serie,'5 - Dati'!$B$6:$B$186,C87),Infl_c)</f>
        <v>1.0162600000000001E-2</v>
      </c>
      <c r="G87" s="19">
        <f t="shared" si="33"/>
        <v>1.096702800796</v>
      </c>
      <c r="H87" s="19">
        <f t="shared" si="61"/>
        <v>0.28919788521380896</v>
      </c>
      <c r="I87" s="19">
        <f t="shared" si="34"/>
        <v>0.81519145015559036</v>
      </c>
      <c r="J87" s="20">
        <f t="shared" si="35"/>
        <v>38000</v>
      </c>
      <c r="K87" s="20">
        <f t="shared" si="36"/>
        <v>46614.816670056076</v>
      </c>
      <c r="L87" s="17">
        <f t="shared" si="37"/>
        <v>0</v>
      </c>
      <c r="M87" s="20">
        <f t="shared" si="38"/>
        <v>38000</v>
      </c>
      <c r="N87" s="20">
        <f t="shared" si="62"/>
        <v>480860.48725090863</v>
      </c>
      <c r="O87" s="20">
        <f t="shared" si="39"/>
        <v>26193.397776665406</v>
      </c>
      <c r="P87" s="20">
        <f t="shared" si="40"/>
        <v>32131.59040329243</v>
      </c>
      <c r="Q87" s="17">
        <f t="shared" si="41"/>
        <v>0</v>
      </c>
      <c r="R87" s="20">
        <f t="shared" si="42"/>
        <v>26193.397776665406</v>
      </c>
      <c r="S87" s="20">
        <f t="shared" si="63"/>
        <v>792080.28714379622</v>
      </c>
      <c r="T87" s="20">
        <f t="shared" si="43"/>
        <v>34200</v>
      </c>
      <c r="U87" s="20">
        <f t="shared" si="44"/>
        <v>41953.335003050466</v>
      </c>
      <c r="V87" s="17">
        <f t="shared" si="45"/>
        <v>0</v>
      </c>
      <c r="W87" s="20">
        <f t="shared" si="46"/>
        <v>34200</v>
      </c>
      <c r="X87" s="20">
        <f t="shared" si="64"/>
        <v>575949.61741009227</v>
      </c>
      <c r="Y87" s="18">
        <f t="shared" si="47"/>
        <v>4.6753516403506487E-2</v>
      </c>
      <c r="Z87" s="20">
        <f t="shared" si="48"/>
        <v>29715.735799229809</v>
      </c>
      <c r="AA87" s="20">
        <f t="shared" si="49"/>
        <v>36452.462539392625</v>
      </c>
      <c r="AB87" s="17">
        <f t="shared" si="50"/>
        <v>0</v>
      </c>
      <c r="AC87" s="20">
        <f t="shared" si="51"/>
        <v>29715.735799229809</v>
      </c>
      <c r="AD87" s="20">
        <f t="shared" si="65"/>
        <v>779673.1742012609</v>
      </c>
      <c r="AE87" s="20">
        <f t="shared" si="66"/>
        <v>22666.716149032247</v>
      </c>
      <c r="AF87" s="18">
        <f t="shared" si="52"/>
        <v>3.7207761520734871E-2</v>
      </c>
      <c r="AG87" s="20">
        <f t="shared" si="53"/>
        <v>22666.716149032247</v>
      </c>
      <c r="AH87" s="20">
        <f t="shared" si="54"/>
        <v>27805.389942087833</v>
      </c>
      <c r="AI87" s="17">
        <f t="shared" si="55"/>
        <v>0</v>
      </c>
      <c r="AJ87" s="20">
        <f t="shared" si="56"/>
        <v>22666.716149032247</v>
      </c>
      <c r="AK87" s="20">
        <f t="shared" si="67"/>
        <v>747300.79976976442</v>
      </c>
      <c r="AL87" s="20">
        <f t="shared" si="68"/>
        <v>25342.966400143363</v>
      </c>
      <c r="AM87" s="20">
        <f t="shared" si="57"/>
        <v>31088.361384686155</v>
      </c>
      <c r="AN87" s="17">
        <f t="shared" si="58"/>
        <v>0</v>
      </c>
      <c r="AO87" s="20">
        <f t="shared" si="59"/>
        <v>25342.966400143363</v>
      </c>
      <c r="AP87" s="20">
        <f t="shared" si="69"/>
        <v>651979.84689119062</v>
      </c>
      <c r="AQ87" s="18">
        <f t="shared" si="70"/>
        <v>0</v>
      </c>
      <c r="AR87" s="18">
        <f t="shared" si="71"/>
        <v>-4.9553777232492102E-2</v>
      </c>
      <c r="AS87" s="18">
        <f t="shared" si="72"/>
        <v>0</v>
      </c>
      <c r="AT87" s="18">
        <f t="shared" si="73"/>
        <v>-3.8221078551588072E-2</v>
      </c>
      <c r="AU87" s="18">
        <f t="shared" si="74"/>
        <v>0</v>
      </c>
      <c r="AV87" s="18">
        <f t="shared" si="75"/>
        <v>-2.5000000000000022E-2</v>
      </c>
    </row>
    <row r="88" spans="1:48">
      <c r="A88" s="17">
        <f t="shared" si="60"/>
        <v>18</v>
      </c>
      <c r="B88" s="17">
        <f t="shared" si="31"/>
        <v>68</v>
      </c>
      <c r="C88" s="17">
        <f t="shared" si="32"/>
        <v>2017</v>
      </c>
      <c r="D88" s="17">
        <f>IF(COUNTIFS('5 - Dati'!$A$6:$A$186,Serie,'5 - Dati'!$B$6:$B$186,C88)&gt;0,1,0)</f>
        <v>1</v>
      </c>
      <c r="E88" s="18">
        <f>IF(D88=1,SUMIFS('5 - Dati'!$F$6:$F$186,'5 - Dati'!$A$6:$A$186,Serie,'5 - Dati'!$B$6:$B$186,C88),(1+Rend_c)*(1+Infl_c)-1)</f>
        <v>4.7564463999999994E-2</v>
      </c>
      <c r="F88" s="18">
        <f>IF(D88=1,SUMIFS('5 - Dati'!$E$6:$E$186,'5 - Dati'!$A$6:$A$186,Serie,'5 - Dati'!$B$6:$B$186,C88),Infl_c)</f>
        <v>1.207242E-2</v>
      </c>
      <c r="G88" s="19">
        <f t="shared" si="33"/>
        <v>1.0454693350719999</v>
      </c>
      <c r="H88" s="19">
        <f t="shared" si="61"/>
        <v>0.26369758972431334</v>
      </c>
      <c r="I88" s="19">
        <f t="shared" si="34"/>
        <v>0.80856137332832145</v>
      </c>
      <c r="J88" s="20">
        <f t="shared" si="35"/>
        <v>38000</v>
      </c>
      <c r="K88" s="20">
        <f t="shared" si="36"/>
        <v>46997.050877633083</v>
      </c>
      <c r="L88" s="17">
        <f t="shared" si="37"/>
        <v>0</v>
      </c>
      <c r="M88" s="20">
        <f t="shared" si="38"/>
        <v>38000</v>
      </c>
      <c r="N88" s="20">
        <f t="shared" si="62"/>
        <v>471447.31269951811</v>
      </c>
      <c r="O88" s="20">
        <f t="shared" si="39"/>
        <v>27061.879096721121</v>
      </c>
      <c r="P88" s="20">
        <f t="shared" si="40"/>
        <v>33469.171282972573</v>
      </c>
      <c r="Q88" s="17">
        <f t="shared" si="41"/>
        <v>0</v>
      </c>
      <c r="R88" s="20">
        <f t="shared" si="42"/>
        <v>27061.879096721121</v>
      </c>
      <c r="S88" s="20">
        <f t="shared" si="63"/>
        <v>825053.1787422942</v>
      </c>
      <c r="T88" s="20">
        <f t="shared" si="43"/>
        <v>34200</v>
      </c>
      <c r="U88" s="20">
        <f t="shared" si="44"/>
        <v>42297.345789869774</v>
      </c>
      <c r="V88" s="17">
        <f t="shared" si="45"/>
        <v>0</v>
      </c>
      <c r="W88" s="20">
        <f t="shared" si="46"/>
        <v>34200</v>
      </c>
      <c r="X88" s="20">
        <f t="shared" si="64"/>
        <v>579743.51706394053</v>
      </c>
      <c r="Y88" s="18">
        <f t="shared" si="47"/>
        <v>4.761807599571926E-2</v>
      </c>
      <c r="Z88" s="20">
        <f t="shared" si="48"/>
        <v>31067.070665901199</v>
      </c>
      <c r="AA88" s="20">
        <f t="shared" si="49"/>
        <v>38422.65001853634</v>
      </c>
      <c r="AB88" s="17">
        <f t="shared" si="50"/>
        <v>0</v>
      </c>
      <c r="AC88" s="20">
        <f t="shared" si="51"/>
        <v>31067.070665901199</v>
      </c>
      <c r="AD88" s="20">
        <f t="shared" si="65"/>
        <v>806892.11428849911</v>
      </c>
      <c r="AE88" s="20">
        <f t="shared" si="66"/>
        <v>22666.716149032247</v>
      </c>
      <c r="AF88" s="18">
        <f t="shared" si="52"/>
        <v>3.5888054916678028E-2</v>
      </c>
      <c r="AG88" s="20">
        <f t="shared" si="53"/>
        <v>22666.716149032247</v>
      </c>
      <c r="AH88" s="20">
        <f t="shared" si="54"/>
        <v>28033.38979170884</v>
      </c>
      <c r="AI88" s="17">
        <f t="shared" si="55"/>
        <v>0</v>
      </c>
      <c r="AJ88" s="20">
        <f t="shared" si="56"/>
        <v>22666.716149032247</v>
      </c>
      <c r="AK88" s="20">
        <f t="shared" si="67"/>
        <v>781134.27592535981</v>
      </c>
      <c r="AL88" s="20">
        <f t="shared" si="68"/>
        <v>24709.392240139779</v>
      </c>
      <c r="AM88" s="20">
        <f t="shared" si="57"/>
        <v>30559.699059611612</v>
      </c>
      <c r="AN88" s="17">
        <f t="shared" si="58"/>
        <v>0</v>
      </c>
      <c r="AO88" s="20">
        <f t="shared" si="59"/>
        <v>24709.392240139779</v>
      </c>
      <c r="AP88" s="20">
        <f t="shared" si="69"/>
        <v>674082.99529736349</v>
      </c>
      <c r="AQ88" s="18">
        <f t="shared" si="70"/>
        <v>0</v>
      </c>
      <c r="AR88" s="18">
        <f t="shared" si="71"/>
        <v>3.3156497200581114E-2</v>
      </c>
      <c r="AS88" s="18">
        <f t="shared" si="72"/>
        <v>0</v>
      </c>
      <c r="AT88" s="18">
        <f t="shared" si="73"/>
        <v>4.5475396463392048E-2</v>
      </c>
      <c r="AU88" s="18">
        <f t="shared" si="74"/>
        <v>0</v>
      </c>
      <c r="AV88" s="18">
        <f t="shared" si="75"/>
        <v>-2.5000000000000022E-2</v>
      </c>
    </row>
    <row r="89" spans="1:48">
      <c r="A89" s="17">
        <f t="shared" si="60"/>
        <v>19</v>
      </c>
      <c r="B89" s="17">
        <f t="shared" si="31"/>
        <v>69</v>
      </c>
      <c r="C89" s="17">
        <f t="shared" si="32"/>
        <v>2018</v>
      </c>
      <c r="D89" s="17">
        <f>IF(COUNTIFS('5 - Dati'!$A$6:$A$186,Serie,'5 - Dati'!$B$6:$B$186,C89)&gt;0,1,0)</f>
        <v>1</v>
      </c>
      <c r="E89" s="18">
        <f>IF(D89=1,SUMIFS('5 - Dati'!$F$6:$F$186,'5 - Dati'!$A$6:$A$186,Serie,'5 - Dati'!$B$6:$B$186,C89),(1+Rend_c)*(1+Infl_c)-1)</f>
        <v>3.25405E-2</v>
      </c>
      <c r="F89" s="18">
        <f>IF(D89=1,SUMIFS('5 - Dati'!$E$6:$E$186,'5 - Dati'!$A$6:$A$186,Serie,'5 - Dati'!$B$6:$B$186,C89),Infl_c)</f>
        <v>8.9463100000000007E-3</v>
      </c>
      <c r="G89" s="19">
        <f t="shared" si="33"/>
        <v>1.0304754190000001</v>
      </c>
      <c r="H89" s="19">
        <f t="shared" si="61"/>
        <v>0.25222890894848954</v>
      </c>
      <c r="I89" s="19">
        <f t="shared" si="34"/>
        <v>0.80557951632660729</v>
      </c>
      <c r="J89" s="20">
        <f t="shared" si="35"/>
        <v>38000</v>
      </c>
      <c r="K89" s="20">
        <f t="shared" si="36"/>
        <v>47171.010719435428</v>
      </c>
      <c r="L89" s="17">
        <f t="shared" si="37"/>
        <v>0</v>
      </c>
      <c r="M89" s="20">
        <f t="shared" si="38"/>
        <v>38000</v>
      </c>
      <c r="N89" s="20">
        <f t="shared" si="62"/>
        <v>438456.50195473403</v>
      </c>
      <c r="O89" s="20">
        <f t="shared" si="39"/>
        <v>26721.950327066876</v>
      </c>
      <c r="P89" s="20">
        <f t="shared" si="40"/>
        <v>33171.089613744545</v>
      </c>
      <c r="Q89" s="17">
        <f t="shared" si="41"/>
        <v>0</v>
      </c>
      <c r="R89" s="20">
        <f t="shared" si="42"/>
        <v>26721.950327066876</v>
      </c>
      <c r="S89" s="20">
        <f t="shared" si="63"/>
        <v>817705.12621233764</v>
      </c>
      <c r="T89" s="20">
        <f t="shared" si="43"/>
        <v>34200</v>
      </c>
      <c r="U89" s="20">
        <f t="shared" si="44"/>
        <v>42453.909647491884</v>
      </c>
      <c r="V89" s="17">
        <f t="shared" si="45"/>
        <v>0</v>
      </c>
      <c r="W89" s="20">
        <f t="shared" si="46"/>
        <v>34200</v>
      </c>
      <c r="X89" s="20">
        <f t="shared" si="64"/>
        <v>555181.11176164146</v>
      </c>
      <c r="Y89" s="18">
        <f t="shared" si="47"/>
        <v>4.854264930715859E-2</v>
      </c>
      <c r="Z89" s="20">
        <f t="shared" si="48"/>
        <v>31042.608939852249</v>
      </c>
      <c r="AA89" s="20">
        <f t="shared" si="49"/>
        <v>38534.506291079277</v>
      </c>
      <c r="AB89" s="17">
        <f t="shared" si="50"/>
        <v>0</v>
      </c>
      <c r="AC89" s="20">
        <f t="shared" si="51"/>
        <v>31042.608939852249</v>
      </c>
      <c r="AD89" s="20">
        <f t="shared" si="65"/>
        <v>793827.83678015252</v>
      </c>
      <c r="AE89" s="20">
        <f t="shared" si="66"/>
        <v>22666.716149032247</v>
      </c>
      <c r="AF89" s="18">
        <f t="shared" si="52"/>
        <v>3.6168235664265448E-2</v>
      </c>
      <c r="AG89" s="20">
        <f t="shared" si="53"/>
        <v>22666.716149032247</v>
      </c>
      <c r="AH89" s="20">
        <f t="shared" si="54"/>
        <v>28137.15553790527</v>
      </c>
      <c r="AI89" s="17">
        <f t="shared" si="55"/>
        <v>0</v>
      </c>
      <c r="AJ89" s="20">
        <f t="shared" si="56"/>
        <v>22666.716149032247</v>
      </c>
      <c r="AK89" s="20">
        <f t="shared" si="67"/>
        <v>777952.1179603748</v>
      </c>
      <c r="AL89" s="20">
        <f t="shared" si="68"/>
        <v>24091.657434136283</v>
      </c>
      <c r="AM89" s="20">
        <f t="shared" si="57"/>
        <v>29905.995554594971</v>
      </c>
      <c r="AN89" s="17">
        <f t="shared" si="58"/>
        <v>0</v>
      </c>
      <c r="AO89" s="20">
        <f t="shared" si="59"/>
        <v>24091.657434136283</v>
      </c>
      <c r="AP89" s="20">
        <f t="shared" si="69"/>
        <v>664758.62727394945</v>
      </c>
      <c r="AQ89" s="18">
        <f t="shared" si="70"/>
        <v>0</v>
      </c>
      <c r="AR89" s="18">
        <f t="shared" si="71"/>
        <v>-1.2561166519121425E-2</v>
      </c>
      <c r="AS89" s="18">
        <f t="shared" si="72"/>
        <v>0</v>
      </c>
      <c r="AT89" s="18">
        <f t="shared" si="73"/>
        <v>-7.8738437595271549E-4</v>
      </c>
      <c r="AU89" s="18">
        <f t="shared" si="74"/>
        <v>0</v>
      </c>
      <c r="AV89" s="18">
        <f t="shared" si="75"/>
        <v>-2.5000000000000133E-2</v>
      </c>
    </row>
    <row r="90" spans="1:48">
      <c r="A90" s="17">
        <f t="shared" si="60"/>
        <v>20</v>
      </c>
      <c r="B90" s="17">
        <f t="shared" si="31"/>
        <v>70</v>
      </c>
      <c r="C90" s="17">
        <f t="shared" si="32"/>
        <v>2019</v>
      </c>
      <c r="D90" s="17">
        <f>IF(COUNTIFS('5 - Dati'!$A$6:$A$186,Serie,'5 - Dati'!$B$6:$B$186,C90)&gt;0,1,0)</f>
        <v>1</v>
      </c>
      <c r="E90" s="18">
        <f>IF(D90=1,SUMIFS('5 - Dati'!$F$6:$F$186,'5 - Dati'!$A$6:$A$186,Serie,'5 - Dati'!$B$6:$B$186,C90),(1+Rend_c)*(1+Infl_c)-1)</f>
        <v>0.15306048</v>
      </c>
      <c r="F90" s="18">
        <f>IF(D90=1,SUMIFS('5 - Dati'!$E$6:$E$186,'5 - Dati'!$A$6:$A$186,Serie,'5 - Dati'!$B$6:$B$186,C90),Infl_c)</f>
        <v>3.94087E-3</v>
      </c>
      <c r="G90" s="19">
        <f t="shared" si="33"/>
        <v>1.15075435904</v>
      </c>
      <c r="H90" s="19">
        <f t="shared" si="61"/>
        <v>0.24476945718245174</v>
      </c>
      <c r="I90" s="19">
        <f t="shared" si="34"/>
        <v>0.8036400588674375</v>
      </c>
      <c r="J90" s="20">
        <f t="shared" si="35"/>
        <v>38000</v>
      </c>
      <c r="K90" s="20">
        <f t="shared" si="36"/>
        <v>47284.850451025362</v>
      </c>
      <c r="L90" s="17">
        <f t="shared" si="37"/>
        <v>0</v>
      </c>
      <c r="M90" s="20">
        <f t="shared" si="38"/>
        <v>38000</v>
      </c>
      <c r="N90" s="20">
        <f t="shared" si="62"/>
        <v>399634.82351138705</v>
      </c>
      <c r="O90" s="20">
        <f t="shared" si="39"/>
        <v>26121.972277688226</v>
      </c>
      <c r="P90" s="20">
        <f t="shared" si="40"/>
        <v>32504.567174639949</v>
      </c>
      <c r="Q90" s="17">
        <f t="shared" si="41"/>
        <v>0</v>
      </c>
      <c r="R90" s="20">
        <f t="shared" si="42"/>
        <v>26121.972277688226</v>
      </c>
      <c r="S90" s="20">
        <f t="shared" si="63"/>
        <v>801274.58921347023</v>
      </c>
      <c r="T90" s="20">
        <f t="shared" si="43"/>
        <v>34200</v>
      </c>
      <c r="U90" s="20">
        <f t="shared" si="44"/>
        <v>42556.365405922828</v>
      </c>
      <c r="V90" s="17">
        <f t="shared" si="45"/>
        <v>0</v>
      </c>
      <c r="W90" s="20">
        <f t="shared" si="46"/>
        <v>34200</v>
      </c>
      <c r="X90" s="20">
        <f t="shared" si="64"/>
        <v>523667.88321102632</v>
      </c>
      <c r="Y90" s="18">
        <f t="shared" si="47"/>
        <v>4.9533261475973395E-2</v>
      </c>
      <c r="Z90" s="20">
        <f t="shared" si="48"/>
        <v>30707.448449275933</v>
      </c>
      <c r="AA90" s="20">
        <f t="shared" si="49"/>
        <v>38210.450201489031</v>
      </c>
      <c r="AB90" s="17">
        <f t="shared" si="50"/>
        <v>0</v>
      </c>
      <c r="AC90" s="20">
        <f t="shared" si="51"/>
        <v>30707.448449275933</v>
      </c>
      <c r="AD90" s="20">
        <f t="shared" si="65"/>
        <v>771409.93875445484</v>
      </c>
      <c r="AE90" s="20">
        <f t="shared" si="66"/>
        <v>22666.716149032247</v>
      </c>
      <c r="AF90" s="18">
        <f t="shared" si="52"/>
        <v>3.6830138040486828E-2</v>
      </c>
      <c r="AG90" s="20">
        <f t="shared" si="53"/>
        <v>22666.716149032247</v>
      </c>
      <c r="AH90" s="20">
        <f t="shared" si="54"/>
        <v>28205.060087442929</v>
      </c>
      <c r="AI90" s="17">
        <f t="shared" si="55"/>
        <v>0</v>
      </c>
      <c r="AJ90" s="20">
        <f t="shared" si="56"/>
        <v>22666.716149032247</v>
      </c>
      <c r="AK90" s="20">
        <f t="shared" si="67"/>
        <v>765814.67211547028</v>
      </c>
      <c r="AL90" s="20">
        <f t="shared" si="68"/>
        <v>23489.365998282876</v>
      </c>
      <c r="AM90" s="20">
        <f t="shared" si="57"/>
        <v>29228.714695215942</v>
      </c>
      <c r="AN90" s="17">
        <f t="shared" si="58"/>
        <v>0</v>
      </c>
      <c r="AO90" s="20">
        <f t="shared" si="59"/>
        <v>23489.365998282876</v>
      </c>
      <c r="AP90" s="20">
        <f t="shared" si="69"/>
        <v>648399.25097129738</v>
      </c>
      <c r="AQ90" s="18">
        <f t="shared" si="70"/>
        <v>0</v>
      </c>
      <c r="AR90" s="18">
        <f t="shared" si="71"/>
        <v>-2.2452629468850072E-2</v>
      </c>
      <c r="AS90" s="18">
        <f t="shared" si="72"/>
        <v>0</v>
      </c>
      <c r="AT90" s="18">
        <f t="shared" si="73"/>
        <v>-1.0796788737239105E-2</v>
      </c>
      <c r="AU90" s="18">
        <f t="shared" si="74"/>
        <v>0</v>
      </c>
      <c r="AV90" s="18">
        <f t="shared" si="75"/>
        <v>-2.5000000000000022E-2</v>
      </c>
    </row>
    <row r="91" spans="1:48">
      <c r="A91" s="17">
        <f t="shared" si="60"/>
        <v>21</v>
      </c>
      <c r="B91" s="17">
        <f t="shared" si="31"/>
        <v>71</v>
      </c>
      <c r="C91" s="17">
        <f t="shared" si="32"/>
        <v>2020</v>
      </c>
      <c r="D91" s="17">
        <f>IF(COUNTIFS('5 - Dati'!$A$6:$A$186,Serie,'5 - Dati'!$B$6:$B$186,C91)&gt;0,1,0)</f>
        <v>1</v>
      </c>
      <c r="E91" s="18">
        <f>IF(D91=1,SUMIFS('5 - Dati'!$F$6:$F$186,'5 - Dati'!$A$6:$A$186,Serie,'5 - Dati'!$B$6:$B$186,C91),(1+Rend_c)*(1+Infl_c)-1)</f>
        <v>3.456629E-2</v>
      </c>
      <c r="F91" s="18">
        <f>IF(D91=1,SUMIFS('5 - Dati'!$E$6:$E$186,'5 - Dati'!$A$6:$A$186,Serie,'5 - Dati'!$B$6:$B$186,C91),Infl_c)</f>
        <v>6.8694699999999999E-3</v>
      </c>
      <c r="G91" s="19">
        <f t="shared" si="33"/>
        <v>1.0324971574199999</v>
      </c>
      <c r="H91" s="19">
        <f t="shared" si="61"/>
        <v>0.21270348033845127</v>
      </c>
      <c r="I91" s="19">
        <f t="shared" si="34"/>
        <v>0.79530290488799738</v>
      </c>
      <c r="J91" s="20">
        <f t="shared" si="35"/>
        <v>38000</v>
      </c>
      <c r="K91" s="20">
        <f t="shared" si="36"/>
        <v>47780.537159425498</v>
      </c>
      <c r="L91" s="17">
        <f t="shared" si="37"/>
        <v>0</v>
      </c>
      <c r="M91" s="20">
        <f t="shared" si="38"/>
        <v>38000</v>
      </c>
      <c r="N91" s="20">
        <f t="shared" si="62"/>
        <v>403876.64206442534</v>
      </c>
      <c r="O91" s="20">
        <f t="shared" si="39"/>
        <v>28429.323140011162</v>
      </c>
      <c r="P91" s="20">
        <f t="shared" si="40"/>
        <v>35746.535018647854</v>
      </c>
      <c r="Q91" s="17">
        <f t="shared" si="41"/>
        <v>0</v>
      </c>
      <c r="R91" s="20">
        <f t="shared" si="42"/>
        <v>28429.323140011162</v>
      </c>
      <c r="S91" s="20">
        <f t="shared" si="63"/>
        <v>881192.78773904359</v>
      </c>
      <c r="T91" s="20">
        <f t="shared" si="43"/>
        <v>34200</v>
      </c>
      <c r="U91" s="20">
        <f t="shared" si="44"/>
        <v>43002.483443482946</v>
      </c>
      <c r="V91" s="17">
        <f t="shared" si="45"/>
        <v>0</v>
      </c>
      <c r="W91" s="20">
        <f t="shared" si="46"/>
        <v>34200</v>
      </c>
      <c r="X91" s="20">
        <f t="shared" si="64"/>
        <v>551467.91294448776</v>
      </c>
      <c r="Y91" s="18">
        <f t="shared" si="47"/>
        <v>5.0596768064691829E-2</v>
      </c>
      <c r="Z91" s="20">
        <f t="shared" si="48"/>
        <v>33818.317162381056</v>
      </c>
      <c r="AA91" s="20">
        <f t="shared" si="49"/>
        <v>42522.562101220661</v>
      </c>
      <c r="AB91" s="17">
        <f t="shared" si="50"/>
        <v>0</v>
      </c>
      <c r="AC91" s="20">
        <f t="shared" si="51"/>
        <v>33818.317162381056</v>
      </c>
      <c r="AD91" s="20">
        <f t="shared" si="65"/>
        <v>840420.51948559878</v>
      </c>
      <c r="AE91" s="20">
        <f t="shared" si="66"/>
        <v>22666.716149032247</v>
      </c>
      <c r="AF91" s="18">
        <f t="shared" si="52"/>
        <v>3.3709706842296079E-2</v>
      </c>
      <c r="AG91" s="20">
        <f t="shared" si="53"/>
        <v>22666.716149032247</v>
      </c>
      <c r="AH91" s="20">
        <f t="shared" si="54"/>
        <v>28500.733506341716</v>
      </c>
      <c r="AI91" s="17">
        <f t="shared" si="55"/>
        <v>0</v>
      </c>
      <c r="AJ91" s="20">
        <f t="shared" si="56"/>
        <v>22666.716149032247</v>
      </c>
      <c r="AK91" s="20">
        <f t="shared" si="67"/>
        <v>845475.56701327988</v>
      </c>
      <c r="AL91" s="20">
        <f t="shared" si="68"/>
        <v>22902.131848325804</v>
      </c>
      <c r="AM91" s="20">
        <f t="shared" si="57"/>
        <v>28796.741100236664</v>
      </c>
      <c r="AN91" s="17">
        <f t="shared" si="58"/>
        <v>0</v>
      </c>
      <c r="AO91" s="20">
        <f t="shared" si="59"/>
        <v>22902.131848325804</v>
      </c>
      <c r="AP91" s="20">
        <f t="shared" si="69"/>
        <v>709716.29395746696</v>
      </c>
      <c r="AQ91" s="18">
        <f t="shared" si="70"/>
        <v>0</v>
      </c>
      <c r="AR91" s="18">
        <f t="shared" si="71"/>
        <v>8.832988710786327E-2</v>
      </c>
      <c r="AS91" s="18">
        <f t="shared" si="72"/>
        <v>0</v>
      </c>
      <c r="AT91" s="18">
        <f t="shared" si="73"/>
        <v>0.10130664937022726</v>
      </c>
      <c r="AU91" s="18">
        <f t="shared" si="74"/>
        <v>0</v>
      </c>
      <c r="AV91" s="18">
        <f t="shared" si="75"/>
        <v>-2.5000000000000022E-2</v>
      </c>
    </row>
    <row r="92" spans="1:48">
      <c r="A92" s="17">
        <f t="shared" si="60"/>
        <v>22</v>
      </c>
      <c r="B92" s="17">
        <f t="shared" si="31"/>
        <v>72</v>
      </c>
      <c r="C92" s="17">
        <f t="shared" si="32"/>
        <v>2021</v>
      </c>
      <c r="D92" s="17">
        <f>IF(COUNTIFS('5 - Dati'!$A$6:$A$186,Serie,'5 - Dati'!$B$6:$B$186,C92)&gt;0,1,0)</f>
        <v>1</v>
      </c>
      <c r="E92" s="18">
        <f>IF(D92=1,SUMIFS('5 - Dati'!$F$6:$F$186,'5 - Dati'!$A$6:$A$186,Serie,'5 - Dati'!$B$6:$B$186,C92),(1+Rend_c)*(1+Infl_c)-1)</f>
        <v>0.13815557000000001</v>
      </c>
      <c r="F92" s="18">
        <f>IF(D92=1,SUMIFS('5 - Dati'!$E$6:$E$186,'5 - Dati'!$A$6:$A$186,Serie,'5 - Dati'!$B$6:$B$186,C92),Infl_c)</f>
        <v>5.068226E-2</v>
      </c>
      <c r="G92" s="19">
        <f t="shared" si="33"/>
        <v>1.13587925886</v>
      </c>
      <c r="H92" s="19">
        <f t="shared" si="61"/>
        <v>0.20600878056648014</v>
      </c>
      <c r="I92" s="19">
        <f t="shared" si="34"/>
        <v>0.79356228294728481</v>
      </c>
      <c r="J92" s="20">
        <f t="shared" si="35"/>
        <v>38000</v>
      </c>
      <c r="K92" s="20">
        <f t="shared" si="36"/>
        <v>47885.34034010319</v>
      </c>
      <c r="L92" s="17">
        <f t="shared" si="37"/>
        <v>0</v>
      </c>
      <c r="M92" s="20">
        <f t="shared" si="38"/>
        <v>38000</v>
      </c>
      <c r="N92" s="20">
        <f t="shared" si="62"/>
        <v>365159.76205212227</v>
      </c>
      <c r="O92" s="20">
        <f t="shared" si="39"/>
        <v>27909.093528686346</v>
      </c>
      <c r="P92" s="20">
        <f t="shared" si="40"/>
        <v>35169.380058024137</v>
      </c>
      <c r="Q92" s="17">
        <f t="shared" si="41"/>
        <v>0</v>
      </c>
      <c r="R92" s="20">
        <f t="shared" si="42"/>
        <v>27909.093528686346</v>
      </c>
      <c r="S92" s="20">
        <f t="shared" si="63"/>
        <v>866965.26083485223</v>
      </c>
      <c r="T92" s="20">
        <f t="shared" si="43"/>
        <v>34200</v>
      </c>
      <c r="U92" s="20">
        <f t="shared" si="44"/>
        <v>43096.806306092869</v>
      </c>
      <c r="V92" s="17">
        <f t="shared" si="45"/>
        <v>0</v>
      </c>
      <c r="W92" s="20">
        <f t="shared" si="46"/>
        <v>34200</v>
      </c>
      <c r="X92" s="20">
        <f t="shared" si="64"/>
        <v>521407.31867272407</v>
      </c>
      <c r="Y92" s="18">
        <f t="shared" si="47"/>
        <v>5.1741003336199042E-2</v>
      </c>
      <c r="Z92" s="20">
        <f t="shared" si="48"/>
        <v>33595.329864419189</v>
      </c>
      <c r="AA92" s="20">
        <f t="shared" si="49"/>
        <v>42334.836957782783</v>
      </c>
      <c r="AB92" s="17">
        <f t="shared" si="50"/>
        <v>0</v>
      </c>
      <c r="AC92" s="20">
        <f t="shared" si="51"/>
        <v>33595.329864419189</v>
      </c>
      <c r="AD92" s="20">
        <f t="shared" si="65"/>
        <v>818206.72635013412</v>
      </c>
      <c r="AE92" s="20">
        <f t="shared" si="66"/>
        <v>22666.716149032247</v>
      </c>
      <c r="AF92" s="18">
        <f t="shared" si="52"/>
        <v>3.4094412968705329E-2</v>
      </c>
      <c r="AG92" s="20">
        <f t="shared" si="53"/>
        <v>22666.716149032247</v>
      </c>
      <c r="AH92" s="20">
        <f t="shared" si="54"/>
        <v>28563.247820761113</v>
      </c>
      <c r="AI92" s="17">
        <f t="shared" si="55"/>
        <v>0</v>
      </c>
      <c r="AJ92" s="20">
        <f t="shared" si="56"/>
        <v>22666.716149032247</v>
      </c>
      <c r="AK92" s="20">
        <f t="shared" si="67"/>
        <v>837769.16314643179</v>
      </c>
      <c r="AL92" s="20">
        <f t="shared" si="68"/>
        <v>22477.889546561913</v>
      </c>
      <c r="AM92" s="20">
        <f t="shared" si="57"/>
        <v>28325.299764851712</v>
      </c>
      <c r="AN92" s="17">
        <f t="shared" si="58"/>
        <v>0</v>
      </c>
      <c r="AO92" s="20">
        <f t="shared" si="59"/>
        <v>22477.889546561913</v>
      </c>
      <c r="AP92" s="20">
        <f t="shared" si="69"/>
        <v>698250.88922081201</v>
      </c>
      <c r="AQ92" s="18">
        <f t="shared" si="70"/>
        <v>0</v>
      </c>
      <c r="AR92" s="18">
        <f t="shared" si="71"/>
        <v>-1.8299050201186495E-2</v>
      </c>
      <c r="AS92" s="18">
        <f t="shared" si="72"/>
        <v>0</v>
      </c>
      <c r="AT92" s="18">
        <f t="shared" si="73"/>
        <v>-6.5936840349322123E-3</v>
      </c>
      <c r="AU92" s="18">
        <f t="shared" si="74"/>
        <v>0</v>
      </c>
      <c r="AV92" s="18">
        <f t="shared" si="75"/>
        <v>-1.8524140222994312E-2</v>
      </c>
    </row>
    <row r="93" spans="1:48">
      <c r="A93" s="17">
        <f t="shared" si="60"/>
        <v>23</v>
      </c>
      <c r="B93" s="17">
        <f t="shared" si="31"/>
        <v>73</v>
      </c>
      <c r="C93" s="17">
        <f t="shared" si="32"/>
        <v>2022</v>
      </c>
      <c r="D93" s="17">
        <f>IF(COUNTIFS('5 - Dati'!$A$6:$A$186,Serie,'5 - Dati'!$B$6:$B$186,C93)&gt;0,1,0)</f>
        <v>1</v>
      </c>
      <c r="E93" s="18">
        <f>IF(D93=1,SUMIFS('5 - Dati'!$F$6:$F$186,'5 - Dati'!$A$6:$A$186,Serie,'5 - Dati'!$B$6:$B$186,C93),(1+Rend_c)*(1+Infl_c)-1)</f>
        <v>-0.1031475</v>
      </c>
      <c r="F93" s="18">
        <f>IF(D93=1,SUMIFS('5 - Dati'!$E$6:$E$186,'5 - Dati'!$A$6:$A$186,Serie,'5 - Dati'!$B$6:$B$186,C93),Infl_c)</f>
        <v>0.10667902</v>
      </c>
      <c r="G93" s="19">
        <f t="shared" si="33"/>
        <v>0.89505879500000007</v>
      </c>
      <c r="H93" s="19">
        <f t="shared" si="61"/>
        <v>0.1813650341438898</v>
      </c>
      <c r="I93" s="19">
        <f t="shared" si="34"/>
        <v>0.78715490887741135</v>
      </c>
      <c r="J93" s="20">
        <f t="shared" si="35"/>
        <v>38000</v>
      </c>
      <c r="K93" s="20">
        <f t="shared" si="36"/>
        <v>48275.122941420901</v>
      </c>
      <c r="L93" s="17">
        <f t="shared" si="37"/>
        <v>0</v>
      </c>
      <c r="M93" s="20">
        <f t="shared" si="38"/>
        <v>38000</v>
      </c>
      <c r="N93" s="20">
        <f t="shared" si="62"/>
        <v>343001.35132145783</v>
      </c>
      <c r="O93" s="20">
        <f t="shared" si="39"/>
        <v>28714.467082019008</v>
      </c>
      <c r="P93" s="20">
        <f t="shared" si="40"/>
        <v>36478.800752153977</v>
      </c>
      <c r="Q93" s="17">
        <f t="shared" si="41"/>
        <v>0</v>
      </c>
      <c r="R93" s="20">
        <f t="shared" si="42"/>
        <v>28714.467082019008</v>
      </c>
      <c r="S93" s="20">
        <f t="shared" si="63"/>
        <v>899243.97179751028</v>
      </c>
      <c r="T93" s="20">
        <f t="shared" si="43"/>
        <v>34200</v>
      </c>
      <c r="U93" s="20">
        <f t="shared" si="44"/>
        <v>43447.610647278809</v>
      </c>
      <c r="V93" s="17">
        <f t="shared" si="45"/>
        <v>0</v>
      </c>
      <c r="W93" s="20">
        <f t="shared" si="46"/>
        <v>34200</v>
      </c>
      <c r="X93" s="20">
        <f t="shared" si="64"/>
        <v>517095.42549234233</v>
      </c>
      <c r="Y93" s="18">
        <f t="shared" si="47"/>
        <v>5.29749614802364E-2</v>
      </c>
      <c r="Z93" s="20">
        <f t="shared" si="48"/>
        <v>34976.92653298653</v>
      </c>
      <c r="AA93" s="20">
        <f t="shared" si="49"/>
        <v>44434.61653928872</v>
      </c>
      <c r="AB93" s="17">
        <f t="shared" si="50"/>
        <v>0</v>
      </c>
      <c r="AC93" s="20">
        <f t="shared" si="51"/>
        <v>34976.92653298653</v>
      </c>
      <c r="AD93" s="20">
        <f t="shared" si="65"/>
        <v>838785.25434824789</v>
      </c>
      <c r="AE93" s="20">
        <f t="shared" si="66"/>
        <v>22666.716149032247</v>
      </c>
      <c r="AF93" s="18">
        <f t="shared" si="52"/>
        <v>3.2916115629457274E-2</v>
      </c>
      <c r="AG93" s="20">
        <f t="shared" si="53"/>
        <v>22666.716149032247</v>
      </c>
      <c r="AH93" s="20">
        <f t="shared" si="54"/>
        <v>28795.750230863745</v>
      </c>
      <c r="AI93" s="17">
        <f t="shared" si="55"/>
        <v>0</v>
      </c>
      <c r="AJ93" s="20">
        <f t="shared" si="56"/>
        <v>22666.716149032247</v>
      </c>
      <c r="AK93" s="20">
        <f t="shared" si="67"/>
        <v>874822.24679918995</v>
      </c>
      <c r="AL93" s="20">
        <f t="shared" si="68"/>
        <v>23126.53468284792</v>
      </c>
      <c r="AM93" s="20">
        <f t="shared" si="57"/>
        <v>29379.902763776783</v>
      </c>
      <c r="AN93" s="17">
        <f t="shared" si="58"/>
        <v>0</v>
      </c>
      <c r="AO93" s="20">
        <f t="shared" si="59"/>
        <v>23126.53468284792</v>
      </c>
      <c r="AP93" s="20">
        <f t="shared" si="69"/>
        <v>724248.05387176201</v>
      </c>
      <c r="AQ93" s="18">
        <f t="shared" si="70"/>
        <v>0</v>
      </c>
      <c r="AR93" s="18">
        <f t="shared" si="71"/>
        <v>2.8857030146997031E-2</v>
      </c>
      <c r="AS93" s="18">
        <f t="shared" si="72"/>
        <v>0</v>
      </c>
      <c r="AT93" s="18">
        <f t="shared" si="73"/>
        <v>4.1124664473992656E-2</v>
      </c>
      <c r="AU93" s="18">
        <f t="shared" si="74"/>
        <v>0</v>
      </c>
      <c r="AV93" s="18">
        <f t="shared" si="75"/>
        <v>2.8857030146997031E-2</v>
      </c>
    </row>
    <row r="94" spans="1:48">
      <c r="A94" s="17">
        <f t="shared" si="60"/>
        <v>24</v>
      </c>
      <c r="B94" s="17">
        <f t="shared" si="31"/>
        <v>74</v>
      </c>
      <c r="C94" s="17">
        <f t="shared" si="32"/>
        <v>2023</v>
      </c>
      <c r="D94" s="17">
        <f>IF(COUNTIFS('5 - Dati'!$A$6:$A$186,Serie,'5 - Dati'!$B$6:$B$186,C94)&gt;0,1,0)</f>
        <v>1</v>
      </c>
      <c r="E94" s="18">
        <f>IF(D94=1,SUMIFS('5 - Dati'!$F$6:$F$186,'5 - Dati'!$A$6:$A$186,Serie,'5 - Dati'!$B$6:$B$186,C94),(1+Rend_c)*(1+Infl_c)-1)</f>
        <v>0.11278735199999998</v>
      </c>
      <c r="F94" s="18">
        <f>IF(D94=1,SUMIFS('5 - Dati'!$E$6:$E$186,'5 - Dati'!$A$6:$A$186,Serie,'5 - Dati'!$B$6:$B$186,C94),Infl_c)</f>
        <v>9.2204599999999998E-3</v>
      </c>
      <c r="G94" s="19">
        <f t="shared" si="33"/>
        <v>1.1105617772959999</v>
      </c>
      <c r="H94" s="19">
        <f t="shared" si="61"/>
        <v>0.20262918498431132</v>
      </c>
      <c r="I94" s="19">
        <f t="shared" si="34"/>
        <v>0.79268358809592099</v>
      </c>
      <c r="J94" s="20">
        <f t="shared" si="35"/>
        <v>38000</v>
      </c>
      <c r="K94" s="20">
        <f t="shared" si="36"/>
        <v>47938.421547591948</v>
      </c>
      <c r="L94" s="17">
        <f t="shared" si="37"/>
        <v>0</v>
      </c>
      <c r="M94" s="20">
        <f t="shared" si="38"/>
        <v>38000</v>
      </c>
      <c r="N94" s="20">
        <f t="shared" si="62"/>
        <v>238368.39594983074</v>
      </c>
      <c r="O94" s="20">
        <f t="shared" si="39"/>
        <v>22438.063671793072</v>
      </c>
      <c r="P94" s="20">
        <f t="shared" si="40"/>
        <v>28306.456710792765</v>
      </c>
      <c r="Q94" s="17">
        <f t="shared" si="41"/>
        <v>0</v>
      </c>
      <c r="R94" s="20">
        <f t="shared" si="42"/>
        <v>22438.063671793072</v>
      </c>
      <c r="S94" s="20">
        <f t="shared" si="63"/>
        <v>697786.38648433541</v>
      </c>
      <c r="T94" s="20">
        <f t="shared" si="43"/>
        <v>34200</v>
      </c>
      <c r="U94" s="20">
        <f t="shared" si="44"/>
        <v>43144.579392832755</v>
      </c>
      <c r="V94" s="17">
        <f t="shared" si="45"/>
        <v>0</v>
      </c>
      <c r="W94" s="20">
        <f t="shared" si="46"/>
        <v>34200</v>
      </c>
      <c r="X94" s="20">
        <f t="shared" si="64"/>
        <v>383076.42482425086</v>
      </c>
      <c r="Y94" s="18">
        <f t="shared" si="47"/>
        <v>5.4309019661732384E-2</v>
      </c>
      <c r="Z94" s="20">
        <f t="shared" si="48"/>
        <v>27657.566548260889</v>
      </c>
      <c r="AA94" s="20">
        <f t="shared" si="49"/>
        <v>34891.054846608109</v>
      </c>
      <c r="AB94" s="17">
        <f t="shared" si="50"/>
        <v>0</v>
      </c>
      <c r="AC94" s="20">
        <f t="shared" si="51"/>
        <v>27657.566548260889</v>
      </c>
      <c r="AD94" s="20">
        <f t="shared" si="65"/>
        <v>642454.14599507675</v>
      </c>
      <c r="AE94" s="20">
        <f t="shared" si="66"/>
        <v>20481.743793274625</v>
      </c>
      <c r="AF94" s="18">
        <f t="shared" si="52"/>
        <v>3.7761845436811568E-2</v>
      </c>
      <c r="AG94" s="20">
        <f t="shared" si="53"/>
        <v>20481.743793274625</v>
      </c>
      <c r="AH94" s="20">
        <f t="shared" si="54"/>
        <v>25838.485999783526</v>
      </c>
      <c r="AI94" s="17">
        <f t="shared" si="55"/>
        <v>0</v>
      </c>
      <c r="AJ94" s="20">
        <f t="shared" si="56"/>
        <v>20481.743793274625</v>
      </c>
      <c r="AK94" s="20">
        <f t="shared" si="67"/>
        <v>684248.49741573457</v>
      </c>
      <c r="AL94" s="20">
        <f t="shared" si="68"/>
        <v>22548.37131577672</v>
      </c>
      <c r="AM94" s="20">
        <f t="shared" si="57"/>
        <v>28445.613930193023</v>
      </c>
      <c r="AN94" s="17">
        <f t="shared" si="58"/>
        <v>0</v>
      </c>
      <c r="AO94" s="20">
        <f t="shared" si="59"/>
        <v>22548.37131577672</v>
      </c>
      <c r="AP94" s="20">
        <f t="shared" si="69"/>
        <v>561994.79593874572</v>
      </c>
      <c r="AQ94" s="18">
        <f t="shared" si="70"/>
        <v>0</v>
      </c>
      <c r="AR94" s="18">
        <f t="shared" si="71"/>
        <v>-0.21857983267800984</v>
      </c>
      <c r="AS94" s="18">
        <f t="shared" si="72"/>
        <v>0</v>
      </c>
      <c r="AT94" s="18">
        <f t="shared" si="73"/>
        <v>-0.20926252562021985</v>
      </c>
      <c r="AU94" s="18">
        <f t="shared" si="74"/>
        <v>-9.6395628788553456E-2</v>
      </c>
      <c r="AV94" s="18">
        <f t="shared" si="75"/>
        <v>-2.5000000000000133E-2</v>
      </c>
    </row>
    <row r="95" spans="1:48">
      <c r="A95" s="17">
        <f t="shared" si="60"/>
        <v>25</v>
      </c>
      <c r="B95" s="17">
        <f t="shared" si="31"/>
        <v>75</v>
      </c>
      <c r="C95" s="17">
        <f t="shared" si="32"/>
        <v>2024</v>
      </c>
      <c r="D95" s="17">
        <f>IF(COUNTIFS('5 - Dati'!$A$6:$A$186,Serie,'5 - Dati'!$B$6:$B$186,C95)&gt;0,1,0)</f>
        <v>1</v>
      </c>
      <c r="E95" s="18">
        <f>IF(D95=1,SUMIFS('5 - Dati'!$F$6:$F$186,'5 - Dati'!$A$6:$A$186,Serie,'5 - Dati'!$B$6:$B$186,C95),(1+Rend_c)*(1+Infl_c)-1)</f>
        <v>0.16095727999999998</v>
      </c>
      <c r="F95" s="18">
        <f>IF(D95=1,SUMIFS('5 - Dati'!$E$6:$E$186,'5 - Dati'!$A$6:$A$186,Serie,'5 - Dati'!$B$6:$B$186,C95),Infl_c)</f>
        <v>1.6611290000000001E-2</v>
      </c>
      <c r="G95" s="19">
        <f t="shared" si="33"/>
        <v>1.1586353654399999</v>
      </c>
      <c r="H95" s="19">
        <f t="shared" si="61"/>
        <v>0.18245647304526691</v>
      </c>
      <c r="I95" s="19">
        <f t="shared" si="34"/>
        <v>0.78743868299176945</v>
      </c>
      <c r="J95" s="20">
        <f t="shared" si="35"/>
        <v>38000</v>
      </c>
      <c r="K95" s="20">
        <f t="shared" si="36"/>
        <v>48257.725738877867</v>
      </c>
      <c r="L95" s="17">
        <f t="shared" si="37"/>
        <v>0</v>
      </c>
      <c r="M95" s="20">
        <f t="shared" si="38"/>
        <v>38000</v>
      </c>
      <c r="N95" s="20">
        <f t="shared" si="62"/>
        <v>209552.08421218695</v>
      </c>
      <c r="O95" s="20">
        <f t="shared" si="39"/>
        <v>23532.821494164931</v>
      </c>
      <c r="P95" s="20">
        <f t="shared" si="40"/>
        <v>29885.274882299505</v>
      </c>
      <c r="Q95" s="17">
        <f t="shared" si="41"/>
        <v>0</v>
      </c>
      <c r="R95" s="20">
        <f t="shared" si="42"/>
        <v>23532.821494164931</v>
      </c>
      <c r="S95" s="20">
        <f t="shared" si="63"/>
        <v>736706.0519891826</v>
      </c>
      <c r="T95" s="20">
        <f t="shared" si="43"/>
        <v>34200</v>
      </c>
      <c r="U95" s="20">
        <f t="shared" si="44"/>
        <v>43431.953164990082</v>
      </c>
      <c r="V95" s="17">
        <f t="shared" si="45"/>
        <v>0</v>
      </c>
      <c r="W95" s="20">
        <f t="shared" si="46"/>
        <v>34200</v>
      </c>
      <c r="X95" s="20">
        <f t="shared" si="64"/>
        <v>374066.25151240471</v>
      </c>
      <c r="Y95" s="18">
        <f t="shared" si="47"/>
        <v>5.575521460109497E-2</v>
      </c>
      <c r="Z95" s="20">
        <f t="shared" si="48"/>
        <v>29352.851415968136</v>
      </c>
      <c r="AA95" s="20">
        <f t="shared" si="49"/>
        <v>37276.364560153241</v>
      </c>
      <c r="AB95" s="17">
        <f t="shared" si="50"/>
        <v>0</v>
      </c>
      <c r="AC95" s="20">
        <f t="shared" si="51"/>
        <v>29352.851415968136</v>
      </c>
      <c r="AD95" s="20">
        <f t="shared" si="65"/>
        <v>668571.80672426603</v>
      </c>
      <c r="AE95" s="20">
        <f t="shared" si="66"/>
        <v>20481.743793274625</v>
      </c>
      <c r="AF95" s="18">
        <f t="shared" si="52"/>
        <v>3.5900217681943972E-2</v>
      </c>
      <c r="AG95" s="20">
        <f t="shared" si="53"/>
        <v>20481.743793274625</v>
      </c>
      <c r="AH95" s="20">
        <f t="shared" si="54"/>
        <v>26010.588806047654</v>
      </c>
      <c r="AI95" s="17">
        <f t="shared" si="55"/>
        <v>0</v>
      </c>
      <c r="AJ95" s="20">
        <f t="shared" si="56"/>
        <v>20481.743793274625</v>
      </c>
      <c r="AK95" s="20">
        <f t="shared" si="67"/>
        <v>724524.54290074366</v>
      </c>
      <c r="AL95" s="20">
        <f t="shared" si="68"/>
        <v>21984.662032882301</v>
      </c>
      <c r="AM95" s="20">
        <f t="shared" si="57"/>
        <v>27919.205022230399</v>
      </c>
      <c r="AN95" s="17">
        <f t="shared" si="58"/>
        <v>0</v>
      </c>
      <c r="AO95" s="20">
        <f t="shared" si="59"/>
        <v>21984.662032882301</v>
      </c>
      <c r="AP95" s="20">
        <f t="shared" si="69"/>
        <v>587125.75827708165</v>
      </c>
      <c r="AQ95" s="18">
        <f t="shared" si="70"/>
        <v>0</v>
      </c>
      <c r="AR95" s="18">
        <f t="shared" si="71"/>
        <v>4.8790209279425456E-2</v>
      </c>
      <c r="AS95" s="18">
        <f t="shared" si="72"/>
        <v>0</v>
      </c>
      <c r="AT95" s="18">
        <f t="shared" si="73"/>
        <v>6.1295517982360215E-2</v>
      </c>
      <c r="AU95" s="18">
        <f t="shared" si="74"/>
        <v>0</v>
      </c>
      <c r="AV95" s="18">
        <f t="shared" si="75"/>
        <v>-2.5000000000000022E-2</v>
      </c>
    </row>
    <row r="96" spans="1:48">
      <c r="A96" s="17">
        <f t="shared" si="60"/>
        <v>26</v>
      </c>
      <c r="B96" s="17">
        <f t="shared" si="31"/>
        <v>76</v>
      </c>
      <c r="C96" s="17">
        <f t="shared" si="32"/>
        <v>2025</v>
      </c>
      <c r="D96" s="17">
        <f>IF(COUNTIFS('5 - Dati'!$A$6:$A$186,Serie,'5 - Dati'!$B$6:$B$186,C96)&gt;0,1,0)</f>
        <v>1</v>
      </c>
      <c r="E96" s="18">
        <f>IF(D96=1,SUMIFS('5 - Dati'!$F$6:$F$186,'5 - Dati'!$A$6:$A$186,Serie,'5 - Dati'!$B$6:$B$186,C96),(1+Rend_c)*(1+Infl_c)-1)</f>
        <v>2.3494982000000001E-2</v>
      </c>
      <c r="F96" s="18">
        <f>IF(D96=1,SUMIFS('5 - Dati'!$E$6:$E$186,'5 - Dati'!$A$6:$A$186,Serie,'5 - Dati'!$B$6:$B$186,C96),Infl_c)</f>
        <v>1.0286440000000001E-2</v>
      </c>
      <c r="G96" s="19">
        <f t="shared" si="33"/>
        <v>1.021447992036</v>
      </c>
      <c r="H96" s="19">
        <f t="shared" si="61"/>
        <v>0.1574753183681544</v>
      </c>
      <c r="I96" s="19">
        <f t="shared" si="34"/>
        <v>0.78094358277572018</v>
      </c>
      <c r="J96" s="20">
        <f t="shared" si="35"/>
        <v>38000</v>
      </c>
      <c r="K96" s="20">
        <f t="shared" si="36"/>
        <v>48659.084776567339</v>
      </c>
      <c r="L96" s="17">
        <f t="shared" si="37"/>
        <v>0</v>
      </c>
      <c r="M96" s="20">
        <f t="shared" si="38"/>
        <v>38000</v>
      </c>
      <c r="N96" s="20">
        <f t="shared" si="62"/>
        <v>183827.73220345884</v>
      </c>
      <c r="O96" s="20">
        <f t="shared" si="39"/>
        <v>25520.186095386227</v>
      </c>
      <c r="P96" s="20">
        <f t="shared" si="40"/>
        <v>32678.655229715088</v>
      </c>
      <c r="Q96" s="17">
        <f t="shared" si="41"/>
        <v>0</v>
      </c>
      <c r="R96" s="20">
        <f t="shared" si="42"/>
        <v>25520.186095386227</v>
      </c>
      <c r="S96" s="20">
        <f t="shared" si="63"/>
        <v>805566.05798054661</v>
      </c>
      <c r="T96" s="20">
        <f t="shared" si="43"/>
        <v>34200</v>
      </c>
      <c r="U96" s="20">
        <f t="shared" si="44"/>
        <v>43793.176298910606</v>
      </c>
      <c r="V96" s="17">
        <f t="shared" si="45"/>
        <v>0</v>
      </c>
      <c r="W96" s="20">
        <f t="shared" si="46"/>
        <v>34200</v>
      </c>
      <c r="X96" s="20">
        <f t="shared" si="64"/>
        <v>376825.04105650325</v>
      </c>
      <c r="Y96" s="18">
        <f t="shared" si="47"/>
        <v>5.7327588299970776E-2</v>
      </c>
      <c r="Z96" s="20">
        <f t="shared" si="48"/>
        <v>32211.269269298926</v>
      </c>
      <c r="AA96" s="20">
        <f t="shared" si="49"/>
        <v>41246.602161464594</v>
      </c>
      <c r="AB96" s="17">
        <f t="shared" si="50"/>
        <v>0</v>
      </c>
      <c r="AC96" s="20">
        <f t="shared" si="51"/>
        <v>32211.269269298926</v>
      </c>
      <c r="AD96" s="20">
        <f t="shared" si="65"/>
        <v>719489.57534440048</v>
      </c>
      <c r="AE96" s="20">
        <f t="shared" si="66"/>
        <v>20481.743793274625</v>
      </c>
      <c r="AF96" s="18">
        <f t="shared" si="52"/>
        <v>3.2944303504583862E-2</v>
      </c>
      <c r="AG96" s="20">
        <f t="shared" si="53"/>
        <v>20481.743793274625</v>
      </c>
      <c r="AH96" s="20">
        <f t="shared" si="54"/>
        <v>26226.918621286364</v>
      </c>
      <c r="AI96" s="17">
        <f t="shared" si="55"/>
        <v>0</v>
      </c>
      <c r="AJ96" s="20">
        <f t="shared" si="56"/>
        <v>20481.743793274625</v>
      </c>
      <c r="AK96" s="20">
        <f t="shared" si="67"/>
        <v>796098.74337264884</v>
      </c>
      <c r="AL96" s="20">
        <f t="shared" si="68"/>
        <v>21435.045482060243</v>
      </c>
      <c r="AM96" s="20">
        <f t="shared" si="57"/>
        <v>27447.623560556476</v>
      </c>
      <c r="AN96" s="17">
        <f t="shared" si="58"/>
        <v>0</v>
      </c>
      <c r="AO96" s="20">
        <f t="shared" si="59"/>
        <v>21435.045482060243</v>
      </c>
      <c r="AP96" s="20">
        <f t="shared" si="69"/>
        <v>637329.62201007758</v>
      </c>
      <c r="AQ96" s="18">
        <f t="shared" si="70"/>
        <v>0</v>
      </c>
      <c r="AR96" s="18">
        <f t="shared" si="71"/>
        <v>8.4450757496888906E-2</v>
      </c>
      <c r="AS96" s="18">
        <f t="shared" si="72"/>
        <v>0</v>
      </c>
      <c r="AT96" s="18">
        <f t="shared" si="73"/>
        <v>9.7381266740436345E-2</v>
      </c>
      <c r="AU96" s="18">
        <f t="shared" si="74"/>
        <v>0</v>
      </c>
      <c r="AV96" s="18">
        <f t="shared" si="75"/>
        <v>-2.5000000000000022E-2</v>
      </c>
    </row>
    <row r="97" spans="1:48">
      <c r="A97" s="17">
        <f t="shared" si="60"/>
        <v>27</v>
      </c>
      <c r="B97" s="17">
        <f t="shared" si="31"/>
        <v>77</v>
      </c>
      <c r="C97" s="17">
        <f t="shared" si="32"/>
        <v>2026</v>
      </c>
      <c r="D97" s="17">
        <f>IF(COUNTIFS('5 - Dati'!$A$6:$A$186,Serie,'5 - Dati'!$B$6:$B$186,C97)&gt;0,1,0)</f>
        <v>0</v>
      </c>
      <c r="E97" s="18">
        <f>IF(D97=1,SUMIFS('5 - Dati'!$F$6:$F$186,'5 - Dati'!$A$6:$A$186,Serie,'5 - Dati'!$B$6:$B$186,C97),(1+Rend_c)*(1+Infl_c)-1)</f>
        <v>5.0599999999999978E-2</v>
      </c>
      <c r="F97" s="18">
        <f>IF(D97=1,SUMIFS('5 - Dati'!$E$6:$E$186,'5 - Dati'!$A$6:$A$186,Serie,'5 - Dati'!$B$6:$B$186,C97),Infl_c)</f>
        <v>0.02</v>
      </c>
      <c r="G97" s="19">
        <f t="shared" si="33"/>
        <v>1.0484988</v>
      </c>
      <c r="H97" s="19">
        <f t="shared" si="61"/>
        <v>0.15416870912269054</v>
      </c>
      <c r="I97" s="19">
        <f t="shared" si="34"/>
        <v>0.78008386437189947</v>
      </c>
      <c r="J97" s="20">
        <f t="shared" si="35"/>
        <v>38000</v>
      </c>
      <c r="K97" s="20">
        <f t="shared" si="36"/>
        <v>48712.711203937644</v>
      </c>
      <c r="L97" s="17">
        <f t="shared" si="37"/>
        <v>0</v>
      </c>
      <c r="M97" s="20">
        <f t="shared" si="38"/>
        <v>38000</v>
      </c>
      <c r="N97" s="20">
        <f t="shared" si="62"/>
        <v>136661.97826075976</v>
      </c>
      <c r="O97" s="20">
        <f t="shared" si="39"/>
        <v>24728.186980185197</v>
      </c>
      <c r="P97" s="20">
        <f t="shared" si="40"/>
        <v>31699.395551650854</v>
      </c>
      <c r="Q97" s="17">
        <f t="shared" si="41"/>
        <v>0</v>
      </c>
      <c r="R97" s="20">
        <f t="shared" si="42"/>
        <v>24728.186980185197</v>
      </c>
      <c r="S97" s="20">
        <f t="shared" si="63"/>
        <v>781426.1919716117</v>
      </c>
      <c r="T97" s="20">
        <f t="shared" si="43"/>
        <v>34200</v>
      </c>
      <c r="U97" s="20">
        <f t="shared" si="44"/>
        <v>43841.440083543879</v>
      </c>
      <c r="V97" s="17">
        <f t="shared" si="45"/>
        <v>0</v>
      </c>
      <c r="W97" s="20">
        <f t="shared" si="46"/>
        <v>34200</v>
      </c>
      <c r="X97" s="20">
        <f t="shared" si="64"/>
        <v>336711.17029012856</v>
      </c>
      <c r="Y97" s="18">
        <f t="shared" si="47"/>
        <v>5.9042623956761443E-2</v>
      </c>
      <c r="Z97" s="20">
        <f t="shared" si="48"/>
        <v>31583.771062492491</v>
      </c>
      <c r="AA97" s="20">
        <f t="shared" si="49"/>
        <v>40487.661013117882</v>
      </c>
      <c r="AB97" s="17">
        <f t="shared" si="50"/>
        <v>0</v>
      </c>
      <c r="AC97" s="20">
        <f t="shared" si="51"/>
        <v>31583.771062492491</v>
      </c>
      <c r="AD97" s="20">
        <f t="shared" si="65"/>
        <v>685736.13941629906</v>
      </c>
      <c r="AE97" s="20">
        <f t="shared" si="66"/>
        <v>20481.743793274625</v>
      </c>
      <c r="AF97" s="18">
        <f t="shared" si="52"/>
        <v>3.3731485960247241E-2</v>
      </c>
      <c r="AG97" s="20">
        <f t="shared" si="53"/>
        <v>20481.743793274625</v>
      </c>
      <c r="AH97" s="20">
        <f t="shared" si="54"/>
        <v>26255.822904074452</v>
      </c>
      <c r="AI97" s="17">
        <f t="shared" si="55"/>
        <v>0</v>
      </c>
      <c r="AJ97" s="20">
        <f t="shared" si="56"/>
        <v>20481.743793274625</v>
      </c>
      <c r="AK97" s="20">
        <f t="shared" si="67"/>
        <v>778377.2981426639</v>
      </c>
      <c r="AL97" s="20">
        <f t="shared" si="68"/>
        <v>20899.169345008737</v>
      </c>
      <c r="AM97" s="20">
        <f t="shared" si="57"/>
        <v>26790.92633435782</v>
      </c>
      <c r="AN97" s="17">
        <f t="shared" si="58"/>
        <v>0</v>
      </c>
      <c r="AO97" s="20">
        <f t="shared" si="59"/>
        <v>20899.169345008737</v>
      </c>
      <c r="AP97" s="20">
        <f t="shared" si="69"/>
        <v>616619.91889663122</v>
      </c>
      <c r="AQ97" s="18">
        <f t="shared" si="70"/>
        <v>0</v>
      </c>
      <c r="AR97" s="18">
        <f t="shared" si="71"/>
        <v>-3.1034221781956917E-2</v>
      </c>
      <c r="AS97" s="18">
        <f t="shared" si="72"/>
        <v>0</v>
      </c>
      <c r="AT97" s="18">
        <f t="shared" si="73"/>
        <v>-1.9480704146126682E-2</v>
      </c>
      <c r="AU97" s="18">
        <f t="shared" si="74"/>
        <v>0</v>
      </c>
      <c r="AV97" s="18">
        <f t="shared" si="75"/>
        <v>-2.5000000000000022E-2</v>
      </c>
    </row>
    <row r="98" spans="1:48">
      <c r="A98" s="17">
        <f t="shared" si="60"/>
        <v>28</v>
      </c>
      <c r="B98" s="17">
        <f t="shared" si="31"/>
        <v>78</v>
      </c>
      <c r="C98" s="17">
        <f t="shared" si="32"/>
        <v>2027</v>
      </c>
      <c r="D98" s="17">
        <f>IF(COUNTIFS('5 - Dati'!$A$6:$A$186,Serie,'5 - Dati'!$B$6:$B$186,C98)&gt;0,1,0)</f>
        <v>0</v>
      </c>
      <c r="E98" s="18">
        <f>IF(D98=1,SUMIFS('5 - Dati'!$F$6:$F$186,'5 - Dati'!$A$6:$A$186,Serie,'5 - Dati'!$B$6:$B$186,C98),(1+Rend_c)*(1+Infl_c)-1)</f>
        <v>5.0599999999999978E-2</v>
      </c>
      <c r="F98" s="18">
        <f>IF(D98=1,SUMIFS('5 - Dati'!$E$6:$E$186,'5 - Dati'!$A$6:$A$186,Serie,'5 - Dati'!$B$6:$B$186,C98),Infl_c)</f>
        <v>0.02</v>
      </c>
      <c r="G98" s="19">
        <f t="shared" si="33"/>
        <v>1.0484988</v>
      </c>
      <c r="H98" s="19">
        <f t="shared" si="61"/>
        <v>0.14703756372700716</v>
      </c>
      <c r="I98" s="19">
        <f t="shared" si="34"/>
        <v>0.77822976656902187</v>
      </c>
      <c r="J98" s="20">
        <f t="shared" si="35"/>
        <v>38000</v>
      </c>
      <c r="K98" s="20">
        <f t="shared" si="36"/>
        <v>48828.76707162003</v>
      </c>
      <c r="L98" s="17">
        <f t="shared" si="37"/>
        <v>0</v>
      </c>
      <c r="M98" s="20">
        <f t="shared" si="38"/>
        <v>38000</v>
      </c>
      <c r="N98" s="20">
        <f t="shared" si="62"/>
        <v>90406.569578389724</v>
      </c>
      <c r="O98" s="20">
        <f t="shared" si="39"/>
        <v>24329.974562050025</v>
      </c>
      <c r="P98" s="20">
        <f t="shared" si="40"/>
        <v>31263.227914441613</v>
      </c>
      <c r="Q98" s="17">
        <f t="shared" si="41"/>
        <v>0</v>
      </c>
      <c r="R98" s="20">
        <f t="shared" si="42"/>
        <v>24329.974562050025</v>
      </c>
      <c r="S98" s="20">
        <f t="shared" si="63"/>
        <v>770674.16311193444</v>
      </c>
      <c r="T98" s="20">
        <f t="shared" si="43"/>
        <v>34200</v>
      </c>
      <c r="U98" s="20">
        <f t="shared" si="44"/>
        <v>43945.890364458028</v>
      </c>
      <c r="V98" s="17">
        <f t="shared" si="45"/>
        <v>0</v>
      </c>
      <c r="W98" s="20">
        <f t="shared" si="46"/>
        <v>34200</v>
      </c>
      <c r="X98" s="20">
        <f t="shared" si="64"/>
        <v>301052.5104685566</v>
      </c>
      <c r="Y98" s="18">
        <f t="shared" si="47"/>
        <v>6.0919800768655469E-2</v>
      </c>
      <c r="Z98" s="20">
        <f t="shared" si="48"/>
        <v>31445.68557320609</v>
      </c>
      <c r="AA98" s="20">
        <f t="shared" si="49"/>
        <v>40406.685691091647</v>
      </c>
      <c r="AB98" s="17">
        <f t="shared" si="50"/>
        <v>0</v>
      </c>
      <c r="AC98" s="20">
        <f t="shared" si="51"/>
        <v>31445.68557320609</v>
      </c>
      <c r="AD98" s="20">
        <f t="shared" si="65"/>
        <v>663276.720889766</v>
      </c>
      <c r="AE98" s="20">
        <f t="shared" si="66"/>
        <v>20481.743793274625</v>
      </c>
      <c r="AF98" s="18">
        <f t="shared" si="52"/>
        <v>3.4041080443602156E-2</v>
      </c>
      <c r="AG98" s="20">
        <f t="shared" si="53"/>
        <v>20481.743793274625</v>
      </c>
      <c r="AH98" s="20">
        <f t="shared" si="54"/>
        <v>26318.376234273841</v>
      </c>
      <c r="AI98" s="17">
        <f t="shared" si="55"/>
        <v>0</v>
      </c>
      <c r="AJ98" s="20">
        <f t="shared" si="56"/>
        <v>20481.743793274625</v>
      </c>
      <c r="AK98" s="20">
        <f t="shared" si="67"/>
        <v>773135.74925675557</v>
      </c>
      <c r="AL98" s="20">
        <f t="shared" si="68"/>
        <v>20376.690111383519</v>
      </c>
      <c r="AM98" s="20">
        <f t="shared" si="57"/>
        <v>26183.385661561293</v>
      </c>
      <c r="AN98" s="17">
        <f t="shared" si="58"/>
        <v>0</v>
      </c>
      <c r="AO98" s="20">
        <f t="shared" si="59"/>
        <v>20376.690111383519</v>
      </c>
      <c r="AP98" s="20">
        <f t="shared" si="69"/>
        <v>606308.81461446325</v>
      </c>
      <c r="AQ98" s="18">
        <f t="shared" si="70"/>
        <v>0</v>
      </c>
      <c r="AR98" s="18">
        <f t="shared" si="71"/>
        <v>-1.6103583269338029E-2</v>
      </c>
      <c r="AS98" s="18">
        <f t="shared" si="72"/>
        <v>0</v>
      </c>
      <c r="AT98" s="18">
        <f t="shared" si="73"/>
        <v>-4.37203933036312E-3</v>
      </c>
      <c r="AU98" s="18">
        <f t="shared" si="74"/>
        <v>0</v>
      </c>
      <c r="AV98" s="18">
        <f t="shared" si="75"/>
        <v>-2.4999999999999911E-2</v>
      </c>
    </row>
    <row r="99" spans="1:48">
      <c r="A99" s="17">
        <f t="shared" si="60"/>
        <v>29</v>
      </c>
      <c r="B99" s="17">
        <f t="shared" si="31"/>
        <v>79</v>
      </c>
      <c r="C99" s="17">
        <f t="shared" si="32"/>
        <v>2028</v>
      </c>
      <c r="D99" s="17">
        <f>IF(COUNTIFS('5 - Dati'!$A$6:$A$186,Serie,'5 - Dati'!$B$6:$B$186,C99)&gt;0,1,0)</f>
        <v>0</v>
      </c>
      <c r="E99" s="18">
        <f>IF(D99=1,SUMIFS('5 - Dati'!$F$6:$F$186,'5 - Dati'!$A$6:$A$186,Serie,'5 - Dati'!$B$6:$B$186,C99),(1+Rend_c)*(1+Infl_c)-1)</f>
        <v>5.0599999999999978E-2</v>
      </c>
      <c r="F99" s="18">
        <f>IF(D99=1,SUMIFS('5 - Dati'!$E$6:$E$186,'5 - Dati'!$A$6:$A$186,Serie,'5 - Dati'!$B$6:$B$186,C99),Infl_c)</f>
        <v>0.02</v>
      </c>
      <c r="G99" s="19">
        <f t="shared" si="33"/>
        <v>1.0484988</v>
      </c>
      <c r="H99" s="19">
        <f t="shared" si="61"/>
        <v>0.14023627278067191</v>
      </c>
      <c r="I99" s="19">
        <f t="shared" si="34"/>
        <v>0.7764614309229747</v>
      </c>
      <c r="J99" s="20">
        <f t="shared" si="35"/>
        <v>38000</v>
      </c>
      <c r="K99" s="20">
        <f t="shared" si="36"/>
        <v>48939.971113348984</v>
      </c>
      <c r="L99" s="17">
        <f t="shared" si="37"/>
        <v>1</v>
      </c>
      <c r="M99" s="20">
        <f t="shared" si="38"/>
        <v>33185.562696250599</v>
      </c>
      <c r="N99" s="20">
        <f t="shared" si="62"/>
        <v>42739.486308808839</v>
      </c>
      <c r="O99" s="20">
        <f t="shared" si="39"/>
        <v>23940.683225286684</v>
      </c>
      <c r="P99" s="20">
        <f t="shared" si="40"/>
        <v>30833.061723141287</v>
      </c>
      <c r="Q99" s="17">
        <f t="shared" si="41"/>
        <v>0</v>
      </c>
      <c r="R99" s="20">
        <f t="shared" si="42"/>
        <v>23940.683225286684</v>
      </c>
      <c r="S99" s="20">
        <f t="shared" si="63"/>
        <v>760070.07672691066</v>
      </c>
      <c r="T99" s="20">
        <f t="shared" si="43"/>
        <v>34200</v>
      </c>
      <c r="U99" s="20">
        <f t="shared" si="44"/>
        <v>44045.974002014089</v>
      </c>
      <c r="V99" s="17">
        <f t="shared" si="45"/>
        <v>0</v>
      </c>
      <c r="W99" s="20">
        <f t="shared" si="46"/>
        <v>34200</v>
      </c>
      <c r="X99" s="20">
        <f t="shared" si="64"/>
        <v>264290.17906980711</v>
      </c>
      <c r="Y99" s="18">
        <f t="shared" si="47"/>
        <v>6.2982307249032643E-2</v>
      </c>
      <c r="Z99" s="20">
        <f t="shared" si="48"/>
        <v>31311.484524578784</v>
      </c>
      <c r="AA99" s="20">
        <f t="shared" si="49"/>
        <v>40325.872319709459</v>
      </c>
      <c r="AB99" s="17">
        <f t="shared" si="50"/>
        <v>0</v>
      </c>
      <c r="AC99" s="20">
        <f t="shared" si="51"/>
        <v>31311.484524578784</v>
      </c>
      <c r="AD99" s="20">
        <f t="shared" si="65"/>
        <v>640273.02398212522</v>
      </c>
      <c r="AE99" s="20">
        <f t="shared" si="66"/>
        <v>20481.743793274625</v>
      </c>
      <c r="AF99" s="18">
        <f t="shared" si="52"/>
        <v>3.4360926301592931E-2</v>
      </c>
      <c r="AG99" s="20">
        <f t="shared" si="53"/>
        <v>20481.743793274625</v>
      </c>
      <c r="AH99" s="20">
        <f t="shared" si="54"/>
        <v>26378.31446299671</v>
      </c>
      <c r="AI99" s="17">
        <f t="shared" si="55"/>
        <v>0</v>
      </c>
      <c r="AJ99" s="20">
        <f t="shared" si="56"/>
        <v>20481.743793274625</v>
      </c>
      <c r="AK99" s="20">
        <f t="shared" si="67"/>
        <v>767683.45042472985</v>
      </c>
      <c r="AL99" s="20">
        <f t="shared" si="68"/>
        <v>19867.272858598932</v>
      </c>
      <c r="AM99" s="20">
        <f t="shared" si="57"/>
        <v>25586.941047390894</v>
      </c>
      <c r="AN99" s="17">
        <f t="shared" si="58"/>
        <v>0</v>
      </c>
      <c r="AO99" s="20">
        <f t="shared" si="59"/>
        <v>19867.272858598932</v>
      </c>
      <c r="AP99" s="20">
        <f t="shared" si="69"/>
        <v>596334.13343784597</v>
      </c>
      <c r="AQ99" s="18">
        <f t="shared" si="70"/>
        <v>-0.12669571851972106</v>
      </c>
      <c r="AR99" s="18">
        <f t="shared" si="71"/>
        <v>-1.6000482687333339E-2</v>
      </c>
      <c r="AS99" s="18">
        <f t="shared" si="72"/>
        <v>0</v>
      </c>
      <c r="AT99" s="18">
        <f t="shared" si="73"/>
        <v>-4.2677094228040779E-3</v>
      </c>
      <c r="AU99" s="18">
        <f t="shared" si="74"/>
        <v>0</v>
      </c>
      <c r="AV99" s="18">
        <f t="shared" si="75"/>
        <v>-2.5000000000000022E-2</v>
      </c>
    </row>
    <row r="100" spans="1:48">
      <c r="A100" s="17">
        <f t="shared" si="60"/>
        <v>30</v>
      </c>
      <c r="B100" s="17">
        <f t="shared" si="31"/>
        <v>80</v>
      </c>
      <c r="C100" s="17">
        <f t="shared" si="32"/>
        <v>2029</v>
      </c>
      <c r="D100" s="17">
        <f>IF(COUNTIFS('5 - Dati'!$A$6:$A$186,Serie,'5 - Dati'!$B$6:$B$186,C100)&gt;0,1,0)</f>
        <v>0</v>
      </c>
      <c r="E100" s="18">
        <f>IF(D100=1,SUMIFS('5 - Dati'!$F$6:$F$186,'5 - Dati'!$A$6:$A$186,Serie,'5 - Dati'!$B$6:$B$186,C100),(1+Rend_c)*(1+Infl_c)-1)</f>
        <v>5.0599999999999978E-2</v>
      </c>
      <c r="F100" s="18">
        <f>IF(D100=1,SUMIFS('5 - Dati'!$E$6:$E$186,'5 - Dati'!$A$6:$A$186,Serie,'5 - Dati'!$B$6:$B$186,C100),Infl_c)</f>
        <v>0.02</v>
      </c>
      <c r="G100" s="19">
        <f t="shared" si="33"/>
        <v>1.0484988</v>
      </c>
      <c r="H100" s="19">
        <f t="shared" si="61"/>
        <v>0.13374957871260504</v>
      </c>
      <c r="I100" s="19">
        <f t="shared" si="34"/>
        <v>0.77477489046527737</v>
      </c>
      <c r="J100" s="20">
        <f t="shared" si="35"/>
        <v>38000</v>
      </c>
      <c r="K100" s="20">
        <f t="shared" si="36"/>
        <v>49046.504304211216</v>
      </c>
      <c r="L100" s="17">
        <f t="shared" si="37"/>
        <v>1</v>
      </c>
      <c r="M100" s="20">
        <f t="shared" si="38"/>
        <v>0</v>
      </c>
      <c r="N100" s="20">
        <f t="shared" si="62"/>
        <v>0</v>
      </c>
      <c r="O100" s="20">
        <f t="shared" si="39"/>
        <v>23559.985846630039</v>
      </c>
      <c r="P100" s="20">
        <f t="shared" si="40"/>
        <v>30408.814400891988</v>
      </c>
      <c r="Q100" s="17">
        <f t="shared" si="41"/>
        <v>0</v>
      </c>
      <c r="R100" s="20">
        <f t="shared" si="42"/>
        <v>23559.985846630039</v>
      </c>
      <c r="S100" s="20">
        <f t="shared" si="63"/>
        <v>749611.89720297465</v>
      </c>
      <c r="T100" s="20">
        <f t="shared" si="43"/>
        <v>34200</v>
      </c>
      <c r="U100" s="20">
        <f t="shared" si="44"/>
        <v>44141.853873790096</v>
      </c>
      <c r="V100" s="17">
        <f t="shared" si="45"/>
        <v>0</v>
      </c>
      <c r="W100" s="20">
        <f t="shared" si="46"/>
        <v>34200</v>
      </c>
      <c r="X100" s="20">
        <f t="shared" si="64"/>
        <v>226397.82815738715</v>
      </c>
      <c r="Y100" s="18">
        <f t="shared" si="47"/>
        <v>6.5257968540639963E-2</v>
      </c>
      <c r="Z100" s="20">
        <f t="shared" si="48"/>
        <v>31180.986362800817</v>
      </c>
      <c r="AA100" s="20">
        <f t="shared" si="49"/>
        <v>40245.220575070038</v>
      </c>
      <c r="AB100" s="17">
        <f t="shared" si="50"/>
        <v>0</v>
      </c>
      <c r="AC100" s="20">
        <f t="shared" si="51"/>
        <v>31180.986362800817</v>
      </c>
      <c r="AD100" s="20">
        <f t="shared" si="65"/>
        <v>616709.67507986363</v>
      </c>
      <c r="AE100" s="20">
        <f t="shared" si="66"/>
        <v>20481.743793274625</v>
      </c>
      <c r="AF100" s="18">
        <f t="shared" si="52"/>
        <v>3.4691782657828622E-2</v>
      </c>
      <c r="AG100" s="20">
        <f t="shared" si="53"/>
        <v>20481.743793274625</v>
      </c>
      <c r="AH100" s="20">
        <f t="shared" si="54"/>
        <v>26435.735134594612</v>
      </c>
      <c r="AI100" s="17">
        <f t="shared" si="55"/>
        <v>0</v>
      </c>
      <c r="AJ100" s="20">
        <f t="shared" si="56"/>
        <v>20481.743793274625</v>
      </c>
      <c r="AK100" s="20">
        <f t="shared" si="67"/>
        <v>762017.20146050397</v>
      </c>
      <c r="AL100" s="20">
        <f t="shared" si="68"/>
        <v>19370.59103713396</v>
      </c>
      <c r="AM100" s="20">
        <f t="shared" si="57"/>
        <v>25001.573070471208</v>
      </c>
      <c r="AN100" s="17">
        <f t="shared" si="58"/>
        <v>0</v>
      </c>
      <c r="AO100" s="20">
        <f t="shared" si="59"/>
        <v>19370.59103713396</v>
      </c>
      <c r="AP100" s="20">
        <f t="shared" si="69"/>
        <v>586693.86894584424</v>
      </c>
      <c r="AQ100" s="18">
        <f t="shared" si="70"/>
        <v>-1</v>
      </c>
      <c r="AR100" s="18">
        <f t="shared" si="71"/>
        <v>-1.5901692323239347E-2</v>
      </c>
      <c r="AS100" s="18">
        <f t="shared" si="72"/>
        <v>0</v>
      </c>
      <c r="AT100" s="18">
        <f t="shared" si="73"/>
        <v>-4.1677411262800446E-3</v>
      </c>
      <c r="AU100" s="18">
        <f t="shared" si="74"/>
        <v>0</v>
      </c>
      <c r="AV100" s="18">
        <f t="shared" si="75"/>
        <v>-2.4999999999999911E-2</v>
      </c>
    </row>
    <row r="101" spans="1:48">
      <c r="A101" s="17">
        <f t="shared" si="60"/>
        <v>31</v>
      </c>
      <c r="B101" s="17">
        <f t="shared" si="31"/>
        <v>81</v>
      </c>
      <c r="C101" s="17">
        <f t="shared" si="32"/>
        <v>2030</v>
      </c>
      <c r="D101" s="17">
        <f>IF(COUNTIFS('5 - Dati'!$A$6:$A$186,Serie,'5 - Dati'!$B$6:$B$186,C101)&gt;0,1,0)</f>
        <v>0</v>
      </c>
      <c r="E101" s="18">
        <f>IF(D101=1,SUMIFS('5 - Dati'!$F$6:$F$186,'5 - Dati'!$A$6:$A$186,Serie,'5 - Dati'!$B$6:$B$186,C101),(1+Rend_c)*(1+Infl_c)-1)</f>
        <v>5.0599999999999978E-2</v>
      </c>
      <c r="F101" s="18">
        <f>IF(D101=1,SUMIFS('5 - Dati'!$E$6:$E$186,'5 - Dati'!$A$6:$A$186,Serie,'5 - Dati'!$B$6:$B$186,C101),Infl_c)</f>
        <v>0.02</v>
      </c>
      <c r="G101" s="19">
        <f t="shared" si="33"/>
        <v>1.0484988</v>
      </c>
      <c r="H101" s="19">
        <f t="shared" si="61"/>
        <v>0.12756292969777844</v>
      </c>
      <c r="I101" s="19">
        <f t="shared" si="34"/>
        <v>0.77316636172142239</v>
      </c>
      <c r="J101" s="20">
        <f t="shared" si="35"/>
        <v>38000</v>
      </c>
      <c r="K101" s="20">
        <f t="shared" si="36"/>
        <v>49148.542773374931</v>
      </c>
      <c r="L101" s="17">
        <f t="shared" si="37"/>
        <v>1</v>
      </c>
      <c r="M101" s="20">
        <f t="shared" si="38"/>
        <v>0</v>
      </c>
      <c r="N101" s="20">
        <f t="shared" si="62"/>
        <v>0</v>
      </c>
      <c r="O101" s="20">
        <f t="shared" si="39"/>
        <v>23187.571939270816</v>
      </c>
      <c r="P101" s="20">
        <f t="shared" si="40"/>
        <v>29990.404507051579</v>
      </c>
      <c r="Q101" s="17">
        <f t="shared" si="41"/>
        <v>0</v>
      </c>
      <c r="R101" s="20">
        <f t="shared" si="42"/>
        <v>23187.571939270816</v>
      </c>
      <c r="S101" s="20">
        <f t="shared" si="63"/>
        <v>739297.61693557282</v>
      </c>
      <c r="T101" s="20">
        <f t="shared" si="43"/>
        <v>34200</v>
      </c>
      <c r="U101" s="20">
        <f t="shared" si="44"/>
        <v>44233.688496037437</v>
      </c>
      <c r="V101" s="17">
        <f t="shared" si="45"/>
        <v>0</v>
      </c>
      <c r="W101" s="20">
        <f t="shared" si="46"/>
        <v>34200</v>
      </c>
      <c r="X101" s="20">
        <f t="shared" si="64"/>
        <v>187348.20620508073</v>
      </c>
      <c r="Y101" s="18">
        <f t="shared" si="47"/>
        <v>6.7780466565105613E-2</v>
      </c>
      <c r="Z101" s="20">
        <f t="shared" si="48"/>
        <v>31054.018267165618</v>
      </c>
      <c r="AA101" s="20">
        <f t="shared" si="49"/>
        <v>40164.730133919889</v>
      </c>
      <c r="AB101" s="17">
        <f t="shared" si="50"/>
        <v>0</v>
      </c>
      <c r="AC101" s="20">
        <f t="shared" si="51"/>
        <v>31054.018267165618</v>
      </c>
      <c r="AD101" s="20">
        <f t="shared" si="65"/>
        <v>592570.87136365753</v>
      </c>
      <c r="AE101" s="20">
        <f t="shared" si="66"/>
        <v>20481.743793274625</v>
      </c>
      <c r="AF101" s="18">
        <f t="shared" si="52"/>
        <v>3.5034460502408805E-2</v>
      </c>
      <c r="AG101" s="20">
        <f t="shared" si="53"/>
        <v>20481.743793274625</v>
      </c>
      <c r="AH101" s="20">
        <f t="shared" si="54"/>
        <v>26490.733181501695</v>
      </c>
      <c r="AI101" s="17">
        <f t="shared" si="55"/>
        <v>0</v>
      </c>
      <c r="AJ101" s="20">
        <f t="shared" si="56"/>
        <v>20481.743793274625</v>
      </c>
      <c r="AK101" s="20">
        <f t="shared" si="67"/>
        <v>756133.61249505519</v>
      </c>
      <c r="AL101" s="20">
        <f t="shared" si="68"/>
        <v>18886.32626120561</v>
      </c>
      <c r="AM101" s="20">
        <f t="shared" si="57"/>
        <v>24427.247738967846</v>
      </c>
      <c r="AN101" s="17">
        <f t="shared" si="58"/>
        <v>0</v>
      </c>
      <c r="AO101" s="20">
        <f t="shared" si="59"/>
        <v>18886.32626120561</v>
      </c>
      <c r="AP101" s="20">
        <f t="shared" si="69"/>
        <v>577385.97862213105</v>
      </c>
      <c r="AQ101" s="18" t="str">
        <f t="shared" si="70"/>
        <v/>
      </c>
      <c r="AR101" s="18">
        <f t="shared" si="71"/>
        <v>-1.5807051404171046E-2</v>
      </c>
      <c r="AS101" s="18">
        <f t="shared" si="72"/>
        <v>0</v>
      </c>
      <c r="AT101" s="18">
        <f t="shared" si="73"/>
        <v>-4.0719717509216657E-3</v>
      </c>
      <c r="AU101" s="18">
        <f t="shared" si="74"/>
        <v>0</v>
      </c>
      <c r="AV101" s="18">
        <f t="shared" si="75"/>
        <v>-2.5000000000000022E-2</v>
      </c>
    </row>
    <row r="102" spans="1:48">
      <c r="A102" s="17">
        <f t="shared" si="60"/>
        <v>32</v>
      </c>
      <c r="B102" s="17">
        <f t="shared" si="31"/>
        <v>82</v>
      </c>
      <c r="C102" s="17">
        <f t="shared" si="32"/>
        <v>2031</v>
      </c>
      <c r="D102" s="17">
        <f>IF(COUNTIFS('5 - Dati'!$A$6:$A$186,Serie,'5 - Dati'!$B$6:$B$186,C102)&gt;0,1,0)</f>
        <v>0</v>
      </c>
      <c r="E102" s="18">
        <f>IF(D102=1,SUMIFS('5 - Dati'!$F$6:$F$186,'5 - Dati'!$A$6:$A$186,Serie,'5 - Dati'!$B$6:$B$186,C102),(1+Rend_c)*(1+Infl_c)-1)</f>
        <v>5.0599999999999978E-2</v>
      </c>
      <c r="F102" s="18">
        <f>IF(D102=1,SUMIFS('5 - Dati'!$E$6:$E$186,'5 - Dati'!$A$6:$A$186,Serie,'5 - Dati'!$B$6:$B$186,C102),Infl_c)</f>
        <v>0.02</v>
      </c>
      <c r="G102" s="19">
        <f t="shared" si="33"/>
        <v>1.0484988</v>
      </c>
      <c r="H102" s="19">
        <f t="shared" si="61"/>
        <v>0.12166244701260358</v>
      </c>
      <c r="I102" s="19">
        <f t="shared" si="34"/>
        <v>0.77163223622327692</v>
      </c>
      <c r="J102" s="20">
        <f t="shared" si="35"/>
        <v>38000</v>
      </c>
      <c r="K102" s="20">
        <f t="shared" si="36"/>
        <v>49246.257758734238</v>
      </c>
      <c r="L102" s="17">
        <f t="shared" si="37"/>
        <v>1</v>
      </c>
      <c r="M102" s="20">
        <f t="shared" si="38"/>
        <v>0</v>
      </c>
      <c r="N102" s="20">
        <f t="shared" si="62"/>
        <v>0</v>
      </c>
      <c r="O102" s="20">
        <f t="shared" si="39"/>
        <v>22823.146703364171</v>
      </c>
      <c r="P102" s="20">
        <f t="shared" si="40"/>
        <v>29577.751721559933</v>
      </c>
      <c r="Q102" s="17">
        <f t="shared" si="41"/>
        <v>0</v>
      </c>
      <c r="R102" s="20">
        <f t="shared" si="42"/>
        <v>22823.146703364171</v>
      </c>
      <c r="S102" s="20">
        <f t="shared" si="63"/>
        <v>729125.25594377401</v>
      </c>
      <c r="T102" s="20">
        <f t="shared" si="43"/>
        <v>34200</v>
      </c>
      <c r="U102" s="20">
        <f t="shared" si="44"/>
        <v>44321.63198286081</v>
      </c>
      <c r="V102" s="17">
        <f t="shared" si="45"/>
        <v>0</v>
      </c>
      <c r="W102" s="20">
        <f t="shared" si="46"/>
        <v>34200</v>
      </c>
      <c r="X102" s="20">
        <f t="shared" si="64"/>
        <v>147113.13733383393</v>
      </c>
      <c r="Y102" s="18">
        <f t="shared" si="47"/>
        <v>7.0590966889608739E-2</v>
      </c>
      <c r="Z102" s="20">
        <f t="shared" si="48"/>
        <v>30930.415729479955</v>
      </c>
      <c r="AA102" s="20">
        <f t="shared" si="49"/>
        <v>40084.400673652046</v>
      </c>
      <c r="AB102" s="17">
        <f t="shared" si="50"/>
        <v>0</v>
      </c>
      <c r="AC102" s="20">
        <f t="shared" si="51"/>
        <v>30930.415729479955</v>
      </c>
      <c r="AD102" s="20">
        <f t="shared" si="65"/>
        <v>567840.36881569645</v>
      </c>
      <c r="AE102" s="20">
        <f t="shared" si="66"/>
        <v>20481.743793274625</v>
      </c>
      <c r="AF102" s="18">
        <f t="shared" si="52"/>
        <v>3.5389828010143169E-2</v>
      </c>
      <c r="AG102" s="20">
        <f t="shared" si="53"/>
        <v>20481.743793274625</v>
      </c>
      <c r="AH102" s="20">
        <f t="shared" si="54"/>
        <v>26543.40089978835</v>
      </c>
      <c r="AI102" s="17">
        <f t="shared" si="55"/>
        <v>0</v>
      </c>
      <c r="AJ102" s="20">
        <f t="shared" si="56"/>
        <v>20481.743793274625</v>
      </c>
      <c r="AK102" s="20">
        <f t="shared" si="67"/>
        <v>750029.10136157414</v>
      </c>
      <c r="AL102" s="20">
        <f t="shared" si="68"/>
        <v>18414.168104675467</v>
      </c>
      <c r="AM102" s="20">
        <f t="shared" si="57"/>
        <v>23863.91760251344</v>
      </c>
      <c r="AN102" s="17">
        <f t="shared" si="58"/>
        <v>0</v>
      </c>
      <c r="AO102" s="20">
        <f t="shared" si="59"/>
        <v>18414.168104675467</v>
      </c>
      <c r="AP102" s="20">
        <f t="shared" si="69"/>
        <v>568408.39782403875</v>
      </c>
      <c r="AQ102" s="18" t="str">
        <f t="shared" si="70"/>
        <v/>
      </c>
      <c r="AR102" s="18">
        <f t="shared" si="71"/>
        <v>-1.5716403462211925E-2</v>
      </c>
      <c r="AS102" s="18">
        <f t="shared" si="72"/>
        <v>0</v>
      </c>
      <c r="AT102" s="18">
        <f t="shared" si="73"/>
        <v>-3.9802429631579095E-3</v>
      </c>
      <c r="AU102" s="18">
        <f t="shared" si="74"/>
        <v>0</v>
      </c>
      <c r="AV102" s="18">
        <f t="shared" si="75"/>
        <v>-2.5000000000000133E-2</v>
      </c>
    </row>
    <row r="103" spans="1:48">
      <c r="A103" s="17">
        <f t="shared" si="60"/>
        <v>33</v>
      </c>
      <c r="B103" s="17">
        <f t="shared" ref="B103:B134" si="76">Eta_inizio+A103-1</f>
        <v>83</v>
      </c>
      <c r="C103" s="17">
        <f t="shared" ref="C103:C130" si="77">Anno_inizio+A103-1</f>
        <v>2032</v>
      </c>
      <c r="D103" s="17">
        <f>IF(COUNTIFS('5 - Dati'!$A$6:$A$186,Serie,'5 - Dati'!$B$6:$B$186,C103)&gt;0,1,0)</f>
        <v>0</v>
      </c>
      <c r="E103" s="18">
        <f>IF(D103=1,SUMIFS('5 - Dati'!$F$6:$F$186,'5 - Dati'!$A$6:$A$186,Serie,'5 - Dati'!$B$6:$B$186,C103),(1+Rend_c)*(1+Infl_c)-1)</f>
        <v>5.0599999999999978E-2</v>
      </c>
      <c r="F103" s="18">
        <f>IF(D103=1,SUMIFS('5 - Dati'!$E$6:$E$186,'5 - Dati'!$A$6:$A$186,Serie,'5 - Dati'!$B$6:$B$186,C103),Infl_c)</f>
        <v>0.02</v>
      </c>
      <c r="G103" s="19">
        <f t="shared" ref="G103:G130" si="78">(1+E103)*(1-Bollo_eff)</f>
        <v>1.0484988</v>
      </c>
      <c r="H103" s="19">
        <f t="shared" si="61"/>
        <v>0.11603489390031117</v>
      </c>
      <c r="I103" s="19">
        <f t="shared" ref="I103:I134" si="79">1-Aliq_eff*MAX(0,1-H103)</f>
        <v>0.77016907241408084</v>
      </c>
      <c r="J103" s="20">
        <f t="shared" ref="J103:J130" si="80">Spesa0</f>
        <v>38000</v>
      </c>
      <c r="K103" s="20">
        <f t="shared" ref="K103:K134" si="81">J103/I103</f>
        <v>49339.815582167816</v>
      </c>
      <c r="L103" s="17">
        <f t="shared" ref="L103:L134" si="82">IF(K103&gt;N103+0.000000001,1,0)</f>
        <v>1</v>
      </c>
      <c r="M103" s="20">
        <f t="shared" ref="M103:M134" si="83">MIN(K103,N103)*I103</f>
        <v>0</v>
      </c>
      <c r="N103" s="20">
        <f t="shared" si="62"/>
        <v>0</v>
      </c>
      <c r="O103" s="20">
        <f t="shared" ref="O103:O130" si="84">Tasso0*S103*I103</f>
        <v>22466.430132389822</v>
      </c>
      <c r="P103" s="20">
        <f t="shared" ref="P103:P134" si="85">O103/I103</f>
        <v>29170.776829520313</v>
      </c>
      <c r="Q103" s="17">
        <f t="shared" ref="Q103:Q134" si="86">IF(P103&gt;S103+0.000000001,1,0)</f>
        <v>0</v>
      </c>
      <c r="R103" s="20">
        <f t="shared" ref="R103:R134" si="87">MIN(P103,S103)*I103</f>
        <v>22466.430132389822</v>
      </c>
      <c r="S103" s="20">
        <f t="shared" si="63"/>
        <v>719092.86149018269</v>
      </c>
      <c r="T103" s="20">
        <f t="shared" ref="T103:T130" si="88">MAX(Tasso0*X103*I103,Pav_pct*Spesa0)</f>
        <v>34200</v>
      </c>
      <c r="U103" s="20">
        <f t="shared" ref="U103:U134" si="89">T103/I103</f>
        <v>44405.834023951036</v>
      </c>
      <c r="V103" s="17">
        <f t="shared" ref="V103:V134" si="90">IF(U103&gt;X103+0.000000001,1,0)</f>
        <v>0</v>
      </c>
      <c r="W103" s="20">
        <f t="shared" ref="W103:W134" si="91">MIN(U103,X103)*I103</f>
        <v>34200</v>
      </c>
      <c r="X103" s="20">
        <f t="shared" si="64"/>
        <v>105663.50001047931</v>
      </c>
      <c r="Y103" s="18">
        <f t="shared" ref="Y103:Y130" si="92">IF(Eta_rif_VPW-B103&lt;=1,1,IF(r_VPW=0,1/(Eta_rif_VPW-B103),r_VPW/(1-(1+r_VPW)^(-(Eta_rif_VPW-B103)))/(1+r_VPW)))</f>
        <v>7.3740319782495012E-2</v>
      </c>
      <c r="Z103" s="20">
        <f t="shared" ref="Z103:Z134" si="93">Y103*AD103*I103</f>
        <v>30810.022153730752</v>
      </c>
      <c r="AA103" s="20">
        <f t="shared" ref="AA103:AA134" si="94">Z103/I103</f>
        <v>40004.231872304743</v>
      </c>
      <c r="AB103" s="17">
        <f t="shared" ref="AB103:AB134" si="95">IF(AA103&gt;AD103+0.000000001,1,0)</f>
        <v>0</v>
      </c>
      <c r="AC103" s="20">
        <f t="shared" ref="AC103:AC134" si="96">MIN(AA103,AD103)*I103</f>
        <v>30810.022153730752</v>
      </c>
      <c r="AD103" s="20">
        <f t="shared" si="65"/>
        <v>542501.46989193314</v>
      </c>
      <c r="AE103" s="20">
        <f t="shared" si="66"/>
        <v>20481.743793274625</v>
      </c>
      <c r="AF103" s="18">
        <f t="shared" ref="AF103:AF134" si="97">IF(AK103*I103&lt;=0,9.9,AE103/(AK103*I103))</f>
        <v>3.5758816506580332E-2</v>
      </c>
      <c r="AG103" s="20">
        <f t="shared" ref="AG103:AG134" si="98">IF(AND(AF103&gt;Tasso0*(1+GK_banda),A103&lt;=Anni-GK_ultimi),AE103*(1-GK_taglio),IF(AF103&lt;Tasso0*(1-GK_banda),AE103*(1+GK_taglio),AE103))</f>
        <v>20481.743793274625</v>
      </c>
      <c r="AH103" s="20">
        <f t="shared" ref="AH103:AH134" si="99">AG103/I103</f>
        <v>26593.827935825797</v>
      </c>
      <c r="AI103" s="17">
        <f t="shared" ref="AI103:AI134" si="100">IF(AH103&gt;AK103+0.000000001,1,0)</f>
        <v>0</v>
      </c>
      <c r="AJ103" s="20">
        <f t="shared" ref="AJ103:AJ134" si="101">MIN(AH103,AK103)*I103</f>
        <v>20481.743793274625</v>
      </c>
      <c r="AK103" s="20">
        <f t="shared" si="67"/>
        <v>743699.89093268802</v>
      </c>
      <c r="AL103" s="20">
        <f t="shared" si="68"/>
        <v>17953.81390205858</v>
      </c>
      <c r="AM103" s="20">
        <f t="shared" ref="AM103:AM134" si="102">AL103/I103</f>
        <v>23311.522813792926</v>
      </c>
      <c r="AN103" s="17">
        <f t="shared" ref="AN103:AN134" si="103">IF(AM103&gt;AP103+0.000000001,1,0)</f>
        <v>0</v>
      </c>
      <c r="AO103" s="20">
        <f t="shared" ref="AO103:AO134" si="104">MIN(AM103,AP103)*I103</f>
        <v>17953.81390205858</v>
      </c>
      <c r="AP103" s="20">
        <f t="shared" si="69"/>
        <v>559759.05299891462</v>
      </c>
      <c r="AQ103" s="18" t="str">
        <f t="shared" si="70"/>
        <v/>
      </c>
      <c r="AR103" s="18">
        <f t="shared" si="71"/>
        <v>-1.5629596374708843E-2</v>
      </c>
      <c r="AS103" s="18">
        <f t="shared" si="72"/>
        <v>0</v>
      </c>
      <c r="AT103" s="18">
        <f t="shared" si="73"/>
        <v>-3.8924008264931143E-3</v>
      </c>
      <c r="AU103" s="18">
        <f t="shared" si="74"/>
        <v>0</v>
      </c>
      <c r="AV103" s="18">
        <f t="shared" si="75"/>
        <v>-2.5000000000000022E-2</v>
      </c>
    </row>
    <row r="104" spans="1:48">
      <c r="A104" s="17">
        <f t="shared" ref="A104:A130" si="105">A103+1</f>
        <v>34</v>
      </c>
      <c r="B104" s="17">
        <f t="shared" si="76"/>
        <v>84</v>
      </c>
      <c r="C104" s="17">
        <f t="shared" si="77"/>
        <v>2033</v>
      </c>
      <c r="D104" s="17">
        <f>IF(COUNTIFS('5 - Dati'!$A$6:$A$186,Serie,'5 - Dati'!$B$6:$B$186,C104)&gt;0,1,0)</f>
        <v>0</v>
      </c>
      <c r="E104" s="18">
        <f>IF(D104=1,SUMIFS('5 - Dati'!$F$6:$F$186,'5 - Dati'!$A$6:$A$186,Serie,'5 - Dati'!$B$6:$B$186,C104),(1+Rend_c)*(1+Infl_c)-1)</f>
        <v>5.0599999999999978E-2</v>
      </c>
      <c r="F104" s="18">
        <f>IF(D104=1,SUMIFS('5 - Dati'!$E$6:$E$186,'5 - Dati'!$A$6:$A$186,Serie,'5 - Dati'!$B$6:$B$186,C104),Infl_c)</f>
        <v>0.02</v>
      </c>
      <c r="G104" s="19">
        <f t="shared" si="78"/>
        <v>1.0484988</v>
      </c>
      <c r="H104" s="19">
        <f t="shared" ref="H104:H130" si="106">H103/G103</f>
        <v>0.11066764587647709</v>
      </c>
      <c r="I104" s="19">
        <f t="shared" si="79"/>
        <v>0.76877358792788408</v>
      </c>
      <c r="J104" s="20">
        <f t="shared" si="80"/>
        <v>38000</v>
      </c>
      <c r="K104" s="20">
        <f t="shared" si="81"/>
        <v>49429.377643453387</v>
      </c>
      <c r="L104" s="17">
        <f t="shared" si="82"/>
        <v>1</v>
      </c>
      <c r="M104" s="20">
        <f t="shared" si="83"/>
        <v>0</v>
      </c>
      <c r="N104" s="20">
        <f t="shared" ref="N104:N130" si="107">(N103-MIN(K103,N103))*G103/(1+F103)</f>
        <v>0</v>
      </c>
      <c r="O104" s="20">
        <f t="shared" si="84"/>
        <v>22117.156172054707</v>
      </c>
      <c r="P104" s="20">
        <f t="shared" si="85"/>
        <v>28769.401705992841</v>
      </c>
      <c r="Q104" s="17">
        <f t="shared" si="86"/>
        <v>0</v>
      </c>
      <c r="R104" s="20">
        <f t="shared" si="87"/>
        <v>22117.156172054707</v>
      </c>
      <c r="S104" s="20">
        <f t="shared" ref="S104:S130" si="108">(S103-MIN(P103,S103))*G103/(1+F103)</f>
        <v>709198.50770608115</v>
      </c>
      <c r="T104" s="20">
        <f t="shared" si="88"/>
        <v>34200</v>
      </c>
      <c r="U104" s="20">
        <f t="shared" si="89"/>
        <v>44486.439879108046</v>
      </c>
      <c r="V104" s="17">
        <f t="shared" si="90"/>
        <v>0</v>
      </c>
      <c r="W104" s="20">
        <f t="shared" si="91"/>
        <v>34200</v>
      </c>
      <c r="X104" s="20">
        <f t="shared" ref="X104:X130" si="109">(X103-MIN(U103,X103))*G103/(1+F103)</f>
        <v>62969.205174191869</v>
      </c>
      <c r="Y104" s="18">
        <f t="shared" si="92"/>
        <v>7.7292086665522439E-2</v>
      </c>
      <c r="Z104" s="20">
        <f t="shared" si="93"/>
        <v>30692.688475033188</v>
      </c>
      <c r="AA104" s="20">
        <f t="shared" si="94"/>
        <v>39924.22340856013</v>
      </c>
      <c r="AB104" s="17">
        <f t="shared" si="95"/>
        <v>0</v>
      </c>
      <c r="AC104" s="20">
        <f t="shared" si="96"/>
        <v>30692.688475033188</v>
      </c>
      <c r="AD104" s="20">
        <f t="shared" ref="AD104:AD130" si="110">(AD103-MIN(AA103,AD103))*G103/(1+F103)</f>
        <v>516537.01084989682</v>
      </c>
      <c r="AE104" s="20">
        <f t="shared" ref="AE104:AE130" si="111">IF(OR(E103&gt;=0,GK_variante=3),AG103,IF(GK_variante=2,AG103/(1+F103),IF(AK104*I104&lt;=0,AG103/(1+F103),IF(AG103/(AK104*I104)&gt;Tasso0,AG103/(1+F103),AG103))))</f>
        <v>20481.743793274625</v>
      </c>
      <c r="AF104" s="18">
        <f t="shared" si="97"/>
        <v>3.6142427173873039E-2</v>
      </c>
      <c r="AG104" s="20">
        <f t="shared" si="98"/>
        <v>20481.743793274625</v>
      </c>
      <c r="AH104" s="20">
        <f t="shared" si="99"/>
        <v>26642.101283006024</v>
      </c>
      <c r="AI104" s="17">
        <f t="shared" si="100"/>
        <v>0</v>
      </c>
      <c r="AJ104" s="20">
        <f t="shared" si="101"/>
        <v>20481.743793274625</v>
      </c>
      <c r="AK104" s="20">
        <f t="shared" ref="AK104:AK130" si="112">(AK103-MIN(AH103,AK103))*G103/(1+F103)</f>
        <v>737142.00639699446</v>
      </c>
      <c r="AL104" s="20">
        <f t="shared" ref="AL104:AL130" si="113">MIN(MAX(Tasso0*AP104*I104,AL103*(1+VG_pav)),AL103*(1+VG_tetto))</f>
        <v>17504.968554507115</v>
      </c>
      <c r="AM104" s="20">
        <f t="shared" si="102"/>
        <v>22769.992139934435</v>
      </c>
      <c r="AN104" s="17">
        <f t="shared" si="103"/>
        <v>0</v>
      </c>
      <c r="AO104" s="20">
        <f t="shared" si="104"/>
        <v>17504.968554507115</v>
      </c>
      <c r="AP104" s="20">
        <f t="shared" ref="AP104:AP130" si="114">(AP103-MIN(AM103,AP103))*G103/(1+F103)</f>
        <v>551435.87417849398</v>
      </c>
      <c r="AQ104" s="18" t="str">
        <f t="shared" ref="AQ104:AQ130" si="115">IF(AND(A104&lt;=Anni,M103&gt;0),M104/M103-1,"")</f>
        <v/>
      </c>
      <c r="AR104" s="18">
        <f t="shared" ref="AR104:AR130" si="116">IF(AND(A104&lt;=Anni,R103&gt;0),R104/R103-1,"")</f>
        <v>-1.5546482386250005E-2</v>
      </c>
      <c r="AS104" s="18">
        <f t="shared" ref="AS104:AS130" si="117">IF(AND(A104&lt;=Anni,W103&gt;0),W104/W103-1,"")</f>
        <v>0</v>
      </c>
      <c r="AT104" s="18">
        <f t="shared" ref="AT104:AT130" si="118">IF(AND(A104&lt;=Anni,AC103&gt;0),AC104/AC103-1,"")</f>
        <v>-3.8082958237456443E-3</v>
      </c>
      <c r="AU104" s="18">
        <f t="shared" ref="AU104:AU130" si="119">IF(AND(A104&lt;=Anni,AJ103&gt;0),AJ104/AJ103-1,"")</f>
        <v>0</v>
      </c>
      <c r="AV104" s="18">
        <f t="shared" ref="AV104:AV130" si="120">IF(AND(A104&lt;=Anni,AO103&gt;0),AO104/AO103-1,"")</f>
        <v>-2.5000000000000022E-2</v>
      </c>
    </row>
    <row r="105" spans="1:48">
      <c r="A105" s="17">
        <f t="shared" si="105"/>
        <v>35</v>
      </c>
      <c r="B105" s="17">
        <f t="shared" si="76"/>
        <v>85</v>
      </c>
      <c r="C105" s="17">
        <f t="shared" si="77"/>
        <v>2034</v>
      </c>
      <c r="D105" s="17">
        <f>IF(COUNTIFS('5 - Dati'!$A$6:$A$186,Serie,'5 - Dati'!$B$6:$B$186,C105)&gt;0,1,0)</f>
        <v>0</v>
      </c>
      <c r="E105" s="18">
        <f>IF(D105=1,SUMIFS('5 - Dati'!$F$6:$F$186,'5 - Dati'!$A$6:$A$186,Serie,'5 - Dati'!$B$6:$B$186,C105),(1+Rend_c)*(1+Infl_c)-1)</f>
        <v>5.0599999999999978E-2</v>
      </c>
      <c r="F105" s="18">
        <f>IF(D105=1,SUMIFS('5 - Dati'!$E$6:$E$186,'5 - Dati'!$A$6:$A$186,Serie,'5 - Dati'!$B$6:$B$186,C105),Infl_c)</f>
        <v>0.02</v>
      </c>
      <c r="G105" s="19">
        <f t="shared" si="78"/>
        <v>1.0484988</v>
      </c>
      <c r="H105" s="19">
        <f t="shared" si="106"/>
        <v>0.1055486624080801</v>
      </c>
      <c r="I105" s="19">
        <f t="shared" si="79"/>
        <v>0.76744265222610086</v>
      </c>
      <c r="J105" s="20">
        <f t="shared" si="80"/>
        <v>38000</v>
      </c>
      <c r="K105" s="20">
        <f t="shared" si="81"/>
        <v>49515.10043098907</v>
      </c>
      <c r="L105" s="17">
        <f t="shared" si="82"/>
        <v>1</v>
      </c>
      <c r="M105" s="20">
        <f t="shared" si="83"/>
        <v>0</v>
      </c>
      <c r="N105" s="20">
        <f t="shared" si="107"/>
        <v>0</v>
      </c>
      <c r="O105" s="20">
        <f t="shared" si="84"/>
        <v>21775.071928625384</v>
      </c>
      <c r="P105" s="20">
        <f t="shared" si="85"/>
        <v>28373.549300997282</v>
      </c>
      <c r="Q105" s="17">
        <f t="shared" si="86"/>
        <v>0</v>
      </c>
      <c r="R105" s="20">
        <f t="shared" si="87"/>
        <v>21775.071928625384</v>
      </c>
      <c r="S105" s="20">
        <f t="shared" si="108"/>
        <v>699440.29522173072</v>
      </c>
      <c r="T105" s="20">
        <f t="shared" si="88"/>
        <v>34200</v>
      </c>
      <c r="U105" s="20">
        <f t="shared" si="89"/>
        <v>44563.590387890159</v>
      </c>
      <c r="V105" s="17">
        <f t="shared" si="90"/>
        <v>1</v>
      </c>
      <c r="W105" s="20">
        <f t="shared" si="91"/>
        <v>14580.776298505438</v>
      </c>
      <c r="X105" s="20">
        <f t="shared" si="109"/>
        <v>18999.173757428467</v>
      </c>
      <c r="Y105" s="18">
        <f t="shared" si="92"/>
        <v>8.1326777147852469E-2</v>
      </c>
      <c r="Z105" s="20">
        <f t="shared" si="93"/>
        <v>30578.272796931287</v>
      </c>
      <c r="AA105" s="20">
        <f t="shared" si="94"/>
        <v>39844.374961742993</v>
      </c>
      <c r="AB105" s="17">
        <f t="shared" si="95"/>
        <v>0</v>
      </c>
      <c r="AC105" s="20">
        <f t="shared" si="96"/>
        <v>30578.272796931287</v>
      </c>
      <c r="AD105" s="20">
        <f t="shared" si="110"/>
        <v>489929.34872244758</v>
      </c>
      <c r="AE105" s="20">
        <f t="shared" si="111"/>
        <v>20481.743793274625</v>
      </c>
      <c r="AF105" s="18">
        <f t="shared" si="97"/>
        <v>3.6541738604114235E-2</v>
      </c>
      <c r="AG105" s="20">
        <f t="shared" si="98"/>
        <v>20481.743793274625</v>
      </c>
      <c r="AH105" s="20">
        <f t="shared" si="99"/>
        <v>26688.305287520529</v>
      </c>
      <c r="AI105" s="17">
        <f t="shared" si="100"/>
        <v>0</v>
      </c>
      <c r="AJ105" s="20">
        <f t="shared" si="101"/>
        <v>20481.743793274625</v>
      </c>
      <c r="AK105" s="20">
        <f t="shared" si="112"/>
        <v>730351.27246287325</v>
      </c>
      <c r="AL105" s="20">
        <f t="shared" si="113"/>
        <v>17067.344340644438</v>
      </c>
      <c r="AM105" s="20">
        <f t="shared" si="102"/>
        <v>22239.243924139006</v>
      </c>
      <c r="AN105" s="17">
        <f t="shared" si="103"/>
        <v>0</v>
      </c>
      <c r="AO105" s="20">
        <f t="shared" si="104"/>
        <v>17067.344340644438</v>
      </c>
      <c r="AP105" s="20">
        <f t="shared" si="114"/>
        <v>543436.80678271677</v>
      </c>
      <c r="AQ105" s="18" t="str">
        <f t="shared" si="115"/>
        <v/>
      </c>
      <c r="AR105" s="18">
        <f t="shared" si="116"/>
        <v>-1.5466918114072414E-2</v>
      </c>
      <c r="AS105" s="18">
        <f t="shared" si="117"/>
        <v>-0.57366151173960711</v>
      </c>
      <c r="AT105" s="18">
        <f t="shared" si="118"/>
        <v>-3.7277828625201792E-3</v>
      </c>
      <c r="AU105" s="18">
        <f t="shared" si="119"/>
        <v>0</v>
      </c>
      <c r="AV105" s="18">
        <f t="shared" si="120"/>
        <v>-2.4999999999999911E-2</v>
      </c>
    </row>
    <row r="106" spans="1:48">
      <c r="A106" s="17">
        <f t="shared" si="105"/>
        <v>36</v>
      </c>
      <c r="B106" s="17">
        <f t="shared" si="76"/>
        <v>86</v>
      </c>
      <c r="C106" s="17">
        <f t="shared" si="77"/>
        <v>2035</v>
      </c>
      <c r="D106" s="17">
        <f>IF(COUNTIFS('5 - Dati'!$A$6:$A$186,Serie,'5 - Dati'!$B$6:$B$186,C106)&gt;0,1,0)</f>
        <v>0</v>
      </c>
      <c r="E106" s="18">
        <f>IF(D106=1,SUMIFS('5 - Dati'!$F$6:$F$186,'5 - Dati'!$A$6:$A$186,Serie,'5 - Dati'!$B$6:$B$186,C106),(1+Rend_c)*(1+Infl_c)-1)</f>
        <v>5.0599999999999978E-2</v>
      </c>
      <c r="F106" s="18">
        <f>IF(D106=1,SUMIFS('5 - Dati'!$E$6:$E$186,'5 - Dati'!$A$6:$A$186,Serie,'5 - Dati'!$B$6:$B$186,C106),Infl_c)</f>
        <v>0.02</v>
      </c>
      <c r="G106" s="19">
        <f t="shared" si="78"/>
        <v>1.0484988</v>
      </c>
      <c r="H106" s="19">
        <f t="shared" si="106"/>
        <v>0.10066645990255793</v>
      </c>
      <c r="I106" s="19">
        <f t="shared" si="79"/>
        <v>0.76617327957466508</v>
      </c>
      <c r="J106" s="20">
        <f t="shared" si="80"/>
        <v>38000</v>
      </c>
      <c r="K106" s="20">
        <f t="shared" si="81"/>
        <v>49597.135547581864</v>
      </c>
      <c r="L106" s="17">
        <f t="shared" si="82"/>
        <v>1</v>
      </c>
      <c r="M106" s="20">
        <f t="shared" si="83"/>
        <v>0</v>
      </c>
      <c r="N106" s="20">
        <f t="shared" si="107"/>
        <v>0</v>
      </c>
      <c r="O106" s="20">
        <f t="shared" si="84"/>
        <v>21439.936923762234</v>
      </c>
      <c r="P106" s="20">
        <f t="shared" si="85"/>
        <v>27983.143624722128</v>
      </c>
      <c r="Q106" s="17">
        <f t="shared" si="86"/>
        <v>0</v>
      </c>
      <c r="R106" s="20">
        <f t="shared" si="87"/>
        <v>21439.936923762234</v>
      </c>
      <c r="S106" s="20">
        <f t="shared" si="108"/>
        <v>689816.3508017587</v>
      </c>
      <c r="T106" s="20">
        <f t="shared" si="88"/>
        <v>34200</v>
      </c>
      <c r="U106" s="20">
        <f t="shared" si="89"/>
        <v>44637.421992823678</v>
      </c>
      <c r="V106" s="17">
        <f t="shared" si="90"/>
        <v>1</v>
      </c>
      <c r="W106" s="20">
        <f t="shared" si="91"/>
        <v>0</v>
      </c>
      <c r="X106" s="20">
        <f t="shared" si="109"/>
        <v>0</v>
      </c>
      <c r="Y106" s="18">
        <f t="shared" si="92"/>
        <v>8.5947901932680801E-2</v>
      </c>
      <c r="Z106" s="20">
        <f t="shared" si="93"/>
        <v>30466.640046167216</v>
      </c>
      <c r="AA106" s="20">
        <f t="shared" si="94"/>
        <v>39764.686211819506</v>
      </c>
      <c r="AB106" s="17">
        <f t="shared" si="95"/>
        <v>0</v>
      </c>
      <c r="AC106" s="20">
        <f t="shared" si="96"/>
        <v>30466.640046167216</v>
      </c>
      <c r="AD106" s="20">
        <f t="shared" si="110"/>
        <v>462660.34792757861</v>
      </c>
      <c r="AE106" s="20">
        <f t="shared" si="111"/>
        <v>20481.743793274625</v>
      </c>
      <c r="AF106" s="18">
        <f t="shared" si="97"/>
        <v>3.6957915326392123E-2</v>
      </c>
      <c r="AG106" s="20">
        <f t="shared" si="98"/>
        <v>20481.743793274625</v>
      </c>
      <c r="AH106" s="20">
        <f t="shared" si="99"/>
        <v>26732.521662260137</v>
      </c>
      <c r="AI106" s="17">
        <f t="shared" si="100"/>
        <v>0</v>
      </c>
      <c r="AJ106" s="20">
        <f t="shared" si="101"/>
        <v>20481.743793274625</v>
      </c>
      <c r="AK106" s="20">
        <f t="shared" si="112"/>
        <v>723323.31047823199</v>
      </c>
      <c r="AL106" s="20">
        <f t="shared" si="113"/>
        <v>16651.760708504004</v>
      </c>
      <c r="AM106" s="20">
        <f t="shared" si="102"/>
        <v>21733.674551725551</v>
      </c>
      <c r="AN106" s="17">
        <f t="shared" si="103"/>
        <v>0</v>
      </c>
      <c r="AO106" s="20">
        <f t="shared" si="104"/>
        <v>16651.760708504004</v>
      </c>
      <c r="AP106" s="20">
        <f t="shared" si="114"/>
        <v>535759.82276484638</v>
      </c>
      <c r="AQ106" s="18" t="str">
        <f t="shared" si="115"/>
        <v/>
      </c>
      <c r="AR106" s="18">
        <f t="shared" si="116"/>
        <v>-1.5390764538535606E-2</v>
      </c>
      <c r="AS106" s="18">
        <f t="shared" si="117"/>
        <v>-1</v>
      </c>
      <c r="AT106" s="18">
        <f t="shared" si="118"/>
        <v>-3.6507212655672028E-3</v>
      </c>
      <c r="AU106" s="18">
        <f t="shared" si="119"/>
        <v>0</v>
      </c>
      <c r="AV106" s="18">
        <f t="shared" si="120"/>
        <v>-2.4349636583516854E-2</v>
      </c>
    </row>
    <row r="107" spans="1:48">
      <c r="A107" s="17">
        <f t="shared" si="105"/>
        <v>37</v>
      </c>
      <c r="B107" s="17">
        <f t="shared" si="76"/>
        <v>87</v>
      </c>
      <c r="C107" s="17">
        <f t="shared" si="77"/>
        <v>2036</v>
      </c>
      <c r="D107" s="17">
        <f>IF(COUNTIFS('5 - Dati'!$A$6:$A$186,Serie,'5 - Dati'!$B$6:$B$186,C107)&gt;0,1,0)</f>
        <v>0</v>
      </c>
      <c r="E107" s="18">
        <f>IF(D107=1,SUMIFS('5 - Dati'!$F$6:$F$186,'5 - Dati'!$A$6:$A$186,Serie,'5 - Dati'!$B$6:$B$186,C107),(1+Rend_c)*(1+Infl_c)-1)</f>
        <v>5.0599999999999978E-2</v>
      </c>
      <c r="F107" s="18">
        <f>IF(D107=1,SUMIFS('5 - Dati'!$E$6:$E$186,'5 - Dati'!$A$6:$A$186,Serie,'5 - Dati'!$B$6:$B$186,C107),Infl_c)</f>
        <v>0.02</v>
      </c>
      <c r="G107" s="19">
        <f t="shared" si="78"/>
        <v>1.0484988</v>
      </c>
      <c r="H107" s="19">
        <f t="shared" si="106"/>
        <v>9.6010085946267115E-2</v>
      </c>
      <c r="I107" s="19">
        <f t="shared" si="79"/>
        <v>0.76496262234602941</v>
      </c>
      <c r="J107" s="20">
        <f t="shared" si="80"/>
        <v>38000</v>
      </c>
      <c r="K107" s="20">
        <f t="shared" si="81"/>
        <v>49675.629749672618</v>
      </c>
      <c r="L107" s="17">
        <f t="shared" si="82"/>
        <v>1</v>
      </c>
      <c r="M107" s="20">
        <f t="shared" si="83"/>
        <v>0</v>
      </c>
      <c r="N107" s="20">
        <f t="shared" si="107"/>
        <v>0</v>
      </c>
      <c r="O107" s="20">
        <f t="shared" si="84"/>
        <v>21111.522393101121</v>
      </c>
      <c r="P107" s="20">
        <f t="shared" si="85"/>
        <v>27598.109732937202</v>
      </c>
      <c r="Q107" s="17">
        <f t="shared" si="86"/>
        <v>0</v>
      </c>
      <c r="R107" s="20">
        <f t="shared" si="87"/>
        <v>21111.522393101121</v>
      </c>
      <c r="S107" s="20">
        <f t="shared" si="108"/>
        <v>680324.82698556292</v>
      </c>
      <c r="T107" s="20">
        <f t="shared" si="88"/>
        <v>34200</v>
      </c>
      <c r="U107" s="20">
        <f t="shared" si="89"/>
        <v>44708.066774705359</v>
      </c>
      <c r="V107" s="17">
        <f t="shared" si="90"/>
        <v>1</v>
      </c>
      <c r="W107" s="20">
        <f t="shared" si="91"/>
        <v>0</v>
      </c>
      <c r="X107" s="20">
        <f t="shared" si="109"/>
        <v>0</v>
      </c>
      <c r="Y107" s="18">
        <f t="shared" si="92"/>
        <v>9.1290819374104923E-2</v>
      </c>
      <c r="Z107" s="20">
        <f t="shared" si="93"/>
        <v>30357.661644077732</v>
      </c>
      <c r="AA107" s="20">
        <f t="shared" si="94"/>
        <v>39685.156839395873</v>
      </c>
      <c r="AB107" s="17">
        <f t="shared" si="95"/>
        <v>0</v>
      </c>
      <c r="AC107" s="20">
        <f t="shared" si="96"/>
        <v>30357.661644077732</v>
      </c>
      <c r="AD107" s="20">
        <f t="shared" si="110"/>
        <v>434711.36650409736</v>
      </c>
      <c r="AE107" s="20">
        <f t="shared" si="111"/>
        <v>20481.743793274625</v>
      </c>
      <c r="AF107" s="18">
        <f t="shared" si="97"/>
        <v>3.7392217456094536E-2</v>
      </c>
      <c r="AG107" s="20">
        <f t="shared" si="98"/>
        <v>20481.743793274625</v>
      </c>
      <c r="AH107" s="20">
        <f t="shared" si="99"/>
        <v>26774.829507956987</v>
      </c>
      <c r="AI107" s="17">
        <f t="shared" si="100"/>
        <v>0</v>
      </c>
      <c r="AJ107" s="20">
        <f t="shared" si="101"/>
        <v>20481.743793274625</v>
      </c>
      <c r="AK107" s="20">
        <f t="shared" si="112"/>
        <v>716053.53545549011</v>
      </c>
      <c r="AL107" s="20">
        <f t="shared" si="113"/>
        <v>16396.690919949564</v>
      </c>
      <c r="AM107" s="20">
        <f t="shared" si="102"/>
        <v>21434.630191032462</v>
      </c>
      <c r="AN107" s="17">
        <f t="shared" si="103"/>
        <v>0</v>
      </c>
      <c r="AO107" s="20">
        <f t="shared" si="104"/>
        <v>16396.690919949564</v>
      </c>
      <c r="AP107" s="20">
        <f t="shared" si="114"/>
        <v>528388.0387941954</v>
      </c>
      <c r="AQ107" s="18" t="str">
        <f t="shared" si="115"/>
        <v/>
      </c>
      <c r="AR107" s="18">
        <f t="shared" si="116"/>
        <v>-1.5317886980214301E-2</v>
      </c>
      <c r="AS107" s="18" t="str">
        <f t="shared" si="117"/>
        <v/>
      </c>
      <c r="AT107" s="18">
        <f t="shared" si="118"/>
        <v>-3.5769747476041003E-3</v>
      </c>
      <c r="AU107" s="18">
        <f t="shared" si="119"/>
        <v>0</v>
      </c>
      <c r="AV107" s="18">
        <f t="shared" si="120"/>
        <v>-1.5317886980214412E-2</v>
      </c>
    </row>
    <row r="108" spans="1:48">
      <c r="A108" s="17">
        <f t="shared" si="105"/>
        <v>38</v>
      </c>
      <c r="B108" s="17">
        <f t="shared" si="76"/>
        <v>88</v>
      </c>
      <c r="C108" s="17">
        <f t="shared" si="77"/>
        <v>2037</v>
      </c>
      <c r="D108" s="17">
        <f>IF(COUNTIFS('5 - Dati'!$A$6:$A$186,Serie,'5 - Dati'!$B$6:$B$186,C108)&gt;0,1,0)</f>
        <v>0</v>
      </c>
      <c r="E108" s="18">
        <f>IF(D108=1,SUMIFS('5 - Dati'!$F$6:$F$186,'5 - Dati'!$A$6:$A$186,Serie,'5 - Dati'!$B$6:$B$186,C108),(1+Rend_c)*(1+Infl_c)-1)</f>
        <v>5.0599999999999978E-2</v>
      </c>
      <c r="F108" s="18">
        <f>IF(D108=1,SUMIFS('5 - Dati'!$E$6:$E$186,'5 - Dati'!$A$6:$A$186,Serie,'5 - Dati'!$B$6:$B$186,C108),Infl_c)</f>
        <v>0.02</v>
      </c>
      <c r="G108" s="19">
        <f t="shared" si="78"/>
        <v>1.0484988</v>
      </c>
      <c r="H108" s="19">
        <f t="shared" si="106"/>
        <v>9.1569094734554893E-2</v>
      </c>
      <c r="I108" s="19">
        <f t="shared" si="79"/>
        <v>0.76380796463098433</v>
      </c>
      <c r="J108" s="20">
        <f t="shared" si="80"/>
        <v>38000</v>
      </c>
      <c r="K108" s="20">
        <f t="shared" si="81"/>
        <v>49750.724998473663</v>
      </c>
      <c r="L108" s="17">
        <f t="shared" si="82"/>
        <v>1</v>
      </c>
      <c r="M108" s="20">
        <f t="shared" si="83"/>
        <v>0</v>
      </c>
      <c r="N108" s="20">
        <f t="shared" si="107"/>
        <v>0</v>
      </c>
      <c r="O108" s="20">
        <f t="shared" si="84"/>
        <v>20789.610625991849</v>
      </c>
      <c r="P108" s="20">
        <f t="shared" si="85"/>
        <v>27218.373712607012</v>
      </c>
      <c r="Q108" s="17">
        <f t="shared" si="86"/>
        <v>0</v>
      </c>
      <c r="R108" s="20">
        <f t="shared" si="87"/>
        <v>20789.610625991849</v>
      </c>
      <c r="S108" s="20">
        <f t="shared" si="108"/>
        <v>670963.90173266409</v>
      </c>
      <c r="T108" s="20">
        <f t="shared" si="88"/>
        <v>34200</v>
      </c>
      <c r="U108" s="20">
        <f t="shared" si="89"/>
        <v>44775.652498626296</v>
      </c>
      <c r="V108" s="17">
        <f t="shared" si="90"/>
        <v>1</v>
      </c>
      <c r="W108" s="20">
        <f t="shared" si="91"/>
        <v>0</v>
      </c>
      <c r="X108" s="20">
        <f t="shared" si="109"/>
        <v>0</v>
      </c>
      <c r="Y108" s="18">
        <f t="shared" si="92"/>
        <v>9.7536005313556398E-2</v>
      </c>
      <c r="Z108" s="20">
        <f t="shared" si="93"/>
        <v>30251.215193817232</v>
      </c>
      <c r="AA108" s="20">
        <f t="shared" si="94"/>
        <v>39605.786525717085</v>
      </c>
      <c r="AB108" s="17">
        <f t="shared" si="95"/>
        <v>0</v>
      </c>
      <c r="AC108" s="20">
        <f t="shared" si="96"/>
        <v>30251.215193817232</v>
      </c>
      <c r="AD108" s="20">
        <f t="shared" si="110"/>
        <v>406063.24196273321</v>
      </c>
      <c r="AE108" s="20">
        <f t="shared" si="111"/>
        <v>20481.743793274625</v>
      </c>
      <c r="AF108" s="18">
        <f t="shared" si="97"/>
        <v>3.7846011641765293E-2</v>
      </c>
      <c r="AG108" s="20">
        <f t="shared" si="98"/>
        <v>20481.743793274625</v>
      </c>
      <c r="AH108" s="20">
        <f t="shared" si="99"/>
        <v>26815.305340747385</v>
      </c>
      <c r="AI108" s="17">
        <f t="shared" si="100"/>
        <v>0</v>
      </c>
      <c r="AJ108" s="20">
        <f t="shared" si="101"/>
        <v>20481.743793274625</v>
      </c>
      <c r="AK108" s="20">
        <f t="shared" si="112"/>
        <v>708537.1529917072</v>
      </c>
      <c r="AL108" s="20">
        <f t="shared" si="113"/>
        <v>16146.671634248483</v>
      </c>
      <c r="AM108" s="20">
        <f t="shared" si="102"/>
        <v>21139.700529372411</v>
      </c>
      <c r="AN108" s="17">
        <f t="shared" si="103"/>
        <v>0</v>
      </c>
      <c r="AO108" s="20">
        <f t="shared" si="104"/>
        <v>16146.671634248483</v>
      </c>
      <c r="AP108" s="20">
        <f t="shared" si="114"/>
        <v>521117.68683953525</v>
      </c>
      <c r="AQ108" s="18" t="str">
        <f t="shared" si="115"/>
        <v/>
      </c>
      <c r="AR108" s="18">
        <f t="shared" si="116"/>
        <v>-1.5248155065049507E-2</v>
      </c>
      <c r="AS108" s="18" t="str">
        <f t="shared" si="117"/>
        <v/>
      </c>
      <c r="AT108" s="18">
        <f t="shared" si="118"/>
        <v>-3.506411380049923E-3</v>
      </c>
      <c r="AU108" s="18">
        <f t="shared" si="119"/>
        <v>0</v>
      </c>
      <c r="AV108" s="18">
        <f t="shared" si="120"/>
        <v>-1.5248155065049507E-2</v>
      </c>
    </row>
    <row r="109" spans="1:48">
      <c r="A109" s="17">
        <f t="shared" si="105"/>
        <v>39</v>
      </c>
      <c r="B109" s="17">
        <f t="shared" si="76"/>
        <v>89</v>
      </c>
      <c r="C109" s="17">
        <f t="shared" si="77"/>
        <v>2038</v>
      </c>
      <c r="D109" s="17">
        <f>IF(COUNTIFS('5 - Dati'!$A$6:$A$186,Serie,'5 - Dati'!$B$6:$B$186,C109)&gt;0,1,0)</f>
        <v>0</v>
      </c>
      <c r="E109" s="18">
        <f>IF(D109=1,SUMIFS('5 - Dati'!$F$6:$F$186,'5 - Dati'!$A$6:$A$186,Serie,'5 - Dati'!$B$6:$B$186,C109),(1+Rend_c)*(1+Infl_c)-1)</f>
        <v>5.0599999999999978E-2</v>
      </c>
      <c r="F109" s="18">
        <f>IF(D109=1,SUMIFS('5 - Dati'!$E$6:$E$186,'5 - Dati'!$A$6:$A$186,Serie,'5 - Dati'!$B$6:$B$186,C109),Infl_c)</f>
        <v>0.02</v>
      </c>
      <c r="G109" s="19">
        <f t="shared" si="78"/>
        <v>1.0484988</v>
      </c>
      <c r="H109" s="19">
        <f t="shared" si="106"/>
        <v>8.7333523638324528E-2</v>
      </c>
      <c r="I109" s="19">
        <f t="shared" si="79"/>
        <v>0.76270671614596441</v>
      </c>
      <c r="J109" s="20">
        <f t="shared" si="80"/>
        <v>38000</v>
      </c>
      <c r="K109" s="20">
        <f t="shared" si="81"/>
        <v>49822.558521600433</v>
      </c>
      <c r="L109" s="17">
        <f t="shared" si="82"/>
        <v>1</v>
      </c>
      <c r="M109" s="20">
        <f t="shared" si="83"/>
        <v>0</v>
      </c>
      <c r="N109" s="20">
        <f t="shared" si="107"/>
        <v>0</v>
      </c>
      <c r="O109" s="20">
        <f t="shared" si="84"/>
        <v>20473.994343956245</v>
      </c>
      <c r="P109" s="20">
        <f t="shared" si="85"/>
        <v>26843.862667702007</v>
      </c>
      <c r="Q109" s="17">
        <f t="shared" si="86"/>
        <v>0</v>
      </c>
      <c r="R109" s="20">
        <f t="shared" si="87"/>
        <v>20473.994343956245</v>
      </c>
      <c r="S109" s="20">
        <f t="shared" si="108"/>
        <v>661731.77807293751</v>
      </c>
      <c r="T109" s="20">
        <f t="shared" si="88"/>
        <v>34200</v>
      </c>
      <c r="U109" s="20">
        <f t="shared" si="89"/>
        <v>44840.302669440389</v>
      </c>
      <c r="V109" s="17">
        <f t="shared" si="90"/>
        <v>1</v>
      </c>
      <c r="W109" s="20">
        <f t="shared" si="91"/>
        <v>0</v>
      </c>
      <c r="X109" s="20">
        <f t="shared" si="109"/>
        <v>0</v>
      </c>
      <c r="Y109" s="18">
        <f t="shared" si="92"/>
        <v>0.10492956101008979</v>
      </c>
      <c r="Z109" s="20">
        <f t="shared" si="93"/>
        <v>30147.184182644938</v>
      </c>
      <c r="AA109" s="20">
        <f t="shared" si="94"/>
        <v>39526.574952665636</v>
      </c>
      <c r="AB109" s="17">
        <f t="shared" si="95"/>
        <v>0</v>
      </c>
      <c r="AC109" s="20">
        <f t="shared" si="96"/>
        <v>30147.184182644938</v>
      </c>
      <c r="AD109" s="20">
        <f t="shared" si="110"/>
        <v>376696.27674192638</v>
      </c>
      <c r="AE109" s="20">
        <f t="shared" si="111"/>
        <v>20481.743793274625</v>
      </c>
      <c r="AF109" s="18">
        <f t="shared" si="97"/>
        <v>3.8320783517108069E-2</v>
      </c>
      <c r="AG109" s="20">
        <f t="shared" si="98"/>
        <v>20481.743793274625</v>
      </c>
      <c r="AH109" s="20">
        <f t="shared" si="99"/>
        <v>26854.023125390828</v>
      </c>
      <c r="AI109" s="17">
        <f t="shared" si="100"/>
        <v>0</v>
      </c>
      <c r="AJ109" s="20">
        <f t="shared" si="101"/>
        <v>20481.743793274625</v>
      </c>
      <c r="AK109" s="20">
        <f t="shared" si="112"/>
        <v>700769.15607432765</v>
      </c>
      <c r="AL109" s="20">
        <f t="shared" si="113"/>
        <v>15901.541864377759</v>
      </c>
      <c r="AM109" s="20">
        <f t="shared" si="102"/>
        <v>20848.828950569477</v>
      </c>
      <c r="AN109" s="17">
        <f t="shared" si="103"/>
        <v>0</v>
      </c>
      <c r="AO109" s="20">
        <f t="shared" si="104"/>
        <v>15901.541864377759</v>
      </c>
      <c r="AP109" s="20">
        <f t="shared" si="114"/>
        <v>513947.37124766869</v>
      </c>
      <c r="AQ109" s="18" t="str">
        <f t="shared" si="115"/>
        <v/>
      </c>
      <c r="AR109" s="18">
        <f t="shared" si="116"/>
        <v>-1.5181442678922075E-2</v>
      </c>
      <c r="AS109" s="18" t="str">
        <f t="shared" si="117"/>
        <v/>
      </c>
      <c r="AT109" s="18">
        <f t="shared" si="118"/>
        <v>-3.4389035450568262E-3</v>
      </c>
      <c r="AU109" s="18">
        <f t="shared" si="119"/>
        <v>0</v>
      </c>
      <c r="AV109" s="18">
        <f t="shared" si="120"/>
        <v>-1.5181442678922297E-2</v>
      </c>
    </row>
    <row r="110" spans="1:48">
      <c r="A110" s="17">
        <f t="shared" si="105"/>
        <v>40</v>
      </c>
      <c r="B110" s="17">
        <f t="shared" si="76"/>
        <v>90</v>
      </c>
      <c r="C110" s="17">
        <f t="shared" si="77"/>
        <v>2039</v>
      </c>
      <c r="D110" s="17">
        <f>IF(COUNTIFS('5 - Dati'!$A$6:$A$186,Serie,'5 - Dati'!$B$6:$B$186,C110)&gt;0,1,0)</f>
        <v>0</v>
      </c>
      <c r="E110" s="18">
        <f>IF(D110=1,SUMIFS('5 - Dati'!$F$6:$F$186,'5 - Dati'!$A$6:$A$186,Serie,'5 - Dati'!$B$6:$B$186,C110),(1+Rend_c)*(1+Infl_c)-1)</f>
        <v>5.0599999999999978E-2</v>
      </c>
      <c r="F110" s="18">
        <f>IF(D110=1,SUMIFS('5 - Dati'!$E$6:$E$186,'5 - Dati'!$A$6:$A$186,Serie,'5 - Dati'!$B$6:$B$186,C110),Infl_c)</f>
        <v>0.02</v>
      </c>
      <c r="G110" s="19">
        <f t="shared" si="78"/>
        <v>1.0484988</v>
      </c>
      <c r="H110" s="19">
        <f t="shared" si="106"/>
        <v>8.3293870854525096E-2</v>
      </c>
      <c r="I110" s="19">
        <f t="shared" si="79"/>
        <v>0.76165640642217647</v>
      </c>
      <c r="J110" s="20">
        <f t="shared" si="80"/>
        <v>38000</v>
      </c>
      <c r="K110" s="20">
        <f t="shared" si="81"/>
        <v>49891.262883879797</v>
      </c>
      <c r="L110" s="17">
        <f t="shared" si="82"/>
        <v>1</v>
      </c>
      <c r="M110" s="20">
        <f t="shared" si="83"/>
        <v>0</v>
      </c>
      <c r="N110" s="20">
        <f t="shared" si="107"/>
        <v>0</v>
      </c>
      <c r="O110" s="20">
        <f t="shared" si="84"/>
        <v>20164.476115573525</v>
      </c>
      <c r="P110" s="20">
        <f t="shared" si="85"/>
        <v>26474.504705205109</v>
      </c>
      <c r="Q110" s="17">
        <f t="shared" si="86"/>
        <v>0</v>
      </c>
      <c r="R110" s="20">
        <f t="shared" si="87"/>
        <v>20164.476115573525</v>
      </c>
      <c r="S110" s="20">
        <f t="shared" si="108"/>
        <v>652626.6837616578</v>
      </c>
      <c r="T110" s="20">
        <f t="shared" si="88"/>
        <v>34200</v>
      </c>
      <c r="U110" s="20">
        <f t="shared" si="89"/>
        <v>44902.136595491822</v>
      </c>
      <c r="V110" s="17">
        <f t="shared" si="90"/>
        <v>1</v>
      </c>
      <c r="W110" s="20">
        <f t="shared" si="91"/>
        <v>0</v>
      </c>
      <c r="X110" s="20">
        <f t="shared" si="109"/>
        <v>0</v>
      </c>
      <c r="Y110" s="18">
        <f t="shared" si="92"/>
        <v>0.11381602583025205</v>
      </c>
      <c r="Z110" s="20">
        <f t="shared" si="93"/>
        <v>30045.457698550857</v>
      </c>
      <c r="AA110" s="20">
        <f t="shared" si="94"/>
        <v>39447.52180276029</v>
      </c>
      <c r="AB110" s="17">
        <f t="shared" si="95"/>
        <v>0</v>
      </c>
      <c r="AC110" s="20">
        <f t="shared" si="96"/>
        <v>30045.457698550857</v>
      </c>
      <c r="AD110" s="20">
        <f t="shared" si="110"/>
        <v>346590.22325725266</v>
      </c>
      <c r="AE110" s="20">
        <f t="shared" si="111"/>
        <v>20481.743793274625</v>
      </c>
      <c r="AF110" s="18">
        <f t="shared" si="97"/>
        <v>3.8818151904844528E-2</v>
      </c>
      <c r="AG110" s="20">
        <f t="shared" si="98"/>
        <v>20481.743793274625</v>
      </c>
      <c r="AH110" s="20">
        <f t="shared" si="99"/>
        <v>26891.054313435205</v>
      </c>
      <c r="AI110" s="17">
        <f t="shared" si="100"/>
        <v>0</v>
      </c>
      <c r="AJ110" s="20">
        <f t="shared" si="101"/>
        <v>20481.743793274625</v>
      </c>
      <c r="AK110" s="20">
        <f t="shared" si="112"/>
        <v>692744.32176353002</v>
      </c>
      <c r="AL110" s="20">
        <f t="shared" si="113"/>
        <v>15661.148271230719</v>
      </c>
      <c r="AM110" s="20">
        <f t="shared" si="102"/>
        <v>20561.959617457669</v>
      </c>
      <c r="AN110" s="17">
        <f t="shared" si="103"/>
        <v>0</v>
      </c>
      <c r="AO110" s="20">
        <f t="shared" si="104"/>
        <v>15661.148271230719</v>
      </c>
      <c r="AP110" s="20">
        <f t="shared" si="114"/>
        <v>506875.71556888014</v>
      </c>
      <c r="AQ110" s="18" t="str">
        <f t="shared" si="115"/>
        <v/>
      </c>
      <c r="AR110" s="18">
        <f t="shared" si="116"/>
        <v>-1.5117627912898501E-2</v>
      </c>
      <c r="AS110" s="18" t="str">
        <f t="shared" si="117"/>
        <v/>
      </c>
      <c r="AT110" s="18">
        <f t="shared" si="118"/>
        <v>-3.3743278801023902E-3</v>
      </c>
      <c r="AU110" s="18">
        <f t="shared" si="119"/>
        <v>0</v>
      </c>
      <c r="AV110" s="18">
        <f t="shared" si="120"/>
        <v>-1.5117627912898501E-2</v>
      </c>
    </row>
    <row r="111" spans="1:48">
      <c r="A111" s="17">
        <f t="shared" si="105"/>
        <v>41</v>
      </c>
      <c r="B111" s="17">
        <f t="shared" si="76"/>
        <v>91</v>
      </c>
      <c r="C111" s="17">
        <f t="shared" si="77"/>
        <v>2040</v>
      </c>
      <c r="D111" s="17">
        <f>IF(COUNTIFS('5 - Dati'!$A$6:$A$186,Serie,'5 - Dati'!$B$6:$B$186,C111)&gt;0,1,0)</f>
        <v>0</v>
      </c>
      <c r="E111" s="18">
        <f>IF(D111=1,SUMIFS('5 - Dati'!$F$6:$F$186,'5 - Dati'!$A$6:$A$186,Serie,'5 - Dati'!$B$6:$B$186,C111),(1+Rend_c)*(1+Infl_c)-1)</f>
        <v>5.0599999999999978E-2</v>
      </c>
      <c r="F111" s="18">
        <f>IF(D111=1,SUMIFS('5 - Dati'!$E$6:$E$186,'5 - Dati'!$A$6:$A$186,Serie,'5 - Dati'!$B$6:$B$186,C111),Infl_c)</f>
        <v>0.02</v>
      </c>
      <c r="G111" s="19">
        <f t="shared" si="78"/>
        <v>1.0484988</v>
      </c>
      <c r="H111" s="19">
        <f t="shared" si="106"/>
        <v>7.9441074090428235E-2</v>
      </c>
      <c r="I111" s="19">
        <f t="shared" si="79"/>
        <v>0.76065467926351138</v>
      </c>
      <c r="J111" s="20">
        <f t="shared" si="80"/>
        <v>38000</v>
      </c>
      <c r="K111" s="20">
        <f t="shared" si="81"/>
        <v>49956.96606611654</v>
      </c>
      <c r="L111" s="17">
        <f t="shared" si="82"/>
        <v>1</v>
      </c>
      <c r="M111" s="20">
        <f t="shared" si="83"/>
        <v>0</v>
      </c>
      <c r="N111" s="20">
        <f t="shared" si="107"/>
        <v>0</v>
      </c>
      <c r="O111" s="20">
        <f t="shared" si="84"/>
        <v>19860.867805636506</v>
      </c>
      <c r="P111" s="20">
        <f t="shared" si="85"/>
        <v>26110.228921310776</v>
      </c>
      <c r="Q111" s="17">
        <f t="shared" si="86"/>
        <v>0</v>
      </c>
      <c r="R111" s="20">
        <f t="shared" si="87"/>
        <v>19860.867805636506</v>
      </c>
      <c r="S111" s="20">
        <f t="shared" si="108"/>
        <v>643646.87093929003</v>
      </c>
      <c r="T111" s="20">
        <f t="shared" si="88"/>
        <v>34200</v>
      </c>
      <c r="U111" s="20">
        <f t="shared" si="89"/>
        <v>44961.269459504889</v>
      </c>
      <c r="V111" s="17">
        <f t="shared" si="90"/>
        <v>1</v>
      </c>
      <c r="W111" s="20">
        <f t="shared" si="91"/>
        <v>0</v>
      </c>
      <c r="X111" s="20">
        <f t="shared" si="109"/>
        <v>0</v>
      </c>
      <c r="Y111" s="18">
        <f t="shared" si="92"/>
        <v>0.12469306506611982</v>
      </c>
      <c r="Z111" s="20">
        <f t="shared" si="93"/>
        <v>29945.930160529759</v>
      </c>
      <c r="AA111" s="20">
        <f t="shared" si="94"/>
        <v>39368.626759154766</v>
      </c>
      <c r="AB111" s="17">
        <f t="shared" si="95"/>
        <v>0</v>
      </c>
      <c r="AC111" s="20">
        <f t="shared" si="96"/>
        <v>29945.930160529759</v>
      </c>
      <c r="AD111" s="20">
        <f t="shared" si="110"/>
        <v>315724.26853313082</v>
      </c>
      <c r="AE111" s="20">
        <f t="shared" si="111"/>
        <v>20481.743793274625</v>
      </c>
      <c r="AF111" s="18">
        <f t="shared" si="97"/>
        <v>3.9339885066701663E-2</v>
      </c>
      <c r="AG111" s="20">
        <f t="shared" si="98"/>
        <v>20481.743793274625</v>
      </c>
      <c r="AH111" s="20">
        <f t="shared" si="99"/>
        <v>26926.467885671409</v>
      </c>
      <c r="AI111" s="17">
        <f t="shared" si="100"/>
        <v>0</v>
      </c>
      <c r="AJ111" s="20">
        <f t="shared" si="101"/>
        <v>20481.743793274625</v>
      </c>
      <c r="AK111" s="20">
        <f t="shared" si="112"/>
        <v>684457.20774265041</v>
      </c>
      <c r="AL111" s="20">
        <f t="shared" si="113"/>
        <v>15425.344735793013</v>
      </c>
      <c r="AM111" s="20">
        <f t="shared" si="102"/>
        <v>20279.03746116213</v>
      </c>
      <c r="AN111" s="17">
        <f t="shared" si="103"/>
        <v>0</v>
      </c>
      <c r="AO111" s="20">
        <f t="shared" si="104"/>
        <v>15425.344735793013</v>
      </c>
      <c r="AP111" s="20">
        <f t="shared" si="114"/>
        <v>499901.36229270522</v>
      </c>
      <c r="AQ111" s="18" t="str">
        <f t="shared" si="115"/>
        <v/>
      </c>
      <c r="AR111" s="18">
        <f t="shared" si="116"/>
        <v>-1.5056593000327689E-2</v>
      </c>
      <c r="AS111" s="18" t="str">
        <f t="shared" si="117"/>
        <v/>
      </c>
      <c r="AT111" s="18">
        <f t="shared" si="118"/>
        <v>-3.3125652143385365E-3</v>
      </c>
      <c r="AU111" s="18">
        <f t="shared" si="119"/>
        <v>0</v>
      </c>
      <c r="AV111" s="18">
        <f t="shared" si="120"/>
        <v>-1.5056593000327689E-2</v>
      </c>
    </row>
    <row r="112" spans="1:48">
      <c r="A112" s="17">
        <f t="shared" si="105"/>
        <v>42</v>
      </c>
      <c r="B112" s="17">
        <f t="shared" si="76"/>
        <v>92</v>
      </c>
      <c r="C112" s="17">
        <f t="shared" si="77"/>
        <v>2041</v>
      </c>
      <c r="D112" s="17">
        <f>IF(COUNTIFS('5 - Dati'!$A$6:$A$186,Serie,'5 - Dati'!$B$6:$B$186,C112)&gt;0,1,0)</f>
        <v>0</v>
      </c>
      <c r="E112" s="18">
        <f>IF(D112=1,SUMIFS('5 - Dati'!$F$6:$F$186,'5 - Dati'!$A$6:$A$186,Serie,'5 - Dati'!$B$6:$B$186,C112),(1+Rend_c)*(1+Infl_c)-1)</f>
        <v>5.0599999999999978E-2</v>
      </c>
      <c r="F112" s="18">
        <f>IF(D112=1,SUMIFS('5 - Dati'!$E$6:$E$186,'5 - Dati'!$A$6:$A$186,Serie,'5 - Dati'!$B$6:$B$186,C112),Infl_c)</f>
        <v>0.02</v>
      </c>
      <c r="G112" s="19">
        <f t="shared" si="78"/>
        <v>1.0484988</v>
      </c>
      <c r="H112" s="19">
        <f t="shared" si="106"/>
        <v>7.5766490233873648E-2</v>
      </c>
      <c r="I112" s="19">
        <f t="shared" si="79"/>
        <v>0.75969928746080717</v>
      </c>
      <c r="J112" s="20">
        <f t="shared" si="80"/>
        <v>38000</v>
      </c>
      <c r="K112" s="20">
        <f t="shared" si="81"/>
        <v>50019.791550693561</v>
      </c>
      <c r="L112" s="17">
        <f t="shared" si="82"/>
        <v>1</v>
      </c>
      <c r="M112" s="20">
        <f t="shared" si="83"/>
        <v>0</v>
      </c>
      <c r="N112" s="20">
        <f t="shared" si="107"/>
        <v>0</v>
      </c>
      <c r="O112" s="20">
        <f t="shared" si="84"/>
        <v>19562.990056550148</v>
      </c>
      <c r="P112" s="20">
        <f t="shared" si="85"/>
        <v>25750.965387813929</v>
      </c>
      <c r="Q112" s="17">
        <f t="shared" si="86"/>
        <v>0</v>
      </c>
      <c r="R112" s="20">
        <f t="shared" si="87"/>
        <v>19562.990056550148</v>
      </c>
      <c r="S112" s="20">
        <f t="shared" si="108"/>
        <v>634790.61579596158</v>
      </c>
      <c r="T112" s="20">
        <f t="shared" si="88"/>
        <v>34200</v>
      </c>
      <c r="U112" s="20">
        <f t="shared" si="89"/>
        <v>45017.812395624205</v>
      </c>
      <c r="V112" s="17">
        <f t="shared" si="90"/>
        <v>1</v>
      </c>
      <c r="W112" s="20">
        <f t="shared" si="91"/>
        <v>0</v>
      </c>
      <c r="X112" s="20">
        <f t="shared" si="109"/>
        <v>0</v>
      </c>
      <c r="Y112" s="18">
        <f t="shared" si="92"/>
        <v>0.13830717361867884</v>
      </c>
      <c r="Z112" s="20">
        <f t="shared" si="93"/>
        <v>29848.501061845855</v>
      </c>
      <c r="AA112" s="20">
        <f t="shared" si="94"/>
        <v>39289.889505636449</v>
      </c>
      <c r="AB112" s="17">
        <f t="shared" si="95"/>
        <v>0</v>
      </c>
      <c r="AC112" s="20">
        <f t="shared" si="96"/>
        <v>29848.501061845855</v>
      </c>
      <c r="AD112" s="20">
        <f t="shared" si="110"/>
        <v>284077.0184051409</v>
      </c>
      <c r="AE112" s="20">
        <f t="shared" si="111"/>
        <v>20481.743793274625</v>
      </c>
      <c r="AF112" s="18">
        <f t="shared" si="97"/>
        <v>3.9887919351914262E-2</v>
      </c>
      <c r="AG112" s="20">
        <f t="shared" si="98"/>
        <v>20481.743793274625</v>
      </c>
      <c r="AH112" s="20">
        <f t="shared" si="99"/>
        <v>26960.330398271271</v>
      </c>
      <c r="AI112" s="17">
        <f t="shared" si="100"/>
        <v>0</v>
      </c>
      <c r="AJ112" s="20">
        <f t="shared" si="101"/>
        <v>20481.743793274625</v>
      </c>
      <c r="AK112" s="20">
        <f t="shared" si="112"/>
        <v>675902.14872858289</v>
      </c>
      <c r="AL112" s="20">
        <f t="shared" si="113"/>
        <v>15193.991956360323</v>
      </c>
      <c r="AM112" s="20">
        <f t="shared" si="102"/>
        <v>20000.008170527843</v>
      </c>
      <c r="AN112" s="17">
        <f t="shared" si="103"/>
        <v>0</v>
      </c>
      <c r="AO112" s="20">
        <f t="shared" si="104"/>
        <v>15193.991956360323</v>
      </c>
      <c r="AP112" s="20">
        <f t="shared" si="114"/>
        <v>493022.97258733638</v>
      </c>
      <c r="AQ112" s="18" t="str">
        <f t="shared" si="115"/>
        <v/>
      </c>
      <c r="AR112" s="18">
        <f t="shared" si="116"/>
        <v>-1.499822424686903E-2</v>
      </c>
      <c r="AS112" s="18" t="str">
        <f t="shared" si="117"/>
        <v/>
      </c>
      <c r="AT112" s="18">
        <f t="shared" si="118"/>
        <v>-3.2535004977845006E-3</v>
      </c>
      <c r="AU112" s="18">
        <f t="shared" si="119"/>
        <v>0</v>
      </c>
      <c r="AV112" s="18">
        <f t="shared" si="120"/>
        <v>-1.4998224246869363E-2</v>
      </c>
    </row>
    <row r="113" spans="1:48">
      <c r="A113" s="17">
        <f t="shared" si="105"/>
        <v>43</v>
      </c>
      <c r="B113" s="17">
        <f t="shared" si="76"/>
        <v>93</v>
      </c>
      <c r="C113" s="17">
        <f t="shared" si="77"/>
        <v>2042</v>
      </c>
      <c r="D113" s="17">
        <f>IF(COUNTIFS('5 - Dati'!$A$6:$A$186,Serie,'5 - Dati'!$B$6:$B$186,C113)&gt;0,1,0)</f>
        <v>0</v>
      </c>
      <c r="E113" s="18">
        <f>IF(D113=1,SUMIFS('5 - Dati'!$F$6:$F$186,'5 - Dati'!$A$6:$A$186,Serie,'5 - Dati'!$B$6:$B$186,C113),(1+Rend_c)*(1+Infl_c)-1)</f>
        <v>5.0599999999999978E-2</v>
      </c>
      <c r="F113" s="18">
        <f>IF(D113=1,SUMIFS('5 - Dati'!$E$6:$E$186,'5 - Dati'!$A$6:$A$186,Serie,'5 - Dati'!$B$6:$B$186,C113),Infl_c)</f>
        <v>0.02</v>
      </c>
      <c r="G113" s="19">
        <f t="shared" si="78"/>
        <v>1.0484988</v>
      </c>
      <c r="H113" s="19">
        <f t="shared" si="106"/>
        <v>7.2261875963876787E-2</v>
      </c>
      <c r="I113" s="19">
        <f t="shared" si="79"/>
        <v>0.75878808775060791</v>
      </c>
      <c r="J113" s="20">
        <f t="shared" si="80"/>
        <v>38000</v>
      </c>
      <c r="K113" s="20">
        <f t="shared" si="81"/>
        <v>50079.858412971713</v>
      </c>
      <c r="L113" s="17">
        <f t="shared" si="82"/>
        <v>1</v>
      </c>
      <c r="M113" s="20">
        <f t="shared" si="83"/>
        <v>0</v>
      </c>
      <c r="N113" s="20">
        <f t="shared" si="107"/>
        <v>0</v>
      </c>
      <c r="O113" s="20">
        <f t="shared" si="84"/>
        <v>19270.671800064461</v>
      </c>
      <c r="P113" s="20">
        <f t="shared" si="85"/>
        <v>25396.645138686185</v>
      </c>
      <c r="Q113" s="17">
        <f t="shared" si="86"/>
        <v>0</v>
      </c>
      <c r="R113" s="20">
        <f t="shared" si="87"/>
        <v>19270.671800064461</v>
      </c>
      <c r="S113" s="20">
        <f t="shared" si="108"/>
        <v>626056.2182405513</v>
      </c>
      <c r="T113" s="20">
        <f t="shared" si="88"/>
        <v>34200</v>
      </c>
      <c r="U113" s="20">
        <f t="shared" si="89"/>
        <v>45071.872571674539</v>
      </c>
      <c r="V113" s="17">
        <f t="shared" si="90"/>
        <v>1</v>
      </c>
      <c r="W113" s="20">
        <f t="shared" si="91"/>
        <v>0</v>
      </c>
      <c r="X113" s="20">
        <f t="shared" si="109"/>
        <v>0</v>
      </c>
      <c r="Y113" s="18">
        <f t="shared" si="92"/>
        <v>0.15583141141191459</v>
      </c>
      <c r="Z113" s="20">
        <f t="shared" si="93"/>
        <v>29753.074725662726</v>
      </c>
      <c r="AA113" s="20">
        <f t="shared" si="94"/>
        <v>39211.309726625172</v>
      </c>
      <c r="AB113" s="17">
        <f t="shared" si="95"/>
        <v>0</v>
      </c>
      <c r="AC113" s="20">
        <f t="shared" si="96"/>
        <v>29753.074725662726</v>
      </c>
      <c r="AD113" s="20">
        <f t="shared" si="110"/>
        <v>251626.48128095659</v>
      </c>
      <c r="AE113" s="20">
        <f t="shared" si="111"/>
        <v>20481.743793274625</v>
      </c>
      <c r="AF113" s="18">
        <f t="shared" si="97"/>
        <v>4.0464380667944951E-2</v>
      </c>
      <c r="AG113" s="20">
        <f t="shared" si="98"/>
        <v>20481.743793274625</v>
      </c>
      <c r="AH113" s="20">
        <f t="shared" si="99"/>
        <v>26992.706032051457</v>
      </c>
      <c r="AI113" s="17">
        <f t="shared" si="100"/>
        <v>0</v>
      </c>
      <c r="AJ113" s="20">
        <f t="shared" si="101"/>
        <v>20481.743793274625</v>
      </c>
      <c r="AK113" s="20">
        <f t="shared" si="112"/>
        <v>667073.2527344604</v>
      </c>
      <c r="AL113" s="20">
        <f t="shared" si="113"/>
        <v>14966.957069315866</v>
      </c>
      <c r="AM113" s="20">
        <f t="shared" si="102"/>
        <v>19724.818181693805</v>
      </c>
      <c r="AN113" s="17">
        <f t="shared" si="103"/>
        <v>0</v>
      </c>
      <c r="AO113" s="20">
        <f t="shared" si="104"/>
        <v>14966.957069315866</v>
      </c>
      <c r="AP113" s="20">
        <f t="shared" si="114"/>
        <v>486239.2260426142</v>
      </c>
      <c r="AQ113" s="18" t="str">
        <f t="shared" si="115"/>
        <v/>
      </c>
      <c r="AR113" s="18" t="str">
        <f t="shared" si="116"/>
        <v/>
      </c>
      <c r="AS113" s="18" t="str">
        <f t="shared" si="117"/>
        <v/>
      </c>
      <c r="AT113" s="18" t="str">
        <f t="shared" si="118"/>
        <v/>
      </c>
      <c r="AU113" s="18" t="str">
        <f t="shared" si="119"/>
        <v/>
      </c>
      <c r="AV113" s="18" t="str">
        <f t="shared" si="120"/>
        <v/>
      </c>
    </row>
    <row r="114" spans="1:48">
      <c r="A114" s="17">
        <f t="shared" si="105"/>
        <v>44</v>
      </c>
      <c r="B114" s="17">
        <f t="shared" si="76"/>
        <v>94</v>
      </c>
      <c r="C114" s="17">
        <f t="shared" si="77"/>
        <v>2043</v>
      </c>
      <c r="D114" s="17">
        <f>IF(COUNTIFS('5 - Dati'!$A$6:$A$186,Serie,'5 - Dati'!$B$6:$B$186,C114)&gt;0,1,0)</f>
        <v>0</v>
      </c>
      <c r="E114" s="18">
        <f>IF(D114=1,SUMIFS('5 - Dati'!$F$6:$F$186,'5 - Dati'!$A$6:$A$186,Serie,'5 - Dati'!$B$6:$B$186,C114),(1+Rend_c)*(1+Infl_c)-1)</f>
        <v>5.0599999999999978E-2</v>
      </c>
      <c r="F114" s="18">
        <f>IF(D114=1,SUMIFS('5 - Dati'!$E$6:$E$186,'5 - Dati'!$A$6:$A$186,Serie,'5 - Dati'!$B$6:$B$186,C114),Infl_c)</f>
        <v>0.02</v>
      </c>
      <c r="G114" s="19">
        <f t="shared" si="78"/>
        <v>1.0484988</v>
      </c>
      <c r="H114" s="19">
        <f t="shared" si="106"/>
        <v>6.8919369258101951E-2</v>
      </c>
      <c r="I114" s="19">
        <f t="shared" si="79"/>
        <v>0.75791903600710653</v>
      </c>
      <c r="J114" s="20">
        <f t="shared" si="80"/>
        <v>38000</v>
      </c>
      <c r="K114" s="20">
        <f t="shared" si="81"/>
        <v>50137.28141754141</v>
      </c>
      <c r="L114" s="17">
        <f t="shared" si="82"/>
        <v>1</v>
      </c>
      <c r="M114" s="20">
        <f t="shared" si="83"/>
        <v>0</v>
      </c>
      <c r="N114" s="20">
        <f t="shared" si="107"/>
        <v>0</v>
      </c>
      <c r="O114" s="20">
        <f t="shared" si="84"/>
        <v>18983.749797546814</v>
      </c>
      <c r="P114" s="20">
        <f t="shared" si="85"/>
        <v>25047.200156836825</v>
      </c>
      <c r="Q114" s="17">
        <f t="shared" si="86"/>
        <v>0</v>
      </c>
      <c r="R114" s="20">
        <f t="shared" si="87"/>
        <v>18983.749797546814</v>
      </c>
      <c r="S114" s="20">
        <f t="shared" si="108"/>
        <v>617442.0015743312</v>
      </c>
      <c r="T114" s="20">
        <f t="shared" si="88"/>
        <v>34200</v>
      </c>
      <c r="U114" s="20">
        <f t="shared" si="89"/>
        <v>45123.553275787264</v>
      </c>
      <c r="V114" s="17">
        <f t="shared" si="90"/>
        <v>1</v>
      </c>
      <c r="W114" s="20">
        <f t="shared" si="91"/>
        <v>0</v>
      </c>
      <c r="X114" s="20">
        <f t="shared" si="109"/>
        <v>0</v>
      </c>
      <c r="Y114" s="18">
        <f t="shared" si="92"/>
        <v>0.1792208742234731</v>
      </c>
      <c r="Z114" s="20">
        <f t="shared" si="93"/>
        <v>29659.56007244268</v>
      </c>
      <c r="AA114" s="20">
        <f t="shared" si="94"/>
        <v>39132.887107171933</v>
      </c>
      <c r="AB114" s="17">
        <f t="shared" si="95"/>
        <v>0</v>
      </c>
      <c r="AC114" s="20">
        <f t="shared" si="96"/>
        <v>29659.56007244268</v>
      </c>
      <c r="AD114" s="20">
        <f t="shared" si="110"/>
        <v>218350.05144755944</v>
      </c>
      <c r="AE114" s="20">
        <f t="shared" si="111"/>
        <v>20481.743793274625</v>
      </c>
      <c r="AF114" s="18">
        <f t="shared" si="97"/>
        <v>4.1071609285071212E-2</v>
      </c>
      <c r="AG114" s="20">
        <f t="shared" si="98"/>
        <v>20481.743793274625</v>
      </c>
      <c r="AH114" s="20">
        <f t="shared" si="99"/>
        <v>27023.656644352421</v>
      </c>
      <c r="AI114" s="17">
        <f t="shared" si="100"/>
        <v>0</v>
      </c>
      <c r="AJ114" s="20">
        <f t="shared" si="101"/>
        <v>20481.743793274625</v>
      </c>
      <c r="AK114" s="20">
        <f t="shared" si="112"/>
        <v>657964.39717727422</v>
      </c>
      <c r="AL114" s="20">
        <f t="shared" si="113"/>
        <v>14744.113292073525</v>
      </c>
      <c r="AM114" s="20">
        <f t="shared" si="102"/>
        <v>19453.414667810612</v>
      </c>
      <c r="AN114" s="17">
        <f t="shared" si="103"/>
        <v>0</v>
      </c>
      <c r="AO114" s="20">
        <f t="shared" si="104"/>
        <v>14744.113292073525</v>
      </c>
      <c r="AP114" s="20">
        <f t="shared" si="114"/>
        <v>479548.82041655452</v>
      </c>
      <c r="AQ114" s="18" t="str">
        <f t="shared" si="115"/>
        <v/>
      </c>
      <c r="AR114" s="18" t="str">
        <f t="shared" si="116"/>
        <v/>
      </c>
      <c r="AS114" s="18" t="str">
        <f t="shared" si="117"/>
        <v/>
      </c>
      <c r="AT114" s="18" t="str">
        <f t="shared" si="118"/>
        <v/>
      </c>
      <c r="AU114" s="18" t="str">
        <f t="shared" si="119"/>
        <v/>
      </c>
      <c r="AV114" s="18" t="str">
        <f t="shared" si="120"/>
        <v/>
      </c>
    </row>
    <row r="115" spans="1:48">
      <c r="A115" s="17">
        <f t="shared" si="105"/>
        <v>45</v>
      </c>
      <c r="B115" s="17">
        <f t="shared" si="76"/>
        <v>95</v>
      </c>
      <c r="C115" s="17">
        <f t="shared" si="77"/>
        <v>2044</v>
      </c>
      <c r="D115" s="17">
        <f>IF(COUNTIFS('5 - Dati'!$A$6:$A$186,Serie,'5 - Dati'!$B$6:$B$186,C115)&gt;0,1,0)</f>
        <v>0</v>
      </c>
      <c r="E115" s="18">
        <f>IF(D115=1,SUMIFS('5 - Dati'!$F$6:$F$186,'5 - Dati'!$A$6:$A$186,Serie,'5 - Dati'!$B$6:$B$186,C115),(1+Rend_c)*(1+Infl_c)-1)</f>
        <v>5.0599999999999978E-2</v>
      </c>
      <c r="F115" s="18">
        <f>IF(D115=1,SUMIFS('5 - Dati'!$E$6:$E$186,'5 - Dati'!$A$6:$A$186,Serie,'5 - Dati'!$B$6:$B$186,C115),Infl_c)</f>
        <v>0.02</v>
      </c>
      <c r="G115" s="19">
        <f t="shared" si="78"/>
        <v>1.0484988</v>
      </c>
      <c r="H115" s="19">
        <f t="shared" si="106"/>
        <v>6.5731471755715837E-2</v>
      </c>
      <c r="I115" s="19">
        <f t="shared" si="79"/>
        <v>0.75709018265648609</v>
      </c>
      <c r="J115" s="20">
        <f t="shared" si="80"/>
        <v>38000</v>
      </c>
      <c r="K115" s="20">
        <f t="shared" si="81"/>
        <v>50192.171118459359</v>
      </c>
      <c r="L115" s="17">
        <f t="shared" si="82"/>
        <v>1</v>
      </c>
      <c r="M115" s="20">
        <f t="shared" si="83"/>
        <v>0</v>
      </c>
      <c r="N115" s="20">
        <f t="shared" si="107"/>
        <v>0</v>
      </c>
      <c r="O115" s="20">
        <f t="shared" si="84"/>
        <v>18702.068207105196</v>
      </c>
      <c r="P115" s="20">
        <f t="shared" si="85"/>
        <v>24702.563361055851</v>
      </c>
      <c r="Q115" s="17">
        <f t="shared" si="86"/>
        <v>0</v>
      </c>
      <c r="R115" s="20">
        <f t="shared" si="87"/>
        <v>18702.068207105196</v>
      </c>
      <c r="S115" s="20">
        <f t="shared" si="108"/>
        <v>608946.31216909911</v>
      </c>
      <c r="T115" s="20">
        <f t="shared" si="88"/>
        <v>34200</v>
      </c>
      <c r="U115" s="20">
        <f t="shared" si="89"/>
        <v>45172.954006613421</v>
      </c>
      <c r="V115" s="17">
        <f t="shared" si="90"/>
        <v>1</v>
      </c>
      <c r="W115" s="20">
        <f t="shared" si="91"/>
        <v>0</v>
      </c>
      <c r="X115" s="20">
        <f t="shared" si="109"/>
        <v>0</v>
      </c>
      <c r="Y115" s="18">
        <f t="shared" si="92"/>
        <v>0.21199472951512252</v>
      </c>
      <c r="Z115" s="20">
        <f t="shared" si="93"/>
        <v>29567.870398548759</v>
      </c>
      <c r="AA115" s="20">
        <f t="shared" si="94"/>
        <v>39054.621332957591</v>
      </c>
      <c r="AB115" s="17">
        <f t="shared" si="95"/>
        <v>0</v>
      </c>
      <c r="AC115" s="20">
        <f t="shared" si="96"/>
        <v>29567.870398548759</v>
      </c>
      <c r="AD115" s="20">
        <f t="shared" si="110"/>
        <v>184224.49191205791</v>
      </c>
      <c r="AE115" s="20">
        <f t="shared" si="111"/>
        <v>20481.743793274625</v>
      </c>
      <c r="AF115" s="18">
        <f t="shared" si="97"/>
        <v>4.1712188595490668E-2</v>
      </c>
      <c r="AG115" s="20">
        <f t="shared" si="98"/>
        <v>20481.743793274625</v>
      </c>
      <c r="AH115" s="20">
        <f t="shared" si="99"/>
        <v>27053.241823065338</v>
      </c>
      <c r="AI115" s="17">
        <f t="shared" si="100"/>
        <v>0</v>
      </c>
      <c r="AJ115" s="20">
        <f t="shared" si="101"/>
        <v>20481.743793274625</v>
      </c>
      <c r="AK115" s="20">
        <f t="shared" si="112"/>
        <v>648569.22482341167</v>
      </c>
      <c r="AL115" s="20">
        <f t="shared" si="113"/>
        <v>14525.339586875445</v>
      </c>
      <c r="AM115" s="20">
        <f t="shared" si="102"/>
        <v>19185.745528899581</v>
      </c>
      <c r="AN115" s="17">
        <f t="shared" si="103"/>
        <v>0</v>
      </c>
      <c r="AO115" s="20">
        <f t="shared" si="104"/>
        <v>14525.339586875445</v>
      </c>
      <c r="AP115" s="20">
        <f t="shared" si="114"/>
        <v>472950.47138536378</v>
      </c>
      <c r="AQ115" s="18" t="str">
        <f t="shared" si="115"/>
        <v/>
      </c>
      <c r="AR115" s="18" t="str">
        <f t="shared" si="116"/>
        <v/>
      </c>
      <c r="AS115" s="18" t="str">
        <f t="shared" si="117"/>
        <v/>
      </c>
      <c r="AT115" s="18" t="str">
        <f t="shared" si="118"/>
        <v/>
      </c>
      <c r="AU115" s="18" t="str">
        <f t="shared" si="119"/>
        <v/>
      </c>
      <c r="AV115" s="18" t="str">
        <f t="shared" si="120"/>
        <v/>
      </c>
    </row>
    <row r="116" spans="1:48">
      <c r="A116" s="17">
        <f t="shared" si="105"/>
        <v>46</v>
      </c>
      <c r="B116" s="17">
        <f t="shared" si="76"/>
        <v>96</v>
      </c>
      <c r="C116" s="17">
        <f t="shared" si="77"/>
        <v>2045</v>
      </c>
      <c r="D116" s="17">
        <f>IF(COUNTIFS('5 - Dati'!$A$6:$A$186,Serie,'5 - Dati'!$B$6:$B$186,C116)&gt;0,1,0)</f>
        <v>0</v>
      </c>
      <c r="E116" s="18">
        <f>IF(D116=1,SUMIFS('5 - Dati'!$F$6:$F$186,'5 - Dati'!$A$6:$A$186,Serie,'5 - Dati'!$B$6:$B$186,C116),(1+Rend_c)*(1+Infl_c)-1)</f>
        <v>5.0599999999999978E-2</v>
      </c>
      <c r="F116" s="18">
        <f>IF(D116=1,SUMIFS('5 - Dati'!$E$6:$E$186,'5 - Dati'!$A$6:$A$186,Serie,'5 - Dati'!$B$6:$B$186,C116),Infl_c)</f>
        <v>0.02</v>
      </c>
      <c r="G116" s="19">
        <f t="shared" si="78"/>
        <v>1.0484988</v>
      </c>
      <c r="H116" s="19">
        <f t="shared" si="106"/>
        <v>6.2691031936055477E-2</v>
      </c>
      <c r="I116" s="19">
        <f t="shared" si="79"/>
        <v>0.75629966830337447</v>
      </c>
      <c r="J116" s="20">
        <f t="shared" si="80"/>
        <v>38000</v>
      </c>
      <c r="K116" s="20">
        <f t="shared" si="81"/>
        <v>50244.633962680862</v>
      </c>
      <c r="L116" s="17">
        <f t="shared" si="82"/>
        <v>1</v>
      </c>
      <c r="M116" s="20">
        <f t="shared" si="83"/>
        <v>0</v>
      </c>
      <c r="N116" s="20">
        <f t="shared" si="107"/>
        <v>0</v>
      </c>
      <c r="O116" s="20">
        <f t="shared" si="84"/>
        <v>18425.478175974389</v>
      </c>
      <c r="P116" s="20">
        <f t="shared" si="85"/>
        <v>24362.668593136787</v>
      </c>
      <c r="Q116" s="17">
        <f t="shared" si="86"/>
        <v>0</v>
      </c>
      <c r="R116" s="20">
        <f t="shared" si="87"/>
        <v>18425.478175974389</v>
      </c>
      <c r="S116" s="20">
        <f t="shared" si="108"/>
        <v>600567.51914973999</v>
      </c>
      <c r="T116" s="20">
        <f t="shared" si="88"/>
        <v>34200</v>
      </c>
      <c r="U116" s="20">
        <f t="shared" si="89"/>
        <v>45220.170566412773</v>
      </c>
      <c r="V116" s="17">
        <f t="shared" si="90"/>
        <v>1</v>
      </c>
      <c r="W116" s="20">
        <f t="shared" si="91"/>
        <v>0</v>
      </c>
      <c r="X116" s="20">
        <f t="shared" si="109"/>
        <v>0</v>
      </c>
      <c r="Y116" s="18">
        <f t="shared" si="92"/>
        <v>0.26119130601270163</v>
      </c>
      <c r="Z116" s="20">
        <f t="shared" si="93"/>
        <v>29477.923165510052</v>
      </c>
      <c r="AA116" s="20">
        <f t="shared" si="94"/>
        <v>38976.512090291668</v>
      </c>
      <c r="AB116" s="17">
        <f t="shared" si="95"/>
        <v>0</v>
      </c>
      <c r="AC116" s="20">
        <f t="shared" si="96"/>
        <v>29477.923165510052</v>
      </c>
      <c r="AD116" s="20">
        <f t="shared" si="110"/>
        <v>149225.91676308037</v>
      </c>
      <c r="AE116" s="20">
        <f t="shared" si="111"/>
        <v>20481.743793274625</v>
      </c>
      <c r="AF116" s="18">
        <f t="shared" si="97"/>
        <v>4.2388978583410196E-2</v>
      </c>
      <c r="AG116" s="20">
        <f t="shared" si="98"/>
        <v>20481.743793274625</v>
      </c>
      <c r="AH116" s="20">
        <f t="shared" si="99"/>
        <v>27081.518942381426</v>
      </c>
      <c r="AI116" s="17">
        <f t="shared" si="100"/>
        <v>0</v>
      </c>
      <c r="AJ116" s="20">
        <f t="shared" si="101"/>
        <v>20481.743793274625</v>
      </c>
      <c r="AK116" s="20">
        <f t="shared" si="112"/>
        <v>638881.13956537598</v>
      </c>
      <c r="AL116" s="20">
        <f t="shared" si="113"/>
        <v>14310.520344210445</v>
      </c>
      <c r="AM116" s="20">
        <f t="shared" si="102"/>
        <v>18921.759381851356</v>
      </c>
      <c r="AN116" s="17">
        <f t="shared" si="103"/>
        <v>0</v>
      </c>
      <c r="AO116" s="20">
        <f t="shared" si="104"/>
        <v>14310.520344210445</v>
      </c>
      <c r="AP116" s="20">
        <f t="shared" si="114"/>
        <v>466442.91229689372</v>
      </c>
      <c r="AQ116" s="18" t="str">
        <f t="shared" si="115"/>
        <v/>
      </c>
      <c r="AR116" s="18" t="str">
        <f t="shared" si="116"/>
        <v/>
      </c>
      <c r="AS116" s="18" t="str">
        <f t="shared" si="117"/>
        <v/>
      </c>
      <c r="AT116" s="18" t="str">
        <f t="shared" si="118"/>
        <v/>
      </c>
      <c r="AU116" s="18" t="str">
        <f t="shared" si="119"/>
        <v/>
      </c>
      <c r="AV116" s="18" t="str">
        <f t="shared" si="120"/>
        <v/>
      </c>
    </row>
    <row r="117" spans="1:48">
      <c r="A117" s="17">
        <f t="shared" si="105"/>
        <v>47</v>
      </c>
      <c r="B117" s="17">
        <f t="shared" si="76"/>
        <v>97</v>
      </c>
      <c r="C117" s="17">
        <f t="shared" si="77"/>
        <v>2046</v>
      </c>
      <c r="D117" s="17">
        <f>IF(COUNTIFS('5 - Dati'!$A$6:$A$186,Serie,'5 - Dati'!$B$6:$B$186,C117)&gt;0,1,0)</f>
        <v>0</v>
      </c>
      <c r="E117" s="18">
        <f>IF(D117=1,SUMIFS('5 - Dati'!$F$6:$F$186,'5 - Dati'!$A$6:$A$186,Serie,'5 - Dati'!$B$6:$B$186,C117),(1+Rend_c)*(1+Infl_c)-1)</f>
        <v>5.0599999999999978E-2</v>
      </c>
      <c r="F117" s="18">
        <f>IF(D117=1,SUMIFS('5 - Dati'!$E$6:$E$186,'5 - Dati'!$A$6:$A$186,Serie,'5 - Dati'!$B$6:$B$186,C117),Infl_c)</f>
        <v>0.02</v>
      </c>
      <c r="G117" s="19">
        <f t="shared" si="78"/>
        <v>1.0484988</v>
      </c>
      <c r="H117" s="19">
        <f t="shared" si="106"/>
        <v>5.9791229075374701E-2</v>
      </c>
      <c r="I117" s="19">
        <f t="shared" si="79"/>
        <v>0.75554571955959737</v>
      </c>
      <c r="J117" s="20">
        <f t="shared" si="80"/>
        <v>38000</v>
      </c>
      <c r="K117" s="20">
        <f t="shared" si="81"/>
        <v>50294.772395970889</v>
      </c>
      <c r="L117" s="17">
        <f t="shared" si="82"/>
        <v>1</v>
      </c>
      <c r="M117" s="20">
        <f t="shared" si="83"/>
        <v>0</v>
      </c>
      <c r="N117" s="20">
        <f t="shared" si="107"/>
        <v>0</v>
      </c>
      <c r="O117" s="20">
        <f t="shared" si="84"/>
        <v>18153.837456670793</v>
      </c>
      <c r="P117" s="20">
        <f t="shared" si="85"/>
        <v>24027.450605176542</v>
      </c>
      <c r="Q117" s="17">
        <f t="shared" si="86"/>
        <v>0</v>
      </c>
      <c r="R117" s="20">
        <f t="shared" si="87"/>
        <v>18153.837456670793</v>
      </c>
      <c r="S117" s="20">
        <f t="shared" si="108"/>
        <v>592304.01408115472</v>
      </c>
      <c r="T117" s="20">
        <f t="shared" si="88"/>
        <v>34200</v>
      </c>
      <c r="U117" s="20">
        <f t="shared" si="89"/>
        <v>45265.295156373802</v>
      </c>
      <c r="V117" s="17">
        <f t="shared" si="90"/>
        <v>1</v>
      </c>
      <c r="W117" s="20">
        <f t="shared" si="91"/>
        <v>0</v>
      </c>
      <c r="X117" s="20">
        <f t="shared" si="109"/>
        <v>0</v>
      </c>
      <c r="Y117" s="18">
        <f t="shared" si="92"/>
        <v>0.34323336245106617</v>
      </c>
      <c r="Z117" s="20">
        <f t="shared" si="93"/>
        <v>29389.639799436372</v>
      </c>
      <c r="AA117" s="20">
        <f t="shared" si="94"/>
        <v>38898.559066111047</v>
      </c>
      <c r="AB117" s="17">
        <f t="shared" si="95"/>
        <v>0</v>
      </c>
      <c r="AC117" s="20">
        <f t="shared" si="96"/>
        <v>29389.639799436372</v>
      </c>
      <c r="AD117" s="20">
        <f t="shared" si="110"/>
        <v>113329.7730393464</v>
      </c>
      <c r="AE117" s="20">
        <f t="shared" si="111"/>
        <v>20481.743793274625</v>
      </c>
      <c r="AF117" s="18">
        <f t="shared" si="97"/>
        <v>4.3105154932747559E-2</v>
      </c>
      <c r="AG117" s="20">
        <f t="shared" si="98"/>
        <v>20481.743793274625</v>
      </c>
      <c r="AH117" s="20">
        <f t="shared" si="99"/>
        <v>27108.54321987728</v>
      </c>
      <c r="AI117" s="17">
        <f t="shared" si="100"/>
        <v>0</v>
      </c>
      <c r="AJ117" s="20">
        <f t="shared" si="101"/>
        <v>20481.743793274625</v>
      </c>
      <c r="AK117" s="20">
        <f t="shared" si="112"/>
        <v>628893.30202320102</v>
      </c>
      <c r="AL117" s="20">
        <f t="shared" si="113"/>
        <v>14099.545084692953</v>
      </c>
      <c r="AM117" s="20">
        <f t="shared" si="102"/>
        <v>18661.405550562162</v>
      </c>
      <c r="AN117" s="17">
        <f t="shared" si="103"/>
        <v>0</v>
      </c>
      <c r="AO117" s="20">
        <f t="shared" si="104"/>
        <v>14099.545084692953</v>
      </c>
      <c r="AP117" s="20">
        <f t="shared" si="114"/>
        <v>460024.89392748859</v>
      </c>
      <c r="AQ117" s="18" t="str">
        <f t="shared" si="115"/>
        <v/>
      </c>
      <c r="AR117" s="18" t="str">
        <f t="shared" si="116"/>
        <v/>
      </c>
      <c r="AS117" s="18" t="str">
        <f t="shared" si="117"/>
        <v/>
      </c>
      <c r="AT117" s="18" t="str">
        <f t="shared" si="118"/>
        <v/>
      </c>
      <c r="AU117" s="18" t="str">
        <f t="shared" si="119"/>
        <v/>
      </c>
      <c r="AV117" s="18" t="str">
        <f t="shared" si="120"/>
        <v/>
      </c>
    </row>
    <row r="118" spans="1:48">
      <c r="A118" s="17">
        <f t="shared" si="105"/>
        <v>48</v>
      </c>
      <c r="B118" s="17">
        <f t="shared" si="76"/>
        <v>98</v>
      </c>
      <c r="C118" s="17">
        <f t="shared" si="77"/>
        <v>2047</v>
      </c>
      <c r="D118" s="17">
        <f>IF(COUNTIFS('5 - Dati'!$A$6:$A$186,Serie,'5 - Dati'!$B$6:$B$186,C118)&gt;0,1,0)</f>
        <v>0</v>
      </c>
      <c r="E118" s="18">
        <f>IF(D118=1,SUMIFS('5 - Dati'!$F$6:$F$186,'5 - Dati'!$A$6:$A$186,Serie,'5 - Dati'!$B$6:$B$186,C118),(1+Rend_c)*(1+Infl_c)-1)</f>
        <v>5.0599999999999978E-2</v>
      </c>
      <c r="F118" s="18">
        <f>IF(D118=1,SUMIFS('5 - Dati'!$E$6:$E$186,'5 - Dati'!$A$6:$A$186,Serie,'5 - Dati'!$B$6:$B$186,C118),Infl_c)</f>
        <v>0.02</v>
      </c>
      <c r="G118" s="19">
        <f t="shared" si="78"/>
        <v>1.0484988</v>
      </c>
      <c r="H118" s="19">
        <f t="shared" si="106"/>
        <v>5.7025557945678818E-2</v>
      </c>
      <c r="I118" s="19">
        <f t="shared" si="79"/>
        <v>0.75482664506587649</v>
      </c>
      <c r="J118" s="20">
        <f t="shared" si="80"/>
        <v>38000</v>
      </c>
      <c r="K118" s="20">
        <f t="shared" si="81"/>
        <v>50342.684970644616</v>
      </c>
      <c r="L118" s="17">
        <f t="shared" si="82"/>
        <v>1</v>
      </c>
      <c r="M118" s="20">
        <f t="shared" si="83"/>
        <v>0</v>
      </c>
      <c r="N118" s="20">
        <f t="shared" si="107"/>
        <v>0</v>
      </c>
      <c r="O118" s="20">
        <f t="shared" si="84"/>
        <v>17887.01004551083</v>
      </c>
      <c r="P118" s="20">
        <f t="shared" si="85"/>
        <v>23696.845047050192</v>
      </c>
      <c r="Q118" s="17">
        <f t="shared" si="86"/>
        <v>0</v>
      </c>
      <c r="R118" s="20">
        <f t="shared" si="87"/>
        <v>17887.01004551083</v>
      </c>
      <c r="S118" s="20">
        <f t="shared" si="108"/>
        <v>584154.21065949707</v>
      </c>
      <c r="T118" s="20">
        <f t="shared" si="88"/>
        <v>34200</v>
      </c>
      <c r="U118" s="20">
        <f t="shared" si="89"/>
        <v>45308.416473580153</v>
      </c>
      <c r="V118" s="17">
        <f t="shared" si="90"/>
        <v>1</v>
      </c>
      <c r="W118" s="20">
        <f t="shared" si="91"/>
        <v>0</v>
      </c>
      <c r="X118" s="20">
        <f t="shared" si="109"/>
        <v>0</v>
      </c>
      <c r="Y118" s="18">
        <f t="shared" si="92"/>
        <v>0.50738916256157618</v>
      </c>
      <c r="Z118" s="20">
        <f t="shared" si="93"/>
        <v>29302.945500093876</v>
      </c>
      <c r="AA118" s="20">
        <f t="shared" si="94"/>
        <v>38820.761947978797</v>
      </c>
      <c r="AB118" s="17">
        <f t="shared" si="95"/>
        <v>0</v>
      </c>
      <c r="AC118" s="20">
        <f t="shared" si="96"/>
        <v>29302.945500093876</v>
      </c>
      <c r="AD118" s="20">
        <f t="shared" si="110"/>
        <v>76510.822091647555</v>
      </c>
      <c r="AE118" s="20">
        <f t="shared" si="111"/>
        <v>20481.743793274625</v>
      </c>
      <c r="AF118" s="18">
        <f t="shared" si="97"/>
        <v>4.3864254913519689E-2</v>
      </c>
      <c r="AG118" s="20">
        <f t="shared" si="98"/>
        <v>20481.743793274625</v>
      </c>
      <c r="AH118" s="20">
        <f t="shared" si="99"/>
        <v>27134.367774586321</v>
      </c>
      <c r="AI118" s="17">
        <f t="shared" si="100"/>
        <v>0</v>
      </c>
      <c r="AJ118" s="20">
        <f t="shared" si="101"/>
        <v>20481.743793274625</v>
      </c>
      <c r="AK118" s="20">
        <f t="shared" si="112"/>
        <v>618598.62496428855</v>
      </c>
      <c r="AL118" s="20">
        <f t="shared" si="113"/>
        <v>13892.308178310968</v>
      </c>
      <c r="AM118" s="20">
        <f t="shared" si="102"/>
        <v>18404.634056205759</v>
      </c>
      <c r="AN118" s="17">
        <f t="shared" si="103"/>
        <v>0</v>
      </c>
      <c r="AO118" s="20">
        <f t="shared" si="104"/>
        <v>13892.308178310968</v>
      </c>
      <c r="AP118" s="20">
        <f t="shared" si="114"/>
        <v>453695.18424217775</v>
      </c>
      <c r="AQ118" s="18" t="str">
        <f t="shared" si="115"/>
        <v/>
      </c>
      <c r="AR118" s="18" t="str">
        <f t="shared" si="116"/>
        <v/>
      </c>
      <c r="AS118" s="18" t="str">
        <f t="shared" si="117"/>
        <v/>
      </c>
      <c r="AT118" s="18" t="str">
        <f t="shared" si="118"/>
        <v/>
      </c>
      <c r="AU118" s="18" t="str">
        <f t="shared" si="119"/>
        <v/>
      </c>
      <c r="AV118" s="18" t="str">
        <f t="shared" si="120"/>
        <v/>
      </c>
    </row>
    <row r="119" spans="1:48">
      <c r="A119" s="17">
        <f t="shared" si="105"/>
        <v>49</v>
      </c>
      <c r="B119" s="17">
        <f t="shared" si="76"/>
        <v>99</v>
      </c>
      <c r="C119" s="17">
        <f t="shared" si="77"/>
        <v>2048</v>
      </c>
      <c r="D119" s="17">
        <f>IF(COUNTIFS('5 - Dati'!$A$6:$A$186,Serie,'5 - Dati'!$B$6:$B$186,C119)&gt;0,1,0)</f>
        <v>0</v>
      </c>
      <c r="E119" s="18">
        <f>IF(D119=1,SUMIFS('5 - Dati'!$F$6:$F$186,'5 - Dati'!$A$6:$A$186,Serie,'5 - Dati'!$B$6:$B$186,C119),(1+Rend_c)*(1+Infl_c)-1)</f>
        <v>5.0599999999999978E-2</v>
      </c>
      <c r="F119" s="18">
        <f>IF(D119=1,SUMIFS('5 - Dati'!$E$6:$E$186,'5 - Dati'!$A$6:$A$186,Serie,'5 - Dati'!$B$6:$B$186,C119),Infl_c)</f>
        <v>0.02</v>
      </c>
      <c r="G119" s="19">
        <f t="shared" si="78"/>
        <v>1.0484988</v>
      </c>
      <c r="H119" s="19">
        <f t="shared" si="106"/>
        <v>5.438781422132178E-2</v>
      </c>
      <c r="I119" s="19">
        <f t="shared" si="79"/>
        <v>0.75414083169754365</v>
      </c>
      <c r="J119" s="20">
        <f t="shared" si="80"/>
        <v>38000</v>
      </c>
      <c r="K119" s="20">
        <f t="shared" si="81"/>
        <v>50388.466454552501</v>
      </c>
      <c r="L119" s="17">
        <f t="shared" si="82"/>
        <v>1</v>
      </c>
      <c r="M119" s="20">
        <f t="shared" si="83"/>
        <v>0</v>
      </c>
      <c r="N119" s="20">
        <f t="shared" si="107"/>
        <v>0</v>
      </c>
      <c r="O119" s="20">
        <f t="shared" si="84"/>
        <v>17624.865842170595</v>
      </c>
      <c r="P119" s="20">
        <f t="shared" si="85"/>
        <v>23370.788454057925</v>
      </c>
      <c r="Q119" s="17">
        <f t="shared" si="86"/>
        <v>0</v>
      </c>
      <c r="R119" s="20">
        <f t="shared" si="87"/>
        <v>17624.865842170595</v>
      </c>
      <c r="S119" s="20">
        <f t="shared" si="108"/>
        <v>576116.54440765863</v>
      </c>
      <c r="T119" s="20">
        <f t="shared" si="88"/>
        <v>34200</v>
      </c>
      <c r="U119" s="20">
        <f t="shared" si="89"/>
        <v>45349.619809097247</v>
      </c>
      <c r="V119" s="17">
        <f t="shared" si="90"/>
        <v>1</v>
      </c>
      <c r="W119" s="20">
        <f t="shared" si="91"/>
        <v>0</v>
      </c>
      <c r="X119" s="20">
        <f t="shared" si="109"/>
        <v>0</v>
      </c>
      <c r="Y119" s="18">
        <f t="shared" si="92"/>
        <v>1</v>
      </c>
      <c r="Z119" s="20">
        <f t="shared" si="93"/>
        <v>29217.769059175942</v>
      </c>
      <c r="AA119" s="20">
        <f t="shared" si="94"/>
        <v>38743.120424082867</v>
      </c>
      <c r="AB119" s="17">
        <f t="shared" si="95"/>
        <v>0</v>
      </c>
      <c r="AC119" s="20">
        <f t="shared" si="96"/>
        <v>29217.769059175942</v>
      </c>
      <c r="AD119" s="20">
        <f t="shared" si="110"/>
        <v>38743.120424082867</v>
      </c>
      <c r="AE119" s="20">
        <f t="shared" si="111"/>
        <v>20481.743793274625</v>
      </c>
      <c r="AF119" s="18">
        <f t="shared" si="97"/>
        <v>4.4670231459909025E-2</v>
      </c>
      <c r="AG119" s="20">
        <f t="shared" si="98"/>
        <v>20481.743793274625</v>
      </c>
      <c r="AH119" s="20">
        <f t="shared" si="99"/>
        <v>27159.04368574098</v>
      </c>
      <c r="AI119" s="17">
        <f t="shared" si="100"/>
        <v>0</v>
      </c>
      <c r="AJ119" s="20">
        <f t="shared" si="101"/>
        <v>20481.743793274625</v>
      </c>
      <c r="AK119" s="20">
        <f t="shared" si="112"/>
        <v>607989.76853558247</v>
      </c>
      <c r="AL119" s="20">
        <f t="shared" si="113"/>
        <v>13688.708580016208</v>
      </c>
      <c r="AM119" s="20">
        <f t="shared" si="102"/>
        <v>18151.395607639253</v>
      </c>
      <c r="AN119" s="17">
        <f t="shared" si="103"/>
        <v>0</v>
      </c>
      <c r="AO119" s="20">
        <f t="shared" si="104"/>
        <v>13688.708580016208</v>
      </c>
      <c r="AP119" s="20">
        <f t="shared" si="114"/>
        <v>447452.568158168</v>
      </c>
      <c r="AQ119" s="18" t="str">
        <f t="shared" si="115"/>
        <v/>
      </c>
      <c r="AR119" s="18" t="str">
        <f t="shared" si="116"/>
        <v/>
      </c>
      <c r="AS119" s="18" t="str">
        <f t="shared" si="117"/>
        <v/>
      </c>
      <c r="AT119" s="18" t="str">
        <f t="shared" si="118"/>
        <v/>
      </c>
      <c r="AU119" s="18" t="str">
        <f t="shared" si="119"/>
        <v/>
      </c>
      <c r="AV119" s="18" t="str">
        <f t="shared" si="120"/>
        <v/>
      </c>
    </row>
    <row r="120" spans="1:48">
      <c r="A120" s="17">
        <f t="shared" si="105"/>
        <v>50</v>
      </c>
      <c r="B120" s="17">
        <f t="shared" si="76"/>
        <v>100</v>
      </c>
      <c r="C120" s="17">
        <f t="shared" si="77"/>
        <v>2049</v>
      </c>
      <c r="D120" s="17">
        <f>IF(COUNTIFS('5 - Dati'!$A$6:$A$186,Serie,'5 - Dati'!$B$6:$B$186,C120)&gt;0,1,0)</f>
        <v>0</v>
      </c>
      <c r="E120" s="18">
        <f>IF(D120=1,SUMIFS('5 - Dati'!$F$6:$F$186,'5 - Dati'!$A$6:$A$186,Serie,'5 - Dati'!$B$6:$B$186,C120),(1+Rend_c)*(1+Infl_c)-1)</f>
        <v>5.0599999999999978E-2</v>
      </c>
      <c r="F120" s="18">
        <f>IF(D120=1,SUMIFS('5 - Dati'!$E$6:$E$186,'5 - Dati'!$A$6:$A$186,Serie,'5 - Dati'!$B$6:$B$186,C120),Infl_c)</f>
        <v>0.02</v>
      </c>
      <c r="G120" s="19">
        <f t="shared" si="78"/>
        <v>1.0484988</v>
      </c>
      <c r="H120" s="19">
        <f t="shared" si="106"/>
        <v>5.1872080560627996E-2</v>
      </c>
      <c r="I120" s="19">
        <f t="shared" si="79"/>
        <v>0.75348674094576329</v>
      </c>
      <c r="J120" s="20">
        <f t="shared" si="80"/>
        <v>38000</v>
      </c>
      <c r="K120" s="20">
        <f t="shared" si="81"/>
        <v>50432.207940783497</v>
      </c>
      <c r="L120" s="17">
        <f t="shared" si="82"/>
        <v>1</v>
      </c>
      <c r="M120" s="20">
        <f t="shared" si="83"/>
        <v>0</v>
      </c>
      <c r="N120" s="20">
        <f t="shared" si="107"/>
        <v>0</v>
      </c>
      <c r="O120" s="20">
        <f t="shared" si="84"/>
        <v>17367.280329043489</v>
      </c>
      <c r="P120" s="20">
        <f t="shared" si="85"/>
        <v>23049.218234742108</v>
      </c>
      <c r="Q120" s="17">
        <f t="shared" si="86"/>
        <v>0</v>
      </c>
      <c r="R120" s="20">
        <f t="shared" si="87"/>
        <v>17367.280329043489</v>
      </c>
      <c r="S120" s="20">
        <f t="shared" si="108"/>
        <v>568189.47237494437</v>
      </c>
      <c r="T120" s="20">
        <f t="shared" si="88"/>
        <v>34200</v>
      </c>
      <c r="U120" s="20">
        <f t="shared" si="89"/>
        <v>45388.987146705149</v>
      </c>
      <c r="V120" s="17">
        <f t="shared" si="90"/>
        <v>1</v>
      </c>
      <c r="W120" s="20">
        <f t="shared" si="91"/>
        <v>0</v>
      </c>
      <c r="X120" s="20">
        <f t="shared" si="109"/>
        <v>0</v>
      </c>
      <c r="Y120" s="18">
        <f t="shared" si="92"/>
        <v>1</v>
      </c>
      <c r="Z120" s="20">
        <f t="shared" si="93"/>
        <v>0</v>
      </c>
      <c r="AA120" s="20">
        <f t="shared" si="94"/>
        <v>0</v>
      </c>
      <c r="AB120" s="17">
        <f t="shared" si="95"/>
        <v>0</v>
      </c>
      <c r="AC120" s="20">
        <f t="shared" si="96"/>
        <v>0</v>
      </c>
      <c r="AD120" s="20">
        <f t="shared" si="110"/>
        <v>0</v>
      </c>
      <c r="AE120" s="20">
        <f t="shared" si="111"/>
        <v>20481.743793274625</v>
      </c>
      <c r="AF120" s="18">
        <f t="shared" si="97"/>
        <v>4.5527517200027574E-2</v>
      </c>
      <c r="AG120" s="20">
        <f t="shared" si="98"/>
        <v>20481.743793274625</v>
      </c>
      <c r="AH120" s="20">
        <f t="shared" si="99"/>
        <v>27182.620051902042</v>
      </c>
      <c r="AI120" s="17">
        <f t="shared" si="100"/>
        <v>0</v>
      </c>
      <c r="AJ120" s="20">
        <f t="shared" si="101"/>
        <v>20481.743793274625</v>
      </c>
      <c r="AK120" s="20">
        <f t="shared" si="112"/>
        <v>597059.13530214597</v>
      </c>
      <c r="AL120" s="20">
        <f t="shared" si="113"/>
        <v>13488.649580690702</v>
      </c>
      <c r="AM120" s="20">
        <f t="shared" si="102"/>
        <v>17901.641591940937</v>
      </c>
      <c r="AN120" s="17">
        <f t="shared" si="103"/>
        <v>0</v>
      </c>
      <c r="AO120" s="20">
        <f t="shared" si="104"/>
        <v>13488.649580690702</v>
      </c>
      <c r="AP120" s="20">
        <f t="shared" si="114"/>
        <v>441295.84731159051</v>
      </c>
      <c r="AQ120" s="18" t="str">
        <f t="shared" si="115"/>
        <v/>
      </c>
      <c r="AR120" s="18" t="str">
        <f t="shared" si="116"/>
        <v/>
      </c>
      <c r="AS120" s="18" t="str">
        <f t="shared" si="117"/>
        <v/>
      </c>
      <c r="AT120" s="18" t="str">
        <f t="shared" si="118"/>
        <v/>
      </c>
      <c r="AU120" s="18" t="str">
        <f t="shared" si="119"/>
        <v/>
      </c>
      <c r="AV120" s="18" t="str">
        <f t="shared" si="120"/>
        <v/>
      </c>
    </row>
    <row r="121" spans="1:48">
      <c r="A121" s="17">
        <f t="shared" si="105"/>
        <v>51</v>
      </c>
      <c r="B121" s="17">
        <f t="shared" si="76"/>
        <v>101</v>
      </c>
      <c r="C121" s="17">
        <f t="shared" si="77"/>
        <v>2050</v>
      </c>
      <c r="D121" s="17">
        <f>IF(COUNTIFS('5 - Dati'!$A$6:$A$186,Serie,'5 - Dati'!$B$6:$B$186,C121)&gt;0,1,0)</f>
        <v>0</v>
      </c>
      <c r="E121" s="18">
        <f>IF(D121=1,SUMIFS('5 - Dati'!$F$6:$F$186,'5 - Dati'!$A$6:$A$186,Serie,'5 - Dati'!$B$6:$B$186,C121),(1+Rend_c)*(1+Infl_c)-1)</f>
        <v>5.0599999999999978E-2</v>
      </c>
      <c r="F121" s="18">
        <f>IF(D121=1,SUMIFS('5 - Dati'!$E$6:$E$186,'5 - Dati'!$A$6:$A$186,Serie,'5 - Dati'!$B$6:$B$186,C121),Infl_c)</f>
        <v>0.02</v>
      </c>
      <c r="G121" s="19">
        <f t="shared" si="78"/>
        <v>1.0484988</v>
      </c>
      <c r="H121" s="19">
        <f t="shared" si="106"/>
        <v>4.9472713331315206E-2</v>
      </c>
      <c r="I121" s="19">
        <f t="shared" si="79"/>
        <v>0.75286290546614199</v>
      </c>
      <c r="J121" s="20">
        <f t="shared" si="80"/>
        <v>38000</v>
      </c>
      <c r="K121" s="20">
        <f t="shared" si="81"/>
        <v>50473.996957616007</v>
      </c>
      <c r="L121" s="17">
        <f t="shared" si="82"/>
        <v>1</v>
      </c>
      <c r="M121" s="20">
        <f t="shared" si="83"/>
        <v>0</v>
      </c>
      <c r="N121" s="20">
        <f t="shared" si="107"/>
        <v>0</v>
      </c>
      <c r="O121" s="20">
        <f t="shared" si="84"/>
        <v>17114.134269225706</v>
      </c>
      <c r="P121" s="20">
        <f t="shared" si="85"/>
        <v>22732.072658871846</v>
      </c>
      <c r="Q121" s="17">
        <f t="shared" si="86"/>
        <v>0</v>
      </c>
      <c r="R121" s="20">
        <f t="shared" si="87"/>
        <v>17114.134269225706</v>
      </c>
      <c r="S121" s="20">
        <f t="shared" si="108"/>
        <v>560371.47284087958</v>
      </c>
      <c r="T121" s="20">
        <f t="shared" si="88"/>
        <v>34200</v>
      </c>
      <c r="U121" s="20">
        <f t="shared" si="89"/>
        <v>45426.597261854411</v>
      </c>
      <c r="V121" s="17">
        <f t="shared" si="90"/>
        <v>1</v>
      </c>
      <c r="W121" s="20">
        <f t="shared" si="91"/>
        <v>0</v>
      </c>
      <c r="X121" s="20">
        <f t="shared" si="109"/>
        <v>0</v>
      </c>
      <c r="Y121" s="18">
        <f t="shared" si="92"/>
        <v>1</v>
      </c>
      <c r="Z121" s="20">
        <f t="shared" si="93"/>
        <v>0</v>
      </c>
      <c r="AA121" s="20">
        <f t="shared" si="94"/>
        <v>0</v>
      </c>
      <c r="AB121" s="17">
        <f t="shared" si="95"/>
        <v>0</v>
      </c>
      <c r="AC121" s="20">
        <f t="shared" si="96"/>
        <v>0</v>
      </c>
      <c r="AD121" s="20">
        <f t="shared" si="110"/>
        <v>0</v>
      </c>
      <c r="AE121" s="20">
        <f t="shared" si="111"/>
        <v>20481.743793274625</v>
      </c>
      <c r="AF121" s="18">
        <f t="shared" si="97"/>
        <v>4.6441100643327279E-2</v>
      </c>
      <c r="AG121" s="20">
        <f t="shared" si="98"/>
        <v>20481.743793274625</v>
      </c>
      <c r="AH121" s="20">
        <f t="shared" si="99"/>
        <v>27205.144050221421</v>
      </c>
      <c r="AI121" s="17">
        <f t="shared" si="100"/>
        <v>0</v>
      </c>
      <c r="AJ121" s="20">
        <f t="shared" si="101"/>
        <v>20481.743793274625</v>
      </c>
      <c r="AK121" s="20">
        <f t="shared" si="112"/>
        <v>585798.86508633581</v>
      </c>
      <c r="AL121" s="20">
        <f t="shared" si="113"/>
        <v>13292.038572581136</v>
      </c>
      <c r="AM121" s="20">
        <f t="shared" si="102"/>
        <v>17655.324065078286</v>
      </c>
      <c r="AN121" s="17">
        <f t="shared" si="103"/>
        <v>0</v>
      </c>
      <c r="AO121" s="20">
        <f t="shared" si="104"/>
        <v>13292.038572581136</v>
      </c>
      <c r="AP121" s="20">
        <f t="shared" si="114"/>
        <v>435223.83982745651</v>
      </c>
      <c r="AQ121" s="18" t="str">
        <f t="shared" si="115"/>
        <v/>
      </c>
      <c r="AR121" s="18" t="str">
        <f t="shared" si="116"/>
        <v/>
      </c>
      <c r="AS121" s="18" t="str">
        <f t="shared" si="117"/>
        <v/>
      </c>
      <c r="AT121" s="18" t="str">
        <f t="shared" si="118"/>
        <v/>
      </c>
      <c r="AU121" s="18" t="str">
        <f t="shared" si="119"/>
        <v/>
      </c>
      <c r="AV121" s="18" t="str">
        <f t="shared" si="120"/>
        <v/>
      </c>
    </row>
    <row r="122" spans="1:48">
      <c r="A122" s="17">
        <f t="shared" si="105"/>
        <v>52</v>
      </c>
      <c r="B122" s="17">
        <f t="shared" si="76"/>
        <v>102</v>
      </c>
      <c r="C122" s="17">
        <f t="shared" si="77"/>
        <v>2051</v>
      </c>
      <c r="D122" s="17">
        <f>IF(COUNTIFS('5 - Dati'!$A$6:$A$186,Serie,'5 - Dati'!$B$6:$B$186,C122)&gt;0,1,0)</f>
        <v>0</v>
      </c>
      <c r="E122" s="18">
        <f>IF(D122=1,SUMIFS('5 - Dati'!$F$6:$F$186,'5 - Dati'!$A$6:$A$186,Serie,'5 - Dati'!$B$6:$B$186,C122),(1+Rend_c)*(1+Infl_c)-1)</f>
        <v>5.0599999999999978E-2</v>
      </c>
      <c r="F122" s="18">
        <f>IF(D122=1,SUMIFS('5 - Dati'!$E$6:$E$186,'5 - Dati'!$A$6:$A$186,Serie,'5 - Dati'!$B$6:$B$186,C122),Infl_c)</f>
        <v>0.02</v>
      </c>
      <c r="G122" s="19">
        <f t="shared" si="78"/>
        <v>1.0484988</v>
      </c>
      <c r="H122" s="19">
        <f t="shared" si="106"/>
        <v>4.7184329949939104E-2</v>
      </c>
      <c r="I122" s="19">
        <f t="shared" si="79"/>
        <v>0.7522679257869842</v>
      </c>
      <c r="J122" s="20">
        <f t="shared" si="80"/>
        <v>38000</v>
      </c>
      <c r="K122" s="20">
        <f t="shared" si="81"/>
        <v>50513.91757829678</v>
      </c>
      <c r="L122" s="17">
        <f t="shared" si="82"/>
        <v>1</v>
      </c>
      <c r="M122" s="20">
        <f t="shared" si="83"/>
        <v>0</v>
      </c>
      <c r="N122" s="20">
        <f t="shared" si="107"/>
        <v>0</v>
      </c>
      <c r="O122" s="20">
        <f t="shared" si="84"/>
        <v>16865.313422029361</v>
      </c>
      <c r="P122" s="20">
        <f t="shared" si="85"/>
        <v>22419.29084559299</v>
      </c>
      <c r="Q122" s="17">
        <f t="shared" si="86"/>
        <v>0</v>
      </c>
      <c r="R122" s="20">
        <f t="shared" si="87"/>
        <v>16865.313422029361</v>
      </c>
      <c r="S122" s="20">
        <f t="shared" si="108"/>
        <v>552661.04502309288</v>
      </c>
      <c r="T122" s="20">
        <f t="shared" si="88"/>
        <v>34200</v>
      </c>
      <c r="U122" s="20">
        <f t="shared" si="89"/>
        <v>45462.525820467104</v>
      </c>
      <c r="V122" s="17">
        <f t="shared" si="90"/>
        <v>1</v>
      </c>
      <c r="W122" s="20">
        <f t="shared" si="91"/>
        <v>0</v>
      </c>
      <c r="X122" s="20">
        <f t="shared" si="109"/>
        <v>0</v>
      </c>
      <c r="Y122" s="18">
        <f t="shared" si="92"/>
        <v>1</v>
      </c>
      <c r="Z122" s="20">
        <f t="shared" si="93"/>
        <v>0</v>
      </c>
      <c r="AA122" s="20">
        <f t="shared" si="94"/>
        <v>0</v>
      </c>
      <c r="AB122" s="17">
        <f t="shared" si="95"/>
        <v>0</v>
      </c>
      <c r="AC122" s="20">
        <f t="shared" si="96"/>
        <v>0</v>
      </c>
      <c r="AD122" s="20">
        <f t="shared" si="110"/>
        <v>0</v>
      </c>
      <c r="AE122" s="20">
        <f t="shared" si="111"/>
        <v>20481.743793274625</v>
      </c>
      <c r="AF122" s="18">
        <f t="shared" si="97"/>
        <v>4.7416617308774278E-2</v>
      </c>
      <c r="AG122" s="20">
        <f t="shared" si="98"/>
        <v>20481.743793274625</v>
      </c>
      <c r="AH122" s="20">
        <f t="shared" si="99"/>
        <v>27226.660995612267</v>
      </c>
      <c r="AI122" s="17">
        <f t="shared" si="100"/>
        <v>0</v>
      </c>
      <c r="AJ122" s="20">
        <f t="shared" si="101"/>
        <v>20481.743793274625</v>
      </c>
      <c r="AK122" s="20">
        <f t="shared" si="112"/>
        <v>574200.8296018634</v>
      </c>
      <c r="AL122" s="20">
        <f t="shared" si="113"/>
        <v>13098.786828346356</v>
      </c>
      <c r="AM122" s="20">
        <f t="shared" si="102"/>
        <v>17412.395742704404</v>
      </c>
      <c r="AN122" s="17">
        <f t="shared" si="103"/>
        <v>0</v>
      </c>
      <c r="AO122" s="20">
        <f t="shared" si="104"/>
        <v>13098.786828346356</v>
      </c>
      <c r="AP122" s="20">
        <f t="shared" si="114"/>
        <v>429235.38009277906</v>
      </c>
      <c r="AQ122" s="18" t="str">
        <f t="shared" si="115"/>
        <v/>
      </c>
      <c r="AR122" s="18" t="str">
        <f t="shared" si="116"/>
        <v/>
      </c>
      <c r="AS122" s="18" t="str">
        <f t="shared" si="117"/>
        <v/>
      </c>
      <c r="AT122" s="18" t="str">
        <f t="shared" si="118"/>
        <v/>
      </c>
      <c r="AU122" s="18" t="str">
        <f t="shared" si="119"/>
        <v/>
      </c>
      <c r="AV122" s="18" t="str">
        <f t="shared" si="120"/>
        <v/>
      </c>
    </row>
    <row r="123" spans="1:48">
      <c r="A123" s="17">
        <f t="shared" si="105"/>
        <v>53</v>
      </c>
      <c r="B123" s="17">
        <f t="shared" si="76"/>
        <v>103</v>
      </c>
      <c r="C123" s="17">
        <f t="shared" si="77"/>
        <v>2052</v>
      </c>
      <c r="D123" s="17">
        <f>IF(COUNTIFS('5 - Dati'!$A$6:$A$186,Serie,'5 - Dati'!$B$6:$B$186,C123)&gt;0,1,0)</f>
        <v>0</v>
      </c>
      <c r="E123" s="18">
        <f>IF(D123=1,SUMIFS('5 - Dati'!$F$6:$F$186,'5 - Dati'!$A$6:$A$186,Serie,'5 - Dati'!$B$6:$B$186,C123),(1+Rend_c)*(1+Infl_c)-1)</f>
        <v>5.0599999999999978E-2</v>
      </c>
      <c r="F123" s="18">
        <f>IF(D123=1,SUMIFS('5 - Dati'!$E$6:$E$186,'5 - Dati'!$A$6:$A$186,Serie,'5 - Dati'!$B$6:$B$186,C123),Infl_c)</f>
        <v>0.02</v>
      </c>
      <c r="G123" s="19">
        <f t="shared" si="78"/>
        <v>1.0484988</v>
      </c>
      <c r="H123" s="19">
        <f t="shared" si="106"/>
        <v>4.5001796806957817E-2</v>
      </c>
      <c r="I123" s="19">
        <f t="shared" si="79"/>
        <v>0.75170046716980898</v>
      </c>
      <c r="J123" s="20">
        <f t="shared" si="80"/>
        <v>38000</v>
      </c>
      <c r="K123" s="20">
        <f t="shared" si="81"/>
        <v>50552.050530275657</v>
      </c>
      <c r="L123" s="17">
        <f t="shared" si="82"/>
        <v>1</v>
      </c>
      <c r="M123" s="20">
        <f t="shared" si="83"/>
        <v>0</v>
      </c>
      <c r="N123" s="20">
        <f t="shared" si="107"/>
        <v>0</v>
      </c>
      <c r="O123" s="20">
        <f t="shared" si="84"/>
        <v>16620.708274987985</v>
      </c>
      <c r="P123" s="20">
        <f t="shared" si="85"/>
        <v>22110.812751741141</v>
      </c>
      <c r="Q123" s="17">
        <f t="shared" si="86"/>
        <v>0</v>
      </c>
      <c r="R123" s="20">
        <f t="shared" si="87"/>
        <v>16620.708274987985</v>
      </c>
      <c r="S123" s="20">
        <f t="shared" si="108"/>
        <v>545056.70878921915</v>
      </c>
      <c r="T123" s="20">
        <f t="shared" si="88"/>
        <v>34200</v>
      </c>
      <c r="U123" s="20">
        <f t="shared" si="89"/>
        <v>45496.845477248091</v>
      </c>
      <c r="V123" s="17">
        <f t="shared" si="90"/>
        <v>1</v>
      </c>
      <c r="W123" s="20">
        <f t="shared" si="91"/>
        <v>0</v>
      </c>
      <c r="X123" s="20">
        <f t="shared" si="109"/>
        <v>0</v>
      </c>
      <c r="Y123" s="18">
        <f t="shared" si="92"/>
        <v>1</v>
      </c>
      <c r="Z123" s="20">
        <f t="shared" si="93"/>
        <v>0</v>
      </c>
      <c r="AA123" s="20">
        <f t="shared" si="94"/>
        <v>0</v>
      </c>
      <c r="AB123" s="17">
        <f t="shared" si="95"/>
        <v>0</v>
      </c>
      <c r="AC123" s="20">
        <f t="shared" si="96"/>
        <v>0</v>
      </c>
      <c r="AD123" s="20">
        <f t="shared" si="110"/>
        <v>0</v>
      </c>
      <c r="AE123" s="20">
        <f t="shared" si="111"/>
        <v>20481.743793274625</v>
      </c>
      <c r="AF123" s="18">
        <f t="shared" si="97"/>
        <v>4.8460459329688024E-2</v>
      </c>
      <c r="AG123" s="20">
        <f t="shared" si="98"/>
        <v>20481.743793274625</v>
      </c>
      <c r="AH123" s="20">
        <f t="shared" si="99"/>
        <v>27247.214399625755</v>
      </c>
      <c r="AI123" s="17">
        <f t="shared" si="100"/>
        <v>0</v>
      </c>
      <c r="AJ123" s="20">
        <f t="shared" si="101"/>
        <v>20481.743793274625</v>
      </c>
      <c r="AK123" s="20">
        <f t="shared" si="112"/>
        <v>562256.62687710975</v>
      </c>
      <c r="AL123" s="20">
        <f t="shared" si="113"/>
        <v>12908.809292914004</v>
      </c>
      <c r="AM123" s="20">
        <f t="shared" si="102"/>
        <v>17172.809991081071</v>
      </c>
      <c r="AN123" s="17">
        <f t="shared" si="103"/>
        <v>0</v>
      </c>
      <c r="AO123" s="20">
        <f t="shared" si="104"/>
        <v>12908.809292914004</v>
      </c>
      <c r="AP123" s="20">
        <f t="shared" si="114"/>
        <v>423329.31853281573</v>
      </c>
      <c r="AQ123" s="18" t="str">
        <f t="shared" si="115"/>
        <v/>
      </c>
      <c r="AR123" s="18" t="str">
        <f t="shared" si="116"/>
        <v/>
      </c>
      <c r="AS123" s="18" t="str">
        <f t="shared" si="117"/>
        <v/>
      </c>
      <c r="AT123" s="18" t="str">
        <f t="shared" si="118"/>
        <v/>
      </c>
      <c r="AU123" s="18" t="str">
        <f t="shared" si="119"/>
        <v/>
      </c>
      <c r="AV123" s="18" t="str">
        <f t="shared" si="120"/>
        <v/>
      </c>
    </row>
    <row r="124" spans="1:48">
      <c r="A124" s="17">
        <f t="shared" si="105"/>
        <v>54</v>
      </c>
      <c r="B124" s="17">
        <f t="shared" si="76"/>
        <v>104</v>
      </c>
      <c r="C124" s="17">
        <f t="shared" si="77"/>
        <v>2053</v>
      </c>
      <c r="D124" s="17">
        <f>IF(COUNTIFS('5 - Dati'!$A$6:$A$186,Serie,'5 - Dati'!$B$6:$B$186,C124)&gt;0,1,0)</f>
        <v>0</v>
      </c>
      <c r="E124" s="18">
        <f>IF(D124=1,SUMIFS('5 - Dati'!$F$6:$F$186,'5 - Dati'!$A$6:$A$186,Serie,'5 - Dati'!$B$6:$B$186,C124),(1+Rend_c)*(1+Infl_c)-1)</f>
        <v>5.0599999999999978E-2</v>
      </c>
      <c r="F124" s="18">
        <f>IF(D124=1,SUMIFS('5 - Dati'!$E$6:$E$186,'5 - Dati'!$A$6:$A$186,Serie,'5 - Dati'!$B$6:$B$186,C124),Infl_c)</f>
        <v>0.02</v>
      </c>
      <c r="G124" s="19">
        <f t="shared" si="78"/>
        <v>1.0484988</v>
      </c>
      <c r="H124" s="19">
        <f t="shared" si="106"/>
        <v>4.2920217750328199E-2</v>
      </c>
      <c r="I124" s="19">
        <f t="shared" si="79"/>
        <v>0.75115925661508531</v>
      </c>
      <c r="J124" s="20">
        <f t="shared" si="80"/>
        <v>38000</v>
      </c>
      <c r="K124" s="20">
        <f t="shared" si="81"/>
        <v>50588.473303567698</v>
      </c>
      <c r="L124" s="17">
        <f t="shared" si="82"/>
        <v>1</v>
      </c>
      <c r="M124" s="20">
        <f t="shared" si="83"/>
        <v>0</v>
      </c>
      <c r="N124" s="20">
        <f t="shared" si="107"/>
        <v>0</v>
      </c>
      <c r="O124" s="20">
        <f t="shared" si="84"/>
        <v>16380.213791380545</v>
      </c>
      <c r="P124" s="20">
        <f t="shared" si="85"/>
        <v>21806.579160315425</v>
      </c>
      <c r="Q124" s="17">
        <f t="shared" si="86"/>
        <v>0</v>
      </c>
      <c r="R124" s="20">
        <f t="shared" si="87"/>
        <v>16380.213791380545</v>
      </c>
      <c r="S124" s="20">
        <f t="shared" si="108"/>
        <v>537557.00437276508</v>
      </c>
      <c r="T124" s="20">
        <f t="shared" si="88"/>
        <v>34200</v>
      </c>
      <c r="U124" s="20">
        <f t="shared" si="89"/>
        <v>45529.625973210925</v>
      </c>
      <c r="V124" s="17">
        <f t="shared" si="90"/>
        <v>1</v>
      </c>
      <c r="W124" s="20">
        <f t="shared" si="91"/>
        <v>0</v>
      </c>
      <c r="X124" s="20">
        <f t="shared" si="109"/>
        <v>0</v>
      </c>
      <c r="Y124" s="18">
        <f t="shared" si="92"/>
        <v>1</v>
      </c>
      <c r="Z124" s="20">
        <f t="shared" si="93"/>
        <v>0</v>
      </c>
      <c r="AA124" s="20">
        <f t="shared" si="94"/>
        <v>0</v>
      </c>
      <c r="AB124" s="17">
        <f t="shared" si="95"/>
        <v>0</v>
      </c>
      <c r="AC124" s="20">
        <f t="shared" si="96"/>
        <v>0</v>
      </c>
      <c r="AD124" s="20">
        <f t="shared" si="110"/>
        <v>0</v>
      </c>
      <c r="AE124" s="20">
        <f t="shared" si="111"/>
        <v>20481.743793274625</v>
      </c>
      <c r="AF124" s="18">
        <f t="shared" si="97"/>
        <v>4.9579908060992578E-2</v>
      </c>
      <c r="AG124" s="20">
        <f t="shared" si="98"/>
        <v>20481.743793274625</v>
      </c>
      <c r="AH124" s="20">
        <f t="shared" si="99"/>
        <v>27266.846028857544</v>
      </c>
      <c r="AI124" s="17">
        <f t="shared" si="100"/>
        <v>0</v>
      </c>
      <c r="AJ124" s="20">
        <f t="shared" si="101"/>
        <v>20481.743793274625</v>
      </c>
      <c r="AK124" s="20">
        <f t="shared" si="112"/>
        <v>549957.57546210487</v>
      </c>
      <c r="AL124" s="20">
        <f t="shared" si="113"/>
        <v>12722.024387389967</v>
      </c>
      <c r="AM124" s="20">
        <f t="shared" si="102"/>
        <v>16936.520818126697</v>
      </c>
      <c r="AN124" s="17">
        <f t="shared" si="103"/>
        <v>0</v>
      </c>
      <c r="AO124" s="20">
        <f t="shared" si="104"/>
        <v>12722.024387389967</v>
      </c>
      <c r="AP124" s="20">
        <f t="shared" si="114"/>
        <v>417504.5213903907</v>
      </c>
      <c r="AQ124" s="18" t="str">
        <f t="shared" si="115"/>
        <v/>
      </c>
      <c r="AR124" s="18" t="str">
        <f t="shared" si="116"/>
        <v/>
      </c>
      <c r="AS124" s="18" t="str">
        <f t="shared" si="117"/>
        <v/>
      </c>
      <c r="AT124" s="18" t="str">
        <f t="shared" si="118"/>
        <v/>
      </c>
      <c r="AU124" s="18" t="str">
        <f t="shared" si="119"/>
        <v/>
      </c>
      <c r="AV124" s="18" t="str">
        <f t="shared" si="120"/>
        <v/>
      </c>
    </row>
    <row r="125" spans="1:48">
      <c r="A125" s="17">
        <f t="shared" si="105"/>
        <v>55</v>
      </c>
      <c r="B125" s="17">
        <f t="shared" si="76"/>
        <v>105</v>
      </c>
      <c r="C125" s="17">
        <f t="shared" si="77"/>
        <v>2054</v>
      </c>
      <c r="D125" s="17">
        <f>IF(COUNTIFS('5 - Dati'!$A$6:$A$186,Serie,'5 - Dati'!$B$6:$B$186,C125)&gt;0,1,0)</f>
        <v>0</v>
      </c>
      <c r="E125" s="18">
        <f>IF(D125=1,SUMIFS('5 - Dati'!$F$6:$F$186,'5 - Dati'!$A$6:$A$186,Serie,'5 - Dati'!$B$6:$B$186,C125),(1+Rend_c)*(1+Infl_c)-1)</f>
        <v>5.0599999999999978E-2</v>
      </c>
      <c r="F125" s="18">
        <f>IF(D125=1,SUMIFS('5 - Dati'!$E$6:$E$186,'5 - Dati'!$A$6:$A$186,Serie,'5 - Dati'!$B$6:$B$186,C125),Infl_c)</f>
        <v>0.02</v>
      </c>
      <c r="G125" s="19">
        <f t="shared" si="78"/>
        <v>1.0484988</v>
      </c>
      <c r="H125" s="19">
        <f t="shared" si="106"/>
        <v>4.0934923101798686E-2</v>
      </c>
      <c r="I125" s="19">
        <f t="shared" si="79"/>
        <v>0.75064308000646762</v>
      </c>
      <c r="J125" s="20">
        <f t="shared" si="80"/>
        <v>38000</v>
      </c>
      <c r="K125" s="20">
        <f t="shared" si="81"/>
        <v>50623.260257954535</v>
      </c>
      <c r="L125" s="17">
        <f t="shared" si="82"/>
        <v>1</v>
      </c>
      <c r="M125" s="20">
        <f t="shared" si="83"/>
        <v>0</v>
      </c>
      <c r="N125" s="20">
        <f t="shared" si="107"/>
        <v>0</v>
      </c>
      <c r="O125" s="20">
        <f t="shared" si="84"/>
        <v>16143.729172358084</v>
      </c>
      <c r="P125" s="20">
        <f t="shared" si="85"/>
        <v>21506.531669110955</v>
      </c>
      <c r="Q125" s="17">
        <f t="shared" si="86"/>
        <v>0</v>
      </c>
      <c r="R125" s="20">
        <f t="shared" si="87"/>
        <v>16143.729172358084</v>
      </c>
      <c r="S125" s="20">
        <f t="shared" si="108"/>
        <v>530160.49209288554</v>
      </c>
      <c r="T125" s="20">
        <f t="shared" si="88"/>
        <v>34200</v>
      </c>
      <c r="U125" s="20">
        <f t="shared" si="89"/>
        <v>45560.934232159081</v>
      </c>
      <c r="V125" s="17">
        <f t="shared" si="90"/>
        <v>1</v>
      </c>
      <c r="W125" s="20">
        <f t="shared" si="91"/>
        <v>0</v>
      </c>
      <c r="X125" s="20">
        <f t="shared" si="109"/>
        <v>0</v>
      </c>
      <c r="Y125" s="18">
        <f t="shared" si="92"/>
        <v>1</v>
      </c>
      <c r="Z125" s="20">
        <f t="shared" si="93"/>
        <v>0</v>
      </c>
      <c r="AA125" s="20">
        <f t="shared" si="94"/>
        <v>0</v>
      </c>
      <c r="AB125" s="17">
        <f t="shared" si="95"/>
        <v>0</v>
      </c>
      <c r="AC125" s="20">
        <f t="shared" si="96"/>
        <v>0</v>
      </c>
      <c r="AD125" s="20">
        <f t="shared" si="110"/>
        <v>0</v>
      </c>
      <c r="AE125" s="20">
        <f t="shared" si="111"/>
        <v>20481.743793274625</v>
      </c>
      <c r="AF125" s="18">
        <f t="shared" si="97"/>
        <v>5.0783295527496615E-2</v>
      </c>
      <c r="AG125" s="20">
        <f t="shared" si="98"/>
        <v>20481.743793274625</v>
      </c>
      <c r="AH125" s="20">
        <f t="shared" si="99"/>
        <v>27285.595962728588</v>
      </c>
      <c r="AI125" s="17">
        <f t="shared" si="100"/>
        <v>0</v>
      </c>
      <c r="AJ125" s="20">
        <f t="shared" si="101"/>
        <v>20481.743793274625</v>
      </c>
      <c r="AK125" s="20">
        <f t="shared" si="112"/>
        <v>537294.70841361221</v>
      </c>
      <c r="AL125" s="20">
        <f t="shared" si="113"/>
        <v>12538.353824309188</v>
      </c>
      <c r="AM125" s="20">
        <f t="shared" si="102"/>
        <v>16703.482864587462</v>
      </c>
      <c r="AN125" s="17">
        <f t="shared" si="103"/>
        <v>0</v>
      </c>
      <c r="AO125" s="20">
        <f t="shared" si="104"/>
        <v>12538.353824309188</v>
      </c>
      <c r="AP125" s="20">
        <f t="shared" si="114"/>
        <v>411759.87050825305</v>
      </c>
      <c r="AQ125" s="18" t="str">
        <f t="shared" si="115"/>
        <v/>
      </c>
      <c r="AR125" s="18" t="str">
        <f t="shared" si="116"/>
        <v/>
      </c>
      <c r="AS125" s="18" t="str">
        <f t="shared" si="117"/>
        <v/>
      </c>
      <c r="AT125" s="18" t="str">
        <f t="shared" si="118"/>
        <v/>
      </c>
      <c r="AU125" s="18" t="str">
        <f t="shared" si="119"/>
        <v/>
      </c>
      <c r="AV125" s="18" t="str">
        <f t="shared" si="120"/>
        <v/>
      </c>
    </row>
    <row r="126" spans="1:48">
      <c r="A126" s="17">
        <f t="shared" si="105"/>
        <v>56</v>
      </c>
      <c r="B126" s="17">
        <f t="shared" si="76"/>
        <v>106</v>
      </c>
      <c r="C126" s="17">
        <f t="shared" si="77"/>
        <v>2055</v>
      </c>
      <c r="D126" s="17">
        <f>IF(COUNTIFS('5 - Dati'!$A$6:$A$186,Serie,'5 - Dati'!$B$6:$B$186,C126)&gt;0,1,0)</f>
        <v>0</v>
      </c>
      <c r="E126" s="18">
        <f>IF(D126=1,SUMIFS('5 - Dati'!$F$6:$F$186,'5 - Dati'!$A$6:$A$186,Serie,'5 - Dati'!$B$6:$B$186,C126),(1+Rend_c)*(1+Infl_c)-1)</f>
        <v>5.0599999999999978E-2</v>
      </c>
      <c r="F126" s="18">
        <f>IF(D126=1,SUMIFS('5 - Dati'!$E$6:$E$186,'5 - Dati'!$A$6:$A$186,Serie,'5 - Dati'!$B$6:$B$186,C126),Infl_c)</f>
        <v>0.02</v>
      </c>
      <c r="G126" s="19">
        <f t="shared" si="78"/>
        <v>1.0484988</v>
      </c>
      <c r="H126" s="19">
        <f t="shared" si="106"/>
        <v>3.9041459181258661E-2</v>
      </c>
      <c r="I126" s="19">
        <f t="shared" si="79"/>
        <v>0.75015077938712726</v>
      </c>
      <c r="J126" s="20">
        <f t="shared" si="80"/>
        <v>38000</v>
      </c>
      <c r="K126" s="20">
        <f t="shared" si="81"/>
        <v>50656.48272877351</v>
      </c>
      <c r="L126" s="17">
        <f t="shared" si="82"/>
        <v>1</v>
      </c>
      <c r="M126" s="20">
        <f t="shared" si="83"/>
        <v>0</v>
      </c>
      <c r="N126" s="20">
        <f t="shared" si="107"/>
        <v>0</v>
      </c>
      <c r="O126" s="20">
        <f t="shared" si="84"/>
        <v>15911.157632811102</v>
      </c>
      <c r="P126" s="20">
        <f t="shared" si="85"/>
        <v>21210.612679507591</v>
      </c>
      <c r="Q126" s="17">
        <f t="shared" si="86"/>
        <v>0</v>
      </c>
      <c r="R126" s="20">
        <f t="shared" si="87"/>
        <v>15911.157632811102</v>
      </c>
      <c r="S126" s="20">
        <f t="shared" si="108"/>
        <v>522865.75207801478</v>
      </c>
      <c r="T126" s="20">
        <f t="shared" si="88"/>
        <v>34200</v>
      </c>
      <c r="U126" s="20">
        <f t="shared" si="89"/>
        <v>45590.834455896162</v>
      </c>
      <c r="V126" s="17">
        <f t="shared" si="90"/>
        <v>1</v>
      </c>
      <c r="W126" s="20">
        <f t="shared" si="91"/>
        <v>0</v>
      </c>
      <c r="X126" s="20">
        <f t="shared" si="109"/>
        <v>0</v>
      </c>
      <c r="Y126" s="18">
        <f t="shared" si="92"/>
        <v>1</v>
      </c>
      <c r="Z126" s="20">
        <f t="shared" si="93"/>
        <v>0</v>
      </c>
      <c r="AA126" s="20">
        <f t="shared" si="94"/>
        <v>0</v>
      </c>
      <c r="AB126" s="17">
        <f t="shared" si="95"/>
        <v>0</v>
      </c>
      <c r="AC126" s="20">
        <f t="shared" si="96"/>
        <v>0</v>
      </c>
      <c r="AD126" s="20">
        <f t="shared" si="110"/>
        <v>0</v>
      </c>
      <c r="AE126" s="20">
        <f t="shared" si="111"/>
        <v>20481.743793274625</v>
      </c>
      <c r="AF126" s="18">
        <f t="shared" si="97"/>
        <v>5.2080202309248022E-2</v>
      </c>
      <c r="AG126" s="20">
        <f t="shared" si="98"/>
        <v>20481.743793274625</v>
      </c>
      <c r="AH126" s="20">
        <f t="shared" si="99"/>
        <v>27303.502650504739</v>
      </c>
      <c r="AI126" s="17">
        <f t="shared" si="100"/>
        <v>0</v>
      </c>
      <c r="AJ126" s="20">
        <f t="shared" si="101"/>
        <v>20481.743793274625</v>
      </c>
      <c r="AK126" s="20">
        <f t="shared" si="112"/>
        <v>524258.76705276128</v>
      </c>
      <c r="AL126" s="20">
        <f t="shared" si="113"/>
        <v>12357.722433558569</v>
      </c>
      <c r="AM126" s="20">
        <f t="shared" si="102"/>
        <v>16473.651395329911</v>
      </c>
      <c r="AN126" s="17">
        <f t="shared" si="103"/>
        <v>0</v>
      </c>
      <c r="AO126" s="20">
        <f t="shared" si="104"/>
        <v>12357.722433558569</v>
      </c>
      <c r="AP126" s="20">
        <f t="shared" si="114"/>
        <v>406094.26311442954</v>
      </c>
      <c r="AQ126" s="18" t="str">
        <f t="shared" si="115"/>
        <v/>
      </c>
      <c r="AR126" s="18" t="str">
        <f t="shared" si="116"/>
        <v/>
      </c>
      <c r="AS126" s="18" t="str">
        <f t="shared" si="117"/>
        <v/>
      </c>
      <c r="AT126" s="18" t="str">
        <f t="shared" si="118"/>
        <v/>
      </c>
      <c r="AU126" s="18" t="str">
        <f t="shared" si="119"/>
        <v/>
      </c>
      <c r="AV126" s="18" t="str">
        <f t="shared" si="120"/>
        <v/>
      </c>
    </row>
    <row r="127" spans="1:48">
      <c r="A127" s="17">
        <f t="shared" si="105"/>
        <v>57</v>
      </c>
      <c r="B127" s="17">
        <f t="shared" si="76"/>
        <v>107</v>
      </c>
      <c r="C127" s="17">
        <f t="shared" si="77"/>
        <v>2056</v>
      </c>
      <c r="D127" s="17">
        <f>IF(COUNTIFS('5 - Dati'!$A$6:$A$186,Serie,'5 - Dati'!$B$6:$B$186,C127)&gt;0,1,0)</f>
        <v>0</v>
      </c>
      <c r="E127" s="18">
        <f>IF(D127=1,SUMIFS('5 - Dati'!$F$6:$F$186,'5 - Dati'!$A$6:$A$186,Serie,'5 - Dati'!$B$6:$B$186,C127),(1+Rend_c)*(1+Infl_c)-1)</f>
        <v>5.0599999999999978E-2</v>
      </c>
      <c r="F127" s="18">
        <f>IF(D127=1,SUMIFS('5 - Dati'!$E$6:$E$186,'5 - Dati'!$A$6:$A$186,Serie,'5 - Dati'!$B$6:$B$186,C127),Infl_c)</f>
        <v>0.02</v>
      </c>
      <c r="G127" s="19">
        <f t="shared" si="78"/>
        <v>1.0484988</v>
      </c>
      <c r="H127" s="19">
        <f t="shared" si="106"/>
        <v>3.7235578315643912E-2</v>
      </c>
      <c r="I127" s="19">
        <f t="shared" si="79"/>
        <v>0.74968125036206734</v>
      </c>
      <c r="J127" s="20">
        <f t="shared" si="80"/>
        <v>38000</v>
      </c>
      <c r="K127" s="20">
        <f t="shared" si="81"/>
        <v>50688.209131077318</v>
      </c>
      <c r="L127" s="17">
        <f t="shared" si="82"/>
        <v>1</v>
      </c>
      <c r="M127" s="20">
        <f t="shared" si="83"/>
        <v>0</v>
      </c>
      <c r="N127" s="20">
        <f t="shared" si="107"/>
        <v>0</v>
      </c>
      <c r="O127" s="20">
        <f t="shared" si="84"/>
        <v>15682.406190167207</v>
      </c>
      <c r="P127" s="20">
        <f t="shared" si="85"/>
        <v>20918.765385413073</v>
      </c>
      <c r="Q127" s="17">
        <f t="shared" si="86"/>
        <v>0</v>
      </c>
      <c r="R127" s="20">
        <f t="shared" si="87"/>
        <v>15682.406190167207</v>
      </c>
      <c r="S127" s="20">
        <f t="shared" si="108"/>
        <v>515671.38399330148</v>
      </c>
      <c r="T127" s="20">
        <f t="shared" si="88"/>
        <v>34200</v>
      </c>
      <c r="U127" s="20">
        <f t="shared" si="89"/>
        <v>45619.388217969579</v>
      </c>
      <c r="V127" s="17">
        <f t="shared" si="90"/>
        <v>1</v>
      </c>
      <c r="W127" s="20">
        <f t="shared" si="91"/>
        <v>0</v>
      </c>
      <c r="X127" s="20">
        <f t="shared" si="109"/>
        <v>0</v>
      </c>
      <c r="Y127" s="18">
        <f t="shared" si="92"/>
        <v>1</v>
      </c>
      <c r="Z127" s="20">
        <f t="shared" si="93"/>
        <v>0</v>
      </c>
      <c r="AA127" s="20">
        <f t="shared" si="94"/>
        <v>0</v>
      </c>
      <c r="AB127" s="17">
        <f t="shared" si="95"/>
        <v>0</v>
      </c>
      <c r="AC127" s="20">
        <f t="shared" si="96"/>
        <v>0</v>
      </c>
      <c r="AD127" s="20">
        <f t="shared" si="110"/>
        <v>0</v>
      </c>
      <c r="AE127" s="20">
        <f t="shared" si="111"/>
        <v>20481.743793274625</v>
      </c>
      <c r="AF127" s="18">
        <f t="shared" si="97"/>
        <v>5.3481701835800567E-2</v>
      </c>
      <c r="AG127" s="20">
        <f t="shared" si="98"/>
        <v>20481.743793274625</v>
      </c>
      <c r="AH127" s="20">
        <f t="shared" si="99"/>
        <v>27320.602967438132</v>
      </c>
      <c r="AI127" s="17">
        <f t="shared" si="100"/>
        <v>0</v>
      </c>
      <c r="AJ127" s="20">
        <f t="shared" si="101"/>
        <v>20481.743793274625</v>
      </c>
      <c r="AK127" s="20">
        <f t="shared" si="112"/>
        <v>510840.19448965555</v>
      </c>
      <c r="AL127" s="20">
        <f t="shared" si="113"/>
        <v>12180.057998342363</v>
      </c>
      <c r="AM127" s="20">
        <f t="shared" si="102"/>
        <v>16246.982290753385</v>
      </c>
      <c r="AN127" s="17">
        <f t="shared" si="103"/>
        <v>0</v>
      </c>
      <c r="AO127" s="20">
        <f t="shared" si="104"/>
        <v>12180.057998342363</v>
      </c>
      <c r="AP127" s="20">
        <f t="shared" si="114"/>
        <v>400506.61161053122</v>
      </c>
      <c r="AQ127" s="18" t="str">
        <f t="shared" si="115"/>
        <v/>
      </c>
      <c r="AR127" s="18" t="str">
        <f t="shared" si="116"/>
        <v/>
      </c>
      <c r="AS127" s="18" t="str">
        <f t="shared" si="117"/>
        <v/>
      </c>
      <c r="AT127" s="18" t="str">
        <f t="shared" si="118"/>
        <v/>
      </c>
      <c r="AU127" s="18" t="str">
        <f t="shared" si="119"/>
        <v/>
      </c>
      <c r="AV127" s="18" t="str">
        <f t="shared" si="120"/>
        <v/>
      </c>
    </row>
    <row r="128" spans="1:48">
      <c r="A128" s="17">
        <f t="shared" si="105"/>
        <v>58</v>
      </c>
      <c r="B128" s="17">
        <f t="shared" si="76"/>
        <v>108</v>
      </c>
      <c r="C128" s="17">
        <f t="shared" si="77"/>
        <v>2057</v>
      </c>
      <c r="D128" s="17">
        <f>IF(COUNTIFS('5 - Dati'!$A$6:$A$186,Serie,'5 - Dati'!$B$6:$B$186,C128)&gt;0,1,0)</f>
        <v>0</v>
      </c>
      <c r="E128" s="18">
        <f>IF(D128=1,SUMIFS('5 - Dati'!$F$6:$F$186,'5 - Dati'!$A$6:$A$186,Serie,'5 - Dati'!$B$6:$B$186,C128),(1+Rend_c)*(1+Infl_c)-1)</f>
        <v>5.0599999999999978E-2</v>
      </c>
      <c r="F128" s="18">
        <f>IF(D128=1,SUMIFS('5 - Dati'!$E$6:$E$186,'5 - Dati'!$A$6:$A$186,Serie,'5 - Dati'!$B$6:$B$186,C128),Infl_c)</f>
        <v>0.02</v>
      </c>
      <c r="G128" s="19">
        <f t="shared" si="78"/>
        <v>1.0484988</v>
      </c>
      <c r="H128" s="19">
        <f t="shared" si="106"/>
        <v>3.5513229309984823E-2</v>
      </c>
      <c r="I128" s="19">
        <f t="shared" si="79"/>
        <v>0.74923343962059596</v>
      </c>
      <c r="J128" s="20">
        <f t="shared" si="80"/>
        <v>38000</v>
      </c>
      <c r="K128" s="20">
        <f t="shared" si="81"/>
        <v>50718.505061977485</v>
      </c>
      <c r="L128" s="17">
        <f t="shared" si="82"/>
        <v>1</v>
      </c>
      <c r="M128" s="20">
        <f t="shared" si="83"/>
        <v>0</v>
      </c>
      <c r="N128" s="20">
        <f t="shared" si="107"/>
        <v>0</v>
      </c>
      <c r="O128" s="20">
        <f t="shared" si="84"/>
        <v>15457.385465356318</v>
      </c>
      <c r="P128" s="20">
        <f t="shared" si="85"/>
        <v>20630.9337623582</v>
      </c>
      <c r="Q128" s="17">
        <f t="shared" si="86"/>
        <v>0</v>
      </c>
      <c r="R128" s="20">
        <f t="shared" si="87"/>
        <v>15457.385465356318</v>
      </c>
      <c r="S128" s="20">
        <f t="shared" si="108"/>
        <v>508576.00677179277</v>
      </c>
      <c r="T128" s="20">
        <f t="shared" si="88"/>
        <v>34200</v>
      </c>
      <c r="U128" s="20">
        <f t="shared" si="89"/>
        <v>45646.654555779736</v>
      </c>
      <c r="V128" s="17">
        <f t="shared" si="90"/>
        <v>1</v>
      </c>
      <c r="W128" s="20">
        <f t="shared" si="91"/>
        <v>0</v>
      </c>
      <c r="X128" s="20">
        <f t="shared" si="109"/>
        <v>0</v>
      </c>
      <c r="Y128" s="18">
        <f t="shared" si="92"/>
        <v>1</v>
      </c>
      <c r="Z128" s="20">
        <f t="shared" si="93"/>
        <v>0</v>
      </c>
      <c r="AA128" s="20">
        <f t="shared" si="94"/>
        <v>0</v>
      </c>
      <c r="AB128" s="17">
        <f t="shared" si="95"/>
        <v>0</v>
      </c>
      <c r="AC128" s="20">
        <f t="shared" si="96"/>
        <v>0</v>
      </c>
      <c r="AD128" s="20">
        <f t="shared" si="110"/>
        <v>0</v>
      </c>
      <c r="AE128" s="20">
        <f t="shared" si="111"/>
        <v>20481.743793274625</v>
      </c>
      <c r="AF128" s="18">
        <f t="shared" si="97"/>
        <v>5.5000664306971668E-2</v>
      </c>
      <c r="AG128" s="20">
        <f t="shared" si="98"/>
        <v>20481.743793274625</v>
      </c>
      <c r="AH128" s="20">
        <f t="shared" si="99"/>
        <v>27336.932269929606</v>
      </c>
      <c r="AI128" s="17">
        <f t="shared" si="100"/>
        <v>0</v>
      </c>
      <c r="AJ128" s="20">
        <f t="shared" si="101"/>
        <v>20481.743793274625</v>
      </c>
      <c r="AK128" s="20">
        <f t="shared" si="112"/>
        <v>497029.12890934816</v>
      </c>
      <c r="AL128" s="20">
        <f t="shared" si="113"/>
        <v>12005.291100597799</v>
      </c>
      <c r="AM128" s="20">
        <f t="shared" si="102"/>
        <v>16023.432038320598</v>
      </c>
      <c r="AN128" s="17">
        <f t="shared" si="103"/>
        <v>0</v>
      </c>
      <c r="AO128" s="20">
        <f t="shared" si="104"/>
        <v>12005.291100597799</v>
      </c>
      <c r="AP128" s="20">
        <f t="shared" si="114"/>
        <v>394995.84336297237</v>
      </c>
      <c r="AQ128" s="18" t="str">
        <f t="shared" si="115"/>
        <v/>
      </c>
      <c r="AR128" s="18" t="str">
        <f t="shared" si="116"/>
        <v/>
      </c>
      <c r="AS128" s="18" t="str">
        <f t="shared" si="117"/>
        <v/>
      </c>
      <c r="AT128" s="18" t="str">
        <f t="shared" si="118"/>
        <v/>
      </c>
      <c r="AU128" s="18" t="str">
        <f t="shared" si="119"/>
        <v/>
      </c>
      <c r="AV128" s="18" t="str">
        <f t="shared" si="120"/>
        <v/>
      </c>
    </row>
    <row r="129" spans="1:48">
      <c r="A129" s="17">
        <f t="shared" si="105"/>
        <v>59</v>
      </c>
      <c r="B129" s="17">
        <f t="shared" si="76"/>
        <v>109</v>
      </c>
      <c r="C129" s="17">
        <f t="shared" si="77"/>
        <v>2058</v>
      </c>
      <c r="D129" s="17">
        <f>IF(COUNTIFS('5 - Dati'!$A$6:$A$186,Serie,'5 - Dati'!$B$6:$B$186,C129)&gt;0,1,0)</f>
        <v>0</v>
      </c>
      <c r="E129" s="18">
        <f>IF(D129=1,SUMIFS('5 - Dati'!$F$6:$F$186,'5 - Dati'!$A$6:$A$186,Serie,'5 - Dati'!$B$6:$B$186,C129),(1+Rend_c)*(1+Infl_c)-1)</f>
        <v>5.0599999999999978E-2</v>
      </c>
      <c r="F129" s="18">
        <f>IF(D129=1,SUMIFS('5 - Dati'!$E$6:$E$186,'5 - Dati'!$A$6:$A$186,Serie,'5 - Dati'!$B$6:$B$186,C129),Infl_c)</f>
        <v>0.02</v>
      </c>
      <c r="G129" s="19">
        <f t="shared" si="78"/>
        <v>1.0484988</v>
      </c>
      <c r="H129" s="19">
        <f t="shared" si="106"/>
        <v>3.3870548359220654E-2</v>
      </c>
      <c r="I129" s="19">
        <f t="shared" si="79"/>
        <v>0.74880634257339729</v>
      </c>
      <c r="J129" s="20">
        <f t="shared" si="80"/>
        <v>38000</v>
      </c>
      <c r="K129" s="20">
        <f t="shared" si="81"/>
        <v>50747.433401013528</v>
      </c>
      <c r="L129" s="17">
        <f t="shared" si="82"/>
        <v>1</v>
      </c>
      <c r="M129" s="20">
        <f t="shared" si="83"/>
        <v>0</v>
      </c>
      <c r="N129" s="20">
        <f t="shared" si="107"/>
        <v>0</v>
      </c>
      <c r="O129" s="20">
        <f t="shared" si="84"/>
        <v>15236.009495226184</v>
      </c>
      <c r="P129" s="20">
        <f t="shared" si="85"/>
        <v>20347.062556742119</v>
      </c>
      <c r="Q129" s="17">
        <f t="shared" si="86"/>
        <v>0</v>
      </c>
      <c r="R129" s="20">
        <f t="shared" si="87"/>
        <v>15236.009495226184</v>
      </c>
      <c r="S129" s="20">
        <f t="shared" si="108"/>
        <v>501578.25834931812</v>
      </c>
      <c r="T129" s="20">
        <f t="shared" si="88"/>
        <v>34200</v>
      </c>
      <c r="U129" s="20">
        <f t="shared" si="89"/>
        <v>45672.690060912173</v>
      </c>
      <c r="V129" s="17">
        <f t="shared" si="90"/>
        <v>1</v>
      </c>
      <c r="W129" s="20">
        <f t="shared" si="91"/>
        <v>0</v>
      </c>
      <c r="X129" s="20">
        <f t="shared" si="109"/>
        <v>0</v>
      </c>
      <c r="Y129" s="18">
        <f t="shared" si="92"/>
        <v>1</v>
      </c>
      <c r="Z129" s="20">
        <f t="shared" si="93"/>
        <v>0</v>
      </c>
      <c r="AA129" s="20">
        <f t="shared" si="94"/>
        <v>0</v>
      </c>
      <c r="AB129" s="17">
        <f t="shared" si="95"/>
        <v>0</v>
      </c>
      <c r="AC129" s="20">
        <f t="shared" si="96"/>
        <v>0</v>
      </c>
      <c r="AD129" s="20">
        <f t="shared" si="110"/>
        <v>0</v>
      </c>
      <c r="AE129" s="20">
        <f t="shared" si="111"/>
        <v>20481.743793274625</v>
      </c>
      <c r="AF129" s="18">
        <f t="shared" si="97"/>
        <v>5.6652137942323537E-2</v>
      </c>
      <c r="AG129" s="20">
        <f t="shared" si="98"/>
        <v>20481.743793274625</v>
      </c>
      <c r="AH129" s="20">
        <f t="shared" si="99"/>
        <v>27352.524449627006</v>
      </c>
      <c r="AI129" s="17">
        <f t="shared" si="100"/>
        <v>0</v>
      </c>
      <c r="AJ129" s="20">
        <f t="shared" si="101"/>
        <v>20481.743793274625</v>
      </c>
      <c r="AK129" s="20">
        <f t="shared" si="112"/>
        <v>482815.39661352389</v>
      </c>
      <c r="AL129" s="20">
        <f t="shared" si="113"/>
        <v>11833.354975303777</v>
      </c>
      <c r="AM129" s="20">
        <f t="shared" si="102"/>
        <v>15802.957724204751</v>
      </c>
      <c r="AN129" s="17">
        <f t="shared" si="103"/>
        <v>0</v>
      </c>
      <c r="AO129" s="20">
        <f t="shared" si="104"/>
        <v>11833.354975303777</v>
      </c>
      <c r="AP129" s="20">
        <f t="shared" si="114"/>
        <v>389560.90049706254</v>
      </c>
      <c r="AQ129" s="18" t="str">
        <f t="shared" si="115"/>
        <v/>
      </c>
      <c r="AR129" s="18" t="str">
        <f t="shared" si="116"/>
        <v/>
      </c>
      <c r="AS129" s="18" t="str">
        <f t="shared" si="117"/>
        <v/>
      </c>
      <c r="AT129" s="18" t="str">
        <f t="shared" si="118"/>
        <v/>
      </c>
      <c r="AU129" s="18" t="str">
        <f t="shared" si="119"/>
        <v/>
      </c>
      <c r="AV129" s="18" t="str">
        <f t="shared" si="120"/>
        <v/>
      </c>
    </row>
    <row r="130" spans="1:48">
      <c r="A130" s="17">
        <f t="shared" si="105"/>
        <v>60</v>
      </c>
      <c r="B130" s="17">
        <f t="shared" si="76"/>
        <v>110</v>
      </c>
      <c r="C130" s="17">
        <f t="shared" si="77"/>
        <v>2059</v>
      </c>
      <c r="D130" s="17">
        <f>IF(COUNTIFS('5 - Dati'!$A$6:$A$186,Serie,'5 - Dati'!$B$6:$B$186,C130)&gt;0,1,0)</f>
        <v>0</v>
      </c>
      <c r="E130" s="18">
        <f>IF(D130=1,SUMIFS('5 - Dati'!$F$6:$F$186,'5 - Dati'!$A$6:$A$186,Serie,'5 - Dati'!$B$6:$B$186,C130),(1+Rend_c)*(1+Infl_c)-1)</f>
        <v>5.0599999999999978E-2</v>
      </c>
      <c r="F130" s="18">
        <f>IF(D130=1,SUMIFS('5 - Dati'!$E$6:$E$186,'5 - Dati'!$A$6:$A$186,Serie,'5 - Dati'!$B$6:$B$186,C130),Infl_c)</f>
        <v>0.02</v>
      </c>
      <c r="G130" s="19">
        <f t="shared" si="78"/>
        <v>1.0484988</v>
      </c>
      <c r="H130" s="19">
        <f t="shared" si="106"/>
        <v>3.2303850380392095E-2</v>
      </c>
      <c r="I130" s="19">
        <f t="shared" si="79"/>
        <v>0.74839900109890189</v>
      </c>
      <c r="J130" s="20">
        <f t="shared" si="80"/>
        <v>38000</v>
      </c>
      <c r="K130" s="20">
        <f t="shared" si="81"/>
        <v>50775.054408414755</v>
      </c>
      <c r="L130" s="17">
        <f t="shared" si="82"/>
        <v>1</v>
      </c>
      <c r="M130" s="20">
        <f t="shared" si="83"/>
        <v>0</v>
      </c>
      <c r="N130" s="20">
        <f t="shared" si="107"/>
        <v>0</v>
      </c>
      <c r="O130" s="20">
        <f t="shared" si="84"/>
        <v>15018.195555733299</v>
      </c>
      <c r="P130" s="20">
        <f t="shared" si="85"/>
        <v>20067.097275225551</v>
      </c>
      <c r="Q130" s="17">
        <f t="shared" si="86"/>
        <v>0</v>
      </c>
      <c r="R130" s="20">
        <f t="shared" si="87"/>
        <v>15018.195555733299</v>
      </c>
      <c r="S130" s="20">
        <f t="shared" si="108"/>
        <v>494676.79540302051</v>
      </c>
      <c r="T130" s="20">
        <f t="shared" si="88"/>
        <v>34200</v>
      </c>
      <c r="U130" s="20">
        <f t="shared" si="89"/>
        <v>45697.548967573282</v>
      </c>
      <c r="V130" s="17">
        <f t="shared" si="90"/>
        <v>1</v>
      </c>
      <c r="W130" s="20">
        <f t="shared" si="91"/>
        <v>0</v>
      </c>
      <c r="X130" s="20">
        <f t="shared" si="109"/>
        <v>0</v>
      </c>
      <c r="Y130" s="18">
        <f t="shared" si="92"/>
        <v>1</v>
      </c>
      <c r="Z130" s="20">
        <f t="shared" si="93"/>
        <v>0</v>
      </c>
      <c r="AA130" s="20">
        <f t="shared" si="94"/>
        <v>0</v>
      </c>
      <c r="AB130" s="17">
        <f t="shared" si="95"/>
        <v>0</v>
      </c>
      <c r="AC130" s="20">
        <f t="shared" si="96"/>
        <v>0</v>
      </c>
      <c r="AD130" s="20">
        <f t="shared" si="110"/>
        <v>0</v>
      </c>
      <c r="AE130" s="20">
        <f t="shared" si="111"/>
        <v>20481.743793274625</v>
      </c>
      <c r="AF130" s="18">
        <f t="shared" si="97"/>
        <v>5.8453831533877232E-2</v>
      </c>
      <c r="AG130" s="20">
        <f t="shared" si="98"/>
        <v>20481.743793274625</v>
      </c>
      <c r="AH130" s="20">
        <f t="shared" si="99"/>
        <v>27367.41198638764</v>
      </c>
      <c r="AI130" s="17">
        <f t="shared" si="100"/>
        <v>0</v>
      </c>
      <c r="AJ130" s="20">
        <f t="shared" si="101"/>
        <v>20481.743793274625</v>
      </c>
      <c r="AK130" s="20">
        <f t="shared" si="112"/>
        <v>468188.50481215608</v>
      </c>
      <c r="AL130" s="20">
        <f t="shared" si="113"/>
        <v>11664.185373158529</v>
      </c>
      <c r="AM130" s="20">
        <f t="shared" si="102"/>
        <v>15585.517025051577</v>
      </c>
      <c r="AN130" s="17">
        <f t="shared" si="103"/>
        <v>0</v>
      </c>
      <c r="AO130" s="20">
        <f t="shared" si="104"/>
        <v>11664.185373158529</v>
      </c>
      <c r="AP130" s="20">
        <f t="shared" si="114"/>
        <v>384200.73969393136</v>
      </c>
      <c r="AQ130" s="18" t="str">
        <f t="shared" si="115"/>
        <v/>
      </c>
      <c r="AR130" s="18" t="str">
        <f t="shared" si="116"/>
        <v/>
      </c>
      <c r="AS130" s="18" t="str">
        <f t="shared" si="117"/>
        <v/>
      </c>
      <c r="AT130" s="18" t="str">
        <f t="shared" si="118"/>
        <v/>
      </c>
      <c r="AU130" s="18" t="str">
        <f t="shared" si="119"/>
        <v/>
      </c>
      <c r="AV130" s="18" t="str">
        <f t="shared" si="120"/>
        <v/>
      </c>
    </row>
  </sheetData>
  <mergeCells count="14">
    <mergeCell ref="AQ69:AV69"/>
    <mergeCell ref="A68:P68"/>
    <mergeCell ref="J69:N69"/>
    <mergeCell ref="A2:P2"/>
    <mergeCell ref="A1:P1"/>
    <mergeCell ref="AE69:AK69"/>
    <mergeCell ref="A4:P4"/>
    <mergeCell ref="A3:P3"/>
    <mergeCell ref="A69:I69"/>
    <mergeCell ref="O69:S69"/>
    <mergeCell ref="T69:X69"/>
    <mergeCell ref="R48:Y48"/>
    <mergeCell ref="AL69:AP69"/>
    <mergeCell ref="Y69:AD6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30"/>
  <sheetViews>
    <sheetView workbookViewId="0"/>
  </sheetViews>
  <sheetFormatPr defaultRowHeight="15"/>
  <cols>
    <col min="1" max="1" width="10" customWidth="1"/>
    <col min="2" max="3" width="17" customWidth="1"/>
    <col min="4" max="4" width="20" customWidth="1"/>
    <col min="5" max="5" width="23" customWidth="1"/>
    <col min="6" max="6" width="25" customWidth="1"/>
    <col min="7" max="7" width="24" customWidth="1"/>
    <col min="8" max="9" width="25" customWidth="1"/>
    <col min="10" max="11" width="24" customWidth="1"/>
    <col min="12" max="12" width="25" customWidth="1"/>
    <col min="13" max="13" width="24" customWidth="1"/>
    <col min="14" max="15" width="25" customWidth="1"/>
    <col min="16" max="24" width="18" customWidth="1"/>
    <col min="25" max="31" width="19" customWidth="1"/>
    <col min="32" max="45" width="17" customWidth="1"/>
    <col min="46" max="46" width="18" customWidth="1"/>
    <col min="47" max="48" width="17" customWidth="1"/>
  </cols>
  <sheetData>
    <row r="1" spans="1:16" ht="24.95" customHeight="1">
      <c r="A1" s="33" t="s">
        <v>207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32.1" customHeight="1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>
      <c r="A3" s="35" t="s">
        <v>140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>
      <c r="A4" s="37" t="str">
        <f>"Rendimento reale costante "&amp;TEXT(Rend_c,"0.00%")&amp;" e inflazione "&amp;TEXT(Infl_c,"0.00%")&amp;" · nessun dato storico · modalità: "&amp;Modalita</f>
        <v>Rendimento reale costante 003% e inflazione 002% · nessun dato storico · modalità: tassato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ht="62.1" customHeight="1">
      <c r="A5" s="15" t="s">
        <v>141</v>
      </c>
      <c r="B5" s="15" t="s">
        <v>142</v>
      </c>
      <c r="C5" s="15" t="s">
        <v>143</v>
      </c>
      <c r="D5" s="15" t="s">
        <v>144</v>
      </c>
      <c r="E5" s="15" t="s">
        <v>145</v>
      </c>
      <c r="F5" s="15" t="s">
        <v>146</v>
      </c>
      <c r="G5" s="15" t="s">
        <v>147</v>
      </c>
      <c r="H5" s="15" t="s">
        <v>148</v>
      </c>
      <c r="I5" s="15" t="s">
        <v>149</v>
      </c>
      <c r="J5" s="15" t="s">
        <v>150</v>
      </c>
      <c r="K5" s="15" t="s">
        <v>151</v>
      </c>
      <c r="L5" s="15" t="s">
        <v>152</v>
      </c>
      <c r="M5" s="15" t="s">
        <v>153</v>
      </c>
      <c r="N5" s="15" t="s">
        <v>154</v>
      </c>
      <c r="O5" s="15" t="s">
        <v>155</v>
      </c>
      <c r="P5" s="15" t="s">
        <v>156</v>
      </c>
    </row>
    <row r="6" spans="1:16">
      <c r="A6" s="13">
        <f t="shared" ref="A6:A37" si="0">A71</f>
        <v>1</v>
      </c>
      <c r="B6" s="13">
        <f t="shared" ref="B6:C25" si="1">IF($A6&gt;Anni,"",B71)</f>
        <v>51</v>
      </c>
      <c r="C6" s="13">
        <f t="shared" si="1"/>
        <v>2000</v>
      </c>
      <c r="D6" s="11">
        <f t="shared" ref="D6:D37" si="2">IF($A6&gt;Anni,"",M71)</f>
        <v>38000</v>
      </c>
      <c r="E6" s="11">
        <f t="shared" ref="E6:E37" si="3">IF($A6&gt;Anni,"",R71)</f>
        <v>38000</v>
      </c>
      <c r="F6" s="11">
        <f t="shared" ref="F6:F37" si="4">IF($A6&gt;Anni,"",W71)</f>
        <v>38000</v>
      </c>
      <c r="G6" s="11">
        <f t="shared" ref="G6:G37" si="5">IF($A6&gt;Anni,"",AC71)</f>
        <v>35662.760400352119</v>
      </c>
      <c r="H6" s="11">
        <f t="shared" ref="H6:H37" si="6">IF($A6&gt;Anni,"",AJ71)</f>
        <v>38000</v>
      </c>
      <c r="I6" s="11">
        <f t="shared" ref="I6:I37" si="7">IF($A6&gt;Anni,"",AO71)</f>
        <v>38000</v>
      </c>
      <c r="J6" s="11">
        <f t="shared" ref="J6:J37" si="8">IF($A6&gt;Anni,"",N71)</f>
        <v>1056000</v>
      </c>
      <c r="K6" s="11">
        <f t="shared" ref="K6:K37" si="9">IF($A6&gt;Anni,"",S71)</f>
        <v>1056000</v>
      </c>
      <c r="L6" s="11">
        <f t="shared" ref="L6:L37" si="10">IF($A6&gt;Anni,"",X71)</f>
        <v>1056000</v>
      </c>
      <c r="M6" s="11">
        <f t="shared" ref="M6:M37" si="11">IF($A6&gt;Anni,"",AD71)</f>
        <v>1056000</v>
      </c>
      <c r="N6" s="11">
        <f t="shared" ref="N6:N37" si="12">IF($A6&gt;Anni,"",AK71)</f>
        <v>1056000</v>
      </c>
      <c r="O6" s="11">
        <f t="shared" ref="O6:O37" si="13">IF($A6&gt;Anni,"",AP71)</f>
        <v>1056000</v>
      </c>
      <c r="P6" s="16" t="str">
        <f t="shared" ref="P6:P37" si="14">IF($A6&gt;Anni,"",IF(D71=1,"osservato","ipotesi"))</f>
        <v>ipotesi</v>
      </c>
    </row>
    <row r="7" spans="1:16">
      <c r="A7" s="13">
        <f t="shared" si="0"/>
        <v>2</v>
      </c>
      <c r="B7" s="13">
        <f t="shared" si="1"/>
        <v>52</v>
      </c>
      <c r="C7" s="13">
        <f t="shared" si="1"/>
        <v>2001</v>
      </c>
      <c r="D7" s="11">
        <f t="shared" si="2"/>
        <v>38000</v>
      </c>
      <c r="E7" s="11">
        <f t="shared" si="3"/>
        <v>37189.737427456603</v>
      </c>
      <c r="F7" s="11">
        <f t="shared" si="4"/>
        <v>37189.737427456603</v>
      </c>
      <c r="G7" s="11">
        <f t="shared" si="5"/>
        <v>35318.49401694</v>
      </c>
      <c r="H7" s="11">
        <f t="shared" si="6"/>
        <v>38000</v>
      </c>
      <c r="I7" s="11">
        <f t="shared" si="7"/>
        <v>37189.737427456603</v>
      </c>
      <c r="J7" s="11">
        <f t="shared" si="8"/>
        <v>1041469.9745254616</v>
      </c>
      <c r="K7" s="11">
        <f t="shared" si="9"/>
        <v>1041469.9745254616</v>
      </c>
      <c r="L7" s="11">
        <f t="shared" si="10"/>
        <v>1041469.9745254616</v>
      </c>
      <c r="M7" s="11">
        <f t="shared" si="11"/>
        <v>1044178.3841018914</v>
      </c>
      <c r="N7" s="11">
        <f t="shared" si="12"/>
        <v>1041469.9745254616</v>
      </c>
      <c r="O7" s="11">
        <f t="shared" si="13"/>
        <v>1041469.9745254616</v>
      </c>
      <c r="P7" s="16" t="str">
        <f t="shared" si="14"/>
        <v>ipotesi</v>
      </c>
    </row>
    <row r="8" spans="1:16">
      <c r="A8" s="13">
        <f t="shared" si="0"/>
        <v>3</v>
      </c>
      <c r="B8" s="13">
        <f t="shared" si="1"/>
        <v>53</v>
      </c>
      <c r="C8" s="13">
        <f t="shared" si="1"/>
        <v>2002</v>
      </c>
      <c r="D8" s="11">
        <f t="shared" si="2"/>
        <v>38000</v>
      </c>
      <c r="E8" s="11">
        <f t="shared" si="3"/>
        <v>36407.689148136407</v>
      </c>
      <c r="F8" s="11">
        <f t="shared" si="4"/>
        <v>36407.689148136407</v>
      </c>
      <c r="G8" s="11">
        <f t="shared" si="5"/>
        <v>34988.061804642442</v>
      </c>
      <c r="H8" s="11">
        <f t="shared" si="6"/>
        <v>38000</v>
      </c>
      <c r="I8" s="11">
        <f t="shared" si="7"/>
        <v>36407.689148136407</v>
      </c>
      <c r="J8" s="11">
        <f t="shared" si="8"/>
        <v>1026193.6808168418</v>
      </c>
      <c r="K8" s="11">
        <f t="shared" si="9"/>
        <v>1027139.874846653</v>
      </c>
      <c r="L8" s="11">
        <f t="shared" si="10"/>
        <v>1027139.874846653</v>
      </c>
      <c r="M8" s="11">
        <f t="shared" si="11"/>
        <v>1032109.1247673859</v>
      </c>
      <c r="N8" s="11">
        <f t="shared" si="12"/>
        <v>1026193.6808168418</v>
      </c>
      <c r="O8" s="11">
        <f t="shared" si="13"/>
        <v>1027139.874846653</v>
      </c>
      <c r="P8" s="16" t="str">
        <f t="shared" si="14"/>
        <v>ipotesi</v>
      </c>
    </row>
    <row r="9" spans="1:16">
      <c r="A9" s="13">
        <f t="shared" si="0"/>
        <v>4</v>
      </c>
      <c r="B9" s="13">
        <f t="shared" si="1"/>
        <v>54</v>
      </c>
      <c r="C9" s="13">
        <f t="shared" si="1"/>
        <v>2003</v>
      </c>
      <c r="D9" s="11">
        <f t="shared" si="2"/>
        <v>38000</v>
      </c>
      <c r="E9" s="11">
        <f t="shared" si="3"/>
        <v>35652.453624299247</v>
      </c>
      <c r="F9" s="11">
        <f t="shared" si="4"/>
        <v>35652.453624299247</v>
      </c>
      <c r="G9" s="11">
        <f t="shared" si="5"/>
        <v>34670.802962335576</v>
      </c>
      <c r="H9" s="11">
        <f t="shared" si="6"/>
        <v>38000</v>
      </c>
      <c r="I9" s="11">
        <f t="shared" si="7"/>
        <v>35652.453624299247</v>
      </c>
      <c r="J9" s="11">
        <f t="shared" si="8"/>
        <v>1010161.0721045448</v>
      </c>
      <c r="K9" s="11">
        <f t="shared" si="9"/>
        <v>1013006.9500858232</v>
      </c>
      <c r="L9" s="11">
        <f t="shared" si="10"/>
        <v>1013006.9500858232</v>
      </c>
      <c r="M9" s="11">
        <f t="shared" si="11"/>
        <v>1019785.1375338469</v>
      </c>
      <c r="N9" s="11">
        <f t="shared" si="12"/>
        <v>1010161.0721045448</v>
      </c>
      <c r="O9" s="11">
        <f t="shared" si="13"/>
        <v>1013006.9500858232</v>
      </c>
      <c r="P9" s="16" t="str">
        <f t="shared" si="14"/>
        <v>ipotesi</v>
      </c>
    </row>
    <row r="10" spans="1:16">
      <c r="A10" s="13">
        <f t="shared" si="0"/>
        <v>5</v>
      </c>
      <c r="B10" s="13">
        <f t="shared" si="1"/>
        <v>55</v>
      </c>
      <c r="C10" s="13">
        <f t="shared" si="1"/>
        <v>2004</v>
      </c>
      <c r="D10" s="11">
        <f t="shared" si="2"/>
        <v>38000</v>
      </c>
      <c r="E10" s="11">
        <f t="shared" si="3"/>
        <v>34922.708772282786</v>
      </c>
      <c r="F10" s="11">
        <f t="shared" si="4"/>
        <v>34922.708772282786</v>
      </c>
      <c r="G10" s="11">
        <f t="shared" si="5"/>
        <v>34366.088504043131</v>
      </c>
      <c r="H10" s="11">
        <f t="shared" si="6"/>
        <v>38000</v>
      </c>
      <c r="I10" s="11">
        <f t="shared" si="7"/>
        <v>34922.708772282786</v>
      </c>
      <c r="J10" s="11">
        <f t="shared" si="8"/>
        <v>993361.66648931766</v>
      </c>
      <c r="K10" s="11">
        <f t="shared" si="9"/>
        <v>999068.48721590696</v>
      </c>
      <c r="L10" s="11">
        <f t="shared" si="10"/>
        <v>999068.48721590696</v>
      </c>
      <c r="M10" s="11">
        <f t="shared" si="11"/>
        <v>1007199.1403293619</v>
      </c>
      <c r="N10" s="11">
        <f t="shared" si="12"/>
        <v>993361.66648931766</v>
      </c>
      <c r="O10" s="11">
        <f t="shared" si="13"/>
        <v>999068.48721590696</v>
      </c>
      <c r="P10" s="16" t="str">
        <f t="shared" si="14"/>
        <v>ipotesi</v>
      </c>
    </row>
    <row r="11" spans="1:16">
      <c r="A11" s="13">
        <f t="shared" si="0"/>
        <v>6</v>
      </c>
      <c r="B11" s="13">
        <f t="shared" si="1"/>
        <v>56</v>
      </c>
      <c r="C11" s="13">
        <f t="shared" si="1"/>
        <v>2005</v>
      </c>
      <c r="D11" s="11">
        <f t="shared" si="2"/>
        <v>38000</v>
      </c>
      <c r="E11" s="11">
        <f t="shared" si="3"/>
        <v>34217.207296471846</v>
      </c>
      <c r="F11" s="11">
        <f t="shared" si="4"/>
        <v>34217.207296471846</v>
      </c>
      <c r="G11" s="11">
        <f t="shared" si="5"/>
        <v>34073.319726646914</v>
      </c>
      <c r="H11" s="11">
        <f t="shared" si="6"/>
        <v>38000</v>
      </c>
      <c r="I11" s="11">
        <f t="shared" si="7"/>
        <v>34217.207296471846</v>
      </c>
      <c r="J11" s="11">
        <f t="shared" si="8"/>
        <v>975784.52149767976</v>
      </c>
      <c r="K11" s="11">
        <f t="shared" si="9"/>
        <v>985321.81053971779</v>
      </c>
      <c r="L11" s="11">
        <f t="shared" si="10"/>
        <v>985321.81053971779</v>
      </c>
      <c r="M11" s="11">
        <f t="shared" si="11"/>
        <v>994343.64795087802</v>
      </c>
      <c r="N11" s="11">
        <f t="shared" si="12"/>
        <v>975784.52149767976</v>
      </c>
      <c r="O11" s="11">
        <f t="shared" si="13"/>
        <v>985321.81053971779</v>
      </c>
      <c r="P11" s="16" t="str">
        <f t="shared" si="14"/>
        <v>ipotesi</v>
      </c>
    </row>
    <row r="12" spans="1:16">
      <c r="A12" s="13">
        <f t="shared" si="0"/>
        <v>7</v>
      </c>
      <c r="B12" s="13">
        <f t="shared" si="1"/>
        <v>57</v>
      </c>
      <c r="C12" s="13">
        <f t="shared" si="1"/>
        <v>2006</v>
      </c>
      <c r="D12" s="11">
        <f t="shared" si="2"/>
        <v>38000</v>
      </c>
      <c r="E12" s="11">
        <f t="shared" si="3"/>
        <v>33534.772299616598</v>
      </c>
      <c r="F12" s="11">
        <f t="shared" si="4"/>
        <v>34200</v>
      </c>
      <c r="G12" s="11">
        <f t="shared" si="5"/>
        <v>33791.926751396808</v>
      </c>
      <c r="H12" s="11">
        <f t="shared" si="6"/>
        <v>38000</v>
      </c>
      <c r="I12" s="11">
        <f t="shared" si="7"/>
        <v>33534.772299616598</v>
      </c>
      <c r="J12" s="11">
        <f t="shared" si="8"/>
        <v>957418.20932731673</v>
      </c>
      <c r="K12" s="11">
        <f t="shared" si="9"/>
        <v>971764.28117630817</v>
      </c>
      <c r="L12" s="11">
        <f t="shared" si="10"/>
        <v>971764.28117630817</v>
      </c>
      <c r="M12" s="11">
        <f t="shared" si="11"/>
        <v>981210.9663880578</v>
      </c>
      <c r="N12" s="11">
        <f t="shared" si="12"/>
        <v>957418.20932731673</v>
      </c>
      <c r="O12" s="11">
        <f t="shared" si="13"/>
        <v>971764.28117630817</v>
      </c>
      <c r="P12" s="16" t="str">
        <f t="shared" si="14"/>
        <v>ipotesi</v>
      </c>
    </row>
    <row r="13" spans="1:16">
      <c r="A13" s="13">
        <f t="shared" si="0"/>
        <v>8</v>
      </c>
      <c r="B13" s="13">
        <f t="shared" si="1"/>
        <v>58</v>
      </c>
      <c r="C13" s="13">
        <f t="shared" si="1"/>
        <v>2007</v>
      </c>
      <c r="D13" s="11">
        <f t="shared" si="2"/>
        <v>38000</v>
      </c>
      <c r="E13" s="11">
        <f t="shared" si="3"/>
        <v>32874.29315310005</v>
      </c>
      <c r="F13" s="11">
        <f t="shared" si="4"/>
        <v>34200</v>
      </c>
      <c r="G13" s="11">
        <f t="shared" si="5"/>
        <v>33521.36713566594</v>
      </c>
      <c r="H13" s="11">
        <f t="shared" si="6"/>
        <v>38000</v>
      </c>
      <c r="I13" s="11">
        <f t="shared" si="7"/>
        <v>32874.29315310005</v>
      </c>
      <c r="J13" s="11">
        <f t="shared" si="8"/>
        <v>938250.79275652173</v>
      </c>
      <c r="K13" s="11">
        <f t="shared" si="9"/>
        <v>958393.29655439674</v>
      </c>
      <c r="L13" s="11">
        <f t="shared" si="10"/>
        <v>957589.46198691404</v>
      </c>
      <c r="M13" s="11">
        <f t="shared" si="11"/>
        <v>967793.18698854558</v>
      </c>
      <c r="N13" s="11">
        <f t="shared" si="12"/>
        <v>938250.79275652173</v>
      </c>
      <c r="O13" s="11">
        <f t="shared" si="13"/>
        <v>958393.29655439674</v>
      </c>
      <c r="P13" s="16" t="str">
        <f t="shared" si="14"/>
        <v>ipotesi</v>
      </c>
    </row>
    <row r="14" spans="1:16">
      <c r="A14" s="13">
        <f t="shared" si="0"/>
        <v>9</v>
      </c>
      <c r="B14" s="13">
        <f t="shared" si="1"/>
        <v>59</v>
      </c>
      <c r="C14" s="13">
        <f t="shared" si="1"/>
        <v>2008</v>
      </c>
      <c r="D14" s="11">
        <f t="shared" si="2"/>
        <v>38000</v>
      </c>
      <c r="E14" s="11">
        <f t="shared" si="3"/>
        <v>32234.721611729139</v>
      </c>
      <c r="F14" s="11">
        <f t="shared" si="4"/>
        <v>34200</v>
      </c>
      <c r="G14" s="11">
        <f t="shared" si="5"/>
        <v>33261.124551567773</v>
      </c>
      <c r="H14" s="11">
        <f t="shared" si="6"/>
        <v>34200</v>
      </c>
      <c r="I14" s="11">
        <f t="shared" si="7"/>
        <v>32234.721611729139</v>
      </c>
      <c r="J14" s="11">
        <f t="shared" si="8"/>
        <v>918269.80168560892</v>
      </c>
      <c r="K14" s="11">
        <f t="shared" si="9"/>
        <v>945206.28991276585</v>
      </c>
      <c r="L14" s="11">
        <f t="shared" si="10"/>
        <v>942768.36515635136</v>
      </c>
      <c r="M14" s="11">
        <f t="shared" si="11"/>
        <v>954082.18046021182</v>
      </c>
      <c r="N14" s="11">
        <f t="shared" si="12"/>
        <v>918269.80168560892</v>
      </c>
      <c r="O14" s="11">
        <f t="shared" si="13"/>
        <v>945206.28991276585</v>
      </c>
      <c r="P14" s="16" t="str">
        <f t="shared" si="14"/>
        <v>ipotesi</v>
      </c>
    </row>
    <row r="15" spans="1:16">
      <c r="A15" s="13">
        <f t="shared" si="0"/>
        <v>10</v>
      </c>
      <c r="B15" s="13">
        <f t="shared" si="1"/>
        <v>60</v>
      </c>
      <c r="C15" s="13">
        <f t="shared" si="1"/>
        <v>2009</v>
      </c>
      <c r="D15" s="11">
        <f t="shared" si="2"/>
        <v>38000</v>
      </c>
      <c r="E15" s="11">
        <f t="shared" si="3"/>
        <v>31615.068158539609</v>
      </c>
      <c r="F15" s="11">
        <f t="shared" si="4"/>
        <v>34200</v>
      </c>
      <c r="G15" s="11">
        <f t="shared" si="5"/>
        <v>33010.707528214851</v>
      </c>
      <c r="H15" s="11">
        <f t="shared" si="6"/>
        <v>34200</v>
      </c>
      <c r="I15" s="11">
        <f t="shared" si="7"/>
        <v>31615.068158539609</v>
      </c>
      <c r="J15" s="11">
        <f t="shared" si="8"/>
        <v>897462.21027287305</v>
      </c>
      <c r="K15" s="11">
        <f t="shared" si="9"/>
        <v>932200.72980753239</v>
      </c>
      <c r="L15" s="11">
        <f t="shared" si="10"/>
        <v>927291.66857417114</v>
      </c>
      <c r="M15" s="11">
        <f t="shared" si="11"/>
        <v>940069.59070582199</v>
      </c>
      <c r="N15" s="11">
        <f t="shared" si="12"/>
        <v>902108.61524005618</v>
      </c>
      <c r="O15" s="11">
        <f t="shared" si="13"/>
        <v>932200.72980753239</v>
      </c>
      <c r="P15" s="16" t="str">
        <f t="shared" si="14"/>
        <v>ipotesi</v>
      </c>
    </row>
    <row r="16" spans="1:16">
      <c r="A16" s="13">
        <f t="shared" si="0"/>
        <v>11</v>
      </c>
      <c r="B16" s="13">
        <f t="shared" si="1"/>
        <v>61</v>
      </c>
      <c r="C16" s="13">
        <f t="shared" si="1"/>
        <v>2010</v>
      </c>
      <c r="D16" s="11">
        <f t="shared" si="2"/>
        <v>38000</v>
      </c>
      <c r="E16" s="11">
        <f t="shared" si="3"/>
        <v>31014.398565966148</v>
      </c>
      <c r="F16" s="11">
        <f t="shared" si="4"/>
        <v>34200</v>
      </c>
      <c r="G16" s="11">
        <f t="shared" si="5"/>
        <v>32769.648254553998</v>
      </c>
      <c r="H16" s="11">
        <f t="shared" si="6"/>
        <v>34200</v>
      </c>
      <c r="I16" s="11">
        <f t="shared" si="7"/>
        <v>31014.398565966148</v>
      </c>
      <c r="J16" s="11">
        <f t="shared" si="8"/>
        <v>875814.41462312266</v>
      </c>
      <c r="K16" s="11">
        <f t="shared" si="9"/>
        <v>919374.11962620018</v>
      </c>
      <c r="L16" s="11">
        <f t="shared" si="10"/>
        <v>911149.59696983662</v>
      </c>
      <c r="M16" s="11">
        <f t="shared" si="11"/>
        <v>925746.82848544733</v>
      </c>
      <c r="N16" s="11">
        <f t="shared" si="12"/>
        <v>885262.9291255665</v>
      </c>
      <c r="O16" s="11">
        <f t="shared" si="13"/>
        <v>919374.11962620018</v>
      </c>
      <c r="P16" s="16" t="str">
        <f t="shared" si="14"/>
        <v>ipotesi</v>
      </c>
    </row>
    <row r="17" spans="1:16">
      <c r="A17" s="13">
        <f t="shared" si="0"/>
        <v>12</v>
      </c>
      <c r="B17" s="13">
        <f t="shared" si="1"/>
        <v>62</v>
      </c>
      <c r="C17" s="13">
        <f t="shared" si="1"/>
        <v>2011</v>
      </c>
      <c r="D17" s="11">
        <f t="shared" si="2"/>
        <v>38000</v>
      </c>
      <c r="E17" s="11">
        <f t="shared" si="3"/>
        <v>30431.830660539643</v>
      </c>
      <c r="F17" s="11">
        <f t="shared" si="4"/>
        <v>34200</v>
      </c>
      <c r="G17" s="11">
        <f t="shared" si="5"/>
        <v>32537.501439860611</v>
      </c>
      <c r="H17" s="11">
        <f t="shared" si="6"/>
        <v>34200</v>
      </c>
      <c r="I17" s="11">
        <f t="shared" si="7"/>
        <v>30431.830660539643</v>
      </c>
      <c r="J17" s="11">
        <f t="shared" si="8"/>
        <v>853312.21098300221</v>
      </c>
      <c r="K17" s="11">
        <f t="shared" si="9"/>
        <v>906723.99710839707</v>
      </c>
      <c r="L17" s="11">
        <f t="shared" si="10"/>
        <v>894331.90416295244</v>
      </c>
      <c r="M17" s="11">
        <f t="shared" si="11"/>
        <v>911105.0649018049</v>
      </c>
      <c r="N17" s="11">
        <f t="shared" si="12"/>
        <v>867721.96281911351</v>
      </c>
      <c r="O17" s="11">
        <f t="shared" si="13"/>
        <v>906723.99710839707</v>
      </c>
      <c r="P17" s="16" t="str">
        <f t="shared" si="14"/>
        <v>ipotesi</v>
      </c>
    </row>
    <row r="18" spans="1:16">
      <c r="A18" s="13">
        <f t="shared" si="0"/>
        <v>13</v>
      </c>
      <c r="B18" s="13">
        <f t="shared" si="1"/>
        <v>63</v>
      </c>
      <c r="C18" s="13">
        <f t="shared" si="1"/>
        <v>2012</v>
      </c>
      <c r="D18" s="11">
        <f t="shared" si="2"/>
        <v>38000</v>
      </c>
      <c r="E18" s="11">
        <f t="shared" si="3"/>
        <v>29866.531279035546</v>
      </c>
      <c r="F18" s="11">
        <f t="shared" si="4"/>
        <v>34200</v>
      </c>
      <c r="G18" s="11">
        <f t="shared" si="5"/>
        <v>32313.843229114631</v>
      </c>
      <c r="H18" s="11">
        <f t="shared" si="6"/>
        <v>30780</v>
      </c>
      <c r="I18" s="11">
        <f t="shared" si="7"/>
        <v>29866.531279035546</v>
      </c>
      <c r="J18" s="11">
        <f t="shared" si="8"/>
        <v>829940.7743942088</v>
      </c>
      <c r="K18" s="11">
        <f t="shared" si="9"/>
        <v>894247.93387320742</v>
      </c>
      <c r="L18" s="11">
        <f t="shared" si="10"/>
        <v>876827.85577797273</v>
      </c>
      <c r="M18" s="11">
        <f t="shared" si="11"/>
        <v>896135.22470357863</v>
      </c>
      <c r="N18" s="11">
        <f t="shared" si="12"/>
        <v>849474.43267298699</v>
      </c>
      <c r="O18" s="11">
        <f t="shared" si="13"/>
        <v>894247.93387320742</v>
      </c>
      <c r="P18" s="16" t="str">
        <f t="shared" si="14"/>
        <v>ipotesi</v>
      </c>
    </row>
    <row r="19" spans="1:16">
      <c r="A19" s="13">
        <f t="shared" si="0"/>
        <v>14</v>
      </c>
      <c r="B19" s="13">
        <f t="shared" si="1"/>
        <v>64</v>
      </c>
      <c r="C19" s="13">
        <f t="shared" si="1"/>
        <v>2013</v>
      </c>
      <c r="D19" s="11">
        <f t="shared" si="2"/>
        <v>38000</v>
      </c>
      <c r="E19" s="11">
        <f t="shared" si="3"/>
        <v>29317.713404714297</v>
      </c>
      <c r="F19" s="11">
        <f t="shared" si="4"/>
        <v>34200</v>
      </c>
      <c r="G19" s="11">
        <f t="shared" si="5"/>
        <v>32098.270170615422</v>
      </c>
      <c r="H19" s="11">
        <f t="shared" si="6"/>
        <v>30780</v>
      </c>
      <c r="I19" s="11">
        <f t="shared" si="7"/>
        <v>29317.713404714297</v>
      </c>
      <c r="J19" s="11">
        <f t="shared" si="8"/>
        <v>805684.63775324239</v>
      </c>
      <c r="K19" s="11">
        <f t="shared" si="9"/>
        <v>881943.53495300747</v>
      </c>
      <c r="L19" s="11">
        <f t="shared" si="10"/>
        <v>858626.21237862261</v>
      </c>
      <c r="M19" s="11">
        <f t="shared" si="11"/>
        <v>880827.97940163699</v>
      </c>
      <c r="N19" s="11">
        <f t="shared" si="12"/>
        <v>834778.55600106227</v>
      </c>
      <c r="O19" s="11">
        <f t="shared" si="13"/>
        <v>881943.53495300747</v>
      </c>
      <c r="P19" s="16" t="str">
        <f t="shared" si="14"/>
        <v>ipotesi</v>
      </c>
    </row>
    <row r="20" spans="1:16">
      <c r="A20" s="13">
        <f t="shared" si="0"/>
        <v>15</v>
      </c>
      <c r="B20" s="13">
        <f t="shared" si="1"/>
        <v>65</v>
      </c>
      <c r="C20" s="13">
        <f t="shared" si="1"/>
        <v>2014</v>
      </c>
      <c r="D20" s="11">
        <f t="shared" si="2"/>
        <v>38000</v>
      </c>
      <c r="E20" s="11">
        <f t="shared" si="3"/>
        <v>28784.633472969232</v>
      </c>
      <c r="F20" s="11">
        <f t="shared" si="4"/>
        <v>34200</v>
      </c>
      <c r="G20" s="11">
        <f t="shared" si="5"/>
        <v>31890.398233319131</v>
      </c>
      <c r="H20" s="11">
        <f t="shared" si="6"/>
        <v>30780</v>
      </c>
      <c r="I20" s="11">
        <f t="shared" si="7"/>
        <v>28784.633472969232</v>
      </c>
      <c r="J20" s="11">
        <f t="shared" si="8"/>
        <v>780527.67122444825</v>
      </c>
      <c r="K20" s="11">
        <f t="shared" si="9"/>
        <v>869808.43833371601</v>
      </c>
      <c r="L20" s="11">
        <f t="shared" si="10"/>
        <v>839715.21297562355</v>
      </c>
      <c r="M20" s="11">
        <f t="shared" si="11"/>
        <v>865173.7401929195</v>
      </c>
      <c r="N20" s="11">
        <f t="shared" si="12"/>
        <v>819491.35465655988</v>
      </c>
      <c r="O20" s="11">
        <f t="shared" si="13"/>
        <v>869808.43833371601</v>
      </c>
      <c r="P20" s="16" t="str">
        <f t="shared" si="14"/>
        <v>ipotesi</v>
      </c>
    </row>
    <row r="21" spans="1:16">
      <c r="A21" s="13">
        <f t="shared" si="0"/>
        <v>16</v>
      </c>
      <c r="B21" s="13">
        <f t="shared" si="1"/>
        <v>66</v>
      </c>
      <c r="C21" s="13">
        <f t="shared" si="1"/>
        <v>2015</v>
      </c>
      <c r="D21" s="11">
        <f t="shared" si="2"/>
        <v>38000</v>
      </c>
      <c r="E21" s="11">
        <f t="shared" si="3"/>
        <v>28266.588836331408</v>
      </c>
      <c r="F21" s="11">
        <f t="shared" si="4"/>
        <v>34200</v>
      </c>
      <c r="G21" s="11">
        <f t="shared" si="5"/>
        <v>31689.861871504079</v>
      </c>
      <c r="H21" s="11">
        <f t="shared" si="6"/>
        <v>30780</v>
      </c>
      <c r="I21" s="11">
        <f t="shared" si="7"/>
        <v>28266.588836331408</v>
      </c>
      <c r="J21" s="11">
        <f t="shared" si="8"/>
        <v>754453.06195176893</v>
      </c>
      <c r="K21" s="11">
        <f t="shared" si="9"/>
        <v>857840.31450136995</v>
      </c>
      <c r="L21" s="11">
        <f t="shared" si="10"/>
        <v>820082.5588601412</v>
      </c>
      <c r="M21" s="11">
        <f t="shared" si="11"/>
        <v>849162.65068661678</v>
      </c>
      <c r="N21" s="11">
        <f t="shared" si="12"/>
        <v>803603.07565624488</v>
      </c>
      <c r="O21" s="11">
        <f t="shared" si="13"/>
        <v>857840.31450136995</v>
      </c>
      <c r="P21" s="16" t="str">
        <f t="shared" si="14"/>
        <v>ipotesi</v>
      </c>
    </row>
    <row r="22" spans="1:16">
      <c r="A22" s="13">
        <f t="shared" si="0"/>
        <v>17</v>
      </c>
      <c r="B22" s="13">
        <f t="shared" si="1"/>
        <v>67</v>
      </c>
      <c r="C22" s="13">
        <f t="shared" si="1"/>
        <v>2016</v>
      </c>
      <c r="D22" s="11">
        <f t="shared" si="2"/>
        <v>38000</v>
      </c>
      <c r="E22" s="11">
        <f t="shared" si="3"/>
        <v>27762.915379377726</v>
      </c>
      <c r="F22" s="11">
        <f t="shared" si="4"/>
        <v>34200</v>
      </c>
      <c r="G22" s="11">
        <f t="shared" si="5"/>
        <v>31496.313134484441</v>
      </c>
      <c r="H22" s="11">
        <f t="shared" si="6"/>
        <v>30779.999999999996</v>
      </c>
      <c r="I22" s="11">
        <f t="shared" si="7"/>
        <v>27762.915379377726</v>
      </c>
      <c r="J22" s="11">
        <f t="shared" si="8"/>
        <v>727443.29401375307</v>
      </c>
      <c r="K22" s="11">
        <f t="shared" si="9"/>
        <v>846036.86599493911</v>
      </c>
      <c r="L22" s="11">
        <f t="shared" si="10"/>
        <v>799715.3977146399</v>
      </c>
      <c r="M22" s="11">
        <f t="shared" si="11"/>
        <v>832784.5794271226</v>
      </c>
      <c r="N22" s="11">
        <f t="shared" si="12"/>
        <v>787103.5045340322</v>
      </c>
      <c r="O22" s="11">
        <f t="shared" si="13"/>
        <v>846036.86599493911</v>
      </c>
      <c r="P22" s="16" t="str">
        <f t="shared" si="14"/>
        <v>ipotesi</v>
      </c>
    </row>
    <row r="23" spans="1:16">
      <c r="A23" s="13">
        <f t="shared" si="0"/>
        <v>18</v>
      </c>
      <c r="B23" s="13">
        <f t="shared" si="1"/>
        <v>68</v>
      </c>
      <c r="C23" s="13">
        <f t="shared" si="1"/>
        <v>2017</v>
      </c>
      <c r="D23" s="11">
        <f t="shared" si="2"/>
        <v>38000</v>
      </c>
      <c r="E23" s="11">
        <f t="shared" si="3"/>
        <v>27272.985274649916</v>
      </c>
      <c r="F23" s="11">
        <f t="shared" si="4"/>
        <v>34200</v>
      </c>
      <c r="G23" s="11">
        <f t="shared" si="5"/>
        <v>31309.420819202882</v>
      </c>
      <c r="H23" s="11">
        <f t="shared" si="6"/>
        <v>27702.000000000004</v>
      </c>
      <c r="I23" s="11">
        <f t="shared" si="7"/>
        <v>27272.985274649916</v>
      </c>
      <c r="J23" s="11">
        <f t="shared" si="8"/>
        <v>699480.12856592587</v>
      </c>
      <c r="K23" s="11">
        <f t="shared" si="9"/>
        <v>834395.82696529408</v>
      </c>
      <c r="L23" s="11">
        <f t="shared" si="10"/>
        <v>778600.30795247259</v>
      </c>
      <c r="M23" s="11">
        <f t="shared" si="11"/>
        <v>816029.11220807757</v>
      </c>
      <c r="N23" s="11">
        <f t="shared" si="12"/>
        <v>769981.95227383019</v>
      </c>
      <c r="O23" s="11">
        <f t="shared" si="13"/>
        <v>834395.82696529408</v>
      </c>
      <c r="P23" s="16" t="str">
        <f t="shared" si="14"/>
        <v>ipotesi</v>
      </c>
    </row>
    <row r="24" spans="1:16">
      <c r="A24" s="13">
        <f t="shared" si="0"/>
        <v>19</v>
      </c>
      <c r="B24" s="13">
        <f t="shared" si="1"/>
        <v>69</v>
      </c>
      <c r="C24" s="13">
        <f t="shared" si="1"/>
        <v>2018</v>
      </c>
      <c r="D24" s="11">
        <f t="shared" si="2"/>
        <v>38000</v>
      </c>
      <c r="E24" s="11">
        <f t="shared" si="3"/>
        <v>26796.20487121971</v>
      </c>
      <c r="F24" s="11">
        <f t="shared" si="4"/>
        <v>34200</v>
      </c>
      <c r="G24" s="11">
        <f t="shared" si="5"/>
        <v>31128.869663636637</v>
      </c>
      <c r="H24" s="11">
        <f t="shared" si="6"/>
        <v>27702</v>
      </c>
      <c r="I24" s="11">
        <f t="shared" si="7"/>
        <v>26796.20487121971</v>
      </c>
      <c r="J24" s="11">
        <f t="shared" si="8"/>
        <v>670544.58411455422</v>
      </c>
      <c r="K24" s="11">
        <f t="shared" si="9"/>
        <v>822914.9627402426</v>
      </c>
      <c r="L24" s="11">
        <f t="shared" si="10"/>
        <v>756723.28323751141</v>
      </c>
      <c r="M24" s="11">
        <f t="shared" si="11"/>
        <v>798885.54417166882</v>
      </c>
      <c r="N24" s="11">
        <f t="shared" si="12"/>
        <v>756154.04299184668</v>
      </c>
      <c r="O24" s="11">
        <f t="shared" si="13"/>
        <v>822914.9627402426</v>
      </c>
      <c r="P24" s="16" t="str">
        <f t="shared" si="14"/>
        <v>ipotesi</v>
      </c>
    </row>
    <row r="25" spans="1:16">
      <c r="A25" s="13">
        <f t="shared" si="0"/>
        <v>20</v>
      </c>
      <c r="B25" s="13">
        <f t="shared" si="1"/>
        <v>70</v>
      </c>
      <c r="C25" s="13">
        <f t="shared" si="1"/>
        <v>2019</v>
      </c>
      <c r="D25" s="11">
        <f t="shared" si="2"/>
        <v>38000</v>
      </c>
      <c r="E25" s="11">
        <f t="shared" si="3"/>
        <v>26332.012708032216</v>
      </c>
      <c r="F25" s="11">
        <f t="shared" si="4"/>
        <v>34200</v>
      </c>
      <c r="G25" s="11">
        <f t="shared" si="5"/>
        <v>30954.359579051565</v>
      </c>
      <c r="H25" s="11">
        <f t="shared" si="6"/>
        <v>27702</v>
      </c>
      <c r="I25" s="11">
        <f t="shared" si="7"/>
        <v>26332.012708032216</v>
      </c>
      <c r="J25" s="11">
        <f t="shared" si="8"/>
        <v>640616.91686608165</v>
      </c>
      <c r="K25" s="11">
        <f t="shared" si="9"/>
        <v>811592.06939555076</v>
      </c>
      <c r="L25" s="11">
        <f t="shared" si="10"/>
        <v>734069.71713539772</v>
      </c>
      <c r="M25" s="11">
        <f t="shared" si="11"/>
        <v>781342.87168718572</v>
      </c>
      <c r="N25" s="11">
        <f t="shared" si="12"/>
        <v>741805.8910980653</v>
      </c>
      <c r="O25" s="11">
        <f t="shared" si="13"/>
        <v>811592.06939555076</v>
      </c>
      <c r="P25" s="16" t="str">
        <f t="shared" si="14"/>
        <v>ipotesi</v>
      </c>
    </row>
    <row r="26" spans="1:16">
      <c r="A26" s="13">
        <f t="shared" si="0"/>
        <v>21</v>
      </c>
      <c r="B26" s="13">
        <f t="shared" ref="B26:C45" si="15">IF($A26&gt;Anni,"",B91)</f>
        <v>71</v>
      </c>
      <c r="C26" s="13">
        <f t="shared" si="15"/>
        <v>2020</v>
      </c>
      <c r="D26" s="11">
        <f t="shared" si="2"/>
        <v>38000</v>
      </c>
      <c r="E26" s="11">
        <f t="shared" si="3"/>
        <v>25879.877644626515</v>
      </c>
      <c r="F26" s="11">
        <f t="shared" si="4"/>
        <v>34200</v>
      </c>
      <c r="G26" s="11">
        <f t="shared" si="5"/>
        <v>30785.604919233079</v>
      </c>
      <c r="H26" s="11">
        <f t="shared" si="6"/>
        <v>27702</v>
      </c>
      <c r="I26" s="11">
        <f t="shared" si="7"/>
        <v>25879.877644626515</v>
      </c>
      <c r="J26" s="11">
        <f t="shared" si="8"/>
        <v>609676.60109702765</v>
      </c>
      <c r="K26" s="11">
        <f t="shared" si="9"/>
        <v>800424.97333186632</v>
      </c>
      <c r="L26" s="11">
        <f t="shared" si="10"/>
        <v>710624.3878484976</v>
      </c>
      <c r="M26" s="11">
        <f t="shared" si="11"/>
        <v>763389.78400266345</v>
      </c>
      <c r="N26" s="11">
        <f t="shared" si="12"/>
        <v>726928.20557657816</v>
      </c>
      <c r="O26" s="11">
        <f t="shared" si="13"/>
        <v>800424.97333186632</v>
      </c>
      <c r="P26" s="16" t="str">
        <f t="shared" si="14"/>
        <v>ipotesi</v>
      </c>
    </row>
    <row r="27" spans="1:16">
      <c r="A27" s="13">
        <f t="shared" si="0"/>
        <v>22</v>
      </c>
      <c r="B27" s="13">
        <f t="shared" si="15"/>
        <v>72</v>
      </c>
      <c r="C27" s="13">
        <f t="shared" si="15"/>
        <v>2021</v>
      </c>
      <c r="D27" s="11">
        <f t="shared" si="2"/>
        <v>38000</v>
      </c>
      <c r="E27" s="11">
        <f t="shared" si="3"/>
        <v>25439.297102271932</v>
      </c>
      <c r="F27" s="11">
        <f t="shared" si="4"/>
        <v>34200</v>
      </c>
      <c r="G27" s="11">
        <f t="shared" si="5"/>
        <v>30622.333784913</v>
      </c>
      <c r="H27" s="11">
        <f t="shared" si="6"/>
        <v>24931.8</v>
      </c>
      <c r="I27" s="11">
        <f t="shared" si="7"/>
        <v>25439.297102271932</v>
      </c>
      <c r="J27" s="11">
        <f t="shared" si="8"/>
        <v>577702.30948988639</v>
      </c>
      <c r="K27" s="11">
        <f t="shared" si="9"/>
        <v>789411.53085746407</v>
      </c>
      <c r="L27" s="11">
        <f t="shared" si="10"/>
        <v>686371.44298737147</v>
      </c>
      <c r="M27" s="11">
        <f t="shared" si="11"/>
        <v>745014.65466327476</v>
      </c>
      <c r="N27" s="11">
        <f t="shared" si="12"/>
        <v>711511.26953172125</v>
      </c>
      <c r="O27" s="11">
        <f t="shared" si="13"/>
        <v>789411.53085746407</v>
      </c>
      <c r="P27" s="16" t="str">
        <f t="shared" si="14"/>
        <v>ipotesi</v>
      </c>
    </row>
    <row r="28" spans="1:16">
      <c r="A28" s="13">
        <f t="shared" si="0"/>
        <v>23</v>
      </c>
      <c r="B28" s="13">
        <f t="shared" si="15"/>
        <v>73</v>
      </c>
      <c r="C28" s="13">
        <f t="shared" si="15"/>
        <v>2022</v>
      </c>
      <c r="D28" s="11">
        <f t="shared" si="2"/>
        <v>38000</v>
      </c>
      <c r="E28" s="11">
        <f t="shared" si="3"/>
        <v>25009.795408971604</v>
      </c>
      <c r="F28" s="11">
        <f t="shared" si="4"/>
        <v>34200</v>
      </c>
      <c r="G28" s="11">
        <f t="shared" si="5"/>
        <v>30464.28736169725</v>
      </c>
      <c r="H28" s="11">
        <f t="shared" si="6"/>
        <v>24931.8</v>
      </c>
      <c r="I28" s="11">
        <f t="shared" si="7"/>
        <v>25009.795408971604</v>
      </c>
      <c r="J28" s="11">
        <f t="shared" si="8"/>
        <v>544671.89338148898</v>
      </c>
      <c r="K28" s="11">
        <f t="shared" si="9"/>
        <v>778549.62777673174</v>
      </c>
      <c r="L28" s="11">
        <f t="shared" si="10"/>
        <v>661294.38433244824</v>
      </c>
      <c r="M28" s="11">
        <f t="shared" si="11"/>
        <v>726205.53268995241</v>
      </c>
      <c r="N28" s="11">
        <f t="shared" si="12"/>
        <v>699129.5266356566</v>
      </c>
      <c r="O28" s="11">
        <f t="shared" si="13"/>
        <v>778549.62777673174</v>
      </c>
      <c r="P28" s="16" t="str">
        <f t="shared" si="14"/>
        <v>ipotesi</v>
      </c>
    </row>
    <row r="29" spans="1:16">
      <c r="A29" s="13">
        <f t="shared" si="0"/>
        <v>24</v>
      </c>
      <c r="B29" s="13">
        <f t="shared" si="15"/>
        <v>74</v>
      </c>
      <c r="C29" s="13">
        <f t="shared" si="15"/>
        <v>2023</v>
      </c>
      <c r="D29" s="11">
        <f t="shared" si="2"/>
        <v>38000</v>
      </c>
      <c r="E29" s="11">
        <f t="shared" si="3"/>
        <v>24590.922242173721</v>
      </c>
      <c r="F29" s="11">
        <f t="shared" si="4"/>
        <v>34200</v>
      </c>
      <c r="G29" s="11">
        <f t="shared" si="5"/>
        <v>30311.219289880832</v>
      </c>
      <c r="H29" s="11">
        <f t="shared" si="6"/>
        <v>24931.8</v>
      </c>
      <c r="I29" s="11">
        <f t="shared" si="7"/>
        <v>24590.922242173721</v>
      </c>
      <c r="J29" s="11">
        <f t="shared" si="8"/>
        <v>510562.36287136591</v>
      </c>
      <c r="K29" s="11">
        <f t="shared" si="9"/>
        <v>767837.17898431851</v>
      </c>
      <c r="L29" s="11">
        <f t="shared" si="10"/>
        <v>635376.05254061508</v>
      </c>
      <c r="M29" s="11">
        <f t="shared" si="11"/>
        <v>706950.13351154444</v>
      </c>
      <c r="N29" s="11">
        <f t="shared" si="12"/>
        <v>686299.32577698724</v>
      </c>
      <c r="O29" s="11">
        <f t="shared" si="13"/>
        <v>767837.17898431851</v>
      </c>
      <c r="P29" s="16" t="str">
        <f t="shared" si="14"/>
        <v>ipotesi</v>
      </c>
    </row>
    <row r="30" spans="1:16">
      <c r="A30" s="13">
        <f t="shared" si="0"/>
        <v>25</v>
      </c>
      <c r="B30" s="13">
        <f t="shared" si="15"/>
        <v>75</v>
      </c>
      <c r="C30" s="13">
        <f t="shared" si="15"/>
        <v>2024</v>
      </c>
      <c r="D30" s="11">
        <f t="shared" si="2"/>
        <v>38000</v>
      </c>
      <c r="E30" s="11">
        <f t="shared" si="3"/>
        <v>24182.251163396471</v>
      </c>
      <c r="F30" s="11">
        <f t="shared" si="4"/>
        <v>34200</v>
      </c>
      <c r="G30" s="11">
        <f t="shared" si="5"/>
        <v>30162.895064614397</v>
      </c>
      <c r="H30" s="11">
        <f t="shared" si="6"/>
        <v>24931.8</v>
      </c>
      <c r="I30" s="11">
        <f t="shared" si="7"/>
        <v>24182.251163396471</v>
      </c>
      <c r="J30" s="11">
        <f t="shared" si="8"/>
        <v>475349.86673882901</v>
      </c>
      <c r="K30" s="11">
        <f t="shared" si="9"/>
        <v>757272.12806486792</v>
      </c>
      <c r="L30" s="11">
        <f t="shared" si="10"/>
        <v>608598.61175255326</v>
      </c>
      <c r="M30" s="11">
        <f t="shared" si="11"/>
        <v>687235.82964361541</v>
      </c>
      <c r="N30" s="11">
        <f t="shared" si="12"/>
        <v>673012.26996877824</v>
      </c>
      <c r="O30" s="11">
        <f t="shared" si="13"/>
        <v>757272.12806486792</v>
      </c>
      <c r="P30" s="16" t="str">
        <f t="shared" si="14"/>
        <v>ipotesi</v>
      </c>
    </row>
    <row r="31" spans="1:16">
      <c r="A31" s="13">
        <f t="shared" si="0"/>
        <v>26</v>
      </c>
      <c r="B31" s="13">
        <f t="shared" si="15"/>
        <v>76</v>
      </c>
      <c r="C31" s="13">
        <f t="shared" si="15"/>
        <v>2025</v>
      </c>
      <c r="D31" s="11">
        <f t="shared" si="2"/>
        <v>38000</v>
      </c>
      <c r="E31" s="11">
        <f t="shared" si="3"/>
        <v>23783.378239316578</v>
      </c>
      <c r="F31" s="11">
        <f t="shared" si="4"/>
        <v>34200</v>
      </c>
      <c r="G31" s="11">
        <f t="shared" si="5"/>
        <v>30019.091464960438</v>
      </c>
      <c r="H31" s="11">
        <f t="shared" si="6"/>
        <v>24931.8</v>
      </c>
      <c r="I31" s="11">
        <f t="shared" si="7"/>
        <v>23783.378239316578</v>
      </c>
      <c r="J31" s="11">
        <f t="shared" si="8"/>
        <v>439009.67211875791</v>
      </c>
      <c r="K31" s="11">
        <f t="shared" si="9"/>
        <v>746852.44689825759</v>
      </c>
      <c r="L31" s="11">
        <f t="shared" si="10"/>
        <v>580943.53405784094</v>
      </c>
      <c r="M31" s="11">
        <f t="shared" si="11"/>
        <v>667049.64110681287</v>
      </c>
      <c r="N31" s="11">
        <f t="shared" si="12"/>
        <v>659259.58639244549</v>
      </c>
      <c r="O31" s="11">
        <f t="shared" si="13"/>
        <v>746852.44689825759</v>
      </c>
      <c r="P31" s="16" t="str">
        <f t="shared" si="14"/>
        <v>ipotesi</v>
      </c>
    </row>
    <row r="32" spans="1:16">
      <c r="A32" s="13">
        <f t="shared" si="0"/>
        <v>27</v>
      </c>
      <c r="B32" s="13">
        <f t="shared" si="15"/>
        <v>77</v>
      </c>
      <c r="C32" s="13">
        <f t="shared" si="15"/>
        <v>2026</v>
      </c>
      <c r="D32" s="11">
        <f t="shared" si="2"/>
        <v>38000</v>
      </c>
      <c r="E32" s="11">
        <f t="shared" si="3"/>
        <v>23393.920744195064</v>
      </c>
      <c r="F32" s="11">
        <f t="shared" si="4"/>
        <v>34200</v>
      </c>
      <c r="G32" s="11">
        <f t="shared" si="5"/>
        <v>29879.596010447876</v>
      </c>
      <c r="H32" s="11">
        <f t="shared" si="6"/>
        <v>22438.62</v>
      </c>
      <c r="I32" s="11">
        <f t="shared" si="7"/>
        <v>23393.920744195064</v>
      </c>
      <c r="J32" s="11">
        <f t="shared" si="8"/>
        <v>401516.14388738998</v>
      </c>
      <c r="K32" s="11">
        <f t="shared" si="9"/>
        <v>736576.13527027168</v>
      </c>
      <c r="L32" s="11">
        <f t="shared" si="10"/>
        <v>552391.5837760875</v>
      </c>
      <c r="M32" s="11">
        <f t="shared" si="11"/>
        <v>646378.22557752614</v>
      </c>
      <c r="N32" s="11">
        <f t="shared" si="12"/>
        <v>645032.11853384331</v>
      </c>
      <c r="O32" s="11">
        <f t="shared" si="13"/>
        <v>736576.13527027168</v>
      </c>
      <c r="P32" s="16" t="str">
        <f t="shared" si="14"/>
        <v>ipotesi</v>
      </c>
    </row>
    <row r="33" spans="1:25">
      <c r="A33" s="13">
        <f t="shared" si="0"/>
        <v>28</v>
      </c>
      <c r="B33" s="13">
        <f t="shared" si="15"/>
        <v>78</v>
      </c>
      <c r="C33" s="13">
        <f t="shared" si="15"/>
        <v>2027</v>
      </c>
      <c r="D33" s="11">
        <f t="shared" si="2"/>
        <v>38000</v>
      </c>
      <c r="E33" s="11">
        <f t="shared" si="3"/>
        <v>23013.515938817738</v>
      </c>
      <c r="F33" s="11">
        <f t="shared" si="4"/>
        <v>34200</v>
      </c>
      <c r="G33" s="11">
        <f t="shared" si="5"/>
        <v>29744.206443800434</v>
      </c>
      <c r="H33" s="11">
        <f t="shared" si="6"/>
        <v>22438.62</v>
      </c>
      <c r="I33" s="11">
        <f t="shared" si="7"/>
        <v>23013.515938817738</v>
      </c>
      <c r="J33" s="11">
        <f t="shared" si="8"/>
        <v>362842.72371075506</v>
      </c>
      <c r="K33" s="11">
        <f t="shared" si="9"/>
        <v>726441.22048862942</v>
      </c>
      <c r="L33" s="11">
        <f t="shared" si="10"/>
        <v>522922.80151362758</v>
      </c>
      <c r="M33" s="11">
        <f t="shared" si="11"/>
        <v>625207.86826335476</v>
      </c>
      <c r="N33" s="11">
        <f t="shared" si="12"/>
        <v>633593.71802313218</v>
      </c>
      <c r="O33" s="11">
        <f t="shared" si="13"/>
        <v>726441.22048862942</v>
      </c>
      <c r="P33" s="16" t="str">
        <f t="shared" si="14"/>
        <v>ipotesi</v>
      </c>
    </row>
    <row r="34" spans="1:25">
      <c r="A34" s="13">
        <f t="shared" si="0"/>
        <v>29</v>
      </c>
      <c r="B34" s="13">
        <f t="shared" si="15"/>
        <v>79</v>
      </c>
      <c r="C34" s="13">
        <f t="shared" si="15"/>
        <v>2028</v>
      </c>
      <c r="D34" s="11">
        <f t="shared" si="2"/>
        <v>38000</v>
      </c>
      <c r="E34" s="11">
        <f t="shared" si="3"/>
        <v>22641.819921414648</v>
      </c>
      <c r="F34" s="11">
        <f t="shared" si="4"/>
        <v>34200</v>
      </c>
      <c r="G34" s="11">
        <f t="shared" si="5"/>
        <v>29612.730238578421</v>
      </c>
      <c r="H34" s="11">
        <f t="shared" si="6"/>
        <v>22438.62</v>
      </c>
      <c r="I34" s="11">
        <f t="shared" si="7"/>
        <v>22641.819921414648</v>
      </c>
      <c r="J34" s="11">
        <f t="shared" si="8"/>
        <v>322961.90870974073</v>
      </c>
      <c r="K34" s="11">
        <f t="shared" si="9"/>
        <v>716445.75700429745</v>
      </c>
      <c r="L34" s="11">
        <f t="shared" si="10"/>
        <v>492516.48795657477</v>
      </c>
      <c r="M34" s="11">
        <f t="shared" si="11"/>
        <v>603524.47149569914</v>
      </c>
      <c r="N34" s="11">
        <f t="shared" si="12"/>
        <v>621760.81935687386</v>
      </c>
      <c r="O34" s="11">
        <f t="shared" si="13"/>
        <v>716445.75700429745</v>
      </c>
      <c r="P34" s="16" t="str">
        <f t="shared" si="14"/>
        <v>ipotesi</v>
      </c>
    </row>
    <row r="35" spans="1:25">
      <c r="A35" s="13">
        <f t="shared" si="0"/>
        <v>30</v>
      </c>
      <c r="B35" s="13">
        <f t="shared" si="15"/>
        <v>80</v>
      </c>
      <c r="C35" s="13">
        <f t="shared" si="15"/>
        <v>2029</v>
      </c>
      <c r="D35" s="11">
        <f t="shared" si="2"/>
        <v>38000</v>
      </c>
      <c r="E35" s="11">
        <f t="shared" si="3"/>
        <v>22278.506546291595</v>
      </c>
      <c r="F35" s="11">
        <f t="shared" si="4"/>
        <v>34200</v>
      </c>
      <c r="G35" s="11">
        <f t="shared" si="5"/>
        <v>29484.984130533758</v>
      </c>
      <c r="H35" s="11">
        <f t="shared" si="6"/>
        <v>22438.62</v>
      </c>
      <c r="I35" s="11">
        <f t="shared" si="7"/>
        <v>22278.506546291595</v>
      </c>
      <c r="J35" s="11">
        <f t="shared" si="8"/>
        <v>281845.2296971074</v>
      </c>
      <c r="K35" s="11">
        <f t="shared" si="9"/>
        <v>706587.82603801193</v>
      </c>
      <c r="L35" s="11">
        <f t="shared" si="10"/>
        <v>461151.18736229627</v>
      </c>
      <c r="M35" s="11">
        <f t="shared" si="11"/>
        <v>581313.54403156904</v>
      </c>
      <c r="N35" s="11">
        <f t="shared" si="12"/>
        <v>609525.50943691097</v>
      </c>
      <c r="O35" s="11">
        <f t="shared" si="13"/>
        <v>706587.82603801193</v>
      </c>
      <c r="P35" s="16" t="str">
        <f t="shared" si="14"/>
        <v>ipotesi</v>
      </c>
    </row>
    <row r="36" spans="1:25">
      <c r="A36" s="13">
        <f t="shared" si="0"/>
        <v>31</v>
      </c>
      <c r="B36" s="13">
        <f t="shared" si="15"/>
        <v>81</v>
      </c>
      <c r="C36" s="13">
        <f t="shared" si="15"/>
        <v>2030</v>
      </c>
      <c r="D36" s="11">
        <f t="shared" si="2"/>
        <v>38000</v>
      </c>
      <c r="E36" s="11">
        <f t="shared" si="3"/>
        <v>21923.266406160245</v>
      </c>
      <c r="F36" s="11">
        <f t="shared" si="4"/>
        <v>34200</v>
      </c>
      <c r="G36" s="11">
        <f t="shared" si="5"/>
        <v>29360.793671536438</v>
      </c>
      <c r="H36" s="11">
        <f t="shared" si="6"/>
        <v>22438.62</v>
      </c>
      <c r="I36" s="11">
        <f t="shared" si="7"/>
        <v>21923.266406160245</v>
      </c>
      <c r="J36" s="11">
        <f t="shared" si="8"/>
        <v>239463.2289430715</v>
      </c>
      <c r="K36" s="11">
        <f t="shared" si="9"/>
        <v>696865.53521194076</v>
      </c>
      <c r="L36" s="11">
        <f t="shared" si="10"/>
        <v>428804.67071260308</v>
      </c>
      <c r="M36" s="11">
        <f t="shared" si="11"/>
        <v>558560.19005648664</v>
      </c>
      <c r="N36" s="11">
        <f t="shared" si="12"/>
        <v>596879.54004156101</v>
      </c>
      <c r="O36" s="11">
        <f t="shared" si="13"/>
        <v>696865.53521194076</v>
      </c>
      <c r="P36" s="16" t="str">
        <f t="shared" si="14"/>
        <v>ipotesi</v>
      </c>
    </row>
    <row r="37" spans="1:25">
      <c r="A37" s="13">
        <f t="shared" si="0"/>
        <v>32</v>
      </c>
      <c r="B37" s="13">
        <f t="shared" si="15"/>
        <v>82</v>
      </c>
      <c r="C37" s="13">
        <f t="shared" si="15"/>
        <v>2031</v>
      </c>
      <c r="D37" s="11">
        <f t="shared" si="2"/>
        <v>38000</v>
      </c>
      <c r="E37" s="11">
        <f t="shared" si="3"/>
        <v>21575.805874391564</v>
      </c>
      <c r="F37" s="11">
        <f t="shared" si="4"/>
        <v>34200</v>
      </c>
      <c r="G37" s="11">
        <f t="shared" si="5"/>
        <v>29239.992804985046</v>
      </c>
      <c r="H37" s="11">
        <f t="shared" si="6"/>
        <v>22438.62</v>
      </c>
      <c r="I37" s="11">
        <f t="shared" si="7"/>
        <v>21575.805874391564</v>
      </c>
      <c r="J37" s="11">
        <f t="shared" si="8"/>
        <v>195785.43742733204</v>
      </c>
      <c r="K37" s="11">
        <f t="shared" si="9"/>
        <v>687277.01818641287</v>
      </c>
      <c r="L37" s="11">
        <f t="shared" si="10"/>
        <v>395453.9184931452</v>
      </c>
      <c r="M37" s="11">
        <f t="shared" si="11"/>
        <v>535249.09788013098</v>
      </c>
      <c r="N37" s="11">
        <f t="shared" si="12"/>
        <v>583814.32133907604</v>
      </c>
      <c r="O37" s="11">
        <f t="shared" si="13"/>
        <v>687277.01818641287</v>
      </c>
      <c r="P37" s="16" t="str">
        <f t="shared" si="14"/>
        <v>ipotesi</v>
      </c>
    </row>
    <row r="38" spans="1:25">
      <c r="A38" s="13">
        <f t="shared" ref="A38:A69" si="16">A103</f>
        <v>33</v>
      </c>
      <c r="B38" s="13">
        <f t="shared" si="15"/>
        <v>83</v>
      </c>
      <c r="C38" s="13">
        <f t="shared" si="15"/>
        <v>2032</v>
      </c>
      <c r="D38" s="11">
        <f t="shared" ref="D38:D69" si="17">IF($A38&gt;Anni,"",M103)</f>
        <v>38000</v>
      </c>
      <c r="E38" s="11">
        <f t="shared" ref="E38:E69" si="18">IF($A38&gt;Anni,"",R103)</f>
        <v>21235.846203641308</v>
      </c>
      <c r="F38" s="11">
        <f t="shared" ref="F38:F69" si="19">IF($A38&gt;Anni,"",W103)</f>
        <v>34200</v>
      </c>
      <c r="G38" s="11">
        <f t="shared" ref="G38:G69" si="20">IF($A38&gt;Anni,"",AC103)</f>
        <v>29122.423461666807</v>
      </c>
      <c r="H38" s="11">
        <f t="shared" ref="H38:H69" si="21">IF($A38&gt;Anni,"",AJ103)</f>
        <v>22438.62</v>
      </c>
      <c r="I38" s="11">
        <f t="shared" ref="I38:I69" si="22">IF($A38&gt;Anni,"",AO103)</f>
        <v>21235.846203641308</v>
      </c>
      <c r="J38" s="11">
        <f t="shared" ref="J38:J69" si="23">IF($A38&gt;Anni,"",N103)</f>
        <v>150780.35153661435</v>
      </c>
      <c r="K38" s="11">
        <f t="shared" ref="K38:K69" si="24">IF($A38&gt;Anni,"",S103)</f>
        <v>677820.43430164631</v>
      </c>
      <c r="L38" s="11">
        <f t="shared" ref="L38:L69" si="25">IF($A38&gt;Anni,"",X103)</f>
        <v>361075.10306465009</v>
      </c>
      <c r="M38" s="11">
        <f t="shared" ref="M38:M69" si="26">IF($A38&gt;Anni,"",AD103)</f>
        <v>511364.52831614111</v>
      </c>
      <c r="N38" s="11">
        <f t="shared" ref="N38:N69" si="27">IF($A38&gt;Anni,"",AK103)</f>
        <v>570320.91526775574</v>
      </c>
      <c r="O38" s="11">
        <f t="shared" ref="O38:O69" si="28">IF($A38&gt;Anni,"",AP103)</f>
        <v>677820.43430164631</v>
      </c>
      <c r="P38" s="16" t="str">
        <f t="shared" ref="P38:P69" si="29">IF($A38&gt;Anni,"",IF(D103=1,"osservato","ipotesi"))</f>
        <v>ipotesi</v>
      </c>
    </row>
    <row r="39" spans="1:25">
      <c r="A39" s="13">
        <f t="shared" si="16"/>
        <v>34</v>
      </c>
      <c r="B39" s="13">
        <f t="shared" si="15"/>
        <v>84</v>
      </c>
      <c r="C39" s="13">
        <f t="shared" si="15"/>
        <v>2033</v>
      </c>
      <c r="D39" s="11">
        <f t="shared" si="17"/>
        <v>38000</v>
      </c>
      <c r="E39" s="11">
        <f t="shared" si="18"/>
        <v>20903.122677507177</v>
      </c>
      <c r="F39" s="11">
        <f t="shared" si="19"/>
        <v>34200</v>
      </c>
      <c r="G39" s="11">
        <f t="shared" si="20"/>
        <v>29007.935175082068</v>
      </c>
      <c r="H39" s="11">
        <f t="shared" si="21"/>
        <v>22438.62</v>
      </c>
      <c r="I39" s="11">
        <f t="shared" si="22"/>
        <v>20903.122677507177</v>
      </c>
      <c r="J39" s="11">
        <f t="shared" si="23"/>
        <v>104415.40916793977</v>
      </c>
      <c r="K39" s="11">
        <f t="shared" si="24"/>
        <v>668493.96822440601</v>
      </c>
      <c r="L39" s="11">
        <f t="shared" si="25"/>
        <v>325643.57059272961</v>
      </c>
      <c r="M39" s="11">
        <f t="shared" si="26"/>
        <v>486890.30273725087</v>
      </c>
      <c r="N39" s="11">
        <f t="shared" si="27"/>
        <v>556390.02876463684</v>
      </c>
      <c r="O39" s="11">
        <f t="shared" si="28"/>
        <v>668493.96822440601</v>
      </c>
      <c r="P39" s="16" t="str">
        <f t="shared" si="29"/>
        <v>ipotesi</v>
      </c>
    </row>
    <row r="40" spans="1:25">
      <c r="A40" s="13">
        <f t="shared" si="16"/>
        <v>35</v>
      </c>
      <c r="B40" s="13">
        <f t="shared" si="15"/>
        <v>85</v>
      </c>
      <c r="C40" s="13">
        <f t="shared" si="15"/>
        <v>2034</v>
      </c>
      <c r="D40" s="11">
        <f t="shared" si="17"/>
        <v>38000</v>
      </c>
      <c r="E40" s="11">
        <f t="shared" si="18"/>
        <v>20577.383812075444</v>
      </c>
      <c r="F40" s="11">
        <f t="shared" si="19"/>
        <v>34200</v>
      </c>
      <c r="G40" s="11">
        <f t="shared" si="20"/>
        <v>28896.38471529595</v>
      </c>
      <c r="H40" s="11">
        <f t="shared" si="21"/>
        <v>22438.62</v>
      </c>
      <c r="I40" s="11">
        <f t="shared" si="22"/>
        <v>20577.383812075444</v>
      </c>
      <c r="J40" s="11">
        <f t="shared" si="23"/>
        <v>56656.965198889113</v>
      </c>
      <c r="K40" s="11">
        <f t="shared" si="24"/>
        <v>659295.82959952345</v>
      </c>
      <c r="L40" s="11">
        <f t="shared" si="25"/>
        <v>289133.82250400784</v>
      </c>
      <c r="M40" s="11">
        <f t="shared" si="26"/>
        <v>461809.79079668655</v>
      </c>
      <c r="N40" s="11">
        <f t="shared" si="27"/>
        <v>542012.00682546559</v>
      </c>
      <c r="O40" s="11">
        <f t="shared" si="28"/>
        <v>659295.82959952345</v>
      </c>
      <c r="P40" s="16" t="str">
        <f t="shared" si="29"/>
        <v>ipotesi</v>
      </c>
    </row>
    <row r="41" spans="1:25">
      <c r="A41" s="13">
        <f t="shared" si="16"/>
        <v>36</v>
      </c>
      <c r="B41" s="13">
        <f t="shared" si="15"/>
        <v>86</v>
      </c>
      <c r="C41" s="13">
        <f t="shared" si="15"/>
        <v>2035</v>
      </c>
      <c r="D41" s="11">
        <f t="shared" si="17"/>
        <v>5737.3962100942072</v>
      </c>
      <c r="E41" s="11">
        <f t="shared" si="18"/>
        <v>20258.390604401266</v>
      </c>
      <c r="F41" s="11">
        <f t="shared" si="19"/>
        <v>34200</v>
      </c>
      <c r="G41" s="11">
        <f t="shared" si="20"/>
        <v>28787.635740424714</v>
      </c>
      <c r="H41" s="11">
        <f t="shared" si="21"/>
        <v>22438.62</v>
      </c>
      <c r="I41" s="11">
        <f t="shared" si="22"/>
        <v>20258.390604401266</v>
      </c>
      <c r="J41" s="11">
        <f t="shared" si="23"/>
        <v>7470.266287108906</v>
      </c>
      <c r="K41" s="11">
        <f t="shared" si="24"/>
        <v>650224.25270621083</v>
      </c>
      <c r="L41" s="11">
        <f t="shared" si="25"/>
        <v>251519.49643727634</v>
      </c>
      <c r="M41" s="11">
        <f t="shared" si="26"/>
        <v>436105.89780650096</v>
      </c>
      <c r="N41" s="11">
        <f t="shared" si="27"/>
        <v>527176.82537938654</v>
      </c>
      <c r="O41" s="11">
        <f t="shared" si="28"/>
        <v>650224.25270621083</v>
      </c>
      <c r="P41" s="16" t="str">
        <f t="shared" si="29"/>
        <v>ipotesi</v>
      </c>
    </row>
    <row r="42" spans="1:25">
      <c r="A42" s="13">
        <f t="shared" si="16"/>
        <v>37</v>
      </c>
      <c r="B42" s="13">
        <f t="shared" si="15"/>
        <v>87</v>
      </c>
      <c r="C42" s="13">
        <f t="shared" si="15"/>
        <v>2036</v>
      </c>
      <c r="D42" s="11">
        <f t="shared" si="17"/>
        <v>0</v>
      </c>
      <c r="E42" s="11">
        <f t="shared" si="18"/>
        <v>19945.915825142551</v>
      </c>
      <c r="F42" s="11">
        <f t="shared" si="19"/>
        <v>34200</v>
      </c>
      <c r="G42" s="11">
        <f t="shared" si="20"/>
        <v>28681.558464907466</v>
      </c>
      <c r="H42" s="11">
        <f t="shared" si="21"/>
        <v>22438.62</v>
      </c>
      <c r="I42" s="11">
        <f t="shared" si="22"/>
        <v>19945.915825142551</v>
      </c>
      <c r="J42" s="11">
        <f t="shared" si="23"/>
        <v>0</v>
      </c>
      <c r="K42" s="11">
        <f t="shared" si="24"/>
        <v>641277.49611910479</v>
      </c>
      <c r="L42" s="11">
        <f t="shared" si="25"/>
        <v>212773.3466592652</v>
      </c>
      <c r="M42" s="11">
        <f t="shared" si="26"/>
        <v>409761.05176325969</v>
      </c>
      <c r="N42" s="11">
        <f t="shared" si="27"/>
        <v>511874.0839624803</v>
      </c>
      <c r="O42" s="11">
        <f t="shared" si="28"/>
        <v>641277.49611910479</v>
      </c>
      <c r="P42" s="16" t="str">
        <f t="shared" si="29"/>
        <v>ipotesi</v>
      </c>
    </row>
    <row r="43" spans="1:25">
      <c r="A43" s="13">
        <f t="shared" si="16"/>
        <v>38</v>
      </c>
      <c r="B43" s="13">
        <f t="shared" si="15"/>
        <v>88</v>
      </c>
      <c r="C43" s="13">
        <f t="shared" si="15"/>
        <v>2037</v>
      </c>
      <c r="D43" s="11">
        <f t="shared" si="17"/>
        <v>0</v>
      </c>
      <c r="E43" s="11">
        <f t="shared" si="18"/>
        <v>19639.743352731901</v>
      </c>
      <c r="F43" s="11">
        <f t="shared" si="19"/>
        <v>34200</v>
      </c>
      <c r="G43" s="11">
        <f t="shared" si="20"/>
        <v>28578.029343754923</v>
      </c>
      <c r="H43" s="11">
        <f t="shared" si="21"/>
        <v>22438.62</v>
      </c>
      <c r="I43" s="11">
        <f t="shared" si="22"/>
        <v>19639.743352731901</v>
      </c>
      <c r="J43" s="11">
        <f t="shared" si="23"/>
        <v>0</v>
      </c>
      <c r="K43" s="11">
        <f t="shared" si="24"/>
        <v>632453.84237397334</v>
      </c>
      <c r="L43" s="11">
        <f t="shared" si="25"/>
        <v>172867.22391542397</v>
      </c>
      <c r="M43" s="11">
        <f t="shared" si="26"/>
        <v>382757.19001122616</v>
      </c>
      <c r="N43" s="11">
        <f t="shared" si="27"/>
        <v>496092.99817491433</v>
      </c>
      <c r="O43" s="11">
        <f t="shared" si="28"/>
        <v>632453.84237397334</v>
      </c>
      <c r="P43" s="16" t="str">
        <f t="shared" si="29"/>
        <v>ipotesi</v>
      </c>
    </row>
    <row r="44" spans="1:25">
      <c r="A44" s="13">
        <f t="shared" si="16"/>
        <v>39</v>
      </c>
      <c r="B44" s="13">
        <f t="shared" si="15"/>
        <v>89</v>
      </c>
      <c r="C44" s="13">
        <f t="shared" si="15"/>
        <v>2038</v>
      </c>
      <c r="D44" s="11">
        <f t="shared" si="17"/>
        <v>0</v>
      </c>
      <c r="E44" s="11">
        <f t="shared" si="18"/>
        <v>19339.667546626701</v>
      </c>
      <c r="F44" s="11">
        <f t="shared" si="19"/>
        <v>34200</v>
      </c>
      <c r="G44" s="11">
        <f t="shared" si="20"/>
        <v>28476.930772005584</v>
      </c>
      <c r="H44" s="11">
        <f t="shared" si="21"/>
        <v>22438.62</v>
      </c>
      <c r="I44" s="11">
        <f t="shared" si="22"/>
        <v>19339.667546626701</v>
      </c>
      <c r="J44" s="11">
        <f t="shared" si="23"/>
        <v>0</v>
      </c>
      <c r="K44" s="11">
        <f t="shared" si="24"/>
        <v>623751.59763802297</v>
      </c>
      <c r="L44" s="11">
        <f t="shared" si="25"/>
        <v>131772.0546868323</v>
      </c>
      <c r="M44" s="11">
        <f t="shared" si="26"/>
        <v>355075.74553291738</v>
      </c>
      <c r="N44" s="11">
        <f t="shared" si="27"/>
        <v>479822.39190707362</v>
      </c>
      <c r="O44" s="11">
        <f t="shared" si="28"/>
        <v>623751.59763802297</v>
      </c>
      <c r="P44" s="16" t="str">
        <f t="shared" si="29"/>
        <v>ipotesi</v>
      </c>
    </row>
    <row r="45" spans="1:25">
      <c r="A45" s="13">
        <f t="shared" si="16"/>
        <v>40</v>
      </c>
      <c r="B45" s="13">
        <f t="shared" si="15"/>
        <v>90</v>
      </c>
      <c r="C45" s="13">
        <f t="shared" si="15"/>
        <v>2039</v>
      </c>
      <c r="D45" s="11">
        <f t="shared" si="17"/>
        <v>0</v>
      </c>
      <c r="E45" s="11">
        <f t="shared" si="18"/>
        <v>19045.492657323171</v>
      </c>
      <c r="F45" s="11">
        <f t="shared" si="19"/>
        <v>34200</v>
      </c>
      <c r="G45" s="11">
        <f t="shared" si="20"/>
        <v>28378.150798657065</v>
      </c>
      <c r="H45" s="11">
        <f t="shared" si="21"/>
        <v>22438.62</v>
      </c>
      <c r="I45" s="11">
        <f t="shared" si="22"/>
        <v>19045.492657323171</v>
      </c>
      <c r="J45" s="11">
        <f t="shared" si="23"/>
        <v>0</v>
      </c>
      <c r="K45" s="11">
        <f t="shared" si="24"/>
        <v>615169.09138474218</v>
      </c>
      <c r="L45" s="11">
        <f t="shared" si="25"/>
        <v>89457.819825007333</v>
      </c>
      <c r="M45" s="11">
        <f t="shared" si="26"/>
        <v>326697.63285661914</v>
      </c>
      <c r="N45" s="11">
        <f t="shared" si="27"/>
        <v>463050.68932057783</v>
      </c>
      <c r="O45" s="11">
        <f t="shared" si="28"/>
        <v>615169.09138474218</v>
      </c>
      <c r="P45" s="16" t="str">
        <f t="shared" si="29"/>
        <v>ipotesi</v>
      </c>
    </row>
    <row r="46" spans="1:25">
      <c r="A46" s="13">
        <f t="shared" si="16"/>
        <v>41</v>
      </c>
      <c r="B46" s="13">
        <f t="shared" ref="B46:C65" si="30">IF($A46&gt;Anni,"",B111)</f>
        <v>91</v>
      </c>
      <c r="C46" s="13">
        <f t="shared" si="30"/>
        <v>2040</v>
      </c>
      <c r="D46" s="11">
        <f t="shared" si="17"/>
        <v>0</v>
      </c>
      <c r="E46" s="11">
        <f t="shared" si="18"/>
        <v>18757.032270957621</v>
      </c>
      <c r="F46" s="11">
        <f t="shared" si="19"/>
        <v>34200</v>
      </c>
      <c r="G46" s="11">
        <f t="shared" si="20"/>
        <v>28281.582854375094</v>
      </c>
      <c r="H46" s="11">
        <f t="shared" si="21"/>
        <v>22438.62</v>
      </c>
      <c r="I46" s="11">
        <f t="shared" si="22"/>
        <v>18757.032270957621</v>
      </c>
      <c r="J46" s="11">
        <f t="shared" si="23"/>
        <v>0</v>
      </c>
      <c r="K46" s="11">
        <f t="shared" si="24"/>
        <v>606704.67607321846</v>
      </c>
      <c r="L46" s="11">
        <f t="shared" si="25"/>
        <v>45893.532536941857</v>
      </c>
      <c r="M46" s="11">
        <f t="shared" si="26"/>
        <v>297603.23357015813</v>
      </c>
      <c r="N46" s="11">
        <f t="shared" si="27"/>
        <v>445765.906570589</v>
      </c>
      <c r="O46" s="11">
        <f t="shared" si="28"/>
        <v>606704.67607321846</v>
      </c>
      <c r="P46" s="16" t="str">
        <f t="shared" si="29"/>
        <v>ipotesi</v>
      </c>
    </row>
    <row r="47" spans="1:25">
      <c r="A47" s="13">
        <f t="shared" si="16"/>
        <v>42</v>
      </c>
      <c r="B47" s="13">
        <f t="shared" si="30"/>
        <v>92</v>
      </c>
      <c r="C47" s="13">
        <f t="shared" si="30"/>
        <v>2041</v>
      </c>
      <c r="D47" s="11">
        <f t="shared" si="17"/>
        <v>0</v>
      </c>
      <c r="E47" s="11">
        <f t="shared" si="18"/>
        <v>18474.108786447297</v>
      </c>
      <c r="F47" s="11">
        <f t="shared" si="19"/>
        <v>797.0332575035336</v>
      </c>
      <c r="G47" s="11">
        <f t="shared" si="20"/>
        <v>28187.125492316965</v>
      </c>
      <c r="H47" s="11">
        <f t="shared" si="21"/>
        <v>22438.62</v>
      </c>
      <c r="I47" s="11">
        <f t="shared" si="22"/>
        <v>18474.108786447297</v>
      </c>
      <c r="J47" s="11">
        <f t="shared" si="23"/>
        <v>0</v>
      </c>
      <c r="K47" s="11">
        <f t="shared" si="24"/>
        <v>598356.72683186864</v>
      </c>
      <c r="L47" s="11">
        <f t="shared" si="25"/>
        <v>1047.2156931942748</v>
      </c>
      <c r="M47" s="11">
        <f t="shared" si="26"/>
        <v>267772.38142993039</v>
      </c>
      <c r="N47" s="11">
        <f t="shared" si="27"/>
        <v>427955.64325626066</v>
      </c>
      <c r="O47" s="11">
        <f t="shared" si="28"/>
        <v>598356.72683186864</v>
      </c>
      <c r="P47" s="16" t="str">
        <f t="shared" si="29"/>
        <v>ipotesi</v>
      </c>
    </row>
    <row r="48" spans="1:25" ht="30" customHeight="1">
      <c r="A48" s="13">
        <f t="shared" si="16"/>
        <v>43</v>
      </c>
      <c r="B48" s="13" t="str">
        <f t="shared" si="30"/>
        <v/>
      </c>
      <c r="C48" s="13" t="str">
        <f t="shared" si="30"/>
        <v/>
      </c>
      <c r="D48" s="11" t="str">
        <f t="shared" si="17"/>
        <v/>
      </c>
      <c r="E48" s="11" t="str">
        <f t="shared" si="18"/>
        <v/>
      </c>
      <c r="F48" s="11" t="str">
        <f t="shared" si="19"/>
        <v/>
      </c>
      <c r="G48" s="11" t="str">
        <f t="shared" si="20"/>
        <v/>
      </c>
      <c r="H48" s="11" t="str">
        <f t="shared" si="21"/>
        <v/>
      </c>
      <c r="I48" s="11" t="str">
        <f t="shared" si="22"/>
        <v/>
      </c>
      <c r="J48" s="11" t="str">
        <f t="shared" si="23"/>
        <v/>
      </c>
      <c r="K48" s="11" t="str">
        <f t="shared" si="24"/>
        <v/>
      </c>
      <c r="L48" s="11" t="str">
        <f t="shared" si="25"/>
        <v/>
      </c>
      <c r="M48" s="11" t="str">
        <f t="shared" si="26"/>
        <v/>
      </c>
      <c r="N48" s="11" t="str">
        <f t="shared" si="27"/>
        <v/>
      </c>
      <c r="O48" s="11" t="str">
        <f t="shared" si="28"/>
        <v/>
      </c>
      <c r="P48" s="16" t="str">
        <f t="shared" si="29"/>
        <v/>
      </c>
      <c r="R48" s="34" t="s">
        <v>157</v>
      </c>
      <c r="S48" s="32"/>
      <c r="T48" s="32"/>
      <c r="U48" s="32"/>
      <c r="V48" s="32"/>
      <c r="W48" s="32"/>
      <c r="X48" s="32"/>
      <c r="Y48" s="32"/>
    </row>
    <row r="49" spans="1:16">
      <c r="A49" s="13">
        <f t="shared" si="16"/>
        <v>44</v>
      </c>
      <c r="B49" s="13" t="str">
        <f t="shared" si="30"/>
        <v/>
      </c>
      <c r="C49" s="13" t="str">
        <f t="shared" si="30"/>
        <v/>
      </c>
      <c r="D49" s="11" t="str">
        <f t="shared" si="17"/>
        <v/>
      </c>
      <c r="E49" s="11" t="str">
        <f t="shared" si="18"/>
        <v/>
      </c>
      <c r="F49" s="11" t="str">
        <f t="shared" si="19"/>
        <v/>
      </c>
      <c r="G49" s="11" t="str">
        <f t="shared" si="20"/>
        <v/>
      </c>
      <c r="H49" s="11" t="str">
        <f t="shared" si="21"/>
        <v/>
      </c>
      <c r="I49" s="11" t="str">
        <f t="shared" si="22"/>
        <v/>
      </c>
      <c r="J49" s="11" t="str">
        <f t="shared" si="23"/>
        <v/>
      </c>
      <c r="K49" s="11" t="str">
        <f t="shared" si="24"/>
        <v/>
      </c>
      <c r="L49" s="11" t="str">
        <f t="shared" si="25"/>
        <v/>
      </c>
      <c r="M49" s="11" t="str">
        <f t="shared" si="26"/>
        <v/>
      </c>
      <c r="N49" s="11" t="str">
        <f t="shared" si="27"/>
        <v/>
      </c>
      <c r="O49" s="11" t="str">
        <f t="shared" si="28"/>
        <v/>
      </c>
      <c r="P49" s="16" t="str">
        <f t="shared" si="29"/>
        <v/>
      </c>
    </row>
    <row r="50" spans="1:16">
      <c r="A50" s="13">
        <f t="shared" si="16"/>
        <v>45</v>
      </c>
      <c r="B50" s="13" t="str">
        <f t="shared" si="30"/>
        <v/>
      </c>
      <c r="C50" s="13" t="str">
        <f t="shared" si="30"/>
        <v/>
      </c>
      <c r="D50" s="11" t="str">
        <f t="shared" si="17"/>
        <v/>
      </c>
      <c r="E50" s="11" t="str">
        <f t="shared" si="18"/>
        <v/>
      </c>
      <c r="F50" s="11" t="str">
        <f t="shared" si="19"/>
        <v/>
      </c>
      <c r="G50" s="11" t="str">
        <f t="shared" si="20"/>
        <v/>
      </c>
      <c r="H50" s="11" t="str">
        <f t="shared" si="21"/>
        <v/>
      </c>
      <c r="I50" s="11" t="str">
        <f t="shared" si="22"/>
        <v/>
      </c>
      <c r="J50" s="11" t="str">
        <f t="shared" si="23"/>
        <v/>
      </c>
      <c r="K50" s="11" t="str">
        <f t="shared" si="24"/>
        <v/>
      </c>
      <c r="L50" s="11" t="str">
        <f t="shared" si="25"/>
        <v/>
      </c>
      <c r="M50" s="11" t="str">
        <f t="shared" si="26"/>
        <v/>
      </c>
      <c r="N50" s="11" t="str">
        <f t="shared" si="27"/>
        <v/>
      </c>
      <c r="O50" s="11" t="str">
        <f t="shared" si="28"/>
        <v/>
      </c>
      <c r="P50" s="16" t="str">
        <f t="shared" si="29"/>
        <v/>
      </c>
    </row>
    <row r="51" spans="1:16">
      <c r="A51" s="13">
        <f t="shared" si="16"/>
        <v>46</v>
      </c>
      <c r="B51" s="13" t="str">
        <f t="shared" si="30"/>
        <v/>
      </c>
      <c r="C51" s="13" t="str">
        <f t="shared" si="30"/>
        <v/>
      </c>
      <c r="D51" s="11" t="str">
        <f t="shared" si="17"/>
        <v/>
      </c>
      <c r="E51" s="11" t="str">
        <f t="shared" si="18"/>
        <v/>
      </c>
      <c r="F51" s="11" t="str">
        <f t="shared" si="19"/>
        <v/>
      </c>
      <c r="G51" s="11" t="str">
        <f t="shared" si="20"/>
        <v/>
      </c>
      <c r="H51" s="11" t="str">
        <f t="shared" si="21"/>
        <v/>
      </c>
      <c r="I51" s="11" t="str">
        <f t="shared" si="22"/>
        <v/>
      </c>
      <c r="J51" s="11" t="str">
        <f t="shared" si="23"/>
        <v/>
      </c>
      <c r="K51" s="11" t="str">
        <f t="shared" si="24"/>
        <v/>
      </c>
      <c r="L51" s="11" t="str">
        <f t="shared" si="25"/>
        <v/>
      </c>
      <c r="M51" s="11" t="str">
        <f t="shared" si="26"/>
        <v/>
      </c>
      <c r="N51" s="11" t="str">
        <f t="shared" si="27"/>
        <v/>
      </c>
      <c r="O51" s="11" t="str">
        <f t="shared" si="28"/>
        <v/>
      </c>
      <c r="P51" s="16" t="str">
        <f t="shared" si="29"/>
        <v/>
      </c>
    </row>
    <row r="52" spans="1:16">
      <c r="A52" s="13">
        <f t="shared" si="16"/>
        <v>47</v>
      </c>
      <c r="B52" s="13" t="str">
        <f t="shared" si="30"/>
        <v/>
      </c>
      <c r="C52" s="13" t="str">
        <f t="shared" si="30"/>
        <v/>
      </c>
      <c r="D52" s="11" t="str">
        <f t="shared" si="17"/>
        <v/>
      </c>
      <c r="E52" s="11" t="str">
        <f t="shared" si="18"/>
        <v/>
      </c>
      <c r="F52" s="11" t="str">
        <f t="shared" si="19"/>
        <v/>
      </c>
      <c r="G52" s="11" t="str">
        <f t="shared" si="20"/>
        <v/>
      </c>
      <c r="H52" s="11" t="str">
        <f t="shared" si="21"/>
        <v/>
      </c>
      <c r="I52" s="11" t="str">
        <f t="shared" si="22"/>
        <v/>
      </c>
      <c r="J52" s="11" t="str">
        <f t="shared" si="23"/>
        <v/>
      </c>
      <c r="K52" s="11" t="str">
        <f t="shared" si="24"/>
        <v/>
      </c>
      <c r="L52" s="11" t="str">
        <f t="shared" si="25"/>
        <v/>
      </c>
      <c r="M52" s="11" t="str">
        <f t="shared" si="26"/>
        <v/>
      </c>
      <c r="N52" s="11" t="str">
        <f t="shared" si="27"/>
        <v/>
      </c>
      <c r="O52" s="11" t="str">
        <f t="shared" si="28"/>
        <v/>
      </c>
      <c r="P52" s="16" t="str">
        <f t="shared" si="29"/>
        <v/>
      </c>
    </row>
    <row r="53" spans="1:16">
      <c r="A53" s="13">
        <f t="shared" si="16"/>
        <v>48</v>
      </c>
      <c r="B53" s="13" t="str">
        <f t="shared" si="30"/>
        <v/>
      </c>
      <c r="C53" s="13" t="str">
        <f t="shared" si="30"/>
        <v/>
      </c>
      <c r="D53" s="11" t="str">
        <f t="shared" si="17"/>
        <v/>
      </c>
      <c r="E53" s="11" t="str">
        <f t="shared" si="18"/>
        <v/>
      </c>
      <c r="F53" s="11" t="str">
        <f t="shared" si="19"/>
        <v/>
      </c>
      <c r="G53" s="11" t="str">
        <f t="shared" si="20"/>
        <v/>
      </c>
      <c r="H53" s="11" t="str">
        <f t="shared" si="21"/>
        <v/>
      </c>
      <c r="I53" s="11" t="str">
        <f t="shared" si="22"/>
        <v/>
      </c>
      <c r="J53" s="11" t="str">
        <f t="shared" si="23"/>
        <v/>
      </c>
      <c r="K53" s="11" t="str">
        <f t="shared" si="24"/>
        <v/>
      </c>
      <c r="L53" s="11" t="str">
        <f t="shared" si="25"/>
        <v/>
      </c>
      <c r="M53" s="11" t="str">
        <f t="shared" si="26"/>
        <v/>
      </c>
      <c r="N53" s="11" t="str">
        <f t="shared" si="27"/>
        <v/>
      </c>
      <c r="O53" s="11" t="str">
        <f t="shared" si="28"/>
        <v/>
      </c>
      <c r="P53" s="16" t="str">
        <f t="shared" si="29"/>
        <v/>
      </c>
    </row>
    <row r="54" spans="1:16">
      <c r="A54" s="13">
        <f t="shared" si="16"/>
        <v>49</v>
      </c>
      <c r="B54" s="13" t="str">
        <f t="shared" si="30"/>
        <v/>
      </c>
      <c r="C54" s="13" t="str">
        <f t="shared" si="30"/>
        <v/>
      </c>
      <c r="D54" s="11" t="str">
        <f t="shared" si="17"/>
        <v/>
      </c>
      <c r="E54" s="11" t="str">
        <f t="shared" si="18"/>
        <v/>
      </c>
      <c r="F54" s="11" t="str">
        <f t="shared" si="19"/>
        <v/>
      </c>
      <c r="G54" s="11" t="str">
        <f t="shared" si="20"/>
        <v/>
      </c>
      <c r="H54" s="11" t="str">
        <f t="shared" si="21"/>
        <v/>
      </c>
      <c r="I54" s="11" t="str">
        <f t="shared" si="22"/>
        <v/>
      </c>
      <c r="J54" s="11" t="str">
        <f t="shared" si="23"/>
        <v/>
      </c>
      <c r="K54" s="11" t="str">
        <f t="shared" si="24"/>
        <v/>
      </c>
      <c r="L54" s="11" t="str">
        <f t="shared" si="25"/>
        <v/>
      </c>
      <c r="M54" s="11" t="str">
        <f t="shared" si="26"/>
        <v/>
      </c>
      <c r="N54" s="11" t="str">
        <f t="shared" si="27"/>
        <v/>
      </c>
      <c r="O54" s="11" t="str">
        <f t="shared" si="28"/>
        <v/>
      </c>
      <c r="P54" s="16" t="str">
        <f t="shared" si="29"/>
        <v/>
      </c>
    </row>
    <row r="55" spans="1:16">
      <c r="A55" s="13">
        <f t="shared" si="16"/>
        <v>50</v>
      </c>
      <c r="B55" s="13" t="str">
        <f t="shared" si="30"/>
        <v/>
      </c>
      <c r="C55" s="13" t="str">
        <f t="shared" si="30"/>
        <v/>
      </c>
      <c r="D55" s="11" t="str">
        <f t="shared" si="17"/>
        <v/>
      </c>
      <c r="E55" s="11" t="str">
        <f t="shared" si="18"/>
        <v/>
      </c>
      <c r="F55" s="11" t="str">
        <f t="shared" si="19"/>
        <v/>
      </c>
      <c r="G55" s="11" t="str">
        <f t="shared" si="20"/>
        <v/>
      </c>
      <c r="H55" s="11" t="str">
        <f t="shared" si="21"/>
        <v/>
      </c>
      <c r="I55" s="11" t="str">
        <f t="shared" si="22"/>
        <v/>
      </c>
      <c r="J55" s="11" t="str">
        <f t="shared" si="23"/>
        <v/>
      </c>
      <c r="K55" s="11" t="str">
        <f t="shared" si="24"/>
        <v/>
      </c>
      <c r="L55" s="11" t="str">
        <f t="shared" si="25"/>
        <v/>
      </c>
      <c r="M55" s="11" t="str">
        <f t="shared" si="26"/>
        <v/>
      </c>
      <c r="N55" s="11" t="str">
        <f t="shared" si="27"/>
        <v/>
      </c>
      <c r="O55" s="11" t="str">
        <f t="shared" si="28"/>
        <v/>
      </c>
      <c r="P55" s="16" t="str">
        <f t="shared" si="29"/>
        <v/>
      </c>
    </row>
    <row r="56" spans="1:16">
      <c r="A56" s="13">
        <f t="shared" si="16"/>
        <v>51</v>
      </c>
      <c r="B56" s="13" t="str">
        <f t="shared" si="30"/>
        <v/>
      </c>
      <c r="C56" s="13" t="str">
        <f t="shared" si="30"/>
        <v/>
      </c>
      <c r="D56" s="11" t="str">
        <f t="shared" si="17"/>
        <v/>
      </c>
      <c r="E56" s="11" t="str">
        <f t="shared" si="18"/>
        <v/>
      </c>
      <c r="F56" s="11" t="str">
        <f t="shared" si="19"/>
        <v/>
      </c>
      <c r="G56" s="11" t="str">
        <f t="shared" si="20"/>
        <v/>
      </c>
      <c r="H56" s="11" t="str">
        <f t="shared" si="21"/>
        <v/>
      </c>
      <c r="I56" s="11" t="str">
        <f t="shared" si="22"/>
        <v/>
      </c>
      <c r="J56" s="11" t="str">
        <f t="shared" si="23"/>
        <v/>
      </c>
      <c r="K56" s="11" t="str">
        <f t="shared" si="24"/>
        <v/>
      </c>
      <c r="L56" s="11" t="str">
        <f t="shared" si="25"/>
        <v/>
      </c>
      <c r="M56" s="11" t="str">
        <f t="shared" si="26"/>
        <v/>
      </c>
      <c r="N56" s="11" t="str">
        <f t="shared" si="27"/>
        <v/>
      </c>
      <c r="O56" s="11" t="str">
        <f t="shared" si="28"/>
        <v/>
      </c>
      <c r="P56" s="16" t="str">
        <f t="shared" si="29"/>
        <v/>
      </c>
    </row>
    <row r="57" spans="1:16">
      <c r="A57" s="13">
        <f t="shared" si="16"/>
        <v>52</v>
      </c>
      <c r="B57" s="13" t="str">
        <f t="shared" si="30"/>
        <v/>
      </c>
      <c r="C57" s="13" t="str">
        <f t="shared" si="30"/>
        <v/>
      </c>
      <c r="D57" s="11" t="str">
        <f t="shared" si="17"/>
        <v/>
      </c>
      <c r="E57" s="11" t="str">
        <f t="shared" si="18"/>
        <v/>
      </c>
      <c r="F57" s="11" t="str">
        <f t="shared" si="19"/>
        <v/>
      </c>
      <c r="G57" s="11" t="str">
        <f t="shared" si="20"/>
        <v/>
      </c>
      <c r="H57" s="11" t="str">
        <f t="shared" si="21"/>
        <v/>
      </c>
      <c r="I57" s="11" t="str">
        <f t="shared" si="22"/>
        <v/>
      </c>
      <c r="J57" s="11" t="str">
        <f t="shared" si="23"/>
        <v/>
      </c>
      <c r="K57" s="11" t="str">
        <f t="shared" si="24"/>
        <v/>
      </c>
      <c r="L57" s="11" t="str">
        <f t="shared" si="25"/>
        <v/>
      </c>
      <c r="M57" s="11" t="str">
        <f t="shared" si="26"/>
        <v/>
      </c>
      <c r="N57" s="11" t="str">
        <f t="shared" si="27"/>
        <v/>
      </c>
      <c r="O57" s="11" t="str">
        <f t="shared" si="28"/>
        <v/>
      </c>
      <c r="P57" s="16" t="str">
        <f t="shared" si="29"/>
        <v/>
      </c>
    </row>
    <row r="58" spans="1:16">
      <c r="A58" s="13">
        <f t="shared" si="16"/>
        <v>53</v>
      </c>
      <c r="B58" s="13" t="str">
        <f t="shared" si="30"/>
        <v/>
      </c>
      <c r="C58" s="13" t="str">
        <f t="shared" si="30"/>
        <v/>
      </c>
      <c r="D58" s="11" t="str">
        <f t="shared" si="17"/>
        <v/>
      </c>
      <c r="E58" s="11" t="str">
        <f t="shared" si="18"/>
        <v/>
      </c>
      <c r="F58" s="11" t="str">
        <f t="shared" si="19"/>
        <v/>
      </c>
      <c r="G58" s="11" t="str">
        <f t="shared" si="20"/>
        <v/>
      </c>
      <c r="H58" s="11" t="str">
        <f t="shared" si="21"/>
        <v/>
      </c>
      <c r="I58" s="11" t="str">
        <f t="shared" si="22"/>
        <v/>
      </c>
      <c r="J58" s="11" t="str">
        <f t="shared" si="23"/>
        <v/>
      </c>
      <c r="K58" s="11" t="str">
        <f t="shared" si="24"/>
        <v/>
      </c>
      <c r="L58" s="11" t="str">
        <f t="shared" si="25"/>
        <v/>
      </c>
      <c r="M58" s="11" t="str">
        <f t="shared" si="26"/>
        <v/>
      </c>
      <c r="N58" s="11" t="str">
        <f t="shared" si="27"/>
        <v/>
      </c>
      <c r="O58" s="11" t="str">
        <f t="shared" si="28"/>
        <v/>
      </c>
      <c r="P58" s="16" t="str">
        <f t="shared" si="29"/>
        <v/>
      </c>
    </row>
    <row r="59" spans="1:16">
      <c r="A59" s="13">
        <f t="shared" si="16"/>
        <v>54</v>
      </c>
      <c r="B59" s="13" t="str">
        <f t="shared" si="30"/>
        <v/>
      </c>
      <c r="C59" s="13" t="str">
        <f t="shared" si="30"/>
        <v/>
      </c>
      <c r="D59" s="11" t="str">
        <f t="shared" si="17"/>
        <v/>
      </c>
      <c r="E59" s="11" t="str">
        <f t="shared" si="18"/>
        <v/>
      </c>
      <c r="F59" s="11" t="str">
        <f t="shared" si="19"/>
        <v/>
      </c>
      <c r="G59" s="11" t="str">
        <f t="shared" si="20"/>
        <v/>
      </c>
      <c r="H59" s="11" t="str">
        <f t="shared" si="21"/>
        <v/>
      </c>
      <c r="I59" s="11" t="str">
        <f t="shared" si="22"/>
        <v/>
      </c>
      <c r="J59" s="11" t="str">
        <f t="shared" si="23"/>
        <v/>
      </c>
      <c r="K59" s="11" t="str">
        <f t="shared" si="24"/>
        <v/>
      </c>
      <c r="L59" s="11" t="str">
        <f t="shared" si="25"/>
        <v/>
      </c>
      <c r="M59" s="11" t="str">
        <f t="shared" si="26"/>
        <v/>
      </c>
      <c r="N59" s="11" t="str">
        <f t="shared" si="27"/>
        <v/>
      </c>
      <c r="O59" s="11" t="str">
        <f t="shared" si="28"/>
        <v/>
      </c>
      <c r="P59" s="16" t="str">
        <f t="shared" si="29"/>
        <v/>
      </c>
    </row>
    <row r="60" spans="1:16">
      <c r="A60" s="13">
        <f t="shared" si="16"/>
        <v>55</v>
      </c>
      <c r="B60" s="13" t="str">
        <f t="shared" si="30"/>
        <v/>
      </c>
      <c r="C60" s="13" t="str">
        <f t="shared" si="30"/>
        <v/>
      </c>
      <c r="D60" s="11" t="str">
        <f t="shared" si="17"/>
        <v/>
      </c>
      <c r="E60" s="11" t="str">
        <f t="shared" si="18"/>
        <v/>
      </c>
      <c r="F60" s="11" t="str">
        <f t="shared" si="19"/>
        <v/>
      </c>
      <c r="G60" s="11" t="str">
        <f t="shared" si="20"/>
        <v/>
      </c>
      <c r="H60" s="11" t="str">
        <f t="shared" si="21"/>
        <v/>
      </c>
      <c r="I60" s="11" t="str">
        <f t="shared" si="22"/>
        <v/>
      </c>
      <c r="J60" s="11" t="str">
        <f t="shared" si="23"/>
        <v/>
      </c>
      <c r="K60" s="11" t="str">
        <f t="shared" si="24"/>
        <v/>
      </c>
      <c r="L60" s="11" t="str">
        <f t="shared" si="25"/>
        <v/>
      </c>
      <c r="M60" s="11" t="str">
        <f t="shared" si="26"/>
        <v/>
      </c>
      <c r="N60" s="11" t="str">
        <f t="shared" si="27"/>
        <v/>
      </c>
      <c r="O60" s="11" t="str">
        <f t="shared" si="28"/>
        <v/>
      </c>
      <c r="P60" s="16" t="str">
        <f t="shared" si="29"/>
        <v/>
      </c>
    </row>
    <row r="61" spans="1:16">
      <c r="A61" s="13">
        <f t="shared" si="16"/>
        <v>56</v>
      </c>
      <c r="B61" s="13" t="str">
        <f t="shared" si="30"/>
        <v/>
      </c>
      <c r="C61" s="13" t="str">
        <f t="shared" si="30"/>
        <v/>
      </c>
      <c r="D61" s="11" t="str">
        <f t="shared" si="17"/>
        <v/>
      </c>
      <c r="E61" s="11" t="str">
        <f t="shared" si="18"/>
        <v/>
      </c>
      <c r="F61" s="11" t="str">
        <f t="shared" si="19"/>
        <v/>
      </c>
      <c r="G61" s="11" t="str">
        <f t="shared" si="20"/>
        <v/>
      </c>
      <c r="H61" s="11" t="str">
        <f t="shared" si="21"/>
        <v/>
      </c>
      <c r="I61" s="11" t="str">
        <f t="shared" si="22"/>
        <v/>
      </c>
      <c r="J61" s="11" t="str">
        <f t="shared" si="23"/>
        <v/>
      </c>
      <c r="K61" s="11" t="str">
        <f t="shared" si="24"/>
        <v/>
      </c>
      <c r="L61" s="11" t="str">
        <f t="shared" si="25"/>
        <v/>
      </c>
      <c r="M61" s="11" t="str">
        <f t="shared" si="26"/>
        <v/>
      </c>
      <c r="N61" s="11" t="str">
        <f t="shared" si="27"/>
        <v/>
      </c>
      <c r="O61" s="11" t="str">
        <f t="shared" si="28"/>
        <v/>
      </c>
      <c r="P61" s="16" t="str">
        <f t="shared" si="29"/>
        <v/>
      </c>
    </row>
    <row r="62" spans="1:16">
      <c r="A62" s="13">
        <f t="shared" si="16"/>
        <v>57</v>
      </c>
      <c r="B62" s="13" t="str">
        <f t="shared" si="30"/>
        <v/>
      </c>
      <c r="C62" s="13" t="str">
        <f t="shared" si="30"/>
        <v/>
      </c>
      <c r="D62" s="11" t="str">
        <f t="shared" si="17"/>
        <v/>
      </c>
      <c r="E62" s="11" t="str">
        <f t="shared" si="18"/>
        <v/>
      </c>
      <c r="F62" s="11" t="str">
        <f t="shared" si="19"/>
        <v/>
      </c>
      <c r="G62" s="11" t="str">
        <f t="shared" si="20"/>
        <v/>
      </c>
      <c r="H62" s="11" t="str">
        <f t="shared" si="21"/>
        <v/>
      </c>
      <c r="I62" s="11" t="str">
        <f t="shared" si="22"/>
        <v/>
      </c>
      <c r="J62" s="11" t="str">
        <f t="shared" si="23"/>
        <v/>
      </c>
      <c r="K62" s="11" t="str">
        <f t="shared" si="24"/>
        <v/>
      </c>
      <c r="L62" s="11" t="str">
        <f t="shared" si="25"/>
        <v/>
      </c>
      <c r="M62" s="11" t="str">
        <f t="shared" si="26"/>
        <v/>
      </c>
      <c r="N62" s="11" t="str">
        <f t="shared" si="27"/>
        <v/>
      </c>
      <c r="O62" s="11" t="str">
        <f t="shared" si="28"/>
        <v/>
      </c>
      <c r="P62" s="16" t="str">
        <f t="shared" si="29"/>
        <v/>
      </c>
    </row>
    <row r="63" spans="1:16">
      <c r="A63" s="13">
        <f t="shared" si="16"/>
        <v>58</v>
      </c>
      <c r="B63" s="13" t="str">
        <f t="shared" si="30"/>
        <v/>
      </c>
      <c r="C63" s="13" t="str">
        <f t="shared" si="30"/>
        <v/>
      </c>
      <c r="D63" s="11" t="str">
        <f t="shared" si="17"/>
        <v/>
      </c>
      <c r="E63" s="11" t="str">
        <f t="shared" si="18"/>
        <v/>
      </c>
      <c r="F63" s="11" t="str">
        <f t="shared" si="19"/>
        <v/>
      </c>
      <c r="G63" s="11" t="str">
        <f t="shared" si="20"/>
        <v/>
      </c>
      <c r="H63" s="11" t="str">
        <f t="shared" si="21"/>
        <v/>
      </c>
      <c r="I63" s="11" t="str">
        <f t="shared" si="22"/>
        <v/>
      </c>
      <c r="J63" s="11" t="str">
        <f t="shared" si="23"/>
        <v/>
      </c>
      <c r="K63" s="11" t="str">
        <f t="shared" si="24"/>
        <v/>
      </c>
      <c r="L63" s="11" t="str">
        <f t="shared" si="25"/>
        <v/>
      </c>
      <c r="M63" s="11" t="str">
        <f t="shared" si="26"/>
        <v/>
      </c>
      <c r="N63" s="11" t="str">
        <f t="shared" si="27"/>
        <v/>
      </c>
      <c r="O63" s="11" t="str">
        <f t="shared" si="28"/>
        <v/>
      </c>
      <c r="P63" s="16" t="str">
        <f t="shared" si="29"/>
        <v/>
      </c>
    </row>
    <row r="64" spans="1:16">
      <c r="A64" s="13">
        <f t="shared" si="16"/>
        <v>59</v>
      </c>
      <c r="B64" s="13" t="str">
        <f t="shared" si="30"/>
        <v/>
      </c>
      <c r="C64" s="13" t="str">
        <f t="shared" si="30"/>
        <v/>
      </c>
      <c r="D64" s="11" t="str">
        <f t="shared" si="17"/>
        <v/>
      </c>
      <c r="E64" s="11" t="str">
        <f t="shared" si="18"/>
        <v/>
      </c>
      <c r="F64" s="11" t="str">
        <f t="shared" si="19"/>
        <v/>
      </c>
      <c r="G64" s="11" t="str">
        <f t="shared" si="20"/>
        <v/>
      </c>
      <c r="H64" s="11" t="str">
        <f t="shared" si="21"/>
        <v/>
      </c>
      <c r="I64" s="11" t="str">
        <f t="shared" si="22"/>
        <v/>
      </c>
      <c r="J64" s="11" t="str">
        <f t="shared" si="23"/>
        <v/>
      </c>
      <c r="K64" s="11" t="str">
        <f t="shared" si="24"/>
        <v/>
      </c>
      <c r="L64" s="11" t="str">
        <f t="shared" si="25"/>
        <v/>
      </c>
      <c r="M64" s="11" t="str">
        <f t="shared" si="26"/>
        <v/>
      </c>
      <c r="N64" s="11" t="str">
        <f t="shared" si="27"/>
        <v/>
      </c>
      <c r="O64" s="11" t="str">
        <f t="shared" si="28"/>
        <v/>
      </c>
      <c r="P64" s="16" t="str">
        <f t="shared" si="29"/>
        <v/>
      </c>
    </row>
    <row r="65" spans="1:48">
      <c r="A65" s="13">
        <f t="shared" si="16"/>
        <v>60</v>
      </c>
      <c r="B65" s="13" t="str">
        <f t="shared" si="30"/>
        <v/>
      </c>
      <c r="C65" s="13" t="str">
        <f t="shared" si="30"/>
        <v/>
      </c>
      <c r="D65" s="11" t="str">
        <f t="shared" si="17"/>
        <v/>
      </c>
      <c r="E65" s="11" t="str">
        <f t="shared" si="18"/>
        <v/>
      </c>
      <c r="F65" s="11" t="str">
        <f t="shared" si="19"/>
        <v/>
      </c>
      <c r="G65" s="11" t="str">
        <f t="shared" si="20"/>
        <v/>
      </c>
      <c r="H65" s="11" t="str">
        <f t="shared" si="21"/>
        <v/>
      </c>
      <c r="I65" s="11" t="str">
        <f t="shared" si="22"/>
        <v/>
      </c>
      <c r="J65" s="11" t="str">
        <f t="shared" si="23"/>
        <v/>
      </c>
      <c r="K65" s="11" t="str">
        <f t="shared" si="24"/>
        <v/>
      </c>
      <c r="L65" s="11" t="str">
        <f t="shared" si="25"/>
        <v/>
      </c>
      <c r="M65" s="11" t="str">
        <f t="shared" si="26"/>
        <v/>
      </c>
      <c r="N65" s="11" t="str">
        <f t="shared" si="27"/>
        <v/>
      </c>
      <c r="O65" s="11" t="str">
        <f t="shared" si="28"/>
        <v/>
      </c>
      <c r="P65" s="16" t="str">
        <f t="shared" si="29"/>
        <v/>
      </c>
    </row>
    <row r="68" spans="1:48">
      <c r="A68" s="35" t="s">
        <v>158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</row>
    <row r="69" spans="1:48">
      <c r="A69" s="36" t="s">
        <v>159</v>
      </c>
      <c r="B69" s="32"/>
      <c r="C69" s="32"/>
      <c r="D69" s="32"/>
      <c r="E69" s="32"/>
      <c r="F69" s="32"/>
      <c r="G69" s="32"/>
      <c r="H69" s="32"/>
      <c r="I69" s="32"/>
      <c r="J69" s="36" t="s">
        <v>131</v>
      </c>
      <c r="K69" s="32"/>
      <c r="L69" s="32"/>
      <c r="M69" s="32"/>
      <c r="N69" s="32"/>
      <c r="O69" s="36" t="s">
        <v>132</v>
      </c>
      <c r="P69" s="32"/>
      <c r="Q69" s="32"/>
      <c r="R69" s="32"/>
      <c r="S69" s="32"/>
      <c r="T69" s="36" t="s">
        <v>133</v>
      </c>
      <c r="U69" s="32"/>
      <c r="V69" s="32"/>
      <c r="W69" s="32"/>
      <c r="X69" s="32"/>
      <c r="Y69" s="36" t="s">
        <v>134</v>
      </c>
      <c r="Z69" s="32"/>
      <c r="AA69" s="32"/>
      <c r="AB69" s="32"/>
      <c r="AC69" s="32"/>
      <c r="AD69" s="32"/>
      <c r="AE69" s="36" t="s">
        <v>135</v>
      </c>
      <c r="AF69" s="32"/>
      <c r="AG69" s="32"/>
      <c r="AH69" s="32"/>
      <c r="AI69" s="32"/>
      <c r="AJ69" s="32"/>
      <c r="AK69" s="32"/>
      <c r="AL69" s="36" t="s">
        <v>160</v>
      </c>
      <c r="AM69" s="32"/>
      <c r="AN69" s="32"/>
      <c r="AO69" s="32"/>
      <c r="AP69" s="32"/>
      <c r="AQ69" s="36" t="s">
        <v>161</v>
      </c>
      <c r="AR69" s="32"/>
      <c r="AS69" s="32"/>
      <c r="AT69" s="32"/>
      <c r="AU69" s="32"/>
      <c r="AV69" s="32"/>
    </row>
    <row r="70" spans="1:48" ht="62.1" customHeight="1">
      <c r="A70" s="15" t="s">
        <v>141</v>
      </c>
      <c r="B70" s="15" t="s">
        <v>142</v>
      </c>
      <c r="C70" s="15" t="s">
        <v>143</v>
      </c>
      <c r="D70" s="15" t="s">
        <v>162</v>
      </c>
      <c r="E70" s="15" t="s">
        <v>163</v>
      </c>
      <c r="F70" s="15" t="s">
        <v>164</v>
      </c>
      <c r="G70" s="15" t="s">
        <v>165</v>
      </c>
      <c r="H70" s="15" t="s">
        <v>166</v>
      </c>
      <c r="I70" s="15" t="s">
        <v>167</v>
      </c>
      <c r="J70" s="15" t="s">
        <v>168</v>
      </c>
      <c r="K70" s="15" t="s">
        <v>169</v>
      </c>
      <c r="L70" s="15" t="s">
        <v>170</v>
      </c>
      <c r="M70" s="15" t="s">
        <v>171</v>
      </c>
      <c r="N70" s="15" t="s">
        <v>172</v>
      </c>
      <c r="O70" s="15" t="s">
        <v>173</v>
      </c>
      <c r="P70" s="15" t="s">
        <v>174</v>
      </c>
      <c r="Q70" s="15" t="s">
        <v>175</v>
      </c>
      <c r="R70" s="15" t="s">
        <v>176</v>
      </c>
      <c r="S70" s="15" t="s">
        <v>177</v>
      </c>
      <c r="T70" s="15" t="s">
        <v>178</v>
      </c>
      <c r="U70" s="15" t="s">
        <v>179</v>
      </c>
      <c r="V70" s="15" t="s">
        <v>180</v>
      </c>
      <c r="W70" s="15" t="s">
        <v>181</v>
      </c>
      <c r="X70" s="15" t="s">
        <v>182</v>
      </c>
      <c r="Y70" s="15" t="s">
        <v>183</v>
      </c>
      <c r="Z70" s="15" t="s">
        <v>184</v>
      </c>
      <c r="AA70" s="15" t="s">
        <v>185</v>
      </c>
      <c r="AB70" s="15" t="s">
        <v>186</v>
      </c>
      <c r="AC70" s="15" t="s">
        <v>187</v>
      </c>
      <c r="AD70" s="15" t="s">
        <v>188</v>
      </c>
      <c r="AE70" s="15" t="s">
        <v>189</v>
      </c>
      <c r="AF70" s="15" t="s">
        <v>190</v>
      </c>
      <c r="AG70" s="15" t="s">
        <v>191</v>
      </c>
      <c r="AH70" s="15" t="s">
        <v>192</v>
      </c>
      <c r="AI70" s="15" t="s">
        <v>193</v>
      </c>
      <c r="AJ70" s="15" t="s">
        <v>194</v>
      </c>
      <c r="AK70" s="15" t="s">
        <v>195</v>
      </c>
      <c r="AL70" s="15" t="s">
        <v>196</v>
      </c>
      <c r="AM70" s="15" t="s">
        <v>197</v>
      </c>
      <c r="AN70" s="15" t="s">
        <v>198</v>
      </c>
      <c r="AO70" s="15" t="s">
        <v>199</v>
      </c>
      <c r="AP70" s="15" t="s">
        <v>200</v>
      </c>
      <c r="AQ70" s="15" t="s">
        <v>201</v>
      </c>
      <c r="AR70" s="15" t="s">
        <v>202</v>
      </c>
      <c r="AS70" s="15" t="s">
        <v>203</v>
      </c>
      <c r="AT70" s="15" t="s">
        <v>204</v>
      </c>
      <c r="AU70" s="15" t="s">
        <v>205</v>
      </c>
      <c r="AV70" s="15" t="s">
        <v>206</v>
      </c>
    </row>
    <row r="71" spans="1:48">
      <c r="A71" s="17">
        <v>1</v>
      </c>
      <c r="B71" s="17">
        <f t="shared" ref="B71:B102" si="31">Eta_inizio+A71-1</f>
        <v>51</v>
      </c>
      <c r="C71" s="17">
        <f t="shared" ref="C71:C102" si="32">Anno_inizio+A71-1</f>
        <v>2000</v>
      </c>
      <c r="D71" s="17">
        <f>0</f>
        <v>0</v>
      </c>
      <c r="E71" s="18">
        <f>IF(D71=1,SUMIFS('5 - Dati'!$F$6:$F$186,'5 - Dati'!$A$6:$A$186,Serie,'5 - Dati'!$B$6:$B$186,C71),(1+Rend_c)*(1+Infl_c)-1)</f>
        <v>5.0599999999999978E-2</v>
      </c>
      <c r="F71" s="18">
        <f>IF(D71=1,SUMIFS('5 - Dati'!$E$6:$E$186,'5 - Dati'!$A$6:$A$186,Serie,'5 - Dati'!$B$6:$B$186,C71),Infl_c)</f>
        <v>0.02</v>
      </c>
      <c r="G71" s="19">
        <f t="shared" ref="G71:G102" si="33">(1+E71)*(1-Bollo_eff)</f>
        <v>1.0484988</v>
      </c>
      <c r="H71" s="19">
        <f>1-Latente_eff</f>
        <v>0.56564417697986813</v>
      </c>
      <c r="I71" s="19">
        <f t="shared" ref="I71:I102" si="34">1-Aliq_eff*MAX(0,1-H71)</f>
        <v>0.8870674860147657</v>
      </c>
      <c r="J71" s="20">
        <f t="shared" ref="J71:J102" si="35">Spesa0</f>
        <v>38000</v>
      </c>
      <c r="K71" s="20">
        <f t="shared" ref="K71:K102" si="36">J71/I71</f>
        <v>42837.777958381252</v>
      </c>
      <c r="L71" s="17">
        <f t="shared" ref="L71:L102" si="37">IF(K71&gt;N71+0.000000001,1,0)</f>
        <v>0</v>
      </c>
      <c r="M71" s="20">
        <f t="shared" ref="M71:M102" si="38">MIN(K71,N71)*I71</f>
        <v>38000</v>
      </c>
      <c r="N71" s="20">
        <f>Patrimonio</f>
        <v>1056000</v>
      </c>
      <c r="O71" s="20">
        <f t="shared" ref="O71:O102" si="39">Tasso0*S71*I71</f>
        <v>38000</v>
      </c>
      <c r="P71" s="20">
        <f t="shared" ref="P71:P102" si="40">O71/I71</f>
        <v>42837.777958381252</v>
      </c>
      <c r="Q71" s="17">
        <f t="shared" ref="Q71:Q102" si="41">IF(P71&gt;S71+0.000000001,1,0)</f>
        <v>0</v>
      </c>
      <c r="R71" s="20">
        <f t="shared" ref="R71:R102" si="42">MIN(P71,S71)*I71</f>
        <v>38000</v>
      </c>
      <c r="S71" s="20">
        <f>Patrimonio</f>
        <v>1056000</v>
      </c>
      <c r="T71" s="20">
        <f t="shared" ref="T71:T102" si="43">MAX(Tasso0*X71*I71,Pav_pct*Spesa0)</f>
        <v>38000</v>
      </c>
      <c r="U71" s="20">
        <f t="shared" ref="U71:U102" si="44">T71/I71</f>
        <v>42837.777958381252</v>
      </c>
      <c r="V71" s="17">
        <f t="shared" ref="V71:V102" si="45">IF(U71&gt;X71+0.000000001,1,0)</f>
        <v>0</v>
      </c>
      <c r="W71" s="20">
        <f t="shared" ref="W71:W102" si="46">MIN(U71,X71)*I71</f>
        <v>38000</v>
      </c>
      <c r="X71" s="20">
        <f>Patrimonio</f>
        <v>1056000</v>
      </c>
      <c r="Y71" s="18">
        <f t="shared" ref="Y71:Y102" si="47">IF(Eta_rif_VPW-B71&lt;=1,1,IF(r_VPW=0,1/(Eta_rif_VPW-B71),r_VPW/(1-(1+r_VPW)^(-(Eta_rif_VPW-B71)))/(1+r_VPW)))</f>
        <v>3.8071008059540362E-2</v>
      </c>
      <c r="Z71" s="20">
        <f t="shared" ref="Z71:Z102" si="48">Y71*AD71*I71</f>
        <v>35662.760400352119</v>
      </c>
      <c r="AA71" s="20">
        <f t="shared" ref="AA71:AA102" si="49">Z71/I71</f>
        <v>40202.984510874623</v>
      </c>
      <c r="AB71" s="17">
        <f t="shared" ref="AB71:AB102" si="50">IF(AA71&gt;AD71+0.000000001,1,0)</f>
        <v>0</v>
      </c>
      <c r="AC71" s="20">
        <f t="shared" ref="AC71:AC102" si="51">MIN(AA71,AD71)*I71</f>
        <v>35662.760400352119</v>
      </c>
      <c r="AD71" s="20">
        <f>Patrimonio</f>
        <v>1056000</v>
      </c>
      <c r="AE71" s="20">
        <f>Spesa0</f>
        <v>38000</v>
      </c>
      <c r="AF71" s="18">
        <f t="shared" ref="AF71:AF102" si="52">IF(AK71*I71&lt;=0,9.9,AE71/(AK71*I71))</f>
        <v>4.0566077612103457E-2</v>
      </c>
      <c r="AG71" s="20">
        <f t="shared" ref="AG71:AG102" si="53">IF(AND(AF71&gt;Tasso0*(1+GK_banda),A71&lt;=Anni-GK_ultimi),AE71*(1-GK_taglio),IF(AF71&lt;Tasso0*(1-GK_banda),AE71*(1+GK_taglio),AE71))</f>
        <v>38000</v>
      </c>
      <c r="AH71" s="20">
        <f t="shared" ref="AH71:AH102" si="54">AG71/I71</f>
        <v>42837.777958381252</v>
      </c>
      <c r="AI71" s="17">
        <f t="shared" ref="AI71:AI102" si="55">IF(AH71&gt;AK71+0.000000001,1,0)</f>
        <v>0</v>
      </c>
      <c r="AJ71" s="20">
        <f t="shared" ref="AJ71:AJ102" si="56">MIN(AH71,AK71)*I71</f>
        <v>38000</v>
      </c>
      <c r="AK71" s="20">
        <f>Patrimonio</f>
        <v>1056000</v>
      </c>
      <c r="AL71" s="20">
        <f>Spesa0</f>
        <v>38000</v>
      </c>
      <c r="AM71" s="20">
        <f t="shared" ref="AM71:AM102" si="57">AL71/I71</f>
        <v>42837.777958381252</v>
      </c>
      <c r="AN71" s="17">
        <f t="shared" ref="AN71:AN102" si="58">IF(AM71&gt;AP71+0.000000001,1,0)</f>
        <v>0</v>
      </c>
      <c r="AO71" s="20">
        <f t="shared" ref="AO71:AO102" si="59">MIN(AM71,AP71)*I71</f>
        <v>38000</v>
      </c>
      <c r="AP71" s="20">
        <f>Patrimonio</f>
        <v>1056000</v>
      </c>
    </row>
    <row r="72" spans="1:48">
      <c r="A72" s="17">
        <f t="shared" ref="A72:A103" si="60">A71+1</f>
        <v>2</v>
      </c>
      <c r="B72" s="17">
        <f t="shared" si="31"/>
        <v>52</v>
      </c>
      <c r="C72" s="17">
        <f t="shared" si="32"/>
        <v>2001</v>
      </c>
      <c r="D72" s="17">
        <f>0</f>
        <v>0</v>
      </c>
      <c r="E72" s="18">
        <f>IF(D72=1,SUMIFS('5 - Dati'!$F$6:$F$186,'5 - Dati'!$A$6:$A$186,Serie,'5 - Dati'!$B$6:$B$186,C72),(1+Rend_c)*(1+Infl_c)-1)</f>
        <v>5.0599999999999978E-2</v>
      </c>
      <c r="F72" s="18">
        <f>IF(D72=1,SUMIFS('5 - Dati'!$E$6:$E$186,'5 - Dati'!$A$6:$A$186,Serie,'5 - Dati'!$B$6:$B$186,C72),Infl_c)</f>
        <v>0.02</v>
      </c>
      <c r="G72" s="19">
        <f t="shared" si="33"/>
        <v>1.0484988</v>
      </c>
      <c r="H72" s="19">
        <f t="shared" ref="H72:H103" si="61">H71/G71</f>
        <v>0.5394800423041668</v>
      </c>
      <c r="I72" s="19">
        <f t="shared" si="34"/>
        <v>0.88026481099908338</v>
      </c>
      <c r="J72" s="20">
        <f t="shared" si="35"/>
        <v>38000</v>
      </c>
      <c r="K72" s="20">
        <f t="shared" si="36"/>
        <v>43168.827749539072</v>
      </c>
      <c r="L72" s="17">
        <f t="shared" si="37"/>
        <v>0</v>
      </c>
      <c r="M72" s="20">
        <f t="shared" si="38"/>
        <v>38000</v>
      </c>
      <c r="N72" s="20">
        <f t="shared" ref="N72:N103" si="62">(N71-MIN(K71,N71))*G71/(1+F71)</f>
        <v>1041469.9745254616</v>
      </c>
      <c r="O72" s="20">
        <f t="shared" si="39"/>
        <v>37189.737427456603</v>
      </c>
      <c r="P72" s="20">
        <f t="shared" si="40"/>
        <v>42248.351817275274</v>
      </c>
      <c r="Q72" s="17">
        <f t="shared" si="41"/>
        <v>0</v>
      </c>
      <c r="R72" s="20">
        <f t="shared" si="42"/>
        <v>37189.737427456603</v>
      </c>
      <c r="S72" s="20">
        <f t="shared" ref="S72:S103" si="63">(S71-MIN(P71,S71))*G71/(1+F71)</f>
        <v>1041469.9745254616</v>
      </c>
      <c r="T72" s="20">
        <f t="shared" si="43"/>
        <v>37189.737427456603</v>
      </c>
      <c r="U72" s="20">
        <f t="shared" si="44"/>
        <v>42248.351817275274</v>
      </c>
      <c r="V72" s="17">
        <f t="shared" si="45"/>
        <v>0</v>
      </c>
      <c r="W72" s="20">
        <f t="shared" si="46"/>
        <v>37189.737427456603</v>
      </c>
      <c r="X72" s="20">
        <f t="shared" ref="X72:X103" si="64">(X71-MIN(U71,X71))*G71/(1+F71)</f>
        <v>1041469.9745254616</v>
      </c>
      <c r="Y72" s="18">
        <f t="shared" si="47"/>
        <v>3.8425023111700131E-2</v>
      </c>
      <c r="Z72" s="20">
        <f t="shared" si="48"/>
        <v>35318.49401694</v>
      </c>
      <c r="AA72" s="20">
        <f t="shared" si="49"/>
        <v>40122.578541852876</v>
      </c>
      <c r="AB72" s="17">
        <f t="shared" si="50"/>
        <v>0</v>
      </c>
      <c r="AC72" s="20">
        <f t="shared" si="51"/>
        <v>35318.49401694</v>
      </c>
      <c r="AD72" s="20">
        <f t="shared" ref="AD72:AD103" si="65">(AD71-MIN(AA71,AD71))*G71/(1+F71)</f>
        <v>1044178.3841018914</v>
      </c>
      <c r="AE72" s="20">
        <f t="shared" ref="AE72:AE103" si="66">IF(OR(E71&gt;=0,GK_variante=3),AG71,IF(GK_variante=2,AG71/(1+F71),IF(AK72*I72&lt;=0,AG71/(1+F71),IF(AG71/(AK72*I72)&gt;Tasso0,AG71/(1+F71),AG71))))</f>
        <v>38000</v>
      </c>
      <c r="AF72" s="18">
        <f t="shared" si="52"/>
        <v>4.1449901394621236E-2</v>
      </c>
      <c r="AG72" s="20">
        <f t="shared" si="53"/>
        <v>38000</v>
      </c>
      <c r="AH72" s="20">
        <f t="shared" si="54"/>
        <v>43168.827749539072</v>
      </c>
      <c r="AI72" s="17">
        <f t="shared" si="55"/>
        <v>0</v>
      </c>
      <c r="AJ72" s="20">
        <f t="shared" si="56"/>
        <v>38000</v>
      </c>
      <c r="AK72" s="20">
        <f t="shared" ref="AK72:AK103" si="67">(AK71-MIN(AH71,AK71))*G71/(1+F71)</f>
        <v>1041469.9745254616</v>
      </c>
      <c r="AL72" s="20">
        <f t="shared" ref="AL72:AL103" si="68">MIN(MAX(Tasso0*AP72*I72,AL71*(1+VG_pav)),AL71*(1+VG_tetto))</f>
        <v>37189.737427456603</v>
      </c>
      <c r="AM72" s="20">
        <f t="shared" si="57"/>
        <v>42248.351817275274</v>
      </c>
      <c r="AN72" s="17">
        <f t="shared" si="58"/>
        <v>0</v>
      </c>
      <c r="AO72" s="20">
        <f t="shared" si="59"/>
        <v>37189.737427456603</v>
      </c>
      <c r="AP72" s="20">
        <f t="shared" ref="AP72:AP103" si="69">(AP71-MIN(AM71,AP71))*G71/(1+F71)</f>
        <v>1041469.9745254616</v>
      </c>
      <c r="AQ72" s="18">
        <f t="shared" ref="AQ72:AQ103" si="70">IF(AND(A72&lt;=Anni,M71&gt;0),M72/M71-1,"")</f>
        <v>0</v>
      </c>
      <c r="AR72" s="18">
        <f t="shared" ref="AR72:AR103" si="71">IF(AND(A72&lt;=Anni,R71&gt;0),R72/R71-1,"")</f>
        <v>-2.1322699277457779E-2</v>
      </c>
      <c r="AS72" s="18">
        <f t="shared" ref="AS72:AS103" si="72">IF(AND(A72&lt;=Anni,W71&gt;0),W72/W71-1,"")</f>
        <v>-2.1322699277457779E-2</v>
      </c>
      <c r="AT72" s="18">
        <f t="shared" ref="AT72:AT103" si="73">IF(AND(A72&lt;=Anni,AC71&gt;0),AC72/AC71-1,"")</f>
        <v>-9.6533857600299422E-3</v>
      </c>
      <c r="AU72" s="18">
        <f t="shared" ref="AU72:AU103" si="74">IF(AND(A72&lt;=Anni,AJ71&gt;0),AJ72/AJ71-1,"")</f>
        <v>0</v>
      </c>
      <c r="AV72" s="18">
        <f t="shared" ref="AV72:AV103" si="75">IF(AND(A72&lt;=Anni,AO71&gt;0),AO72/AO71-1,"")</f>
        <v>-2.1322699277457779E-2</v>
      </c>
    </row>
    <row r="73" spans="1:48">
      <c r="A73" s="17">
        <f t="shared" si="60"/>
        <v>3</v>
      </c>
      <c r="B73" s="17">
        <f t="shared" si="31"/>
        <v>53</v>
      </c>
      <c r="C73" s="17">
        <f t="shared" si="32"/>
        <v>2002</v>
      </c>
      <c r="D73" s="17">
        <f>0</f>
        <v>0</v>
      </c>
      <c r="E73" s="18">
        <f>IF(D73=1,SUMIFS('5 - Dati'!$F$6:$F$186,'5 - Dati'!$A$6:$A$186,Serie,'5 - Dati'!$B$6:$B$186,C73),(1+Rend_c)*(1+Infl_c)-1)</f>
        <v>5.0599999999999978E-2</v>
      </c>
      <c r="F73" s="18">
        <f>IF(D73=1,SUMIFS('5 - Dati'!$E$6:$E$186,'5 - Dati'!$A$6:$A$186,Serie,'5 - Dati'!$B$6:$B$186,C73),Infl_c)</f>
        <v>0.02</v>
      </c>
      <c r="G73" s="19">
        <f t="shared" si="33"/>
        <v>1.0484988</v>
      </c>
      <c r="H73" s="19">
        <f t="shared" si="61"/>
        <v>0.51452614185554324</v>
      </c>
      <c r="I73" s="19">
        <f t="shared" si="34"/>
        <v>0.87377679688244125</v>
      </c>
      <c r="J73" s="20">
        <f t="shared" si="35"/>
        <v>38000</v>
      </c>
      <c r="K73" s="20">
        <f t="shared" si="36"/>
        <v>43489.367233806915</v>
      </c>
      <c r="L73" s="17">
        <f t="shared" si="37"/>
        <v>0</v>
      </c>
      <c r="M73" s="20">
        <f t="shared" si="38"/>
        <v>38000</v>
      </c>
      <c r="N73" s="20">
        <f t="shared" si="62"/>
        <v>1026193.6808168418</v>
      </c>
      <c r="O73" s="20">
        <f t="shared" si="39"/>
        <v>36407.689148136407</v>
      </c>
      <c r="P73" s="20">
        <f t="shared" si="40"/>
        <v>41667.035881515556</v>
      </c>
      <c r="Q73" s="17">
        <f t="shared" si="41"/>
        <v>0</v>
      </c>
      <c r="R73" s="20">
        <f t="shared" si="42"/>
        <v>36407.689148136407</v>
      </c>
      <c r="S73" s="20">
        <f t="shared" si="63"/>
        <v>1027139.874846653</v>
      </c>
      <c r="T73" s="20">
        <f t="shared" si="43"/>
        <v>36407.689148136407</v>
      </c>
      <c r="U73" s="20">
        <f t="shared" si="44"/>
        <v>41667.035881515556</v>
      </c>
      <c r="V73" s="17">
        <f t="shared" si="45"/>
        <v>0</v>
      </c>
      <c r="W73" s="20">
        <f t="shared" si="46"/>
        <v>36407.689148136407</v>
      </c>
      <c r="X73" s="20">
        <f t="shared" si="64"/>
        <v>1027139.874846653</v>
      </c>
      <c r="Y73" s="18">
        <f t="shared" si="47"/>
        <v>3.8796608249921059E-2</v>
      </c>
      <c r="Z73" s="20">
        <f t="shared" si="48"/>
        <v>34988.061804642442</v>
      </c>
      <c r="AA73" s="20">
        <f t="shared" si="49"/>
        <v>40042.333384769161</v>
      </c>
      <c r="AB73" s="17">
        <f t="shared" si="50"/>
        <v>0</v>
      </c>
      <c r="AC73" s="20">
        <f t="shared" si="51"/>
        <v>34988.061804642442</v>
      </c>
      <c r="AD73" s="20">
        <f t="shared" si="65"/>
        <v>1032109.1247673859</v>
      </c>
      <c r="AE73" s="20">
        <f t="shared" si="66"/>
        <v>38000</v>
      </c>
      <c r="AF73" s="18">
        <f t="shared" si="52"/>
        <v>4.237929744333422E-2</v>
      </c>
      <c r="AG73" s="20">
        <f t="shared" si="53"/>
        <v>38000</v>
      </c>
      <c r="AH73" s="20">
        <f t="shared" si="54"/>
        <v>43489.367233806915</v>
      </c>
      <c r="AI73" s="17">
        <f t="shared" si="55"/>
        <v>0</v>
      </c>
      <c r="AJ73" s="20">
        <f t="shared" si="56"/>
        <v>38000</v>
      </c>
      <c r="AK73" s="20">
        <f t="shared" si="67"/>
        <v>1026193.6808168418</v>
      </c>
      <c r="AL73" s="20">
        <f t="shared" si="68"/>
        <v>36407.689148136407</v>
      </c>
      <c r="AM73" s="20">
        <f t="shared" si="57"/>
        <v>41667.035881515556</v>
      </c>
      <c r="AN73" s="17">
        <f t="shared" si="58"/>
        <v>0</v>
      </c>
      <c r="AO73" s="20">
        <f t="shared" si="59"/>
        <v>36407.689148136407</v>
      </c>
      <c r="AP73" s="20">
        <f t="shared" si="69"/>
        <v>1027139.874846653</v>
      </c>
      <c r="AQ73" s="18">
        <f t="shared" si="70"/>
        <v>0</v>
      </c>
      <c r="AR73" s="18">
        <f t="shared" si="71"/>
        <v>-2.1028604486538316E-2</v>
      </c>
      <c r="AS73" s="18">
        <f t="shared" si="72"/>
        <v>-2.1028604486538316E-2</v>
      </c>
      <c r="AT73" s="18">
        <f t="shared" si="73"/>
        <v>-9.3557843134270957E-3</v>
      </c>
      <c r="AU73" s="18">
        <f t="shared" si="74"/>
        <v>0</v>
      </c>
      <c r="AV73" s="18">
        <f t="shared" si="75"/>
        <v>-2.1028604486538316E-2</v>
      </c>
    </row>
    <row r="74" spans="1:48">
      <c r="A74" s="17">
        <f t="shared" si="60"/>
        <v>4</v>
      </c>
      <c r="B74" s="17">
        <f t="shared" si="31"/>
        <v>54</v>
      </c>
      <c r="C74" s="17">
        <f t="shared" si="32"/>
        <v>2003</v>
      </c>
      <c r="D74" s="17">
        <f>0</f>
        <v>0</v>
      </c>
      <c r="E74" s="18">
        <f>IF(D74=1,SUMIFS('5 - Dati'!$F$6:$F$186,'5 - Dati'!$A$6:$A$186,Serie,'5 - Dati'!$B$6:$B$186,C74),(1+Rend_c)*(1+Infl_c)-1)</f>
        <v>5.0599999999999978E-2</v>
      </c>
      <c r="F74" s="18">
        <f>IF(D74=1,SUMIFS('5 - Dati'!$E$6:$E$186,'5 - Dati'!$A$6:$A$186,Serie,'5 - Dati'!$B$6:$B$186,C74),Infl_c)</f>
        <v>0.02</v>
      </c>
      <c r="G74" s="19">
        <f t="shared" si="33"/>
        <v>1.0484988</v>
      </c>
      <c r="H74" s="19">
        <f t="shared" si="61"/>
        <v>0.49072649568654086</v>
      </c>
      <c r="I74" s="19">
        <f t="shared" si="34"/>
        <v>0.86758888887850061</v>
      </c>
      <c r="J74" s="20">
        <f t="shared" si="35"/>
        <v>38000</v>
      </c>
      <c r="K74" s="20">
        <f t="shared" si="36"/>
        <v>43799.546636796105</v>
      </c>
      <c r="L74" s="17">
        <f t="shared" si="37"/>
        <v>0</v>
      </c>
      <c r="M74" s="20">
        <f t="shared" si="38"/>
        <v>38000</v>
      </c>
      <c r="N74" s="20">
        <f t="shared" si="62"/>
        <v>1010161.0721045448</v>
      </c>
      <c r="O74" s="20">
        <f t="shared" si="39"/>
        <v>35652.453624299247</v>
      </c>
      <c r="P74" s="20">
        <f t="shared" si="40"/>
        <v>41093.718558781715</v>
      </c>
      <c r="Q74" s="17">
        <f t="shared" si="41"/>
        <v>0</v>
      </c>
      <c r="R74" s="20">
        <f t="shared" si="42"/>
        <v>35652.453624299247</v>
      </c>
      <c r="S74" s="20">
        <f t="shared" si="63"/>
        <v>1013006.9500858232</v>
      </c>
      <c r="T74" s="20">
        <f t="shared" si="43"/>
        <v>35652.453624299247</v>
      </c>
      <c r="U74" s="20">
        <f t="shared" si="44"/>
        <v>41093.718558781715</v>
      </c>
      <c r="V74" s="17">
        <f t="shared" si="45"/>
        <v>0</v>
      </c>
      <c r="W74" s="20">
        <f t="shared" si="46"/>
        <v>35652.453624299247</v>
      </c>
      <c r="X74" s="20">
        <f t="shared" si="64"/>
        <v>1013006.9500858232</v>
      </c>
      <c r="Y74" s="18">
        <f t="shared" si="47"/>
        <v>3.9186929920003138E-2</v>
      </c>
      <c r="Z74" s="20">
        <f t="shared" si="48"/>
        <v>34670.802962335576</v>
      </c>
      <c r="AA74" s="20">
        <f t="shared" si="49"/>
        <v>39962.248717999617</v>
      </c>
      <c r="AB74" s="17">
        <f t="shared" si="50"/>
        <v>0</v>
      </c>
      <c r="AC74" s="20">
        <f t="shared" si="51"/>
        <v>34670.802962335576</v>
      </c>
      <c r="AD74" s="20">
        <f t="shared" si="65"/>
        <v>1019785.1375338469</v>
      </c>
      <c r="AE74" s="20">
        <f t="shared" si="66"/>
        <v>38000</v>
      </c>
      <c r="AF74" s="18">
        <f t="shared" si="52"/>
        <v>4.3358972985907289E-2</v>
      </c>
      <c r="AG74" s="20">
        <f t="shared" si="53"/>
        <v>38000</v>
      </c>
      <c r="AH74" s="20">
        <f t="shared" si="54"/>
        <v>43799.546636796105</v>
      </c>
      <c r="AI74" s="17">
        <f t="shared" si="55"/>
        <v>0</v>
      </c>
      <c r="AJ74" s="20">
        <f t="shared" si="56"/>
        <v>38000</v>
      </c>
      <c r="AK74" s="20">
        <f t="shared" si="67"/>
        <v>1010161.0721045448</v>
      </c>
      <c r="AL74" s="20">
        <f t="shared" si="68"/>
        <v>35652.453624299247</v>
      </c>
      <c r="AM74" s="20">
        <f t="shared" si="57"/>
        <v>41093.718558781715</v>
      </c>
      <c r="AN74" s="17">
        <f t="shared" si="58"/>
        <v>0</v>
      </c>
      <c r="AO74" s="20">
        <f t="shared" si="59"/>
        <v>35652.453624299247</v>
      </c>
      <c r="AP74" s="20">
        <f t="shared" si="69"/>
        <v>1013006.9500858232</v>
      </c>
      <c r="AQ74" s="18">
        <f t="shared" si="70"/>
        <v>0</v>
      </c>
      <c r="AR74" s="18">
        <f t="shared" si="71"/>
        <v>-2.0743846739743388E-2</v>
      </c>
      <c r="AS74" s="18">
        <f t="shared" si="72"/>
        <v>-2.0743846739743388E-2</v>
      </c>
      <c r="AT74" s="18">
        <f t="shared" si="73"/>
        <v>-9.0676312417160565E-3</v>
      </c>
      <c r="AU74" s="18">
        <f t="shared" si="74"/>
        <v>0</v>
      </c>
      <c r="AV74" s="18">
        <f t="shared" si="75"/>
        <v>-2.0743846739743388E-2</v>
      </c>
    </row>
    <row r="75" spans="1:48">
      <c r="A75" s="17">
        <f t="shared" si="60"/>
        <v>5</v>
      </c>
      <c r="B75" s="17">
        <f t="shared" si="31"/>
        <v>55</v>
      </c>
      <c r="C75" s="17">
        <f t="shared" si="32"/>
        <v>2004</v>
      </c>
      <c r="D75" s="17">
        <f>0</f>
        <v>0</v>
      </c>
      <c r="E75" s="18">
        <f>IF(D75=1,SUMIFS('5 - Dati'!$F$6:$F$186,'5 - Dati'!$A$6:$A$186,Serie,'5 - Dati'!$B$6:$B$186,C75),(1+Rend_c)*(1+Infl_c)-1)</f>
        <v>5.0599999999999978E-2</v>
      </c>
      <c r="F75" s="18">
        <f>IF(D75=1,SUMIFS('5 - Dati'!$E$6:$E$186,'5 - Dati'!$A$6:$A$186,Serie,'5 - Dati'!$B$6:$B$186,C75),Infl_c)</f>
        <v>0.02</v>
      </c>
      <c r="G75" s="19">
        <f t="shared" si="33"/>
        <v>1.0484988</v>
      </c>
      <c r="H75" s="19">
        <f t="shared" si="61"/>
        <v>0.46802771322822773</v>
      </c>
      <c r="I75" s="19">
        <f t="shared" si="34"/>
        <v>0.86168720543933919</v>
      </c>
      <c r="J75" s="20">
        <f t="shared" si="35"/>
        <v>38000</v>
      </c>
      <c r="K75" s="20">
        <f t="shared" si="36"/>
        <v>44099.52911001545</v>
      </c>
      <c r="L75" s="17">
        <f t="shared" si="37"/>
        <v>0</v>
      </c>
      <c r="M75" s="20">
        <f t="shared" si="38"/>
        <v>38000</v>
      </c>
      <c r="N75" s="20">
        <f t="shared" si="62"/>
        <v>993361.66648931766</v>
      </c>
      <c r="O75" s="20">
        <f t="shared" si="39"/>
        <v>34922.708772282786</v>
      </c>
      <c r="P75" s="20">
        <f t="shared" si="40"/>
        <v>40528.289792207281</v>
      </c>
      <c r="Q75" s="17">
        <f t="shared" si="41"/>
        <v>0</v>
      </c>
      <c r="R75" s="20">
        <f t="shared" si="42"/>
        <v>34922.708772282786</v>
      </c>
      <c r="S75" s="20">
        <f t="shared" si="63"/>
        <v>999068.48721590696</v>
      </c>
      <c r="T75" s="20">
        <f t="shared" si="43"/>
        <v>34922.708772282786</v>
      </c>
      <c r="U75" s="20">
        <f t="shared" si="44"/>
        <v>40528.289792207281</v>
      </c>
      <c r="V75" s="17">
        <f t="shared" si="45"/>
        <v>0</v>
      </c>
      <c r="W75" s="20">
        <f t="shared" si="46"/>
        <v>34922.708772282786</v>
      </c>
      <c r="X75" s="20">
        <f t="shared" si="64"/>
        <v>999068.48721590696</v>
      </c>
      <c r="Y75" s="18">
        <f t="shared" si="47"/>
        <v>3.9597258003538194E-2</v>
      </c>
      <c r="Z75" s="20">
        <f t="shared" si="48"/>
        <v>34366.088504043131</v>
      </c>
      <c r="AA75" s="20">
        <f t="shared" si="49"/>
        <v>39882.324220563612</v>
      </c>
      <c r="AB75" s="17">
        <f t="shared" si="50"/>
        <v>0</v>
      </c>
      <c r="AC75" s="20">
        <f t="shared" si="51"/>
        <v>34366.088504043131</v>
      </c>
      <c r="AD75" s="20">
        <f t="shared" si="65"/>
        <v>1007199.1403293619</v>
      </c>
      <c r="AE75" s="20">
        <f t="shared" si="66"/>
        <v>38000</v>
      </c>
      <c r="AF75" s="18">
        <f t="shared" si="52"/>
        <v>4.4394232833515207E-2</v>
      </c>
      <c r="AG75" s="20">
        <f t="shared" si="53"/>
        <v>38000</v>
      </c>
      <c r="AH75" s="20">
        <f t="shared" si="54"/>
        <v>44099.52911001545</v>
      </c>
      <c r="AI75" s="17">
        <f t="shared" si="55"/>
        <v>0</v>
      </c>
      <c r="AJ75" s="20">
        <f t="shared" si="56"/>
        <v>38000</v>
      </c>
      <c r="AK75" s="20">
        <f t="shared" si="67"/>
        <v>993361.66648931766</v>
      </c>
      <c r="AL75" s="20">
        <f t="shared" si="68"/>
        <v>34922.708772282786</v>
      </c>
      <c r="AM75" s="20">
        <f t="shared" si="57"/>
        <v>40528.289792207281</v>
      </c>
      <c r="AN75" s="17">
        <f t="shared" si="58"/>
        <v>0</v>
      </c>
      <c r="AO75" s="20">
        <f t="shared" si="59"/>
        <v>34922.708772282786</v>
      </c>
      <c r="AP75" s="20">
        <f t="shared" si="69"/>
        <v>999068.48721590696</v>
      </c>
      <c r="AQ75" s="18">
        <f t="shared" si="70"/>
        <v>0</v>
      </c>
      <c r="AR75" s="18">
        <f t="shared" si="71"/>
        <v>-2.0468292581105718E-2</v>
      </c>
      <c r="AS75" s="18">
        <f t="shared" si="72"/>
        <v>-2.0468292581105718E-2</v>
      </c>
      <c r="AT75" s="18">
        <f t="shared" si="73"/>
        <v>-8.788791497660764E-3</v>
      </c>
      <c r="AU75" s="18">
        <f t="shared" si="74"/>
        <v>0</v>
      </c>
      <c r="AV75" s="18">
        <f t="shared" si="75"/>
        <v>-2.0468292581105718E-2</v>
      </c>
    </row>
    <row r="76" spans="1:48">
      <c r="A76" s="17">
        <f t="shared" si="60"/>
        <v>6</v>
      </c>
      <c r="B76" s="17">
        <f t="shared" si="31"/>
        <v>56</v>
      </c>
      <c r="C76" s="17">
        <f t="shared" si="32"/>
        <v>2005</v>
      </c>
      <c r="D76" s="17">
        <f>0</f>
        <v>0</v>
      </c>
      <c r="E76" s="18">
        <f>IF(D76=1,SUMIFS('5 - Dati'!$F$6:$F$186,'5 - Dati'!$A$6:$A$186,Serie,'5 - Dati'!$B$6:$B$186,C76),(1+Rend_c)*(1+Infl_c)-1)</f>
        <v>5.0599999999999978E-2</v>
      </c>
      <c r="F76" s="18">
        <f>IF(D76=1,SUMIFS('5 - Dati'!$E$6:$E$186,'5 - Dati'!$A$6:$A$186,Serie,'5 - Dati'!$B$6:$B$186,C76),Infl_c)</f>
        <v>0.02</v>
      </c>
      <c r="G76" s="19">
        <f t="shared" si="33"/>
        <v>1.0484988</v>
      </c>
      <c r="H76" s="19">
        <f t="shared" si="61"/>
        <v>0.4463788735172875</v>
      </c>
      <c r="I76" s="19">
        <f t="shared" si="34"/>
        <v>0.85605850711449483</v>
      </c>
      <c r="J76" s="20">
        <f t="shared" si="35"/>
        <v>38000</v>
      </c>
      <c r="K76" s="20">
        <f t="shared" si="36"/>
        <v>44389.48936806446</v>
      </c>
      <c r="L76" s="17">
        <f t="shared" si="37"/>
        <v>0</v>
      </c>
      <c r="M76" s="20">
        <f t="shared" si="38"/>
        <v>38000</v>
      </c>
      <c r="N76" s="20">
        <f t="shared" si="62"/>
        <v>975784.52149767976</v>
      </c>
      <c r="O76" s="20">
        <f t="shared" si="39"/>
        <v>34217.207296471846</v>
      </c>
      <c r="P76" s="20">
        <f t="shared" si="40"/>
        <v>39970.641039252492</v>
      </c>
      <c r="Q76" s="17">
        <f t="shared" si="41"/>
        <v>0</v>
      </c>
      <c r="R76" s="20">
        <f t="shared" si="42"/>
        <v>34217.207296471846</v>
      </c>
      <c r="S76" s="20">
        <f t="shared" si="63"/>
        <v>985321.81053971779</v>
      </c>
      <c r="T76" s="20">
        <f t="shared" si="43"/>
        <v>34217.207296471846</v>
      </c>
      <c r="U76" s="20">
        <f t="shared" si="44"/>
        <v>39970.641039252492</v>
      </c>
      <c r="V76" s="17">
        <f t="shared" si="45"/>
        <v>0</v>
      </c>
      <c r="W76" s="20">
        <f t="shared" si="46"/>
        <v>34217.207296471846</v>
      </c>
      <c r="X76" s="20">
        <f t="shared" si="64"/>
        <v>985321.81053971779</v>
      </c>
      <c r="Y76" s="18">
        <f t="shared" si="47"/>
        <v>4.0028977561376029E-2</v>
      </c>
      <c r="Z76" s="20">
        <f t="shared" si="48"/>
        <v>34073.319726646914</v>
      </c>
      <c r="AA76" s="20">
        <f t="shared" si="49"/>
        <v>39802.559572122474</v>
      </c>
      <c r="AB76" s="17">
        <f t="shared" si="50"/>
        <v>0</v>
      </c>
      <c r="AC76" s="20">
        <f t="shared" si="51"/>
        <v>34073.319726646914</v>
      </c>
      <c r="AD76" s="20">
        <f t="shared" si="65"/>
        <v>994343.64795087802</v>
      </c>
      <c r="AE76" s="20">
        <f t="shared" si="66"/>
        <v>38000</v>
      </c>
      <c r="AF76" s="18">
        <f t="shared" si="52"/>
        <v>4.5491077579231723E-2</v>
      </c>
      <c r="AG76" s="20">
        <f t="shared" si="53"/>
        <v>38000</v>
      </c>
      <c r="AH76" s="20">
        <f t="shared" si="54"/>
        <v>44389.48936806446</v>
      </c>
      <c r="AI76" s="17">
        <f t="shared" si="55"/>
        <v>0</v>
      </c>
      <c r="AJ76" s="20">
        <f t="shared" si="56"/>
        <v>38000</v>
      </c>
      <c r="AK76" s="20">
        <f t="shared" si="67"/>
        <v>975784.52149767976</v>
      </c>
      <c r="AL76" s="20">
        <f t="shared" si="68"/>
        <v>34217.207296471846</v>
      </c>
      <c r="AM76" s="20">
        <f t="shared" si="57"/>
        <v>39970.641039252492</v>
      </c>
      <c r="AN76" s="17">
        <f t="shared" si="58"/>
        <v>0</v>
      </c>
      <c r="AO76" s="20">
        <f t="shared" si="59"/>
        <v>34217.207296471846</v>
      </c>
      <c r="AP76" s="20">
        <f t="shared" si="69"/>
        <v>985321.81053971779</v>
      </c>
      <c r="AQ76" s="18">
        <f t="shared" si="70"/>
        <v>0</v>
      </c>
      <c r="AR76" s="18">
        <f t="shared" si="71"/>
        <v>-2.0201797071677241E-2</v>
      </c>
      <c r="AS76" s="18">
        <f t="shared" si="72"/>
        <v>-2.0201797071677241E-2</v>
      </c>
      <c r="AT76" s="18">
        <f t="shared" si="73"/>
        <v>-8.5191184141242271E-3</v>
      </c>
      <c r="AU76" s="18">
        <f t="shared" si="74"/>
        <v>0</v>
      </c>
      <c r="AV76" s="18">
        <f t="shared" si="75"/>
        <v>-2.0201797071677241E-2</v>
      </c>
    </row>
    <row r="77" spans="1:48">
      <c r="A77" s="17">
        <f t="shared" si="60"/>
        <v>7</v>
      </c>
      <c r="B77" s="17">
        <f t="shared" si="31"/>
        <v>57</v>
      </c>
      <c r="C77" s="17">
        <f t="shared" si="32"/>
        <v>2006</v>
      </c>
      <c r="D77" s="17">
        <f>0</f>
        <v>0</v>
      </c>
      <c r="E77" s="18">
        <f>IF(D77=1,SUMIFS('5 - Dati'!$F$6:$F$186,'5 - Dati'!$A$6:$A$186,Serie,'5 - Dati'!$B$6:$B$186,C77),(1+Rend_c)*(1+Infl_c)-1)</f>
        <v>5.0599999999999978E-2</v>
      </c>
      <c r="F77" s="18">
        <f>IF(D77=1,SUMIFS('5 - Dati'!$E$6:$E$186,'5 - Dati'!$A$6:$A$186,Serie,'5 - Dati'!$B$6:$B$186,C77),Infl_c)</f>
        <v>0.02</v>
      </c>
      <c r="G77" s="19">
        <f t="shared" si="33"/>
        <v>1.0484988</v>
      </c>
      <c r="H77" s="19">
        <f t="shared" si="61"/>
        <v>0.42573141096326245</v>
      </c>
      <c r="I77" s="19">
        <f t="shared" si="34"/>
        <v>0.85069016685044818</v>
      </c>
      <c r="J77" s="20">
        <f t="shared" si="35"/>
        <v>38000</v>
      </c>
      <c r="K77" s="20">
        <f t="shared" si="36"/>
        <v>44669.612369788236</v>
      </c>
      <c r="L77" s="17">
        <f t="shared" si="37"/>
        <v>0</v>
      </c>
      <c r="M77" s="20">
        <f t="shared" si="38"/>
        <v>38000</v>
      </c>
      <c r="N77" s="20">
        <f t="shared" si="62"/>
        <v>957418.20932731673</v>
      </c>
      <c r="O77" s="20">
        <f t="shared" si="39"/>
        <v>33534.772299616598</v>
      </c>
      <c r="P77" s="20">
        <f t="shared" si="40"/>
        <v>39420.665250868042</v>
      </c>
      <c r="Q77" s="17">
        <f t="shared" si="41"/>
        <v>0</v>
      </c>
      <c r="R77" s="20">
        <f t="shared" si="42"/>
        <v>33534.772299616598</v>
      </c>
      <c r="S77" s="20">
        <f t="shared" si="63"/>
        <v>971764.28117630817</v>
      </c>
      <c r="T77" s="20">
        <f t="shared" si="43"/>
        <v>34200</v>
      </c>
      <c r="U77" s="20">
        <f t="shared" si="44"/>
        <v>40202.651132809413</v>
      </c>
      <c r="V77" s="17">
        <f t="shared" si="45"/>
        <v>0</v>
      </c>
      <c r="W77" s="20">
        <f t="shared" si="46"/>
        <v>34200</v>
      </c>
      <c r="X77" s="20">
        <f t="shared" si="64"/>
        <v>971764.28117630817</v>
      </c>
      <c r="Y77" s="18">
        <f t="shared" si="47"/>
        <v>4.0483602215742313E-2</v>
      </c>
      <c r="Z77" s="20">
        <f t="shared" si="48"/>
        <v>33791.926751396808</v>
      </c>
      <c r="AA77" s="20">
        <f t="shared" si="49"/>
        <v>39722.954452978236</v>
      </c>
      <c r="AB77" s="17">
        <f t="shared" si="50"/>
        <v>0</v>
      </c>
      <c r="AC77" s="20">
        <f t="shared" si="51"/>
        <v>33791.926751396808</v>
      </c>
      <c r="AD77" s="20">
        <f t="shared" si="65"/>
        <v>981210.9663880578</v>
      </c>
      <c r="AE77" s="20">
        <f t="shared" si="66"/>
        <v>38000</v>
      </c>
      <c r="AF77" s="18">
        <f t="shared" si="52"/>
        <v>4.6656322111497305E-2</v>
      </c>
      <c r="AG77" s="20">
        <f t="shared" si="53"/>
        <v>38000</v>
      </c>
      <c r="AH77" s="20">
        <f t="shared" si="54"/>
        <v>44669.612369788236</v>
      </c>
      <c r="AI77" s="17">
        <f t="shared" si="55"/>
        <v>0</v>
      </c>
      <c r="AJ77" s="20">
        <f t="shared" si="56"/>
        <v>38000</v>
      </c>
      <c r="AK77" s="20">
        <f t="shared" si="67"/>
        <v>957418.20932731673</v>
      </c>
      <c r="AL77" s="20">
        <f t="shared" si="68"/>
        <v>33534.772299616598</v>
      </c>
      <c r="AM77" s="20">
        <f t="shared" si="57"/>
        <v>39420.665250868042</v>
      </c>
      <c r="AN77" s="17">
        <f t="shared" si="58"/>
        <v>0</v>
      </c>
      <c r="AO77" s="20">
        <f t="shared" si="59"/>
        <v>33534.772299616598</v>
      </c>
      <c r="AP77" s="20">
        <f t="shared" si="69"/>
        <v>971764.28117630817</v>
      </c>
      <c r="AQ77" s="18">
        <f t="shared" si="70"/>
        <v>0</v>
      </c>
      <c r="AR77" s="18">
        <f t="shared" si="71"/>
        <v>-1.994420500020222E-2</v>
      </c>
      <c r="AS77" s="18">
        <f t="shared" si="72"/>
        <v>-5.0288430387535055E-4</v>
      </c>
      <c r="AT77" s="18">
        <f t="shared" si="73"/>
        <v>-8.2584549291815357E-3</v>
      </c>
      <c r="AU77" s="18">
        <f t="shared" si="74"/>
        <v>0</v>
      </c>
      <c r="AV77" s="18">
        <f t="shared" si="75"/>
        <v>-1.994420500020222E-2</v>
      </c>
    </row>
    <row r="78" spans="1:48">
      <c r="A78" s="17">
        <f t="shared" si="60"/>
        <v>8</v>
      </c>
      <c r="B78" s="17">
        <f t="shared" si="31"/>
        <v>58</v>
      </c>
      <c r="C78" s="17">
        <f t="shared" si="32"/>
        <v>2007</v>
      </c>
      <c r="D78" s="17">
        <f>0</f>
        <v>0</v>
      </c>
      <c r="E78" s="18">
        <f>IF(D78=1,SUMIFS('5 - Dati'!$F$6:$F$186,'5 - Dati'!$A$6:$A$186,Serie,'5 - Dati'!$B$6:$B$186,C78),(1+Rend_c)*(1+Infl_c)-1)</f>
        <v>5.0599999999999978E-2</v>
      </c>
      <c r="F78" s="18">
        <f>IF(D78=1,SUMIFS('5 - Dati'!$E$6:$E$186,'5 - Dati'!$A$6:$A$186,Serie,'5 - Dati'!$B$6:$B$186,C78),Infl_c)</f>
        <v>0.02</v>
      </c>
      <c r="G78" s="19">
        <f t="shared" si="33"/>
        <v>1.0484988</v>
      </c>
      <c r="H78" s="19">
        <f t="shared" si="61"/>
        <v>0.40603900639968538</v>
      </c>
      <c r="I78" s="19">
        <f t="shared" si="34"/>
        <v>0.8455701416639182</v>
      </c>
      <c r="J78" s="20">
        <f t="shared" si="35"/>
        <v>38000</v>
      </c>
      <c r="K78" s="20">
        <f t="shared" si="36"/>
        <v>44940.092048689614</v>
      </c>
      <c r="L78" s="17">
        <f t="shared" si="37"/>
        <v>0</v>
      </c>
      <c r="M78" s="20">
        <f t="shared" si="38"/>
        <v>38000</v>
      </c>
      <c r="N78" s="20">
        <f t="shared" si="62"/>
        <v>938250.79275652173</v>
      </c>
      <c r="O78" s="20">
        <f t="shared" si="39"/>
        <v>32874.29315310005</v>
      </c>
      <c r="P78" s="20">
        <f t="shared" si="40"/>
        <v>38878.256850945341</v>
      </c>
      <c r="Q78" s="17">
        <f t="shared" si="41"/>
        <v>0</v>
      </c>
      <c r="R78" s="20">
        <f t="shared" si="42"/>
        <v>32874.29315310005</v>
      </c>
      <c r="S78" s="20">
        <f t="shared" si="63"/>
        <v>958393.29655439674</v>
      </c>
      <c r="T78" s="20">
        <f t="shared" si="43"/>
        <v>34200</v>
      </c>
      <c r="U78" s="20">
        <f t="shared" si="44"/>
        <v>40446.082843820652</v>
      </c>
      <c r="V78" s="17">
        <f t="shared" si="45"/>
        <v>0</v>
      </c>
      <c r="W78" s="20">
        <f t="shared" si="46"/>
        <v>34200</v>
      </c>
      <c r="X78" s="20">
        <f t="shared" si="64"/>
        <v>957589.46198691404</v>
      </c>
      <c r="Y78" s="18">
        <f t="shared" si="47"/>
        <v>4.0962789444126839E-2</v>
      </c>
      <c r="Z78" s="20">
        <f t="shared" si="48"/>
        <v>33521.36713566594</v>
      </c>
      <c r="AA78" s="20">
        <f t="shared" si="49"/>
        <v>39643.508544072269</v>
      </c>
      <c r="AB78" s="17">
        <f t="shared" si="50"/>
        <v>0</v>
      </c>
      <c r="AC78" s="20">
        <f t="shared" si="51"/>
        <v>33521.36713566594</v>
      </c>
      <c r="AD78" s="20">
        <f t="shared" si="65"/>
        <v>967793.18698854558</v>
      </c>
      <c r="AE78" s="20">
        <f t="shared" si="66"/>
        <v>38000</v>
      </c>
      <c r="AF78" s="18">
        <f t="shared" si="52"/>
        <v>4.7897739491014391E-2</v>
      </c>
      <c r="AG78" s="20">
        <f t="shared" si="53"/>
        <v>38000</v>
      </c>
      <c r="AH78" s="20">
        <f t="shared" si="54"/>
        <v>44940.092048689614</v>
      </c>
      <c r="AI78" s="17">
        <f t="shared" si="55"/>
        <v>0</v>
      </c>
      <c r="AJ78" s="20">
        <f t="shared" si="56"/>
        <v>38000</v>
      </c>
      <c r="AK78" s="20">
        <f t="shared" si="67"/>
        <v>938250.79275652173</v>
      </c>
      <c r="AL78" s="20">
        <f t="shared" si="68"/>
        <v>32874.29315310005</v>
      </c>
      <c r="AM78" s="20">
        <f t="shared" si="57"/>
        <v>38878.256850945341</v>
      </c>
      <c r="AN78" s="17">
        <f t="shared" si="58"/>
        <v>0</v>
      </c>
      <c r="AO78" s="20">
        <f t="shared" si="59"/>
        <v>32874.29315310005</v>
      </c>
      <c r="AP78" s="20">
        <f t="shared" si="69"/>
        <v>958393.29655439674</v>
      </c>
      <c r="AQ78" s="18">
        <f t="shared" si="70"/>
        <v>0</v>
      </c>
      <c r="AR78" s="18">
        <f t="shared" si="71"/>
        <v>-1.9695352054741599E-2</v>
      </c>
      <c r="AS78" s="18">
        <f t="shared" si="72"/>
        <v>0</v>
      </c>
      <c r="AT78" s="18">
        <f t="shared" si="73"/>
        <v>-8.006634771711707E-3</v>
      </c>
      <c r="AU78" s="18">
        <f t="shared" si="74"/>
        <v>0</v>
      </c>
      <c r="AV78" s="18">
        <f t="shared" si="75"/>
        <v>-1.9695352054741599E-2</v>
      </c>
    </row>
    <row r="79" spans="1:48">
      <c r="A79" s="17">
        <f t="shared" si="60"/>
        <v>9</v>
      </c>
      <c r="B79" s="17">
        <f t="shared" si="31"/>
        <v>59</v>
      </c>
      <c r="C79" s="17">
        <f t="shared" si="32"/>
        <v>2008</v>
      </c>
      <c r="D79" s="17">
        <f>0</f>
        <v>0</v>
      </c>
      <c r="E79" s="18">
        <f>IF(D79=1,SUMIFS('5 - Dati'!$F$6:$F$186,'5 - Dati'!$A$6:$A$186,Serie,'5 - Dati'!$B$6:$B$186,C79),(1+Rend_c)*(1+Infl_c)-1)</f>
        <v>5.0599999999999978E-2</v>
      </c>
      <c r="F79" s="18">
        <f>IF(D79=1,SUMIFS('5 - Dati'!$E$6:$E$186,'5 - Dati'!$A$6:$A$186,Serie,'5 - Dati'!$B$6:$B$186,C79),Infl_c)</f>
        <v>0.02</v>
      </c>
      <c r="G79" s="19">
        <f t="shared" si="33"/>
        <v>1.0484988</v>
      </c>
      <c r="H79" s="19">
        <f t="shared" si="61"/>
        <v>0.38725748317469261</v>
      </c>
      <c r="I79" s="19">
        <f t="shared" si="34"/>
        <v>0.84068694562542012</v>
      </c>
      <c r="J79" s="20">
        <f t="shared" si="35"/>
        <v>38000</v>
      </c>
      <c r="K79" s="20">
        <f t="shared" si="36"/>
        <v>45201.130096923654</v>
      </c>
      <c r="L79" s="17">
        <f t="shared" si="37"/>
        <v>0</v>
      </c>
      <c r="M79" s="20">
        <f t="shared" si="38"/>
        <v>38000</v>
      </c>
      <c r="N79" s="20">
        <f t="shared" si="62"/>
        <v>918269.80168560892</v>
      </c>
      <c r="O79" s="20">
        <f t="shared" si="39"/>
        <v>32234.721611729139</v>
      </c>
      <c r="P79" s="20">
        <f t="shared" si="40"/>
        <v>38343.311716049619</v>
      </c>
      <c r="Q79" s="17">
        <f t="shared" si="41"/>
        <v>0</v>
      </c>
      <c r="R79" s="20">
        <f t="shared" si="42"/>
        <v>32234.721611729139</v>
      </c>
      <c r="S79" s="20">
        <f t="shared" si="63"/>
        <v>945206.28991276585</v>
      </c>
      <c r="T79" s="20">
        <f t="shared" si="43"/>
        <v>34200</v>
      </c>
      <c r="U79" s="20">
        <f t="shared" si="44"/>
        <v>40681.017087231288</v>
      </c>
      <c r="V79" s="17">
        <f t="shared" si="45"/>
        <v>0</v>
      </c>
      <c r="W79" s="20">
        <f t="shared" si="46"/>
        <v>34200</v>
      </c>
      <c r="X79" s="20">
        <f t="shared" si="64"/>
        <v>942768.36515635136</v>
      </c>
      <c r="Y79" s="18">
        <f t="shared" si="47"/>
        <v>4.1468358111352514E-2</v>
      </c>
      <c r="Z79" s="20">
        <f t="shared" si="48"/>
        <v>33261.124551567773</v>
      </c>
      <c r="AA79" s="20">
        <f t="shared" si="49"/>
        <v>39564.221526984118</v>
      </c>
      <c r="AB79" s="17">
        <f t="shared" si="50"/>
        <v>0</v>
      </c>
      <c r="AC79" s="20">
        <f t="shared" si="51"/>
        <v>33261.124551567773</v>
      </c>
      <c r="AD79" s="20">
        <f t="shared" si="65"/>
        <v>954082.18046021182</v>
      </c>
      <c r="AE79" s="20">
        <f t="shared" si="66"/>
        <v>38000</v>
      </c>
      <c r="AF79" s="18">
        <f t="shared" si="52"/>
        <v>4.9224236726451036E-2</v>
      </c>
      <c r="AG79" s="20">
        <f t="shared" si="53"/>
        <v>34200</v>
      </c>
      <c r="AH79" s="20">
        <f t="shared" si="54"/>
        <v>40681.017087231288</v>
      </c>
      <c r="AI79" s="17">
        <f t="shared" si="55"/>
        <v>0</v>
      </c>
      <c r="AJ79" s="20">
        <f t="shared" si="56"/>
        <v>34200</v>
      </c>
      <c r="AK79" s="20">
        <f t="shared" si="67"/>
        <v>918269.80168560892</v>
      </c>
      <c r="AL79" s="20">
        <f t="shared" si="68"/>
        <v>32234.721611729139</v>
      </c>
      <c r="AM79" s="20">
        <f t="shared" si="57"/>
        <v>38343.311716049619</v>
      </c>
      <c r="AN79" s="17">
        <f t="shared" si="58"/>
        <v>0</v>
      </c>
      <c r="AO79" s="20">
        <f t="shared" si="59"/>
        <v>32234.721611729139</v>
      </c>
      <c r="AP79" s="20">
        <f t="shared" si="69"/>
        <v>945206.28991276585</v>
      </c>
      <c r="AQ79" s="18">
        <f t="shared" si="70"/>
        <v>0</v>
      </c>
      <c r="AR79" s="18">
        <f t="shared" si="71"/>
        <v>-1.9455065950538919E-2</v>
      </c>
      <c r="AS79" s="18">
        <f t="shared" si="72"/>
        <v>0</v>
      </c>
      <c r="AT79" s="18">
        <f t="shared" si="73"/>
        <v>-7.763483602710064E-3</v>
      </c>
      <c r="AU79" s="18">
        <f t="shared" si="74"/>
        <v>-9.9999999999999978E-2</v>
      </c>
      <c r="AV79" s="18">
        <f t="shared" si="75"/>
        <v>-1.9455065950538919E-2</v>
      </c>
    </row>
    <row r="80" spans="1:48">
      <c r="A80" s="17">
        <f t="shared" si="60"/>
        <v>10</v>
      </c>
      <c r="B80" s="17">
        <f t="shared" si="31"/>
        <v>60</v>
      </c>
      <c r="C80" s="17">
        <f t="shared" si="32"/>
        <v>2009</v>
      </c>
      <c r="D80" s="17">
        <f>0</f>
        <v>0</v>
      </c>
      <c r="E80" s="18">
        <f>IF(D80=1,SUMIFS('5 - Dati'!$F$6:$F$186,'5 - Dati'!$A$6:$A$186,Serie,'5 - Dati'!$B$6:$B$186,C80),(1+Rend_c)*(1+Infl_c)-1)</f>
        <v>5.0599999999999978E-2</v>
      </c>
      <c r="F80" s="18">
        <f>IF(D80=1,SUMIFS('5 - Dati'!$E$6:$E$186,'5 - Dati'!$A$6:$A$186,Serie,'5 - Dati'!$B$6:$B$186,C80),Infl_c)</f>
        <v>0.02</v>
      </c>
      <c r="G80" s="19">
        <f t="shared" si="33"/>
        <v>1.0484988</v>
      </c>
      <c r="H80" s="19">
        <f t="shared" si="61"/>
        <v>0.36934470804801361</v>
      </c>
      <c r="I80" s="19">
        <f t="shared" si="34"/>
        <v>0.8360296240924836</v>
      </c>
      <c r="J80" s="20">
        <f t="shared" si="35"/>
        <v>38000</v>
      </c>
      <c r="K80" s="20">
        <f t="shared" si="36"/>
        <v>45452.934806286663</v>
      </c>
      <c r="L80" s="17">
        <f t="shared" si="37"/>
        <v>0</v>
      </c>
      <c r="M80" s="20">
        <f t="shared" si="38"/>
        <v>38000</v>
      </c>
      <c r="N80" s="20">
        <f t="shared" si="62"/>
        <v>897462.21027287305</v>
      </c>
      <c r="O80" s="20">
        <f t="shared" si="39"/>
        <v>31615.068158539609</v>
      </c>
      <c r="P80" s="20">
        <f t="shared" si="40"/>
        <v>37815.727155431843</v>
      </c>
      <c r="Q80" s="17">
        <f t="shared" si="41"/>
        <v>0</v>
      </c>
      <c r="R80" s="20">
        <f t="shared" si="42"/>
        <v>31615.068158539609</v>
      </c>
      <c r="S80" s="20">
        <f t="shared" si="63"/>
        <v>932200.72980753239</v>
      </c>
      <c r="T80" s="20">
        <f t="shared" si="43"/>
        <v>34200</v>
      </c>
      <c r="U80" s="20">
        <f t="shared" si="44"/>
        <v>40907.641325657991</v>
      </c>
      <c r="V80" s="17">
        <f t="shared" si="45"/>
        <v>0</v>
      </c>
      <c r="W80" s="20">
        <f t="shared" si="46"/>
        <v>34200</v>
      </c>
      <c r="X80" s="20">
        <f t="shared" si="64"/>
        <v>927291.66857417114</v>
      </c>
      <c r="Y80" s="18">
        <f t="shared" si="47"/>
        <v>4.2002308631517375E-2</v>
      </c>
      <c r="Z80" s="20">
        <f t="shared" si="48"/>
        <v>33010.707528214851</v>
      </c>
      <c r="AA80" s="20">
        <f t="shared" si="49"/>
        <v>39485.093083930151</v>
      </c>
      <c r="AB80" s="17">
        <f t="shared" si="50"/>
        <v>0</v>
      </c>
      <c r="AC80" s="20">
        <f t="shared" si="51"/>
        <v>33010.707528214851</v>
      </c>
      <c r="AD80" s="20">
        <f t="shared" si="65"/>
        <v>940069.59070582199</v>
      </c>
      <c r="AE80" s="20">
        <f t="shared" si="66"/>
        <v>34200</v>
      </c>
      <c r="AF80" s="18">
        <f t="shared" si="52"/>
        <v>4.5346691778098407E-2</v>
      </c>
      <c r="AG80" s="20">
        <f t="shared" si="53"/>
        <v>34200</v>
      </c>
      <c r="AH80" s="20">
        <f t="shared" si="54"/>
        <v>40907.641325657991</v>
      </c>
      <c r="AI80" s="17">
        <f t="shared" si="55"/>
        <v>0</v>
      </c>
      <c r="AJ80" s="20">
        <f t="shared" si="56"/>
        <v>34200</v>
      </c>
      <c r="AK80" s="20">
        <f t="shared" si="67"/>
        <v>902108.61524005618</v>
      </c>
      <c r="AL80" s="20">
        <f t="shared" si="68"/>
        <v>31615.068158539609</v>
      </c>
      <c r="AM80" s="20">
        <f t="shared" si="57"/>
        <v>37815.727155431843</v>
      </c>
      <c r="AN80" s="17">
        <f t="shared" si="58"/>
        <v>0</v>
      </c>
      <c r="AO80" s="20">
        <f t="shared" si="59"/>
        <v>31615.068158539609</v>
      </c>
      <c r="AP80" s="20">
        <f t="shared" si="69"/>
        <v>932200.72980753239</v>
      </c>
      <c r="AQ80" s="18">
        <f t="shared" si="70"/>
        <v>0</v>
      </c>
      <c r="AR80" s="18">
        <f t="shared" si="71"/>
        <v>-1.9223167510280526E-2</v>
      </c>
      <c r="AS80" s="18">
        <f t="shared" si="72"/>
        <v>0</v>
      </c>
      <c r="AT80" s="18">
        <f t="shared" si="73"/>
        <v>-7.5288201084324768E-3</v>
      </c>
      <c r="AU80" s="18">
        <f t="shared" si="74"/>
        <v>0</v>
      </c>
      <c r="AV80" s="18">
        <f t="shared" si="75"/>
        <v>-1.9223167510280526E-2</v>
      </c>
    </row>
    <row r="81" spans="1:48">
      <c r="A81" s="17">
        <f t="shared" si="60"/>
        <v>11</v>
      </c>
      <c r="B81" s="17">
        <f t="shared" si="31"/>
        <v>61</v>
      </c>
      <c r="C81" s="17">
        <f t="shared" si="32"/>
        <v>2010</v>
      </c>
      <c r="D81" s="17">
        <f>0</f>
        <v>0</v>
      </c>
      <c r="E81" s="18">
        <f>IF(D81=1,SUMIFS('5 - Dati'!$F$6:$F$186,'5 - Dati'!$A$6:$A$186,Serie,'5 - Dati'!$B$6:$B$186,C81),(1+Rend_c)*(1+Infl_c)-1)</f>
        <v>5.0599999999999978E-2</v>
      </c>
      <c r="F81" s="18">
        <f>IF(D81=1,SUMIFS('5 - Dati'!$E$6:$E$186,'5 - Dati'!$A$6:$A$186,Serie,'5 - Dati'!$B$6:$B$186,C81),Infl_c)</f>
        <v>0.02</v>
      </c>
      <c r="G81" s="19">
        <f t="shared" si="33"/>
        <v>1.0484988</v>
      </c>
      <c r="H81" s="19">
        <f t="shared" si="61"/>
        <v>0.35226049667201681</v>
      </c>
      <c r="I81" s="19">
        <f t="shared" si="34"/>
        <v>0.83158772913472434</v>
      </c>
      <c r="J81" s="20">
        <f t="shared" si="35"/>
        <v>38000</v>
      </c>
      <c r="K81" s="20">
        <f t="shared" si="36"/>
        <v>45695.719968763122</v>
      </c>
      <c r="L81" s="17">
        <f t="shared" si="37"/>
        <v>0</v>
      </c>
      <c r="M81" s="20">
        <f t="shared" si="38"/>
        <v>38000</v>
      </c>
      <c r="N81" s="20">
        <f t="shared" si="62"/>
        <v>875814.41462312266</v>
      </c>
      <c r="O81" s="20">
        <f t="shared" si="39"/>
        <v>31014.398565966148</v>
      </c>
      <c r="P81" s="20">
        <f t="shared" si="40"/>
        <v>37295.401891315727</v>
      </c>
      <c r="Q81" s="17">
        <f t="shared" si="41"/>
        <v>0</v>
      </c>
      <c r="R81" s="20">
        <f t="shared" si="42"/>
        <v>31014.398565966148</v>
      </c>
      <c r="S81" s="20">
        <f t="shared" si="63"/>
        <v>919374.11962620018</v>
      </c>
      <c r="T81" s="20">
        <f t="shared" si="43"/>
        <v>34200</v>
      </c>
      <c r="U81" s="20">
        <f t="shared" si="44"/>
        <v>41126.147971886807</v>
      </c>
      <c r="V81" s="17">
        <f t="shared" si="45"/>
        <v>0</v>
      </c>
      <c r="W81" s="20">
        <f t="shared" si="46"/>
        <v>34200</v>
      </c>
      <c r="X81" s="20">
        <f t="shared" si="64"/>
        <v>911149.59696983662</v>
      </c>
      <c r="Y81" s="18">
        <f t="shared" si="47"/>
        <v>4.2566846231849385E-2</v>
      </c>
      <c r="Z81" s="20">
        <f t="shared" si="48"/>
        <v>32769.648254553998</v>
      </c>
      <c r="AA81" s="20">
        <f t="shared" si="49"/>
        <v>39406.122897762281</v>
      </c>
      <c r="AB81" s="17">
        <f t="shared" si="50"/>
        <v>0</v>
      </c>
      <c r="AC81" s="20">
        <f t="shared" si="51"/>
        <v>32769.648254553998</v>
      </c>
      <c r="AD81" s="20">
        <f t="shared" si="65"/>
        <v>925746.82848544733</v>
      </c>
      <c r="AE81" s="20">
        <f t="shared" si="66"/>
        <v>34200</v>
      </c>
      <c r="AF81" s="18">
        <f t="shared" si="52"/>
        <v>4.6456421723780825E-2</v>
      </c>
      <c r="AG81" s="20">
        <f t="shared" si="53"/>
        <v>34200</v>
      </c>
      <c r="AH81" s="20">
        <f t="shared" si="54"/>
        <v>41126.147971886807</v>
      </c>
      <c r="AI81" s="17">
        <f t="shared" si="55"/>
        <v>0</v>
      </c>
      <c r="AJ81" s="20">
        <f t="shared" si="56"/>
        <v>34200</v>
      </c>
      <c r="AK81" s="20">
        <f t="shared" si="67"/>
        <v>885262.9291255665</v>
      </c>
      <c r="AL81" s="20">
        <f t="shared" si="68"/>
        <v>31014.398565966148</v>
      </c>
      <c r="AM81" s="20">
        <f t="shared" si="57"/>
        <v>37295.401891315727</v>
      </c>
      <c r="AN81" s="17">
        <f t="shared" si="58"/>
        <v>0</v>
      </c>
      <c r="AO81" s="20">
        <f t="shared" si="59"/>
        <v>31014.398565966148</v>
      </c>
      <c r="AP81" s="20">
        <f t="shared" si="69"/>
        <v>919374.11962620018</v>
      </c>
      <c r="AQ81" s="18">
        <f t="shared" si="70"/>
        <v>0</v>
      </c>
      <c r="AR81" s="18">
        <f t="shared" si="71"/>
        <v>-1.8999471693728176E-2</v>
      </c>
      <c r="AS81" s="18">
        <f t="shared" si="72"/>
        <v>0</v>
      </c>
      <c r="AT81" s="18">
        <f t="shared" si="73"/>
        <v>-7.3024570423040336E-3</v>
      </c>
      <c r="AU81" s="18">
        <f t="shared" si="74"/>
        <v>0</v>
      </c>
      <c r="AV81" s="18">
        <f t="shared" si="75"/>
        <v>-1.8999471693728176E-2</v>
      </c>
    </row>
    <row r="82" spans="1:48">
      <c r="A82" s="17">
        <f t="shared" si="60"/>
        <v>12</v>
      </c>
      <c r="B82" s="17">
        <f t="shared" si="31"/>
        <v>62</v>
      </c>
      <c r="C82" s="17">
        <f t="shared" si="32"/>
        <v>2011</v>
      </c>
      <c r="D82" s="17">
        <f>0</f>
        <v>0</v>
      </c>
      <c r="E82" s="18">
        <f>IF(D82=1,SUMIFS('5 - Dati'!$F$6:$F$186,'5 - Dati'!$A$6:$A$186,Serie,'5 - Dati'!$B$6:$B$186,C82),(1+Rend_c)*(1+Infl_c)-1)</f>
        <v>5.0599999999999978E-2</v>
      </c>
      <c r="F82" s="18">
        <f>IF(D82=1,SUMIFS('5 - Dati'!$E$6:$E$186,'5 - Dati'!$A$6:$A$186,Serie,'5 - Dati'!$B$6:$B$186,C82),Infl_c)</f>
        <v>0.02</v>
      </c>
      <c r="G82" s="19">
        <f t="shared" si="33"/>
        <v>1.0484988</v>
      </c>
      <c r="H82" s="19">
        <f t="shared" si="61"/>
        <v>0.33596652344477346</v>
      </c>
      <c r="I82" s="19">
        <f t="shared" si="34"/>
        <v>0.82735129609564106</v>
      </c>
      <c r="J82" s="20">
        <f t="shared" si="35"/>
        <v>38000</v>
      </c>
      <c r="K82" s="20">
        <f t="shared" si="36"/>
        <v>45929.703838413079</v>
      </c>
      <c r="L82" s="17">
        <f t="shared" si="37"/>
        <v>0</v>
      </c>
      <c r="M82" s="20">
        <f t="shared" si="38"/>
        <v>38000</v>
      </c>
      <c r="N82" s="20">
        <f t="shared" si="62"/>
        <v>853312.21098300221</v>
      </c>
      <c r="O82" s="20">
        <f t="shared" si="39"/>
        <v>30431.830660539643</v>
      </c>
      <c r="P82" s="20">
        <f t="shared" si="40"/>
        <v>36782.236039455907</v>
      </c>
      <c r="Q82" s="17">
        <f t="shared" si="41"/>
        <v>0</v>
      </c>
      <c r="R82" s="20">
        <f t="shared" si="42"/>
        <v>30431.830660539643</v>
      </c>
      <c r="S82" s="20">
        <f t="shared" si="63"/>
        <v>906723.99710839707</v>
      </c>
      <c r="T82" s="20">
        <f t="shared" si="43"/>
        <v>34200</v>
      </c>
      <c r="U82" s="20">
        <f t="shared" si="44"/>
        <v>41336.733454571768</v>
      </c>
      <c r="V82" s="17">
        <f t="shared" si="45"/>
        <v>0</v>
      </c>
      <c r="W82" s="20">
        <f t="shared" si="46"/>
        <v>34200</v>
      </c>
      <c r="X82" s="20">
        <f t="shared" si="64"/>
        <v>894331.90416295244</v>
      </c>
      <c r="Y82" s="18">
        <f t="shared" si="47"/>
        <v>4.3164407889890608E-2</v>
      </c>
      <c r="Z82" s="20">
        <f t="shared" si="48"/>
        <v>32537.501439860611</v>
      </c>
      <c r="AA82" s="20">
        <f t="shared" si="49"/>
        <v>39327.310651966764</v>
      </c>
      <c r="AB82" s="17">
        <f t="shared" si="50"/>
        <v>0</v>
      </c>
      <c r="AC82" s="20">
        <f t="shared" si="51"/>
        <v>32537.501439860611</v>
      </c>
      <c r="AD82" s="20">
        <f t="shared" si="65"/>
        <v>911105.0649018049</v>
      </c>
      <c r="AE82" s="20">
        <f t="shared" si="66"/>
        <v>34200</v>
      </c>
      <c r="AF82" s="18">
        <f t="shared" si="52"/>
        <v>4.7638224253624059E-2</v>
      </c>
      <c r="AG82" s="20">
        <f t="shared" si="53"/>
        <v>34200</v>
      </c>
      <c r="AH82" s="20">
        <f t="shared" si="54"/>
        <v>41336.733454571768</v>
      </c>
      <c r="AI82" s="17">
        <f t="shared" si="55"/>
        <v>0</v>
      </c>
      <c r="AJ82" s="20">
        <f t="shared" si="56"/>
        <v>34200</v>
      </c>
      <c r="AK82" s="20">
        <f t="shared" si="67"/>
        <v>867721.96281911351</v>
      </c>
      <c r="AL82" s="20">
        <f t="shared" si="68"/>
        <v>30431.830660539643</v>
      </c>
      <c r="AM82" s="20">
        <f t="shared" si="57"/>
        <v>36782.236039455907</v>
      </c>
      <c r="AN82" s="17">
        <f t="shared" si="58"/>
        <v>0</v>
      </c>
      <c r="AO82" s="20">
        <f t="shared" si="59"/>
        <v>30431.830660539643</v>
      </c>
      <c r="AP82" s="20">
        <f t="shared" si="69"/>
        <v>906723.99710839707</v>
      </c>
      <c r="AQ82" s="18">
        <f t="shared" si="70"/>
        <v>0</v>
      </c>
      <c r="AR82" s="18">
        <f t="shared" si="71"/>
        <v>-1.8783788574439408E-2</v>
      </c>
      <c r="AS82" s="18">
        <f t="shared" si="72"/>
        <v>0</v>
      </c>
      <c r="AT82" s="18">
        <f t="shared" si="73"/>
        <v>-7.0842022132820981E-3</v>
      </c>
      <c r="AU82" s="18">
        <f t="shared" si="74"/>
        <v>0</v>
      </c>
      <c r="AV82" s="18">
        <f t="shared" si="75"/>
        <v>-1.8783788574439408E-2</v>
      </c>
    </row>
    <row r="83" spans="1:48">
      <c r="A83" s="17">
        <f t="shared" si="60"/>
        <v>13</v>
      </c>
      <c r="B83" s="17">
        <f t="shared" si="31"/>
        <v>63</v>
      </c>
      <c r="C83" s="17">
        <f t="shared" si="32"/>
        <v>2012</v>
      </c>
      <c r="D83" s="17">
        <f>0</f>
        <v>0</v>
      </c>
      <c r="E83" s="18">
        <f>IF(D83=1,SUMIFS('5 - Dati'!$F$6:$F$186,'5 - Dati'!$A$6:$A$186,Serie,'5 - Dati'!$B$6:$B$186,C83),(1+Rend_c)*(1+Infl_c)-1)</f>
        <v>5.0599999999999978E-2</v>
      </c>
      <c r="F83" s="18">
        <f>IF(D83=1,SUMIFS('5 - Dati'!$E$6:$E$186,'5 - Dati'!$A$6:$A$186,Serie,'5 - Dati'!$B$6:$B$186,C83),Infl_c)</f>
        <v>0.02</v>
      </c>
      <c r="G83" s="19">
        <f t="shared" si="33"/>
        <v>1.0484988</v>
      </c>
      <c r="H83" s="19">
        <f t="shared" si="61"/>
        <v>0.32042623553291</v>
      </c>
      <c r="I83" s="19">
        <f t="shared" si="34"/>
        <v>0.82331082123855659</v>
      </c>
      <c r="J83" s="20">
        <f t="shared" si="35"/>
        <v>38000</v>
      </c>
      <c r="K83" s="20">
        <f t="shared" si="36"/>
        <v>46155.108155671129</v>
      </c>
      <c r="L83" s="17">
        <f t="shared" si="37"/>
        <v>0</v>
      </c>
      <c r="M83" s="20">
        <f t="shared" si="38"/>
        <v>38000</v>
      </c>
      <c r="N83" s="20">
        <f t="shared" si="62"/>
        <v>829940.7743942088</v>
      </c>
      <c r="O83" s="20">
        <f t="shared" si="39"/>
        <v>29866.531279035546</v>
      </c>
      <c r="P83" s="20">
        <f t="shared" si="40"/>
        <v>36276.131089963696</v>
      </c>
      <c r="Q83" s="17">
        <f t="shared" si="41"/>
        <v>0</v>
      </c>
      <c r="R83" s="20">
        <f t="shared" si="42"/>
        <v>29866.531279035546</v>
      </c>
      <c r="S83" s="20">
        <f t="shared" si="63"/>
        <v>894247.93387320742</v>
      </c>
      <c r="T83" s="20">
        <f t="shared" si="43"/>
        <v>34200</v>
      </c>
      <c r="U83" s="20">
        <f t="shared" si="44"/>
        <v>41539.597340104017</v>
      </c>
      <c r="V83" s="17">
        <f t="shared" si="45"/>
        <v>0</v>
      </c>
      <c r="W83" s="20">
        <f t="shared" si="46"/>
        <v>34200</v>
      </c>
      <c r="X83" s="20">
        <f t="shared" si="64"/>
        <v>876827.85577797273</v>
      </c>
      <c r="Y83" s="18">
        <f t="shared" si="47"/>
        <v>4.3797693638976627E-2</v>
      </c>
      <c r="Z83" s="20">
        <f t="shared" si="48"/>
        <v>32313.843229114631</v>
      </c>
      <c r="AA83" s="20">
        <f t="shared" si="49"/>
        <v>39248.656030662816</v>
      </c>
      <c r="AB83" s="17">
        <f t="shared" si="50"/>
        <v>0</v>
      </c>
      <c r="AC83" s="20">
        <f t="shared" si="51"/>
        <v>32313.843229114631</v>
      </c>
      <c r="AD83" s="20">
        <f t="shared" si="65"/>
        <v>896135.22470357863</v>
      </c>
      <c r="AE83" s="20">
        <f t="shared" si="66"/>
        <v>34200</v>
      </c>
      <c r="AF83" s="18">
        <f t="shared" si="52"/>
        <v>4.8900350313539176E-2</v>
      </c>
      <c r="AG83" s="20">
        <f t="shared" si="53"/>
        <v>30780</v>
      </c>
      <c r="AH83" s="20">
        <f t="shared" si="54"/>
        <v>37385.637606093616</v>
      </c>
      <c r="AI83" s="17">
        <f t="shared" si="55"/>
        <v>0</v>
      </c>
      <c r="AJ83" s="20">
        <f t="shared" si="56"/>
        <v>30780</v>
      </c>
      <c r="AK83" s="20">
        <f t="shared" si="67"/>
        <v>849474.43267298699</v>
      </c>
      <c r="AL83" s="20">
        <f t="shared" si="68"/>
        <v>29866.531279035546</v>
      </c>
      <c r="AM83" s="20">
        <f t="shared" si="57"/>
        <v>36276.131089963696</v>
      </c>
      <c r="AN83" s="17">
        <f t="shared" si="58"/>
        <v>0</v>
      </c>
      <c r="AO83" s="20">
        <f t="shared" si="59"/>
        <v>29866.531279035546</v>
      </c>
      <c r="AP83" s="20">
        <f t="shared" si="69"/>
        <v>894247.93387320742</v>
      </c>
      <c r="AQ83" s="18">
        <f t="shared" si="70"/>
        <v>0</v>
      </c>
      <c r="AR83" s="18">
        <f t="shared" si="71"/>
        <v>-1.8575924261996835E-2</v>
      </c>
      <c r="AS83" s="18">
        <f t="shared" si="72"/>
        <v>0</v>
      </c>
      <c r="AT83" s="18">
        <f t="shared" si="73"/>
        <v>-6.8738594190881352E-3</v>
      </c>
      <c r="AU83" s="18">
        <f t="shared" si="74"/>
        <v>-9.9999999999999978E-2</v>
      </c>
      <c r="AV83" s="18">
        <f t="shared" si="75"/>
        <v>-1.8575924261996835E-2</v>
      </c>
    </row>
    <row r="84" spans="1:48">
      <c r="A84" s="17">
        <f t="shared" si="60"/>
        <v>14</v>
      </c>
      <c r="B84" s="17">
        <f t="shared" si="31"/>
        <v>64</v>
      </c>
      <c r="C84" s="17">
        <f t="shared" si="32"/>
        <v>2013</v>
      </c>
      <c r="D84" s="17">
        <f>0</f>
        <v>0</v>
      </c>
      <c r="E84" s="18">
        <f>IF(D84=1,SUMIFS('5 - Dati'!$F$6:$F$186,'5 - Dati'!$A$6:$A$186,Serie,'5 - Dati'!$B$6:$B$186,C84),(1+Rend_c)*(1+Infl_c)-1)</f>
        <v>5.0599999999999978E-2</v>
      </c>
      <c r="F84" s="18">
        <f>IF(D84=1,SUMIFS('5 - Dati'!$E$6:$E$186,'5 - Dati'!$A$6:$A$186,Serie,'5 - Dati'!$B$6:$B$186,C84),Infl_c)</f>
        <v>0.02</v>
      </c>
      <c r="G84" s="19">
        <f t="shared" si="33"/>
        <v>1.0484988</v>
      </c>
      <c r="H84" s="19">
        <f t="shared" si="61"/>
        <v>0.30560477087137344</v>
      </c>
      <c r="I84" s="19">
        <f t="shared" si="34"/>
        <v>0.8194572404265571</v>
      </c>
      <c r="J84" s="20">
        <f t="shared" si="35"/>
        <v>38000</v>
      </c>
      <c r="K84" s="20">
        <f t="shared" si="36"/>
        <v>46372.15723448807</v>
      </c>
      <c r="L84" s="17">
        <f t="shared" si="37"/>
        <v>0</v>
      </c>
      <c r="M84" s="20">
        <f t="shared" si="38"/>
        <v>38000</v>
      </c>
      <c r="N84" s="20">
        <f t="shared" si="62"/>
        <v>805684.63775324239</v>
      </c>
      <c r="O84" s="20">
        <f t="shared" si="39"/>
        <v>29317.713404714297</v>
      </c>
      <c r="P84" s="20">
        <f t="shared" si="40"/>
        <v>35776.98988839658</v>
      </c>
      <c r="Q84" s="17">
        <f t="shared" si="41"/>
        <v>0</v>
      </c>
      <c r="R84" s="20">
        <f t="shared" si="42"/>
        <v>29317.713404714297</v>
      </c>
      <c r="S84" s="20">
        <f t="shared" si="63"/>
        <v>881943.53495300747</v>
      </c>
      <c r="T84" s="20">
        <f t="shared" si="43"/>
        <v>34200</v>
      </c>
      <c r="U84" s="20">
        <f t="shared" si="44"/>
        <v>41734.941511039266</v>
      </c>
      <c r="V84" s="17">
        <f t="shared" si="45"/>
        <v>0</v>
      </c>
      <c r="W84" s="20">
        <f t="shared" si="46"/>
        <v>34200</v>
      </c>
      <c r="X84" s="20">
        <f t="shared" si="64"/>
        <v>858626.21237862261</v>
      </c>
      <c r="Y84" s="18">
        <f t="shared" si="47"/>
        <v>4.4469703091414639E-2</v>
      </c>
      <c r="Z84" s="20">
        <f t="shared" si="48"/>
        <v>32098.270170615422</v>
      </c>
      <c r="AA84" s="20">
        <f t="shared" si="49"/>
        <v>39170.158718601488</v>
      </c>
      <c r="AB84" s="17">
        <f t="shared" si="50"/>
        <v>0</v>
      </c>
      <c r="AC84" s="20">
        <f t="shared" si="51"/>
        <v>32098.270170615422</v>
      </c>
      <c r="AD84" s="20">
        <f t="shared" si="65"/>
        <v>880827.97940163699</v>
      </c>
      <c r="AE84" s="20">
        <f t="shared" si="66"/>
        <v>30780</v>
      </c>
      <c r="AF84" s="18">
        <f t="shared" si="52"/>
        <v>4.4995702261292327E-2</v>
      </c>
      <c r="AG84" s="20">
        <f t="shared" si="53"/>
        <v>30780</v>
      </c>
      <c r="AH84" s="20">
        <f t="shared" si="54"/>
        <v>37561.447359935337</v>
      </c>
      <c r="AI84" s="17">
        <f t="shared" si="55"/>
        <v>0</v>
      </c>
      <c r="AJ84" s="20">
        <f t="shared" si="56"/>
        <v>30780</v>
      </c>
      <c r="AK84" s="20">
        <f t="shared" si="67"/>
        <v>834778.55600106227</v>
      </c>
      <c r="AL84" s="20">
        <f t="shared" si="68"/>
        <v>29317.713404714297</v>
      </c>
      <c r="AM84" s="20">
        <f t="shared" si="57"/>
        <v>35776.98988839658</v>
      </c>
      <c r="AN84" s="17">
        <f t="shared" si="58"/>
        <v>0</v>
      </c>
      <c r="AO84" s="20">
        <f t="shared" si="59"/>
        <v>29317.713404714297</v>
      </c>
      <c r="AP84" s="20">
        <f t="shared" si="69"/>
        <v>881943.53495300747</v>
      </c>
      <c r="AQ84" s="18">
        <f t="shared" si="70"/>
        <v>0</v>
      </c>
      <c r="AR84" s="18">
        <f t="shared" si="71"/>
        <v>-1.8375681768792673E-2</v>
      </c>
      <c r="AS84" s="18">
        <f t="shared" si="72"/>
        <v>0</v>
      </c>
      <c r="AT84" s="18">
        <f t="shared" si="73"/>
        <v>-6.6712293233192055E-3</v>
      </c>
      <c r="AU84" s="18">
        <f t="shared" si="74"/>
        <v>0</v>
      </c>
      <c r="AV84" s="18">
        <f t="shared" si="75"/>
        <v>-1.8375681768792673E-2</v>
      </c>
    </row>
    <row r="85" spans="1:48">
      <c r="A85" s="17">
        <f t="shared" si="60"/>
        <v>15</v>
      </c>
      <c r="B85" s="17">
        <f t="shared" si="31"/>
        <v>65</v>
      </c>
      <c r="C85" s="17">
        <f t="shared" si="32"/>
        <v>2014</v>
      </c>
      <c r="D85" s="17">
        <f>0</f>
        <v>0</v>
      </c>
      <c r="E85" s="18">
        <f>IF(D85=1,SUMIFS('5 - Dati'!$F$6:$F$186,'5 - Dati'!$A$6:$A$186,Serie,'5 - Dati'!$B$6:$B$186,C85),(1+Rend_c)*(1+Infl_c)-1)</f>
        <v>5.0599999999999978E-2</v>
      </c>
      <c r="F85" s="18">
        <f>IF(D85=1,SUMIFS('5 - Dati'!$E$6:$E$186,'5 - Dati'!$A$6:$A$186,Serie,'5 - Dati'!$B$6:$B$186,C85),Infl_c)</f>
        <v>0.02</v>
      </c>
      <c r="G85" s="19">
        <f t="shared" si="33"/>
        <v>1.0484988</v>
      </c>
      <c r="H85" s="19">
        <f t="shared" si="61"/>
        <v>0.29146887995615584</v>
      </c>
      <c r="I85" s="19">
        <f t="shared" si="34"/>
        <v>0.81578190878860046</v>
      </c>
      <c r="J85" s="20">
        <f t="shared" si="35"/>
        <v>38000</v>
      </c>
      <c r="K85" s="20">
        <f t="shared" si="36"/>
        <v>46581.077112176092</v>
      </c>
      <c r="L85" s="17">
        <f t="shared" si="37"/>
        <v>0</v>
      </c>
      <c r="M85" s="20">
        <f t="shared" si="38"/>
        <v>38000</v>
      </c>
      <c r="N85" s="20">
        <f t="shared" si="62"/>
        <v>780527.67122444825</v>
      </c>
      <c r="O85" s="20">
        <f t="shared" si="39"/>
        <v>28784.633472969232</v>
      </c>
      <c r="P85" s="20">
        <f t="shared" si="40"/>
        <v>35284.716617108024</v>
      </c>
      <c r="Q85" s="17">
        <f t="shared" si="41"/>
        <v>0</v>
      </c>
      <c r="R85" s="20">
        <f t="shared" si="42"/>
        <v>28784.633472969232</v>
      </c>
      <c r="S85" s="20">
        <f t="shared" si="63"/>
        <v>869808.43833371601</v>
      </c>
      <c r="T85" s="20">
        <f t="shared" si="43"/>
        <v>34200</v>
      </c>
      <c r="U85" s="20">
        <f t="shared" si="44"/>
        <v>41922.969400958478</v>
      </c>
      <c r="V85" s="17">
        <f t="shared" si="45"/>
        <v>0</v>
      </c>
      <c r="W85" s="20">
        <f t="shared" si="46"/>
        <v>34200</v>
      </c>
      <c r="X85" s="20">
        <f t="shared" si="64"/>
        <v>839715.21297562355</v>
      </c>
      <c r="Y85" s="18">
        <f t="shared" si="47"/>
        <v>4.5183778222912141E-2</v>
      </c>
      <c r="Z85" s="20">
        <f t="shared" si="48"/>
        <v>31890.398233319131</v>
      </c>
      <c r="AA85" s="20">
        <f t="shared" si="49"/>
        <v>39091.818401164281</v>
      </c>
      <c r="AB85" s="17">
        <f t="shared" si="50"/>
        <v>0</v>
      </c>
      <c r="AC85" s="20">
        <f t="shared" si="51"/>
        <v>31890.398233319131</v>
      </c>
      <c r="AD85" s="20">
        <f t="shared" si="65"/>
        <v>865173.7401929195</v>
      </c>
      <c r="AE85" s="20">
        <f t="shared" si="66"/>
        <v>30780</v>
      </c>
      <c r="AF85" s="18">
        <f t="shared" si="52"/>
        <v>4.6041574748125515E-2</v>
      </c>
      <c r="AG85" s="20">
        <f t="shared" si="53"/>
        <v>30780</v>
      </c>
      <c r="AH85" s="20">
        <f t="shared" si="54"/>
        <v>37730.672460862632</v>
      </c>
      <c r="AI85" s="17">
        <f t="shared" si="55"/>
        <v>0</v>
      </c>
      <c r="AJ85" s="20">
        <f t="shared" si="56"/>
        <v>30780</v>
      </c>
      <c r="AK85" s="20">
        <f t="shared" si="67"/>
        <v>819491.35465655988</v>
      </c>
      <c r="AL85" s="20">
        <f t="shared" si="68"/>
        <v>28784.633472969232</v>
      </c>
      <c r="AM85" s="20">
        <f t="shared" si="57"/>
        <v>35284.716617108024</v>
      </c>
      <c r="AN85" s="17">
        <f t="shared" si="58"/>
        <v>0</v>
      </c>
      <c r="AO85" s="20">
        <f t="shared" si="59"/>
        <v>28784.633472969232</v>
      </c>
      <c r="AP85" s="20">
        <f t="shared" si="69"/>
        <v>869808.43833371601</v>
      </c>
      <c r="AQ85" s="18">
        <f t="shared" si="70"/>
        <v>0</v>
      </c>
      <c r="AR85" s="18">
        <f t="shared" si="71"/>
        <v>-1.8182861820981833E-2</v>
      </c>
      <c r="AS85" s="18">
        <f t="shared" si="72"/>
        <v>0</v>
      </c>
      <c r="AT85" s="18">
        <f t="shared" si="73"/>
        <v>-6.4761102760793055E-3</v>
      </c>
      <c r="AU85" s="18">
        <f t="shared" si="74"/>
        <v>0</v>
      </c>
      <c r="AV85" s="18">
        <f t="shared" si="75"/>
        <v>-1.8182861820981833E-2</v>
      </c>
    </row>
    <row r="86" spans="1:48">
      <c r="A86" s="17">
        <f t="shared" si="60"/>
        <v>16</v>
      </c>
      <c r="B86" s="17">
        <f t="shared" si="31"/>
        <v>66</v>
      </c>
      <c r="C86" s="17">
        <f t="shared" si="32"/>
        <v>2015</v>
      </c>
      <c r="D86" s="17">
        <f>0</f>
        <v>0</v>
      </c>
      <c r="E86" s="18">
        <f>IF(D86=1,SUMIFS('5 - Dati'!$F$6:$F$186,'5 - Dati'!$A$6:$A$186,Serie,'5 - Dati'!$B$6:$B$186,C86),(1+Rend_c)*(1+Infl_c)-1)</f>
        <v>5.0599999999999978E-2</v>
      </c>
      <c r="F86" s="18">
        <f>IF(D86=1,SUMIFS('5 - Dati'!$E$6:$E$186,'5 - Dati'!$A$6:$A$186,Serie,'5 - Dati'!$B$6:$B$186,C86),Infl_c)</f>
        <v>0.02</v>
      </c>
      <c r="G86" s="19">
        <f t="shared" si="33"/>
        <v>1.0484988</v>
      </c>
      <c r="H86" s="19">
        <f t="shared" si="61"/>
        <v>0.27798685125453254</v>
      </c>
      <c r="I86" s="19">
        <f t="shared" si="34"/>
        <v>0.81227658132617842</v>
      </c>
      <c r="J86" s="20">
        <f t="shared" si="35"/>
        <v>38000</v>
      </c>
      <c r="K86" s="20">
        <f t="shared" si="36"/>
        <v>46782.09476131713</v>
      </c>
      <c r="L86" s="17">
        <f t="shared" si="37"/>
        <v>0</v>
      </c>
      <c r="M86" s="20">
        <f t="shared" si="38"/>
        <v>38000</v>
      </c>
      <c r="N86" s="20">
        <f t="shared" si="62"/>
        <v>754453.06195176893</v>
      </c>
      <c r="O86" s="20">
        <f t="shared" si="39"/>
        <v>28266.588836331408</v>
      </c>
      <c r="P86" s="20">
        <f t="shared" si="40"/>
        <v>34799.216776853813</v>
      </c>
      <c r="Q86" s="17">
        <f t="shared" si="41"/>
        <v>0</v>
      </c>
      <c r="R86" s="20">
        <f t="shared" si="42"/>
        <v>28266.588836331408</v>
      </c>
      <c r="S86" s="20">
        <f t="shared" si="63"/>
        <v>857840.31450136995</v>
      </c>
      <c r="T86" s="20">
        <f t="shared" si="43"/>
        <v>34200</v>
      </c>
      <c r="U86" s="20">
        <f t="shared" si="44"/>
        <v>42103.885285185417</v>
      </c>
      <c r="V86" s="17">
        <f t="shared" si="45"/>
        <v>0</v>
      </c>
      <c r="W86" s="20">
        <f t="shared" si="46"/>
        <v>34200</v>
      </c>
      <c r="X86" s="20">
        <f t="shared" si="64"/>
        <v>820082.5588601412</v>
      </c>
      <c r="Y86" s="18">
        <f t="shared" si="47"/>
        <v>4.5943653707350735E-2</v>
      </c>
      <c r="Z86" s="20">
        <f t="shared" si="48"/>
        <v>31689.861871504079</v>
      </c>
      <c r="AA86" s="20">
        <f t="shared" si="49"/>
        <v>39013.634764361959</v>
      </c>
      <c r="AB86" s="17">
        <f t="shared" si="50"/>
        <v>0</v>
      </c>
      <c r="AC86" s="20">
        <f t="shared" si="51"/>
        <v>31689.861871504079</v>
      </c>
      <c r="AD86" s="20">
        <f t="shared" si="65"/>
        <v>849162.65068661678</v>
      </c>
      <c r="AE86" s="20">
        <f t="shared" si="66"/>
        <v>30780</v>
      </c>
      <c r="AF86" s="18">
        <f t="shared" si="52"/>
        <v>4.7154494432119963E-2</v>
      </c>
      <c r="AG86" s="20">
        <f t="shared" si="53"/>
        <v>30780</v>
      </c>
      <c r="AH86" s="20">
        <f t="shared" si="54"/>
        <v>37893.496756666878</v>
      </c>
      <c r="AI86" s="17">
        <f t="shared" si="55"/>
        <v>0</v>
      </c>
      <c r="AJ86" s="20">
        <f t="shared" si="56"/>
        <v>30780</v>
      </c>
      <c r="AK86" s="20">
        <f t="shared" si="67"/>
        <v>803603.07565624488</v>
      </c>
      <c r="AL86" s="20">
        <f t="shared" si="68"/>
        <v>28266.588836331408</v>
      </c>
      <c r="AM86" s="20">
        <f t="shared" si="57"/>
        <v>34799.216776853813</v>
      </c>
      <c r="AN86" s="17">
        <f t="shared" si="58"/>
        <v>0</v>
      </c>
      <c r="AO86" s="20">
        <f t="shared" si="59"/>
        <v>28266.588836331408</v>
      </c>
      <c r="AP86" s="20">
        <f t="shared" si="69"/>
        <v>857840.31450136995</v>
      </c>
      <c r="AQ86" s="18">
        <f t="shared" si="70"/>
        <v>0</v>
      </c>
      <c r="AR86" s="18">
        <f t="shared" si="71"/>
        <v>-1.7997263613736991E-2</v>
      </c>
      <c r="AS86" s="18">
        <f t="shared" si="72"/>
        <v>0</v>
      </c>
      <c r="AT86" s="18">
        <f t="shared" si="73"/>
        <v>-6.2882990782325843E-3</v>
      </c>
      <c r="AU86" s="18">
        <f t="shared" si="74"/>
        <v>0</v>
      </c>
      <c r="AV86" s="18">
        <f t="shared" si="75"/>
        <v>-1.7997263613736991E-2</v>
      </c>
    </row>
    <row r="87" spans="1:48">
      <c r="A87" s="17">
        <f t="shared" si="60"/>
        <v>17</v>
      </c>
      <c r="B87" s="17">
        <f t="shared" si="31"/>
        <v>67</v>
      </c>
      <c r="C87" s="17">
        <f t="shared" si="32"/>
        <v>2016</v>
      </c>
      <c r="D87" s="17">
        <f>0</f>
        <v>0</v>
      </c>
      <c r="E87" s="18">
        <f>IF(D87=1,SUMIFS('5 - Dati'!$F$6:$F$186,'5 - Dati'!$A$6:$A$186,Serie,'5 - Dati'!$B$6:$B$186,C87),(1+Rend_c)*(1+Infl_c)-1)</f>
        <v>5.0599999999999978E-2</v>
      </c>
      <c r="F87" s="18">
        <f>IF(D87=1,SUMIFS('5 - Dati'!$E$6:$E$186,'5 - Dati'!$A$6:$A$186,Serie,'5 - Dati'!$B$6:$B$186,C87),Infl_c)</f>
        <v>0.02</v>
      </c>
      <c r="G87" s="19">
        <f t="shared" si="33"/>
        <v>1.0484988</v>
      </c>
      <c r="H87" s="19">
        <f t="shared" si="61"/>
        <v>0.26512844006548464</v>
      </c>
      <c r="I87" s="19">
        <f t="shared" si="34"/>
        <v>0.80893339441702605</v>
      </c>
      <c r="J87" s="20">
        <f t="shared" si="35"/>
        <v>38000</v>
      </c>
      <c r="K87" s="20">
        <f t="shared" si="36"/>
        <v>46975.437362658835</v>
      </c>
      <c r="L87" s="17">
        <f t="shared" si="37"/>
        <v>0</v>
      </c>
      <c r="M87" s="20">
        <f t="shared" si="38"/>
        <v>38000</v>
      </c>
      <c r="N87" s="20">
        <f t="shared" si="62"/>
        <v>727443.29401375307</v>
      </c>
      <c r="O87" s="20">
        <f t="shared" si="39"/>
        <v>27762.915379377726</v>
      </c>
      <c r="P87" s="20">
        <f t="shared" si="40"/>
        <v>34320.397168651471</v>
      </c>
      <c r="Q87" s="17">
        <f t="shared" si="41"/>
        <v>0</v>
      </c>
      <c r="R87" s="20">
        <f t="shared" si="42"/>
        <v>27762.915379377726</v>
      </c>
      <c r="S87" s="20">
        <f t="shared" si="63"/>
        <v>846036.86599493911</v>
      </c>
      <c r="T87" s="20">
        <f t="shared" si="43"/>
        <v>34200</v>
      </c>
      <c r="U87" s="20">
        <f t="shared" si="44"/>
        <v>42277.89362639295</v>
      </c>
      <c r="V87" s="17">
        <f t="shared" si="45"/>
        <v>0</v>
      </c>
      <c r="W87" s="20">
        <f t="shared" si="46"/>
        <v>34200</v>
      </c>
      <c r="X87" s="20">
        <f t="shared" si="64"/>
        <v>799715.3977146399</v>
      </c>
      <c r="Y87" s="18">
        <f t="shared" si="47"/>
        <v>4.6753516403506487E-2</v>
      </c>
      <c r="Z87" s="20">
        <f t="shared" si="48"/>
        <v>31496.313134484441</v>
      </c>
      <c r="AA87" s="20">
        <f t="shared" si="49"/>
        <v>38935.607494833224</v>
      </c>
      <c r="AB87" s="17">
        <f t="shared" si="50"/>
        <v>0</v>
      </c>
      <c r="AC87" s="20">
        <f t="shared" si="51"/>
        <v>31496.313134484441</v>
      </c>
      <c r="AD87" s="20">
        <f t="shared" si="65"/>
        <v>832784.5794271226</v>
      </c>
      <c r="AE87" s="20">
        <f t="shared" si="66"/>
        <v>30780</v>
      </c>
      <c r="AF87" s="18">
        <f t="shared" si="52"/>
        <v>4.8341932216753931E-2</v>
      </c>
      <c r="AG87" s="20">
        <f t="shared" si="53"/>
        <v>30780</v>
      </c>
      <c r="AH87" s="20">
        <f t="shared" si="54"/>
        <v>38050.104263753652</v>
      </c>
      <c r="AI87" s="17">
        <f t="shared" si="55"/>
        <v>0</v>
      </c>
      <c r="AJ87" s="20">
        <f t="shared" si="56"/>
        <v>30779.999999999996</v>
      </c>
      <c r="AK87" s="20">
        <f t="shared" si="67"/>
        <v>787103.5045340322</v>
      </c>
      <c r="AL87" s="20">
        <f t="shared" si="68"/>
        <v>27762.915379377726</v>
      </c>
      <c r="AM87" s="20">
        <f t="shared" si="57"/>
        <v>34320.397168651471</v>
      </c>
      <c r="AN87" s="17">
        <f t="shared" si="58"/>
        <v>0</v>
      </c>
      <c r="AO87" s="20">
        <f t="shared" si="59"/>
        <v>27762.915379377726</v>
      </c>
      <c r="AP87" s="20">
        <f t="shared" si="69"/>
        <v>846036.86599493911</v>
      </c>
      <c r="AQ87" s="18">
        <f t="shared" si="70"/>
        <v>0</v>
      </c>
      <c r="AR87" s="18">
        <f t="shared" si="71"/>
        <v>-1.7818685511366117E-2</v>
      </c>
      <c r="AS87" s="18">
        <f t="shared" si="72"/>
        <v>0</v>
      </c>
      <c r="AT87" s="18">
        <f t="shared" si="73"/>
        <v>-6.107591689873515E-3</v>
      </c>
      <c r="AU87" s="18">
        <f t="shared" si="74"/>
        <v>-1.1102230246251565E-16</v>
      </c>
      <c r="AV87" s="18">
        <f t="shared" si="75"/>
        <v>-1.7818685511366117E-2</v>
      </c>
    </row>
    <row r="88" spans="1:48">
      <c r="A88" s="17">
        <f t="shared" si="60"/>
        <v>18</v>
      </c>
      <c r="B88" s="17">
        <f t="shared" si="31"/>
        <v>68</v>
      </c>
      <c r="C88" s="17">
        <f t="shared" si="32"/>
        <v>2017</v>
      </c>
      <c r="D88" s="17">
        <f>0</f>
        <v>0</v>
      </c>
      <c r="E88" s="18">
        <f>IF(D88=1,SUMIFS('5 - Dati'!$F$6:$F$186,'5 - Dati'!$A$6:$A$186,Serie,'5 - Dati'!$B$6:$B$186,C88),(1+Rend_c)*(1+Infl_c)-1)</f>
        <v>5.0599999999999978E-2</v>
      </c>
      <c r="F88" s="18">
        <f>IF(D88=1,SUMIFS('5 - Dati'!$E$6:$E$186,'5 - Dati'!$A$6:$A$186,Serie,'5 - Dati'!$B$6:$B$186,C88),Infl_c)</f>
        <v>0.02</v>
      </c>
      <c r="G88" s="19">
        <f t="shared" si="33"/>
        <v>1.0484988</v>
      </c>
      <c r="H88" s="19">
        <f t="shared" si="61"/>
        <v>0.25286480067071576</v>
      </c>
      <c r="I88" s="19">
        <f t="shared" si="34"/>
        <v>0.80574484817438607</v>
      </c>
      <c r="J88" s="20">
        <f t="shared" si="35"/>
        <v>38000</v>
      </c>
      <c r="K88" s="20">
        <f t="shared" si="36"/>
        <v>47161.331637550502</v>
      </c>
      <c r="L88" s="17">
        <f t="shared" si="37"/>
        <v>0</v>
      </c>
      <c r="M88" s="20">
        <f t="shared" si="38"/>
        <v>38000</v>
      </c>
      <c r="N88" s="20">
        <f t="shared" si="62"/>
        <v>699480.12856592587</v>
      </c>
      <c r="O88" s="20">
        <f t="shared" si="39"/>
        <v>27272.985274649916</v>
      </c>
      <c r="P88" s="20">
        <f t="shared" si="40"/>
        <v>33848.165875889368</v>
      </c>
      <c r="Q88" s="17">
        <f t="shared" si="41"/>
        <v>0</v>
      </c>
      <c r="R88" s="20">
        <f t="shared" si="42"/>
        <v>27272.985274649916</v>
      </c>
      <c r="S88" s="20">
        <f t="shared" si="63"/>
        <v>834395.82696529408</v>
      </c>
      <c r="T88" s="20">
        <f t="shared" si="43"/>
        <v>34200</v>
      </c>
      <c r="U88" s="20">
        <f t="shared" si="44"/>
        <v>42445.198473795455</v>
      </c>
      <c r="V88" s="17">
        <f t="shared" si="45"/>
        <v>0</v>
      </c>
      <c r="W88" s="20">
        <f t="shared" si="46"/>
        <v>34200</v>
      </c>
      <c r="X88" s="20">
        <f t="shared" si="64"/>
        <v>778600.30795247259</v>
      </c>
      <c r="Y88" s="18">
        <f t="shared" si="47"/>
        <v>4.761807599571926E-2</v>
      </c>
      <c r="Z88" s="20">
        <f t="shared" si="48"/>
        <v>31309.420819202882</v>
      </c>
      <c r="AA88" s="20">
        <f t="shared" si="49"/>
        <v>38857.736279843557</v>
      </c>
      <c r="AB88" s="17">
        <f t="shared" si="50"/>
        <v>0</v>
      </c>
      <c r="AC88" s="20">
        <f t="shared" si="51"/>
        <v>31309.420819202882</v>
      </c>
      <c r="AD88" s="20">
        <f t="shared" si="65"/>
        <v>816029.11220807757</v>
      </c>
      <c r="AE88" s="20">
        <f t="shared" si="66"/>
        <v>30780</v>
      </c>
      <c r="AF88" s="18">
        <f t="shared" si="52"/>
        <v>4.9612433789656574E-2</v>
      </c>
      <c r="AG88" s="20">
        <f t="shared" si="53"/>
        <v>27702</v>
      </c>
      <c r="AH88" s="20">
        <f t="shared" si="54"/>
        <v>34380.610763774319</v>
      </c>
      <c r="AI88" s="17">
        <f t="shared" si="55"/>
        <v>0</v>
      </c>
      <c r="AJ88" s="20">
        <f t="shared" si="56"/>
        <v>27702.000000000004</v>
      </c>
      <c r="AK88" s="20">
        <f t="shared" si="67"/>
        <v>769981.95227383019</v>
      </c>
      <c r="AL88" s="20">
        <f t="shared" si="68"/>
        <v>27272.985274649916</v>
      </c>
      <c r="AM88" s="20">
        <f t="shared" si="57"/>
        <v>33848.165875889368</v>
      </c>
      <c r="AN88" s="17">
        <f t="shared" si="58"/>
        <v>0</v>
      </c>
      <c r="AO88" s="20">
        <f t="shared" si="59"/>
        <v>27272.985274649916</v>
      </c>
      <c r="AP88" s="20">
        <f t="shared" si="69"/>
        <v>834395.82696529408</v>
      </c>
      <c r="AQ88" s="18">
        <f t="shared" si="70"/>
        <v>0</v>
      </c>
      <c r="AR88" s="18">
        <f t="shared" si="71"/>
        <v>-1.7646925693247995E-2</v>
      </c>
      <c r="AS88" s="18">
        <f t="shared" si="72"/>
        <v>0</v>
      </c>
      <c r="AT88" s="18">
        <f t="shared" si="73"/>
        <v>-5.9337838839599311E-3</v>
      </c>
      <c r="AU88" s="18">
        <f t="shared" si="74"/>
        <v>-9.9999999999999756E-2</v>
      </c>
      <c r="AV88" s="18">
        <f t="shared" si="75"/>
        <v>-1.7646925693247995E-2</v>
      </c>
    </row>
    <row r="89" spans="1:48">
      <c r="A89" s="17">
        <f t="shared" si="60"/>
        <v>19</v>
      </c>
      <c r="B89" s="17">
        <f t="shared" si="31"/>
        <v>69</v>
      </c>
      <c r="C89" s="17">
        <f t="shared" si="32"/>
        <v>2018</v>
      </c>
      <c r="D89" s="17">
        <f>0</f>
        <v>0</v>
      </c>
      <c r="E89" s="18">
        <f>IF(D89=1,SUMIFS('5 - Dati'!$F$6:$F$186,'5 - Dati'!$A$6:$A$186,Serie,'5 - Dati'!$B$6:$B$186,C89),(1+Rend_c)*(1+Infl_c)-1)</f>
        <v>5.0599999999999978E-2</v>
      </c>
      <c r="F89" s="18">
        <f>IF(D89=1,SUMIFS('5 - Dati'!$E$6:$E$186,'5 - Dati'!$A$6:$A$186,Serie,'5 - Dati'!$B$6:$B$186,C89),Infl_c)</f>
        <v>0.02</v>
      </c>
      <c r="G89" s="19">
        <f t="shared" si="33"/>
        <v>1.0484988</v>
      </c>
      <c r="H89" s="19">
        <f t="shared" si="61"/>
        <v>0.24116842162405505</v>
      </c>
      <c r="I89" s="19">
        <f t="shared" si="34"/>
        <v>0.8027037896222543</v>
      </c>
      <c r="J89" s="20">
        <f t="shared" si="35"/>
        <v>38000</v>
      </c>
      <c r="K89" s="20">
        <f t="shared" si="36"/>
        <v>47340.003238158977</v>
      </c>
      <c r="L89" s="17">
        <f t="shared" si="37"/>
        <v>0</v>
      </c>
      <c r="M89" s="20">
        <f t="shared" si="38"/>
        <v>38000</v>
      </c>
      <c r="N89" s="20">
        <f t="shared" si="62"/>
        <v>670544.58411455422</v>
      </c>
      <c r="O89" s="20">
        <f t="shared" si="39"/>
        <v>26796.20487121971</v>
      </c>
      <c r="P89" s="20">
        <f t="shared" si="40"/>
        <v>33382.432246681907</v>
      </c>
      <c r="Q89" s="17">
        <f t="shared" si="41"/>
        <v>0</v>
      </c>
      <c r="R89" s="20">
        <f t="shared" si="42"/>
        <v>26796.20487121971</v>
      </c>
      <c r="S89" s="20">
        <f t="shared" si="63"/>
        <v>822914.9627402426</v>
      </c>
      <c r="T89" s="20">
        <f t="shared" si="43"/>
        <v>34200</v>
      </c>
      <c r="U89" s="20">
        <f t="shared" si="44"/>
        <v>42606.00291434308</v>
      </c>
      <c r="V89" s="17">
        <f t="shared" si="45"/>
        <v>0</v>
      </c>
      <c r="W89" s="20">
        <f t="shared" si="46"/>
        <v>34200</v>
      </c>
      <c r="X89" s="20">
        <f t="shared" si="64"/>
        <v>756723.28323751141</v>
      </c>
      <c r="Y89" s="18">
        <f t="shared" si="47"/>
        <v>4.854264930715859E-2</v>
      </c>
      <c r="Z89" s="20">
        <f t="shared" si="48"/>
        <v>31128.869663636637</v>
      </c>
      <c r="AA89" s="20">
        <f t="shared" si="49"/>
        <v>38780.020807283872</v>
      </c>
      <c r="AB89" s="17">
        <f t="shared" si="50"/>
        <v>0</v>
      </c>
      <c r="AC89" s="20">
        <f t="shared" si="51"/>
        <v>31128.869663636637</v>
      </c>
      <c r="AD89" s="20">
        <f t="shared" si="65"/>
        <v>798885.54417166882</v>
      </c>
      <c r="AE89" s="20">
        <f t="shared" si="66"/>
        <v>27702</v>
      </c>
      <c r="AF89" s="18">
        <f t="shared" si="52"/>
        <v>4.5639989206524692E-2</v>
      </c>
      <c r="AG89" s="20">
        <f t="shared" si="53"/>
        <v>27702</v>
      </c>
      <c r="AH89" s="20">
        <f t="shared" si="54"/>
        <v>34510.862360617895</v>
      </c>
      <c r="AI89" s="17">
        <f t="shared" si="55"/>
        <v>0</v>
      </c>
      <c r="AJ89" s="20">
        <f t="shared" si="56"/>
        <v>27702</v>
      </c>
      <c r="AK89" s="20">
        <f t="shared" si="67"/>
        <v>756154.04299184668</v>
      </c>
      <c r="AL89" s="20">
        <f t="shared" si="68"/>
        <v>26796.20487121971</v>
      </c>
      <c r="AM89" s="20">
        <f t="shared" si="57"/>
        <v>33382.432246681907</v>
      </c>
      <c r="AN89" s="17">
        <f t="shared" si="58"/>
        <v>0</v>
      </c>
      <c r="AO89" s="20">
        <f t="shared" si="59"/>
        <v>26796.20487121971</v>
      </c>
      <c r="AP89" s="20">
        <f t="shared" si="69"/>
        <v>822914.9627402426</v>
      </c>
      <c r="AQ89" s="18">
        <f t="shared" si="70"/>
        <v>0</v>
      </c>
      <c r="AR89" s="18">
        <f t="shared" si="71"/>
        <v>-1.7481782746877061E-2</v>
      </c>
      <c r="AS89" s="18">
        <f t="shared" si="72"/>
        <v>0</v>
      </c>
      <c r="AT89" s="18">
        <f t="shared" si="73"/>
        <v>-5.7666718464337574E-3</v>
      </c>
      <c r="AU89" s="18">
        <f t="shared" si="74"/>
        <v>-1.1102230246251565E-16</v>
      </c>
      <c r="AV89" s="18">
        <f t="shared" si="75"/>
        <v>-1.7481782746877061E-2</v>
      </c>
    </row>
    <row r="90" spans="1:48">
      <c r="A90" s="17">
        <f t="shared" si="60"/>
        <v>20</v>
      </c>
      <c r="B90" s="17">
        <f t="shared" si="31"/>
        <v>70</v>
      </c>
      <c r="C90" s="17">
        <f t="shared" si="32"/>
        <v>2019</v>
      </c>
      <c r="D90" s="17">
        <f>0</f>
        <v>0</v>
      </c>
      <c r="E90" s="18">
        <f>IF(D90=1,SUMIFS('5 - Dati'!$F$6:$F$186,'5 - Dati'!$A$6:$A$186,Serie,'5 - Dati'!$B$6:$B$186,C90),(1+Rend_c)*(1+Infl_c)-1)</f>
        <v>5.0599999999999978E-2</v>
      </c>
      <c r="F90" s="18">
        <f>IF(D90=1,SUMIFS('5 - Dati'!$E$6:$E$186,'5 - Dati'!$A$6:$A$186,Serie,'5 - Dati'!$B$6:$B$186,C90),Infl_c)</f>
        <v>0.02</v>
      </c>
      <c r="G90" s="19">
        <f t="shared" si="33"/>
        <v>1.0484988</v>
      </c>
      <c r="H90" s="19">
        <f t="shared" si="61"/>
        <v>0.23001306403407906</v>
      </c>
      <c r="I90" s="19">
        <f t="shared" si="34"/>
        <v>0.79980339664886058</v>
      </c>
      <c r="J90" s="20">
        <f t="shared" si="35"/>
        <v>38000</v>
      </c>
      <c r="K90" s="20">
        <f t="shared" si="36"/>
        <v>47511.676193447354</v>
      </c>
      <c r="L90" s="17">
        <f t="shared" si="37"/>
        <v>0</v>
      </c>
      <c r="M90" s="20">
        <f t="shared" si="38"/>
        <v>38000</v>
      </c>
      <c r="N90" s="20">
        <f t="shared" si="62"/>
        <v>640616.91686608165</v>
      </c>
      <c r="O90" s="20">
        <f t="shared" si="39"/>
        <v>26332.012708032216</v>
      </c>
      <c r="P90" s="20">
        <f t="shared" si="40"/>
        <v>32923.106876467566</v>
      </c>
      <c r="Q90" s="17">
        <f t="shared" si="41"/>
        <v>0</v>
      </c>
      <c r="R90" s="20">
        <f t="shared" si="42"/>
        <v>26332.012708032216</v>
      </c>
      <c r="S90" s="20">
        <f t="shared" si="63"/>
        <v>811592.06939555076</v>
      </c>
      <c r="T90" s="20">
        <f t="shared" si="43"/>
        <v>34200</v>
      </c>
      <c r="U90" s="20">
        <f t="shared" si="44"/>
        <v>42760.50857410262</v>
      </c>
      <c r="V90" s="17">
        <f t="shared" si="45"/>
        <v>0</v>
      </c>
      <c r="W90" s="20">
        <f t="shared" si="46"/>
        <v>34200</v>
      </c>
      <c r="X90" s="20">
        <f t="shared" si="64"/>
        <v>734069.71713539772</v>
      </c>
      <c r="Y90" s="18">
        <f t="shared" si="47"/>
        <v>4.9533261475973395E-2</v>
      </c>
      <c r="Z90" s="20">
        <f t="shared" si="48"/>
        <v>30954.359579051565</v>
      </c>
      <c r="AA90" s="20">
        <f t="shared" si="49"/>
        <v>38702.460765669297</v>
      </c>
      <c r="AB90" s="17">
        <f t="shared" si="50"/>
        <v>0</v>
      </c>
      <c r="AC90" s="20">
        <f t="shared" si="51"/>
        <v>30954.359579051565</v>
      </c>
      <c r="AD90" s="20">
        <f t="shared" si="65"/>
        <v>781342.87168718572</v>
      </c>
      <c r="AE90" s="20">
        <f t="shared" si="66"/>
        <v>27702</v>
      </c>
      <c r="AF90" s="18">
        <f t="shared" si="52"/>
        <v>4.6691475978645619E-2</v>
      </c>
      <c r="AG90" s="20">
        <f t="shared" si="53"/>
        <v>27702</v>
      </c>
      <c r="AH90" s="20">
        <f t="shared" si="54"/>
        <v>34636.011945023121</v>
      </c>
      <c r="AI90" s="17">
        <f t="shared" si="55"/>
        <v>0</v>
      </c>
      <c r="AJ90" s="20">
        <f t="shared" si="56"/>
        <v>27702</v>
      </c>
      <c r="AK90" s="20">
        <f t="shared" si="67"/>
        <v>741805.8910980653</v>
      </c>
      <c r="AL90" s="20">
        <f t="shared" si="68"/>
        <v>26332.012708032216</v>
      </c>
      <c r="AM90" s="20">
        <f t="shared" si="57"/>
        <v>32923.106876467566</v>
      </c>
      <c r="AN90" s="17">
        <f t="shared" si="58"/>
        <v>0</v>
      </c>
      <c r="AO90" s="20">
        <f t="shared" si="59"/>
        <v>26332.012708032216</v>
      </c>
      <c r="AP90" s="20">
        <f t="shared" si="69"/>
        <v>811592.06939555076</v>
      </c>
      <c r="AQ90" s="18">
        <f t="shared" si="70"/>
        <v>0</v>
      </c>
      <c r="AR90" s="18">
        <f t="shared" si="71"/>
        <v>-1.7323056209577525E-2</v>
      </c>
      <c r="AS90" s="18">
        <f t="shared" si="72"/>
        <v>0</v>
      </c>
      <c r="AT90" s="18">
        <f t="shared" si="73"/>
        <v>-5.6060527243919633E-3</v>
      </c>
      <c r="AU90" s="18">
        <f t="shared" si="74"/>
        <v>0</v>
      </c>
      <c r="AV90" s="18">
        <f t="shared" si="75"/>
        <v>-1.7323056209577525E-2</v>
      </c>
    </row>
    <row r="91" spans="1:48">
      <c r="A91" s="17">
        <f t="shared" si="60"/>
        <v>21</v>
      </c>
      <c r="B91" s="17">
        <f t="shared" si="31"/>
        <v>71</v>
      </c>
      <c r="C91" s="17">
        <f t="shared" si="32"/>
        <v>2020</v>
      </c>
      <c r="D91" s="17">
        <f>0</f>
        <v>0</v>
      </c>
      <c r="E91" s="18">
        <f>IF(D91=1,SUMIFS('5 - Dati'!$F$6:$F$186,'5 - Dati'!$A$6:$A$186,Serie,'5 - Dati'!$B$6:$B$186,C91),(1+Rend_c)*(1+Infl_c)-1)</f>
        <v>5.0599999999999978E-2</v>
      </c>
      <c r="F91" s="18">
        <f>IF(D91=1,SUMIFS('5 - Dati'!$E$6:$E$186,'5 - Dati'!$A$6:$A$186,Serie,'5 - Dati'!$B$6:$B$186,C91),Infl_c)</f>
        <v>0.02</v>
      </c>
      <c r="G91" s="19">
        <f t="shared" si="33"/>
        <v>1.0484988</v>
      </c>
      <c r="H91" s="19">
        <f t="shared" si="61"/>
        <v>0.21937370270149958</v>
      </c>
      <c r="I91" s="19">
        <f t="shared" si="34"/>
        <v>0.79703716270238989</v>
      </c>
      <c r="J91" s="20">
        <f t="shared" si="35"/>
        <v>38000</v>
      </c>
      <c r="K91" s="20">
        <f t="shared" si="36"/>
        <v>47676.572408693355</v>
      </c>
      <c r="L91" s="17">
        <f t="shared" si="37"/>
        <v>0</v>
      </c>
      <c r="M91" s="20">
        <f t="shared" si="38"/>
        <v>38000</v>
      </c>
      <c r="N91" s="20">
        <f t="shared" si="62"/>
        <v>609676.60109702765</v>
      </c>
      <c r="O91" s="20">
        <f t="shared" si="39"/>
        <v>25879.877644626515</v>
      </c>
      <c r="P91" s="20">
        <f t="shared" si="40"/>
        <v>32470.101590846331</v>
      </c>
      <c r="Q91" s="17">
        <f t="shared" si="41"/>
        <v>0</v>
      </c>
      <c r="R91" s="20">
        <f t="shared" si="42"/>
        <v>25879.877644626515</v>
      </c>
      <c r="S91" s="20">
        <f t="shared" si="63"/>
        <v>800424.97333186632</v>
      </c>
      <c r="T91" s="20">
        <f t="shared" si="43"/>
        <v>34200</v>
      </c>
      <c r="U91" s="20">
        <f t="shared" si="44"/>
        <v>42908.915167824023</v>
      </c>
      <c r="V91" s="17">
        <f t="shared" si="45"/>
        <v>0</v>
      </c>
      <c r="W91" s="20">
        <f t="shared" si="46"/>
        <v>34200</v>
      </c>
      <c r="X91" s="20">
        <f t="shared" si="64"/>
        <v>710624.3878484976</v>
      </c>
      <c r="Y91" s="18">
        <f t="shared" si="47"/>
        <v>5.0596768064691829E-2</v>
      </c>
      <c r="Z91" s="20">
        <f t="shared" si="48"/>
        <v>30785.604919233079</v>
      </c>
      <c r="AA91" s="20">
        <f t="shared" si="49"/>
        <v>38625.055844137954</v>
      </c>
      <c r="AB91" s="17">
        <f t="shared" si="50"/>
        <v>0</v>
      </c>
      <c r="AC91" s="20">
        <f t="shared" si="51"/>
        <v>30785.604919233079</v>
      </c>
      <c r="AD91" s="20">
        <f t="shared" si="65"/>
        <v>763389.78400266345</v>
      </c>
      <c r="AE91" s="20">
        <f t="shared" si="66"/>
        <v>27702</v>
      </c>
      <c r="AF91" s="18">
        <f t="shared" si="52"/>
        <v>4.7812453856250964E-2</v>
      </c>
      <c r="AG91" s="20">
        <f t="shared" si="53"/>
        <v>27702</v>
      </c>
      <c r="AH91" s="20">
        <f t="shared" si="54"/>
        <v>34756.221285937456</v>
      </c>
      <c r="AI91" s="17">
        <f t="shared" si="55"/>
        <v>0</v>
      </c>
      <c r="AJ91" s="20">
        <f t="shared" si="56"/>
        <v>27702</v>
      </c>
      <c r="AK91" s="20">
        <f t="shared" si="67"/>
        <v>726928.20557657816</v>
      </c>
      <c r="AL91" s="20">
        <f t="shared" si="68"/>
        <v>25879.877644626515</v>
      </c>
      <c r="AM91" s="20">
        <f t="shared" si="57"/>
        <v>32470.101590846331</v>
      </c>
      <c r="AN91" s="17">
        <f t="shared" si="58"/>
        <v>0</v>
      </c>
      <c r="AO91" s="20">
        <f t="shared" si="59"/>
        <v>25879.877644626515</v>
      </c>
      <c r="AP91" s="20">
        <f t="shared" si="69"/>
        <v>800424.97333186632</v>
      </c>
      <c r="AQ91" s="18">
        <f t="shared" si="70"/>
        <v>0</v>
      </c>
      <c r="AR91" s="18">
        <f t="shared" si="71"/>
        <v>-1.7170547060680441E-2</v>
      </c>
      <c r="AS91" s="18">
        <f t="shared" si="72"/>
        <v>0</v>
      </c>
      <c r="AT91" s="18">
        <f t="shared" si="73"/>
        <v>-5.451725124130502E-3</v>
      </c>
      <c r="AU91" s="18">
        <f t="shared" si="74"/>
        <v>0</v>
      </c>
      <c r="AV91" s="18">
        <f t="shared" si="75"/>
        <v>-1.7170547060680441E-2</v>
      </c>
    </row>
    <row r="92" spans="1:48">
      <c r="A92" s="17">
        <f t="shared" si="60"/>
        <v>22</v>
      </c>
      <c r="B92" s="17">
        <f t="shared" si="31"/>
        <v>72</v>
      </c>
      <c r="C92" s="17">
        <f t="shared" si="32"/>
        <v>2021</v>
      </c>
      <c r="D92" s="17">
        <f>0</f>
        <v>0</v>
      </c>
      <c r="E92" s="18">
        <f>IF(D92=1,SUMIFS('5 - Dati'!$F$6:$F$186,'5 - Dati'!$A$6:$A$186,Serie,'5 - Dati'!$B$6:$B$186,C92),(1+Rend_c)*(1+Infl_c)-1)</f>
        <v>5.0599999999999978E-2</v>
      </c>
      <c r="F92" s="18">
        <f>IF(D92=1,SUMIFS('5 - Dati'!$E$6:$E$186,'5 - Dati'!$A$6:$A$186,Serie,'5 - Dati'!$B$6:$B$186,C92),Infl_c)</f>
        <v>0.02</v>
      </c>
      <c r="G92" s="19">
        <f t="shared" si="33"/>
        <v>1.0484988</v>
      </c>
      <c r="H92" s="19">
        <f t="shared" si="61"/>
        <v>0.20922646997926903</v>
      </c>
      <c r="I92" s="19">
        <f t="shared" si="34"/>
        <v>0.79439888219460997</v>
      </c>
      <c r="J92" s="20">
        <f t="shared" si="35"/>
        <v>38000</v>
      </c>
      <c r="K92" s="20">
        <f t="shared" si="36"/>
        <v>47834.911216165143</v>
      </c>
      <c r="L92" s="17">
        <f t="shared" si="37"/>
        <v>0</v>
      </c>
      <c r="M92" s="20">
        <f t="shared" si="38"/>
        <v>38000</v>
      </c>
      <c r="N92" s="20">
        <f t="shared" si="62"/>
        <v>577702.30948988639</v>
      </c>
      <c r="O92" s="20">
        <f t="shared" si="39"/>
        <v>25439.297102271932</v>
      </c>
      <c r="P92" s="20">
        <f t="shared" si="40"/>
        <v>32023.329428653291</v>
      </c>
      <c r="Q92" s="17">
        <f t="shared" si="41"/>
        <v>0</v>
      </c>
      <c r="R92" s="20">
        <f t="shared" si="42"/>
        <v>25439.297102271932</v>
      </c>
      <c r="S92" s="20">
        <f t="shared" si="63"/>
        <v>789411.53085746407</v>
      </c>
      <c r="T92" s="20">
        <f t="shared" si="43"/>
        <v>34200</v>
      </c>
      <c r="U92" s="20">
        <f t="shared" si="44"/>
        <v>43051.42009454863</v>
      </c>
      <c r="V92" s="17">
        <f t="shared" si="45"/>
        <v>0</v>
      </c>
      <c r="W92" s="20">
        <f t="shared" si="46"/>
        <v>34200</v>
      </c>
      <c r="X92" s="20">
        <f t="shared" si="64"/>
        <v>686371.44298737147</v>
      </c>
      <c r="Y92" s="18">
        <f t="shared" si="47"/>
        <v>5.1741003336199042E-2</v>
      </c>
      <c r="Z92" s="20">
        <f t="shared" si="48"/>
        <v>30622.333784913</v>
      </c>
      <c r="AA92" s="20">
        <f t="shared" si="49"/>
        <v>38547.805732449677</v>
      </c>
      <c r="AB92" s="17">
        <f t="shared" si="50"/>
        <v>0</v>
      </c>
      <c r="AC92" s="20">
        <f t="shared" si="51"/>
        <v>30622.333784913</v>
      </c>
      <c r="AD92" s="20">
        <f t="shared" si="65"/>
        <v>745014.65466327476</v>
      </c>
      <c r="AE92" s="20">
        <f t="shared" si="66"/>
        <v>27702</v>
      </c>
      <c r="AF92" s="18">
        <f t="shared" si="52"/>
        <v>4.9010678776086079E-2</v>
      </c>
      <c r="AG92" s="20">
        <f t="shared" si="53"/>
        <v>24931.8</v>
      </c>
      <c r="AH92" s="20">
        <f t="shared" si="54"/>
        <v>31384.48524892595</v>
      </c>
      <c r="AI92" s="17">
        <f t="shared" si="55"/>
        <v>0</v>
      </c>
      <c r="AJ92" s="20">
        <f t="shared" si="56"/>
        <v>24931.8</v>
      </c>
      <c r="AK92" s="20">
        <f t="shared" si="67"/>
        <v>711511.26953172125</v>
      </c>
      <c r="AL92" s="20">
        <f t="shared" si="68"/>
        <v>25439.297102271932</v>
      </c>
      <c r="AM92" s="20">
        <f t="shared" si="57"/>
        <v>32023.329428653291</v>
      </c>
      <c r="AN92" s="17">
        <f t="shared" si="58"/>
        <v>0</v>
      </c>
      <c r="AO92" s="20">
        <f t="shared" si="59"/>
        <v>25439.297102271932</v>
      </c>
      <c r="AP92" s="20">
        <f t="shared" si="69"/>
        <v>789411.53085746407</v>
      </c>
      <c r="AQ92" s="18">
        <f t="shared" si="70"/>
        <v>0</v>
      </c>
      <c r="AR92" s="18">
        <f t="shared" si="71"/>
        <v>-1.702405816613517E-2</v>
      </c>
      <c r="AS92" s="18">
        <f t="shared" si="72"/>
        <v>0</v>
      </c>
      <c r="AT92" s="18">
        <f t="shared" si="73"/>
        <v>-5.3034895610603039E-3</v>
      </c>
      <c r="AU92" s="18">
        <f t="shared" si="74"/>
        <v>-9.9999999999999978E-2</v>
      </c>
      <c r="AV92" s="18">
        <f t="shared" si="75"/>
        <v>-1.702405816613517E-2</v>
      </c>
    </row>
    <row r="93" spans="1:48">
      <c r="A93" s="17">
        <f t="shared" si="60"/>
        <v>23</v>
      </c>
      <c r="B93" s="17">
        <f t="shared" si="31"/>
        <v>73</v>
      </c>
      <c r="C93" s="17">
        <f t="shared" si="32"/>
        <v>2022</v>
      </c>
      <c r="D93" s="17">
        <f>0</f>
        <v>0</v>
      </c>
      <c r="E93" s="18">
        <f>IF(D93=1,SUMIFS('5 - Dati'!$F$6:$F$186,'5 - Dati'!$A$6:$A$186,Serie,'5 - Dati'!$B$6:$B$186,C93),(1+Rend_c)*(1+Infl_c)-1)</f>
        <v>5.0599999999999978E-2</v>
      </c>
      <c r="F93" s="18">
        <f>IF(D93=1,SUMIFS('5 - Dati'!$E$6:$E$186,'5 - Dati'!$A$6:$A$186,Serie,'5 - Dati'!$B$6:$B$186,C93),Infl_c)</f>
        <v>0.02</v>
      </c>
      <c r="G93" s="19">
        <f t="shared" si="33"/>
        <v>1.0484988</v>
      </c>
      <c r="H93" s="19">
        <f t="shared" si="61"/>
        <v>0.19954860222946277</v>
      </c>
      <c r="I93" s="19">
        <f t="shared" si="34"/>
        <v>0.79188263657966029</v>
      </c>
      <c r="J93" s="20">
        <f t="shared" si="35"/>
        <v>38000</v>
      </c>
      <c r="K93" s="20">
        <f t="shared" si="36"/>
        <v>47986.908974455524</v>
      </c>
      <c r="L93" s="17">
        <f t="shared" si="37"/>
        <v>0</v>
      </c>
      <c r="M93" s="20">
        <f t="shared" si="38"/>
        <v>38000</v>
      </c>
      <c r="N93" s="20">
        <f t="shared" si="62"/>
        <v>544671.89338148898</v>
      </c>
      <c r="O93" s="20">
        <f t="shared" si="39"/>
        <v>25009.795408971604</v>
      </c>
      <c r="P93" s="20">
        <f t="shared" si="40"/>
        <v>31582.704625265156</v>
      </c>
      <c r="Q93" s="17">
        <f t="shared" si="41"/>
        <v>0</v>
      </c>
      <c r="R93" s="20">
        <f t="shared" si="42"/>
        <v>25009.795408971604</v>
      </c>
      <c r="S93" s="20">
        <f t="shared" si="63"/>
        <v>778549.62777673174</v>
      </c>
      <c r="T93" s="20">
        <f t="shared" si="43"/>
        <v>34200</v>
      </c>
      <c r="U93" s="20">
        <f t="shared" si="44"/>
        <v>43188.218077009966</v>
      </c>
      <c r="V93" s="17">
        <f t="shared" si="45"/>
        <v>0</v>
      </c>
      <c r="W93" s="20">
        <f t="shared" si="46"/>
        <v>34200</v>
      </c>
      <c r="X93" s="20">
        <f t="shared" si="64"/>
        <v>661294.38433244824</v>
      </c>
      <c r="Y93" s="18">
        <f t="shared" si="47"/>
        <v>5.29749614802364E-2</v>
      </c>
      <c r="Z93" s="20">
        <f t="shared" si="48"/>
        <v>30464.28736169725</v>
      </c>
      <c r="AA93" s="20">
        <f t="shared" si="49"/>
        <v>38470.710120984782</v>
      </c>
      <c r="AB93" s="17">
        <f t="shared" si="50"/>
        <v>0</v>
      </c>
      <c r="AC93" s="20">
        <f t="shared" si="51"/>
        <v>30464.28736169725</v>
      </c>
      <c r="AD93" s="20">
        <f t="shared" si="65"/>
        <v>726205.53268995241</v>
      </c>
      <c r="AE93" s="20">
        <f t="shared" si="66"/>
        <v>24931.8</v>
      </c>
      <c r="AF93" s="18">
        <f t="shared" si="52"/>
        <v>4.5033444846262233E-2</v>
      </c>
      <c r="AG93" s="20">
        <f t="shared" si="53"/>
        <v>24931.8</v>
      </c>
      <c r="AH93" s="20">
        <f t="shared" si="54"/>
        <v>31484.210978140265</v>
      </c>
      <c r="AI93" s="17">
        <f t="shared" si="55"/>
        <v>0</v>
      </c>
      <c r="AJ93" s="20">
        <f t="shared" si="56"/>
        <v>24931.8</v>
      </c>
      <c r="AK93" s="20">
        <f t="shared" si="67"/>
        <v>699129.5266356566</v>
      </c>
      <c r="AL93" s="20">
        <f t="shared" si="68"/>
        <v>25009.795408971604</v>
      </c>
      <c r="AM93" s="20">
        <f t="shared" si="57"/>
        <v>31582.704625265156</v>
      </c>
      <c r="AN93" s="17">
        <f t="shared" si="58"/>
        <v>0</v>
      </c>
      <c r="AO93" s="20">
        <f t="shared" si="59"/>
        <v>25009.795408971604</v>
      </c>
      <c r="AP93" s="20">
        <f t="shared" si="69"/>
        <v>778549.62777673174</v>
      </c>
      <c r="AQ93" s="18">
        <f t="shared" si="70"/>
        <v>0</v>
      </c>
      <c r="AR93" s="18">
        <f t="shared" si="71"/>
        <v>-1.6883394677676411E-2</v>
      </c>
      <c r="AS93" s="18">
        <f t="shared" si="72"/>
        <v>0</v>
      </c>
      <c r="AT93" s="18">
        <f t="shared" si="73"/>
        <v>-5.161148863631615E-3</v>
      </c>
      <c r="AU93" s="18">
        <f t="shared" si="74"/>
        <v>0</v>
      </c>
      <c r="AV93" s="18">
        <f t="shared" si="75"/>
        <v>-1.6883394677676411E-2</v>
      </c>
    </row>
    <row r="94" spans="1:48">
      <c r="A94" s="17">
        <f t="shared" si="60"/>
        <v>24</v>
      </c>
      <c r="B94" s="17">
        <f t="shared" si="31"/>
        <v>74</v>
      </c>
      <c r="C94" s="17">
        <f t="shared" si="32"/>
        <v>2023</v>
      </c>
      <c r="D94" s="17">
        <f>0</f>
        <v>0</v>
      </c>
      <c r="E94" s="18">
        <f>IF(D94=1,SUMIFS('5 - Dati'!$F$6:$F$186,'5 - Dati'!$A$6:$A$186,Serie,'5 - Dati'!$B$6:$B$186,C94),(1+Rend_c)*(1+Infl_c)-1)</f>
        <v>5.0599999999999978E-2</v>
      </c>
      <c r="F94" s="18">
        <f>IF(D94=1,SUMIFS('5 - Dati'!$E$6:$E$186,'5 - Dati'!$A$6:$A$186,Serie,'5 - Dati'!$B$6:$B$186,C94),Infl_c)</f>
        <v>0.02</v>
      </c>
      <c r="G94" s="19">
        <f t="shared" si="33"/>
        <v>1.0484988</v>
      </c>
      <c r="H94" s="19">
        <f t="shared" si="61"/>
        <v>0.19031838875682336</v>
      </c>
      <c r="I94" s="19">
        <f t="shared" si="34"/>
        <v>0.78948278107677405</v>
      </c>
      <c r="J94" s="20">
        <f t="shared" si="35"/>
        <v>38000</v>
      </c>
      <c r="K94" s="20">
        <f t="shared" si="36"/>
        <v>48132.77871389655</v>
      </c>
      <c r="L94" s="17">
        <f t="shared" si="37"/>
        <v>0</v>
      </c>
      <c r="M94" s="20">
        <f t="shared" si="38"/>
        <v>38000</v>
      </c>
      <c r="N94" s="20">
        <f t="shared" si="62"/>
        <v>510562.36287136591</v>
      </c>
      <c r="O94" s="20">
        <f t="shared" si="39"/>
        <v>24590.922242173721</v>
      </c>
      <c r="P94" s="20">
        <f t="shared" si="40"/>
        <v>31148.142596136433</v>
      </c>
      <c r="Q94" s="17">
        <f t="shared" si="41"/>
        <v>0</v>
      </c>
      <c r="R94" s="20">
        <f t="shared" si="42"/>
        <v>24590.922242173721</v>
      </c>
      <c r="S94" s="20">
        <f t="shared" si="63"/>
        <v>767837.17898431851</v>
      </c>
      <c r="T94" s="20">
        <f t="shared" si="43"/>
        <v>34200</v>
      </c>
      <c r="U94" s="20">
        <f t="shared" si="44"/>
        <v>43319.500842506895</v>
      </c>
      <c r="V94" s="17">
        <f t="shared" si="45"/>
        <v>0</v>
      </c>
      <c r="W94" s="20">
        <f t="shared" si="46"/>
        <v>34200</v>
      </c>
      <c r="X94" s="20">
        <f t="shared" si="64"/>
        <v>635376.05254061508</v>
      </c>
      <c r="Y94" s="18">
        <f t="shared" si="47"/>
        <v>5.4309019661732384E-2</v>
      </c>
      <c r="Z94" s="20">
        <f t="shared" si="48"/>
        <v>30311.219289880832</v>
      </c>
      <c r="AA94" s="20">
        <f t="shared" si="49"/>
        <v>38393.768700742803</v>
      </c>
      <c r="AB94" s="17">
        <f t="shared" si="50"/>
        <v>0</v>
      </c>
      <c r="AC94" s="20">
        <f t="shared" si="51"/>
        <v>30311.219289880832</v>
      </c>
      <c r="AD94" s="20">
        <f t="shared" si="65"/>
        <v>706950.13351154444</v>
      </c>
      <c r="AE94" s="20">
        <f t="shared" si="66"/>
        <v>24931.8</v>
      </c>
      <c r="AF94" s="18">
        <f t="shared" si="52"/>
        <v>4.6014785281093824E-2</v>
      </c>
      <c r="AG94" s="20">
        <f t="shared" si="53"/>
        <v>24931.8</v>
      </c>
      <c r="AH94" s="20">
        <f t="shared" si="54"/>
        <v>31579.916114187527</v>
      </c>
      <c r="AI94" s="17">
        <f t="shared" si="55"/>
        <v>0</v>
      </c>
      <c r="AJ94" s="20">
        <f t="shared" si="56"/>
        <v>24931.8</v>
      </c>
      <c r="AK94" s="20">
        <f t="shared" si="67"/>
        <v>686299.32577698724</v>
      </c>
      <c r="AL94" s="20">
        <f t="shared" si="68"/>
        <v>24590.922242173721</v>
      </c>
      <c r="AM94" s="20">
        <f t="shared" si="57"/>
        <v>31148.142596136433</v>
      </c>
      <c r="AN94" s="17">
        <f t="shared" si="58"/>
        <v>0</v>
      </c>
      <c r="AO94" s="20">
        <f t="shared" si="59"/>
        <v>24590.922242173721</v>
      </c>
      <c r="AP94" s="20">
        <f t="shared" si="69"/>
        <v>767837.17898431851</v>
      </c>
      <c r="AQ94" s="18">
        <f t="shared" si="70"/>
        <v>0</v>
      </c>
      <c r="AR94" s="18">
        <f t="shared" si="71"/>
        <v>-1.6748364388763592E-2</v>
      </c>
      <c r="AS94" s="18">
        <f t="shared" si="72"/>
        <v>0</v>
      </c>
      <c r="AT94" s="18">
        <f t="shared" si="73"/>
        <v>-5.0245085335188788E-3</v>
      </c>
      <c r="AU94" s="18">
        <f t="shared" si="74"/>
        <v>0</v>
      </c>
      <c r="AV94" s="18">
        <f t="shared" si="75"/>
        <v>-1.6748364388763592E-2</v>
      </c>
    </row>
    <row r="95" spans="1:48">
      <c r="A95" s="17">
        <f t="shared" si="60"/>
        <v>25</v>
      </c>
      <c r="B95" s="17">
        <f t="shared" si="31"/>
        <v>75</v>
      </c>
      <c r="C95" s="17">
        <f t="shared" si="32"/>
        <v>2024</v>
      </c>
      <c r="D95" s="17">
        <f>0</f>
        <v>0</v>
      </c>
      <c r="E95" s="18">
        <f>IF(D95=1,SUMIFS('5 - Dati'!$F$6:$F$186,'5 - Dati'!$A$6:$A$186,Serie,'5 - Dati'!$B$6:$B$186,C95),(1+Rend_c)*(1+Infl_c)-1)</f>
        <v>5.0599999999999978E-2</v>
      </c>
      <c r="F95" s="18">
        <f>IF(D95=1,SUMIFS('5 - Dati'!$E$6:$E$186,'5 - Dati'!$A$6:$A$186,Serie,'5 - Dati'!$B$6:$B$186,C95),Infl_c)</f>
        <v>0.02</v>
      </c>
      <c r="G95" s="19">
        <f t="shared" si="33"/>
        <v>1.0484988</v>
      </c>
      <c r="H95" s="19">
        <f t="shared" si="61"/>
        <v>0.18151512310440734</v>
      </c>
      <c r="I95" s="19">
        <f t="shared" si="34"/>
        <v>0.78719393200714594</v>
      </c>
      <c r="J95" s="20">
        <f t="shared" si="35"/>
        <v>38000</v>
      </c>
      <c r="K95" s="20">
        <f t="shared" si="36"/>
        <v>48272.729825431437</v>
      </c>
      <c r="L95" s="17">
        <f t="shared" si="37"/>
        <v>0</v>
      </c>
      <c r="M95" s="20">
        <f t="shared" si="38"/>
        <v>38000</v>
      </c>
      <c r="N95" s="20">
        <f t="shared" si="62"/>
        <v>475349.86673882901</v>
      </c>
      <c r="O95" s="20">
        <f t="shared" si="39"/>
        <v>24182.251163396471</v>
      </c>
      <c r="P95" s="20">
        <f t="shared" si="40"/>
        <v>30719.55992056218</v>
      </c>
      <c r="Q95" s="17">
        <f t="shared" si="41"/>
        <v>0</v>
      </c>
      <c r="R95" s="20">
        <f t="shared" si="42"/>
        <v>24182.251163396471</v>
      </c>
      <c r="S95" s="20">
        <f t="shared" si="63"/>
        <v>757272.12806486792</v>
      </c>
      <c r="T95" s="20">
        <f t="shared" si="43"/>
        <v>34200</v>
      </c>
      <c r="U95" s="20">
        <f t="shared" si="44"/>
        <v>43445.456842888292</v>
      </c>
      <c r="V95" s="17">
        <f t="shared" si="45"/>
        <v>0</v>
      </c>
      <c r="W95" s="20">
        <f t="shared" si="46"/>
        <v>34200</v>
      </c>
      <c r="X95" s="20">
        <f t="shared" si="64"/>
        <v>608598.61175255326</v>
      </c>
      <c r="Y95" s="18">
        <f t="shared" si="47"/>
        <v>5.575521460109497E-2</v>
      </c>
      <c r="Z95" s="20">
        <f t="shared" si="48"/>
        <v>30162.895064614397</v>
      </c>
      <c r="AA95" s="20">
        <f t="shared" si="49"/>
        <v>38316.981163341319</v>
      </c>
      <c r="AB95" s="17">
        <f t="shared" si="50"/>
        <v>0</v>
      </c>
      <c r="AC95" s="20">
        <f t="shared" si="51"/>
        <v>30162.895064614397</v>
      </c>
      <c r="AD95" s="20">
        <f t="shared" si="65"/>
        <v>687235.82964361541</v>
      </c>
      <c r="AE95" s="20">
        <f t="shared" si="66"/>
        <v>24931.8</v>
      </c>
      <c r="AF95" s="18">
        <f t="shared" si="52"/>
        <v>4.7059674023379766E-2</v>
      </c>
      <c r="AG95" s="20">
        <f t="shared" si="53"/>
        <v>24931.8</v>
      </c>
      <c r="AH95" s="20">
        <f t="shared" si="54"/>
        <v>31671.738038465566</v>
      </c>
      <c r="AI95" s="17">
        <f t="shared" si="55"/>
        <v>0</v>
      </c>
      <c r="AJ95" s="20">
        <f t="shared" si="56"/>
        <v>24931.8</v>
      </c>
      <c r="AK95" s="20">
        <f t="shared" si="67"/>
        <v>673012.26996877824</v>
      </c>
      <c r="AL95" s="20">
        <f t="shared" si="68"/>
        <v>24182.251163396471</v>
      </c>
      <c r="AM95" s="20">
        <f t="shared" si="57"/>
        <v>30719.55992056218</v>
      </c>
      <c r="AN95" s="17">
        <f t="shared" si="58"/>
        <v>0</v>
      </c>
      <c r="AO95" s="20">
        <f t="shared" si="59"/>
        <v>24182.251163396471</v>
      </c>
      <c r="AP95" s="20">
        <f t="shared" si="69"/>
        <v>757272.12806486792</v>
      </c>
      <c r="AQ95" s="18">
        <f t="shared" si="70"/>
        <v>0</v>
      </c>
      <c r="AR95" s="18">
        <f t="shared" si="71"/>
        <v>-1.6618778049583449E-2</v>
      </c>
      <c r="AS95" s="18">
        <f t="shared" si="72"/>
        <v>0</v>
      </c>
      <c r="AT95" s="18">
        <f t="shared" si="73"/>
        <v>-4.8933770643779795E-3</v>
      </c>
      <c r="AU95" s="18">
        <f t="shared" si="74"/>
        <v>0</v>
      </c>
      <c r="AV95" s="18">
        <f t="shared" si="75"/>
        <v>-1.6618778049583449E-2</v>
      </c>
    </row>
    <row r="96" spans="1:48">
      <c r="A96" s="17">
        <f t="shared" si="60"/>
        <v>26</v>
      </c>
      <c r="B96" s="17">
        <f t="shared" si="31"/>
        <v>76</v>
      </c>
      <c r="C96" s="17">
        <f t="shared" si="32"/>
        <v>2025</v>
      </c>
      <c r="D96" s="17">
        <f>0</f>
        <v>0</v>
      </c>
      <c r="E96" s="18">
        <f>IF(D96=1,SUMIFS('5 - Dati'!$F$6:$F$186,'5 - Dati'!$A$6:$A$186,Serie,'5 - Dati'!$B$6:$B$186,C96),(1+Rend_c)*(1+Infl_c)-1)</f>
        <v>5.0599999999999978E-2</v>
      </c>
      <c r="F96" s="18">
        <f>IF(D96=1,SUMIFS('5 - Dati'!$E$6:$E$186,'5 - Dati'!$A$6:$A$186,Serie,'5 - Dati'!$B$6:$B$186,C96),Infl_c)</f>
        <v>0.02</v>
      </c>
      <c r="G96" s="19">
        <f t="shared" si="33"/>
        <v>1.0484988</v>
      </c>
      <c r="H96" s="19">
        <f t="shared" si="61"/>
        <v>0.17311905660207466</v>
      </c>
      <c r="I96" s="19">
        <f t="shared" si="34"/>
        <v>0.78501095471653937</v>
      </c>
      <c r="J96" s="20">
        <f t="shared" si="35"/>
        <v>38000</v>
      </c>
      <c r="K96" s="20">
        <f t="shared" si="36"/>
        <v>48406.967790304872</v>
      </c>
      <c r="L96" s="17">
        <f t="shared" si="37"/>
        <v>0</v>
      </c>
      <c r="M96" s="20">
        <f t="shared" si="38"/>
        <v>38000</v>
      </c>
      <c r="N96" s="20">
        <f t="shared" si="62"/>
        <v>439009.67211875791</v>
      </c>
      <c r="O96" s="20">
        <f t="shared" si="39"/>
        <v>23783.378239316578</v>
      </c>
      <c r="P96" s="20">
        <f t="shared" si="40"/>
        <v>30296.874325664092</v>
      </c>
      <c r="Q96" s="17">
        <f t="shared" si="41"/>
        <v>0</v>
      </c>
      <c r="R96" s="20">
        <f t="shared" si="42"/>
        <v>23783.378239316578</v>
      </c>
      <c r="S96" s="20">
        <f t="shared" si="63"/>
        <v>746852.44689825759</v>
      </c>
      <c r="T96" s="20">
        <f t="shared" si="43"/>
        <v>34200</v>
      </c>
      <c r="U96" s="20">
        <f t="shared" si="44"/>
        <v>43566.271011274388</v>
      </c>
      <c r="V96" s="17">
        <f t="shared" si="45"/>
        <v>0</v>
      </c>
      <c r="W96" s="20">
        <f t="shared" si="46"/>
        <v>34200</v>
      </c>
      <c r="X96" s="20">
        <f t="shared" si="64"/>
        <v>580943.53405784094</v>
      </c>
      <c r="Y96" s="18">
        <f t="shared" si="47"/>
        <v>5.7327588299970776E-2</v>
      </c>
      <c r="Z96" s="20">
        <f t="shared" si="48"/>
        <v>30019.091464960438</v>
      </c>
      <c r="AA96" s="20">
        <f t="shared" si="49"/>
        <v>38240.347201014629</v>
      </c>
      <c r="AB96" s="17">
        <f t="shared" si="50"/>
        <v>0</v>
      </c>
      <c r="AC96" s="20">
        <f t="shared" si="51"/>
        <v>30019.091464960438</v>
      </c>
      <c r="AD96" s="20">
        <f t="shared" si="65"/>
        <v>667049.64110681287</v>
      </c>
      <c r="AE96" s="20">
        <f t="shared" si="66"/>
        <v>24931.8</v>
      </c>
      <c r="AF96" s="18">
        <f t="shared" si="52"/>
        <v>4.8174971168812065E-2</v>
      </c>
      <c r="AG96" s="20">
        <f t="shared" si="53"/>
        <v>24931.8</v>
      </c>
      <c r="AH96" s="20">
        <f t="shared" si="54"/>
        <v>31759.811567219029</v>
      </c>
      <c r="AI96" s="17">
        <f t="shared" si="55"/>
        <v>0</v>
      </c>
      <c r="AJ96" s="20">
        <f t="shared" si="56"/>
        <v>24931.8</v>
      </c>
      <c r="AK96" s="20">
        <f t="shared" si="67"/>
        <v>659259.58639244549</v>
      </c>
      <c r="AL96" s="20">
        <f t="shared" si="68"/>
        <v>23783.378239316578</v>
      </c>
      <c r="AM96" s="20">
        <f t="shared" si="57"/>
        <v>30296.874325664092</v>
      </c>
      <c r="AN96" s="17">
        <f t="shared" si="58"/>
        <v>0</v>
      </c>
      <c r="AO96" s="20">
        <f t="shared" si="59"/>
        <v>23783.378239316578</v>
      </c>
      <c r="AP96" s="20">
        <f t="shared" si="69"/>
        <v>746852.44689825759</v>
      </c>
      <c r="AQ96" s="18">
        <f t="shared" si="70"/>
        <v>0</v>
      </c>
      <c r="AR96" s="18">
        <f t="shared" si="71"/>
        <v>-1.6494449643449594E-2</v>
      </c>
      <c r="AS96" s="18">
        <f t="shared" si="72"/>
        <v>0</v>
      </c>
      <c r="AT96" s="18">
        <f t="shared" si="73"/>
        <v>-4.7675662215416192E-3</v>
      </c>
      <c r="AU96" s="18">
        <f t="shared" si="74"/>
        <v>0</v>
      </c>
      <c r="AV96" s="18">
        <f t="shared" si="75"/>
        <v>-1.6494449643449594E-2</v>
      </c>
    </row>
    <row r="97" spans="1:48">
      <c r="A97" s="17">
        <f t="shared" si="60"/>
        <v>27</v>
      </c>
      <c r="B97" s="17">
        <f t="shared" si="31"/>
        <v>77</v>
      </c>
      <c r="C97" s="17">
        <f t="shared" si="32"/>
        <v>2026</v>
      </c>
      <c r="D97" s="17">
        <f>0</f>
        <v>0</v>
      </c>
      <c r="E97" s="18">
        <f>IF(D97=1,SUMIFS('5 - Dati'!$F$6:$F$186,'5 - Dati'!$A$6:$A$186,Serie,'5 - Dati'!$B$6:$B$186,C97),(1+Rend_c)*(1+Infl_c)-1)</f>
        <v>5.0599999999999978E-2</v>
      </c>
      <c r="F97" s="18">
        <f>IF(D97=1,SUMIFS('5 - Dati'!$E$6:$E$186,'5 - Dati'!$A$6:$A$186,Serie,'5 - Dati'!$B$6:$B$186,C97),Infl_c)</f>
        <v>0.02</v>
      </c>
      <c r="G97" s="19">
        <f t="shared" si="33"/>
        <v>1.0484988</v>
      </c>
      <c r="H97" s="19">
        <f t="shared" si="61"/>
        <v>0.16511135406361424</v>
      </c>
      <c r="I97" s="19">
        <f t="shared" si="34"/>
        <v>0.78292895205653967</v>
      </c>
      <c r="J97" s="20">
        <f t="shared" si="35"/>
        <v>38000</v>
      </c>
      <c r="K97" s="20">
        <f t="shared" si="36"/>
        <v>48535.693947943066</v>
      </c>
      <c r="L97" s="17">
        <f t="shared" si="37"/>
        <v>0</v>
      </c>
      <c r="M97" s="20">
        <f t="shared" si="38"/>
        <v>38000</v>
      </c>
      <c r="N97" s="20">
        <f t="shared" si="62"/>
        <v>401516.14388738998</v>
      </c>
      <c r="O97" s="20">
        <f t="shared" si="39"/>
        <v>23393.920744195064</v>
      </c>
      <c r="P97" s="20">
        <f t="shared" si="40"/>
        <v>29880.004670597056</v>
      </c>
      <c r="Q97" s="17">
        <f t="shared" si="41"/>
        <v>0</v>
      </c>
      <c r="R97" s="20">
        <f t="shared" si="42"/>
        <v>23393.920744195064</v>
      </c>
      <c r="S97" s="20">
        <f t="shared" si="63"/>
        <v>736576.13527027168</v>
      </c>
      <c r="T97" s="20">
        <f t="shared" si="43"/>
        <v>34200</v>
      </c>
      <c r="U97" s="20">
        <f t="shared" si="44"/>
        <v>43682.124553148758</v>
      </c>
      <c r="V97" s="17">
        <f t="shared" si="45"/>
        <v>0</v>
      </c>
      <c r="W97" s="20">
        <f t="shared" si="46"/>
        <v>34200</v>
      </c>
      <c r="X97" s="20">
        <f t="shared" si="64"/>
        <v>552391.5837760875</v>
      </c>
      <c r="Y97" s="18">
        <f t="shared" si="47"/>
        <v>5.9042623956761443E-2</v>
      </c>
      <c r="Z97" s="20">
        <f t="shared" si="48"/>
        <v>29879.596010447876</v>
      </c>
      <c r="AA97" s="20">
        <f t="shared" si="49"/>
        <v>38163.866506612598</v>
      </c>
      <c r="AB97" s="17">
        <f t="shared" si="50"/>
        <v>0</v>
      </c>
      <c r="AC97" s="20">
        <f t="shared" si="51"/>
        <v>29879.596010447876</v>
      </c>
      <c r="AD97" s="20">
        <f t="shared" si="65"/>
        <v>646378.22557752614</v>
      </c>
      <c r="AE97" s="20">
        <f t="shared" si="66"/>
        <v>24931.8</v>
      </c>
      <c r="AF97" s="18">
        <f t="shared" si="52"/>
        <v>4.9368501016084913E-2</v>
      </c>
      <c r="AG97" s="20">
        <f t="shared" si="53"/>
        <v>22438.62</v>
      </c>
      <c r="AH97" s="20">
        <f t="shared" si="54"/>
        <v>28659.841919320901</v>
      </c>
      <c r="AI97" s="17">
        <f t="shared" si="55"/>
        <v>0</v>
      </c>
      <c r="AJ97" s="20">
        <f t="shared" si="56"/>
        <v>22438.62</v>
      </c>
      <c r="AK97" s="20">
        <f t="shared" si="67"/>
        <v>645032.11853384331</v>
      </c>
      <c r="AL97" s="20">
        <f t="shared" si="68"/>
        <v>23393.920744195064</v>
      </c>
      <c r="AM97" s="20">
        <f t="shared" si="57"/>
        <v>29880.004670597056</v>
      </c>
      <c r="AN97" s="17">
        <f t="shared" si="58"/>
        <v>0</v>
      </c>
      <c r="AO97" s="20">
        <f t="shared" si="59"/>
        <v>23393.920744195064</v>
      </c>
      <c r="AP97" s="20">
        <f t="shared" si="69"/>
        <v>736576.13527027168</v>
      </c>
      <c r="AQ97" s="18">
        <f t="shared" si="70"/>
        <v>0</v>
      </c>
      <c r="AR97" s="18">
        <f t="shared" si="71"/>
        <v>-1.6375196626932431E-2</v>
      </c>
      <c r="AS97" s="18">
        <f t="shared" si="72"/>
        <v>0</v>
      </c>
      <c r="AT97" s="18">
        <f t="shared" si="73"/>
        <v>-4.6468912850139432E-3</v>
      </c>
      <c r="AU97" s="18">
        <f t="shared" si="74"/>
        <v>-9.9999999999999978E-2</v>
      </c>
      <c r="AV97" s="18">
        <f t="shared" si="75"/>
        <v>-1.6375196626932431E-2</v>
      </c>
    </row>
    <row r="98" spans="1:48">
      <c r="A98" s="17">
        <f t="shared" si="60"/>
        <v>28</v>
      </c>
      <c r="B98" s="17">
        <f t="shared" si="31"/>
        <v>78</v>
      </c>
      <c r="C98" s="17">
        <f t="shared" si="32"/>
        <v>2027</v>
      </c>
      <c r="D98" s="17">
        <f>0</f>
        <v>0</v>
      </c>
      <c r="E98" s="18">
        <f>IF(D98=1,SUMIFS('5 - Dati'!$F$6:$F$186,'5 - Dati'!$A$6:$A$186,Serie,'5 - Dati'!$B$6:$B$186,C98),(1+Rend_c)*(1+Infl_c)-1)</f>
        <v>5.0599999999999978E-2</v>
      </c>
      <c r="F98" s="18">
        <f>IF(D98=1,SUMIFS('5 - Dati'!$E$6:$E$186,'5 - Dati'!$A$6:$A$186,Serie,'5 - Dati'!$B$6:$B$186,C98),Infl_c)</f>
        <v>0.02</v>
      </c>
      <c r="G98" s="19">
        <f t="shared" si="33"/>
        <v>1.0484988</v>
      </c>
      <c r="H98" s="19">
        <f t="shared" si="61"/>
        <v>0.15747405153311977</v>
      </c>
      <c r="I98" s="19">
        <f t="shared" si="34"/>
        <v>0.78094325339861115</v>
      </c>
      <c r="J98" s="20">
        <f t="shared" si="35"/>
        <v>38000</v>
      </c>
      <c r="K98" s="20">
        <f t="shared" si="36"/>
        <v>48659.105299426847</v>
      </c>
      <c r="L98" s="17">
        <f t="shared" si="37"/>
        <v>0</v>
      </c>
      <c r="M98" s="20">
        <f t="shared" si="38"/>
        <v>38000</v>
      </c>
      <c r="N98" s="20">
        <f t="shared" si="62"/>
        <v>362842.72371075506</v>
      </c>
      <c r="O98" s="20">
        <f t="shared" si="39"/>
        <v>23013.515938817738</v>
      </c>
      <c r="P98" s="20">
        <f t="shared" si="40"/>
        <v>29468.870930972902</v>
      </c>
      <c r="Q98" s="17">
        <f t="shared" si="41"/>
        <v>0</v>
      </c>
      <c r="R98" s="20">
        <f t="shared" si="42"/>
        <v>23013.515938817738</v>
      </c>
      <c r="S98" s="20">
        <f t="shared" si="63"/>
        <v>726441.22048862942</v>
      </c>
      <c r="T98" s="20">
        <f t="shared" si="43"/>
        <v>34200</v>
      </c>
      <c r="U98" s="20">
        <f t="shared" si="44"/>
        <v>43793.194769484158</v>
      </c>
      <c r="V98" s="17">
        <f t="shared" si="45"/>
        <v>0</v>
      </c>
      <c r="W98" s="20">
        <f t="shared" si="46"/>
        <v>34200</v>
      </c>
      <c r="X98" s="20">
        <f t="shared" si="64"/>
        <v>522922.80151362758</v>
      </c>
      <c r="Y98" s="18">
        <f t="shared" si="47"/>
        <v>6.0919800768655469E-2</v>
      </c>
      <c r="Z98" s="20">
        <f t="shared" si="48"/>
        <v>29744.206443800434</v>
      </c>
      <c r="AA98" s="20">
        <f t="shared" si="49"/>
        <v>38087.538773599365</v>
      </c>
      <c r="AB98" s="17">
        <f t="shared" si="50"/>
        <v>0</v>
      </c>
      <c r="AC98" s="20">
        <f t="shared" si="51"/>
        <v>29744.206443800434</v>
      </c>
      <c r="AD98" s="20">
        <f t="shared" si="65"/>
        <v>625207.86826335476</v>
      </c>
      <c r="AE98" s="20">
        <f t="shared" si="66"/>
        <v>22438.62</v>
      </c>
      <c r="AF98" s="18">
        <f t="shared" si="52"/>
        <v>4.5348800455135729E-2</v>
      </c>
      <c r="AG98" s="20">
        <f t="shared" si="53"/>
        <v>22438.62</v>
      </c>
      <c r="AH98" s="20">
        <f t="shared" si="54"/>
        <v>28732.715088258556</v>
      </c>
      <c r="AI98" s="17">
        <f t="shared" si="55"/>
        <v>0</v>
      </c>
      <c r="AJ98" s="20">
        <f t="shared" si="56"/>
        <v>22438.62</v>
      </c>
      <c r="AK98" s="20">
        <f t="shared" si="67"/>
        <v>633593.71802313218</v>
      </c>
      <c r="AL98" s="20">
        <f t="shared" si="68"/>
        <v>23013.515938817738</v>
      </c>
      <c r="AM98" s="20">
        <f t="shared" si="57"/>
        <v>29468.870930972902</v>
      </c>
      <c r="AN98" s="17">
        <f t="shared" si="58"/>
        <v>0</v>
      </c>
      <c r="AO98" s="20">
        <f t="shared" si="59"/>
        <v>23013.515938817738</v>
      </c>
      <c r="AP98" s="20">
        <f t="shared" si="69"/>
        <v>726441.22048862942</v>
      </c>
      <c r="AQ98" s="18">
        <f t="shared" si="70"/>
        <v>0</v>
      </c>
      <c r="AR98" s="18">
        <f t="shared" si="71"/>
        <v>-1.6260840136073318E-2</v>
      </c>
      <c r="AS98" s="18">
        <f t="shared" si="72"/>
        <v>0</v>
      </c>
      <c r="AT98" s="18">
        <f t="shared" si="73"/>
        <v>-4.5311712581421748E-3</v>
      </c>
      <c r="AU98" s="18">
        <f t="shared" si="74"/>
        <v>0</v>
      </c>
      <c r="AV98" s="18">
        <f t="shared" si="75"/>
        <v>-1.6260840136073318E-2</v>
      </c>
    </row>
    <row r="99" spans="1:48">
      <c r="A99" s="17">
        <f t="shared" si="60"/>
        <v>29</v>
      </c>
      <c r="B99" s="17">
        <f t="shared" si="31"/>
        <v>79</v>
      </c>
      <c r="C99" s="17">
        <f t="shared" si="32"/>
        <v>2028</v>
      </c>
      <c r="D99" s="17">
        <f>0</f>
        <v>0</v>
      </c>
      <c r="E99" s="18">
        <f>IF(D99=1,SUMIFS('5 - Dati'!$F$6:$F$186,'5 - Dati'!$A$6:$A$186,Serie,'5 - Dati'!$B$6:$B$186,C99),(1+Rend_c)*(1+Infl_c)-1)</f>
        <v>5.0599999999999978E-2</v>
      </c>
      <c r="F99" s="18">
        <f>IF(D99=1,SUMIFS('5 - Dati'!$E$6:$E$186,'5 - Dati'!$A$6:$A$186,Serie,'5 - Dati'!$B$6:$B$186,C99),Infl_c)</f>
        <v>0.02</v>
      </c>
      <c r="G99" s="19">
        <f t="shared" si="33"/>
        <v>1.0484988</v>
      </c>
      <c r="H99" s="19">
        <f t="shared" si="61"/>
        <v>0.15019001598582638</v>
      </c>
      <c r="I99" s="19">
        <f t="shared" si="34"/>
        <v>0.77904940415631485</v>
      </c>
      <c r="J99" s="20">
        <f t="shared" si="35"/>
        <v>38000</v>
      </c>
      <c r="K99" s="20">
        <f t="shared" si="36"/>
        <v>48777.394344011809</v>
      </c>
      <c r="L99" s="17">
        <f t="shared" si="37"/>
        <v>0</v>
      </c>
      <c r="M99" s="20">
        <f t="shared" si="38"/>
        <v>38000</v>
      </c>
      <c r="N99" s="20">
        <f t="shared" si="62"/>
        <v>322961.90870974073</v>
      </c>
      <c r="O99" s="20">
        <f t="shared" si="39"/>
        <v>22641.819921414648</v>
      </c>
      <c r="P99" s="20">
        <f t="shared" si="40"/>
        <v>29063.394183498545</v>
      </c>
      <c r="Q99" s="17">
        <f t="shared" si="41"/>
        <v>0</v>
      </c>
      <c r="R99" s="20">
        <f t="shared" si="42"/>
        <v>22641.819921414648</v>
      </c>
      <c r="S99" s="20">
        <f t="shared" si="63"/>
        <v>716445.75700429745</v>
      </c>
      <c r="T99" s="20">
        <f t="shared" si="43"/>
        <v>34200</v>
      </c>
      <c r="U99" s="20">
        <f t="shared" si="44"/>
        <v>43899.654909610625</v>
      </c>
      <c r="V99" s="17">
        <f t="shared" si="45"/>
        <v>0</v>
      </c>
      <c r="W99" s="20">
        <f t="shared" si="46"/>
        <v>34200</v>
      </c>
      <c r="X99" s="20">
        <f t="shared" si="64"/>
        <v>492516.48795657477</v>
      </c>
      <c r="Y99" s="18">
        <f t="shared" si="47"/>
        <v>6.2982307249032643E-2</v>
      </c>
      <c r="Z99" s="20">
        <f t="shared" si="48"/>
        <v>29612.730238578421</v>
      </c>
      <c r="AA99" s="20">
        <f t="shared" si="49"/>
        <v>38011.363696052169</v>
      </c>
      <c r="AB99" s="17">
        <f t="shared" si="50"/>
        <v>0</v>
      </c>
      <c r="AC99" s="20">
        <f t="shared" si="51"/>
        <v>29612.730238578421</v>
      </c>
      <c r="AD99" s="20">
        <f t="shared" si="65"/>
        <v>603524.47149569914</v>
      </c>
      <c r="AE99" s="20">
        <f t="shared" si="66"/>
        <v>22438.62</v>
      </c>
      <c r="AF99" s="18">
        <f t="shared" si="52"/>
        <v>4.6324185586328559E-2</v>
      </c>
      <c r="AG99" s="20">
        <f t="shared" si="53"/>
        <v>22438.62</v>
      </c>
      <c r="AH99" s="20">
        <f t="shared" si="54"/>
        <v>28802.563586195531</v>
      </c>
      <c r="AI99" s="17">
        <f t="shared" si="55"/>
        <v>0</v>
      </c>
      <c r="AJ99" s="20">
        <f t="shared" si="56"/>
        <v>22438.62</v>
      </c>
      <c r="AK99" s="20">
        <f t="shared" si="67"/>
        <v>621760.81935687386</v>
      </c>
      <c r="AL99" s="20">
        <f t="shared" si="68"/>
        <v>22641.819921414648</v>
      </c>
      <c r="AM99" s="20">
        <f t="shared" si="57"/>
        <v>29063.394183498545</v>
      </c>
      <c r="AN99" s="17">
        <f t="shared" si="58"/>
        <v>0</v>
      </c>
      <c r="AO99" s="20">
        <f t="shared" si="59"/>
        <v>22641.819921414648</v>
      </c>
      <c r="AP99" s="20">
        <f t="shared" si="69"/>
        <v>716445.75700429745</v>
      </c>
      <c r="AQ99" s="18">
        <f t="shared" si="70"/>
        <v>0</v>
      </c>
      <c r="AR99" s="18">
        <f t="shared" si="71"/>
        <v>-1.6151205160969684E-2</v>
      </c>
      <c r="AS99" s="18">
        <f t="shared" si="72"/>
        <v>0</v>
      </c>
      <c r="AT99" s="18">
        <f t="shared" si="73"/>
        <v>-4.4202290442822978E-3</v>
      </c>
      <c r="AU99" s="18">
        <f t="shared" si="74"/>
        <v>0</v>
      </c>
      <c r="AV99" s="18">
        <f t="shared" si="75"/>
        <v>-1.6151205160969684E-2</v>
      </c>
    </row>
    <row r="100" spans="1:48">
      <c r="A100" s="17">
        <f t="shared" si="60"/>
        <v>30</v>
      </c>
      <c r="B100" s="17">
        <f t="shared" si="31"/>
        <v>80</v>
      </c>
      <c r="C100" s="17">
        <f t="shared" si="32"/>
        <v>2029</v>
      </c>
      <c r="D100" s="17">
        <f>0</f>
        <v>0</v>
      </c>
      <c r="E100" s="18">
        <f>IF(D100=1,SUMIFS('5 - Dati'!$F$6:$F$186,'5 - Dati'!$A$6:$A$186,Serie,'5 - Dati'!$B$6:$B$186,C100),(1+Rend_c)*(1+Infl_c)-1)</f>
        <v>5.0599999999999978E-2</v>
      </c>
      <c r="F100" s="18">
        <f>IF(D100=1,SUMIFS('5 - Dati'!$E$6:$E$186,'5 - Dati'!$A$6:$A$186,Serie,'5 - Dati'!$B$6:$B$186,C100),Infl_c)</f>
        <v>0.02</v>
      </c>
      <c r="G100" s="19">
        <f t="shared" si="33"/>
        <v>1.0484988</v>
      </c>
      <c r="H100" s="19">
        <f t="shared" si="61"/>
        <v>0.14324290689300395</v>
      </c>
      <c r="I100" s="19">
        <f t="shared" si="34"/>
        <v>0.77724315579218106</v>
      </c>
      <c r="J100" s="20">
        <f t="shared" si="35"/>
        <v>38000</v>
      </c>
      <c r="K100" s="20">
        <f t="shared" si="36"/>
        <v>48890.748946215776</v>
      </c>
      <c r="L100" s="17">
        <f t="shared" si="37"/>
        <v>0</v>
      </c>
      <c r="M100" s="20">
        <f t="shared" si="38"/>
        <v>38000</v>
      </c>
      <c r="N100" s="20">
        <f t="shared" si="62"/>
        <v>281845.2296971074</v>
      </c>
      <c r="O100" s="20">
        <f t="shared" si="39"/>
        <v>22278.506546291595</v>
      </c>
      <c r="P100" s="20">
        <f t="shared" si="40"/>
        <v>28663.496590825449</v>
      </c>
      <c r="Q100" s="17">
        <f t="shared" si="41"/>
        <v>0</v>
      </c>
      <c r="R100" s="20">
        <f t="shared" si="42"/>
        <v>22278.506546291595</v>
      </c>
      <c r="S100" s="20">
        <f t="shared" si="63"/>
        <v>706587.82603801193</v>
      </c>
      <c r="T100" s="20">
        <f t="shared" si="43"/>
        <v>34200</v>
      </c>
      <c r="U100" s="20">
        <f t="shared" si="44"/>
        <v>44001.6740515942</v>
      </c>
      <c r="V100" s="17">
        <f t="shared" si="45"/>
        <v>0</v>
      </c>
      <c r="W100" s="20">
        <f t="shared" si="46"/>
        <v>34200</v>
      </c>
      <c r="X100" s="20">
        <f t="shared" si="64"/>
        <v>461151.18736229627</v>
      </c>
      <c r="Y100" s="18">
        <f t="shared" si="47"/>
        <v>6.5257968540639963E-2</v>
      </c>
      <c r="Z100" s="20">
        <f t="shared" si="48"/>
        <v>29484.984130533758</v>
      </c>
      <c r="AA100" s="20">
        <f t="shared" si="49"/>
        <v>37935.340968660057</v>
      </c>
      <c r="AB100" s="17">
        <f t="shared" si="50"/>
        <v>0</v>
      </c>
      <c r="AC100" s="20">
        <f t="shared" si="51"/>
        <v>29484.984130533758</v>
      </c>
      <c r="AD100" s="20">
        <f t="shared" si="65"/>
        <v>581313.54403156904</v>
      </c>
      <c r="AE100" s="20">
        <f t="shared" si="66"/>
        <v>22438.62</v>
      </c>
      <c r="AF100" s="18">
        <f t="shared" si="52"/>
        <v>4.7363888628584289E-2</v>
      </c>
      <c r="AG100" s="20">
        <f t="shared" si="53"/>
        <v>22438.62</v>
      </c>
      <c r="AH100" s="20">
        <f t="shared" si="54"/>
        <v>28869.498345250951</v>
      </c>
      <c r="AI100" s="17">
        <f t="shared" si="55"/>
        <v>0</v>
      </c>
      <c r="AJ100" s="20">
        <f t="shared" si="56"/>
        <v>22438.62</v>
      </c>
      <c r="AK100" s="20">
        <f t="shared" si="67"/>
        <v>609525.50943691097</v>
      </c>
      <c r="AL100" s="20">
        <f t="shared" si="68"/>
        <v>22278.506546291595</v>
      </c>
      <c r="AM100" s="20">
        <f t="shared" si="57"/>
        <v>28663.496590825449</v>
      </c>
      <c r="AN100" s="17">
        <f t="shared" si="58"/>
        <v>0</v>
      </c>
      <c r="AO100" s="20">
        <f t="shared" si="59"/>
        <v>22278.506546291595</v>
      </c>
      <c r="AP100" s="20">
        <f t="shared" si="69"/>
        <v>706587.82603801193</v>
      </c>
      <c r="AQ100" s="18">
        <f t="shared" si="70"/>
        <v>0</v>
      </c>
      <c r="AR100" s="18">
        <f t="shared" si="71"/>
        <v>-1.6046120691006416E-2</v>
      </c>
      <c r="AS100" s="18">
        <f t="shared" si="72"/>
        <v>0</v>
      </c>
      <c r="AT100" s="18">
        <f t="shared" si="73"/>
        <v>-4.3138915937659394E-3</v>
      </c>
      <c r="AU100" s="18">
        <f t="shared" si="74"/>
        <v>0</v>
      </c>
      <c r="AV100" s="18">
        <f t="shared" si="75"/>
        <v>-1.6046120691006416E-2</v>
      </c>
    </row>
    <row r="101" spans="1:48">
      <c r="A101" s="17">
        <f t="shared" si="60"/>
        <v>31</v>
      </c>
      <c r="B101" s="17">
        <f t="shared" si="31"/>
        <v>81</v>
      </c>
      <c r="C101" s="17">
        <f t="shared" si="32"/>
        <v>2030</v>
      </c>
      <c r="D101" s="17">
        <f>0</f>
        <v>0</v>
      </c>
      <c r="E101" s="18">
        <f>IF(D101=1,SUMIFS('5 - Dati'!$F$6:$F$186,'5 - Dati'!$A$6:$A$186,Serie,'5 - Dati'!$B$6:$B$186,C101),(1+Rend_c)*(1+Infl_c)-1)</f>
        <v>5.0599999999999978E-2</v>
      </c>
      <c r="F101" s="18">
        <f>IF(D101=1,SUMIFS('5 - Dati'!$E$6:$E$186,'5 - Dati'!$A$6:$A$186,Serie,'5 - Dati'!$B$6:$B$186,C101),Infl_c)</f>
        <v>0.02</v>
      </c>
      <c r="G101" s="19">
        <f t="shared" si="33"/>
        <v>1.0484988</v>
      </c>
      <c r="H101" s="19">
        <f t="shared" si="61"/>
        <v>0.13661713956468424</v>
      </c>
      <c r="I101" s="19">
        <f t="shared" si="34"/>
        <v>0.77552045628681787</v>
      </c>
      <c r="J101" s="20">
        <f t="shared" si="35"/>
        <v>38000</v>
      </c>
      <c r="K101" s="20">
        <f t="shared" si="36"/>
        <v>48999.352231072691</v>
      </c>
      <c r="L101" s="17">
        <f t="shared" si="37"/>
        <v>0</v>
      </c>
      <c r="M101" s="20">
        <f t="shared" si="38"/>
        <v>38000</v>
      </c>
      <c r="N101" s="20">
        <f t="shared" si="62"/>
        <v>239463.2289430715</v>
      </c>
      <c r="O101" s="20">
        <f t="shared" si="39"/>
        <v>21923.266406160245</v>
      </c>
      <c r="P101" s="20">
        <f t="shared" si="40"/>
        <v>28269.101386607603</v>
      </c>
      <c r="Q101" s="17">
        <f t="shared" si="41"/>
        <v>0</v>
      </c>
      <c r="R101" s="20">
        <f t="shared" si="42"/>
        <v>21923.266406160245</v>
      </c>
      <c r="S101" s="20">
        <f t="shared" si="63"/>
        <v>696865.53521194076</v>
      </c>
      <c r="T101" s="20">
        <f t="shared" si="43"/>
        <v>34200</v>
      </c>
      <c r="U101" s="20">
        <f t="shared" si="44"/>
        <v>44099.417007965421</v>
      </c>
      <c r="V101" s="17">
        <f t="shared" si="45"/>
        <v>0</v>
      </c>
      <c r="W101" s="20">
        <f t="shared" si="46"/>
        <v>34200</v>
      </c>
      <c r="X101" s="20">
        <f t="shared" si="64"/>
        <v>428804.67071260308</v>
      </c>
      <c r="Y101" s="18">
        <f t="shared" si="47"/>
        <v>6.7780466565105613E-2</v>
      </c>
      <c r="Z101" s="20">
        <f t="shared" si="48"/>
        <v>29360.793671536438</v>
      </c>
      <c r="AA101" s="20">
        <f t="shared" si="49"/>
        <v>37859.470286722732</v>
      </c>
      <c r="AB101" s="17">
        <f t="shared" si="50"/>
        <v>0</v>
      </c>
      <c r="AC101" s="20">
        <f t="shared" si="51"/>
        <v>29360.793671536438</v>
      </c>
      <c r="AD101" s="20">
        <f t="shared" si="65"/>
        <v>558560.19005648664</v>
      </c>
      <c r="AE101" s="20">
        <f t="shared" si="66"/>
        <v>22438.62</v>
      </c>
      <c r="AF101" s="18">
        <f t="shared" si="52"/>
        <v>4.8474818716204363E-2</v>
      </c>
      <c r="AG101" s="20">
        <f t="shared" si="53"/>
        <v>22438.62</v>
      </c>
      <c r="AH101" s="20">
        <f t="shared" si="54"/>
        <v>28933.627498926111</v>
      </c>
      <c r="AI101" s="17">
        <f t="shared" si="55"/>
        <v>0</v>
      </c>
      <c r="AJ101" s="20">
        <f t="shared" si="56"/>
        <v>22438.62</v>
      </c>
      <c r="AK101" s="20">
        <f t="shared" si="67"/>
        <v>596879.54004156101</v>
      </c>
      <c r="AL101" s="20">
        <f t="shared" si="68"/>
        <v>21923.266406160245</v>
      </c>
      <c r="AM101" s="20">
        <f t="shared" si="57"/>
        <v>28269.101386607603</v>
      </c>
      <c r="AN101" s="17">
        <f t="shared" si="58"/>
        <v>0</v>
      </c>
      <c r="AO101" s="20">
        <f t="shared" si="59"/>
        <v>21923.266406160245</v>
      </c>
      <c r="AP101" s="20">
        <f t="shared" si="69"/>
        <v>696865.53521194076</v>
      </c>
      <c r="AQ101" s="18">
        <f t="shared" si="70"/>
        <v>0</v>
      </c>
      <c r="AR101" s="18">
        <f t="shared" si="71"/>
        <v>-1.5945419832932295E-2</v>
      </c>
      <c r="AS101" s="18">
        <f t="shared" si="72"/>
        <v>0</v>
      </c>
      <c r="AT101" s="18">
        <f t="shared" si="73"/>
        <v>-4.2119900233797969E-3</v>
      </c>
      <c r="AU101" s="18">
        <f t="shared" si="74"/>
        <v>0</v>
      </c>
      <c r="AV101" s="18">
        <f t="shared" si="75"/>
        <v>-1.5945419832932295E-2</v>
      </c>
    </row>
    <row r="102" spans="1:48">
      <c r="A102" s="17">
        <f t="shared" si="60"/>
        <v>32</v>
      </c>
      <c r="B102" s="17">
        <f t="shared" si="31"/>
        <v>82</v>
      </c>
      <c r="C102" s="17">
        <f t="shared" si="32"/>
        <v>2031</v>
      </c>
      <c r="D102" s="17">
        <f>0</f>
        <v>0</v>
      </c>
      <c r="E102" s="18">
        <f>IF(D102=1,SUMIFS('5 - Dati'!$F$6:$F$186,'5 - Dati'!$A$6:$A$186,Serie,'5 - Dati'!$B$6:$B$186,C102),(1+Rend_c)*(1+Infl_c)-1)</f>
        <v>5.0599999999999978E-2</v>
      </c>
      <c r="F102" s="18">
        <f>IF(D102=1,SUMIFS('5 - Dati'!$E$6:$E$186,'5 - Dati'!$A$6:$A$186,Serie,'5 - Dati'!$B$6:$B$186,C102),Infl_c)</f>
        <v>0.02</v>
      </c>
      <c r="G102" s="19">
        <f t="shared" si="33"/>
        <v>1.0484988</v>
      </c>
      <c r="H102" s="19">
        <f t="shared" si="61"/>
        <v>0.13029785018798709</v>
      </c>
      <c r="I102" s="19">
        <f t="shared" si="34"/>
        <v>0.77387744104887668</v>
      </c>
      <c r="J102" s="20">
        <f t="shared" si="35"/>
        <v>38000</v>
      </c>
      <c r="K102" s="20">
        <f t="shared" si="36"/>
        <v>49103.382505240894</v>
      </c>
      <c r="L102" s="17">
        <f t="shared" si="37"/>
        <v>0</v>
      </c>
      <c r="M102" s="20">
        <f t="shared" si="38"/>
        <v>38000</v>
      </c>
      <c r="N102" s="20">
        <f t="shared" si="62"/>
        <v>195785.43742733204</v>
      </c>
      <c r="O102" s="20">
        <f t="shared" si="39"/>
        <v>21575.805874391564</v>
      </c>
      <c r="P102" s="20">
        <f t="shared" si="40"/>
        <v>27880.132860765061</v>
      </c>
      <c r="Q102" s="17">
        <f t="shared" si="41"/>
        <v>0</v>
      </c>
      <c r="R102" s="20">
        <f t="shared" si="42"/>
        <v>21575.805874391564</v>
      </c>
      <c r="S102" s="20">
        <f t="shared" si="63"/>
        <v>687277.01818641287</v>
      </c>
      <c r="T102" s="20">
        <f t="shared" si="43"/>
        <v>34200</v>
      </c>
      <c r="U102" s="20">
        <f t="shared" si="44"/>
        <v>44193.044254716799</v>
      </c>
      <c r="V102" s="17">
        <f t="shared" si="45"/>
        <v>0</v>
      </c>
      <c r="W102" s="20">
        <f t="shared" si="46"/>
        <v>34200</v>
      </c>
      <c r="X102" s="20">
        <f t="shared" si="64"/>
        <v>395453.9184931452</v>
      </c>
      <c r="Y102" s="18">
        <f t="shared" si="47"/>
        <v>7.0590966889608739E-2</v>
      </c>
      <c r="Z102" s="20">
        <f t="shared" si="48"/>
        <v>29239.992804985046</v>
      </c>
      <c r="AA102" s="20">
        <f t="shared" si="49"/>
        <v>37783.751346149271</v>
      </c>
      <c r="AB102" s="17">
        <f t="shared" si="50"/>
        <v>0</v>
      </c>
      <c r="AC102" s="20">
        <f t="shared" si="51"/>
        <v>29239.992804985046</v>
      </c>
      <c r="AD102" s="20">
        <f t="shared" si="65"/>
        <v>535249.09788013098</v>
      </c>
      <c r="AE102" s="20">
        <f t="shared" si="66"/>
        <v>22438.62</v>
      </c>
      <c r="AF102" s="18">
        <f t="shared" si="52"/>
        <v>4.966485965780125E-2</v>
      </c>
      <c r="AG102" s="20">
        <f t="shared" si="53"/>
        <v>22438.62</v>
      </c>
      <c r="AH102" s="20">
        <f t="shared" si="54"/>
        <v>28995.056335519694</v>
      </c>
      <c r="AI102" s="17">
        <f t="shared" si="55"/>
        <v>0</v>
      </c>
      <c r="AJ102" s="20">
        <f t="shared" si="56"/>
        <v>22438.62</v>
      </c>
      <c r="AK102" s="20">
        <f t="shared" si="67"/>
        <v>583814.32133907604</v>
      </c>
      <c r="AL102" s="20">
        <f t="shared" si="68"/>
        <v>21575.805874391564</v>
      </c>
      <c r="AM102" s="20">
        <f t="shared" si="57"/>
        <v>27880.132860765061</v>
      </c>
      <c r="AN102" s="17">
        <f t="shared" si="58"/>
        <v>0</v>
      </c>
      <c r="AO102" s="20">
        <f t="shared" si="59"/>
        <v>21575.805874391564</v>
      </c>
      <c r="AP102" s="20">
        <f t="shared" si="69"/>
        <v>687277.01818641287</v>
      </c>
      <c r="AQ102" s="18">
        <f t="shared" si="70"/>
        <v>0</v>
      </c>
      <c r="AR102" s="18">
        <f t="shared" si="71"/>
        <v>-1.5848939903911674E-2</v>
      </c>
      <c r="AS102" s="18">
        <f t="shared" si="72"/>
        <v>0</v>
      </c>
      <c r="AT102" s="18">
        <f t="shared" si="73"/>
        <v>-4.1143597105313123E-3</v>
      </c>
      <c r="AU102" s="18">
        <f t="shared" si="74"/>
        <v>0</v>
      </c>
      <c r="AV102" s="18">
        <f t="shared" si="75"/>
        <v>-1.5848939903911674E-2</v>
      </c>
    </row>
    <row r="103" spans="1:48">
      <c r="A103" s="17">
        <f t="shared" si="60"/>
        <v>33</v>
      </c>
      <c r="B103" s="17">
        <f t="shared" ref="B103:B134" si="76">Eta_inizio+A103-1</f>
        <v>83</v>
      </c>
      <c r="C103" s="17">
        <f t="shared" ref="C103:C130" si="77">Anno_inizio+A103-1</f>
        <v>2032</v>
      </c>
      <c r="D103" s="17">
        <f>0</f>
        <v>0</v>
      </c>
      <c r="E103" s="18">
        <f>IF(D103=1,SUMIFS('5 - Dati'!$F$6:$F$186,'5 - Dati'!$A$6:$A$186,Serie,'5 - Dati'!$B$6:$B$186,C103),(1+Rend_c)*(1+Infl_c)-1)</f>
        <v>5.0599999999999978E-2</v>
      </c>
      <c r="F103" s="18">
        <f>IF(D103=1,SUMIFS('5 - Dati'!$E$6:$E$186,'5 - Dati'!$A$6:$A$186,Serie,'5 - Dati'!$B$6:$B$186,C103),Infl_c)</f>
        <v>0.02</v>
      </c>
      <c r="G103" s="19">
        <f t="shared" ref="G103:G130" si="78">(1+E103)*(1-Bollo_eff)</f>
        <v>1.0484988</v>
      </c>
      <c r="H103" s="19">
        <f t="shared" si="61"/>
        <v>0.12427086248261524</v>
      </c>
      <c r="I103" s="19">
        <f t="shared" ref="I103:I134" si="79">1-Aliq_eff*MAX(0,1-H103)</f>
        <v>0.77231042424547991</v>
      </c>
      <c r="J103" s="20">
        <f t="shared" ref="J103:J130" si="80">Spesa0</f>
        <v>38000</v>
      </c>
      <c r="K103" s="20">
        <f t="shared" ref="K103:K134" si="81">J103/I103</f>
        <v>49203.013201750662</v>
      </c>
      <c r="L103" s="17">
        <f t="shared" ref="L103:L134" si="82">IF(K103&gt;N103+0.000000001,1,0)</f>
        <v>0</v>
      </c>
      <c r="M103" s="20">
        <f t="shared" ref="M103:M134" si="83">MIN(K103,N103)*I103</f>
        <v>38000</v>
      </c>
      <c r="N103" s="20">
        <f t="shared" si="62"/>
        <v>150780.35153661435</v>
      </c>
      <c r="O103" s="20">
        <f t="shared" ref="O103:O130" si="84">Tasso0*S103*I103</f>
        <v>21235.846203641308</v>
      </c>
      <c r="P103" s="20">
        <f t="shared" ref="P103:P134" si="85">O103/I103</f>
        <v>27496.516344950258</v>
      </c>
      <c r="Q103" s="17">
        <f t="shared" ref="Q103:Q134" si="86">IF(P103&gt;S103+0.000000001,1,0)</f>
        <v>0</v>
      </c>
      <c r="R103" s="20">
        <f t="shared" ref="R103:R134" si="87">MIN(P103,S103)*I103</f>
        <v>21235.846203641308</v>
      </c>
      <c r="S103" s="20">
        <f t="shared" si="63"/>
        <v>677820.43430164631</v>
      </c>
      <c r="T103" s="20">
        <f t="shared" ref="T103:T130" si="88">MAX(Tasso0*X103*I103,Pav_pct*Spesa0)</f>
        <v>34200</v>
      </c>
      <c r="U103" s="20">
        <f t="shared" ref="U103:U134" si="89">T103/I103</f>
        <v>44282.711881575589</v>
      </c>
      <c r="V103" s="17">
        <f t="shared" ref="V103:V134" si="90">IF(U103&gt;X103+0.000000001,1,0)</f>
        <v>0</v>
      </c>
      <c r="W103" s="20">
        <f t="shared" ref="W103:W134" si="91">MIN(U103,X103)*I103</f>
        <v>34200</v>
      </c>
      <c r="X103" s="20">
        <f t="shared" si="64"/>
        <v>361075.10306465009</v>
      </c>
      <c r="Y103" s="18">
        <f t="shared" ref="Y103:Y130" si="92">IF(Eta_rif_VPW-B103&lt;=1,1,IF(r_VPW=0,1/(Eta_rif_VPW-B103),r_VPW/(1-(1+r_VPW)^(-(Eta_rif_VPW-B103)))/(1+r_VPW)))</f>
        <v>7.3740319782495012E-2</v>
      </c>
      <c r="Z103" s="20">
        <f t="shared" ref="Z103:Z134" si="93">Y103*AD103*I103</f>
        <v>29122.423461666807</v>
      </c>
      <c r="AA103" s="20">
        <f t="shared" ref="AA103:AA134" si="94">Z103/I103</f>
        <v>37708.183843456973</v>
      </c>
      <c r="AB103" s="17">
        <f t="shared" ref="AB103:AB134" si="95">IF(AA103&gt;AD103+0.000000001,1,0)</f>
        <v>0</v>
      </c>
      <c r="AC103" s="20">
        <f t="shared" ref="AC103:AC134" si="96">MIN(AA103,AD103)*I103</f>
        <v>29122.423461666807</v>
      </c>
      <c r="AD103" s="20">
        <f t="shared" si="65"/>
        <v>511364.52831614111</v>
      </c>
      <c r="AE103" s="20">
        <f t="shared" si="66"/>
        <v>22438.62</v>
      </c>
      <c r="AF103" s="18">
        <f t="shared" ref="AF103:AF134" si="97">IF(AK103*I103&lt;=0,9.9,AE103/(AK103*I103))</f>
        <v>5.0943050636432383E-2</v>
      </c>
      <c r="AG103" s="20">
        <f t="shared" ref="AG103:AG134" si="98">IF(AND(AF103&gt;Tasso0*(1+GK_banda),A103&lt;=Anni-GK_ultimi),AE103*(1-GK_taglio),IF(AF103&lt;Tasso0*(1-GK_banda),AE103*(1+GK_taglio),AE103))</f>
        <v>22438.62</v>
      </c>
      <c r="AH103" s="20">
        <f t="shared" ref="AH103:AH134" si="99">AG103/I103</f>
        <v>29053.887265501744</v>
      </c>
      <c r="AI103" s="17">
        <f t="shared" ref="AI103:AI134" si="100">IF(AH103&gt;AK103+0.000000001,1,0)</f>
        <v>0</v>
      </c>
      <c r="AJ103" s="20">
        <f t="shared" ref="AJ103:AJ134" si="101">MIN(AH103,AK103)*I103</f>
        <v>22438.62</v>
      </c>
      <c r="AK103" s="20">
        <f t="shared" si="67"/>
        <v>570320.91526775574</v>
      </c>
      <c r="AL103" s="20">
        <f t="shared" si="68"/>
        <v>21235.846203641308</v>
      </c>
      <c r="AM103" s="20">
        <f t="shared" ref="AM103:AM134" si="102">AL103/I103</f>
        <v>27496.516344950258</v>
      </c>
      <c r="AN103" s="17">
        <f t="shared" ref="AN103:AN134" si="103">IF(AM103&gt;AP103+0.000000001,1,0)</f>
        <v>0</v>
      </c>
      <c r="AO103" s="20">
        <f t="shared" ref="AO103:AO134" si="104">MIN(AM103,AP103)*I103</f>
        <v>21235.846203641308</v>
      </c>
      <c r="AP103" s="20">
        <f t="shared" si="69"/>
        <v>677820.43430164631</v>
      </c>
      <c r="AQ103" s="18">
        <f t="shared" si="70"/>
        <v>0</v>
      </c>
      <c r="AR103" s="18">
        <f t="shared" si="71"/>
        <v>-1.5756522501611747E-2</v>
      </c>
      <c r="AS103" s="18">
        <f t="shared" si="72"/>
        <v>0</v>
      </c>
      <c r="AT103" s="18">
        <f t="shared" si="73"/>
        <v>-4.0208403641670554E-3</v>
      </c>
      <c r="AU103" s="18">
        <f t="shared" si="74"/>
        <v>0</v>
      </c>
      <c r="AV103" s="18">
        <f t="shared" si="75"/>
        <v>-1.5756522501611747E-2</v>
      </c>
    </row>
    <row r="104" spans="1:48">
      <c r="A104" s="17">
        <f t="shared" ref="A104:A130" si="105">A103+1</f>
        <v>34</v>
      </c>
      <c r="B104" s="17">
        <f t="shared" si="76"/>
        <v>84</v>
      </c>
      <c r="C104" s="17">
        <f t="shared" si="77"/>
        <v>2033</v>
      </c>
      <c r="D104" s="17">
        <f>0</f>
        <v>0</v>
      </c>
      <c r="E104" s="18">
        <f>IF(D104=1,SUMIFS('5 - Dati'!$F$6:$F$186,'5 - Dati'!$A$6:$A$186,Serie,'5 - Dati'!$B$6:$B$186,C104),(1+Rend_c)*(1+Infl_c)-1)</f>
        <v>5.0599999999999978E-2</v>
      </c>
      <c r="F104" s="18">
        <f>IF(D104=1,SUMIFS('5 - Dati'!$E$6:$E$186,'5 - Dati'!$A$6:$A$186,Serie,'5 - Dati'!$B$6:$B$186,C104),Infl_c)</f>
        <v>0.02</v>
      </c>
      <c r="G104" s="19">
        <f t="shared" si="78"/>
        <v>1.0484988</v>
      </c>
      <c r="H104" s="19">
        <f t="shared" ref="H104:H130" si="106">H103/G103</f>
        <v>0.11852265589871466</v>
      </c>
      <c r="I104" s="19">
        <f t="shared" si="79"/>
        <v>0.77081589053366584</v>
      </c>
      <c r="J104" s="20">
        <f t="shared" si="80"/>
        <v>38000</v>
      </c>
      <c r="K104" s="20">
        <f t="shared" si="81"/>
        <v>49298.412846277883</v>
      </c>
      <c r="L104" s="17">
        <f t="shared" si="82"/>
        <v>0</v>
      </c>
      <c r="M104" s="20">
        <f t="shared" si="83"/>
        <v>38000</v>
      </c>
      <c r="N104" s="20">
        <f t="shared" ref="N104:N130" si="107">(N103-MIN(K103,N103))*G103/(1+F103)</f>
        <v>104415.40916793977</v>
      </c>
      <c r="O104" s="20">
        <f t="shared" si="84"/>
        <v>20903.122677507177</v>
      </c>
      <c r="P104" s="20">
        <f t="shared" si="85"/>
        <v>27118.178198214275</v>
      </c>
      <c r="Q104" s="17">
        <f t="shared" si="86"/>
        <v>0</v>
      </c>
      <c r="R104" s="20">
        <f t="shared" si="87"/>
        <v>20903.122677507177</v>
      </c>
      <c r="S104" s="20">
        <f t="shared" ref="S104:S130" si="108">(S103-MIN(P103,S103))*G103/(1+F103)</f>
        <v>668493.96822440601</v>
      </c>
      <c r="T104" s="20">
        <f t="shared" si="88"/>
        <v>34200</v>
      </c>
      <c r="U104" s="20">
        <f t="shared" si="89"/>
        <v>44368.571561650097</v>
      </c>
      <c r="V104" s="17">
        <f t="shared" si="90"/>
        <v>0</v>
      </c>
      <c r="W104" s="20">
        <f t="shared" si="91"/>
        <v>34200</v>
      </c>
      <c r="X104" s="20">
        <f t="shared" ref="X104:X130" si="109">(X103-MIN(U103,X103))*G103/(1+F103)</f>
        <v>325643.57059272961</v>
      </c>
      <c r="Y104" s="18">
        <f t="shared" si="92"/>
        <v>7.7292086665522439E-2</v>
      </c>
      <c r="Z104" s="20">
        <f t="shared" si="93"/>
        <v>29007.935175082068</v>
      </c>
      <c r="AA104" s="20">
        <f t="shared" si="94"/>
        <v>37632.767475770052</v>
      </c>
      <c r="AB104" s="17">
        <f t="shared" si="95"/>
        <v>0</v>
      </c>
      <c r="AC104" s="20">
        <f t="shared" si="96"/>
        <v>29007.935175082068</v>
      </c>
      <c r="AD104" s="20">
        <f t="shared" ref="AD104:AD130" si="110">(AD103-MIN(AA103,AD103))*G103/(1+F103)</f>
        <v>486890.30273725087</v>
      </c>
      <c r="AE104" s="20">
        <f t="shared" ref="AE104:AE130" si="111">IF(OR(E103&gt;=0,GK_variante=3),AG103,IF(GK_variante=2,AG103/(1+F103),IF(AK104*I104&lt;=0,AG103/(1+F103),IF(AG103/(AK104*I104)&gt;Tasso0,AG103/(1+F103),AG103))))</f>
        <v>22438.62</v>
      </c>
      <c r="AF104" s="18">
        <f t="shared" si="97"/>
        <v>5.2319808581459647E-2</v>
      </c>
      <c r="AG104" s="20">
        <f t="shared" si="98"/>
        <v>22438.62</v>
      </c>
      <c r="AH104" s="20">
        <f t="shared" si="99"/>
        <v>29110.219801598629</v>
      </c>
      <c r="AI104" s="17">
        <f t="shared" si="100"/>
        <v>0</v>
      </c>
      <c r="AJ104" s="20">
        <f t="shared" si="101"/>
        <v>22438.62</v>
      </c>
      <c r="AK104" s="20">
        <f t="shared" ref="AK104:AK130" si="112">(AK103-MIN(AH103,AK103))*G103/(1+F103)</f>
        <v>556390.02876463684</v>
      </c>
      <c r="AL104" s="20">
        <f t="shared" ref="AL104:AL130" si="113">MIN(MAX(Tasso0*AP104*I104,AL103*(1+VG_pav)),AL103*(1+VG_tetto))</f>
        <v>20903.122677507177</v>
      </c>
      <c r="AM104" s="20">
        <f t="shared" si="102"/>
        <v>27118.178198214275</v>
      </c>
      <c r="AN104" s="17">
        <f t="shared" si="103"/>
        <v>0</v>
      </c>
      <c r="AO104" s="20">
        <f t="shared" si="104"/>
        <v>20903.122677507177</v>
      </c>
      <c r="AP104" s="20">
        <f t="shared" ref="AP104:AP130" si="114">(AP103-MIN(AM103,AP103))*G103/(1+F103)</f>
        <v>668493.96822440601</v>
      </c>
      <c r="AQ104" s="18">
        <f t="shared" ref="AQ104:AQ130" si="115">IF(AND(A104&lt;=Anni,M103&gt;0),M104/M103-1,"")</f>
        <v>0</v>
      </c>
      <c r="AR104" s="18">
        <f t="shared" ref="AR104:AR130" si="116">IF(AND(A104&lt;=Anni,R103&gt;0),R104/R103-1,"")</f>
        <v>-1.5668013553285065E-2</v>
      </c>
      <c r="AS104" s="18">
        <f t="shared" ref="AS104:AS130" si="117">IF(AND(A104&lt;=Anni,W103&gt;0),W104/W103-1,"")</f>
        <v>0</v>
      </c>
      <c r="AT104" s="18">
        <f t="shared" ref="AT104:AT130" si="118">IF(AND(A104&lt;=Anni,AC103&gt;0),AC104/AC103-1,"")</f>
        <v>-3.9312760744460995E-3</v>
      </c>
      <c r="AU104" s="18">
        <f t="shared" ref="AU104:AU130" si="119">IF(AND(A104&lt;=Anni,AJ103&gt;0),AJ104/AJ103-1,"")</f>
        <v>0</v>
      </c>
      <c r="AV104" s="18">
        <f t="shared" ref="AV104:AV130" si="120">IF(AND(A104&lt;=Anni,AO103&gt;0),AO104/AO103-1,"")</f>
        <v>-1.5668013553285065E-2</v>
      </c>
    </row>
    <row r="105" spans="1:48">
      <c r="A105" s="17">
        <f t="shared" si="105"/>
        <v>35</v>
      </c>
      <c r="B105" s="17">
        <f t="shared" si="76"/>
        <v>85</v>
      </c>
      <c r="C105" s="17">
        <f t="shared" si="77"/>
        <v>2034</v>
      </c>
      <c r="D105" s="17">
        <f>0</f>
        <v>0</v>
      </c>
      <c r="E105" s="18">
        <f>IF(D105=1,SUMIFS('5 - Dati'!$F$6:$F$186,'5 - Dati'!$A$6:$A$186,Serie,'5 - Dati'!$B$6:$B$186,C105),(1+Rend_c)*(1+Infl_c)-1)</f>
        <v>5.0599999999999978E-2</v>
      </c>
      <c r="F105" s="18">
        <f>IF(D105=1,SUMIFS('5 - Dati'!$E$6:$E$186,'5 - Dati'!$A$6:$A$186,Serie,'5 - Dati'!$B$6:$B$186,C105),Infl_c)</f>
        <v>0.02</v>
      </c>
      <c r="G105" s="19">
        <f t="shared" si="78"/>
        <v>1.0484988</v>
      </c>
      <c r="H105" s="19">
        <f t="shared" si="106"/>
        <v>0.11304033528575776</v>
      </c>
      <c r="I105" s="19">
        <f t="shared" si="79"/>
        <v>0.76939048717429703</v>
      </c>
      <c r="J105" s="20">
        <f t="shared" si="80"/>
        <v>38000</v>
      </c>
      <c r="K105" s="20">
        <f t="shared" si="81"/>
        <v>49389.745042937495</v>
      </c>
      <c r="L105" s="17">
        <f t="shared" si="82"/>
        <v>0</v>
      </c>
      <c r="M105" s="20">
        <f t="shared" si="83"/>
        <v>38000</v>
      </c>
      <c r="N105" s="20">
        <f t="shared" si="107"/>
        <v>56656.965198889113</v>
      </c>
      <c r="O105" s="20">
        <f t="shared" si="84"/>
        <v>20577.383812075444</v>
      </c>
      <c r="P105" s="20">
        <f t="shared" si="85"/>
        <v>26745.045792870405</v>
      </c>
      <c r="Q105" s="17">
        <f t="shared" si="86"/>
        <v>0</v>
      </c>
      <c r="R105" s="20">
        <f t="shared" si="87"/>
        <v>20577.383812075444</v>
      </c>
      <c r="S105" s="20">
        <f t="shared" si="108"/>
        <v>659295.82959952345</v>
      </c>
      <c r="T105" s="20">
        <f t="shared" si="88"/>
        <v>34200</v>
      </c>
      <c r="U105" s="20">
        <f t="shared" si="89"/>
        <v>44450.770538643745</v>
      </c>
      <c r="V105" s="17">
        <f t="shared" si="90"/>
        <v>0</v>
      </c>
      <c r="W105" s="20">
        <f t="shared" si="91"/>
        <v>34200</v>
      </c>
      <c r="X105" s="20">
        <f t="shared" si="109"/>
        <v>289133.82250400784</v>
      </c>
      <c r="Y105" s="18">
        <f t="shared" si="92"/>
        <v>8.1326777147852469E-2</v>
      </c>
      <c r="Z105" s="20">
        <f t="shared" si="93"/>
        <v>28896.38471529595</v>
      </c>
      <c r="AA105" s="20">
        <f t="shared" si="94"/>
        <v>37557.501940818496</v>
      </c>
      <c r="AB105" s="17">
        <f t="shared" si="95"/>
        <v>0</v>
      </c>
      <c r="AC105" s="20">
        <f t="shared" si="96"/>
        <v>28896.38471529595</v>
      </c>
      <c r="AD105" s="20">
        <f t="shared" si="110"/>
        <v>461809.79079668655</v>
      </c>
      <c r="AE105" s="20">
        <f t="shared" si="111"/>
        <v>22438.62</v>
      </c>
      <c r="AF105" s="18">
        <f t="shared" si="97"/>
        <v>5.3807203868447451E-2</v>
      </c>
      <c r="AG105" s="20">
        <f t="shared" si="98"/>
        <v>22438.62</v>
      </c>
      <c r="AH105" s="20">
        <f t="shared" si="99"/>
        <v>29164.15055040416</v>
      </c>
      <c r="AI105" s="17">
        <f t="shared" si="100"/>
        <v>0</v>
      </c>
      <c r="AJ105" s="20">
        <f t="shared" si="101"/>
        <v>22438.62</v>
      </c>
      <c r="AK105" s="20">
        <f t="shared" si="112"/>
        <v>542012.00682546559</v>
      </c>
      <c r="AL105" s="20">
        <f t="shared" si="113"/>
        <v>20577.383812075444</v>
      </c>
      <c r="AM105" s="20">
        <f t="shared" si="102"/>
        <v>26745.045792870405</v>
      </c>
      <c r="AN105" s="17">
        <f t="shared" si="103"/>
        <v>0</v>
      </c>
      <c r="AO105" s="20">
        <f t="shared" si="104"/>
        <v>20577.383812075444</v>
      </c>
      <c r="AP105" s="20">
        <f t="shared" si="114"/>
        <v>659295.82959952345</v>
      </c>
      <c r="AQ105" s="18">
        <f t="shared" si="115"/>
        <v>0</v>
      </c>
      <c r="AR105" s="18">
        <f t="shared" si="116"/>
        <v>-1.558326334573179E-2</v>
      </c>
      <c r="AS105" s="18">
        <f t="shared" si="117"/>
        <v>0</v>
      </c>
      <c r="AT105" s="18">
        <f t="shared" si="118"/>
        <v>-3.8455153430548839E-3</v>
      </c>
      <c r="AU105" s="18">
        <f t="shared" si="119"/>
        <v>0</v>
      </c>
      <c r="AV105" s="18">
        <f t="shared" si="120"/>
        <v>-1.558326334573179E-2</v>
      </c>
    </row>
    <row r="106" spans="1:48">
      <c r="A106" s="17">
        <f t="shared" si="105"/>
        <v>36</v>
      </c>
      <c r="B106" s="17">
        <f t="shared" si="76"/>
        <v>86</v>
      </c>
      <c r="C106" s="17">
        <f t="shared" si="77"/>
        <v>2035</v>
      </c>
      <c r="D106" s="17">
        <f>0</f>
        <v>0</v>
      </c>
      <c r="E106" s="18">
        <f>IF(D106=1,SUMIFS('5 - Dati'!$F$6:$F$186,'5 - Dati'!$A$6:$A$186,Serie,'5 - Dati'!$B$6:$B$186,C106),(1+Rend_c)*(1+Infl_c)-1)</f>
        <v>5.0599999999999978E-2</v>
      </c>
      <c r="F106" s="18">
        <f>IF(D106=1,SUMIFS('5 - Dati'!$E$6:$E$186,'5 - Dati'!$A$6:$A$186,Serie,'5 - Dati'!$B$6:$B$186,C106),Infl_c)</f>
        <v>0.02</v>
      </c>
      <c r="G106" s="19">
        <f t="shared" si="78"/>
        <v>1.0484988</v>
      </c>
      <c r="H106" s="19">
        <f t="shared" si="106"/>
        <v>0.10781160196440641</v>
      </c>
      <c r="I106" s="19">
        <f t="shared" si="79"/>
        <v>0.76803101651074568</v>
      </c>
      <c r="J106" s="20">
        <f t="shared" si="80"/>
        <v>38000</v>
      </c>
      <c r="K106" s="20">
        <f t="shared" si="81"/>
        <v>49477.168477698237</v>
      </c>
      <c r="L106" s="17">
        <f t="shared" si="82"/>
        <v>1</v>
      </c>
      <c r="M106" s="20">
        <f t="shared" si="83"/>
        <v>5737.3962100942072</v>
      </c>
      <c r="N106" s="20">
        <f t="shared" si="107"/>
        <v>7470.266287108906</v>
      </c>
      <c r="O106" s="20">
        <f t="shared" si="84"/>
        <v>20258.390604401266</v>
      </c>
      <c r="P106" s="20">
        <f t="shared" si="85"/>
        <v>26377.047500552115</v>
      </c>
      <c r="Q106" s="17">
        <f t="shared" si="86"/>
        <v>0</v>
      </c>
      <c r="R106" s="20">
        <f t="shared" si="87"/>
        <v>20258.390604401266</v>
      </c>
      <c r="S106" s="20">
        <f t="shared" si="108"/>
        <v>650224.25270621083</v>
      </c>
      <c r="T106" s="20">
        <f t="shared" si="88"/>
        <v>34200</v>
      </c>
      <c r="U106" s="20">
        <f t="shared" si="89"/>
        <v>44529.451629928415</v>
      </c>
      <c r="V106" s="17">
        <f t="shared" si="90"/>
        <v>0</v>
      </c>
      <c r="W106" s="20">
        <f t="shared" si="91"/>
        <v>34200</v>
      </c>
      <c r="X106" s="20">
        <f t="shared" si="109"/>
        <v>251519.49643727634</v>
      </c>
      <c r="Y106" s="18">
        <f t="shared" si="92"/>
        <v>8.5947901932680801E-2</v>
      </c>
      <c r="Z106" s="20">
        <f t="shared" si="93"/>
        <v>28787.635740424714</v>
      </c>
      <c r="AA106" s="20">
        <f t="shared" si="94"/>
        <v>37482.386936936862</v>
      </c>
      <c r="AB106" s="17">
        <f t="shared" si="95"/>
        <v>0</v>
      </c>
      <c r="AC106" s="20">
        <f t="shared" si="96"/>
        <v>28787.635740424714</v>
      </c>
      <c r="AD106" s="20">
        <f t="shared" si="110"/>
        <v>436105.89780650096</v>
      </c>
      <c r="AE106" s="20">
        <f t="shared" si="111"/>
        <v>22438.62</v>
      </c>
      <c r="AF106" s="18">
        <f t="shared" si="97"/>
        <v>5.5419304885738652E-2</v>
      </c>
      <c r="AG106" s="20">
        <f t="shared" si="98"/>
        <v>22438.62</v>
      </c>
      <c r="AH106" s="20">
        <f t="shared" si="99"/>
        <v>29215.773214396031</v>
      </c>
      <c r="AI106" s="17">
        <f t="shared" si="100"/>
        <v>0</v>
      </c>
      <c r="AJ106" s="20">
        <f t="shared" si="101"/>
        <v>22438.62</v>
      </c>
      <c r="AK106" s="20">
        <f t="shared" si="112"/>
        <v>527176.82537938654</v>
      </c>
      <c r="AL106" s="20">
        <f t="shared" si="113"/>
        <v>20258.390604401266</v>
      </c>
      <c r="AM106" s="20">
        <f t="shared" si="102"/>
        <v>26377.047500552115</v>
      </c>
      <c r="AN106" s="17">
        <f t="shared" si="103"/>
        <v>0</v>
      </c>
      <c r="AO106" s="20">
        <f t="shared" si="104"/>
        <v>20258.390604401266</v>
      </c>
      <c r="AP106" s="20">
        <f t="shared" si="114"/>
        <v>650224.25270621083</v>
      </c>
      <c r="AQ106" s="18">
        <f t="shared" si="115"/>
        <v>-0.84901588920804716</v>
      </c>
      <c r="AR106" s="18">
        <f t="shared" si="116"/>
        <v>-1.5502126537921934E-2</v>
      </c>
      <c r="AS106" s="18">
        <f t="shared" si="117"/>
        <v>0</v>
      </c>
      <c r="AT106" s="18">
        <f t="shared" si="118"/>
        <v>-3.7634110959794409E-3</v>
      </c>
      <c r="AU106" s="18">
        <f t="shared" si="119"/>
        <v>0</v>
      </c>
      <c r="AV106" s="18">
        <f t="shared" si="120"/>
        <v>-1.5502126537921934E-2</v>
      </c>
    </row>
    <row r="107" spans="1:48">
      <c r="A107" s="17">
        <f t="shared" si="105"/>
        <v>37</v>
      </c>
      <c r="B107" s="17">
        <f t="shared" si="76"/>
        <v>87</v>
      </c>
      <c r="C107" s="17">
        <f t="shared" si="77"/>
        <v>2036</v>
      </c>
      <c r="D107" s="17">
        <f>0</f>
        <v>0</v>
      </c>
      <c r="E107" s="18">
        <f>IF(D107=1,SUMIFS('5 - Dati'!$F$6:$F$186,'5 - Dati'!$A$6:$A$186,Serie,'5 - Dati'!$B$6:$B$186,C107),(1+Rend_c)*(1+Infl_c)-1)</f>
        <v>5.0599999999999978E-2</v>
      </c>
      <c r="F107" s="18">
        <f>IF(D107=1,SUMIFS('5 - Dati'!$E$6:$E$186,'5 - Dati'!$A$6:$A$186,Serie,'5 - Dati'!$B$6:$B$186,C107),Infl_c)</f>
        <v>0.02</v>
      </c>
      <c r="G107" s="19">
        <f t="shared" si="78"/>
        <v>1.0484988</v>
      </c>
      <c r="H107" s="19">
        <f t="shared" si="106"/>
        <v>0.10282472613645949</v>
      </c>
      <c r="I107" s="19">
        <f t="shared" si="79"/>
        <v>0.76673442879547948</v>
      </c>
      <c r="J107" s="20">
        <f t="shared" si="80"/>
        <v>38000</v>
      </c>
      <c r="K107" s="20">
        <f t="shared" si="81"/>
        <v>49560.836937630469</v>
      </c>
      <c r="L107" s="17">
        <f t="shared" si="82"/>
        <v>1</v>
      </c>
      <c r="M107" s="20">
        <f t="shared" si="83"/>
        <v>0</v>
      </c>
      <c r="N107" s="20">
        <f t="shared" si="107"/>
        <v>0</v>
      </c>
      <c r="O107" s="20">
        <f t="shared" si="84"/>
        <v>19945.915825142551</v>
      </c>
      <c r="P107" s="20">
        <f t="shared" si="85"/>
        <v>26014.112678462974</v>
      </c>
      <c r="Q107" s="17">
        <f t="shared" si="86"/>
        <v>0</v>
      </c>
      <c r="R107" s="20">
        <f t="shared" si="87"/>
        <v>19945.915825142551</v>
      </c>
      <c r="S107" s="20">
        <f t="shared" si="108"/>
        <v>641277.49611910479</v>
      </c>
      <c r="T107" s="20">
        <f t="shared" si="88"/>
        <v>34200</v>
      </c>
      <c r="U107" s="20">
        <f t="shared" si="89"/>
        <v>44604.753243867424</v>
      </c>
      <c r="V107" s="17">
        <f t="shared" si="90"/>
        <v>0</v>
      </c>
      <c r="W107" s="20">
        <f t="shared" si="91"/>
        <v>34200</v>
      </c>
      <c r="X107" s="20">
        <f t="shared" si="109"/>
        <v>212773.3466592652</v>
      </c>
      <c r="Y107" s="18">
        <f t="shared" si="92"/>
        <v>9.1290819374104923E-2</v>
      </c>
      <c r="Z107" s="20">
        <f t="shared" si="93"/>
        <v>28681.558464907466</v>
      </c>
      <c r="AA107" s="20">
        <f t="shared" si="94"/>
        <v>37407.422163062998</v>
      </c>
      <c r="AB107" s="17">
        <f t="shared" si="95"/>
        <v>0</v>
      </c>
      <c r="AC107" s="20">
        <f t="shared" si="96"/>
        <v>28681.558464907466</v>
      </c>
      <c r="AD107" s="20">
        <f t="shared" si="110"/>
        <v>409761.05176325969</v>
      </c>
      <c r="AE107" s="20">
        <f t="shared" si="111"/>
        <v>22438.62</v>
      </c>
      <c r="AF107" s="18">
        <f t="shared" si="97"/>
        <v>5.7172612406465408E-2</v>
      </c>
      <c r="AG107" s="20">
        <f t="shared" si="98"/>
        <v>22438.62</v>
      </c>
      <c r="AH107" s="20">
        <f t="shared" si="99"/>
        <v>29265.178603301414</v>
      </c>
      <c r="AI107" s="17">
        <f t="shared" si="100"/>
        <v>0</v>
      </c>
      <c r="AJ107" s="20">
        <f t="shared" si="101"/>
        <v>22438.62</v>
      </c>
      <c r="AK107" s="20">
        <f t="shared" si="112"/>
        <v>511874.0839624803</v>
      </c>
      <c r="AL107" s="20">
        <f t="shared" si="113"/>
        <v>19945.915825142551</v>
      </c>
      <c r="AM107" s="20">
        <f t="shared" si="102"/>
        <v>26014.112678462974</v>
      </c>
      <c r="AN107" s="17">
        <f t="shared" si="103"/>
        <v>0</v>
      </c>
      <c r="AO107" s="20">
        <f t="shared" si="104"/>
        <v>19945.915825142551</v>
      </c>
      <c r="AP107" s="20">
        <f t="shared" si="114"/>
        <v>641277.49611910479</v>
      </c>
      <c r="AQ107" s="18">
        <f t="shared" si="115"/>
        <v>-1</v>
      </c>
      <c r="AR107" s="18">
        <f t="shared" si="116"/>
        <v>-1.5424462157957786E-2</v>
      </c>
      <c r="AS107" s="18">
        <f t="shared" si="117"/>
        <v>0</v>
      </c>
      <c r="AT107" s="18">
        <f t="shared" si="118"/>
        <v>-3.6848206804385164E-3</v>
      </c>
      <c r="AU107" s="18">
        <f t="shared" si="119"/>
        <v>0</v>
      </c>
      <c r="AV107" s="18">
        <f t="shared" si="120"/>
        <v>-1.5424462157957786E-2</v>
      </c>
    </row>
    <row r="108" spans="1:48">
      <c r="A108" s="17">
        <f t="shared" si="105"/>
        <v>38</v>
      </c>
      <c r="B108" s="17">
        <f t="shared" si="76"/>
        <v>88</v>
      </c>
      <c r="C108" s="17">
        <f t="shared" si="77"/>
        <v>2037</v>
      </c>
      <c r="D108" s="17">
        <f>0</f>
        <v>0</v>
      </c>
      <c r="E108" s="18">
        <f>IF(D108=1,SUMIFS('5 - Dati'!$F$6:$F$186,'5 - Dati'!$A$6:$A$186,Serie,'5 - Dati'!$B$6:$B$186,C108),(1+Rend_c)*(1+Infl_c)-1)</f>
        <v>5.0599999999999978E-2</v>
      </c>
      <c r="F108" s="18">
        <f>IF(D108=1,SUMIFS('5 - Dati'!$E$6:$E$186,'5 - Dati'!$A$6:$A$186,Serie,'5 - Dati'!$B$6:$B$186,C108),Infl_c)</f>
        <v>0.02</v>
      </c>
      <c r="G108" s="19">
        <f t="shared" si="78"/>
        <v>1.0484988</v>
      </c>
      <c r="H108" s="19">
        <f t="shared" si="106"/>
        <v>9.8068520570991108E-2</v>
      </c>
      <c r="I108" s="19">
        <f t="shared" si="79"/>
        <v>0.76549781534845773</v>
      </c>
      <c r="J108" s="20">
        <f t="shared" si="80"/>
        <v>38000</v>
      </c>
      <c r="K108" s="20">
        <f t="shared" si="81"/>
        <v>49640.8993443074</v>
      </c>
      <c r="L108" s="17">
        <f t="shared" si="82"/>
        <v>1</v>
      </c>
      <c r="M108" s="20">
        <f t="shared" si="83"/>
        <v>0</v>
      </c>
      <c r="N108" s="20">
        <f t="shared" si="107"/>
        <v>0</v>
      </c>
      <c r="O108" s="20">
        <f t="shared" si="84"/>
        <v>19639.743352731901</v>
      </c>
      <c r="P108" s="20">
        <f t="shared" si="85"/>
        <v>25656.171655815648</v>
      </c>
      <c r="Q108" s="17">
        <f t="shared" si="86"/>
        <v>0</v>
      </c>
      <c r="R108" s="20">
        <f t="shared" si="87"/>
        <v>19639.743352731901</v>
      </c>
      <c r="S108" s="20">
        <f t="shared" si="108"/>
        <v>632453.84237397334</v>
      </c>
      <c r="T108" s="20">
        <f t="shared" si="88"/>
        <v>34200</v>
      </c>
      <c r="U108" s="20">
        <f t="shared" si="89"/>
        <v>44676.80940987666</v>
      </c>
      <c r="V108" s="17">
        <f t="shared" si="90"/>
        <v>0</v>
      </c>
      <c r="W108" s="20">
        <f t="shared" si="91"/>
        <v>34200</v>
      </c>
      <c r="X108" s="20">
        <f t="shared" si="109"/>
        <v>172867.22391542397</v>
      </c>
      <c r="Y108" s="18">
        <f t="shared" si="92"/>
        <v>9.7536005313556398E-2</v>
      </c>
      <c r="Z108" s="20">
        <f t="shared" si="93"/>
        <v>28578.029343754923</v>
      </c>
      <c r="AA108" s="20">
        <f t="shared" si="94"/>
        <v>37332.607318736875</v>
      </c>
      <c r="AB108" s="17">
        <f t="shared" si="95"/>
        <v>0</v>
      </c>
      <c r="AC108" s="20">
        <f t="shared" si="96"/>
        <v>28578.029343754923</v>
      </c>
      <c r="AD108" s="20">
        <f t="shared" si="110"/>
        <v>382757.19001122616</v>
      </c>
      <c r="AE108" s="20">
        <f t="shared" si="111"/>
        <v>22438.62</v>
      </c>
      <c r="AF108" s="18">
        <f t="shared" si="97"/>
        <v>5.9086612311921763E-2</v>
      </c>
      <c r="AG108" s="20">
        <f t="shared" si="98"/>
        <v>22438.62</v>
      </c>
      <c r="AH108" s="20">
        <f t="shared" si="99"/>
        <v>29312.454653820074</v>
      </c>
      <c r="AI108" s="17">
        <f t="shared" si="100"/>
        <v>0</v>
      </c>
      <c r="AJ108" s="20">
        <f t="shared" si="101"/>
        <v>22438.62</v>
      </c>
      <c r="AK108" s="20">
        <f t="shared" si="112"/>
        <v>496092.99817491433</v>
      </c>
      <c r="AL108" s="20">
        <f t="shared" si="113"/>
        <v>19639.743352731901</v>
      </c>
      <c r="AM108" s="20">
        <f t="shared" si="102"/>
        <v>25656.171655815648</v>
      </c>
      <c r="AN108" s="17">
        <f t="shared" si="103"/>
        <v>0</v>
      </c>
      <c r="AO108" s="20">
        <f t="shared" si="104"/>
        <v>19639.743352731901</v>
      </c>
      <c r="AP108" s="20">
        <f t="shared" si="114"/>
        <v>632453.84237397334</v>
      </c>
      <c r="AQ108" s="18" t="str">
        <f t="shared" si="115"/>
        <v/>
      </c>
      <c r="AR108" s="18">
        <f t="shared" si="116"/>
        <v>-1.5350133585979919E-2</v>
      </c>
      <c r="AS108" s="18">
        <f t="shared" si="117"/>
        <v>0</v>
      </c>
      <c r="AT108" s="18">
        <f t="shared" si="118"/>
        <v>-3.6096058475767467E-3</v>
      </c>
      <c r="AU108" s="18">
        <f t="shared" si="119"/>
        <v>0</v>
      </c>
      <c r="AV108" s="18">
        <f t="shared" si="120"/>
        <v>-1.5350133585979919E-2</v>
      </c>
    </row>
    <row r="109" spans="1:48">
      <c r="A109" s="17">
        <f t="shared" si="105"/>
        <v>39</v>
      </c>
      <c r="B109" s="17">
        <f t="shared" si="76"/>
        <v>89</v>
      </c>
      <c r="C109" s="17">
        <f t="shared" si="77"/>
        <v>2038</v>
      </c>
      <c r="D109" s="17">
        <f>0</f>
        <v>0</v>
      </c>
      <c r="E109" s="18">
        <f>IF(D109=1,SUMIFS('5 - Dati'!$F$6:$F$186,'5 - Dati'!$A$6:$A$186,Serie,'5 - Dati'!$B$6:$B$186,C109),(1+Rend_c)*(1+Infl_c)-1)</f>
        <v>5.0599999999999978E-2</v>
      </c>
      <c r="F109" s="18">
        <f>IF(D109=1,SUMIFS('5 - Dati'!$E$6:$E$186,'5 - Dati'!$A$6:$A$186,Serie,'5 - Dati'!$B$6:$B$186,C109),Infl_c)</f>
        <v>0.02</v>
      </c>
      <c r="G109" s="19">
        <f t="shared" si="78"/>
        <v>1.0484988</v>
      </c>
      <c r="H109" s="19">
        <f t="shared" si="106"/>
        <v>9.3532315507648761E-2</v>
      </c>
      <c r="I109" s="19">
        <f t="shared" si="79"/>
        <v>0.76431840203198864</v>
      </c>
      <c r="J109" s="20">
        <f t="shared" si="80"/>
        <v>38000</v>
      </c>
      <c r="K109" s="20">
        <f t="shared" si="81"/>
        <v>49717.49979978842</v>
      </c>
      <c r="L109" s="17">
        <f t="shared" si="82"/>
        <v>1</v>
      </c>
      <c r="M109" s="20">
        <f t="shared" si="83"/>
        <v>0</v>
      </c>
      <c r="N109" s="20">
        <f t="shared" si="107"/>
        <v>0</v>
      </c>
      <c r="O109" s="20">
        <f t="shared" si="84"/>
        <v>19339.667546626701</v>
      </c>
      <c r="P109" s="20">
        <f t="shared" si="85"/>
        <v>25303.155720457569</v>
      </c>
      <c r="Q109" s="17">
        <f t="shared" si="86"/>
        <v>0</v>
      </c>
      <c r="R109" s="20">
        <f t="shared" si="87"/>
        <v>19339.667546626701</v>
      </c>
      <c r="S109" s="20">
        <f t="shared" si="108"/>
        <v>623751.59763802297</v>
      </c>
      <c r="T109" s="20">
        <f t="shared" si="88"/>
        <v>34200</v>
      </c>
      <c r="U109" s="20">
        <f t="shared" si="89"/>
        <v>44745.749819809578</v>
      </c>
      <c r="V109" s="17">
        <f t="shared" si="90"/>
        <v>0</v>
      </c>
      <c r="W109" s="20">
        <f t="shared" si="91"/>
        <v>34200</v>
      </c>
      <c r="X109" s="20">
        <f t="shared" si="109"/>
        <v>131772.0546868323</v>
      </c>
      <c r="Y109" s="18">
        <f t="shared" si="92"/>
        <v>0.10492956101008979</v>
      </c>
      <c r="Z109" s="20">
        <f t="shared" si="93"/>
        <v>28476.930772005584</v>
      </c>
      <c r="AA109" s="20">
        <f t="shared" si="94"/>
        <v>37257.942104099377</v>
      </c>
      <c r="AB109" s="17">
        <f t="shared" si="95"/>
        <v>0</v>
      </c>
      <c r="AC109" s="20">
        <f t="shared" si="96"/>
        <v>28476.930772005584</v>
      </c>
      <c r="AD109" s="20">
        <f t="shared" si="110"/>
        <v>355075.74553291738</v>
      </c>
      <c r="AE109" s="20">
        <f t="shared" si="111"/>
        <v>22438.62</v>
      </c>
      <c r="AF109" s="18">
        <f t="shared" si="97"/>
        <v>6.1184486076387018E-2</v>
      </c>
      <c r="AG109" s="20">
        <f t="shared" si="98"/>
        <v>22438.62</v>
      </c>
      <c r="AH109" s="20">
        <f t="shared" si="99"/>
        <v>29357.686456777061</v>
      </c>
      <c r="AI109" s="17">
        <f t="shared" si="100"/>
        <v>0</v>
      </c>
      <c r="AJ109" s="20">
        <f t="shared" si="101"/>
        <v>22438.62</v>
      </c>
      <c r="AK109" s="20">
        <f t="shared" si="112"/>
        <v>479822.39190707362</v>
      </c>
      <c r="AL109" s="20">
        <f t="shared" si="113"/>
        <v>19339.667546626701</v>
      </c>
      <c r="AM109" s="20">
        <f t="shared" si="102"/>
        <v>25303.155720457569</v>
      </c>
      <c r="AN109" s="17">
        <f t="shared" si="103"/>
        <v>0</v>
      </c>
      <c r="AO109" s="20">
        <f t="shared" si="104"/>
        <v>19339.667546626701</v>
      </c>
      <c r="AP109" s="20">
        <f t="shared" si="114"/>
        <v>623751.59763802297</v>
      </c>
      <c r="AQ109" s="18" t="str">
        <f t="shared" si="115"/>
        <v/>
      </c>
      <c r="AR109" s="18">
        <f t="shared" si="116"/>
        <v>-1.5279008524490711E-2</v>
      </c>
      <c r="AS109" s="18">
        <f t="shared" si="117"/>
        <v>0</v>
      </c>
      <c r="AT109" s="18">
        <f t="shared" si="118"/>
        <v>-3.5376327224406756E-3</v>
      </c>
      <c r="AU109" s="18">
        <f t="shared" si="119"/>
        <v>0</v>
      </c>
      <c r="AV109" s="18">
        <f t="shared" si="120"/>
        <v>-1.5279008524490711E-2</v>
      </c>
    </row>
    <row r="110" spans="1:48">
      <c r="A110" s="17">
        <f t="shared" si="105"/>
        <v>40</v>
      </c>
      <c r="B110" s="17">
        <f t="shared" si="76"/>
        <v>90</v>
      </c>
      <c r="C110" s="17">
        <f t="shared" si="77"/>
        <v>2039</v>
      </c>
      <c r="D110" s="17">
        <f>0</f>
        <v>0</v>
      </c>
      <c r="E110" s="18">
        <f>IF(D110=1,SUMIFS('5 - Dati'!$F$6:$F$186,'5 - Dati'!$A$6:$A$186,Serie,'5 - Dati'!$B$6:$B$186,C110),(1+Rend_c)*(1+Infl_c)-1)</f>
        <v>5.0599999999999978E-2</v>
      </c>
      <c r="F110" s="18">
        <f>IF(D110=1,SUMIFS('5 - Dati'!$E$6:$E$186,'5 - Dati'!$A$6:$A$186,Serie,'5 - Dati'!$B$6:$B$186,C110),Infl_c)</f>
        <v>0.02</v>
      </c>
      <c r="G110" s="19">
        <f t="shared" si="78"/>
        <v>1.0484988</v>
      </c>
      <c r="H110" s="19">
        <f t="shared" si="106"/>
        <v>8.9205934720811092E-2</v>
      </c>
      <c r="I110" s="19">
        <f t="shared" si="79"/>
        <v>0.76319354302741083</v>
      </c>
      <c r="J110" s="20">
        <f t="shared" si="80"/>
        <v>38000</v>
      </c>
      <c r="K110" s="20">
        <f t="shared" si="81"/>
        <v>49790.777643719128</v>
      </c>
      <c r="L110" s="17">
        <f t="shared" si="82"/>
        <v>1</v>
      </c>
      <c r="M110" s="20">
        <f t="shared" si="83"/>
        <v>0</v>
      </c>
      <c r="N110" s="20">
        <f t="shared" si="107"/>
        <v>0</v>
      </c>
      <c r="O110" s="20">
        <f t="shared" si="84"/>
        <v>19045.492657323171</v>
      </c>
      <c r="P110" s="20">
        <f t="shared" si="85"/>
        <v>24954.997105680617</v>
      </c>
      <c r="Q110" s="17">
        <f t="shared" si="86"/>
        <v>0</v>
      </c>
      <c r="R110" s="20">
        <f t="shared" si="87"/>
        <v>19045.492657323171</v>
      </c>
      <c r="S110" s="20">
        <f t="shared" si="108"/>
        <v>615169.09138474218</v>
      </c>
      <c r="T110" s="20">
        <f t="shared" si="88"/>
        <v>34200</v>
      </c>
      <c r="U110" s="20">
        <f t="shared" si="89"/>
        <v>44811.699879347216</v>
      </c>
      <c r="V110" s="17">
        <f t="shared" si="90"/>
        <v>0</v>
      </c>
      <c r="W110" s="20">
        <f t="shared" si="91"/>
        <v>34200</v>
      </c>
      <c r="X110" s="20">
        <f t="shared" si="109"/>
        <v>89457.819825007333</v>
      </c>
      <c r="Y110" s="18">
        <f t="shared" si="92"/>
        <v>0.11381602583025205</v>
      </c>
      <c r="Z110" s="20">
        <f t="shared" si="93"/>
        <v>28378.150798657065</v>
      </c>
      <c r="AA110" s="20">
        <f t="shared" si="94"/>
        <v>37183.426219891167</v>
      </c>
      <c r="AB110" s="17">
        <f t="shared" si="95"/>
        <v>0</v>
      </c>
      <c r="AC110" s="20">
        <f t="shared" si="96"/>
        <v>28378.150798657065</v>
      </c>
      <c r="AD110" s="20">
        <f t="shared" si="110"/>
        <v>326697.63285661914</v>
      </c>
      <c r="AE110" s="20">
        <f t="shared" si="111"/>
        <v>22438.62</v>
      </c>
      <c r="AF110" s="18">
        <f t="shared" si="97"/>
        <v>6.3494034171461794E-2</v>
      </c>
      <c r="AG110" s="20">
        <f t="shared" si="98"/>
        <v>22438.62</v>
      </c>
      <c r="AH110" s="20">
        <f t="shared" si="99"/>
        <v>29400.956290839706</v>
      </c>
      <c r="AI110" s="17">
        <f t="shared" si="100"/>
        <v>0</v>
      </c>
      <c r="AJ110" s="20">
        <f t="shared" si="101"/>
        <v>22438.62</v>
      </c>
      <c r="AK110" s="20">
        <f t="shared" si="112"/>
        <v>463050.68932057783</v>
      </c>
      <c r="AL110" s="20">
        <f t="shared" si="113"/>
        <v>19045.492657323171</v>
      </c>
      <c r="AM110" s="20">
        <f t="shared" si="102"/>
        <v>24954.997105680617</v>
      </c>
      <c r="AN110" s="17">
        <f t="shared" si="103"/>
        <v>0</v>
      </c>
      <c r="AO110" s="20">
        <f t="shared" si="104"/>
        <v>19045.492657323171</v>
      </c>
      <c r="AP110" s="20">
        <f t="shared" si="114"/>
        <v>615169.09138474218</v>
      </c>
      <c r="AQ110" s="18" t="str">
        <f t="shared" si="115"/>
        <v/>
      </c>
      <c r="AR110" s="18">
        <f t="shared" si="116"/>
        <v>-1.5210958957504905E-2</v>
      </c>
      <c r="AS110" s="18">
        <f t="shared" si="117"/>
        <v>0</v>
      </c>
      <c r="AT110" s="18">
        <f t="shared" si="118"/>
        <v>-3.4687717626376013E-3</v>
      </c>
      <c r="AU110" s="18">
        <f t="shared" si="119"/>
        <v>0</v>
      </c>
      <c r="AV110" s="18">
        <f t="shared" si="120"/>
        <v>-1.5210958957504905E-2</v>
      </c>
    </row>
    <row r="111" spans="1:48">
      <c r="A111" s="17">
        <f t="shared" si="105"/>
        <v>41</v>
      </c>
      <c r="B111" s="17">
        <f t="shared" si="76"/>
        <v>91</v>
      </c>
      <c r="C111" s="17">
        <f t="shared" si="77"/>
        <v>2040</v>
      </c>
      <c r="D111" s="17">
        <f>0</f>
        <v>0</v>
      </c>
      <c r="E111" s="18">
        <f>IF(D111=1,SUMIFS('5 - Dati'!$F$6:$F$186,'5 - Dati'!$A$6:$A$186,Serie,'5 - Dati'!$B$6:$B$186,C111),(1+Rend_c)*(1+Infl_c)-1)</f>
        <v>5.0599999999999978E-2</v>
      </c>
      <c r="F111" s="18">
        <f>IF(D111=1,SUMIFS('5 - Dati'!$E$6:$E$186,'5 - Dati'!$A$6:$A$186,Serie,'5 - Dati'!$B$6:$B$186,C111),Infl_c)</f>
        <v>0.02</v>
      </c>
      <c r="G111" s="19">
        <f t="shared" si="78"/>
        <v>1.0484988</v>
      </c>
      <c r="H111" s="19">
        <f t="shared" si="106"/>
        <v>8.5079672690909228E-2</v>
      </c>
      <c r="I111" s="19">
        <f t="shared" si="79"/>
        <v>0.7621207148996364</v>
      </c>
      <c r="J111" s="20">
        <f t="shared" si="80"/>
        <v>38000</v>
      </c>
      <c r="K111" s="20">
        <f t="shared" si="81"/>
        <v>49860.867520185719</v>
      </c>
      <c r="L111" s="17">
        <f t="shared" si="82"/>
        <v>1</v>
      </c>
      <c r="M111" s="20">
        <f t="shared" si="83"/>
        <v>0</v>
      </c>
      <c r="N111" s="20">
        <f t="shared" si="107"/>
        <v>0</v>
      </c>
      <c r="O111" s="20">
        <f t="shared" si="84"/>
        <v>18757.032270957621</v>
      </c>
      <c r="P111" s="20">
        <f t="shared" si="85"/>
        <v>24611.628977212269</v>
      </c>
      <c r="Q111" s="17">
        <f t="shared" si="86"/>
        <v>0</v>
      </c>
      <c r="R111" s="20">
        <f t="shared" si="87"/>
        <v>18757.032270957621</v>
      </c>
      <c r="S111" s="20">
        <f t="shared" si="108"/>
        <v>606704.67607321846</v>
      </c>
      <c r="T111" s="20">
        <f t="shared" si="88"/>
        <v>34200</v>
      </c>
      <c r="U111" s="20">
        <f t="shared" si="89"/>
        <v>44874.780768167147</v>
      </c>
      <c r="V111" s="17">
        <f t="shared" si="90"/>
        <v>0</v>
      </c>
      <c r="W111" s="20">
        <f t="shared" si="91"/>
        <v>34200</v>
      </c>
      <c r="X111" s="20">
        <f t="shared" si="109"/>
        <v>45893.532536941857</v>
      </c>
      <c r="Y111" s="18">
        <f t="shared" si="92"/>
        <v>0.12469306506611982</v>
      </c>
      <c r="Z111" s="20">
        <f t="shared" si="93"/>
        <v>28281.582854375094</v>
      </c>
      <c r="AA111" s="20">
        <f t="shared" si="94"/>
        <v>37109.05936745138</v>
      </c>
      <c r="AB111" s="17">
        <f t="shared" si="95"/>
        <v>0</v>
      </c>
      <c r="AC111" s="20">
        <f t="shared" si="96"/>
        <v>28281.582854375094</v>
      </c>
      <c r="AD111" s="20">
        <f t="shared" si="110"/>
        <v>297603.23357015813</v>
      </c>
      <c r="AE111" s="20">
        <f t="shared" si="111"/>
        <v>22438.62</v>
      </c>
      <c r="AF111" s="18">
        <f t="shared" si="97"/>
        <v>6.6048890747395325E-2</v>
      </c>
      <c r="AG111" s="20">
        <f t="shared" si="98"/>
        <v>22438.62</v>
      </c>
      <c r="AH111" s="20">
        <f t="shared" si="99"/>
        <v>29442.343661994462</v>
      </c>
      <c r="AI111" s="17">
        <f t="shared" si="100"/>
        <v>0</v>
      </c>
      <c r="AJ111" s="20">
        <f t="shared" si="101"/>
        <v>22438.62</v>
      </c>
      <c r="AK111" s="20">
        <f t="shared" si="112"/>
        <v>445765.906570589</v>
      </c>
      <c r="AL111" s="20">
        <f t="shared" si="113"/>
        <v>18757.032270957621</v>
      </c>
      <c r="AM111" s="20">
        <f t="shared" si="102"/>
        <v>24611.628977212269</v>
      </c>
      <c r="AN111" s="17">
        <f t="shared" si="103"/>
        <v>0</v>
      </c>
      <c r="AO111" s="20">
        <f t="shared" si="104"/>
        <v>18757.032270957621</v>
      </c>
      <c r="AP111" s="20">
        <f t="shared" si="114"/>
        <v>606704.67607321846</v>
      </c>
      <c r="AQ111" s="18" t="str">
        <f t="shared" si="115"/>
        <v/>
      </c>
      <c r="AR111" s="18">
        <f t="shared" si="116"/>
        <v>-1.5145861099824853E-2</v>
      </c>
      <c r="AS111" s="18">
        <f t="shared" si="117"/>
        <v>0</v>
      </c>
      <c r="AT111" s="18">
        <f t="shared" si="118"/>
        <v>-3.4028977070112987E-3</v>
      </c>
      <c r="AU111" s="18">
        <f t="shared" si="119"/>
        <v>0</v>
      </c>
      <c r="AV111" s="18">
        <f t="shared" si="120"/>
        <v>-1.5145861099824853E-2</v>
      </c>
    </row>
    <row r="112" spans="1:48">
      <c r="A112" s="17">
        <f t="shared" si="105"/>
        <v>42</v>
      </c>
      <c r="B112" s="17">
        <f t="shared" si="76"/>
        <v>92</v>
      </c>
      <c r="C112" s="17">
        <f t="shared" si="77"/>
        <v>2041</v>
      </c>
      <c r="D112" s="17">
        <f>0</f>
        <v>0</v>
      </c>
      <c r="E112" s="18">
        <f>IF(D112=1,SUMIFS('5 - Dati'!$F$6:$F$186,'5 - Dati'!$A$6:$A$186,Serie,'5 - Dati'!$B$6:$B$186,C112),(1+Rend_c)*(1+Infl_c)-1)</f>
        <v>5.0599999999999978E-2</v>
      </c>
      <c r="F112" s="18">
        <f>IF(D112=1,SUMIFS('5 - Dati'!$E$6:$E$186,'5 - Dati'!$A$6:$A$186,Serie,'5 - Dati'!$B$6:$B$186,C112),Infl_c)</f>
        <v>0.02</v>
      </c>
      <c r="G112" s="19">
        <f t="shared" si="78"/>
        <v>1.0484988</v>
      </c>
      <c r="H112" s="19">
        <f t="shared" si="106"/>
        <v>8.1144272831699213E-2</v>
      </c>
      <c r="I112" s="19">
        <f t="shared" si="79"/>
        <v>0.76109751093624178</v>
      </c>
      <c r="J112" s="20">
        <f t="shared" si="80"/>
        <v>38000</v>
      </c>
      <c r="K112" s="20">
        <f t="shared" si="81"/>
        <v>49927.899453061429</v>
      </c>
      <c r="L112" s="17">
        <f t="shared" si="82"/>
        <v>1</v>
      </c>
      <c r="M112" s="20">
        <f t="shared" si="83"/>
        <v>0</v>
      </c>
      <c r="N112" s="20">
        <f t="shared" si="107"/>
        <v>0</v>
      </c>
      <c r="O112" s="20">
        <f t="shared" si="84"/>
        <v>18474.108786447297</v>
      </c>
      <c r="P112" s="20">
        <f t="shared" si="85"/>
        <v>24272.985420385772</v>
      </c>
      <c r="Q112" s="17">
        <f t="shared" si="86"/>
        <v>0</v>
      </c>
      <c r="R112" s="20">
        <f t="shared" si="87"/>
        <v>18474.108786447297</v>
      </c>
      <c r="S112" s="20">
        <f t="shared" si="108"/>
        <v>598356.72683186864</v>
      </c>
      <c r="T112" s="20">
        <f t="shared" si="88"/>
        <v>34200</v>
      </c>
      <c r="U112" s="20">
        <f t="shared" si="89"/>
        <v>44935.109507755282</v>
      </c>
      <c r="V112" s="17">
        <f t="shared" si="90"/>
        <v>1</v>
      </c>
      <c r="W112" s="20">
        <f t="shared" si="91"/>
        <v>797.0332575035336</v>
      </c>
      <c r="X112" s="20">
        <f t="shared" si="109"/>
        <v>1047.2156931942748</v>
      </c>
      <c r="Y112" s="18">
        <f t="shared" si="92"/>
        <v>0.13830717361867884</v>
      </c>
      <c r="Z112" s="20">
        <f t="shared" si="93"/>
        <v>28187.125492316965</v>
      </c>
      <c r="AA112" s="20">
        <f t="shared" si="94"/>
        <v>37034.841248716475</v>
      </c>
      <c r="AB112" s="17">
        <f t="shared" si="95"/>
        <v>0</v>
      </c>
      <c r="AC112" s="20">
        <f t="shared" si="96"/>
        <v>28187.125492316965</v>
      </c>
      <c r="AD112" s="20">
        <f t="shared" si="110"/>
        <v>267772.38142993039</v>
      </c>
      <c r="AE112" s="20">
        <f t="shared" si="111"/>
        <v>22438.62</v>
      </c>
      <c r="AF112" s="18">
        <f t="shared" si="97"/>
        <v>6.8890142734686202E-2</v>
      </c>
      <c r="AG112" s="20">
        <f t="shared" si="98"/>
        <v>22438.62</v>
      </c>
      <c r="AH112" s="20">
        <f t="shared" si="99"/>
        <v>29481.925348038239</v>
      </c>
      <c r="AI112" s="17">
        <f t="shared" si="100"/>
        <v>0</v>
      </c>
      <c r="AJ112" s="20">
        <f t="shared" si="101"/>
        <v>22438.62</v>
      </c>
      <c r="AK112" s="20">
        <f t="shared" si="112"/>
        <v>427955.64325626066</v>
      </c>
      <c r="AL112" s="20">
        <f t="shared" si="113"/>
        <v>18474.108786447297</v>
      </c>
      <c r="AM112" s="20">
        <f t="shared" si="102"/>
        <v>24272.985420385772</v>
      </c>
      <c r="AN112" s="17">
        <f t="shared" si="103"/>
        <v>0</v>
      </c>
      <c r="AO112" s="20">
        <f t="shared" si="104"/>
        <v>18474.108786447297</v>
      </c>
      <c r="AP112" s="20">
        <f t="shared" si="114"/>
        <v>598356.72683186864</v>
      </c>
      <c r="AQ112" s="18" t="str">
        <f t="shared" si="115"/>
        <v/>
      </c>
      <c r="AR112" s="18">
        <f t="shared" si="116"/>
        <v>-1.5083595337647693E-2</v>
      </c>
      <c r="AS112" s="18">
        <f t="shared" si="117"/>
        <v>-0.97669493399112473</v>
      </c>
      <c r="AT112" s="18">
        <f t="shared" si="118"/>
        <v>-3.3398895155373198E-3</v>
      </c>
      <c r="AU112" s="18">
        <f t="shared" si="119"/>
        <v>0</v>
      </c>
      <c r="AV112" s="18">
        <f t="shared" si="120"/>
        <v>-1.5083595337647693E-2</v>
      </c>
    </row>
    <row r="113" spans="1:48">
      <c r="A113" s="17">
        <f t="shared" si="105"/>
        <v>43</v>
      </c>
      <c r="B113" s="17">
        <f t="shared" si="76"/>
        <v>93</v>
      </c>
      <c r="C113" s="17">
        <f t="shared" si="77"/>
        <v>2042</v>
      </c>
      <c r="D113" s="17">
        <f>0</f>
        <v>0</v>
      </c>
      <c r="E113" s="18">
        <f>IF(D113=1,SUMIFS('5 - Dati'!$F$6:$F$186,'5 - Dati'!$A$6:$A$186,Serie,'5 - Dati'!$B$6:$B$186,C113),(1+Rend_c)*(1+Infl_c)-1)</f>
        <v>5.0599999999999978E-2</v>
      </c>
      <c r="F113" s="18">
        <f>IF(D113=1,SUMIFS('5 - Dati'!$E$6:$E$186,'5 - Dati'!$A$6:$A$186,Serie,'5 - Dati'!$B$6:$B$186,C113),Infl_c)</f>
        <v>0.02</v>
      </c>
      <c r="G113" s="19">
        <f t="shared" si="78"/>
        <v>1.0484988</v>
      </c>
      <c r="H113" s="19">
        <f t="shared" si="106"/>
        <v>7.7390906724642147E-2</v>
      </c>
      <c r="I113" s="19">
        <f t="shared" si="79"/>
        <v>0.76012163574840697</v>
      </c>
      <c r="J113" s="20">
        <f t="shared" si="80"/>
        <v>38000</v>
      </c>
      <c r="K113" s="20">
        <f t="shared" si="81"/>
        <v>49991.998928678884</v>
      </c>
      <c r="L113" s="17">
        <f t="shared" si="82"/>
        <v>1</v>
      </c>
      <c r="M113" s="20">
        <f t="shared" si="83"/>
        <v>0</v>
      </c>
      <c r="N113" s="20">
        <f t="shared" si="107"/>
        <v>0</v>
      </c>
      <c r="O113" s="20">
        <f t="shared" si="84"/>
        <v>18196.552923244722</v>
      </c>
      <c r="P113" s="20">
        <f t="shared" si="85"/>
        <v>23939.001427486808</v>
      </c>
      <c r="Q113" s="17">
        <f t="shared" si="86"/>
        <v>0</v>
      </c>
      <c r="R113" s="20">
        <f t="shared" si="87"/>
        <v>18196.552923244722</v>
      </c>
      <c r="S113" s="20">
        <f t="shared" si="108"/>
        <v>590123.64114651969</v>
      </c>
      <c r="T113" s="20">
        <f t="shared" si="88"/>
        <v>34200</v>
      </c>
      <c r="U113" s="20">
        <f t="shared" si="89"/>
        <v>44992.799035810996</v>
      </c>
      <c r="V113" s="17">
        <f t="shared" si="90"/>
        <v>1</v>
      </c>
      <c r="W113" s="20">
        <f t="shared" si="91"/>
        <v>0</v>
      </c>
      <c r="X113" s="20">
        <f t="shared" si="109"/>
        <v>0</v>
      </c>
      <c r="Y113" s="18">
        <f t="shared" si="92"/>
        <v>0.15583141141191459</v>
      </c>
      <c r="Z113" s="20">
        <f t="shared" si="93"/>
        <v>28094.682141437625</v>
      </c>
      <c r="AA113" s="20">
        <f t="shared" si="94"/>
        <v>36960.771566219039</v>
      </c>
      <c r="AB113" s="17">
        <f t="shared" si="95"/>
        <v>0</v>
      </c>
      <c r="AC113" s="20">
        <f t="shared" si="96"/>
        <v>28094.682141437625</v>
      </c>
      <c r="AD113" s="20">
        <f t="shared" si="110"/>
        <v>237184.34705387702</v>
      </c>
      <c r="AE113" s="20">
        <f t="shared" si="111"/>
        <v>22438.62</v>
      </c>
      <c r="AF113" s="18">
        <f t="shared" si="97"/>
        <v>7.2068519688676808E-2</v>
      </c>
      <c r="AG113" s="20">
        <f t="shared" si="98"/>
        <v>22438.62</v>
      </c>
      <c r="AH113" s="20">
        <f t="shared" si="99"/>
        <v>29519.77544739559</v>
      </c>
      <c r="AI113" s="17">
        <f t="shared" si="100"/>
        <v>0</v>
      </c>
      <c r="AJ113" s="20">
        <f t="shared" si="101"/>
        <v>22438.62</v>
      </c>
      <c r="AK113" s="20">
        <f t="shared" si="112"/>
        <v>409607.07358657807</v>
      </c>
      <c r="AL113" s="20">
        <f t="shared" si="113"/>
        <v>18196.552923244722</v>
      </c>
      <c r="AM113" s="20">
        <f t="shared" si="102"/>
        <v>23939.001427486808</v>
      </c>
      <c r="AN113" s="17">
        <f t="shared" si="103"/>
        <v>0</v>
      </c>
      <c r="AO113" s="20">
        <f t="shared" si="104"/>
        <v>18196.552923244722</v>
      </c>
      <c r="AP113" s="20">
        <f t="shared" si="114"/>
        <v>590123.64114651969</v>
      </c>
      <c r="AQ113" s="18" t="str">
        <f t="shared" si="115"/>
        <v/>
      </c>
      <c r="AR113" s="18" t="str">
        <f t="shared" si="116"/>
        <v/>
      </c>
      <c r="AS113" s="18" t="str">
        <f t="shared" si="117"/>
        <v/>
      </c>
      <c r="AT113" s="18" t="str">
        <f t="shared" si="118"/>
        <v/>
      </c>
      <c r="AU113" s="18" t="str">
        <f t="shared" si="119"/>
        <v/>
      </c>
      <c r="AV113" s="18" t="str">
        <f t="shared" si="120"/>
        <v/>
      </c>
    </row>
    <row r="114" spans="1:48">
      <c r="A114" s="17">
        <f t="shared" si="105"/>
        <v>44</v>
      </c>
      <c r="B114" s="17">
        <f t="shared" si="76"/>
        <v>94</v>
      </c>
      <c r="C114" s="17">
        <f t="shared" si="77"/>
        <v>2043</v>
      </c>
      <c r="D114" s="17">
        <f>0</f>
        <v>0</v>
      </c>
      <c r="E114" s="18">
        <f>IF(D114=1,SUMIFS('5 - Dati'!$F$6:$F$186,'5 - Dati'!$A$6:$A$186,Serie,'5 - Dati'!$B$6:$B$186,C114),(1+Rend_c)*(1+Infl_c)-1)</f>
        <v>5.0599999999999978E-2</v>
      </c>
      <c r="F114" s="18">
        <f>IF(D114=1,SUMIFS('5 - Dati'!$E$6:$E$186,'5 - Dati'!$A$6:$A$186,Serie,'5 - Dati'!$B$6:$B$186,C114),Infl_c)</f>
        <v>0.02</v>
      </c>
      <c r="G114" s="19">
        <f t="shared" si="78"/>
        <v>1.0484988</v>
      </c>
      <c r="H114" s="19">
        <f t="shared" si="106"/>
        <v>7.381115431380765E-2</v>
      </c>
      <c r="I114" s="19">
        <f t="shared" si="79"/>
        <v>0.75919090012158996</v>
      </c>
      <c r="J114" s="20">
        <f t="shared" si="80"/>
        <v>38000</v>
      </c>
      <c r="K114" s="20">
        <f t="shared" si="81"/>
        <v>50053.286984754457</v>
      </c>
      <c r="L114" s="17">
        <f t="shared" si="82"/>
        <v>1</v>
      </c>
      <c r="M114" s="20">
        <f t="shared" si="83"/>
        <v>0</v>
      </c>
      <c r="N114" s="20">
        <f t="shared" si="107"/>
        <v>0</v>
      </c>
      <c r="O114" s="20">
        <f t="shared" si="84"/>
        <v>17924.203257893696</v>
      </c>
      <c r="P114" s="20">
        <f t="shared" si="85"/>
        <v>23609.612885274317</v>
      </c>
      <c r="Q114" s="17">
        <f t="shared" si="86"/>
        <v>0</v>
      </c>
      <c r="R114" s="20">
        <f t="shared" si="87"/>
        <v>17924.203257893696</v>
      </c>
      <c r="S114" s="20">
        <f t="shared" si="108"/>
        <v>582003.83855278266</v>
      </c>
      <c r="T114" s="20">
        <f t="shared" si="88"/>
        <v>34200</v>
      </c>
      <c r="U114" s="20">
        <f t="shared" si="89"/>
        <v>45047.958286279012</v>
      </c>
      <c r="V114" s="17">
        <f t="shared" si="90"/>
        <v>1</v>
      </c>
      <c r="W114" s="20">
        <f t="shared" si="91"/>
        <v>0</v>
      </c>
      <c r="X114" s="20">
        <f t="shared" si="109"/>
        <v>0</v>
      </c>
      <c r="Y114" s="18">
        <f t="shared" si="92"/>
        <v>0.1792208742234731</v>
      </c>
      <c r="Z114" s="20">
        <f t="shared" si="93"/>
        <v>28004.160871677217</v>
      </c>
      <c r="AA114" s="20">
        <f t="shared" si="94"/>
        <v>36886.850023086612</v>
      </c>
      <c r="AB114" s="17">
        <f t="shared" si="95"/>
        <v>0</v>
      </c>
      <c r="AC114" s="20">
        <f t="shared" si="96"/>
        <v>28004.160871677217</v>
      </c>
      <c r="AD114" s="20">
        <f t="shared" si="110"/>
        <v>205817.82218678313</v>
      </c>
      <c r="AE114" s="20">
        <f t="shared" si="111"/>
        <v>22438.62</v>
      </c>
      <c r="AF114" s="18">
        <f t="shared" si="97"/>
        <v>7.5647403754126305E-2</v>
      </c>
      <c r="AG114" s="20">
        <f t="shared" si="98"/>
        <v>22438.62</v>
      </c>
      <c r="AH114" s="20">
        <f t="shared" si="99"/>
        <v>29555.965431627657</v>
      </c>
      <c r="AI114" s="17">
        <f t="shared" si="100"/>
        <v>0</v>
      </c>
      <c r="AJ114" s="20">
        <f t="shared" si="101"/>
        <v>22438.62</v>
      </c>
      <c r="AK114" s="20">
        <f t="shared" si="112"/>
        <v>390706.93724919122</v>
      </c>
      <c r="AL114" s="20">
        <f t="shared" si="113"/>
        <v>17924.203257893696</v>
      </c>
      <c r="AM114" s="20">
        <f t="shared" si="102"/>
        <v>23609.612885274317</v>
      </c>
      <c r="AN114" s="17">
        <f t="shared" si="103"/>
        <v>0</v>
      </c>
      <c r="AO114" s="20">
        <f t="shared" si="104"/>
        <v>17924.203257893696</v>
      </c>
      <c r="AP114" s="20">
        <f t="shared" si="114"/>
        <v>582003.83855278266</v>
      </c>
      <c r="AQ114" s="18" t="str">
        <f t="shared" si="115"/>
        <v/>
      </c>
      <c r="AR114" s="18" t="str">
        <f t="shared" si="116"/>
        <v/>
      </c>
      <c r="AS114" s="18" t="str">
        <f t="shared" si="117"/>
        <v/>
      </c>
      <c r="AT114" s="18" t="str">
        <f t="shared" si="118"/>
        <v/>
      </c>
      <c r="AU114" s="18" t="str">
        <f t="shared" si="119"/>
        <v/>
      </c>
      <c r="AV114" s="18" t="str">
        <f t="shared" si="120"/>
        <v/>
      </c>
    </row>
    <row r="115" spans="1:48">
      <c r="A115" s="17">
        <f t="shared" si="105"/>
        <v>45</v>
      </c>
      <c r="B115" s="17">
        <f t="shared" si="76"/>
        <v>95</v>
      </c>
      <c r="C115" s="17">
        <f t="shared" si="77"/>
        <v>2044</v>
      </c>
      <c r="D115" s="17">
        <f>0</f>
        <v>0</v>
      </c>
      <c r="E115" s="18">
        <f>IF(D115=1,SUMIFS('5 - Dati'!$F$6:$F$186,'5 - Dati'!$A$6:$A$186,Serie,'5 - Dati'!$B$6:$B$186,C115),(1+Rend_c)*(1+Infl_c)-1)</f>
        <v>5.0599999999999978E-2</v>
      </c>
      <c r="F115" s="18">
        <f>IF(D115=1,SUMIFS('5 - Dati'!$E$6:$E$186,'5 - Dati'!$A$6:$A$186,Serie,'5 - Dati'!$B$6:$B$186,C115),Infl_c)</f>
        <v>0.02</v>
      </c>
      <c r="G115" s="19">
        <f t="shared" si="78"/>
        <v>1.0484988</v>
      </c>
      <c r="H115" s="19">
        <f t="shared" si="106"/>
        <v>7.0396985016871416E-2</v>
      </c>
      <c r="I115" s="19">
        <f t="shared" si="79"/>
        <v>0.75830321610438656</v>
      </c>
      <c r="J115" s="20">
        <f t="shared" si="80"/>
        <v>38000</v>
      </c>
      <c r="K115" s="20">
        <f t="shared" si="81"/>
        <v>50111.880304578575</v>
      </c>
      <c r="L115" s="17">
        <f t="shared" si="82"/>
        <v>1</v>
      </c>
      <c r="M115" s="20">
        <f t="shared" si="83"/>
        <v>0</v>
      </c>
      <c r="N115" s="20">
        <f t="shared" si="107"/>
        <v>0</v>
      </c>
      <c r="O115" s="20">
        <f t="shared" si="84"/>
        <v>17656.905787682623</v>
      </c>
      <c r="P115" s="20">
        <f t="shared" si="85"/>
        <v>23284.756562672956</v>
      </c>
      <c r="Q115" s="17">
        <f t="shared" si="86"/>
        <v>0</v>
      </c>
      <c r="R115" s="20">
        <f t="shared" si="87"/>
        <v>17656.905787682623</v>
      </c>
      <c r="S115" s="20">
        <f t="shared" si="108"/>
        <v>573995.76033265842</v>
      </c>
      <c r="T115" s="20">
        <f t="shared" si="88"/>
        <v>34200</v>
      </c>
      <c r="U115" s="20">
        <f t="shared" si="89"/>
        <v>45100.692274120716</v>
      </c>
      <c r="V115" s="17">
        <f t="shared" si="90"/>
        <v>1</v>
      </c>
      <c r="W115" s="20">
        <f t="shared" si="91"/>
        <v>0</v>
      </c>
      <c r="X115" s="20">
        <f t="shared" si="109"/>
        <v>0</v>
      </c>
      <c r="Y115" s="18">
        <f t="shared" si="92"/>
        <v>0.21199472951512252</v>
      </c>
      <c r="Z115" s="20">
        <f t="shared" si="93"/>
        <v>27915.474170457815</v>
      </c>
      <c r="AA115" s="20">
        <f t="shared" si="94"/>
        <v>36813.076323040448</v>
      </c>
      <c r="AB115" s="17">
        <f t="shared" si="95"/>
        <v>0</v>
      </c>
      <c r="AC115" s="20">
        <f t="shared" si="96"/>
        <v>27915.474170457815</v>
      </c>
      <c r="AD115" s="20">
        <f t="shared" si="110"/>
        <v>173650.90352595018</v>
      </c>
      <c r="AE115" s="20">
        <f t="shared" si="111"/>
        <v>22438.62</v>
      </c>
      <c r="AF115" s="18">
        <f t="shared" si="97"/>
        <v>7.9707041944984319E-2</v>
      </c>
      <c r="AG115" s="20">
        <f t="shared" si="98"/>
        <v>22438.62</v>
      </c>
      <c r="AH115" s="20">
        <f t="shared" si="99"/>
        <v>29590.564201050602</v>
      </c>
      <c r="AI115" s="17">
        <f t="shared" si="100"/>
        <v>0</v>
      </c>
      <c r="AJ115" s="20">
        <f t="shared" si="101"/>
        <v>22438.62</v>
      </c>
      <c r="AK115" s="20">
        <f t="shared" si="112"/>
        <v>371241.52997014625</v>
      </c>
      <c r="AL115" s="20">
        <f t="shared" si="113"/>
        <v>17656.905787682623</v>
      </c>
      <c r="AM115" s="20">
        <f t="shared" si="102"/>
        <v>23284.756562672956</v>
      </c>
      <c r="AN115" s="17">
        <f t="shared" si="103"/>
        <v>0</v>
      </c>
      <c r="AO115" s="20">
        <f t="shared" si="104"/>
        <v>17656.905787682623</v>
      </c>
      <c r="AP115" s="20">
        <f t="shared" si="114"/>
        <v>573995.76033265842</v>
      </c>
      <c r="AQ115" s="18" t="str">
        <f t="shared" si="115"/>
        <v/>
      </c>
      <c r="AR115" s="18" t="str">
        <f t="shared" si="116"/>
        <v/>
      </c>
      <c r="AS115" s="18" t="str">
        <f t="shared" si="117"/>
        <v/>
      </c>
      <c r="AT115" s="18" t="str">
        <f t="shared" si="118"/>
        <v/>
      </c>
      <c r="AU115" s="18" t="str">
        <f t="shared" si="119"/>
        <v/>
      </c>
      <c r="AV115" s="18" t="str">
        <f t="shared" si="120"/>
        <v/>
      </c>
    </row>
    <row r="116" spans="1:48">
      <c r="A116" s="17">
        <f t="shared" si="105"/>
        <v>46</v>
      </c>
      <c r="B116" s="17">
        <f t="shared" si="76"/>
        <v>96</v>
      </c>
      <c r="C116" s="17">
        <f t="shared" si="77"/>
        <v>2045</v>
      </c>
      <c r="D116" s="17">
        <f>0</f>
        <v>0</v>
      </c>
      <c r="E116" s="18">
        <f>IF(D116=1,SUMIFS('5 - Dati'!$F$6:$F$186,'5 - Dati'!$A$6:$A$186,Serie,'5 - Dati'!$B$6:$B$186,C116),(1+Rend_c)*(1+Infl_c)-1)</f>
        <v>5.0599999999999978E-2</v>
      </c>
      <c r="F116" s="18">
        <f>IF(D116=1,SUMIFS('5 - Dati'!$E$6:$E$186,'5 - Dati'!$A$6:$A$186,Serie,'5 - Dati'!$B$6:$B$186,C116),Infl_c)</f>
        <v>0.02</v>
      </c>
      <c r="G116" s="19">
        <f t="shared" si="78"/>
        <v>1.0484988</v>
      </c>
      <c r="H116" s="19">
        <f t="shared" si="106"/>
        <v>6.7140739709832212E-2</v>
      </c>
      <c r="I116" s="19">
        <f t="shared" si="79"/>
        <v>0.75745659232455642</v>
      </c>
      <c r="J116" s="20">
        <f t="shared" si="80"/>
        <v>38000</v>
      </c>
      <c r="K116" s="20">
        <f t="shared" si="81"/>
        <v>50167.891315569526</v>
      </c>
      <c r="L116" s="17">
        <f t="shared" si="82"/>
        <v>1</v>
      </c>
      <c r="M116" s="20">
        <f t="shared" si="83"/>
        <v>0</v>
      </c>
      <c r="N116" s="20">
        <f t="shared" si="107"/>
        <v>0</v>
      </c>
      <c r="O116" s="20">
        <f t="shared" si="84"/>
        <v>17394.513519792021</v>
      </c>
      <c r="P116" s="20">
        <f t="shared" si="85"/>
        <v>22964.37009863502</v>
      </c>
      <c r="Q116" s="17">
        <f t="shared" si="86"/>
        <v>0</v>
      </c>
      <c r="R116" s="20">
        <f t="shared" si="87"/>
        <v>17394.513519792021</v>
      </c>
      <c r="S116" s="20">
        <f t="shared" si="108"/>
        <v>566097.86921531893</v>
      </c>
      <c r="T116" s="20">
        <f t="shared" si="88"/>
        <v>34200</v>
      </c>
      <c r="U116" s="20">
        <f t="shared" si="89"/>
        <v>45151.102184012569</v>
      </c>
      <c r="V116" s="17">
        <f t="shared" si="90"/>
        <v>1</v>
      </c>
      <c r="W116" s="20">
        <f t="shared" si="91"/>
        <v>0</v>
      </c>
      <c r="X116" s="20">
        <f t="shared" si="109"/>
        <v>0</v>
      </c>
      <c r="Y116" s="18">
        <f t="shared" si="92"/>
        <v>0.26119130601270163</v>
      </c>
      <c r="Z116" s="20">
        <f t="shared" si="93"/>
        <v>27828.53872994475</v>
      </c>
      <c r="AA116" s="20">
        <f t="shared" si="94"/>
        <v>36739.450170394353</v>
      </c>
      <c r="AB116" s="17">
        <f t="shared" si="95"/>
        <v>0</v>
      </c>
      <c r="AC116" s="20">
        <f t="shared" si="96"/>
        <v>27828.53872994475</v>
      </c>
      <c r="AD116" s="20">
        <f t="shared" si="110"/>
        <v>140661.07609495902</v>
      </c>
      <c r="AE116" s="20">
        <f t="shared" si="111"/>
        <v>22438.62</v>
      </c>
      <c r="AF116" s="18">
        <f t="shared" si="97"/>
        <v>8.4350561010098454E-2</v>
      </c>
      <c r="AG116" s="20">
        <f t="shared" si="98"/>
        <v>22438.62</v>
      </c>
      <c r="AH116" s="20">
        <f t="shared" si="99"/>
        <v>29623.638142930646</v>
      </c>
      <c r="AI116" s="17">
        <f t="shared" si="100"/>
        <v>0</v>
      </c>
      <c r="AJ116" s="20">
        <f t="shared" si="101"/>
        <v>22438.62</v>
      </c>
      <c r="AK116" s="20">
        <f t="shared" si="112"/>
        <v>351196.69375268411</v>
      </c>
      <c r="AL116" s="20">
        <f t="shared" si="113"/>
        <v>17394.513519792021</v>
      </c>
      <c r="AM116" s="20">
        <f t="shared" si="102"/>
        <v>22964.37009863502</v>
      </c>
      <c r="AN116" s="17">
        <f t="shared" si="103"/>
        <v>0</v>
      </c>
      <c r="AO116" s="20">
        <f t="shared" si="104"/>
        <v>17394.513519792021</v>
      </c>
      <c r="AP116" s="20">
        <f t="shared" si="114"/>
        <v>566097.86921531893</v>
      </c>
      <c r="AQ116" s="18" t="str">
        <f t="shared" si="115"/>
        <v/>
      </c>
      <c r="AR116" s="18" t="str">
        <f t="shared" si="116"/>
        <v/>
      </c>
      <c r="AS116" s="18" t="str">
        <f t="shared" si="117"/>
        <v/>
      </c>
      <c r="AT116" s="18" t="str">
        <f t="shared" si="118"/>
        <v/>
      </c>
      <c r="AU116" s="18" t="str">
        <f t="shared" si="119"/>
        <v/>
      </c>
      <c r="AV116" s="18" t="str">
        <f t="shared" si="120"/>
        <v/>
      </c>
    </row>
    <row r="117" spans="1:48">
      <c r="A117" s="17">
        <f t="shared" si="105"/>
        <v>47</v>
      </c>
      <c r="B117" s="17">
        <f t="shared" si="76"/>
        <v>97</v>
      </c>
      <c r="C117" s="17">
        <f t="shared" si="77"/>
        <v>2046</v>
      </c>
      <c r="D117" s="17">
        <f>0</f>
        <v>0</v>
      </c>
      <c r="E117" s="18">
        <f>IF(D117=1,SUMIFS('5 - Dati'!$F$6:$F$186,'5 - Dati'!$A$6:$A$186,Serie,'5 - Dati'!$B$6:$B$186,C117),(1+Rend_c)*(1+Infl_c)-1)</f>
        <v>5.0599999999999978E-2</v>
      </c>
      <c r="F117" s="18">
        <f>IF(D117=1,SUMIFS('5 - Dati'!$E$6:$E$186,'5 - Dati'!$A$6:$A$186,Serie,'5 - Dati'!$B$6:$B$186,C117),Infl_c)</f>
        <v>0.02</v>
      </c>
      <c r="G117" s="19">
        <f t="shared" si="78"/>
        <v>1.0484988</v>
      </c>
      <c r="H117" s="19">
        <f t="shared" si="106"/>
        <v>6.40351135450343E-2</v>
      </c>
      <c r="I117" s="19">
        <f t="shared" si="79"/>
        <v>0.75664912952170893</v>
      </c>
      <c r="J117" s="20">
        <f t="shared" si="80"/>
        <v>38000</v>
      </c>
      <c r="K117" s="20">
        <f t="shared" si="81"/>
        <v>50221.428291367309</v>
      </c>
      <c r="L117" s="17">
        <f t="shared" si="82"/>
        <v>1</v>
      </c>
      <c r="M117" s="20">
        <f t="shared" si="83"/>
        <v>0</v>
      </c>
      <c r="N117" s="20">
        <f t="shared" si="107"/>
        <v>0</v>
      </c>
      <c r="O117" s="20">
        <f t="shared" si="84"/>
        <v>17136.886084427981</v>
      </c>
      <c r="P117" s="20">
        <f t="shared" si="85"/>
        <v>22648.391990169213</v>
      </c>
      <c r="Q117" s="17">
        <f t="shared" si="86"/>
        <v>0</v>
      </c>
      <c r="R117" s="20">
        <f t="shared" si="87"/>
        <v>17136.886084427981</v>
      </c>
      <c r="S117" s="20">
        <f t="shared" si="108"/>
        <v>558308.64908200409</v>
      </c>
      <c r="T117" s="20">
        <f t="shared" si="88"/>
        <v>34200</v>
      </c>
      <c r="U117" s="20">
        <f t="shared" si="89"/>
        <v>45199.285462230575</v>
      </c>
      <c r="V117" s="17">
        <f t="shared" si="90"/>
        <v>1</v>
      </c>
      <c r="W117" s="20">
        <f t="shared" si="91"/>
        <v>0</v>
      </c>
      <c r="X117" s="20">
        <f t="shared" si="109"/>
        <v>0</v>
      </c>
      <c r="Y117" s="18">
        <f t="shared" si="92"/>
        <v>0.34323336245106617</v>
      </c>
      <c r="Z117" s="20">
        <f t="shared" si="93"/>
        <v>27743.275244553999</v>
      </c>
      <c r="AA117" s="20">
        <f t="shared" si="94"/>
        <v>36665.971270053538</v>
      </c>
      <c r="AB117" s="17">
        <f t="shared" si="95"/>
        <v>0</v>
      </c>
      <c r="AC117" s="20">
        <f t="shared" si="96"/>
        <v>27743.275244553999</v>
      </c>
      <c r="AD117" s="20">
        <f t="shared" si="110"/>
        <v>106825.196152897</v>
      </c>
      <c r="AE117" s="20">
        <f t="shared" si="111"/>
        <v>22438.62</v>
      </c>
      <c r="AF117" s="18">
        <f t="shared" si="97"/>
        <v>8.9712753966791625E-2</v>
      </c>
      <c r="AG117" s="20">
        <f t="shared" si="98"/>
        <v>22438.62</v>
      </c>
      <c r="AH117" s="20">
        <f t="shared" si="99"/>
        <v>29655.251191769479</v>
      </c>
      <c r="AI117" s="17">
        <f t="shared" si="100"/>
        <v>0</v>
      </c>
      <c r="AJ117" s="20">
        <f t="shared" si="101"/>
        <v>22438.62</v>
      </c>
      <c r="AK117" s="20">
        <f t="shared" si="112"/>
        <v>330557.80678349</v>
      </c>
      <c r="AL117" s="20">
        <f t="shared" si="113"/>
        <v>17136.886084427981</v>
      </c>
      <c r="AM117" s="20">
        <f t="shared" si="102"/>
        <v>22648.391990169213</v>
      </c>
      <c r="AN117" s="17">
        <f t="shared" si="103"/>
        <v>0</v>
      </c>
      <c r="AO117" s="20">
        <f t="shared" si="104"/>
        <v>17136.886084427981</v>
      </c>
      <c r="AP117" s="20">
        <f t="shared" si="114"/>
        <v>558308.64908200409</v>
      </c>
      <c r="AQ117" s="18" t="str">
        <f t="shared" si="115"/>
        <v/>
      </c>
      <c r="AR117" s="18" t="str">
        <f t="shared" si="116"/>
        <v/>
      </c>
      <c r="AS117" s="18" t="str">
        <f t="shared" si="117"/>
        <v/>
      </c>
      <c r="AT117" s="18" t="str">
        <f t="shared" si="118"/>
        <v/>
      </c>
      <c r="AU117" s="18" t="str">
        <f t="shared" si="119"/>
        <v/>
      </c>
      <c r="AV117" s="18" t="str">
        <f t="shared" si="120"/>
        <v/>
      </c>
    </row>
    <row r="118" spans="1:48">
      <c r="A118" s="17">
        <f t="shared" si="105"/>
        <v>48</v>
      </c>
      <c r="B118" s="17">
        <f t="shared" si="76"/>
        <v>98</v>
      </c>
      <c r="C118" s="17">
        <f t="shared" si="77"/>
        <v>2047</v>
      </c>
      <c r="D118" s="17">
        <f>0</f>
        <v>0</v>
      </c>
      <c r="E118" s="18">
        <f>IF(D118=1,SUMIFS('5 - Dati'!$F$6:$F$186,'5 - Dati'!$A$6:$A$186,Serie,'5 - Dati'!$B$6:$B$186,C118),(1+Rend_c)*(1+Infl_c)-1)</f>
        <v>5.0599999999999978E-2</v>
      </c>
      <c r="F118" s="18">
        <f>IF(D118=1,SUMIFS('5 - Dati'!$E$6:$E$186,'5 - Dati'!$A$6:$A$186,Serie,'5 - Dati'!$B$6:$B$186,C118),Infl_c)</f>
        <v>0.02</v>
      </c>
      <c r="G118" s="19">
        <f t="shared" si="78"/>
        <v>1.0484988</v>
      </c>
      <c r="H118" s="19">
        <f t="shared" si="106"/>
        <v>6.1073139563950198E-2</v>
      </c>
      <c r="I118" s="19">
        <f t="shared" si="79"/>
        <v>0.75587901628662701</v>
      </c>
      <c r="J118" s="20">
        <f t="shared" si="80"/>
        <v>38000</v>
      </c>
      <c r="K118" s="20">
        <f t="shared" si="81"/>
        <v>50272.595456718584</v>
      </c>
      <c r="L118" s="17">
        <f t="shared" si="82"/>
        <v>1</v>
      </c>
      <c r="M118" s="20">
        <f t="shared" si="83"/>
        <v>0</v>
      </c>
      <c r="N118" s="20">
        <f t="shared" si="107"/>
        <v>0</v>
      </c>
      <c r="O118" s="20">
        <f t="shared" si="84"/>
        <v>16883.889370523171</v>
      </c>
      <c r="P118" s="20">
        <f t="shared" si="85"/>
        <v>22336.761580534276</v>
      </c>
      <c r="Q118" s="17">
        <f t="shared" si="86"/>
        <v>0</v>
      </c>
      <c r="R118" s="20">
        <f t="shared" si="87"/>
        <v>16883.889370523171</v>
      </c>
      <c r="S118" s="20">
        <f t="shared" si="108"/>
        <v>550626.60467498074</v>
      </c>
      <c r="T118" s="20">
        <f t="shared" si="88"/>
        <v>34200</v>
      </c>
      <c r="U118" s="20">
        <f t="shared" si="89"/>
        <v>45245.335911046728</v>
      </c>
      <c r="V118" s="17">
        <f t="shared" si="90"/>
        <v>1</v>
      </c>
      <c r="W118" s="20">
        <f t="shared" si="91"/>
        <v>0</v>
      </c>
      <c r="X118" s="20">
        <f t="shared" si="109"/>
        <v>0</v>
      </c>
      <c r="Y118" s="18">
        <f t="shared" si="92"/>
        <v>0.50738916256157618</v>
      </c>
      <c r="Z118" s="20">
        <f t="shared" si="93"/>
        <v>27659.608218212161</v>
      </c>
      <c r="AA118" s="20">
        <f t="shared" si="94"/>
        <v>36592.639327513389</v>
      </c>
      <c r="AB118" s="17">
        <f t="shared" si="95"/>
        <v>0</v>
      </c>
      <c r="AC118" s="20">
        <f t="shared" si="96"/>
        <v>27659.608218212161</v>
      </c>
      <c r="AD118" s="20">
        <f t="shared" si="110"/>
        <v>72119.473626070103</v>
      </c>
      <c r="AE118" s="20">
        <f t="shared" si="111"/>
        <v>22438.62</v>
      </c>
      <c r="AF118" s="18">
        <f t="shared" si="97"/>
        <v>9.5973252328248035E-2</v>
      </c>
      <c r="AG118" s="20">
        <f t="shared" si="98"/>
        <v>22438.62</v>
      </c>
      <c r="AH118" s="20">
        <f t="shared" si="99"/>
        <v>29685.464891237756</v>
      </c>
      <c r="AI118" s="17">
        <f t="shared" si="100"/>
        <v>0</v>
      </c>
      <c r="AJ118" s="20">
        <f t="shared" si="101"/>
        <v>22438.62</v>
      </c>
      <c r="AK118" s="20">
        <f t="shared" si="112"/>
        <v>309309.77299495315</v>
      </c>
      <c r="AL118" s="20">
        <f t="shared" si="113"/>
        <v>16883.889370523171</v>
      </c>
      <c r="AM118" s="20">
        <f t="shared" si="102"/>
        <v>22336.761580534276</v>
      </c>
      <c r="AN118" s="17">
        <f t="shared" si="103"/>
        <v>0</v>
      </c>
      <c r="AO118" s="20">
        <f t="shared" si="104"/>
        <v>16883.889370523171</v>
      </c>
      <c r="AP118" s="20">
        <f t="shared" si="114"/>
        <v>550626.60467498074</v>
      </c>
      <c r="AQ118" s="18" t="str">
        <f t="shared" si="115"/>
        <v/>
      </c>
      <c r="AR118" s="18" t="str">
        <f t="shared" si="116"/>
        <v/>
      </c>
      <c r="AS118" s="18" t="str">
        <f t="shared" si="117"/>
        <v/>
      </c>
      <c r="AT118" s="18" t="str">
        <f t="shared" si="118"/>
        <v/>
      </c>
      <c r="AU118" s="18" t="str">
        <f t="shared" si="119"/>
        <v/>
      </c>
      <c r="AV118" s="18" t="str">
        <f t="shared" si="120"/>
        <v/>
      </c>
    </row>
    <row r="119" spans="1:48">
      <c r="A119" s="17">
        <f t="shared" si="105"/>
        <v>49</v>
      </c>
      <c r="B119" s="17">
        <f t="shared" si="76"/>
        <v>99</v>
      </c>
      <c r="C119" s="17">
        <f t="shared" si="77"/>
        <v>2048</v>
      </c>
      <c r="D119" s="17">
        <f>0</f>
        <v>0</v>
      </c>
      <c r="E119" s="18">
        <f>IF(D119=1,SUMIFS('5 - Dati'!$F$6:$F$186,'5 - Dati'!$A$6:$A$186,Serie,'5 - Dati'!$B$6:$B$186,C119),(1+Rend_c)*(1+Infl_c)-1)</f>
        <v>5.0599999999999978E-2</v>
      </c>
      <c r="F119" s="18">
        <f>IF(D119=1,SUMIFS('5 - Dati'!$E$6:$E$186,'5 - Dati'!$A$6:$A$186,Serie,'5 - Dati'!$B$6:$B$186,C119),Infl_c)</f>
        <v>0.02</v>
      </c>
      <c r="G119" s="19">
        <f t="shared" si="78"/>
        <v>1.0484988</v>
      </c>
      <c r="H119" s="19">
        <f t="shared" si="106"/>
        <v>5.8248173067961741E-2</v>
      </c>
      <c r="I119" s="19">
        <f t="shared" si="79"/>
        <v>0.75514452499767004</v>
      </c>
      <c r="J119" s="20">
        <f t="shared" si="80"/>
        <v>38000</v>
      </c>
      <c r="K119" s="20">
        <f t="shared" si="81"/>
        <v>50321.493094473866</v>
      </c>
      <c r="L119" s="17">
        <f t="shared" si="82"/>
        <v>1</v>
      </c>
      <c r="M119" s="20">
        <f t="shared" si="83"/>
        <v>0</v>
      </c>
      <c r="N119" s="20">
        <f t="shared" si="107"/>
        <v>0</v>
      </c>
      <c r="O119" s="20">
        <f t="shared" si="84"/>
        <v>16635.395182670763</v>
      </c>
      <c r="P119" s="20">
        <f t="shared" si="85"/>
        <v>22029.419047595016</v>
      </c>
      <c r="Q119" s="17">
        <f t="shared" si="86"/>
        <v>0</v>
      </c>
      <c r="R119" s="20">
        <f t="shared" si="87"/>
        <v>16635.395182670763</v>
      </c>
      <c r="S119" s="20">
        <f t="shared" si="108"/>
        <v>543050.26131050522</v>
      </c>
      <c r="T119" s="20">
        <f t="shared" si="88"/>
        <v>34200</v>
      </c>
      <c r="U119" s="20">
        <f t="shared" si="89"/>
        <v>45289.343785026482</v>
      </c>
      <c r="V119" s="17">
        <f t="shared" si="90"/>
        <v>1</v>
      </c>
      <c r="W119" s="20">
        <f t="shared" si="91"/>
        <v>0</v>
      </c>
      <c r="X119" s="20">
        <f t="shared" si="109"/>
        <v>0</v>
      </c>
      <c r="Y119" s="18">
        <f t="shared" si="92"/>
        <v>1</v>
      </c>
      <c r="Z119" s="20">
        <f t="shared" si="93"/>
        <v>27577.465780899405</v>
      </c>
      <c r="AA119" s="20">
        <f t="shared" si="94"/>
        <v>36519.454048858388</v>
      </c>
      <c r="AB119" s="17">
        <f t="shared" si="95"/>
        <v>0</v>
      </c>
      <c r="AC119" s="20">
        <f t="shared" si="96"/>
        <v>27577.465780899405</v>
      </c>
      <c r="AD119" s="20">
        <f t="shared" si="110"/>
        <v>36519.454048858388</v>
      </c>
      <c r="AE119" s="20">
        <f t="shared" si="111"/>
        <v>22438.62</v>
      </c>
      <c r="AF119" s="18">
        <f t="shared" si="97"/>
        <v>0.10337686968649835</v>
      </c>
      <c r="AG119" s="20">
        <f t="shared" si="98"/>
        <v>22438.62</v>
      </c>
      <c r="AH119" s="20">
        <f t="shared" si="99"/>
        <v>29714.338457355872</v>
      </c>
      <c r="AI119" s="17">
        <f t="shared" si="100"/>
        <v>0</v>
      </c>
      <c r="AJ119" s="20">
        <f t="shared" si="101"/>
        <v>22438.62</v>
      </c>
      <c r="AK119" s="20">
        <f t="shared" si="112"/>
        <v>287437.01127213321</v>
      </c>
      <c r="AL119" s="20">
        <f t="shared" si="113"/>
        <v>16635.395182670763</v>
      </c>
      <c r="AM119" s="20">
        <f t="shared" si="102"/>
        <v>22029.419047595016</v>
      </c>
      <c r="AN119" s="17">
        <f t="shared" si="103"/>
        <v>0</v>
      </c>
      <c r="AO119" s="20">
        <f t="shared" si="104"/>
        <v>16635.395182670763</v>
      </c>
      <c r="AP119" s="20">
        <f t="shared" si="114"/>
        <v>543050.26131050522</v>
      </c>
      <c r="AQ119" s="18" t="str">
        <f t="shared" si="115"/>
        <v/>
      </c>
      <c r="AR119" s="18" t="str">
        <f t="shared" si="116"/>
        <v/>
      </c>
      <c r="AS119" s="18" t="str">
        <f t="shared" si="117"/>
        <v/>
      </c>
      <c r="AT119" s="18" t="str">
        <f t="shared" si="118"/>
        <v/>
      </c>
      <c r="AU119" s="18" t="str">
        <f t="shared" si="119"/>
        <v/>
      </c>
      <c r="AV119" s="18" t="str">
        <f t="shared" si="120"/>
        <v/>
      </c>
    </row>
    <row r="120" spans="1:48">
      <c r="A120" s="17">
        <f t="shared" si="105"/>
        <v>50</v>
      </c>
      <c r="B120" s="17">
        <f t="shared" si="76"/>
        <v>100</v>
      </c>
      <c r="C120" s="17">
        <f t="shared" si="77"/>
        <v>2049</v>
      </c>
      <c r="D120" s="17">
        <f>0</f>
        <v>0</v>
      </c>
      <c r="E120" s="18">
        <f>IF(D120=1,SUMIFS('5 - Dati'!$F$6:$F$186,'5 - Dati'!$A$6:$A$186,Serie,'5 - Dati'!$B$6:$B$186,C120),(1+Rend_c)*(1+Infl_c)-1)</f>
        <v>5.0599999999999978E-2</v>
      </c>
      <c r="F120" s="18">
        <f>IF(D120=1,SUMIFS('5 - Dati'!$E$6:$E$186,'5 - Dati'!$A$6:$A$186,Serie,'5 - Dati'!$B$6:$B$186,C120),Infl_c)</f>
        <v>0.02</v>
      </c>
      <c r="G120" s="19">
        <f t="shared" si="78"/>
        <v>1.0484988</v>
      </c>
      <c r="H120" s="19">
        <f t="shared" si="106"/>
        <v>5.5553876712078017E-2</v>
      </c>
      <c r="I120" s="19">
        <f t="shared" si="79"/>
        <v>0.75444400794514022</v>
      </c>
      <c r="J120" s="20">
        <f t="shared" si="80"/>
        <v>38000</v>
      </c>
      <c r="K120" s="20">
        <f t="shared" si="81"/>
        <v>50368.217654083601</v>
      </c>
      <c r="L120" s="17">
        <f t="shared" si="82"/>
        <v>1</v>
      </c>
      <c r="M120" s="20">
        <f t="shared" si="83"/>
        <v>0</v>
      </c>
      <c r="N120" s="20">
        <f t="shared" si="107"/>
        <v>0</v>
      </c>
      <c r="O120" s="20">
        <f t="shared" si="84"/>
        <v>16391.280918036002</v>
      </c>
      <c r="P120" s="20">
        <f t="shared" si="85"/>
        <v>21726.305392338541</v>
      </c>
      <c r="Q120" s="17">
        <f t="shared" si="86"/>
        <v>0</v>
      </c>
      <c r="R120" s="20">
        <f t="shared" si="87"/>
        <v>16391.280918036002</v>
      </c>
      <c r="S120" s="20">
        <f t="shared" si="108"/>
        <v>535578.16459573584</v>
      </c>
      <c r="T120" s="20">
        <f t="shared" si="88"/>
        <v>34200</v>
      </c>
      <c r="U120" s="20">
        <f t="shared" si="89"/>
        <v>45331.395888675244</v>
      </c>
      <c r="V120" s="17">
        <f t="shared" si="90"/>
        <v>1</v>
      </c>
      <c r="W120" s="20">
        <f t="shared" si="91"/>
        <v>0</v>
      </c>
      <c r="X120" s="20">
        <f t="shared" si="109"/>
        <v>0</v>
      </c>
      <c r="Y120" s="18">
        <f t="shared" si="92"/>
        <v>1</v>
      </c>
      <c r="Z120" s="20">
        <f t="shared" si="93"/>
        <v>0</v>
      </c>
      <c r="AA120" s="20">
        <f t="shared" si="94"/>
        <v>0</v>
      </c>
      <c r="AB120" s="17">
        <f t="shared" si="95"/>
        <v>0</v>
      </c>
      <c r="AC120" s="20">
        <f t="shared" si="96"/>
        <v>0</v>
      </c>
      <c r="AD120" s="20">
        <f t="shared" si="110"/>
        <v>0</v>
      </c>
      <c r="AE120" s="20">
        <f t="shared" si="111"/>
        <v>22438.62</v>
      </c>
      <c r="AF120" s="18">
        <f t="shared" si="97"/>
        <v>0.1122661262460445</v>
      </c>
      <c r="AG120" s="20">
        <f t="shared" si="98"/>
        <v>22438.62</v>
      </c>
      <c r="AH120" s="20">
        <f t="shared" si="99"/>
        <v>29741.928842559824</v>
      </c>
      <c r="AI120" s="17">
        <f t="shared" si="100"/>
        <v>0</v>
      </c>
      <c r="AJ120" s="20">
        <f t="shared" si="101"/>
        <v>22438.62</v>
      </c>
      <c r="AK120" s="20">
        <f t="shared" si="112"/>
        <v>264923.44429322222</v>
      </c>
      <c r="AL120" s="20">
        <f t="shared" si="113"/>
        <v>16391.280918036002</v>
      </c>
      <c r="AM120" s="20">
        <f t="shared" si="102"/>
        <v>21726.305392338541</v>
      </c>
      <c r="AN120" s="17">
        <f t="shared" si="103"/>
        <v>0</v>
      </c>
      <c r="AO120" s="20">
        <f t="shared" si="104"/>
        <v>16391.280918036002</v>
      </c>
      <c r="AP120" s="20">
        <f t="shared" si="114"/>
        <v>535578.16459573584</v>
      </c>
      <c r="AQ120" s="18" t="str">
        <f t="shared" si="115"/>
        <v/>
      </c>
      <c r="AR120" s="18" t="str">
        <f t="shared" si="116"/>
        <v/>
      </c>
      <c r="AS120" s="18" t="str">
        <f t="shared" si="117"/>
        <v/>
      </c>
      <c r="AT120" s="18" t="str">
        <f t="shared" si="118"/>
        <v/>
      </c>
      <c r="AU120" s="18" t="str">
        <f t="shared" si="119"/>
        <v/>
      </c>
      <c r="AV120" s="18" t="str">
        <f t="shared" si="120"/>
        <v/>
      </c>
    </row>
    <row r="121" spans="1:48">
      <c r="A121" s="17">
        <f t="shared" si="105"/>
        <v>51</v>
      </c>
      <c r="B121" s="17">
        <f t="shared" si="76"/>
        <v>101</v>
      </c>
      <c r="C121" s="17">
        <f t="shared" si="77"/>
        <v>2050</v>
      </c>
      <c r="D121" s="17">
        <f>0</f>
        <v>0</v>
      </c>
      <c r="E121" s="18">
        <f>IF(D121=1,SUMIFS('5 - Dati'!$F$6:$F$186,'5 - Dati'!$A$6:$A$186,Serie,'5 - Dati'!$B$6:$B$186,C121),(1+Rend_c)*(1+Infl_c)-1)</f>
        <v>5.0599999999999978E-2</v>
      </c>
      <c r="F121" s="18">
        <f>IF(D121=1,SUMIFS('5 - Dati'!$E$6:$E$186,'5 - Dati'!$A$6:$A$186,Serie,'5 - Dati'!$B$6:$B$186,C121),Infl_c)</f>
        <v>0.02</v>
      </c>
      <c r="G121" s="19">
        <f t="shared" si="78"/>
        <v>1.0484988</v>
      </c>
      <c r="H121" s="19">
        <f t="shared" si="106"/>
        <v>5.2984206288150273E-2</v>
      </c>
      <c r="I121" s="19">
        <f t="shared" si="79"/>
        <v>0.75377589363491904</v>
      </c>
      <c r="J121" s="20">
        <f t="shared" si="80"/>
        <v>38000</v>
      </c>
      <c r="K121" s="20">
        <f t="shared" si="81"/>
        <v>50412.861861041121</v>
      </c>
      <c r="L121" s="17">
        <f t="shared" si="82"/>
        <v>1</v>
      </c>
      <c r="M121" s="20">
        <f t="shared" si="83"/>
        <v>0</v>
      </c>
      <c r="N121" s="20">
        <f t="shared" si="107"/>
        <v>0</v>
      </c>
      <c r="O121" s="20">
        <f t="shared" si="84"/>
        <v>16151.429262064659</v>
      </c>
      <c r="P121" s="20">
        <f t="shared" si="85"/>
        <v>21427.362427548502</v>
      </c>
      <c r="Q121" s="17">
        <f t="shared" si="86"/>
        <v>0</v>
      </c>
      <c r="R121" s="20">
        <f t="shared" si="87"/>
        <v>16151.429262064659</v>
      </c>
      <c r="S121" s="20">
        <f t="shared" si="108"/>
        <v>528208.88014954026</v>
      </c>
      <c r="T121" s="20">
        <f t="shared" si="88"/>
        <v>34200</v>
      </c>
      <c r="U121" s="20">
        <f t="shared" si="89"/>
        <v>45371.575674937012</v>
      </c>
      <c r="V121" s="17">
        <f t="shared" si="90"/>
        <v>1</v>
      </c>
      <c r="W121" s="20">
        <f t="shared" si="91"/>
        <v>0</v>
      </c>
      <c r="X121" s="20">
        <f t="shared" si="109"/>
        <v>0</v>
      </c>
      <c r="Y121" s="18">
        <f t="shared" si="92"/>
        <v>1</v>
      </c>
      <c r="Z121" s="20">
        <f t="shared" si="93"/>
        <v>0</v>
      </c>
      <c r="AA121" s="20">
        <f t="shared" si="94"/>
        <v>0</v>
      </c>
      <c r="AB121" s="17">
        <f t="shared" si="95"/>
        <v>0</v>
      </c>
      <c r="AC121" s="20">
        <f t="shared" si="96"/>
        <v>0</v>
      </c>
      <c r="AD121" s="20">
        <f t="shared" si="110"/>
        <v>0</v>
      </c>
      <c r="AE121" s="20">
        <f t="shared" si="111"/>
        <v>22438.62</v>
      </c>
      <c r="AF121" s="18">
        <f t="shared" si="97"/>
        <v>0.12313540667429694</v>
      </c>
      <c r="AG121" s="20">
        <f t="shared" si="98"/>
        <v>22438.62</v>
      </c>
      <c r="AH121" s="20">
        <f t="shared" si="99"/>
        <v>29768.290800326173</v>
      </c>
      <c r="AI121" s="17">
        <f t="shared" si="100"/>
        <v>0</v>
      </c>
      <c r="AJ121" s="20">
        <f t="shared" si="101"/>
        <v>22438.62</v>
      </c>
      <c r="AK121" s="20">
        <f t="shared" si="112"/>
        <v>241752.48699235386</v>
      </c>
      <c r="AL121" s="20">
        <f t="shared" si="113"/>
        <v>16151.429262064659</v>
      </c>
      <c r="AM121" s="20">
        <f t="shared" si="102"/>
        <v>21427.362427548502</v>
      </c>
      <c r="AN121" s="17">
        <f t="shared" si="103"/>
        <v>0</v>
      </c>
      <c r="AO121" s="20">
        <f t="shared" si="104"/>
        <v>16151.429262064659</v>
      </c>
      <c r="AP121" s="20">
        <f t="shared" si="114"/>
        <v>528208.88014954026</v>
      </c>
      <c r="AQ121" s="18" t="str">
        <f t="shared" si="115"/>
        <v/>
      </c>
      <c r="AR121" s="18" t="str">
        <f t="shared" si="116"/>
        <v/>
      </c>
      <c r="AS121" s="18" t="str">
        <f t="shared" si="117"/>
        <v/>
      </c>
      <c r="AT121" s="18" t="str">
        <f t="shared" si="118"/>
        <v/>
      </c>
      <c r="AU121" s="18" t="str">
        <f t="shared" si="119"/>
        <v/>
      </c>
      <c r="AV121" s="18" t="str">
        <f t="shared" si="120"/>
        <v/>
      </c>
    </row>
    <row r="122" spans="1:48">
      <c r="A122" s="17">
        <f t="shared" si="105"/>
        <v>52</v>
      </c>
      <c r="B122" s="17">
        <f t="shared" si="76"/>
        <v>102</v>
      </c>
      <c r="C122" s="17">
        <f t="shared" si="77"/>
        <v>2051</v>
      </c>
      <c r="D122" s="17">
        <f>0</f>
        <v>0</v>
      </c>
      <c r="E122" s="18">
        <f>IF(D122=1,SUMIFS('5 - Dati'!$F$6:$F$186,'5 - Dati'!$A$6:$A$186,Serie,'5 - Dati'!$B$6:$B$186,C122),(1+Rend_c)*(1+Infl_c)-1)</f>
        <v>5.0599999999999978E-2</v>
      </c>
      <c r="F122" s="18">
        <f>IF(D122=1,SUMIFS('5 - Dati'!$E$6:$E$186,'5 - Dati'!$A$6:$A$186,Serie,'5 - Dati'!$B$6:$B$186,C122),Infl_c)</f>
        <v>0.02</v>
      </c>
      <c r="G122" s="19">
        <f t="shared" si="78"/>
        <v>1.0484988</v>
      </c>
      <c r="H122" s="19">
        <f t="shared" si="106"/>
        <v>5.0533397165690865E-2</v>
      </c>
      <c r="I122" s="19">
        <f t="shared" si="79"/>
        <v>0.75313868326307964</v>
      </c>
      <c r="J122" s="20">
        <f t="shared" si="80"/>
        <v>38000</v>
      </c>
      <c r="K122" s="20">
        <f t="shared" si="81"/>
        <v>50455.5148267775</v>
      </c>
      <c r="L122" s="17">
        <f t="shared" si="82"/>
        <v>1</v>
      </c>
      <c r="M122" s="20">
        <f t="shared" si="83"/>
        <v>0</v>
      </c>
      <c r="N122" s="20">
        <f t="shared" si="107"/>
        <v>0</v>
      </c>
      <c r="O122" s="20">
        <f t="shared" si="84"/>
        <v>15915.727901877519</v>
      </c>
      <c r="P122" s="20">
        <f t="shared" si="85"/>
        <v>21132.532766635199</v>
      </c>
      <c r="Q122" s="17">
        <f t="shared" si="86"/>
        <v>0</v>
      </c>
      <c r="R122" s="20">
        <f t="shared" si="87"/>
        <v>15915.727901877519</v>
      </c>
      <c r="S122" s="20">
        <f t="shared" si="108"/>
        <v>520940.99332714413</v>
      </c>
      <c r="T122" s="20">
        <f t="shared" si="88"/>
        <v>34200</v>
      </c>
      <c r="U122" s="20">
        <f t="shared" si="89"/>
        <v>45409.96334409975</v>
      </c>
      <c r="V122" s="17">
        <f t="shared" si="90"/>
        <v>1</v>
      </c>
      <c r="W122" s="20">
        <f t="shared" si="91"/>
        <v>0</v>
      </c>
      <c r="X122" s="20">
        <f t="shared" si="109"/>
        <v>0</v>
      </c>
      <c r="Y122" s="18">
        <f t="shared" si="92"/>
        <v>1</v>
      </c>
      <c r="Z122" s="20">
        <f t="shared" si="93"/>
        <v>0</v>
      </c>
      <c r="AA122" s="20">
        <f t="shared" si="94"/>
        <v>0</v>
      </c>
      <c r="AB122" s="17">
        <f t="shared" si="95"/>
        <v>0</v>
      </c>
      <c r="AC122" s="20">
        <f t="shared" si="96"/>
        <v>0</v>
      </c>
      <c r="AD122" s="20">
        <f t="shared" si="110"/>
        <v>0</v>
      </c>
      <c r="AE122" s="20">
        <f t="shared" si="111"/>
        <v>22438.62</v>
      </c>
      <c r="AF122" s="18">
        <f t="shared" si="97"/>
        <v>0.13672563164450205</v>
      </c>
      <c r="AG122" s="20">
        <f t="shared" si="98"/>
        <v>22438.62</v>
      </c>
      <c r="AH122" s="20">
        <f t="shared" si="99"/>
        <v>29793.476950063847</v>
      </c>
      <c r="AI122" s="17">
        <f t="shared" si="100"/>
        <v>0</v>
      </c>
      <c r="AJ122" s="20">
        <f t="shared" si="101"/>
        <v>22438.62</v>
      </c>
      <c r="AK122" s="20">
        <f t="shared" si="112"/>
        <v>217907.03463363292</v>
      </c>
      <c r="AL122" s="20">
        <f t="shared" si="113"/>
        <v>15915.727901877519</v>
      </c>
      <c r="AM122" s="20">
        <f t="shared" si="102"/>
        <v>21132.532766635199</v>
      </c>
      <c r="AN122" s="17">
        <f t="shared" si="103"/>
        <v>0</v>
      </c>
      <c r="AO122" s="20">
        <f t="shared" si="104"/>
        <v>15915.727901877519</v>
      </c>
      <c r="AP122" s="20">
        <f t="shared" si="114"/>
        <v>520940.99332714413</v>
      </c>
      <c r="AQ122" s="18" t="str">
        <f t="shared" si="115"/>
        <v/>
      </c>
      <c r="AR122" s="18" t="str">
        <f t="shared" si="116"/>
        <v/>
      </c>
      <c r="AS122" s="18" t="str">
        <f t="shared" si="117"/>
        <v/>
      </c>
      <c r="AT122" s="18" t="str">
        <f t="shared" si="118"/>
        <v/>
      </c>
      <c r="AU122" s="18" t="str">
        <f t="shared" si="119"/>
        <v/>
      </c>
      <c r="AV122" s="18" t="str">
        <f t="shared" si="120"/>
        <v/>
      </c>
    </row>
    <row r="123" spans="1:48">
      <c r="A123" s="17">
        <f t="shared" si="105"/>
        <v>53</v>
      </c>
      <c r="B123" s="17">
        <f t="shared" si="76"/>
        <v>103</v>
      </c>
      <c r="C123" s="17">
        <f t="shared" si="77"/>
        <v>2052</v>
      </c>
      <c r="D123" s="17">
        <f>0</f>
        <v>0</v>
      </c>
      <c r="E123" s="18">
        <f>IF(D123=1,SUMIFS('5 - Dati'!$F$6:$F$186,'5 - Dati'!$A$6:$A$186,Serie,'5 - Dati'!$B$6:$B$186,C123),(1+Rend_c)*(1+Infl_c)-1)</f>
        <v>5.0599999999999978E-2</v>
      </c>
      <c r="F123" s="18">
        <f>IF(D123=1,SUMIFS('5 - Dati'!$E$6:$E$186,'5 - Dati'!$A$6:$A$186,Serie,'5 - Dati'!$B$6:$B$186,C123),Infl_c)</f>
        <v>0.02</v>
      </c>
      <c r="G123" s="19">
        <f t="shared" si="78"/>
        <v>1.0484988</v>
      </c>
      <c r="H123" s="19">
        <f t="shared" si="106"/>
        <v>4.8195951359878399E-2</v>
      </c>
      <c r="I123" s="19">
        <f t="shared" si="79"/>
        <v>0.7525309473535684</v>
      </c>
      <c r="J123" s="20">
        <f t="shared" si="80"/>
        <v>38000</v>
      </c>
      <c r="K123" s="20">
        <f t="shared" si="81"/>
        <v>50496.262158566242</v>
      </c>
      <c r="L123" s="17">
        <f t="shared" si="82"/>
        <v>1</v>
      </c>
      <c r="M123" s="20">
        <f t="shared" si="83"/>
        <v>0</v>
      </c>
      <c r="N123" s="20">
        <f t="shared" si="107"/>
        <v>0</v>
      </c>
      <c r="O123" s="20">
        <f t="shared" si="84"/>
        <v>15684.069256305977</v>
      </c>
      <c r="P123" s="20">
        <f t="shared" si="85"/>
        <v>20841.759812619359</v>
      </c>
      <c r="Q123" s="17">
        <f t="shared" si="86"/>
        <v>0</v>
      </c>
      <c r="R123" s="20">
        <f t="shared" si="87"/>
        <v>15684.069256305977</v>
      </c>
      <c r="S123" s="20">
        <f t="shared" si="108"/>
        <v>513773.10894856957</v>
      </c>
      <c r="T123" s="20">
        <f t="shared" si="88"/>
        <v>34200</v>
      </c>
      <c r="U123" s="20">
        <f t="shared" si="89"/>
        <v>45446.635942709618</v>
      </c>
      <c r="V123" s="17">
        <f t="shared" si="90"/>
        <v>1</v>
      </c>
      <c r="W123" s="20">
        <f t="shared" si="91"/>
        <v>0</v>
      </c>
      <c r="X123" s="20">
        <f t="shared" si="109"/>
        <v>0</v>
      </c>
      <c r="Y123" s="18">
        <f t="shared" si="92"/>
        <v>1</v>
      </c>
      <c r="Z123" s="20">
        <f t="shared" si="93"/>
        <v>0</v>
      </c>
      <c r="AA123" s="20">
        <f t="shared" si="94"/>
        <v>0</v>
      </c>
      <c r="AB123" s="17">
        <f t="shared" si="95"/>
        <v>0</v>
      </c>
      <c r="AC123" s="20">
        <f t="shared" si="96"/>
        <v>0</v>
      </c>
      <c r="AD123" s="20">
        <f t="shared" si="110"/>
        <v>0</v>
      </c>
      <c r="AE123" s="20">
        <f t="shared" si="111"/>
        <v>22438.62</v>
      </c>
      <c r="AF123" s="18">
        <f t="shared" si="97"/>
        <v>0.15419983749856359</v>
      </c>
      <c r="AG123" s="20">
        <f t="shared" si="98"/>
        <v>22438.62</v>
      </c>
      <c r="AH123" s="20">
        <f t="shared" si="99"/>
        <v>29817.537842011778</v>
      </c>
      <c r="AI123" s="17">
        <f t="shared" si="100"/>
        <v>0</v>
      </c>
      <c r="AJ123" s="20">
        <f t="shared" si="101"/>
        <v>22438.62</v>
      </c>
      <c r="AK123" s="20">
        <f t="shared" si="112"/>
        <v>193369.450485248</v>
      </c>
      <c r="AL123" s="20">
        <f t="shared" si="113"/>
        <v>15684.069256305977</v>
      </c>
      <c r="AM123" s="20">
        <f t="shared" si="102"/>
        <v>20841.759812619359</v>
      </c>
      <c r="AN123" s="17">
        <f t="shared" si="103"/>
        <v>0</v>
      </c>
      <c r="AO123" s="20">
        <f t="shared" si="104"/>
        <v>15684.069256305977</v>
      </c>
      <c r="AP123" s="20">
        <f t="shared" si="114"/>
        <v>513773.10894856957</v>
      </c>
      <c r="AQ123" s="18" t="str">
        <f t="shared" si="115"/>
        <v/>
      </c>
      <c r="AR123" s="18" t="str">
        <f t="shared" si="116"/>
        <v/>
      </c>
      <c r="AS123" s="18" t="str">
        <f t="shared" si="117"/>
        <v/>
      </c>
      <c r="AT123" s="18" t="str">
        <f t="shared" si="118"/>
        <v/>
      </c>
      <c r="AU123" s="18" t="str">
        <f t="shared" si="119"/>
        <v/>
      </c>
      <c r="AV123" s="18" t="str">
        <f t="shared" si="120"/>
        <v/>
      </c>
    </row>
    <row r="124" spans="1:48">
      <c r="A124" s="17">
        <f t="shared" si="105"/>
        <v>54</v>
      </c>
      <c r="B124" s="17">
        <f t="shared" si="76"/>
        <v>104</v>
      </c>
      <c r="C124" s="17">
        <f t="shared" si="77"/>
        <v>2053</v>
      </c>
      <c r="D124" s="17">
        <f>0</f>
        <v>0</v>
      </c>
      <c r="E124" s="18">
        <f>IF(D124=1,SUMIFS('5 - Dati'!$F$6:$F$186,'5 - Dati'!$A$6:$A$186,Serie,'5 - Dati'!$B$6:$B$186,C124),(1+Rend_c)*(1+Infl_c)-1)</f>
        <v>5.0599999999999978E-2</v>
      </c>
      <c r="F124" s="18">
        <f>IF(D124=1,SUMIFS('5 - Dati'!$E$6:$E$186,'5 - Dati'!$A$6:$A$186,Serie,'5 - Dati'!$B$6:$B$186,C124),Infl_c)</f>
        <v>0.02</v>
      </c>
      <c r="G124" s="19">
        <f t="shared" si="78"/>
        <v>1.0484988</v>
      </c>
      <c r="H124" s="19">
        <f t="shared" si="106"/>
        <v>4.596662519773833E-2</v>
      </c>
      <c r="I124" s="19">
        <f t="shared" si="79"/>
        <v>0.75195132255141195</v>
      </c>
      <c r="J124" s="20">
        <f t="shared" si="80"/>
        <v>38000</v>
      </c>
      <c r="K124" s="20">
        <f t="shared" si="81"/>
        <v>50535.186069044896</v>
      </c>
      <c r="L124" s="17">
        <f t="shared" si="82"/>
        <v>1</v>
      </c>
      <c r="M124" s="20">
        <f t="shared" si="83"/>
        <v>0</v>
      </c>
      <c r="N124" s="20">
        <f t="shared" si="107"/>
        <v>0</v>
      </c>
      <c r="O124" s="20">
        <f t="shared" si="84"/>
        <v>15456.350221585859</v>
      </c>
      <c r="P124" s="20">
        <f t="shared" si="85"/>
        <v>20554.987747267493</v>
      </c>
      <c r="Q124" s="17">
        <f t="shared" si="86"/>
        <v>0</v>
      </c>
      <c r="R124" s="20">
        <f t="shared" si="87"/>
        <v>15456.350221585859</v>
      </c>
      <c r="S124" s="20">
        <f t="shared" si="108"/>
        <v>506703.85103080864</v>
      </c>
      <c r="T124" s="20">
        <f t="shared" si="88"/>
        <v>34200</v>
      </c>
      <c r="U124" s="20">
        <f t="shared" si="89"/>
        <v>45481.667462140409</v>
      </c>
      <c r="V124" s="17">
        <f t="shared" si="90"/>
        <v>1</v>
      </c>
      <c r="W124" s="20">
        <f t="shared" si="91"/>
        <v>0</v>
      </c>
      <c r="X124" s="20">
        <f t="shared" si="109"/>
        <v>0</v>
      </c>
      <c r="Y124" s="18">
        <f t="shared" si="92"/>
        <v>1</v>
      </c>
      <c r="Z124" s="20">
        <f t="shared" si="93"/>
        <v>0</v>
      </c>
      <c r="AA124" s="20">
        <f t="shared" si="94"/>
        <v>0</v>
      </c>
      <c r="AB124" s="17">
        <f t="shared" si="95"/>
        <v>0</v>
      </c>
      <c r="AC124" s="20">
        <f t="shared" si="96"/>
        <v>0</v>
      </c>
      <c r="AD124" s="20">
        <f t="shared" si="110"/>
        <v>0</v>
      </c>
      <c r="AE124" s="20">
        <f t="shared" si="111"/>
        <v>22438.62</v>
      </c>
      <c r="AF124" s="18">
        <f t="shared" si="97"/>
        <v>0.17749373280693628</v>
      </c>
      <c r="AG124" s="20">
        <f t="shared" si="98"/>
        <v>22438.62</v>
      </c>
      <c r="AH124" s="20">
        <f t="shared" si="99"/>
        <v>29840.522021910321</v>
      </c>
      <c r="AI124" s="17">
        <f t="shared" si="100"/>
        <v>0</v>
      </c>
      <c r="AJ124" s="20">
        <f t="shared" si="101"/>
        <v>22438.62</v>
      </c>
      <c r="AK124" s="20">
        <f t="shared" si="112"/>
        <v>168121.55308248824</v>
      </c>
      <c r="AL124" s="20">
        <f t="shared" si="113"/>
        <v>15456.350221585859</v>
      </c>
      <c r="AM124" s="20">
        <f t="shared" si="102"/>
        <v>20554.987747267493</v>
      </c>
      <c r="AN124" s="17">
        <f t="shared" si="103"/>
        <v>0</v>
      </c>
      <c r="AO124" s="20">
        <f t="shared" si="104"/>
        <v>15456.350221585859</v>
      </c>
      <c r="AP124" s="20">
        <f t="shared" si="114"/>
        <v>506703.85103080864</v>
      </c>
      <c r="AQ124" s="18" t="str">
        <f t="shared" si="115"/>
        <v/>
      </c>
      <c r="AR124" s="18" t="str">
        <f t="shared" si="116"/>
        <v/>
      </c>
      <c r="AS124" s="18" t="str">
        <f t="shared" si="117"/>
        <v/>
      </c>
      <c r="AT124" s="18" t="str">
        <f t="shared" si="118"/>
        <v/>
      </c>
      <c r="AU124" s="18" t="str">
        <f t="shared" si="119"/>
        <v/>
      </c>
      <c r="AV124" s="18" t="str">
        <f t="shared" si="120"/>
        <v/>
      </c>
    </row>
    <row r="125" spans="1:48">
      <c r="A125" s="17">
        <f t="shared" si="105"/>
        <v>55</v>
      </c>
      <c r="B125" s="17">
        <f t="shared" si="76"/>
        <v>105</v>
      </c>
      <c r="C125" s="17">
        <f t="shared" si="77"/>
        <v>2054</v>
      </c>
      <c r="D125" s="17">
        <f>0</f>
        <v>0</v>
      </c>
      <c r="E125" s="18">
        <f>IF(D125=1,SUMIFS('5 - Dati'!$F$6:$F$186,'5 - Dati'!$A$6:$A$186,Serie,'5 - Dati'!$B$6:$B$186,C125),(1+Rend_c)*(1+Infl_c)-1)</f>
        <v>5.0599999999999978E-2</v>
      </c>
      <c r="F125" s="18">
        <f>IF(D125=1,SUMIFS('5 - Dati'!$E$6:$E$186,'5 - Dati'!$A$6:$A$186,Serie,'5 - Dati'!$B$6:$B$186,C125),Infl_c)</f>
        <v>0.02</v>
      </c>
      <c r="G125" s="19">
        <f t="shared" si="78"/>
        <v>1.0484988</v>
      </c>
      <c r="H125" s="19">
        <f t="shared" si="106"/>
        <v>4.3840417554830133E-2</v>
      </c>
      <c r="I125" s="19">
        <f t="shared" si="79"/>
        <v>0.75139850856425583</v>
      </c>
      <c r="J125" s="20">
        <f t="shared" si="80"/>
        <v>38000</v>
      </c>
      <c r="K125" s="20">
        <f t="shared" si="81"/>
        <v>50572.365485006056</v>
      </c>
      <c r="L125" s="17">
        <f t="shared" si="82"/>
        <v>1</v>
      </c>
      <c r="M125" s="20">
        <f t="shared" si="83"/>
        <v>0</v>
      </c>
      <c r="N125" s="20">
        <f t="shared" si="107"/>
        <v>0</v>
      </c>
      <c r="O125" s="20">
        <f t="shared" si="84"/>
        <v>15232.471931784787</v>
      </c>
      <c r="P125" s="20">
        <f t="shared" si="85"/>
        <v>20272.161520376751</v>
      </c>
      <c r="Q125" s="17">
        <f t="shared" si="86"/>
        <v>0</v>
      </c>
      <c r="R125" s="20">
        <f t="shared" si="87"/>
        <v>15232.471931784787</v>
      </c>
      <c r="S125" s="20">
        <f t="shared" si="108"/>
        <v>499731.86252368329</v>
      </c>
      <c r="T125" s="20">
        <f t="shared" si="88"/>
        <v>34200</v>
      </c>
      <c r="U125" s="20">
        <f t="shared" si="89"/>
        <v>45515.128936505454</v>
      </c>
      <c r="V125" s="17">
        <f t="shared" si="90"/>
        <v>1</v>
      </c>
      <c r="W125" s="20">
        <f t="shared" si="91"/>
        <v>0</v>
      </c>
      <c r="X125" s="20">
        <f t="shared" si="109"/>
        <v>0</v>
      </c>
      <c r="Y125" s="18">
        <f t="shared" si="92"/>
        <v>1</v>
      </c>
      <c r="Z125" s="20">
        <f t="shared" si="93"/>
        <v>0</v>
      </c>
      <c r="AA125" s="20">
        <f t="shared" si="94"/>
        <v>0</v>
      </c>
      <c r="AB125" s="17">
        <f t="shared" si="95"/>
        <v>0</v>
      </c>
      <c r="AC125" s="20">
        <f t="shared" si="96"/>
        <v>0</v>
      </c>
      <c r="AD125" s="20">
        <f t="shared" si="110"/>
        <v>0</v>
      </c>
      <c r="AE125" s="20">
        <f t="shared" si="111"/>
        <v>22438.62</v>
      </c>
      <c r="AF125" s="18">
        <f t="shared" si="97"/>
        <v>0.21008519107031595</v>
      </c>
      <c r="AG125" s="20">
        <f t="shared" si="98"/>
        <v>22438.62</v>
      </c>
      <c r="AH125" s="20">
        <f t="shared" si="99"/>
        <v>29862.476095241225</v>
      </c>
      <c r="AI125" s="17">
        <f t="shared" si="100"/>
        <v>0</v>
      </c>
      <c r="AJ125" s="20">
        <f t="shared" si="101"/>
        <v>22438.62</v>
      </c>
      <c r="AK125" s="20">
        <f t="shared" si="112"/>
        <v>142144.60306841045</v>
      </c>
      <c r="AL125" s="20">
        <f t="shared" si="113"/>
        <v>15232.471931784787</v>
      </c>
      <c r="AM125" s="20">
        <f t="shared" si="102"/>
        <v>20272.161520376751</v>
      </c>
      <c r="AN125" s="17">
        <f t="shared" si="103"/>
        <v>0</v>
      </c>
      <c r="AO125" s="20">
        <f t="shared" si="104"/>
        <v>15232.471931784787</v>
      </c>
      <c r="AP125" s="20">
        <f t="shared" si="114"/>
        <v>499731.86252368329</v>
      </c>
      <c r="AQ125" s="18" t="str">
        <f t="shared" si="115"/>
        <v/>
      </c>
      <c r="AR125" s="18" t="str">
        <f t="shared" si="116"/>
        <v/>
      </c>
      <c r="AS125" s="18" t="str">
        <f t="shared" si="117"/>
        <v/>
      </c>
      <c r="AT125" s="18" t="str">
        <f t="shared" si="118"/>
        <v/>
      </c>
      <c r="AU125" s="18" t="str">
        <f t="shared" si="119"/>
        <v/>
      </c>
      <c r="AV125" s="18" t="str">
        <f t="shared" si="120"/>
        <v/>
      </c>
    </row>
    <row r="126" spans="1:48">
      <c r="A126" s="17">
        <f t="shared" si="105"/>
        <v>56</v>
      </c>
      <c r="B126" s="17">
        <f t="shared" si="76"/>
        <v>106</v>
      </c>
      <c r="C126" s="17">
        <f t="shared" si="77"/>
        <v>2055</v>
      </c>
      <c r="D126" s="17">
        <f>0</f>
        <v>0</v>
      </c>
      <c r="E126" s="18">
        <f>IF(D126=1,SUMIFS('5 - Dati'!$F$6:$F$186,'5 - Dati'!$A$6:$A$186,Serie,'5 - Dati'!$B$6:$B$186,C126),(1+Rend_c)*(1+Infl_c)-1)</f>
        <v>5.0599999999999978E-2</v>
      </c>
      <c r="F126" s="18">
        <f>IF(D126=1,SUMIFS('5 - Dati'!$E$6:$E$186,'5 - Dati'!$A$6:$A$186,Serie,'5 - Dati'!$B$6:$B$186,C126),Infl_c)</f>
        <v>0.02</v>
      </c>
      <c r="G126" s="19">
        <f t="shared" si="78"/>
        <v>1.0484988</v>
      </c>
      <c r="H126" s="19">
        <f t="shared" si="106"/>
        <v>4.1812558636051975E-2</v>
      </c>
      <c r="I126" s="19">
        <f t="shared" si="79"/>
        <v>0.75087126524537351</v>
      </c>
      <c r="J126" s="20">
        <f t="shared" si="80"/>
        <v>38000</v>
      </c>
      <c r="K126" s="20">
        <f t="shared" si="81"/>
        <v>50607.876155151796</v>
      </c>
      <c r="L126" s="17">
        <f t="shared" si="82"/>
        <v>1</v>
      </c>
      <c r="M126" s="20">
        <f t="shared" si="83"/>
        <v>0</v>
      </c>
      <c r="N126" s="20">
        <f t="shared" si="107"/>
        <v>0</v>
      </c>
      <c r="O126" s="20">
        <f t="shared" si="84"/>
        <v>15012.339533093282</v>
      </c>
      <c r="P126" s="20">
        <f t="shared" si="85"/>
        <v>19993.226839207215</v>
      </c>
      <c r="Q126" s="17">
        <f t="shared" si="86"/>
        <v>0</v>
      </c>
      <c r="R126" s="20">
        <f t="shared" si="87"/>
        <v>15012.339533093282</v>
      </c>
      <c r="S126" s="20">
        <f t="shared" si="108"/>
        <v>492855.8050493389</v>
      </c>
      <c r="T126" s="20">
        <f t="shared" si="88"/>
        <v>34200</v>
      </c>
      <c r="U126" s="20">
        <f t="shared" si="89"/>
        <v>45547.088539636621</v>
      </c>
      <c r="V126" s="17">
        <f t="shared" si="90"/>
        <v>1</v>
      </c>
      <c r="W126" s="20">
        <f t="shared" si="91"/>
        <v>0</v>
      </c>
      <c r="X126" s="20">
        <f t="shared" si="109"/>
        <v>0</v>
      </c>
      <c r="Y126" s="18">
        <f t="shared" si="92"/>
        <v>1</v>
      </c>
      <c r="Z126" s="20">
        <f t="shared" si="93"/>
        <v>0</v>
      </c>
      <c r="AA126" s="20">
        <f t="shared" si="94"/>
        <v>0</v>
      </c>
      <c r="AB126" s="17">
        <f t="shared" si="95"/>
        <v>0</v>
      </c>
      <c r="AC126" s="20">
        <f t="shared" si="96"/>
        <v>0</v>
      </c>
      <c r="AD126" s="20">
        <f t="shared" si="110"/>
        <v>0</v>
      </c>
      <c r="AE126" s="20">
        <f t="shared" si="111"/>
        <v>22438.62</v>
      </c>
      <c r="AF126" s="18">
        <f t="shared" si="97"/>
        <v>0.25891204922689603</v>
      </c>
      <c r="AG126" s="20">
        <f t="shared" si="98"/>
        <v>22438.62</v>
      </c>
      <c r="AH126" s="20">
        <f t="shared" si="99"/>
        <v>29883.444790855585</v>
      </c>
      <c r="AI126" s="17">
        <f t="shared" si="100"/>
        <v>0</v>
      </c>
      <c r="AJ126" s="20">
        <f t="shared" si="101"/>
        <v>22438.62</v>
      </c>
      <c r="AK126" s="20">
        <f t="shared" si="112"/>
        <v>115419.28960079956</v>
      </c>
      <c r="AL126" s="20">
        <f t="shared" si="113"/>
        <v>15012.339533093282</v>
      </c>
      <c r="AM126" s="20">
        <f t="shared" si="102"/>
        <v>19993.226839207215</v>
      </c>
      <c r="AN126" s="17">
        <f t="shared" si="103"/>
        <v>0</v>
      </c>
      <c r="AO126" s="20">
        <f t="shared" si="104"/>
        <v>15012.339533093282</v>
      </c>
      <c r="AP126" s="20">
        <f t="shared" si="114"/>
        <v>492855.8050493389</v>
      </c>
      <c r="AQ126" s="18" t="str">
        <f t="shared" si="115"/>
        <v/>
      </c>
      <c r="AR126" s="18" t="str">
        <f t="shared" si="116"/>
        <v/>
      </c>
      <c r="AS126" s="18" t="str">
        <f t="shared" si="117"/>
        <v/>
      </c>
      <c r="AT126" s="18" t="str">
        <f t="shared" si="118"/>
        <v/>
      </c>
      <c r="AU126" s="18" t="str">
        <f t="shared" si="119"/>
        <v/>
      </c>
      <c r="AV126" s="18" t="str">
        <f t="shared" si="120"/>
        <v/>
      </c>
    </row>
    <row r="127" spans="1:48">
      <c r="A127" s="17">
        <f t="shared" si="105"/>
        <v>57</v>
      </c>
      <c r="B127" s="17">
        <f t="shared" si="76"/>
        <v>107</v>
      </c>
      <c r="C127" s="17">
        <f t="shared" si="77"/>
        <v>2056</v>
      </c>
      <c r="D127" s="17">
        <f>0</f>
        <v>0</v>
      </c>
      <c r="E127" s="18">
        <f>IF(D127=1,SUMIFS('5 - Dati'!$F$6:$F$186,'5 - Dati'!$A$6:$A$186,Serie,'5 - Dati'!$B$6:$B$186,C127),(1+Rend_c)*(1+Infl_c)-1)</f>
        <v>5.0599999999999978E-2</v>
      </c>
      <c r="F127" s="18">
        <f>IF(D127=1,SUMIFS('5 - Dati'!$E$6:$E$186,'5 - Dati'!$A$6:$A$186,Serie,'5 - Dati'!$B$6:$B$186,C127),Infl_c)</f>
        <v>0.02</v>
      </c>
      <c r="G127" s="19">
        <f t="shared" si="78"/>
        <v>1.0484988</v>
      </c>
      <c r="H127" s="19">
        <f t="shared" si="106"/>
        <v>3.9878499275394476E-2</v>
      </c>
      <c r="I127" s="19">
        <f t="shared" si="79"/>
        <v>0.75036840981160258</v>
      </c>
      <c r="J127" s="20">
        <f t="shared" si="80"/>
        <v>38000</v>
      </c>
      <c r="K127" s="20">
        <f t="shared" si="81"/>
        <v>50641.790756544222</v>
      </c>
      <c r="L127" s="17">
        <f t="shared" si="82"/>
        <v>1</v>
      </c>
      <c r="M127" s="20">
        <f t="shared" si="83"/>
        <v>0</v>
      </c>
      <c r="N127" s="20">
        <f t="shared" si="107"/>
        <v>0</v>
      </c>
      <c r="O127" s="20">
        <f t="shared" si="84"/>
        <v>14795.861971161365</v>
      </c>
      <c r="P127" s="20">
        <f t="shared" si="85"/>
        <v>19718.130158059572</v>
      </c>
      <c r="Q127" s="17">
        <f t="shared" si="86"/>
        <v>0</v>
      </c>
      <c r="R127" s="20">
        <f t="shared" si="87"/>
        <v>14795.861971161365</v>
      </c>
      <c r="S127" s="20">
        <f t="shared" si="108"/>
        <v>486074.35864532273</v>
      </c>
      <c r="T127" s="20">
        <f t="shared" si="88"/>
        <v>34200</v>
      </c>
      <c r="U127" s="20">
        <f t="shared" si="89"/>
        <v>45577.6116808898</v>
      </c>
      <c r="V127" s="17">
        <f t="shared" si="90"/>
        <v>1</v>
      </c>
      <c r="W127" s="20">
        <f t="shared" si="91"/>
        <v>0</v>
      </c>
      <c r="X127" s="20">
        <f t="shared" si="109"/>
        <v>0</v>
      </c>
      <c r="Y127" s="18">
        <f t="shared" si="92"/>
        <v>1</v>
      </c>
      <c r="Z127" s="20">
        <f t="shared" si="93"/>
        <v>0</v>
      </c>
      <c r="AA127" s="20">
        <f t="shared" si="94"/>
        <v>0</v>
      </c>
      <c r="AB127" s="17">
        <f t="shared" si="95"/>
        <v>0</v>
      </c>
      <c r="AC127" s="20">
        <f t="shared" si="96"/>
        <v>0</v>
      </c>
      <c r="AD127" s="20">
        <f t="shared" si="110"/>
        <v>0</v>
      </c>
      <c r="AE127" s="20">
        <f t="shared" si="111"/>
        <v>22438.62</v>
      </c>
      <c r="AF127" s="18">
        <f t="shared" si="97"/>
        <v>0.34009925966440963</v>
      </c>
      <c r="AG127" s="20">
        <f t="shared" si="98"/>
        <v>22438.62</v>
      </c>
      <c r="AH127" s="20">
        <f t="shared" si="99"/>
        <v>29903.471023831793</v>
      </c>
      <c r="AI127" s="17">
        <f t="shared" si="100"/>
        <v>0</v>
      </c>
      <c r="AJ127" s="20">
        <f t="shared" si="101"/>
        <v>22438.62</v>
      </c>
      <c r="AK127" s="20">
        <f t="shared" si="112"/>
        <v>87925.716313933808</v>
      </c>
      <c r="AL127" s="20">
        <f t="shared" si="113"/>
        <v>14795.861971161365</v>
      </c>
      <c r="AM127" s="20">
        <f t="shared" si="102"/>
        <v>19718.130158059572</v>
      </c>
      <c r="AN127" s="17">
        <f t="shared" si="103"/>
        <v>0</v>
      </c>
      <c r="AO127" s="20">
        <f t="shared" si="104"/>
        <v>14795.861971161365</v>
      </c>
      <c r="AP127" s="20">
        <f t="shared" si="114"/>
        <v>486074.35864532273</v>
      </c>
      <c r="AQ127" s="18" t="str">
        <f t="shared" si="115"/>
        <v/>
      </c>
      <c r="AR127" s="18" t="str">
        <f t="shared" si="116"/>
        <v/>
      </c>
      <c r="AS127" s="18" t="str">
        <f t="shared" si="117"/>
        <v/>
      </c>
      <c r="AT127" s="18" t="str">
        <f t="shared" si="118"/>
        <v/>
      </c>
      <c r="AU127" s="18" t="str">
        <f t="shared" si="119"/>
        <v/>
      </c>
      <c r="AV127" s="18" t="str">
        <f t="shared" si="120"/>
        <v/>
      </c>
    </row>
    <row r="128" spans="1:48">
      <c r="A128" s="17">
        <f t="shared" si="105"/>
        <v>58</v>
      </c>
      <c r="B128" s="17">
        <f t="shared" si="76"/>
        <v>108</v>
      </c>
      <c r="C128" s="17">
        <f t="shared" si="77"/>
        <v>2057</v>
      </c>
      <c r="D128" s="17">
        <f>0</f>
        <v>0</v>
      </c>
      <c r="E128" s="18">
        <f>IF(D128=1,SUMIFS('5 - Dati'!$F$6:$F$186,'5 - Dati'!$A$6:$A$186,Serie,'5 - Dati'!$B$6:$B$186,C128),(1+Rend_c)*(1+Infl_c)-1)</f>
        <v>5.0599999999999978E-2</v>
      </c>
      <c r="F128" s="18">
        <f>IF(D128=1,SUMIFS('5 - Dati'!$E$6:$E$186,'5 - Dati'!$A$6:$A$186,Serie,'5 - Dati'!$B$6:$B$186,C128),Infl_c)</f>
        <v>0.02</v>
      </c>
      <c r="G128" s="19">
        <f t="shared" si="78"/>
        <v>1.0484988</v>
      </c>
      <c r="H128" s="19">
        <f t="shared" si="106"/>
        <v>3.8033900730639343E-2</v>
      </c>
      <c r="I128" s="19">
        <f t="shared" si="79"/>
        <v>0.74988881418996622</v>
      </c>
      <c r="J128" s="20">
        <f t="shared" si="80"/>
        <v>38000</v>
      </c>
      <c r="K128" s="20">
        <f t="shared" si="81"/>
        <v>50674.178999519812</v>
      </c>
      <c r="L128" s="17">
        <f t="shared" si="82"/>
        <v>1</v>
      </c>
      <c r="M128" s="20">
        <f t="shared" si="83"/>
        <v>0</v>
      </c>
      <c r="N128" s="20">
        <f t="shared" si="107"/>
        <v>0</v>
      </c>
      <c r="O128" s="20">
        <f t="shared" si="84"/>
        <v>14582.951790711006</v>
      </c>
      <c r="P128" s="20">
        <f t="shared" si="85"/>
        <v>19446.818667996249</v>
      </c>
      <c r="Q128" s="17">
        <f t="shared" si="86"/>
        <v>0</v>
      </c>
      <c r="R128" s="20">
        <f t="shared" si="87"/>
        <v>14582.951790711006</v>
      </c>
      <c r="S128" s="20">
        <f t="shared" si="108"/>
        <v>479386.22151119728</v>
      </c>
      <c r="T128" s="20">
        <f t="shared" si="88"/>
        <v>34200</v>
      </c>
      <c r="U128" s="20">
        <f t="shared" si="89"/>
        <v>45606.761099567833</v>
      </c>
      <c r="V128" s="17">
        <f t="shared" si="90"/>
        <v>1</v>
      </c>
      <c r="W128" s="20">
        <f t="shared" si="91"/>
        <v>0</v>
      </c>
      <c r="X128" s="20">
        <f t="shared" si="109"/>
        <v>0</v>
      </c>
      <c r="Y128" s="18">
        <f t="shared" si="92"/>
        <v>1</v>
      </c>
      <c r="Z128" s="20">
        <f t="shared" si="93"/>
        <v>0</v>
      </c>
      <c r="AA128" s="20">
        <f t="shared" si="94"/>
        <v>0</v>
      </c>
      <c r="AB128" s="17">
        <f t="shared" si="95"/>
        <v>0</v>
      </c>
      <c r="AC128" s="20">
        <f t="shared" si="96"/>
        <v>0</v>
      </c>
      <c r="AD128" s="20">
        <f t="shared" si="110"/>
        <v>0</v>
      </c>
      <c r="AE128" s="20">
        <f t="shared" si="111"/>
        <v>22438.62</v>
      </c>
      <c r="AF128" s="18">
        <f t="shared" si="97"/>
        <v>0.50169176418454076</v>
      </c>
      <c r="AG128" s="20">
        <f t="shared" si="98"/>
        <v>22438.62</v>
      </c>
      <c r="AH128" s="20">
        <f t="shared" si="99"/>
        <v>29922.595957426453</v>
      </c>
      <c r="AI128" s="17">
        <f t="shared" si="100"/>
        <v>0</v>
      </c>
      <c r="AJ128" s="20">
        <f t="shared" si="101"/>
        <v>22438.62</v>
      </c>
      <c r="AK128" s="20">
        <f t="shared" si="112"/>
        <v>59643.386823507462</v>
      </c>
      <c r="AL128" s="20">
        <f t="shared" si="113"/>
        <v>14582.951790711006</v>
      </c>
      <c r="AM128" s="20">
        <f t="shared" si="102"/>
        <v>19446.818667996249</v>
      </c>
      <c r="AN128" s="17">
        <f t="shared" si="103"/>
        <v>0</v>
      </c>
      <c r="AO128" s="20">
        <f t="shared" si="104"/>
        <v>14582.951790711006</v>
      </c>
      <c r="AP128" s="20">
        <f t="shared" si="114"/>
        <v>479386.22151119728</v>
      </c>
      <c r="AQ128" s="18" t="str">
        <f t="shared" si="115"/>
        <v/>
      </c>
      <c r="AR128" s="18" t="str">
        <f t="shared" si="116"/>
        <v/>
      </c>
      <c r="AS128" s="18" t="str">
        <f t="shared" si="117"/>
        <v/>
      </c>
      <c r="AT128" s="18" t="str">
        <f t="shared" si="118"/>
        <v/>
      </c>
      <c r="AU128" s="18" t="str">
        <f t="shared" si="119"/>
        <v/>
      </c>
      <c r="AV128" s="18" t="str">
        <f t="shared" si="120"/>
        <v/>
      </c>
    </row>
    <row r="129" spans="1:48">
      <c r="A129" s="17">
        <f t="shared" si="105"/>
        <v>59</v>
      </c>
      <c r="B129" s="17">
        <f t="shared" si="76"/>
        <v>109</v>
      </c>
      <c r="C129" s="17">
        <f t="shared" si="77"/>
        <v>2058</v>
      </c>
      <c r="D129" s="17">
        <f>0</f>
        <v>0</v>
      </c>
      <c r="E129" s="18">
        <f>IF(D129=1,SUMIFS('5 - Dati'!$F$6:$F$186,'5 - Dati'!$A$6:$A$186,Serie,'5 - Dati'!$B$6:$B$186,C129),(1+Rend_c)*(1+Infl_c)-1)</f>
        <v>5.0599999999999978E-2</v>
      </c>
      <c r="F129" s="18">
        <f>IF(D129=1,SUMIFS('5 - Dati'!$E$6:$E$186,'5 - Dati'!$A$6:$A$186,Serie,'5 - Dati'!$B$6:$B$186,C129),Infl_c)</f>
        <v>0.02</v>
      </c>
      <c r="G129" s="19">
        <f t="shared" si="78"/>
        <v>1.0484988</v>
      </c>
      <c r="H129" s="19">
        <f t="shared" si="106"/>
        <v>3.6274624950108997E-2</v>
      </c>
      <c r="I129" s="19">
        <f t="shared" si="79"/>
        <v>0.74943140248702833</v>
      </c>
      <c r="J129" s="20">
        <f t="shared" si="80"/>
        <v>38000</v>
      </c>
      <c r="K129" s="20">
        <f t="shared" si="81"/>
        <v>50705.107730867639</v>
      </c>
      <c r="L129" s="17">
        <f t="shared" si="82"/>
        <v>1</v>
      </c>
      <c r="M129" s="20">
        <f t="shared" si="83"/>
        <v>0</v>
      </c>
      <c r="N129" s="20">
        <f t="shared" si="107"/>
        <v>0</v>
      </c>
      <c r="O129" s="20">
        <f t="shared" si="84"/>
        <v>14373.524946700221</v>
      </c>
      <c r="P129" s="20">
        <f t="shared" si="85"/>
        <v>19179.240286703902</v>
      </c>
      <c r="Q129" s="17">
        <f t="shared" si="86"/>
        <v>0</v>
      </c>
      <c r="R129" s="20">
        <f t="shared" si="87"/>
        <v>14373.524946700221</v>
      </c>
      <c r="S129" s="20">
        <f t="shared" si="108"/>
        <v>472790.10975864</v>
      </c>
      <c r="T129" s="20">
        <f t="shared" si="88"/>
        <v>34200</v>
      </c>
      <c r="U129" s="20">
        <f t="shared" si="89"/>
        <v>45634.596957780879</v>
      </c>
      <c r="V129" s="17">
        <f t="shared" si="90"/>
        <v>1</v>
      </c>
      <c r="W129" s="20">
        <f t="shared" si="91"/>
        <v>0</v>
      </c>
      <c r="X129" s="20">
        <f t="shared" si="109"/>
        <v>0</v>
      </c>
      <c r="Y129" s="18">
        <f t="shared" si="92"/>
        <v>1</v>
      </c>
      <c r="Z129" s="20">
        <f t="shared" si="93"/>
        <v>0</v>
      </c>
      <c r="AA129" s="20">
        <f t="shared" si="94"/>
        <v>0</v>
      </c>
      <c r="AB129" s="17">
        <f t="shared" si="95"/>
        <v>0</v>
      </c>
      <c r="AC129" s="20">
        <f t="shared" si="96"/>
        <v>0</v>
      </c>
      <c r="AD129" s="20">
        <f t="shared" si="110"/>
        <v>0</v>
      </c>
      <c r="AE129" s="20">
        <f t="shared" si="111"/>
        <v>22438.62</v>
      </c>
      <c r="AF129" s="18">
        <f t="shared" si="97"/>
        <v>0.98002268639564249</v>
      </c>
      <c r="AG129" s="20">
        <f t="shared" si="98"/>
        <v>22438.62</v>
      </c>
      <c r="AH129" s="20">
        <f t="shared" si="99"/>
        <v>29940.859064000033</v>
      </c>
      <c r="AI129" s="17">
        <f t="shared" si="100"/>
        <v>0</v>
      </c>
      <c r="AJ129" s="20">
        <f t="shared" si="101"/>
        <v>22438.62</v>
      </c>
      <c r="AK129" s="20">
        <f t="shared" si="112"/>
        <v>30551.189762879309</v>
      </c>
      <c r="AL129" s="20">
        <f t="shared" si="113"/>
        <v>14373.524946700221</v>
      </c>
      <c r="AM129" s="20">
        <f t="shared" si="102"/>
        <v>19179.240286703902</v>
      </c>
      <c r="AN129" s="17">
        <f t="shared" si="103"/>
        <v>0</v>
      </c>
      <c r="AO129" s="20">
        <f t="shared" si="104"/>
        <v>14373.524946700221</v>
      </c>
      <c r="AP129" s="20">
        <f t="shared" si="114"/>
        <v>472790.10975864</v>
      </c>
      <c r="AQ129" s="18" t="str">
        <f t="shared" si="115"/>
        <v/>
      </c>
      <c r="AR129" s="18" t="str">
        <f t="shared" si="116"/>
        <v/>
      </c>
      <c r="AS129" s="18" t="str">
        <f t="shared" si="117"/>
        <v/>
      </c>
      <c r="AT129" s="18" t="str">
        <f t="shared" si="118"/>
        <v/>
      </c>
      <c r="AU129" s="18" t="str">
        <f t="shared" si="119"/>
        <v/>
      </c>
      <c r="AV129" s="18" t="str">
        <f t="shared" si="120"/>
        <v/>
      </c>
    </row>
    <row r="130" spans="1:48">
      <c r="A130" s="17">
        <f t="shared" si="105"/>
        <v>60</v>
      </c>
      <c r="B130" s="17">
        <f t="shared" si="76"/>
        <v>110</v>
      </c>
      <c r="C130" s="17">
        <f t="shared" si="77"/>
        <v>2059</v>
      </c>
      <c r="D130" s="17">
        <f>0</f>
        <v>0</v>
      </c>
      <c r="E130" s="18">
        <f>IF(D130=1,SUMIFS('5 - Dati'!$F$6:$F$186,'5 - Dati'!$A$6:$A$186,Serie,'5 - Dati'!$B$6:$B$186,C130),(1+Rend_c)*(1+Infl_c)-1)</f>
        <v>5.0599999999999978E-2</v>
      </c>
      <c r="F130" s="18">
        <f>IF(D130=1,SUMIFS('5 - Dati'!$E$6:$E$186,'5 - Dati'!$A$6:$A$186,Serie,'5 - Dati'!$B$6:$B$186,C130),Infl_c)</f>
        <v>0.02</v>
      </c>
      <c r="G130" s="19">
        <f t="shared" si="78"/>
        <v>1.0484988</v>
      </c>
      <c r="H130" s="19">
        <f t="shared" si="106"/>
        <v>3.4596725289632188E-2</v>
      </c>
      <c r="I130" s="19">
        <f t="shared" si="79"/>
        <v>0.74899514857530436</v>
      </c>
      <c r="J130" s="20">
        <f t="shared" si="80"/>
        <v>38000</v>
      </c>
      <c r="K130" s="20">
        <f t="shared" si="81"/>
        <v>50734.641035100722</v>
      </c>
      <c r="L130" s="17">
        <f t="shared" si="82"/>
        <v>1</v>
      </c>
      <c r="M130" s="20">
        <f t="shared" si="83"/>
        <v>0</v>
      </c>
      <c r="N130" s="20">
        <f t="shared" si="107"/>
        <v>0</v>
      </c>
      <c r="O130" s="20">
        <f t="shared" si="84"/>
        <v>14167.500626357807</v>
      </c>
      <c r="P130" s="20">
        <f t="shared" si="85"/>
        <v>18915.343648495473</v>
      </c>
      <c r="Q130" s="17">
        <f t="shared" si="86"/>
        <v>0</v>
      </c>
      <c r="R130" s="20">
        <f t="shared" si="87"/>
        <v>14167.500626357807</v>
      </c>
      <c r="S130" s="20">
        <f t="shared" si="108"/>
        <v>466284.75716498197</v>
      </c>
      <c r="T130" s="20">
        <f t="shared" si="88"/>
        <v>34200</v>
      </c>
      <c r="U130" s="20">
        <f t="shared" si="89"/>
        <v>45661.176931590649</v>
      </c>
      <c r="V130" s="17">
        <f t="shared" si="90"/>
        <v>1</v>
      </c>
      <c r="W130" s="20">
        <f t="shared" si="91"/>
        <v>0</v>
      </c>
      <c r="X130" s="20">
        <f t="shared" si="109"/>
        <v>0</v>
      </c>
      <c r="Y130" s="18">
        <f t="shared" si="92"/>
        <v>1</v>
      </c>
      <c r="Z130" s="20">
        <f t="shared" si="93"/>
        <v>0</v>
      </c>
      <c r="AA130" s="20">
        <f t="shared" si="94"/>
        <v>0</v>
      </c>
      <c r="AB130" s="17">
        <f t="shared" si="95"/>
        <v>0</v>
      </c>
      <c r="AC130" s="20">
        <f t="shared" si="96"/>
        <v>0</v>
      </c>
      <c r="AD130" s="20">
        <f t="shared" si="110"/>
        <v>0</v>
      </c>
      <c r="AE130" s="20">
        <f t="shared" si="111"/>
        <v>22438.62</v>
      </c>
      <c r="AF130" s="18">
        <f t="shared" si="97"/>
        <v>47.751185505473522</v>
      </c>
      <c r="AG130" s="20">
        <f t="shared" si="98"/>
        <v>22438.62</v>
      </c>
      <c r="AH130" s="20">
        <f t="shared" si="99"/>
        <v>29958.298184816624</v>
      </c>
      <c r="AI130" s="17">
        <f t="shared" si="100"/>
        <v>1</v>
      </c>
      <c r="AJ130" s="20">
        <f t="shared" si="101"/>
        <v>469.90707691284337</v>
      </c>
      <c r="AK130" s="20">
        <f t="shared" si="112"/>
        <v>627.38333860596254</v>
      </c>
      <c r="AL130" s="20">
        <f t="shared" si="113"/>
        <v>14167.500626357807</v>
      </c>
      <c r="AM130" s="20">
        <f t="shared" si="102"/>
        <v>18915.343648495473</v>
      </c>
      <c r="AN130" s="17">
        <f t="shared" si="103"/>
        <v>0</v>
      </c>
      <c r="AO130" s="20">
        <f t="shared" si="104"/>
        <v>14167.500626357807</v>
      </c>
      <c r="AP130" s="20">
        <f t="shared" si="114"/>
        <v>466284.75716498197</v>
      </c>
      <c r="AQ130" s="18" t="str">
        <f t="shared" si="115"/>
        <v/>
      </c>
      <c r="AR130" s="18" t="str">
        <f t="shared" si="116"/>
        <v/>
      </c>
      <c r="AS130" s="18" t="str">
        <f t="shared" si="117"/>
        <v/>
      </c>
      <c r="AT130" s="18" t="str">
        <f t="shared" si="118"/>
        <v/>
      </c>
      <c r="AU130" s="18" t="str">
        <f t="shared" si="119"/>
        <v/>
      </c>
      <c r="AV130" s="18" t="str">
        <f t="shared" si="120"/>
        <v/>
      </c>
    </row>
  </sheetData>
  <mergeCells count="14">
    <mergeCell ref="AQ69:AV69"/>
    <mergeCell ref="A68:P68"/>
    <mergeCell ref="J69:N69"/>
    <mergeCell ref="A2:P2"/>
    <mergeCell ref="A1:P1"/>
    <mergeCell ref="AE69:AK69"/>
    <mergeCell ref="A4:P4"/>
    <mergeCell ref="A3:P3"/>
    <mergeCell ref="A69:I69"/>
    <mergeCell ref="O69:S69"/>
    <mergeCell ref="T69:X69"/>
    <mergeCell ref="R48:Y48"/>
    <mergeCell ref="AL69:AP69"/>
    <mergeCell ref="Y69:AD6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"/>
  <sheetViews>
    <sheetView workbookViewId="0"/>
  </sheetViews>
  <sheetFormatPr defaultRowHeight="15"/>
  <cols>
    <col min="1" max="1" width="52" customWidth="1"/>
    <col min="2" max="3" width="22" customWidth="1"/>
    <col min="4" max="5" width="19" customWidth="1"/>
    <col min="6" max="6" width="25" customWidth="1"/>
    <col min="7" max="13" width="19" customWidth="1"/>
    <col min="14" max="14" width="20" customWidth="1"/>
    <col min="15" max="17" width="19" customWidth="1"/>
  </cols>
  <sheetData>
    <row r="1" spans="1:8" ht="24.95" customHeight="1">
      <c r="A1" s="33" t="s">
        <v>208</v>
      </c>
      <c r="B1" s="32"/>
      <c r="C1" s="32"/>
      <c r="D1" s="32"/>
      <c r="E1" s="32"/>
      <c r="F1" s="32"/>
      <c r="G1" s="32"/>
      <c r="H1" s="32"/>
    </row>
    <row r="2" spans="1:8" ht="32.1" customHeight="1">
      <c r="A2" s="31" t="s">
        <v>1</v>
      </c>
      <c r="B2" s="32"/>
      <c r="C2" s="32"/>
      <c r="D2" s="32"/>
      <c r="E2" s="32"/>
      <c r="F2" s="32"/>
      <c r="G2" s="32"/>
      <c r="H2" s="32"/>
    </row>
    <row r="3" spans="1:8" ht="39.950000000000003" customHeight="1">
      <c r="A3" s="34" t="s">
        <v>209</v>
      </c>
      <c r="B3" s="32"/>
      <c r="C3" s="32"/>
      <c r="D3" s="32"/>
      <c r="E3" s="32"/>
      <c r="F3" s="32"/>
      <c r="G3" s="32"/>
      <c r="H3" s="32"/>
    </row>
    <row r="5" spans="1:8">
      <c r="A5" s="35" t="s">
        <v>210</v>
      </c>
      <c r="B5" s="32"/>
      <c r="C5" s="32"/>
      <c r="D5" s="32"/>
      <c r="E5" s="32"/>
      <c r="F5" s="32"/>
      <c r="G5" s="32"/>
      <c r="H5" s="32"/>
    </row>
    <row r="6" spans="1:8" ht="15" customHeight="1">
      <c r="A6" s="5" t="s">
        <v>211</v>
      </c>
      <c r="B6" s="11">
        <f>SUM($I$65:$I$124)</f>
        <v>1161991.5024833465</v>
      </c>
      <c r="C6" s="34" t="s">
        <v>212</v>
      </c>
      <c r="D6" s="32"/>
      <c r="E6" s="32"/>
      <c r="F6" s="32"/>
      <c r="G6" s="32"/>
      <c r="H6" s="32"/>
    </row>
    <row r="7" spans="1:8">
      <c r="A7" s="5" t="s">
        <v>213</v>
      </c>
      <c r="B7" s="11">
        <f>SUM($J$65:$J$124)</f>
        <v>716353.99381019676</v>
      </c>
    </row>
    <row r="8" spans="1:8">
      <c r="A8" s="5" t="s">
        <v>214</v>
      </c>
      <c r="B8" s="11">
        <f>Cap_senza_pens-Cap_con_pens</f>
        <v>445637.50867314974</v>
      </c>
    </row>
    <row r="9" spans="1:8">
      <c r="A9" s="5" t="s">
        <v>215</v>
      </c>
      <c r="B9" s="10">
        <f>Cap_diff/Cap_senza_pens</f>
        <v>0.38351184816821549</v>
      </c>
    </row>
    <row r="11" spans="1:8" ht="36" customHeight="1">
      <c r="A11" s="15" t="s">
        <v>216</v>
      </c>
      <c r="B11" s="15" t="s">
        <v>217</v>
      </c>
      <c r="C11" s="15" t="s">
        <v>218</v>
      </c>
    </row>
    <row r="12" spans="1:8">
      <c r="A12" s="5" t="s">
        <v>219</v>
      </c>
      <c r="B12" s="11">
        <f>Pensione</f>
        <v>30711.54386469151</v>
      </c>
      <c r="C12" s="11">
        <f>Cap_con_pens</f>
        <v>716353.99381019676</v>
      </c>
    </row>
    <row r="13" spans="1:8">
      <c r="A13" s="5" t="s">
        <v>220</v>
      </c>
      <c r="B13" s="7">
        <v>31829</v>
      </c>
      <c r="C13" s="11">
        <f>SUM($O$65:$O$124)</f>
        <v>700139.23201299156</v>
      </c>
    </row>
    <row r="14" spans="1:8">
      <c r="A14" s="5" t="s">
        <v>221</v>
      </c>
      <c r="B14" s="7">
        <v>29951</v>
      </c>
      <c r="C14" s="11">
        <f>SUM($P$65:$P$124)</f>
        <v>727389.80739843636</v>
      </c>
    </row>
    <row r="15" spans="1:8">
      <c r="A15" s="5" t="s">
        <v>222</v>
      </c>
      <c r="B15" s="7">
        <v>29349</v>
      </c>
      <c r="C15" s="11">
        <f>SUM($Q$65:$Q$124)</f>
        <v>736125.08236224775</v>
      </c>
    </row>
    <row r="17" spans="1:8">
      <c r="A17" s="35" t="s">
        <v>223</v>
      </c>
      <c r="B17" s="32"/>
      <c r="C17" s="32"/>
      <c r="D17" s="32"/>
      <c r="E17" s="32"/>
      <c r="F17" s="32"/>
      <c r="G17" s="32"/>
      <c r="H17" s="32"/>
    </row>
    <row r="18" spans="1:8">
      <c r="A18" s="5" t="s">
        <v>224</v>
      </c>
      <c r="B18" s="21">
        <f>Spesa_netta/(1-Aliq*Latente0)</f>
        <v>42837.777958381252</v>
      </c>
    </row>
    <row r="19" spans="1:8">
      <c r="A19" s="5" t="s">
        <v>225</v>
      </c>
      <c r="B19" s="21">
        <f>Venduto_anno1-Spesa_netta</f>
        <v>4837.7779583812517</v>
      </c>
    </row>
    <row r="20" spans="1:8">
      <c r="A20" s="5" t="s">
        <v>226</v>
      </c>
      <c r="B20" s="21">
        <f>Bollo*Patrimonio</f>
        <v>2112</v>
      </c>
    </row>
    <row r="21" spans="1:8">
      <c r="A21" s="5" t="s">
        <v>227</v>
      </c>
      <c r="B21" s="21">
        <f>Venduto_anno1+Bollo_anno1</f>
        <v>44949.777958381252</v>
      </c>
    </row>
    <row r="22" spans="1:8">
      <c r="A22" s="5" t="s">
        <v>228</v>
      </c>
      <c r="B22" s="12">
        <f>Venduto_anno1/Patrimonio</f>
        <v>4.0566077612103457E-2</v>
      </c>
    </row>
    <row r="23" spans="1:8">
      <c r="A23" s="5" t="s">
        <v>229</v>
      </c>
      <c r="B23" s="12">
        <f>Uscita_anno1/Patrimonio</f>
        <v>4.2566077612103459E-2</v>
      </c>
    </row>
    <row r="25" spans="1:8">
      <c r="A25" s="35" t="s">
        <v>230</v>
      </c>
      <c r="B25" s="32"/>
      <c r="C25" s="32"/>
      <c r="D25" s="32"/>
      <c r="E25" s="32"/>
      <c r="F25" s="32"/>
      <c r="G25" s="32"/>
      <c r="H25" s="32"/>
    </row>
    <row r="26" spans="1:8" ht="45" customHeight="1">
      <c r="A26" s="15" t="s">
        <v>231</v>
      </c>
      <c r="B26" s="15" t="s">
        <v>232</v>
      </c>
      <c r="C26" s="15" t="s">
        <v>233</v>
      </c>
      <c r="D26" s="15" t="s">
        <v>234</v>
      </c>
      <c r="E26" s="15" t="s">
        <v>235</v>
      </c>
      <c r="F26" s="15" t="s">
        <v>236</v>
      </c>
    </row>
    <row r="27" spans="1:8">
      <c r="A27" s="22">
        <v>0.03</v>
      </c>
      <c r="B27" s="11">
        <f>A27*Patrimonio</f>
        <v>31680</v>
      </c>
      <c r="C27" s="11">
        <f>B27*(1-Aliq*Latente0)</f>
        <v>28102.297956947779</v>
      </c>
      <c r="D27" s="11">
        <f>C27-Bollo*Patrimonio</f>
        <v>25990.297956947779</v>
      </c>
      <c r="E27" s="10">
        <f>D27/Spesa_netta</f>
        <v>0.68395520939336263</v>
      </c>
      <c r="F27" s="11">
        <f>Spesa_netta/(1-Aliq*Latente0)/A27</f>
        <v>1427925.9319460418</v>
      </c>
    </row>
    <row r="28" spans="1:8">
      <c r="A28" s="8">
        <v>2.3099999999999999E-2</v>
      </c>
      <c r="B28" s="11">
        <f>A28*Patrimonio</f>
        <v>24393.599999999999</v>
      </c>
      <c r="C28" s="11">
        <f>B28*(1-Aliq*Latente0)</f>
        <v>21638.769426849787</v>
      </c>
      <c r="D28" s="11">
        <f>C28-Bollo*Patrimonio</f>
        <v>19526.769426849787</v>
      </c>
      <c r="E28" s="10">
        <f>D28/Spesa_netta</f>
        <v>0.51386235333815233</v>
      </c>
      <c r="F28" s="11">
        <f>Spesa_netta/(1-Aliq*Latente0)/A28</f>
        <v>1854449.2622675868</v>
      </c>
    </row>
    <row r="29" spans="1:8">
      <c r="A29" s="8">
        <v>0.04</v>
      </c>
      <c r="B29" s="11">
        <f>A29*Patrimonio</f>
        <v>42240</v>
      </c>
      <c r="C29" s="11">
        <f>B29*(1-Aliq*Latente0)</f>
        <v>37469.730609263701</v>
      </c>
      <c r="D29" s="11">
        <f>C29-Bollo*Patrimonio</f>
        <v>35357.730609263701</v>
      </c>
      <c r="E29" s="10">
        <f>D29/Spesa_netta</f>
        <v>0.93046659498062367</v>
      </c>
      <c r="F29" s="11">
        <f>Spesa_netta/(1-Aliq*Latente0)/A29</f>
        <v>1070944.4489595313</v>
      </c>
    </row>
    <row r="31" spans="1:8">
      <c r="A31" s="35" t="s">
        <v>237</v>
      </c>
      <c r="B31" s="32"/>
      <c r="C31" s="32"/>
      <c r="D31" s="32"/>
      <c r="E31" s="32"/>
      <c r="F31" s="32"/>
      <c r="G31" s="32"/>
      <c r="H31" s="32"/>
    </row>
    <row r="32" spans="1:8">
      <c r="A32" s="5" t="s">
        <v>238</v>
      </c>
      <c r="B32" s="10">
        <f>1-INDEX($E$65:$E$124,1)</f>
        <v>0.43435582302013187</v>
      </c>
    </row>
    <row r="33" spans="1:8">
      <c r="A33" s="5" t="s">
        <v>239</v>
      </c>
      <c r="B33" s="10">
        <f>IFERROR(1-INDEX($E$65:$E$124,Anno_pens),"n.d.")</f>
        <v>0.73487155993451547</v>
      </c>
    </row>
    <row r="34" spans="1:8">
      <c r="A34" s="5" t="s">
        <v>240</v>
      </c>
      <c r="B34" s="10">
        <f>1-INDEX($E$65:$E$124,Anni)</f>
        <v>0.91885572716830088</v>
      </c>
    </row>
    <row r="35" spans="1:8">
      <c r="A35" s="5" t="s">
        <v>241</v>
      </c>
      <c r="B35" s="10">
        <f>Aliq*(1-INDEX($E$65:$E$124,1))</f>
        <v>0.1129325139852343</v>
      </c>
    </row>
    <row r="36" spans="1:8">
      <c r="A36" s="5" t="s">
        <v>242</v>
      </c>
      <c r="B36" s="10">
        <f>Aliq*(1-INDEX($E$65:$E$124,Anni))</f>
        <v>0.23890248906375824</v>
      </c>
    </row>
    <row r="38" spans="1:8">
      <c r="A38" s="35" t="s">
        <v>243</v>
      </c>
      <c r="B38" s="32"/>
      <c r="C38" s="32"/>
      <c r="D38" s="32"/>
      <c r="E38" s="32"/>
      <c r="F38" s="32"/>
      <c r="G38" s="32"/>
      <c r="H38" s="32"/>
    </row>
    <row r="39" spans="1:8" ht="15" customHeight="1">
      <c r="A39" s="34" t="s">
        <v>244</v>
      </c>
      <c r="B39" s="32"/>
      <c r="C39" s="32"/>
      <c r="D39" s="32"/>
      <c r="E39" s="32"/>
      <c r="F39" s="32"/>
      <c r="G39" s="32"/>
      <c r="H39" s="32"/>
    </row>
    <row r="40" spans="1:8" ht="36" customHeight="1">
      <c r="A40" s="15" t="s">
        <v>245</v>
      </c>
      <c r="B40" s="15" t="s">
        <v>246</v>
      </c>
      <c r="C40" s="15" t="s">
        <v>247</v>
      </c>
    </row>
    <row r="41" spans="1:8">
      <c r="A41" s="5" t="s">
        <v>248</v>
      </c>
      <c r="B41" s="10">
        <f>Latente0</f>
        <v>0.43435582302013193</v>
      </c>
      <c r="C41" s="11">
        <f>SUM($L$65:$L$124)</f>
        <v>187005.72085072513</v>
      </c>
    </row>
    <row r="42" spans="1:8">
      <c r="A42" s="5" t="s">
        <v>249</v>
      </c>
      <c r="B42" s="10">
        <f>Lat_ponte2</f>
        <v>0.6</v>
      </c>
      <c r="C42" s="11">
        <f>SUM($M$65:$M$124)</f>
        <v>193720.93179236675</v>
      </c>
    </row>
    <row r="43" spans="1:8">
      <c r="A43" s="5" t="s">
        <v>250</v>
      </c>
      <c r="B43" s="10">
        <f>IFERROR(1-INDEX($E$65:$E$124,Anno_pens),0)</f>
        <v>0.73487155993451547</v>
      </c>
      <c r="C43" s="11">
        <f>SUM($N$65:$N$124)</f>
        <v>199592.999652108</v>
      </c>
    </row>
    <row r="45" spans="1:8">
      <c r="A45" s="35" t="s">
        <v>251</v>
      </c>
      <c r="B45" s="32"/>
      <c r="C45" s="32"/>
      <c r="D45" s="32"/>
      <c r="E45" s="32"/>
      <c r="F45" s="32"/>
      <c r="G45" s="32"/>
      <c r="H45" s="32"/>
    </row>
    <row r="46" spans="1:8" ht="15" customHeight="1">
      <c r="A46" s="34" t="s">
        <v>252</v>
      </c>
      <c r="B46" s="32"/>
      <c r="C46" s="32"/>
      <c r="D46" s="32"/>
      <c r="E46" s="32"/>
      <c r="F46" s="32"/>
      <c r="G46" s="32"/>
      <c r="H46" s="32"/>
    </row>
    <row r="47" spans="1:8" ht="36" customHeight="1">
      <c r="A47" s="15" t="s">
        <v>122</v>
      </c>
      <c r="B47" s="15" t="s">
        <v>253</v>
      </c>
      <c r="C47" s="15" t="s">
        <v>254</v>
      </c>
      <c r="D47" s="15" t="s">
        <v>255</v>
      </c>
    </row>
    <row r="48" spans="1:8">
      <c r="A48" s="5" t="s">
        <v>131</v>
      </c>
      <c r="B48" s="23">
        <f>IF(Modalita="tassato",IFERROR(INDEX('2 - Sequenza storica'!J$6:J$65,Anno_pens),"n.d."),"confronto non omogeneo: il richiesto è netto di imposte, il capitale è lordo")</f>
        <v>480860.48725090863</v>
      </c>
      <c r="C48" s="11">
        <f>C41</f>
        <v>187005.72085072513</v>
      </c>
      <c r="D48" s="11">
        <f t="shared" ref="D48:D53" si="0">IF(ISNUMBER(B48),B48-C48,"")</f>
        <v>293854.76640018349</v>
      </c>
    </row>
    <row r="49" spans="1:17">
      <c r="A49" s="5" t="s">
        <v>132</v>
      </c>
      <c r="B49" s="23">
        <f>IF(Modalita="tassato",IFERROR(INDEX('2 - Sequenza storica'!K$6:K$65,Anno_pens),"n.d."),"confronto non omogeneo: il richiesto è netto di imposte, il capitale è lordo")</f>
        <v>792080.28714379622</v>
      </c>
      <c r="C49" s="11">
        <f>C41</f>
        <v>187005.72085072513</v>
      </c>
      <c r="D49" s="11">
        <f t="shared" si="0"/>
        <v>605074.56629307102</v>
      </c>
    </row>
    <row r="50" spans="1:17">
      <c r="A50" s="5" t="s">
        <v>133</v>
      </c>
      <c r="B50" s="23">
        <f>IF(Modalita="tassato",IFERROR(INDEX('2 - Sequenza storica'!L$6:L$65,Anno_pens),"n.d."),"confronto non omogeneo: il richiesto è netto di imposte, il capitale è lordo")</f>
        <v>575949.61741009227</v>
      </c>
      <c r="C50" s="11">
        <f>C41</f>
        <v>187005.72085072513</v>
      </c>
      <c r="D50" s="11">
        <f t="shared" si="0"/>
        <v>388943.89655936713</v>
      </c>
    </row>
    <row r="51" spans="1:17">
      <c r="A51" s="5" t="s">
        <v>134</v>
      </c>
      <c r="B51" s="23">
        <f>IF(Modalita="tassato",IFERROR(INDEX('2 - Sequenza storica'!M$6:M$65,Anno_pens),"n.d."),"confronto non omogeneo: il richiesto è netto di imposte, il capitale è lordo")</f>
        <v>779673.1742012609</v>
      </c>
      <c r="C51" s="11">
        <f>C41</f>
        <v>187005.72085072513</v>
      </c>
      <c r="D51" s="11">
        <f t="shared" si="0"/>
        <v>592667.45335053583</v>
      </c>
    </row>
    <row r="52" spans="1:17">
      <c r="A52" s="5" t="s">
        <v>135</v>
      </c>
      <c r="B52" s="23">
        <f>IF(Modalita="tassato",IFERROR(INDEX('2 - Sequenza storica'!N$6:N$65,Anno_pens),"n.d."),"confronto non omogeneo: il richiesto è netto di imposte, il capitale è lordo")</f>
        <v>747300.79976976442</v>
      </c>
      <c r="C52" s="11">
        <f>C41</f>
        <v>187005.72085072513</v>
      </c>
      <c r="D52" s="11">
        <f t="shared" si="0"/>
        <v>560295.07891903934</v>
      </c>
    </row>
    <row r="53" spans="1:17">
      <c r="A53" s="5" t="s">
        <v>136</v>
      </c>
      <c r="B53" s="23">
        <f>IF(Modalita="tassato",IFERROR(INDEX('2 - Sequenza storica'!O$6:O$65,Anno_pens),"n.d."),"confronto non omogeneo: il richiesto è netto di imposte, il capitale è lordo")</f>
        <v>651979.84689119062</v>
      </c>
      <c r="C53" s="11">
        <f>C41</f>
        <v>187005.72085072513</v>
      </c>
      <c r="D53" s="11">
        <f t="shared" si="0"/>
        <v>464974.12604046549</v>
      </c>
    </row>
    <row r="62" spans="1:17">
      <c r="A62" s="35" t="s">
        <v>256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4" spans="1:17" ht="48" customHeight="1">
      <c r="A64" s="15" t="s">
        <v>141</v>
      </c>
      <c r="B64" s="15" t="s">
        <v>257</v>
      </c>
      <c r="C64" s="15" t="s">
        <v>258</v>
      </c>
      <c r="D64" s="15" t="s">
        <v>259</v>
      </c>
      <c r="E64" s="15" t="s">
        <v>260</v>
      </c>
      <c r="F64" s="15" t="s">
        <v>261</v>
      </c>
      <c r="G64" s="15" t="s">
        <v>262</v>
      </c>
      <c r="H64" s="15" t="s">
        <v>263</v>
      </c>
      <c r="I64" s="15" t="s">
        <v>264</v>
      </c>
      <c r="J64" s="15" t="s">
        <v>265</v>
      </c>
      <c r="K64" s="15" t="s">
        <v>266</v>
      </c>
      <c r="L64" s="15" t="s">
        <v>267</v>
      </c>
      <c r="M64" s="15" t="s">
        <v>268</v>
      </c>
      <c r="N64" s="15" t="s">
        <v>269</v>
      </c>
      <c r="O64" s="15" t="s">
        <v>270</v>
      </c>
      <c r="P64" s="15" t="s">
        <v>271</v>
      </c>
      <c r="Q64" s="15" t="s">
        <v>272</v>
      </c>
    </row>
    <row r="65" spans="1:17">
      <c r="A65" s="17">
        <v>1</v>
      </c>
      <c r="B65" s="17">
        <f t="shared" ref="B65:B96" si="1">Anno_inizio+A65-1</f>
        <v>2000</v>
      </c>
      <c r="C65" s="24">
        <f t="shared" ref="C65:C96" si="2">IF(A65&gt;Anni,0,Spesa_netta*IF(A65=Anni,Mesi_ultimo/12,1))</f>
        <v>38000</v>
      </c>
      <c r="D65" s="24">
        <f t="shared" ref="D65:D96" si="3">IF(A65&gt;Anni,0,MAX(0,IF(A65&lt;Anno_pens,Spesa_netta,IF(A65=Anno_pens,Spesa_netta-Pensione*(12-Mese_pens+1)/12,Spesa_netta-Pensione))*IF(A65=Anni,Mesi_ultimo/12,1)))</f>
        <v>38000</v>
      </c>
      <c r="E65" s="25">
        <f t="shared" ref="E65:E96" si="4">(1-Latente0)/((1+Rend_c)*(1+Infl_c)*(1-Bollo))^(A65-1)</f>
        <v>0.56564417697986813</v>
      </c>
      <c r="F65" s="24">
        <f t="shared" ref="F65:F96" si="5">C65/(1-Aliq*(1-E65))</f>
        <v>42837.777958381252</v>
      </c>
      <c r="G65" s="24">
        <f t="shared" ref="G65:G96" si="6">D65/(1-Aliq*(1-E65))</f>
        <v>42837.777958381252</v>
      </c>
      <c r="H65" s="25">
        <f t="shared" ref="H65:H96" si="7">((1+Rend_c)*(1-Bollo))^(A65-1)</f>
        <v>1</v>
      </c>
      <c r="I65" s="24">
        <f t="shared" ref="I65:I96" si="8">F65/H65</f>
        <v>42837.777958381252</v>
      </c>
      <c r="J65" s="24">
        <f t="shared" ref="J65:J96" si="9">G65/H65</f>
        <v>42837.777958381252</v>
      </c>
      <c r="K65" s="17" t="str">
        <f t="shared" ref="K65:K96" si="10">IF(AND(A65&gt;=Anno_pens,A65&lt;=Anni),A65-Anno_pens,"")</f>
        <v/>
      </c>
      <c r="L65" s="24" t="str">
        <f t="shared" ref="L65:L96" si="11">IF(K65="","",D65/(1-Aliq*(1-(1-$B$41)/((1+Rend_c)*(1+Infl_c)*(1-Bollo))^K65))/((1+Rend_c)*(1-Bollo))^K65)</f>
        <v/>
      </c>
      <c r="M65" s="24" t="str">
        <f t="shared" ref="M65:M96" si="12">IF(K65="","",D65/(1-Aliq*(1-(1-$B$42)/((1+Rend_c)*(1+Infl_c)*(1-Bollo))^K65))/((1+Rend_c)*(1-Bollo))^K65)</f>
        <v/>
      </c>
      <c r="N65" s="24" t="str">
        <f t="shared" ref="N65:N96" si="13">IF(K65="","",D65/(1-Aliq*(1-(1-$B$43)/((1+Rend_c)*(1+Infl_c)*(1-Bollo))^K65))/((1+Rend_c)*(1-Bollo))^K65)</f>
        <v/>
      </c>
      <c r="O65" s="24">
        <f t="shared" ref="O65:O96" si="14">(IF(A65&gt;Anni,0,MAX(0,IF(A65&lt;Anno_pens,Spesa_netta,IF(A65=Anno_pens,Spesa_netta-$B$13*(12-Mese_pens+1)/12,Spesa_netta-$B$13))*IF(A65=Anni,Mesi_ultimo/12,1))))/(1-Aliq*(1-E65))/H65</f>
        <v>42837.777958381252</v>
      </c>
      <c r="P65" s="24">
        <f t="shared" ref="P65:P96" si="15">(IF(A65&gt;Anni,0,MAX(0,IF(A65&lt;Anno_pens,Spesa_netta,IF(A65=Anno_pens,Spesa_netta-$B$14*(12-Mese_pens+1)/12,Spesa_netta-$B$14))*IF(A65=Anni,Mesi_ultimo/12,1))))/(1-Aliq*(1-E65))/H65</f>
        <v>42837.777958381252</v>
      </c>
      <c r="Q65" s="24">
        <f t="shared" ref="Q65:Q96" si="16">(IF(A65&gt;Anni,0,MAX(0,IF(A65&lt;Anno_pens,Spesa_netta,IF(A65=Anno_pens,Spesa_netta-$B$15*(12-Mese_pens+1)/12,Spesa_netta-$B$15))*IF(A65=Anni,Mesi_ultimo/12,1))))/(1-Aliq*(1-E65))/H65</f>
        <v>42837.777958381252</v>
      </c>
    </row>
    <row r="66" spans="1:17">
      <c r="A66" s="17">
        <f t="shared" ref="A66:A97" si="17">A65+1</f>
        <v>2</v>
      </c>
      <c r="B66" s="17">
        <f t="shared" si="1"/>
        <v>2001</v>
      </c>
      <c r="C66" s="24">
        <f t="shared" si="2"/>
        <v>38000</v>
      </c>
      <c r="D66" s="24">
        <f t="shared" si="3"/>
        <v>38000</v>
      </c>
      <c r="E66" s="25">
        <f t="shared" si="4"/>
        <v>0.5394800423041668</v>
      </c>
      <c r="F66" s="24">
        <f t="shared" si="5"/>
        <v>43168.827749539072</v>
      </c>
      <c r="G66" s="24">
        <f t="shared" si="6"/>
        <v>43168.827749539072</v>
      </c>
      <c r="H66" s="25">
        <f t="shared" si="7"/>
        <v>1.0279400000000001</v>
      </c>
      <c r="I66" s="24">
        <f t="shared" si="8"/>
        <v>41995.474200380442</v>
      </c>
      <c r="J66" s="24">
        <f t="shared" si="9"/>
        <v>41995.474200380442</v>
      </c>
      <c r="K66" s="17" t="str">
        <f t="shared" si="10"/>
        <v/>
      </c>
      <c r="L66" s="24" t="str">
        <f t="shared" si="11"/>
        <v/>
      </c>
      <c r="M66" s="24" t="str">
        <f t="shared" si="12"/>
        <v/>
      </c>
      <c r="N66" s="24" t="str">
        <f t="shared" si="13"/>
        <v/>
      </c>
      <c r="O66" s="24">
        <f t="shared" si="14"/>
        <v>41995.474200380442</v>
      </c>
      <c r="P66" s="24">
        <f t="shared" si="15"/>
        <v>41995.474200380442</v>
      </c>
      <c r="Q66" s="24">
        <f t="shared" si="16"/>
        <v>41995.474200380442</v>
      </c>
    </row>
    <row r="67" spans="1:17">
      <c r="A67" s="17">
        <f t="shared" si="17"/>
        <v>3</v>
      </c>
      <c r="B67" s="17">
        <f t="shared" si="1"/>
        <v>2002</v>
      </c>
      <c r="C67" s="24">
        <f t="shared" si="2"/>
        <v>38000</v>
      </c>
      <c r="D67" s="24">
        <f t="shared" si="3"/>
        <v>38000</v>
      </c>
      <c r="E67" s="25">
        <f t="shared" si="4"/>
        <v>0.51452614185554324</v>
      </c>
      <c r="F67" s="24">
        <f t="shared" si="5"/>
        <v>43489.367233806915</v>
      </c>
      <c r="G67" s="24">
        <f t="shared" si="6"/>
        <v>43489.367233806915</v>
      </c>
      <c r="H67" s="25">
        <f t="shared" si="7"/>
        <v>1.0566606436000001</v>
      </c>
      <c r="I67" s="24">
        <f t="shared" si="8"/>
        <v>41157.364473839392</v>
      </c>
      <c r="J67" s="24">
        <f t="shared" si="9"/>
        <v>41157.364473839392</v>
      </c>
      <c r="K67" s="17" t="str">
        <f t="shared" si="10"/>
        <v/>
      </c>
      <c r="L67" s="24" t="str">
        <f t="shared" si="11"/>
        <v/>
      </c>
      <c r="M67" s="24" t="str">
        <f t="shared" si="12"/>
        <v/>
      </c>
      <c r="N67" s="24" t="str">
        <f t="shared" si="13"/>
        <v/>
      </c>
      <c r="O67" s="24">
        <f t="shared" si="14"/>
        <v>41157.364473839392</v>
      </c>
      <c r="P67" s="24">
        <f t="shared" si="15"/>
        <v>41157.364473839392</v>
      </c>
      <c r="Q67" s="24">
        <f t="shared" si="16"/>
        <v>41157.364473839392</v>
      </c>
    </row>
    <row r="68" spans="1:17">
      <c r="A68" s="17">
        <f t="shared" si="17"/>
        <v>4</v>
      </c>
      <c r="B68" s="17">
        <f t="shared" si="1"/>
        <v>2003</v>
      </c>
      <c r="C68" s="24">
        <f t="shared" si="2"/>
        <v>38000</v>
      </c>
      <c r="D68" s="24">
        <f t="shared" si="3"/>
        <v>38000</v>
      </c>
      <c r="E68" s="25">
        <f t="shared" si="4"/>
        <v>0.49072649568654081</v>
      </c>
      <c r="F68" s="24">
        <f t="shared" si="5"/>
        <v>43799.546636796105</v>
      </c>
      <c r="G68" s="24">
        <f t="shared" si="6"/>
        <v>43799.546636796105</v>
      </c>
      <c r="H68" s="25">
        <f t="shared" si="7"/>
        <v>1.0861837419821843</v>
      </c>
      <c r="I68" s="24">
        <f t="shared" si="8"/>
        <v>40324.251730067335</v>
      </c>
      <c r="J68" s="24">
        <f t="shared" si="9"/>
        <v>40324.251730067335</v>
      </c>
      <c r="K68" s="17" t="str">
        <f t="shared" si="10"/>
        <v/>
      </c>
      <c r="L68" s="24" t="str">
        <f t="shared" si="11"/>
        <v/>
      </c>
      <c r="M68" s="24" t="str">
        <f t="shared" si="12"/>
        <v/>
      </c>
      <c r="N68" s="24" t="str">
        <f t="shared" si="13"/>
        <v/>
      </c>
      <c r="O68" s="24">
        <f t="shared" si="14"/>
        <v>40324.251730067335</v>
      </c>
      <c r="P68" s="24">
        <f t="shared" si="15"/>
        <v>40324.251730067335</v>
      </c>
      <c r="Q68" s="24">
        <f t="shared" si="16"/>
        <v>40324.251730067335</v>
      </c>
    </row>
    <row r="69" spans="1:17">
      <c r="A69" s="17">
        <f t="shared" si="17"/>
        <v>5</v>
      </c>
      <c r="B69" s="17">
        <f t="shared" si="1"/>
        <v>2004</v>
      </c>
      <c r="C69" s="24">
        <f t="shared" si="2"/>
        <v>38000</v>
      </c>
      <c r="D69" s="24">
        <f t="shared" si="3"/>
        <v>38000</v>
      </c>
      <c r="E69" s="25">
        <f t="shared" si="4"/>
        <v>0.46802771322822767</v>
      </c>
      <c r="F69" s="24">
        <f t="shared" si="5"/>
        <v>44099.52911001545</v>
      </c>
      <c r="G69" s="24">
        <f t="shared" si="6"/>
        <v>44099.52911001545</v>
      </c>
      <c r="H69" s="25">
        <f t="shared" si="7"/>
        <v>1.1165317157331665</v>
      </c>
      <c r="I69" s="24">
        <f t="shared" si="8"/>
        <v>39496.888882424319</v>
      </c>
      <c r="J69" s="24">
        <f t="shared" si="9"/>
        <v>39496.888882424319</v>
      </c>
      <c r="K69" s="17" t="str">
        <f t="shared" si="10"/>
        <v/>
      </c>
      <c r="L69" s="24" t="str">
        <f t="shared" si="11"/>
        <v/>
      </c>
      <c r="M69" s="24" t="str">
        <f t="shared" si="12"/>
        <v/>
      </c>
      <c r="N69" s="24" t="str">
        <f t="shared" si="13"/>
        <v/>
      </c>
      <c r="O69" s="24">
        <f t="shared" si="14"/>
        <v>39496.888882424319</v>
      </c>
      <c r="P69" s="24">
        <f t="shared" si="15"/>
        <v>39496.888882424319</v>
      </c>
      <c r="Q69" s="24">
        <f t="shared" si="16"/>
        <v>39496.888882424319</v>
      </c>
    </row>
    <row r="70" spans="1:17">
      <c r="A70" s="17">
        <f t="shared" si="17"/>
        <v>6</v>
      </c>
      <c r="B70" s="17">
        <f t="shared" si="1"/>
        <v>2005</v>
      </c>
      <c r="C70" s="24">
        <f t="shared" si="2"/>
        <v>38000</v>
      </c>
      <c r="D70" s="24">
        <f t="shared" si="3"/>
        <v>38000</v>
      </c>
      <c r="E70" s="25">
        <f t="shared" si="4"/>
        <v>0.44637887351728744</v>
      </c>
      <c r="F70" s="24">
        <f t="shared" si="5"/>
        <v>44389.48936806446</v>
      </c>
      <c r="G70" s="24">
        <f t="shared" si="6"/>
        <v>44389.48936806446</v>
      </c>
      <c r="H70" s="25">
        <f t="shared" si="7"/>
        <v>1.1477276118707511</v>
      </c>
      <c r="I70" s="24">
        <f t="shared" si="8"/>
        <v>38675.979308114169</v>
      </c>
      <c r="J70" s="24">
        <f t="shared" si="9"/>
        <v>38675.979308114169</v>
      </c>
      <c r="K70" s="17" t="str">
        <f t="shared" si="10"/>
        <v/>
      </c>
      <c r="L70" s="24" t="str">
        <f t="shared" si="11"/>
        <v/>
      </c>
      <c r="M70" s="24" t="str">
        <f t="shared" si="12"/>
        <v/>
      </c>
      <c r="N70" s="24" t="str">
        <f t="shared" si="13"/>
        <v/>
      </c>
      <c r="O70" s="24">
        <f t="shared" si="14"/>
        <v>38675.979308114169</v>
      </c>
      <c r="P70" s="24">
        <f t="shared" si="15"/>
        <v>38675.979308114169</v>
      </c>
      <c r="Q70" s="24">
        <f t="shared" si="16"/>
        <v>38675.979308114169</v>
      </c>
    </row>
    <row r="71" spans="1:17">
      <c r="A71" s="17">
        <f t="shared" si="17"/>
        <v>7</v>
      </c>
      <c r="B71" s="17">
        <f t="shared" si="1"/>
        <v>2006</v>
      </c>
      <c r="C71" s="24">
        <f t="shared" si="2"/>
        <v>38000</v>
      </c>
      <c r="D71" s="24">
        <f t="shared" si="3"/>
        <v>38000</v>
      </c>
      <c r="E71" s="25">
        <f t="shared" si="4"/>
        <v>0.42573141096326239</v>
      </c>
      <c r="F71" s="24">
        <f t="shared" si="5"/>
        <v>44669.612369788236</v>
      </c>
      <c r="G71" s="24">
        <f t="shared" si="6"/>
        <v>44669.612369788236</v>
      </c>
      <c r="H71" s="25">
        <f t="shared" si="7"/>
        <v>1.17979512134642</v>
      </c>
      <c r="I71" s="24">
        <f t="shared" si="8"/>
        <v>37862.177560803815</v>
      </c>
      <c r="J71" s="24">
        <f t="shared" si="9"/>
        <v>37862.177560803815</v>
      </c>
      <c r="K71" s="17" t="str">
        <f t="shared" si="10"/>
        <v/>
      </c>
      <c r="L71" s="24" t="str">
        <f t="shared" si="11"/>
        <v/>
      </c>
      <c r="M71" s="24" t="str">
        <f t="shared" si="12"/>
        <v/>
      </c>
      <c r="N71" s="24" t="str">
        <f t="shared" si="13"/>
        <v/>
      </c>
      <c r="O71" s="24">
        <f t="shared" si="14"/>
        <v>37862.177560803815</v>
      </c>
      <c r="P71" s="24">
        <f t="shared" si="15"/>
        <v>37862.177560803815</v>
      </c>
      <c r="Q71" s="24">
        <f t="shared" si="16"/>
        <v>37862.177560803815</v>
      </c>
    </row>
    <row r="72" spans="1:17">
      <c r="A72" s="17">
        <f t="shared" si="17"/>
        <v>8</v>
      </c>
      <c r="B72" s="17">
        <f t="shared" si="1"/>
        <v>2007</v>
      </c>
      <c r="C72" s="24">
        <f t="shared" si="2"/>
        <v>38000</v>
      </c>
      <c r="D72" s="24">
        <f t="shared" si="3"/>
        <v>38000</v>
      </c>
      <c r="E72" s="25">
        <f t="shared" si="4"/>
        <v>0.40603900639968538</v>
      </c>
      <c r="F72" s="24">
        <f t="shared" si="5"/>
        <v>44940.092048689614</v>
      </c>
      <c r="G72" s="24">
        <f t="shared" si="6"/>
        <v>44940.092048689614</v>
      </c>
      <c r="H72" s="25">
        <f t="shared" si="7"/>
        <v>1.2127585970368391</v>
      </c>
      <c r="I72" s="24">
        <f t="shared" si="8"/>
        <v>37056.090270968001</v>
      </c>
      <c r="J72" s="24">
        <f t="shared" si="9"/>
        <v>37056.090270968001</v>
      </c>
      <c r="K72" s="17" t="str">
        <f t="shared" si="10"/>
        <v/>
      </c>
      <c r="L72" s="24" t="str">
        <f t="shared" si="11"/>
        <v/>
      </c>
      <c r="M72" s="24" t="str">
        <f t="shared" si="12"/>
        <v/>
      </c>
      <c r="N72" s="24" t="str">
        <f t="shared" si="13"/>
        <v/>
      </c>
      <c r="O72" s="24">
        <f t="shared" si="14"/>
        <v>37056.090270968001</v>
      </c>
      <c r="P72" s="24">
        <f t="shared" si="15"/>
        <v>37056.090270968001</v>
      </c>
      <c r="Q72" s="24">
        <f t="shared" si="16"/>
        <v>37056.090270968001</v>
      </c>
    </row>
    <row r="73" spans="1:17">
      <c r="A73" s="17">
        <f t="shared" si="17"/>
        <v>9</v>
      </c>
      <c r="B73" s="17">
        <f t="shared" si="1"/>
        <v>2008</v>
      </c>
      <c r="C73" s="24">
        <f t="shared" si="2"/>
        <v>38000</v>
      </c>
      <c r="D73" s="24">
        <f t="shared" si="3"/>
        <v>38000</v>
      </c>
      <c r="E73" s="25">
        <f t="shared" si="4"/>
        <v>0.38725748317469261</v>
      </c>
      <c r="F73" s="24">
        <f t="shared" si="5"/>
        <v>45201.130096923654</v>
      </c>
      <c r="G73" s="24">
        <f t="shared" si="6"/>
        <v>45201.130096923654</v>
      </c>
      <c r="H73" s="25">
        <f t="shared" si="7"/>
        <v>1.2466430722380484</v>
      </c>
      <c r="I73" s="24">
        <f t="shared" si="8"/>
        <v>36258.277211436209</v>
      </c>
      <c r="J73" s="24">
        <f t="shared" si="9"/>
        <v>36258.277211436209</v>
      </c>
      <c r="K73" s="17" t="str">
        <f t="shared" si="10"/>
        <v/>
      </c>
      <c r="L73" s="24" t="str">
        <f t="shared" si="11"/>
        <v/>
      </c>
      <c r="M73" s="24" t="str">
        <f t="shared" si="12"/>
        <v/>
      </c>
      <c r="N73" s="24" t="str">
        <f t="shared" si="13"/>
        <v/>
      </c>
      <c r="O73" s="24">
        <f t="shared" si="14"/>
        <v>36258.277211436209</v>
      </c>
      <c r="P73" s="24">
        <f t="shared" si="15"/>
        <v>36258.277211436209</v>
      </c>
      <c r="Q73" s="24">
        <f t="shared" si="16"/>
        <v>36258.277211436209</v>
      </c>
    </row>
    <row r="74" spans="1:17">
      <c r="A74" s="17">
        <f t="shared" si="17"/>
        <v>10</v>
      </c>
      <c r="B74" s="17">
        <f t="shared" si="1"/>
        <v>2009</v>
      </c>
      <c r="C74" s="24">
        <f t="shared" si="2"/>
        <v>38000</v>
      </c>
      <c r="D74" s="24">
        <f t="shared" si="3"/>
        <v>38000</v>
      </c>
      <c r="E74" s="25">
        <f t="shared" si="4"/>
        <v>0.36934470804801361</v>
      </c>
      <c r="F74" s="24">
        <f t="shared" si="5"/>
        <v>45452.934806286663</v>
      </c>
      <c r="G74" s="24">
        <f t="shared" si="6"/>
        <v>45452.934806286663</v>
      </c>
      <c r="H74" s="25">
        <f t="shared" si="7"/>
        <v>1.2814742796763796</v>
      </c>
      <c r="I74" s="24">
        <f t="shared" si="8"/>
        <v>35469.252506390716</v>
      </c>
      <c r="J74" s="24">
        <f t="shared" si="9"/>
        <v>35469.252506390716</v>
      </c>
      <c r="K74" s="17" t="str">
        <f t="shared" si="10"/>
        <v/>
      </c>
      <c r="L74" s="24" t="str">
        <f t="shared" si="11"/>
        <v/>
      </c>
      <c r="M74" s="24" t="str">
        <f t="shared" si="12"/>
        <v/>
      </c>
      <c r="N74" s="24" t="str">
        <f t="shared" si="13"/>
        <v/>
      </c>
      <c r="O74" s="24">
        <f t="shared" si="14"/>
        <v>35469.252506390716</v>
      </c>
      <c r="P74" s="24">
        <f t="shared" si="15"/>
        <v>35469.252506390716</v>
      </c>
      <c r="Q74" s="24">
        <f t="shared" si="16"/>
        <v>35469.252506390716</v>
      </c>
    </row>
    <row r="75" spans="1:17">
      <c r="A75" s="17">
        <f t="shared" si="17"/>
        <v>11</v>
      </c>
      <c r="B75" s="17">
        <f t="shared" si="1"/>
        <v>2010</v>
      </c>
      <c r="C75" s="24">
        <f t="shared" si="2"/>
        <v>38000</v>
      </c>
      <c r="D75" s="24">
        <f t="shared" si="3"/>
        <v>38000</v>
      </c>
      <c r="E75" s="25">
        <f t="shared" si="4"/>
        <v>0.35226049667201681</v>
      </c>
      <c r="F75" s="24">
        <f t="shared" si="5"/>
        <v>45695.719968763122</v>
      </c>
      <c r="G75" s="24">
        <f t="shared" si="6"/>
        <v>45695.719968763122</v>
      </c>
      <c r="H75" s="25">
        <f t="shared" si="7"/>
        <v>1.3172786710505375</v>
      </c>
      <c r="I75" s="24">
        <f t="shared" si="8"/>
        <v>34689.485962997118</v>
      </c>
      <c r="J75" s="24">
        <f t="shared" si="9"/>
        <v>34689.485962997118</v>
      </c>
      <c r="K75" s="17" t="str">
        <f t="shared" si="10"/>
        <v/>
      </c>
      <c r="L75" s="24" t="str">
        <f t="shared" si="11"/>
        <v/>
      </c>
      <c r="M75" s="24" t="str">
        <f t="shared" si="12"/>
        <v/>
      </c>
      <c r="N75" s="24" t="str">
        <f t="shared" si="13"/>
        <v/>
      </c>
      <c r="O75" s="24">
        <f t="shared" si="14"/>
        <v>34689.485962997118</v>
      </c>
      <c r="P75" s="24">
        <f t="shared" si="15"/>
        <v>34689.485962997118</v>
      </c>
      <c r="Q75" s="24">
        <f t="shared" si="16"/>
        <v>34689.485962997118</v>
      </c>
    </row>
    <row r="76" spans="1:17">
      <c r="A76" s="17">
        <f t="shared" si="17"/>
        <v>12</v>
      </c>
      <c r="B76" s="17">
        <f t="shared" si="1"/>
        <v>2011</v>
      </c>
      <c r="C76" s="24">
        <f t="shared" si="2"/>
        <v>38000</v>
      </c>
      <c r="D76" s="24">
        <f t="shared" si="3"/>
        <v>38000</v>
      </c>
      <c r="E76" s="25">
        <f t="shared" si="4"/>
        <v>0.33596652344477346</v>
      </c>
      <c r="F76" s="24">
        <f t="shared" si="5"/>
        <v>45929.703838413079</v>
      </c>
      <c r="G76" s="24">
        <f t="shared" si="6"/>
        <v>45929.703838413079</v>
      </c>
      <c r="H76" s="25">
        <f t="shared" si="7"/>
        <v>1.3540834371196899</v>
      </c>
      <c r="I76" s="24">
        <f t="shared" si="8"/>
        <v>33919.40450590806</v>
      </c>
      <c r="J76" s="24">
        <f t="shared" si="9"/>
        <v>33919.40450590806</v>
      </c>
      <c r="K76" s="17" t="str">
        <f t="shared" si="10"/>
        <v/>
      </c>
      <c r="L76" s="24" t="str">
        <f t="shared" si="11"/>
        <v/>
      </c>
      <c r="M76" s="24" t="str">
        <f t="shared" si="12"/>
        <v/>
      </c>
      <c r="N76" s="24" t="str">
        <f t="shared" si="13"/>
        <v/>
      </c>
      <c r="O76" s="24">
        <f t="shared" si="14"/>
        <v>33919.40450590806</v>
      </c>
      <c r="P76" s="24">
        <f t="shared" si="15"/>
        <v>33919.40450590806</v>
      </c>
      <c r="Q76" s="24">
        <f t="shared" si="16"/>
        <v>33919.40450590806</v>
      </c>
    </row>
    <row r="77" spans="1:17">
      <c r="A77" s="17">
        <f t="shared" si="17"/>
        <v>13</v>
      </c>
      <c r="B77" s="17">
        <f t="shared" si="1"/>
        <v>2012</v>
      </c>
      <c r="C77" s="24">
        <f t="shared" si="2"/>
        <v>38000</v>
      </c>
      <c r="D77" s="24">
        <f t="shared" si="3"/>
        <v>38000</v>
      </c>
      <c r="E77" s="25">
        <f t="shared" si="4"/>
        <v>0.32042623553290994</v>
      </c>
      <c r="F77" s="24">
        <f t="shared" si="5"/>
        <v>46155.108155671129</v>
      </c>
      <c r="G77" s="24">
        <f t="shared" si="6"/>
        <v>46155.108155671129</v>
      </c>
      <c r="H77" s="25">
        <f t="shared" si="7"/>
        <v>1.3919165283528139</v>
      </c>
      <c r="I77" s="24">
        <f t="shared" si="8"/>
        <v>33159.393696036372</v>
      </c>
      <c r="J77" s="24">
        <f t="shared" si="9"/>
        <v>33159.393696036372</v>
      </c>
      <c r="K77" s="17" t="str">
        <f t="shared" si="10"/>
        <v/>
      </c>
      <c r="L77" s="24" t="str">
        <f t="shared" si="11"/>
        <v/>
      </c>
      <c r="M77" s="24" t="str">
        <f t="shared" si="12"/>
        <v/>
      </c>
      <c r="N77" s="24" t="str">
        <f t="shared" si="13"/>
        <v/>
      </c>
      <c r="O77" s="24">
        <f t="shared" si="14"/>
        <v>33159.393696036372</v>
      </c>
      <c r="P77" s="24">
        <f t="shared" si="15"/>
        <v>33159.393696036372</v>
      </c>
      <c r="Q77" s="24">
        <f t="shared" si="16"/>
        <v>33159.393696036372</v>
      </c>
    </row>
    <row r="78" spans="1:17">
      <c r="A78" s="17">
        <f t="shared" si="17"/>
        <v>14</v>
      </c>
      <c r="B78" s="17">
        <f t="shared" si="1"/>
        <v>2013</v>
      </c>
      <c r="C78" s="24">
        <f t="shared" si="2"/>
        <v>38000</v>
      </c>
      <c r="D78" s="24">
        <f t="shared" si="3"/>
        <v>38000</v>
      </c>
      <c r="E78" s="25">
        <f t="shared" si="4"/>
        <v>0.30560477087137339</v>
      </c>
      <c r="F78" s="24">
        <f t="shared" si="5"/>
        <v>46372.15723448807</v>
      </c>
      <c r="G78" s="24">
        <f t="shared" si="6"/>
        <v>46372.15723448807</v>
      </c>
      <c r="H78" s="25">
        <f t="shared" si="7"/>
        <v>1.4308066761549916</v>
      </c>
      <c r="I78" s="24">
        <f t="shared" si="8"/>
        <v>32409.799316217912</v>
      </c>
      <c r="J78" s="24">
        <f t="shared" si="9"/>
        <v>32409.799316217912</v>
      </c>
      <c r="K78" s="17" t="str">
        <f t="shared" si="10"/>
        <v/>
      </c>
      <c r="L78" s="24" t="str">
        <f t="shared" si="11"/>
        <v/>
      </c>
      <c r="M78" s="24" t="str">
        <f t="shared" si="12"/>
        <v/>
      </c>
      <c r="N78" s="24" t="str">
        <f t="shared" si="13"/>
        <v/>
      </c>
      <c r="O78" s="24">
        <f t="shared" si="14"/>
        <v>32409.799316217912</v>
      </c>
      <c r="P78" s="24">
        <f t="shared" si="15"/>
        <v>32409.799316217912</v>
      </c>
      <c r="Q78" s="24">
        <f t="shared" si="16"/>
        <v>32409.799316217912</v>
      </c>
    </row>
    <row r="79" spans="1:17">
      <c r="A79" s="17">
        <f t="shared" si="17"/>
        <v>15</v>
      </c>
      <c r="B79" s="17">
        <f t="shared" si="1"/>
        <v>2014</v>
      </c>
      <c r="C79" s="24">
        <f t="shared" si="2"/>
        <v>38000</v>
      </c>
      <c r="D79" s="24">
        <f t="shared" si="3"/>
        <v>38000</v>
      </c>
      <c r="E79" s="25">
        <f t="shared" si="4"/>
        <v>0.29146887995615578</v>
      </c>
      <c r="F79" s="24">
        <f t="shared" si="5"/>
        <v>46581.077112176092</v>
      </c>
      <c r="G79" s="24">
        <f t="shared" si="6"/>
        <v>46581.077112176092</v>
      </c>
      <c r="H79" s="25">
        <f t="shared" si="7"/>
        <v>1.470783414686762</v>
      </c>
      <c r="I79" s="24">
        <f t="shared" si="8"/>
        <v>31670.929007651768</v>
      </c>
      <c r="J79" s="24">
        <f t="shared" si="9"/>
        <v>31670.929007651768</v>
      </c>
      <c r="K79" s="17" t="str">
        <f t="shared" si="10"/>
        <v/>
      </c>
      <c r="L79" s="24" t="str">
        <f t="shared" si="11"/>
        <v/>
      </c>
      <c r="M79" s="24" t="str">
        <f t="shared" si="12"/>
        <v/>
      </c>
      <c r="N79" s="24" t="str">
        <f t="shared" si="13"/>
        <v/>
      </c>
      <c r="O79" s="24">
        <f t="shared" si="14"/>
        <v>31670.929007651768</v>
      </c>
      <c r="P79" s="24">
        <f t="shared" si="15"/>
        <v>31670.929007651768</v>
      </c>
      <c r="Q79" s="24">
        <f t="shared" si="16"/>
        <v>31670.929007651768</v>
      </c>
    </row>
    <row r="80" spans="1:17">
      <c r="A80" s="17">
        <f t="shared" si="17"/>
        <v>16</v>
      </c>
      <c r="B80" s="17">
        <f t="shared" si="1"/>
        <v>2015</v>
      </c>
      <c r="C80" s="24">
        <f t="shared" si="2"/>
        <v>38000</v>
      </c>
      <c r="D80" s="24">
        <f t="shared" si="3"/>
        <v>38000</v>
      </c>
      <c r="E80" s="25">
        <f t="shared" si="4"/>
        <v>0.27798685125453249</v>
      </c>
      <c r="F80" s="24">
        <f t="shared" si="5"/>
        <v>46782.09476131713</v>
      </c>
      <c r="G80" s="24">
        <f t="shared" si="6"/>
        <v>46782.09476131713</v>
      </c>
      <c r="H80" s="25">
        <f t="shared" si="7"/>
        <v>1.5118771032931104</v>
      </c>
      <c r="I80" s="24">
        <f t="shared" si="8"/>
        <v>30943.053942293482</v>
      </c>
      <c r="J80" s="24">
        <f t="shared" si="9"/>
        <v>30943.053942293482</v>
      </c>
      <c r="K80" s="17" t="str">
        <f t="shared" si="10"/>
        <v/>
      </c>
      <c r="L80" s="24" t="str">
        <f t="shared" si="11"/>
        <v/>
      </c>
      <c r="M80" s="24" t="str">
        <f t="shared" si="12"/>
        <v/>
      </c>
      <c r="N80" s="24" t="str">
        <f t="shared" si="13"/>
        <v/>
      </c>
      <c r="O80" s="24">
        <f t="shared" si="14"/>
        <v>30943.053942293482</v>
      </c>
      <c r="P80" s="24">
        <f t="shared" si="15"/>
        <v>30943.053942293482</v>
      </c>
      <c r="Q80" s="24">
        <f t="shared" si="16"/>
        <v>30943.053942293482</v>
      </c>
    </row>
    <row r="81" spans="1:17">
      <c r="A81" s="17">
        <f t="shared" si="17"/>
        <v>17</v>
      </c>
      <c r="B81" s="17">
        <f t="shared" si="1"/>
        <v>2016</v>
      </c>
      <c r="C81" s="24">
        <f t="shared" si="2"/>
        <v>38000</v>
      </c>
      <c r="D81" s="24">
        <f t="shared" si="3"/>
        <v>30322.114033827122</v>
      </c>
      <c r="E81" s="25">
        <f t="shared" si="4"/>
        <v>0.26512844006548453</v>
      </c>
      <c r="F81" s="24">
        <f t="shared" si="5"/>
        <v>46975.437362658842</v>
      </c>
      <c r="G81" s="24">
        <f t="shared" si="6"/>
        <v>37484.067592090643</v>
      </c>
      <c r="H81" s="25">
        <f t="shared" si="7"/>
        <v>1.5541189495591199</v>
      </c>
      <c r="I81" s="24">
        <f t="shared" si="8"/>
        <v>30226.41051766666</v>
      </c>
      <c r="J81" s="24">
        <f t="shared" si="9"/>
        <v>24119.17543552526</v>
      </c>
      <c r="K81" s="17">
        <f t="shared" si="10"/>
        <v>0</v>
      </c>
      <c r="L81" s="24">
        <f t="shared" si="11"/>
        <v>34182.420742363218</v>
      </c>
      <c r="M81" s="24">
        <f t="shared" si="12"/>
        <v>35926.675395529768</v>
      </c>
      <c r="N81" s="24">
        <f t="shared" si="13"/>
        <v>37484.067592090643</v>
      </c>
      <c r="O81" s="24">
        <f t="shared" si="14"/>
        <v>23896.960383674472</v>
      </c>
      <c r="P81" s="24">
        <f t="shared" si="15"/>
        <v>24270.415639938801</v>
      </c>
      <c r="Q81" s="24">
        <f t="shared" si="16"/>
        <v>24390.128134225877</v>
      </c>
    </row>
    <row r="82" spans="1:17">
      <c r="A82" s="17">
        <f t="shared" si="17"/>
        <v>18</v>
      </c>
      <c r="B82" s="17">
        <f t="shared" si="1"/>
        <v>2017</v>
      </c>
      <c r="C82" s="24">
        <f t="shared" si="2"/>
        <v>38000</v>
      </c>
      <c r="D82" s="24">
        <f t="shared" si="3"/>
        <v>7288.45613530849</v>
      </c>
      <c r="E82" s="25">
        <f t="shared" si="4"/>
        <v>0.25286480067071565</v>
      </c>
      <c r="F82" s="24">
        <f t="shared" si="5"/>
        <v>47161.331637550502</v>
      </c>
      <c r="G82" s="24">
        <f t="shared" si="6"/>
        <v>9045.613076921667</v>
      </c>
      <c r="H82" s="25">
        <f t="shared" si="7"/>
        <v>1.5975410330098019</v>
      </c>
      <c r="I82" s="24">
        <f t="shared" si="8"/>
        <v>29521.202061832199</v>
      </c>
      <c r="J82" s="24">
        <f t="shared" si="9"/>
        <v>5662.2101655063825</v>
      </c>
      <c r="K82" s="17">
        <f t="shared" si="10"/>
        <v>1</v>
      </c>
      <c r="L82" s="24">
        <f t="shared" si="11"/>
        <v>8054.7939892355844</v>
      </c>
      <c r="M82" s="24">
        <f t="shared" si="12"/>
        <v>8449.0479045894353</v>
      </c>
      <c r="N82" s="24">
        <f t="shared" si="13"/>
        <v>8799.7481145997499</v>
      </c>
      <c r="O82" s="24">
        <f t="shared" si="14"/>
        <v>4794.0878400938554</v>
      </c>
      <c r="P82" s="24">
        <f t="shared" si="15"/>
        <v>6253.0567209391402</v>
      </c>
      <c r="Q82" s="24">
        <f t="shared" si="16"/>
        <v>6720.7347114976401</v>
      </c>
    </row>
    <row r="83" spans="1:17">
      <c r="A83" s="17">
        <f t="shared" si="17"/>
        <v>19</v>
      </c>
      <c r="B83" s="17">
        <f t="shared" si="1"/>
        <v>2018</v>
      </c>
      <c r="C83" s="24">
        <f t="shared" si="2"/>
        <v>38000</v>
      </c>
      <c r="D83" s="24">
        <f t="shared" si="3"/>
        <v>7288.45613530849</v>
      </c>
      <c r="E83" s="25">
        <f t="shared" si="4"/>
        <v>0.24116842162405497</v>
      </c>
      <c r="F83" s="24">
        <f t="shared" si="5"/>
        <v>47340.003238158977</v>
      </c>
      <c r="G83" s="24">
        <f t="shared" si="6"/>
        <v>9079.882553860094</v>
      </c>
      <c r="H83" s="25">
        <f t="shared" si="7"/>
        <v>1.6421763294720957</v>
      </c>
      <c r="I83" s="24">
        <f t="shared" si="8"/>
        <v>28827.600537499642</v>
      </c>
      <c r="J83" s="24">
        <f t="shared" si="9"/>
        <v>5529.1763685200422</v>
      </c>
      <c r="K83" s="17">
        <f t="shared" si="10"/>
        <v>2</v>
      </c>
      <c r="L83" s="24">
        <f t="shared" si="11"/>
        <v>7894.0433055916428</v>
      </c>
      <c r="M83" s="24">
        <f t="shared" si="12"/>
        <v>8264.5824145471252</v>
      </c>
      <c r="N83" s="24">
        <f t="shared" si="13"/>
        <v>8592.9977697714767</v>
      </c>
      <c r="O83" s="24">
        <f t="shared" si="14"/>
        <v>4681.450603076587</v>
      </c>
      <c r="P83" s="24">
        <f t="shared" si="15"/>
        <v>6106.1409664824905</v>
      </c>
      <c r="Q83" s="24">
        <f t="shared" si="16"/>
        <v>6562.830848681826</v>
      </c>
    </row>
    <row r="84" spans="1:17">
      <c r="A84" s="17">
        <f t="shared" si="17"/>
        <v>20</v>
      </c>
      <c r="B84" s="17">
        <f t="shared" si="1"/>
        <v>2019</v>
      </c>
      <c r="C84" s="24">
        <f t="shared" si="2"/>
        <v>38000</v>
      </c>
      <c r="D84" s="24">
        <f t="shared" si="3"/>
        <v>7288.45613530849</v>
      </c>
      <c r="E84" s="25">
        <f t="shared" si="4"/>
        <v>0.23001306403407895</v>
      </c>
      <c r="F84" s="24">
        <f t="shared" si="5"/>
        <v>47511.676193447362</v>
      </c>
      <c r="G84" s="24">
        <f t="shared" si="6"/>
        <v>9112.8096802874134</v>
      </c>
      <c r="H84" s="25">
        <f t="shared" si="7"/>
        <v>1.6880587361175463</v>
      </c>
      <c r="I84" s="24">
        <f t="shared" si="8"/>
        <v>28145.748235468349</v>
      </c>
      <c r="J84" s="24">
        <f t="shared" si="9"/>
        <v>5398.3960897275629</v>
      </c>
      <c r="K84" s="17">
        <f t="shared" si="10"/>
        <v>3</v>
      </c>
      <c r="L84" s="24">
        <f t="shared" si="11"/>
        <v>7734.2510506245599</v>
      </c>
      <c r="M84" s="24">
        <f t="shared" si="12"/>
        <v>8082.3220817784249</v>
      </c>
      <c r="N84" s="24">
        <f t="shared" si="13"/>
        <v>8389.74966027146</v>
      </c>
      <c r="O84" s="24">
        <f t="shared" si="14"/>
        <v>4570.7213779230315</v>
      </c>
      <c r="P84" s="24">
        <f t="shared" si="15"/>
        <v>5961.7138828232828</v>
      </c>
      <c r="Q84" s="24">
        <f t="shared" si="16"/>
        <v>6407.601789079913</v>
      </c>
    </row>
    <row r="85" spans="1:17">
      <c r="A85" s="17">
        <f t="shared" si="17"/>
        <v>21</v>
      </c>
      <c r="B85" s="17">
        <f t="shared" si="1"/>
        <v>2020</v>
      </c>
      <c r="C85" s="24">
        <f t="shared" si="2"/>
        <v>38000</v>
      </c>
      <c r="D85" s="24">
        <f t="shared" si="3"/>
        <v>7288.45613530849</v>
      </c>
      <c r="E85" s="25">
        <f t="shared" si="4"/>
        <v>0.21937370270149947</v>
      </c>
      <c r="F85" s="24">
        <f t="shared" si="5"/>
        <v>47676.572408693355</v>
      </c>
      <c r="G85" s="24">
        <f t="shared" si="6"/>
        <v>9144.437017963699</v>
      </c>
      <c r="H85" s="25">
        <f t="shared" si="7"/>
        <v>1.7352230972046705</v>
      </c>
      <c r="I85" s="24">
        <f t="shared" si="8"/>
        <v>27475.75944874014</v>
      </c>
      <c r="J85" s="24">
        <f t="shared" si="9"/>
        <v>5269.8912506955339</v>
      </c>
      <c r="K85" s="17">
        <f t="shared" si="10"/>
        <v>4</v>
      </c>
      <c r="L85" s="24">
        <f t="shared" si="11"/>
        <v>7575.5616342290323</v>
      </c>
      <c r="M85" s="24">
        <f t="shared" si="12"/>
        <v>7902.3639720764313</v>
      </c>
      <c r="N85" s="24">
        <f t="shared" si="13"/>
        <v>8190.0378548217395</v>
      </c>
      <c r="O85" s="24">
        <f t="shared" si="14"/>
        <v>4461.9187252151423</v>
      </c>
      <c r="P85" s="24">
        <f t="shared" si="15"/>
        <v>5819.7996790239313</v>
      </c>
      <c r="Q85" s="24">
        <f t="shared" si="16"/>
        <v>6255.0735523960775</v>
      </c>
    </row>
    <row r="86" spans="1:17">
      <c r="A86" s="17">
        <f t="shared" si="17"/>
        <v>22</v>
      </c>
      <c r="B86" s="17">
        <f t="shared" si="1"/>
        <v>2021</v>
      </c>
      <c r="C86" s="24">
        <f t="shared" si="2"/>
        <v>38000</v>
      </c>
      <c r="D86" s="24">
        <f t="shared" si="3"/>
        <v>7288.45613530849</v>
      </c>
      <c r="E86" s="25">
        <f t="shared" si="4"/>
        <v>0.20922646997926891</v>
      </c>
      <c r="F86" s="24">
        <f t="shared" si="5"/>
        <v>47834.911216165143</v>
      </c>
      <c r="G86" s="24">
        <f t="shared" si="6"/>
        <v>9174.806635141993</v>
      </c>
      <c r="H86" s="25">
        <f t="shared" si="7"/>
        <v>1.783705230540569</v>
      </c>
      <c r="I86" s="24">
        <f t="shared" si="8"/>
        <v>26817.722119740778</v>
      </c>
      <c r="J86" s="24">
        <f t="shared" si="9"/>
        <v>5143.6787189111283</v>
      </c>
      <c r="K86" s="17">
        <f t="shared" si="10"/>
        <v>5</v>
      </c>
      <c r="L86" s="24">
        <f t="shared" si="11"/>
        <v>7418.1099651918148</v>
      </c>
      <c r="M86" s="24">
        <f t="shared" si="12"/>
        <v>7724.7955616146955</v>
      </c>
      <c r="N86" s="24">
        <f t="shared" si="13"/>
        <v>7993.8885675037627</v>
      </c>
      <c r="O86" s="24">
        <f t="shared" si="14"/>
        <v>4355.0569263400093</v>
      </c>
      <c r="P86" s="24">
        <f t="shared" si="15"/>
        <v>5680.4169826787775</v>
      </c>
      <c r="Q86" s="24">
        <f t="shared" si="16"/>
        <v>6105.266159417828</v>
      </c>
    </row>
    <row r="87" spans="1:17">
      <c r="A87" s="17">
        <f t="shared" si="17"/>
        <v>23</v>
      </c>
      <c r="B87" s="17">
        <f t="shared" si="1"/>
        <v>2022</v>
      </c>
      <c r="C87" s="24">
        <f t="shared" si="2"/>
        <v>38000</v>
      </c>
      <c r="D87" s="24">
        <f t="shared" si="3"/>
        <v>7288.45613530849</v>
      </c>
      <c r="E87" s="25">
        <f t="shared" si="4"/>
        <v>0.19954860222946263</v>
      </c>
      <c r="F87" s="24">
        <f t="shared" si="5"/>
        <v>47986.908974455524</v>
      </c>
      <c r="G87" s="24">
        <f t="shared" si="6"/>
        <v>9203.9600297200104</v>
      </c>
      <c r="H87" s="25">
        <f t="shared" si="7"/>
        <v>1.8335419546818725</v>
      </c>
      <c r="I87" s="24">
        <f t="shared" si="8"/>
        <v>26171.699454121004</v>
      </c>
      <c r="J87" s="24">
        <f t="shared" si="9"/>
        <v>5019.7706173115284</v>
      </c>
      <c r="K87" s="17">
        <f t="shared" si="10"/>
        <v>6</v>
      </c>
      <c r="L87" s="24">
        <f t="shared" si="11"/>
        <v>7262.0215878731578</v>
      </c>
      <c r="M87" s="24">
        <f t="shared" si="12"/>
        <v>7549.6951131809274</v>
      </c>
      <c r="N87" s="24">
        <f t="shared" si="13"/>
        <v>7801.320638803928</v>
      </c>
      <c r="O87" s="24">
        <f t="shared" si="14"/>
        <v>4250.1462455626506</v>
      </c>
      <c r="P87" s="24">
        <f t="shared" si="15"/>
        <v>5543.5791817426307</v>
      </c>
      <c r="Q87" s="24">
        <f t="shared" si="16"/>
        <v>5958.1939994105469</v>
      </c>
    </row>
    <row r="88" spans="1:17">
      <c r="A88" s="17">
        <f t="shared" si="17"/>
        <v>24</v>
      </c>
      <c r="B88" s="17">
        <f t="shared" si="1"/>
        <v>2023</v>
      </c>
      <c r="C88" s="24">
        <f t="shared" si="2"/>
        <v>38000</v>
      </c>
      <c r="D88" s="24">
        <f t="shared" si="3"/>
        <v>7288.45613530849</v>
      </c>
      <c r="E88" s="25">
        <f t="shared" si="4"/>
        <v>0.19031838875682325</v>
      </c>
      <c r="F88" s="24">
        <f t="shared" si="5"/>
        <v>48132.77871389655</v>
      </c>
      <c r="G88" s="24">
        <f t="shared" si="6"/>
        <v>9231.9380612301375</v>
      </c>
      <c r="H88" s="25">
        <f t="shared" si="7"/>
        <v>1.8847711168956842</v>
      </c>
      <c r="I88" s="24">
        <f t="shared" si="8"/>
        <v>25537.731495574768</v>
      </c>
      <c r="J88" s="24">
        <f t="shared" si="9"/>
        <v>4898.1746263363893</v>
      </c>
      <c r="K88" s="17">
        <f t="shared" si="10"/>
        <v>7</v>
      </c>
      <c r="L88" s="24">
        <f t="shared" si="11"/>
        <v>7107.4128548942626</v>
      </c>
      <c r="M88" s="24">
        <f t="shared" si="12"/>
        <v>7377.1320631920034</v>
      </c>
      <c r="N88" s="24">
        <f t="shared" si="13"/>
        <v>7612.346005039044</v>
      </c>
      <c r="O88" s="24">
        <f t="shared" si="14"/>
        <v>4147.1931857682084</v>
      </c>
      <c r="P88" s="24">
        <f t="shared" si="15"/>
        <v>5409.2947581021399</v>
      </c>
      <c r="Q88" s="24">
        <f t="shared" si="16"/>
        <v>5813.8661886372984</v>
      </c>
    </row>
    <row r="89" spans="1:17">
      <c r="A89" s="17">
        <f t="shared" si="17"/>
        <v>25</v>
      </c>
      <c r="B89" s="17">
        <f t="shared" si="1"/>
        <v>2024</v>
      </c>
      <c r="C89" s="24">
        <f t="shared" si="2"/>
        <v>38000</v>
      </c>
      <c r="D89" s="24">
        <f t="shared" si="3"/>
        <v>7288.45613530849</v>
      </c>
      <c r="E89" s="25">
        <f t="shared" si="4"/>
        <v>0.18151512310440721</v>
      </c>
      <c r="F89" s="24">
        <f t="shared" si="5"/>
        <v>48272.729825431445</v>
      </c>
      <c r="G89" s="24">
        <f t="shared" si="6"/>
        <v>9258.7808911646043</v>
      </c>
      <c r="H89" s="25">
        <f t="shared" si="7"/>
        <v>1.9374316219017498</v>
      </c>
      <c r="I89" s="24">
        <f t="shared" si="8"/>
        <v>24915.836657010768</v>
      </c>
      <c r="J89" s="24">
        <f t="shared" si="9"/>
        <v>4778.8942776087979</v>
      </c>
      <c r="K89" s="17">
        <f t="shared" si="10"/>
        <v>8</v>
      </c>
      <c r="L89" s="24">
        <f t="shared" si="11"/>
        <v>6954.3911315107443</v>
      </c>
      <c r="M89" s="24">
        <f t="shared" si="12"/>
        <v>7207.1674161077335</v>
      </c>
      <c r="N89" s="24">
        <f t="shared" si="13"/>
        <v>7426.970154771474</v>
      </c>
      <c r="O89" s="24">
        <f t="shared" si="14"/>
        <v>4046.200737116143</v>
      </c>
      <c r="P89" s="24">
        <f t="shared" si="15"/>
        <v>5277.5676119020964</v>
      </c>
      <c r="Q89" s="24">
        <f t="shared" si="16"/>
        <v>5672.286918942109</v>
      </c>
    </row>
    <row r="90" spans="1:17">
      <c r="A90" s="17">
        <f t="shared" si="17"/>
        <v>26</v>
      </c>
      <c r="B90" s="17">
        <f t="shared" si="1"/>
        <v>2025</v>
      </c>
      <c r="C90" s="24">
        <f t="shared" si="2"/>
        <v>38000</v>
      </c>
      <c r="D90" s="24">
        <f t="shared" si="3"/>
        <v>7288.45613530849</v>
      </c>
      <c r="E90" s="25">
        <f t="shared" si="4"/>
        <v>0.17311905660207455</v>
      </c>
      <c r="F90" s="24">
        <f t="shared" si="5"/>
        <v>48406.967790304872</v>
      </c>
      <c r="G90" s="24">
        <f t="shared" si="6"/>
        <v>9284.5279311296854</v>
      </c>
      <c r="H90" s="25">
        <f t="shared" si="7"/>
        <v>1.9915634614176849</v>
      </c>
      <c r="I90" s="24">
        <f t="shared" si="8"/>
        <v>24306.013204242361</v>
      </c>
      <c r="J90" s="24">
        <f t="shared" si="9"/>
        <v>4661.9292385091958</v>
      </c>
      <c r="K90" s="17">
        <f t="shared" si="10"/>
        <v>9</v>
      </c>
      <c r="L90" s="24">
        <f t="shared" si="11"/>
        <v>6803.0550275002479</v>
      </c>
      <c r="M90" s="24">
        <f t="shared" si="12"/>
        <v>7039.8541431626527</v>
      </c>
      <c r="N90" s="24">
        <f t="shared" si="13"/>
        <v>7245.1925710708583</v>
      </c>
      <c r="O90" s="24">
        <f t="shared" si="14"/>
        <v>3947.1686179836738</v>
      </c>
      <c r="P90" s="24">
        <f t="shared" si="15"/>
        <v>5148.3973758143884</v>
      </c>
      <c r="Q90" s="24">
        <f t="shared" si="16"/>
        <v>5533.4557955237015</v>
      </c>
    </row>
    <row r="91" spans="1:17">
      <c r="A91" s="17">
        <f t="shared" si="17"/>
        <v>27</v>
      </c>
      <c r="B91" s="17">
        <f t="shared" si="1"/>
        <v>2026</v>
      </c>
      <c r="C91" s="24">
        <f t="shared" si="2"/>
        <v>38000</v>
      </c>
      <c r="D91" s="24">
        <f t="shared" si="3"/>
        <v>7288.45613530849</v>
      </c>
      <c r="E91" s="25">
        <f t="shared" si="4"/>
        <v>0.16511135406361413</v>
      </c>
      <c r="F91" s="24">
        <f t="shared" si="5"/>
        <v>48535.693947943066</v>
      </c>
      <c r="G91" s="24">
        <f t="shared" si="6"/>
        <v>9309.2177983247584</v>
      </c>
      <c r="H91" s="25">
        <f t="shared" si="7"/>
        <v>2.047207744529695</v>
      </c>
      <c r="I91" s="24">
        <f t="shared" si="8"/>
        <v>23708.240689121256</v>
      </c>
      <c r="J91" s="24">
        <f t="shared" si="9"/>
        <v>4547.2755870525316</v>
      </c>
      <c r="K91" s="17">
        <f t="shared" si="10"/>
        <v>10</v>
      </c>
      <c r="L91" s="24">
        <f t="shared" si="11"/>
        <v>6653.4946525711603</v>
      </c>
      <c r="M91" s="24">
        <f t="shared" si="12"/>
        <v>6875.2375826322977</v>
      </c>
      <c r="N91" s="24">
        <f t="shared" si="13"/>
        <v>7067.0071587059119</v>
      </c>
      <c r="O91" s="24">
        <f t="shared" si="14"/>
        <v>3850.0935076991382</v>
      </c>
      <c r="P91" s="24">
        <f t="shared" si="15"/>
        <v>5021.7797185983418</v>
      </c>
      <c r="Q91" s="24">
        <f t="shared" si="16"/>
        <v>5397.3681631996842</v>
      </c>
    </row>
    <row r="92" spans="1:17">
      <c r="A92" s="17">
        <f t="shared" si="17"/>
        <v>28</v>
      </c>
      <c r="B92" s="17">
        <f t="shared" si="1"/>
        <v>2027</v>
      </c>
      <c r="C92" s="24">
        <f t="shared" si="2"/>
        <v>38000</v>
      </c>
      <c r="D92" s="24">
        <f t="shared" si="3"/>
        <v>7288.45613530849</v>
      </c>
      <c r="E92" s="25">
        <f t="shared" si="4"/>
        <v>0.15747405153311969</v>
      </c>
      <c r="F92" s="24">
        <f t="shared" si="5"/>
        <v>48659.105299426847</v>
      </c>
      <c r="G92" s="24">
        <f t="shared" si="6"/>
        <v>9332.8882778481438</v>
      </c>
      <c r="H92" s="25">
        <f t="shared" si="7"/>
        <v>2.1044067289118549</v>
      </c>
      <c r="I92" s="24">
        <f t="shared" si="8"/>
        <v>23122.481329732043</v>
      </c>
      <c r="J92" s="24">
        <f t="shared" si="9"/>
        <v>4434.9260766116195</v>
      </c>
      <c r="K92" s="17">
        <f t="shared" si="10"/>
        <v>11</v>
      </c>
      <c r="L92" s="24">
        <f t="shared" si="11"/>
        <v>6505.7918915025266</v>
      </c>
      <c r="M92" s="24">
        <f t="shared" si="12"/>
        <v>6713.3558391396055</v>
      </c>
      <c r="N92" s="24">
        <f t="shared" si="13"/>
        <v>6892.4026555559976</v>
      </c>
      <c r="O92" s="24">
        <f t="shared" si="14"/>
        <v>3754.9692706783271</v>
      </c>
      <c r="P92" s="24">
        <f t="shared" si="15"/>
        <v>4897.7066374477163</v>
      </c>
      <c r="Q92" s="24">
        <f t="shared" si="16"/>
        <v>5264.0154206187335</v>
      </c>
    </row>
    <row r="93" spans="1:17">
      <c r="A93" s="17">
        <f t="shared" si="17"/>
        <v>29</v>
      </c>
      <c r="B93" s="17">
        <f t="shared" si="1"/>
        <v>2028</v>
      </c>
      <c r="C93" s="24">
        <f t="shared" si="2"/>
        <v>38000</v>
      </c>
      <c r="D93" s="24">
        <f t="shared" si="3"/>
        <v>7288.45613530849</v>
      </c>
      <c r="E93" s="25">
        <f t="shared" si="4"/>
        <v>0.15019001598582629</v>
      </c>
      <c r="F93" s="24">
        <f t="shared" si="5"/>
        <v>48777.394344011809</v>
      </c>
      <c r="G93" s="24">
        <f t="shared" si="6"/>
        <v>9355.5762913414346</v>
      </c>
      <c r="H93" s="25">
        <f t="shared" si="7"/>
        <v>2.1632038529176518</v>
      </c>
      <c r="I93" s="24">
        <f t="shared" si="8"/>
        <v>22548.681335891026</v>
      </c>
      <c r="J93" s="24">
        <f t="shared" si="9"/>
        <v>4324.8703901497629</v>
      </c>
      <c r="K93" s="17">
        <f t="shared" si="10"/>
        <v>12</v>
      </c>
      <c r="L93" s="24">
        <f t="shared" si="11"/>
        <v>6360.0206954469995</v>
      </c>
      <c r="M93" s="24">
        <f t="shared" si="12"/>
        <v>6554.2401797861894</v>
      </c>
      <c r="N93" s="24">
        <f t="shared" si="13"/>
        <v>6721.3630277188895</v>
      </c>
      <c r="O93" s="24">
        <f t="shared" si="14"/>
        <v>3661.787171678513</v>
      </c>
      <c r="P93" s="24">
        <f t="shared" si="15"/>
        <v>4776.1667387522857</v>
      </c>
      <c r="Q93" s="24">
        <f t="shared" si="16"/>
        <v>5133.3853220208748</v>
      </c>
    </row>
    <row r="94" spans="1:17">
      <c r="A94" s="17">
        <f t="shared" si="17"/>
        <v>30</v>
      </c>
      <c r="B94" s="17">
        <f t="shared" si="1"/>
        <v>2029</v>
      </c>
      <c r="C94" s="24">
        <f t="shared" si="2"/>
        <v>38000</v>
      </c>
      <c r="D94" s="24">
        <f t="shared" si="3"/>
        <v>7288.45613530849</v>
      </c>
      <c r="E94" s="25">
        <f t="shared" si="4"/>
        <v>0.14324290689300387</v>
      </c>
      <c r="F94" s="24">
        <f t="shared" si="5"/>
        <v>48890.748946215776</v>
      </c>
      <c r="G94" s="24">
        <f t="shared" si="6"/>
        <v>9377.3178714966707</v>
      </c>
      <c r="H94" s="25">
        <f t="shared" si="7"/>
        <v>2.2236437685681714</v>
      </c>
      <c r="I94" s="24">
        <f t="shared" si="8"/>
        <v>21986.772178754632</v>
      </c>
      <c r="J94" s="24">
        <f t="shared" si="9"/>
        <v>4217.0953837335328</v>
      </c>
      <c r="K94" s="17">
        <f t="shared" si="10"/>
        <v>13</v>
      </c>
      <c r="L94" s="24">
        <f t="shared" si="11"/>
        <v>6216.247386063299</v>
      </c>
      <c r="M94" s="24">
        <f t="shared" si="12"/>
        <v>6397.9154251595919</v>
      </c>
      <c r="N94" s="24">
        <f t="shared" si="13"/>
        <v>6553.8678479585715</v>
      </c>
      <c r="O94" s="24">
        <f t="shared" si="14"/>
        <v>3570.53608197618</v>
      </c>
      <c r="P94" s="24">
        <f t="shared" si="15"/>
        <v>4657.1455070209486</v>
      </c>
      <c r="Q94" s="24">
        <f t="shared" si="16"/>
        <v>5005.4622662738511</v>
      </c>
    </row>
    <row r="95" spans="1:17">
      <c r="A95" s="17">
        <f t="shared" si="17"/>
        <v>31</v>
      </c>
      <c r="B95" s="17">
        <f t="shared" si="1"/>
        <v>2030</v>
      </c>
      <c r="C95" s="24">
        <f t="shared" si="2"/>
        <v>38000</v>
      </c>
      <c r="D95" s="24">
        <f t="shared" si="3"/>
        <v>7288.45613530849</v>
      </c>
      <c r="E95" s="25">
        <f t="shared" si="4"/>
        <v>0.13661713956468416</v>
      </c>
      <c r="F95" s="24">
        <f t="shared" si="5"/>
        <v>48999.352231072691</v>
      </c>
      <c r="G95" s="24">
        <f t="shared" si="6"/>
        <v>9398.1481419658812</v>
      </c>
      <c r="H95" s="25">
        <f t="shared" si="7"/>
        <v>2.2857723754619661</v>
      </c>
      <c r="I95" s="24">
        <f t="shared" si="8"/>
        <v>21436.671803844718</v>
      </c>
      <c r="J95" s="24">
        <f t="shared" si="9"/>
        <v>4111.5853191928036</v>
      </c>
      <c r="K95" s="17">
        <f t="shared" si="10"/>
        <v>14</v>
      </c>
      <c r="L95" s="24">
        <f t="shared" si="11"/>
        <v>6074.5309693878726</v>
      </c>
      <c r="M95" s="24">
        <f t="shared" si="12"/>
        <v>6244.4003335204188</v>
      </c>
      <c r="N95" s="24">
        <f t="shared" si="13"/>
        <v>6389.8926572866194</v>
      </c>
      <c r="O95" s="24">
        <f t="shared" si="14"/>
        <v>3481.2026763559411</v>
      </c>
      <c r="P95" s="24">
        <f t="shared" si="15"/>
        <v>4540.6255618196346</v>
      </c>
      <c r="Q95" s="24">
        <f t="shared" si="16"/>
        <v>4880.2275730279116</v>
      </c>
    </row>
    <row r="96" spans="1:17">
      <c r="A96" s="17">
        <f t="shared" si="17"/>
        <v>32</v>
      </c>
      <c r="B96" s="17">
        <f t="shared" si="1"/>
        <v>2031</v>
      </c>
      <c r="C96" s="24">
        <f t="shared" si="2"/>
        <v>38000</v>
      </c>
      <c r="D96" s="24">
        <f t="shared" si="3"/>
        <v>7288.45613530849</v>
      </c>
      <c r="E96" s="25">
        <f t="shared" si="4"/>
        <v>0.13029785018798706</v>
      </c>
      <c r="F96" s="24">
        <f t="shared" si="5"/>
        <v>49103.382505240894</v>
      </c>
      <c r="G96" s="24">
        <f t="shared" si="6"/>
        <v>9418.101302229541</v>
      </c>
      <c r="H96" s="25">
        <f t="shared" si="7"/>
        <v>2.3496368556323737</v>
      </c>
      <c r="I96" s="24">
        <f t="shared" si="8"/>
        <v>20898.285787241522</v>
      </c>
      <c r="J96" s="24">
        <f t="shared" si="9"/>
        <v>4008.3220858802811</v>
      </c>
      <c r="K96" s="17">
        <f t="shared" si="10"/>
        <v>15</v>
      </c>
      <c r="L96" s="24">
        <f t="shared" si="11"/>
        <v>5934.9234566023806</v>
      </c>
      <c r="M96" s="24">
        <f t="shared" si="12"/>
        <v>6093.7079767107552</v>
      </c>
      <c r="N96" s="24">
        <f t="shared" si="13"/>
        <v>6229.4093096028828</v>
      </c>
      <c r="O96" s="24">
        <f t="shared" si="14"/>
        <v>3393.7716208701954</v>
      </c>
      <c r="P96" s="24">
        <f t="shared" si="15"/>
        <v>4426.5869026712371</v>
      </c>
      <c r="Q96" s="24">
        <f t="shared" si="16"/>
        <v>4757.6597459322738</v>
      </c>
    </row>
    <row r="97" spans="1:17">
      <c r="A97" s="17">
        <f t="shared" si="17"/>
        <v>33</v>
      </c>
      <c r="B97" s="17">
        <f t="shared" ref="B97:B128" si="18">Anno_inizio+A97-1</f>
        <v>2032</v>
      </c>
      <c r="C97" s="24">
        <f t="shared" ref="C97:C124" si="19">IF(A97&gt;Anni,0,Spesa_netta*IF(A97=Anni,Mesi_ultimo/12,1))</f>
        <v>38000</v>
      </c>
      <c r="D97" s="24">
        <f t="shared" ref="D97:D124" si="20">IF(A97&gt;Anni,0,MAX(0,IF(A97&lt;Anno_pens,Spesa_netta,IF(A97=Anno_pens,Spesa_netta-Pensione*(12-Mese_pens+1)/12,Spesa_netta-Pensione))*IF(A97=Anni,Mesi_ultimo/12,1)))</f>
        <v>7288.45613530849</v>
      </c>
      <c r="E97" s="25">
        <f t="shared" ref="E97:E124" si="21">(1-Latente0)/((1+Rend_c)*(1+Infl_c)*(1-Bollo))^(A97-1)</f>
        <v>0.12427086248261517</v>
      </c>
      <c r="F97" s="24">
        <f t="shared" ref="F97:F128" si="22">C97/(1-Aliq*(1-E97))</f>
        <v>49203.013201750662</v>
      </c>
      <c r="G97" s="24">
        <f t="shared" ref="G97:G124" si="23">D97/(1-Aliq*(1-E97))</f>
        <v>9437.2106169990584</v>
      </c>
      <c r="H97" s="25">
        <f t="shared" ref="H97:H124" si="24">((1+Rend_c)*(1-Bollo))^(A97-1)</f>
        <v>2.4152857093787423</v>
      </c>
      <c r="I97" s="24">
        <f t="shared" ref="I97:I128" si="25">F97/H97</f>
        <v>20371.508435085561</v>
      </c>
      <c r="J97" s="24">
        <f t="shared" ref="J97:J124" si="26">G97/H97</f>
        <v>3907.2854115575792</v>
      </c>
      <c r="K97" s="17">
        <f t="shared" ref="K97:K124" si="27">IF(AND(A97&gt;=Anno_pens,A97&lt;=Anni),A97-Anno_pens,"")</f>
        <v>16</v>
      </c>
      <c r="L97" s="24">
        <f t="shared" ref="L97:L128" si="28">IF(K97="","",D97/(1-Aliq*(1-(1-$B$41)/((1+Rend_c)*(1+Infl_c)*(1-Bollo))^K97))/((1+Rend_c)*(1-Bollo))^K97)</f>
        <v>5797.4701891010682</v>
      </c>
      <c r="M97" s="24">
        <f t="shared" ref="M97:M124" si="29">IF(K97="","",D97/(1-Aliq*(1-(1-$B$42)/((1+Rend_c)*(1+Infl_c)*(1-Bollo))^K97))/((1+Rend_c)*(1-Bollo))^K97)</f>
        <v>5945.8461065471365</v>
      </c>
      <c r="N97" s="24">
        <f t="shared" ref="N97:N124" si="30">IF(K97="","",D97/(1-Aliq*(1-(1-$B$43)/((1+Rend_c)*(1+Infl_c)*(1-Bollo))^K97))/((1+Rend_c)*(1-Bollo))^K97)</f>
        <v>6072.3862994375386</v>
      </c>
      <c r="O97" s="24">
        <f t="shared" ref="O97:O124" si="31">(IF(A97&gt;Anni,0,MAX(0,IF(A97&lt;Anno_pens,Spesa_netta,IF(A97=Anno_pens,Spesa_netta-$B$13*(12-Mese_pens+1)/12,Spesa_netta-$B$13))*IF(A97=Anni,Mesi_ultimo/12,1))))/(1-Aliq*(1-E97))/H97</f>
        <v>3308.2257513924469</v>
      </c>
      <c r="P97" s="24">
        <f t="shared" ref="P97:P124" si="32">(IF(A97&gt;Anni,0,MAX(0,IF(A97&lt;Anno_pens,Spesa_netta,IF(A97=Anno_pens,Spesa_netta-$B$14*(12-Mese_pens+1)/12,Spesa_netta-$B$14))*IF(A97=Anni,Mesi_ultimo/12,1))))/(1-Aliq*(1-E97))/H97</f>
        <v>4315.0071419474652</v>
      </c>
      <c r="Q97" s="24">
        <f t="shared" ref="Q97:Q124" si="33">(IF(A97&gt;Anni,0,MAX(0,IF(A97&lt;Anno_pens,Spesa_netta,IF(A97=Anno_pens,Spesa_netta-$B$15*(12-Mese_pens+1)/12,Spesa_netta-$B$15))*IF(A97=Anni,Mesi_ultimo/12,1))))/(1-Aliq*(1-E97))/H97</f>
        <v>4637.734722945399</v>
      </c>
    </row>
    <row r="98" spans="1:17">
      <c r="A98" s="17">
        <f t="shared" ref="A98:A124" si="34">A97+1</f>
        <v>34</v>
      </c>
      <c r="B98" s="17">
        <f t="shared" si="18"/>
        <v>2033</v>
      </c>
      <c r="C98" s="24">
        <f t="shared" si="19"/>
        <v>38000</v>
      </c>
      <c r="D98" s="24">
        <f t="shared" si="20"/>
        <v>7288.45613530849</v>
      </c>
      <c r="E98" s="25">
        <f t="shared" si="21"/>
        <v>0.11852265589871459</v>
      </c>
      <c r="F98" s="24">
        <f t="shared" si="22"/>
        <v>49298.41284627789</v>
      </c>
      <c r="G98" s="24">
        <f t="shared" si="23"/>
        <v>9455.5084097480267</v>
      </c>
      <c r="H98" s="25">
        <f t="shared" si="24"/>
        <v>2.4827687920987844</v>
      </c>
      <c r="I98" s="24">
        <f t="shared" si="25"/>
        <v>19856.223826868692</v>
      </c>
      <c r="J98" s="24">
        <f t="shared" si="26"/>
        <v>3808.4530624999943</v>
      </c>
      <c r="K98" s="17">
        <f t="shared" si="27"/>
        <v>17</v>
      </c>
      <c r="L98" s="24">
        <f t="shared" si="28"/>
        <v>5662.2101655063825</v>
      </c>
      <c r="M98" s="24">
        <f t="shared" si="29"/>
        <v>5800.8175106670024</v>
      </c>
      <c r="N98" s="24">
        <f t="shared" si="30"/>
        <v>5918.7890729377041</v>
      </c>
      <c r="O98" s="24">
        <f t="shared" si="31"/>
        <v>3224.5462430422822</v>
      </c>
      <c r="P98" s="24">
        <f t="shared" si="32"/>
        <v>4205.8617258543718</v>
      </c>
      <c r="Q98" s="24">
        <f t="shared" si="33"/>
        <v>4520.4261138484499</v>
      </c>
    </row>
    <row r="99" spans="1:17">
      <c r="A99" s="17">
        <f t="shared" si="34"/>
        <v>35</v>
      </c>
      <c r="B99" s="17">
        <f t="shared" si="18"/>
        <v>2034</v>
      </c>
      <c r="C99" s="24">
        <f t="shared" si="19"/>
        <v>38000</v>
      </c>
      <c r="D99" s="24">
        <f t="shared" si="20"/>
        <v>7288.45613530849</v>
      </c>
      <c r="E99" s="25">
        <f t="shared" si="21"/>
        <v>0.11304033528575767</v>
      </c>
      <c r="F99" s="24">
        <f t="shared" si="22"/>
        <v>49389.745042937502</v>
      </c>
      <c r="G99" s="24">
        <f t="shared" si="23"/>
        <v>9473.0260599873654</v>
      </c>
      <c r="H99" s="25">
        <f t="shared" si="24"/>
        <v>2.5521373521500248</v>
      </c>
      <c r="I99" s="24">
        <f t="shared" si="25"/>
        <v>19352.306803287669</v>
      </c>
      <c r="J99" s="24">
        <f t="shared" si="26"/>
        <v>3711.8010329682693</v>
      </c>
      <c r="K99" s="17">
        <f t="shared" si="27"/>
        <v>18</v>
      </c>
      <c r="L99" s="24">
        <f t="shared" si="28"/>
        <v>5529.1763685200422</v>
      </c>
      <c r="M99" s="24">
        <f t="shared" si="29"/>
        <v>5658.6203569870277</v>
      </c>
      <c r="N99" s="24">
        <f t="shared" si="30"/>
        <v>5768.5803223291032</v>
      </c>
      <c r="O99" s="24">
        <f t="shared" si="31"/>
        <v>3142.7127706075844</v>
      </c>
      <c r="P99" s="24">
        <f t="shared" si="32"/>
        <v>4099.1241436753271</v>
      </c>
      <c r="Q99" s="24">
        <f t="shared" si="33"/>
        <v>4405.7054251379377</v>
      </c>
    </row>
    <row r="100" spans="1:17">
      <c r="A100" s="17">
        <f t="shared" si="34"/>
        <v>36</v>
      </c>
      <c r="B100" s="17">
        <f t="shared" si="18"/>
        <v>2035</v>
      </c>
      <c r="C100" s="24">
        <f t="shared" si="19"/>
        <v>38000</v>
      </c>
      <c r="D100" s="24">
        <f t="shared" si="20"/>
        <v>7288.45613530849</v>
      </c>
      <c r="E100" s="25">
        <f t="shared" si="21"/>
        <v>0.10781160196440634</v>
      </c>
      <c r="F100" s="24">
        <f t="shared" si="22"/>
        <v>49477.168477698244</v>
      </c>
      <c r="G100" s="24">
        <f t="shared" si="23"/>
        <v>9489.7940039203058</v>
      </c>
      <c r="H100" s="25">
        <f t="shared" si="24"/>
        <v>2.6234440697690968</v>
      </c>
      <c r="I100" s="24">
        <f t="shared" si="25"/>
        <v>18859.623899682752</v>
      </c>
      <c r="J100" s="24">
        <f t="shared" si="26"/>
        <v>3617.3037242435103</v>
      </c>
      <c r="K100" s="17">
        <f t="shared" si="27"/>
        <v>19</v>
      </c>
      <c r="L100" s="24">
        <f t="shared" si="28"/>
        <v>5398.3960897275629</v>
      </c>
      <c r="M100" s="24">
        <f t="shared" si="29"/>
        <v>5519.2485261048751</v>
      </c>
      <c r="N100" s="24">
        <f t="shared" si="30"/>
        <v>5621.7202641576168</v>
      </c>
      <c r="O100" s="24">
        <f t="shared" si="31"/>
        <v>3062.7036601300597</v>
      </c>
      <c r="P100" s="24">
        <f t="shared" si="32"/>
        <v>3994.766125488065</v>
      </c>
      <c r="Q100" s="24">
        <f t="shared" si="33"/>
        <v>4293.5422725304079</v>
      </c>
    </row>
    <row r="101" spans="1:17">
      <c r="A101" s="17">
        <f t="shared" si="34"/>
        <v>37</v>
      </c>
      <c r="B101" s="17">
        <f t="shared" si="18"/>
        <v>2036</v>
      </c>
      <c r="C101" s="24">
        <f t="shared" si="19"/>
        <v>38000</v>
      </c>
      <c r="D101" s="24">
        <f t="shared" si="20"/>
        <v>7288.45613530849</v>
      </c>
      <c r="E101" s="25">
        <f t="shared" si="21"/>
        <v>0.10282472613645943</v>
      </c>
      <c r="F101" s="24">
        <f t="shared" si="22"/>
        <v>49560.836937630469</v>
      </c>
      <c r="G101" s="24">
        <f t="shared" si="23"/>
        <v>9505.8417381341169</v>
      </c>
      <c r="H101" s="25">
        <f t="shared" si="24"/>
        <v>2.6967430970784454</v>
      </c>
      <c r="I101" s="24">
        <f t="shared" si="25"/>
        <v>18378.034226294265</v>
      </c>
      <c r="J101" s="24">
        <f t="shared" si="26"/>
        <v>3524.9341134616807</v>
      </c>
      <c r="K101" s="17">
        <f t="shared" si="27"/>
        <v>20</v>
      </c>
      <c r="L101" s="24">
        <f t="shared" si="28"/>
        <v>5269.8912506955339</v>
      </c>
      <c r="M101" s="24">
        <f t="shared" si="29"/>
        <v>5382.6919311334523</v>
      </c>
      <c r="N101" s="24">
        <f t="shared" si="30"/>
        <v>5478.1669016781752</v>
      </c>
      <c r="O101" s="24">
        <f t="shared" si="31"/>
        <v>2984.4960318542608</v>
      </c>
      <c r="P101" s="24">
        <f t="shared" si="32"/>
        <v>3892.7578286169091</v>
      </c>
      <c r="Q101" s="24">
        <f t="shared" si="33"/>
        <v>4183.9045813597813</v>
      </c>
    </row>
    <row r="102" spans="1:17">
      <c r="A102" s="17">
        <f t="shared" si="34"/>
        <v>38</v>
      </c>
      <c r="B102" s="17">
        <f t="shared" si="18"/>
        <v>2037</v>
      </c>
      <c r="C102" s="24">
        <f t="shared" si="19"/>
        <v>38000</v>
      </c>
      <c r="D102" s="24">
        <f t="shared" si="20"/>
        <v>7288.45613530849</v>
      </c>
      <c r="E102" s="25">
        <f t="shared" si="21"/>
        <v>9.8068520570991052E-2</v>
      </c>
      <c r="F102" s="24">
        <f t="shared" si="22"/>
        <v>49640.899344307407</v>
      </c>
      <c r="G102" s="24">
        <f t="shared" si="23"/>
        <v>9521.1978260065389</v>
      </c>
      <c r="H102" s="25">
        <f t="shared" si="24"/>
        <v>2.7720900992108168</v>
      </c>
      <c r="I102" s="24">
        <f t="shared" si="25"/>
        <v>17907.390296743826</v>
      </c>
      <c r="J102" s="24">
        <f t="shared" si="26"/>
        <v>3434.6639125175325</v>
      </c>
      <c r="K102" s="17">
        <f t="shared" si="27"/>
        <v>21</v>
      </c>
      <c r="L102" s="24">
        <f t="shared" si="28"/>
        <v>5143.6787189111283</v>
      </c>
      <c r="M102" s="24">
        <f t="shared" si="29"/>
        <v>5248.9368245987407</v>
      </c>
      <c r="N102" s="24">
        <f t="shared" si="30"/>
        <v>5337.8762718103644</v>
      </c>
      <c r="O102" s="24">
        <f t="shared" si="31"/>
        <v>2908.0659347685823</v>
      </c>
      <c r="P102" s="24">
        <f t="shared" si="32"/>
        <v>3793.0680131181853</v>
      </c>
      <c r="Q102" s="24">
        <f t="shared" si="33"/>
        <v>4076.7587751876531</v>
      </c>
    </row>
    <row r="103" spans="1:17">
      <c r="A103" s="17">
        <f t="shared" si="34"/>
        <v>39</v>
      </c>
      <c r="B103" s="17">
        <f t="shared" si="18"/>
        <v>2038</v>
      </c>
      <c r="C103" s="24">
        <f t="shared" si="19"/>
        <v>38000</v>
      </c>
      <c r="D103" s="24">
        <f t="shared" si="20"/>
        <v>7288.45613530849</v>
      </c>
      <c r="E103" s="25">
        <f t="shared" si="21"/>
        <v>9.3532315507648692E-2</v>
      </c>
      <c r="F103" s="24">
        <f t="shared" si="22"/>
        <v>49717.49979978842</v>
      </c>
      <c r="G103" s="24">
        <f t="shared" si="23"/>
        <v>9535.8899065254354</v>
      </c>
      <c r="H103" s="25">
        <f t="shared" si="24"/>
        <v>2.8495422965827673</v>
      </c>
      <c r="I103" s="24">
        <f t="shared" si="25"/>
        <v>17447.538806288547</v>
      </c>
      <c r="J103" s="24">
        <f t="shared" si="26"/>
        <v>3346.4637173349142</v>
      </c>
      <c r="K103" s="17">
        <f t="shared" si="27"/>
        <v>22</v>
      </c>
      <c r="L103" s="24">
        <f t="shared" si="28"/>
        <v>5019.7706173115284</v>
      </c>
      <c r="M103" s="24">
        <f t="shared" si="29"/>
        <v>5117.9660921596915</v>
      </c>
      <c r="N103" s="24">
        <f t="shared" si="30"/>
        <v>5200.8026771222439</v>
      </c>
      <c r="O103" s="24">
        <f t="shared" si="31"/>
        <v>2833.3884729896481</v>
      </c>
      <c r="P103" s="24">
        <f t="shared" si="32"/>
        <v>3695.66420662675</v>
      </c>
      <c r="Q103" s="24">
        <f t="shared" si="33"/>
        <v>3972.0699529790058</v>
      </c>
    </row>
    <row r="104" spans="1:17">
      <c r="A104" s="17">
        <f t="shared" si="34"/>
        <v>40</v>
      </c>
      <c r="B104" s="17">
        <f t="shared" si="18"/>
        <v>2039</v>
      </c>
      <c r="C104" s="24">
        <f t="shared" si="19"/>
        <v>38000</v>
      </c>
      <c r="D104" s="24">
        <f t="shared" si="20"/>
        <v>7288.45613530849</v>
      </c>
      <c r="E104" s="25">
        <f t="shared" si="21"/>
        <v>8.9205934720811036E-2</v>
      </c>
      <c r="F104" s="24">
        <f t="shared" si="22"/>
        <v>49790.777643719128</v>
      </c>
      <c r="G104" s="24">
        <f t="shared" si="23"/>
        <v>9549.9447052406704</v>
      </c>
      <c r="H104" s="25">
        <f t="shared" si="24"/>
        <v>2.9291585083492904</v>
      </c>
      <c r="I104" s="24">
        <f t="shared" si="25"/>
        <v>16998.321361508846</v>
      </c>
      <c r="J104" s="24">
        <f t="shared" si="26"/>
        <v>3260.3031478219609</v>
      </c>
      <c r="K104" s="17">
        <f t="shared" si="27"/>
        <v>23</v>
      </c>
      <c r="L104" s="24">
        <f t="shared" si="28"/>
        <v>4898.1746263363893</v>
      </c>
      <c r="M104" s="24">
        <f t="shared" si="29"/>
        <v>4989.7595330219638</v>
      </c>
      <c r="N104" s="24">
        <f t="shared" si="30"/>
        <v>5066.8989033373582</v>
      </c>
      <c r="O104" s="24">
        <f t="shared" si="31"/>
        <v>2760.4379242597652</v>
      </c>
      <c r="P104" s="24">
        <f t="shared" si="32"/>
        <v>3600.5128589153869</v>
      </c>
      <c r="Q104" s="24">
        <f t="shared" si="33"/>
        <v>3869.8020552213957</v>
      </c>
    </row>
    <row r="105" spans="1:17">
      <c r="A105" s="17">
        <f t="shared" si="34"/>
        <v>41</v>
      </c>
      <c r="B105" s="17">
        <f t="shared" si="18"/>
        <v>2040</v>
      </c>
      <c r="C105" s="24">
        <f t="shared" si="19"/>
        <v>38000</v>
      </c>
      <c r="D105" s="24">
        <f t="shared" si="20"/>
        <v>7288.45613530849</v>
      </c>
      <c r="E105" s="25">
        <f t="shared" si="21"/>
        <v>8.5079672690909158E-2</v>
      </c>
      <c r="F105" s="24">
        <f t="shared" si="22"/>
        <v>49860.867520185719</v>
      </c>
      <c r="G105" s="24">
        <f t="shared" si="23"/>
        <v>9563.3880470868789</v>
      </c>
      <c r="H105" s="25">
        <f t="shared" si="24"/>
        <v>3.0109991970725694</v>
      </c>
      <c r="I105" s="24">
        <f t="shared" si="25"/>
        <v>16559.575163175974</v>
      </c>
      <c r="J105" s="24">
        <f t="shared" si="26"/>
        <v>3176.1509788461053</v>
      </c>
      <c r="K105" s="17">
        <f t="shared" si="27"/>
        <v>24</v>
      </c>
      <c r="L105" s="24">
        <f t="shared" si="28"/>
        <v>4778.8942776087979</v>
      </c>
      <c r="M105" s="24">
        <f t="shared" si="29"/>
        <v>4864.2941270173642</v>
      </c>
      <c r="N105" s="24">
        <f t="shared" si="30"/>
        <v>4936.1164228854805</v>
      </c>
      <c r="O105" s="24">
        <f t="shared" si="31"/>
        <v>2689.1878508410246</v>
      </c>
      <c r="P105" s="24">
        <f t="shared" si="32"/>
        <v>3507.5794865369317</v>
      </c>
      <c r="Q105" s="24">
        <f t="shared" si="33"/>
        <v>3769.9180193851403</v>
      </c>
    </row>
    <row r="106" spans="1:17">
      <c r="A106" s="17">
        <f t="shared" si="34"/>
        <v>42</v>
      </c>
      <c r="B106" s="17">
        <f t="shared" si="18"/>
        <v>2041</v>
      </c>
      <c r="C106" s="24">
        <f t="shared" si="19"/>
        <v>6333.333333333333</v>
      </c>
      <c r="D106" s="24">
        <f t="shared" si="20"/>
        <v>1214.7426892180815</v>
      </c>
      <c r="E106" s="25">
        <f t="shared" si="21"/>
        <v>8.1144272831699171E-2</v>
      </c>
      <c r="F106" s="24">
        <f t="shared" si="22"/>
        <v>8321.3165755102382</v>
      </c>
      <c r="G106" s="24">
        <f t="shared" si="23"/>
        <v>1596.0408118058374</v>
      </c>
      <c r="H106" s="25">
        <f t="shared" si="24"/>
        <v>3.0951265146387774</v>
      </c>
      <c r="I106" s="24">
        <f t="shared" si="25"/>
        <v>2688.5222740180602</v>
      </c>
      <c r="J106" s="24">
        <f t="shared" si="26"/>
        <v>515.66254376264374</v>
      </c>
      <c r="K106" s="17">
        <f t="shared" si="27"/>
        <v>25</v>
      </c>
      <c r="L106" s="24">
        <f t="shared" si="28"/>
        <v>776.98820641819918</v>
      </c>
      <c r="M106" s="24">
        <f t="shared" si="29"/>
        <v>790.25738140142255</v>
      </c>
      <c r="N106" s="24">
        <f t="shared" si="30"/>
        <v>801.40093083938359</v>
      </c>
      <c r="O106" s="24">
        <f t="shared" si="31"/>
        <v>436.60186718330129</v>
      </c>
      <c r="P106" s="24">
        <f t="shared" si="32"/>
        <v>569.47146798872006</v>
      </c>
      <c r="Q106" s="24">
        <f t="shared" si="33"/>
        <v>612.06332085605879</v>
      </c>
    </row>
    <row r="107" spans="1:17">
      <c r="A107" s="17">
        <f t="shared" si="34"/>
        <v>43</v>
      </c>
      <c r="B107" s="17">
        <f t="shared" si="18"/>
        <v>2042</v>
      </c>
      <c r="C107" s="24">
        <f t="shared" si="19"/>
        <v>0</v>
      </c>
      <c r="D107" s="24">
        <f t="shared" si="20"/>
        <v>0</v>
      </c>
      <c r="E107" s="25">
        <f t="shared" si="21"/>
        <v>7.7390906724642092E-2</v>
      </c>
      <c r="F107" s="24">
        <f t="shared" si="22"/>
        <v>0</v>
      </c>
      <c r="G107" s="24">
        <f t="shared" si="23"/>
        <v>0</v>
      </c>
      <c r="H107" s="25">
        <f t="shared" si="24"/>
        <v>3.1816043494577846</v>
      </c>
      <c r="I107" s="24">
        <f t="shared" si="25"/>
        <v>0</v>
      </c>
      <c r="J107" s="24">
        <f t="shared" si="26"/>
        <v>0</v>
      </c>
      <c r="K107" s="17" t="str">
        <f t="shared" si="27"/>
        <v/>
      </c>
      <c r="L107" s="24" t="str">
        <f t="shared" si="28"/>
        <v/>
      </c>
      <c r="M107" s="24" t="str">
        <f t="shared" si="29"/>
        <v/>
      </c>
      <c r="N107" s="24" t="str">
        <f t="shared" si="30"/>
        <v/>
      </c>
      <c r="O107" s="24">
        <f t="shared" si="31"/>
        <v>0</v>
      </c>
      <c r="P107" s="24">
        <f t="shared" si="32"/>
        <v>0</v>
      </c>
      <c r="Q107" s="24">
        <f t="shared" si="33"/>
        <v>0</v>
      </c>
    </row>
    <row r="108" spans="1:17">
      <c r="A108" s="17">
        <f t="shared" si="34"/>
        <v>44</v>
      </c>
      <c r="B108" s="17">
        <f t="shared" si="18"/>
        <v>2043</v>
      </c>
      <c r="C108" s="24">
        <f t="shared" si="19"/>
        <v>0</v>
      </c>
      <c r="D108" s="24">
        <f t="shared" si="20"/>
        <v>0</v>
      </c>
      <c r="E108" s="25">
        <f t="shared" si="21"/>
        <v>7.3811154313807609E-2</v>
      </c>
      <c r="F108" s="24">
        <f t="shared" si="22"/>
        <v>0</v>
      </c>
      <c r="G108" s="24">
        <f t="shared" si="23"/>
        <v>0</v>
      </c>
      <c r="H108" s="25">
        <f t="shared" si="24"/>
        <v>3.2704983749816359</v>
      </c>
      <c r="I108" s="24">
        <f t="shared" si="25"/>
        <v>0</v>
      </c>
      <c r="J108" s="24">
        <f t="shared" si="26"/>
        <v>0</v>
      </c>
      <c r="K108" s="17" t="str">
        <f t="shared" si="27"/>
        <v/>
      </c>
      <c r="L108" s="24" t="str">
        <f t="shared" si="28"/>
        <v/>
      </c>
      <c r="M108" s="24" t="str">
        <f t="shared" si="29"/>
        <v/>
      </c>
      <c r="N108" s="24" t="str">
        <f t="shared" si="30"/>
        <v/>
      </c>
      <c r="O108" s="24">
        <f t="shared" si="31"/>
        <v>0</v>
      </c>
      <c r="P108" s="24">
        <f t="shared" si="32"/>
        <v>0</v>
      </c>
      <c r="Q108" s="24">
        <f t="shared" si="33"/>
        <v>0</v>
      </c>
    </row>
    <row r="109" spans="1:17">
      <c r="A109" s="17">
        <f t="shared" si="34"/>
        <v>45</v>
      </c>
      <c r="B109" s="17">
        <f t="shared" si="18"/>
        <v>2044</v>
      </c>
      <c r="C109" s="24">
        <f t="shared" si="19"/>
        <v>0</v>
      </c>
      <c r="D109" s="24">
        <f t="shared" si="20"/>
        <v>0</v>
      </c>
      <c r="E109" s="25">
        <f t="shared" si="21"/>
        <v>7.0396985016871361E-2</v>
      </c>
      <c r="F109" s="24">
        <f t="shared" si="22"/>
        <v>0</v>
      </c>
      <c r="G109" s="24">
        <f t="shared" si="23"/>
        <v>0</v>
      </c>
      <c r="H109" s="25">
        <f t="shared" si="24"/>
        <v>3.3618760995786223</v>
      </c>
      <c r="I109" s="24">
        <f t="shared" si="25"/>
        <v>0</v>
      </c>
      <c r="J109" s="24">
        <f t="shared" si="26"/>
        <v>0</v>
      </c>
      <c r="K109" s="17" t="str">
        <f t="shared" si="27"/>
        <v/>
      </c>
      <c r="L109" s="24" t="str">
        <f t="shared" si="28"/>
        <v/>
      </c>
      <c r="M109" s="24" t="str">
        <f t="shared" si="29"/>
        <v/>
      </c>
      <c r="N109" s="24" t="str">
        <f t="shared" si="30"/>
        <v/>
      </c>
      <c r="O109" s="24">
        <f t="shared" si="31"/>
        <v>0</v>
      </c>
      <c r="P109" s="24">
        <f t="shared" si="32"/>
        <v>0</v>
      </c>
      <c r="Q109" s="24">
        <f t="shared" si="33"/>
        <v>0</v>
      </c>
    </row>
    <row r="110" spans="1:17">
      <c r="A110" s="17">
        <f t="shared" si="34"/>
        <v>46</v>
      </c>
      <c r="B110" s="17">
        <f t="shared" si="18"/>
        <v>2045</v>
      </c>
      <c r="C110" s="24">
        <f t="shared" si="19"/>
        <v>0</v>
      </c>
      <c r="D110" s="24">
        <f t="shared" si="20"/>
        <v>0</v>
      </c>
      <c r="E110" s="25">
        <f t="shared" si="21"/>
        <v>6.7140739709832156E-2</v>
      </c>
      <c r="F110" s="24">
        <f t="shared" si="22"/>
        <v>0</v>
      </c>
      <c r="G110" s="24">
        <f t="shared" si="23"/>
        <v>0</v>
      </c>
      <c r="H110" s="25">
        <f t="shared" si="24"/>
        <v>3.4558069178008495</v>
      </c>
      <c r="I110" s="24">
        <f t="shared" si="25"/>
        <v>0</v>
      </c>
      <c r="J110" s="24">
        <f t="shared" si="26"/>
        <v>0</v>
      </c>
      <c r="K110" s="17" t="str">
        <f t="shared" si="27"/>
        <v/>
      </c>
      <c r="L110" s="24" t="str">
        <f t="shared" si="28"/>
        <v/>
      </c>
      <c r="M110" s="24" t="str">
        <f t="shared" si="29"/>
        <v/>
      </c>
      <c r="N110" s="24" t="str">
        <f t="shared" si="30"/>
        <v/>
      </c>
      <c r="O110" s="24">
        <f t="shared" si="31"/>
        <v>0</v>
      </c>
      <c r="P110" s="24">
        <f t="shared" si="32"/>
        <v>0</v>
      </c>
      <c r="Q110" s="24">
        <f t="shared" si="33"/>
        <v>0</v>
      </c>
    </row>
    <row r="111" spans="1:17">
      <c r="A111" s="17">
        <f t="shared" si="34"/>
        <v>47</v>
      </c>
      <c r="B111" s="17">
        <f t="shared" si="18"/>
        <v>2046</v>
      </c>
      <c r="C111" s="24">
        <f t="shared" si="19"/>
        <v>0</v>
      </c>
      <c r="D111" s="24">
        <f t="shared" si="20"/>
        <v>0</v>
      </c>
      <c r="E111" s="25">
        <f t="shared" si="21"/>
        <v>6.4035113545034245E-2</v>
      </c>
      <c r="F111" s="24">
        <f t="shared" si="22"/>
        <v>0</v>
      </c>
      <c r="G111" s="24">
        <f t="shared" si="23"/>
        <v>0</v>
      </c>
      <c r="H111" s="25">
        <f t="shared" si="24"/>
        <v>3.5523621630842048</v>
      </c>
      <c r="I111" s="24">
        <f t="shared" si="25"/>
        <v>0</v>
      </c>
      <c r="J111" s="24">
        <f t="shared" si="26"/>
        <v>0</v>
      </c>
      <c r="K111" s="17" t="str">
        <f t="shared" si="27"/>
        <v/>
      </c>
      <c r="L111" s="24" t="str">
        <f t="shared" si="28"/>
        <v/>
      </c>
      <c r="M111" s="24" t="str">
        <f t="shared" si="29"/>
        <v/>
      </c>
      <c r="N111" s="24" t="str">
        <f t="shared" si="30"/>
        <v/>
      </c>
      <c r="O111" s="24">
        <f t="shared" si="31"/>
        <v>0</v>
      </c>
      <c r="P111" s="24">
        <f t="shared" si="32"/>
        <v>0</v>
      </c>
      <c r="Q111" s="24">
        <f t="shared" si="33"/>
        <v>0</v>
      </c>
    </row>
    <row r="112" spans="1:17">
      <c r="A112" s="17">
        <f t="shared" si="34"/>
        <v>48</v>
      </c>
      <c r="B112" s="17">
        <f t="shared" si="18"/>
        <v>2047</v>
      </c>
      <c r="C112" s="24">
        <f t="shared" si="19"/>
        <v>0</v>
      </c>
      <c r="D112" s="24">
        <f t="shared" si="20"/>
        <v>0</v>
      </c>
      <c r="E112" s="25">
        <f t="shared" si="21"/>
        <v>6.1073139563950156E-2</v>
      </c>
      <c r="F112" s="24">
        <f t="shared" si="22"/>
        <v>0</v>
      </c>
      <c r="G112" s="24">
        <f t="shared" si="23"/>
        <v>0</v>
      </c>
      <c r="H112" s="25">
        <f t="shared" si="24"/>
        <v>3.6516151619207782</v>
      </c>
      <c r="I112" s="24">
        <f t="shared" si="25"/>
        <v>0</v>
      </c>
      <c r="J112" s="24">
        <f t="shared" si="26"/>
        <v>0</v>
      </c>
      <c r="K112" s="17" t="str">
        <f t="shared" si="27"/>
        <v/>
      </c>
      <c r="L112" s="24" t="str">
        <f t="shared" si="28"/>
        <v/>
      </c>
      <c r="M112" s="24" t="str">
        <f t="shared" si="29"/>
        <v/>
      </c>
      <c r="N112" s="24" t="str">
        <f t="shared" si="30"/>
        <v/>
      </c>
      <c r="O112" s="24">
        <f t="shared" si="31"/>
        <v>0</v>
      </c>
      <c r="P112" s="24">
        <f t="shared" si="32"/>
        <v>0</v>
      </c>
      <c r="Q112" s="24">
        <f t="shared" si="33"/>
        <v>0</v>
      </c>
    </row>
    <row r="113" spans="1:17">
      <c r="A113" s="17">
        <f t="shared" si="34"/>
        <v>49</v>
      </c>
      <c r="B113" s="17">
        <f t="shared" si="18"/>
        <v>2048</v>
      </c>
      <c r="C113" s="24">
        <f t="shared" si="19"/>
        <v>0</v>
      </c>
      <c r="D113" s="24">
        <f t="shared" si="20"/>
        <v>0</v>
      </c>
      <c r="E113" s="25">
        <f t="shared" si="21"/>
        <v>5.8248173067961685E-2</v>
      </c>
      <c r="F113" s="24">
        <f t="shared" si="22"/>
        <v>0</v>
      </c>
      <c r="G113" s="24">
        <f t="shared" si="23"/>
        <v>0</v>
      </c>
      <c r="H113" s="25">
        <f t="shared" si="24"/>
        <v>3.7536412895448446</v>
      </c>
      <c r="I113" s="24">
        <f t="shared" si="25"/>
        <v>0</v>
      </c>
      <c r="J113" s="24">
        <f t="shared" si="26"/>
        <v>0</v>
      </c>
      <c r="K113" s="17" t="str">
        <f t="shared" si="27"/>
        <v/>
      </c>
      <c r="L113" s="24" t="str">
        <f t="shared" si="28"/>
        <v/>
      </c>
      <c r="M113" s="24" t="str">
        <f t="shared" si="29"/>
        <v/>
      </c>
      <c r="N113" s="24" t="str">
        <f t="shared" si="30"/>
        <v/>
      </c>
      <c r="O113" s="24">
        <f t="shared" si="31"/>
        <v>0</v>
      </c>
      <c r="P113" s="24">
        <f t="shared" si="32"/>
        <v>0</v>
      </c>
      <c r="Q113" s="24">
        <f t="shared" si="33"/>
        <v>0</v>
      </c>
    </row>
    <row r="114" spans="1:17">
      <c r="A114" s="17">
        <f t="shared" si="34"/>
        <v>50</v>
      </c>
      <c r="B114" s="17">
        <f t="shared" si="18"/>
        <v>2049</v>
      </c>
      <c r="C114" s="24">
        <f t="shared" si="19"/>
        <v>0</v>
      </c>
      <c r="D114" s="24">
        <f t="shared" si="20"/>
        <v>0</v>
      </c>
      <c r="E114" s="25">
        <f t="shared" si="21"/>
        <v>5.5553876712077954E-2</v>
      </c>
      <c r="F114" s="24">
        <f t="shared" si="22"/>
        <v>0</v>
      </c>
      <c r="G114" s="24">
        <f t="shared" si="23"/>
        <v>0</v>
      </c>
      <c r="H114" s="25">
        <f t="shared" si="24"/>
        <v>3.8585180271747279</v>
      </c>
      <c r="I114" s="24">
        <f t="shared" si="25"/>
        <v>0</v>
      </c>
      <c r="J114" s="24">
        <f t="shared" si="26"/>
        <v>0</v>
      </c>
      <c r="K114" s="17" t="str">
        <f t="shared" si="27"/>
        <v/>
      </c>
      <c r="L114" s="24" t="str">
        <f t="shared" si="28"/>
        <v/>
      </c>
      <c r="M114" s="24" t="str">
        <f t="shared" si="29"/>
        <v/>
      </c>
      <c r="N114" s="24" t="str">
        <f t="shared" si="30"/>
        <v/>
      </c>
      <c r="O114" s="24">
        <f t="shared" si="31"/>
        <v>0</v>
      </c>
      <c r="P114" s="24">
        <f t="shared" si="32"/>
        <v>0</v>
      </c>
      <c r="Q114" s="24">
        <f t="shared" si="33"/>
        <v>0</v>
      </c>
    </row>
    <row r="115" spans="1:17">
      <c r="A115" s="17">
        <f t="shared" si="34"/>
        <v>51</v>
      </c>
      <c r="B115" s="17">
        <f t="shared" si="18"/>
        <v>2050</v>
      </c>
      <c r="C115" s="24">
        <f t="shared" si="19"/>
        <v>0</v>
      </c>
      <c r="D115" s="24">
        <f t="shared" si="20"/>
        <v>0</v>
      </c>
      <c r="E115" s="25">
        <f t="shared" si="21"/>
        <v>5.2984206288150218E-2</v>
      </c>
      <c r="F115" s="24">
        <f t="shared" si="22"/>
        <v>0</v>
      </c>
      <c r="G115" s="24">
        <f t="shared" si="23"/>
        <v>0</v>
      </c>
      <c r="H115" s="25">
        <f t="shared" si="24"/>
        <v>3.96632502085399</v>
      </c>
      <c r="I115" s="24">
        <f t="shared" si="25"/>
        <v>0</v>
      </c>
      <c r="J115" s="24">
        <f t="shared" si="26"/>
        <v>0</v>
      </c>
      <c r="K115" s="17" t="str">
        <f t="shared" si="27"/>
        <v/>
      </c>
      <c r="L115" s="24" t="str">
        <f t="shared" si="28"/>
        <v/>
      </c>
      <c r="M115" s="24" t="str">
        <f t="shared" si="29"/>
        <v/>
      </c>
      <c r="N115" s="24" t="str">
        <f t="shared" si="30"/>
        <v/>
      </c>
      <c r="O115" s="24">
        <f t="shared" si="31"/>
        <v>0</v>
      </c>
      <c r="P115" s="24">
        <f t="shared" si="32"/>
        <v>0</v>
      </c>
      <c r="Q115" s="24">
        <f t="shared" si="33"/>
        <v>0</v>
      </c>
    </row>
    <row r="116" spans="1:17">
      <c r="A116" s="17">
        <f t="shared" si="34"/>
        <v>52</v>
      </c>
      <c r="B116" s="17">
        <f t="shared" si="18"/>
        <v>2051</v>
      </c>
      <c r="C116" s="24">
        <f t="shared" si="19"/>
        <v>0</v>
      </c>
      <c r="D116" s="24">
        <f t="shared" si="20"/>
        <v>0</v>
      </c>
      <c r="E116" s="25">
        <f t="shared" si="21"/>
        <v>5.0533397165690816E-2</v>
      </c>
      <c r="F116" s="24">
        <f t="shared" si="22"/>
        <v>0</v>
      </c>
      <c r="G116" s="24">
        <f t="shared" si="23"/>
        <v>0</v>
      </c>
      <c r="H116" s="25">
        <f t="shared" si="24"/>
        <v>4.0771441419366514</v>
      </c>
      <c r="I116" s="24">
        <f t="shared" si="25"/>
        <v>0</v>
      </c>
      <c r="J116" s="24">
        <f t="shared" si="26"/>
        <v>0</v>
      </c>
      <c r="K116" s="17" t="str">
        <f t="shared" si="27"/>
        <v/>
      </c>
      <c r="L116" s="24" t="str">
        <f t="shared" si="28"/>
        <v/>
      </c>
      <c r="M116" s="24" t="str">
        <f t="shared" si="29"/>
        <v/>
      </c>
      <c r="N116" s="24" t="str">
        <f t="shared" si="30"/>
        <v/>
      </c>
      <c r="O116" s="24">
        <f t="shared" si="31"/>
        <v>0</v>
      </c>
      <c r="P116" s="24">
        <f t="shared" si="32"/>
        <v>0</v>
      </c>
      <c r="Q116" s="24">
        <f t="shared" si="33"/>
        <v>0</v>
      </c>
    </row>
    <row r="117" spans="1:17">
      <c r="A117" s="17">
        <f t="shared" si="34"/>
        <v>53</v>
      </c>
      <c r="B117" s="17">
        <f t="shared" si="18"/>
        <v>2052</v>
      </c>
      <c r="C117" s="24">
        <f t="shared" si="19"/>
        <v>0</v>
      </c>
      <c r="D117" s="24">
        <f t="shared" si="20"/>
        <v>0</v>
      </c>
      <c r="E117" s="25">
        <f t="shared" si="21"/>
        <v>4.819595135987835E-2</v>
      </c>
      <c r="F117" s="24">
        <f t="shared" si="22"/>
        <v>0</v>
      </c>
      <c r="G117" s="24">
        <f t="shared" si="23"/>
        <v>0</v>
      </c>
      <c r="H117" s="25">
        <f t="shared" si="24"/>
        <v>4.191059549262361</v>
      </c>
      <c r="I117" s="24">
        <f t="shared" si="25"/>
        <v>0</v>
      </c>
      <c r="J117" s="24">
        <f t="shared" si="26"/>
        <v>0</v>
      </c>
      <c r="K117" s="17" t="str">
        <f t="shared" si="27"/>
        <v/>
      </c>
      <c r="L117" s="24" t="str">
        <f t="shared" si="28"/>
        <v/>
      </c>
      <c r="M117" s="24" t="str">
        <f t="shared" si="29"/>
        <v/>
      </c>
      <c r="N117" s="24" t="str">
        <f t="shared" si="30"/>
        <v/>
      </c>
      <c r="O117" s="24">
        <f t="shared" si="31"/>
        <v>0</v>
      </c>
      <c r="P117" s="24">
        <f t="shared" si="32"/>
        <v>0</v>
      </c>
      <c r="Q117" s="24">
        <f t="shared" si="33"/>
        <v>0</v>
      </c>
    </row>
    <row r="118" spans="1:17">
      <c r="A118" s="17">
        <f t="shared" si="34"/>
        <v>54</v>
      </c>
      <c r="B118" s="17">
        <f t="shared" si="18"/>
        <v>2053</v>
      </c>
      <c r="C118" s="24">
        <f t="shared" si="19"/>
        <v>0</v>
      </c>
      <c r="D118" s="24">
        <f t="shared" si="20"/>
        <v>0</v>
      </c>
      <c r="E118" s="25">
        <f t="shared" si="21"/>
        <v>4.5966625197738274E-2</v>
      </c>
      <c r="F118" s="24">
        <f t="shared" si="22"/>
        <v>0</v>
      </c>
      <c r="G118" s="24">
        <f t="shared" si="23"/>
        <v>0</v>
      </c>
      <c r="H118" s="25">
        <f t="shared" si="24"/>
        <v>4.3081577530687509</v>
      </c>
      <c r="I118" s="24">
        <f t="shared" si="25"/>
        <v>0</v>
      </c>
      <c r="J118" s="24">
        <f t="shared" si="26"/>
        <v>0</v>
      </c>
      <c r="K118" s="17" t="str">
        <f t="shared" si="27"/>
        <v/>
      </c>
      <c r="L118" s="24" t="str">
        <f t="shared" si="28"/>
        <v/>
      </c>
      <c r="M118" s="24" t="str">
        <f t="shared" si="29"/>
        <v/>
      </c>
      <c r="N118" s="24" t="str">
        <f t="shared" si="30"/>
        <v/>
      </c>
      <c r="O118" s="24">
        <f t="shared" si="31"/>
        <v>0</v>
      </c>
      <c r="P118" s="24">
        <f t="shared" si="32"/>
        <v>0</v>
      </c>
      <c r="Q118" s="24">
        <f t="shared" si="33"/>
        <v>0</v>
      </c>
    </row>
    <row r="119" spans="1:17">
      <c r="A119" s="17">
        <f t="shared" si="34"/>
        <v>55</v>
      </c>
      <c r="B119" s="17">
        <f t="shared" si="18"/>
        <v>2054</v>
      </c>
      <c r="C119" s="24">
        <f t="shared" si="19"/>
        <v>0</v>
      </c>
      <c r="D119" s="24">
        <f t="shared" si="20"/>
        <v>0</v>
      </c>
      <c r="E119" s="25">
        <f t="shared" si="21"/>
        <v>4.3840417554830084E-2</v>
      </c>
      <c r="F119" s="24">
        <f t="shared" si="22"/>
        <v>0</v>
      </c>
      <c r="G119" s="24">
        <f t="shared" si="23"/>
        <v>0</v>
      </c>
      <c r="H119" s="25">
        <f t="shared" si="24"/>
        <v>4.4285276806894922</v>
      </c>
      <c r="I119" s="24">
        <f t="shared" si="25"/>
        <v>0</v>
      </c>
      <c r="J119" s="24">
        <f t="shared" si="26"/>
        <v>0</v>
      </c>
      <c r="K119" s="17" t="str">
        <f t="shared" si="27"/>
        <v/>
      </c>
      <c r="L119" s="24" t="str">
        <f t="shared" si="28"/>
        <v/>
      </c>
      <c r="M119" s="24" t="str">
        <f t="shared" si="29"/>
        <v/>
      </c>
      <c r="N119" s="24" t="str">
        <f t="shared" si="30"/>
        <v/>
      </c>
      <c r="O119" s="24">
        <f t="shared" si="31"/>
        <v>0</v>
      </c>
      <c r="P119" s="24">
        <f t="shared" si="32"/>
        <v>0</v>
      </c>
      <c r="Q119" s="24">
        <f t="shared" si="33"/>
        <v>0</v>
      </c>
    </row>
    <row r="120" spans="1:17">
      <c r="A120" s="17">
        <f t="shared" si="34"/>
        <v>56</v>
      </c>
      <c r="B120" s="17">
        <f t="shared" si="18"/>
        <v>2055</v>
      </c>
      <c r="C120" s="24">
        <f t="shared" si="19"/>
        <v>0</v>
      </c>
      <c r="D120" s="24">
        <f t="shared" si="20"/>
        <v>0</v>
      </c>
      <c r="E120" s="25">
        <f t="shared" si="21"/>
        <v>4.1812558636051933E-2</v>
      </c>
      <c r="F120" s="24">
        <f t="shared" si="22"/>
        <v>0</v>
      </c>
      <c r="G120" s="24">
        <f t="shared" si="23"/>
        <v>0</v>
      </c>
      <c r="H120" s="25">
        <f t="shared" si="24"/>
        <v>4.552260744087957</v>
      </c>
      <c r="I120" s="24">
        <f t="shared" si="25"/>
        <v>0</v>
      </c>
      <c r="J120" s="24">
        <f t="shared" si="26"/>
        <v>0</v>
      </c>
      <c r="K120" s="17" t="str">
        <f t="shared" si="27"/>
        <v/>
      </c>
      <c r="L120" s="24" t="str">
        <f t="shared" si="28"/>
        <v/>
      </c>
      <c r="M120" s="24" t="str">
        <f t="shared" si="29"/>
        <v/>
      </c>
      <c r="N120" s="24" t="str">
        <f t="shared" si="30"/>
        <v/>
      </c>
      <c r="O120" s="24">
        <f t="shared" si="31"/>
        <v>0</v>
      </c>
      <c r="P120" s="24">
        <f t="shared" si="32"/>
        <v>0</v>
      </c>
      <c r="Q120" s="24">
        <f t="shared" si="33"/>
        <v>0</v>
      </c>
    </row>
    <row r="121" spans="1:17">
      <c r="A121" s="17">
        <f t="shared" si="34"/>
        <v>57</v>
      </c>
      <c r="B121" s="17">
        <f t="shared" si="18"/>
        <v>2056</v>
      </c>
      <c r="C121" s="24">
        <f t="shared" si="19"/>
        <v>0</v>
      </c>
      <c r="D121" s="24">
        <f t="shared" si="20"/>
        <v>0</v>
      </c>
      <c r="E121" s="25">
        <f t="shared" si="21"/>
        <v>3.9878499275394434E-2</v>
      </c>
      <c r="F121" s="24">
        <f t="shared" si="22"/>
        <v>0</v>
      </c>
      <c r="G121" s="24">
        <f t="shared" si="23"/>
        <v>0</v>
      </c>
      <c r="H121" s="25">
        <f t="shared" si="24"/>
        <v>4.679450909277775</v>
      </c>
      <c r="I121" s="24">
        <f t="shared" si="25"/>
        <v>0</v>
      </c>
      <c r="J121" s="24">
        <f t="shared" si="26"/>
        <v>0</v>
      </c>
      <c r="K121" s="17" t="str">
        <f t="shared" si="27"/>
        <v/>
      </c>
      <c r="L121" s="24" t="str">
        <f t="shared" si="28"/>
        <v/>
      </c>
      <c r="M121" s="24" t="str">
        <f t="shared" si="29"/>
        <v/>
      </c>
      <c r="N121" s="24" t="str">
        <f t="shared" si="30"/>
        <v/>
      </c>
      <c r="O121" s="24">
        <f t="shared" si="31"/>
        <v>0</v>
      </c>
      <c r="P121" s="24">
        <f t="shared" si="32"/>
        <v>0</v>
      </c>
      <c r="Q121" s="24">
        <f t="shared" si="33"/>
        <v>0</v>
      </c>
    </row>
    <row r="122" spans="1:17">
      <c r="A122" s="17">
        <f t="shared" si="34"/>
        <v>58</v>
      </c>
      <c r="B122" s="17">
        <f t="shared" si="18"/>
        <v>2057</v>
      </c>
      <c r="C122" s="24">
        <f t="shared" si="19"/>
        <v>0</v>
      </c>
      <c r="D122" s="24">
        <f t="shared" si="20"/>
        <v>0</v>
      </c>
      <c r="E122" s="25">
        <f t="shared" si="21"/>
        <v>3.8033900730639315E-2</v>
      </c>
      <c r="F122" s="24">
        <f t="shared" si="22"/>
        <v>0</v>
      </c>
      <c r="G122" s="24">
        <f t="shared" si="23"/>
        <v>0</v>
      </c>
      <c r="H122" s="25">
        <f t="shared" si="24"/>
        <v>4.8101947676829964</v>
      </c>
      <c r="I122" s="24">
        <f t="shared" si="25"/>
        <v>0</v>
      </c>
      <c r="J122" s="24">
        <f t="shared" si="26"/>
        <v>0</v>
      </c>
      <c r="K122" s="17" t="str">
        <f t="shared" si="27"/>
        <v/>
      </c>
      <c r="L122" s="24" t="str">
        <f t="shared" si="28"/>
        <v/>
      </c>
      <c r="M122" s="24" t="str">
        <f t="shared" si="29"/>
        <v/>
      </c>
      <c r="N122" s="24" t="str">
        <f t="shared" si="30"/>
        <v/>
      </c>
      <c r="O122" s="24">
        <f t="shared" si="31"/>
        <v>0</v>
      </c>
      <c r="P122" s="24">
        <f t="shared" si="32"/>
        <v>0</v>
      </c>
      <c r="Q122" s="24">
        <f t="shared" si="33"/>
        <v>0</v>
      </c>
    </row>
    <row r="123" spans="1:17">
      <c r="A123" s="17">
        <f t="shared" si="34"/>
        <v>59</v>
      </c>
      <c r="B123" s="17">
        <f t="shared" si="18"/>
        <v>2058</v>
      </c>
      <c r="C123" s="24">
        <f t="shared" si="19"/>
        <v>0</v>
      </c>
      <c r="D123" s="24">
        <f t="shared" si="20"/>
        <v>0</v>
      </c>
      <c r="E123" s="25">
        <f t="shared" si="21"/>
        <v>3.6274624950108962E-2</v>
      </c>
      <c r="F123" s="24">
        <f t="shared" si="22"/>
        <v>0</v>
      </c>
      <c r="G123" s="24">
        <f t="shared" si="23"/>
        <v>0</v>
      </c>
      <c r="H123" s="25">
        <f t="shared" si="24"/>
        <v>4.9445916094920594</v>
      </c>
      <c r="I123" s="24">
        <f t="shared" si="25"/>
        <v>0</v>
      </c>
      <c r="J123" s="24">
        <f t="shared" si="26"/>
        <v>0</v>
      </c>
      <c r="K123" s="17" t="str">
        <f t="shared" si="27"/>
        <v/>
      </c>
      <c r="L123" s="24" t="str">
        <f t="shared" si="28"/>
        <v/>
      </c>
      <c r="M123" s="24" t="str">
        <f t="shared" si="29"/>
        <v/>
      </c>
      <c r="N123" s="24" t="str">
        <f t="shared" si="30"/>
        <v/>
      </c>
      <c r="O123" s="24">
        <f t="shared" si="31"/>
        <v>0</v>
      </c>
      <c r="P123" s="24">
        <f t="shared" si="32"/>
        <v>0</v>
      </c>
      <c r="Q123" s="24">
        <f t="shared" si="33"/>
        <v>0</v>
      </c>
    </row>
    <row r="124" spans="1:17">
      <c r="A124" s="17">
        <f t="shared" si="34"/>
        <v>60</v>
      </c>
      <c r="B124" s="17">
        <f t="shared" si="18"/>
        <v>2059</v>
      </c>
      <c r="C124" s="24">
        <f t="shared" si="19"/>
        <v>0</v>
      </c>
      <c r="D124" s="24">
        <f t="shared" si="20"/>
        <v>0</v>
      </c>
      <c r="E124" s="25">
        <f t="shared" si="21"/>
        <v>3.4596725289632153E-2</v>
      </c>
      <c r="F124" s="24">
        <f t="shared" si="22"/>
        <v>0</v>
      </c>
      <c r="G124" s="24">
        <f t="shared" si="23"/>
        <v>0</v>
      </c>
      <c r="H124" s="25">
        <f t="shared" si="24"/>
        <v>5.0827434990612677</v>
      </c>
      <c r="I124" s="24">
        <f t="shared" si="25"/>
        <v>0</v>
      </c>
      <c r="J124" s="24">
        <f t="shared" si="26"/>
        <v>0</v>
      </c>
      <c r="K124" s="17" t="str">
        <f t="shared" si="27"/>
        <v/>
      </c>
      <c r="L124" s="24" t="str">
        <f t="shared" si="28"/>
        <v/>
      </c>
      <c r="M124" s="24" t="str">
        <f t="shared" si="29"/>
        <v/>
      </c>
      <c r="N124" s="24" t="str">
        <f t="shared" si="30"/>
        <v/>
      </c>
      <c r="O124" s="24">
        <f t="shared" si="31"/>
        <v>0</v>
      </c>
      <c r="P124" s="24">
        <f t="shared" si="32"/>
        <v>0</v>
      </c>
      <c r="Q124" s="24">
        <f t="shared" si="33"/>
        <v>0</v>
      </c>
    </row>
  </sheetData>
  <mergeCells count="13">
    <mergeCell ref="A62:Q62"/>
    <mergeCell ref="A5:H5"/>
    <mergeCell ref="A46:H46"/>
    <mergeCell ref="A31:H31"/>
    <mergeCell ref="A17:H17"/>
    <mergeCell ref="A1:H1"/>
    <mergeCell ref="A45:H45"/>
    <mergeCell ref="C6:H6"/>
    <mergeCell ref="A3:H3"/>
    <mergeCell ref="A39:H39"/>
    <mergeCell ref="A25:H25"/>
    <mergeCell ref="A38:H38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6"/>
  <sheetViews>
    <sheetView workbookViewId="0"/>
  </sheetViews>
  <sheetFormatPr defaultRowHeight="15"/>
  <cols>
    <col min="1" max="1" width="10" customWidth="1"/>
    <col min="2" max="2" width="19" customWidth="1"/>
    <col min="3" max="3" width="20" customWidth="1"/>
    <col min="4" max="4" width="25" customWidth="1"/>
    <col min="5" max="5" width="15" customWidth="1"/>
    <col min="6" max="6" width="19" customWidth="1"/>
    <col min="7" max="7" width="4" customWidth="1"/>
    <col min="8" max="8" width="70" customWidth="1"/>
    <col min="9" max="14" width="15" customWidth="1"/>
    <col min="15" max="15" width="20" customWidth="1"/>
    <col min="16" max="16" width="17" customWidth="1"/>
  </cols>
  <sheetData>
    <row r="1" spans="1:16" ht="24.95" customHeight="1">
      <c r="A1" s="33" t="s">
        <v>273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32.1" customHeight="1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48" customHeight="1">
      <c r="A3" s="34" t="s">
        <v>274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>
      <c r="A4" s="35" t="s">
        <v>275</v>
      </c>
      <c r="B4" s="32"/>
      <c r="C4" s="32"/>
      <c r="D4" s="32"/>
      <c r="E4" s="32"/>
      <c r="F4" s="32"/>
      <c r="H4" s="2" t="s">
        <v>276</v>
      </c>
    </row>
    <row r="5" spans="1:16" ht="45" customHeight="1">
      <c r="A5" s="15" t="s">
        <v>277</v>
      </c>
      <c r="B5" s="15" t="s">
        <v>278</v>
      </c>
      <c r="C5" s="15" t="s">
        <v>279</v>
      </c>
      <c r="D5" s="15" t="s">
        <v>280</v>
      </c>
      <c r="E5" s="15" t="s">
        <v>281</v>
      </c>
      <c r="F5" s="15" t="s">
        <v>282</v>
      </c>
      <c r="H5" s="15" t="s">
        <v>142</v>
      </c>
      <c r="I5" s="15" t="s">
        <v>283</v>
      </c>
      <c r="J5" s="15" t="s">
        <v>284</v>
      </c>
      <c r="K5" s="15" t="s">
        <v>285</v>
      </c>
      <c r="L5" s="15" t="s">
        <v>286</v>
      </c>
      <c r="M5" s="15" t="s">
        <v>287</v>
      </c>
      <c r="N5" s="15" t="s">
        <v>288</v>
      </c>
      <c r="O5" s="15" t="s">
        <v>289</v>
      </c>
      <c r="P5" s="15" t="s">
        <v>290</v>
      </c>
    </row>
    <row r="6" spans="1:16">
      <c r="A6" s="26" t="s">
        <v>56</v>
      </c>
      <c r="B6" s="17">
        <v>2000</v>
      </c>
      <c r="C6" s="27">
        <v>-9.4129899999999996E-3</v>
      </c>
      <c r="D6" s="27">
        <v>0.12264385999999999</v>
      </c>
      <c r="E6" s="27">
        <v>2.4590170000000001E-2</v>
      </c>
      <c r="F6" s="28">
        <f t="shared" ref="F6:F37" si="0">0.6*C6+0.4*D6</f>
        <v>4.3409750000000004E-2</v>
      </c>
      <c r="H6" s="17">
        <v>40</v>
      </c>
      <c r="I6" s="17">
        <v>60</v>
      </c>
      <c r="J6" s="29">
        <v>3.4</v>
      </c>
      <c r="K6" s="29">
        <v>3.6</v>
      </c>
      <c r="L6" s="29">
        <v>3.8</v>
      </c>
      <c r="M6" s="29">
        <v>4.0999999999999996</v>
      </c>
      <c r="N6" s="29">
        <v>4.3</v>
      </c>
      <c r="O6" s="30">
        <f t="shared" ref="O6:O37" si="1">ROUND($P$70/(1-(1+$P$70)^(-I6))/(1+$P$70)*100,1)</f>
        <v>4.0999999999999996</v>
      </c>
      <c r="P6" s="30">
        <f t="shared" ref="P6:P37" si="2">O6-M6</f>
        <v>0</v>
      </c>
    </row>
    <row r="7" spans="1:16">
      <c r="A7" s="26" t="s">
        <v>56</v>
      </c>
      <c r="B7" s="17">
        <v>2001</v>
      </c>
      <c r="C7" s="27">
        <v>-0.14529059</v>
      </c>
      <c r="D7" s="27">
        <v>3.5270919999999997E-2</v>
      </c>
      <c r="E7" s="27">
        <v>2.266669E-2</v>
      </c>
      <c r="F7" s="28">
        <f t="shared" si="0"/>
        <v>-7.3065985999999999E-2</v>
      </c>
      <c r="H7" s="17">
        <v>41</v>
      </c>
      <c r="I7" s="17">
        <v>59</v>
      </c>
      <c r="J7" s="29">
        <v>3.4</v>
      </c>
      <c r="K7" s="29">
        <v>3.6</v>
      </c>
      <c r="L7" s="29">
        <v>3.9</v>
      </c>
      <c r="M7" s="29">
        <v>4.0999999999999996</v>
      </c>
      <c r="N7" s="29">
        <v>4.3</v>
      </c>
      <c r="O7" s="30">
        <f t="shared" si="1"/>
        <v>4.0999999999999996</v>
      </c>
      <c r="P7" s="30">
        <f t="shared" si="2"/>
        <v>0</v>
      </c>
    </row>
    <row r="8" spans="1:16">
      <c r="A8" s="26" t="s">
        <v>56</v>
      </c>
      <c r="B8" s="17">
        <v>2002</v>
      </c>
      <c r="C8" s="27">
        <v>-0.35757626999999997</v>
      </c>
      <c r="D8" s="27">
        <v>0.12325968</v>
      </c>
      <c r="E8" s="27">
        <v>2.8683190000000001E-2</v>
      </c>
      <c r="F8" s="28">
        <f t="shared" si="0"/>
        <v>-0.16524188999999997</v>
      </c>
      <c r="H8" s="17">
        <v>42</v>
      </c>
      <c r="I8" s="17">
        <v>58</v>
      </c>
      <c r="J8" s="29">
        <v>3.4</v>
      </c>
      <c r="K8" s="29">
        <v>3.7</v>
      </c>
      <c r="L8" s="29">
        <v>3.9</v>
      </c>
      <c r="M8" s="29">
        <v>4.0999999999999996</v>
      </c>
      <c r="N8" s="29">
        <v>4.3</v>
      </c>
      <c r="O8" s="30">
        <f t="shared" si="1"/>
        <v>4.0999999999999996</v>
      </c>
      <c r="P8" s="30">
        <f t="shared" si="2"/>
        <v>0</v>
      </c>
    </row>
    <row r="9" spans="1:16">
      <c r="A9" s="26" t="s">
        <v>56</v>
      </c>
      <c r="B9" s="17">
        <v>2003</v>
      </c>
      <c r="C9" s="27">
        <v>0.20540349999999999</v>
      </c>
      <c r="D9" s="27">
        <v>2.118855E-2</v>
      </c>
      <c r="E9" s="27">
        <v>2.1546249999999999E-2</v>
      </c>
      <c r="F9" s="28">
        <f t="shared" si="0"/>
        <v>0.13171752</v>
      </c>
      <c r="H9" s="17">
        <v>43</v>
      </c>
      <c r="I9" s="17">
        <v>57</v>
      </c>
      <c r="J9" s="29">
        <v>3.5</v>
      </c>
      <c r="K9" s="29">
        <v>3.7</v>
      </c>
      <c r="L9" s="29">
        <v>3.9</v>
      </c>
      <c r="M9" s="29">
        <v>4.0999999999999996</v>
      </c>
      <c r="N9" s="29">
        <v>4.4000000000000004</v>
      </c>
      <c r="O9" s="30">
        <f t="shared" si="1"/>
        <v>4.0999999999999996</v>
      </c>
      <c r="P9" s="30">
        <f t="shared" si="2"/>
        <v>0</v>
      </c>
    </row>
    <row r="10" spans="1:16">
      <c r="A10" s="26" t="s">
        <v>56</v>
      </c>
      <c r="B10" s="17">
        <v>2004</v>
      </c>
      <c r="C10" s="27">
        <v>5.1807909999999999E-2</v>
      </c>
      <c r="D10" s="27">
        <v>0.11534314</v>
      </c>
      <c r="E10" s="27">
        <v>1.985112E-2</v>
      </c>
      <c r="F10" s="28">
        <f t="shared" si="0"/>
        <v>7.7222001999999998E-2</v>
      </c>
      <c r="H10" s="17">
        <v>44</v>
      </c>
      <c r="I10" s="17">
        <v>56</v>
      </c>
      <c r="J10" s="29">
        <v>3.5</v>
      </c>
      <c r="K10" s="29">
        <v>3.7</v>
      </c>
      <c r="L10" s="29">
        <v>3.9</v>
      </c>
      <c r="M10" s="29">
        <v>4.0999999999999996</v>
      </c>
      <c r="N10" s="29">
        <v>4.4000000000000004</v>
      </c>
      <c r="O10" s="30">
        <f t="shared" si="1"/>
        <v>4.0999999999999996</v>
      </c>
      <c r="P10" s="30">
        <f t="shared" si="2"/>
        <v>0</v>
      </c>
    </row>
    <row r="11" spans="1:16">
      <c r="A11" s="26" t="s">
        <v>56</v>
      </c>
      <c r="B11" s="17">
        <v>2005</v>
      </c>
      <c r="C11" s="27">
        <v>0.25608627</v>
      </c>
      <c r="D11" s="27">
        <v>4.1454350000000001E-2</v>
      </c>
      <c r="E11" s="27">
        <v>2.189781E-2</v>
      </c>
      <c r="F11" s="28">
        <f t="shared" si="0"/>
        <v>0.17023350200000001</v>
      </c>
      <c r="H11" s="17">
        <v>45</v>
      </c>
      <c r="I11" s="17">
        <v>55</v>
      </c>
      <c r="J11" s="29">
        <v>3.5</v>
      </c>
      <c r="K11" s="29">
        <v>3.7</v>
      </c>
      <c r="L11" s="29">
        <v>3.9</v>
      </c>
      <c r="M11" s="29">
        <v>4.2</v>
      </c>
      <c r="N11" s="29">
        <v>4.4000000000000004</v>
      </c>
      <c r="O11" s="30">
        <f t="shared" si="1"/>
        <v>4.2</v>
      </c>
      <c r="P11" s="30">
        <f t="shared" si="2"/>
        <v>0</v>
      </c>
    </row>
    <row r="12" spans="1:16">
      <c r="A12" s="26" t="s">
        <v>56</v>
      </c>
      <c r="B12" s="17">
        <v>2006</v>
      </c>
      <c r="C12" s="27">
        <v>8.6709700000000001E-2</v>
      </c>
      <c r="D12" s="27">
        <v>-9.4149899999999998E-3</v>
      </c>
      <c r="E12" s="27">
        <v>1.9047620000000001E-2</v>
      </c>
      <c r="F12" s="28">
        <f t="shared" si="0"/>
        <v>4.8259824E-2</v>
      </c>
      <c r="H12" s="17">
        <v>46</v>
      </c>
      <c r="I12" s="17">
        <v>54</v>
      </c>
      <c r="J12" s="29">
        <v>3.5</v>
      </c>
      <c r="K12" s="29">
        <v>3.8</v>
      </c>
      <c r="L12" s="29">
        <v>4</v>
      </c>
      <c r="M12" s="29">
        <v>4.2</v>
      </c>
      <c r="N12" s="29">
        <v>4.4000000000000004</v>
      </c>
      <c r="O12" s="30">
        <f t="shared" si="1"/>
        <v>4.2</v>
      </c>
      <c r="P12" s="30">
        <f t="shared" si="2"/>
        <v>0</v>
      </c>
    </row>
    <row r="13" spans="1:16">
      <c r="A13" s="26" t="s">
        <v>56</v>
      </c>
      <c r="B13" s="17">
        <v>2007</v>
      </c>
      <c r="C13" s="27">
        <v>-0.12649726</v>
      </c>
      <c r="D13" s="27">
        <v>4.7700020000000003E-2</v>
      </c>
      <c r="E13" s="27">
        <v>3.1542059999999997E-2</v>
      </c>
      <c r="F13" s="28">
        <f t="shared" si="0"/>
        <v>-5.6818347999999998E-2</v>
      </c>
      <c r="H13" s="17">
        <v>47</v>
      </c>
      <c r="I13" s="17">
        <v>53</v>
      </c>
      <c r="J13" s="29">
        <v>3.6</v>
      </c>
      <c r="K13" s="29">
        <v>3.8</v>
      </c>
      <c r="L13" s="29">
        <v>4</v>
      </c>
      <c r="M13" s="29">
        <v>4.2</v>
      </c>
      <c r="N13" s="29">
        <v>4.4000000000000004</v>
      </c>
      <c r="O13" s="30">
        <f t="shared" si="1"/>
        <v>4.2</v>
      </c>
      <c r="P13" s="30">
        <f t="shared" si="2"/>
        <v>0</v>
      </c>
    </row>
    <row r="14" spans="1:16">
      <c r="A14" s="26" t="s">
        <v>56</v>
      </c>
      <c r="B14" s="17">
        <v>2008</v>
      </c>
      <c r="C14" s="27">
        <v>-0.32330555</v>
      </c>
      <c r="D14" s="27">
        <v>7.9916520000000005E-2</v>
      </c>
      <c r="E14" s="27">
        <v>1.3590039999999999E-2</v>
      </c>
      <c r="F14" s="28">
        <f t="shared" si="0"/>
        <v>-0.16201672199999997</v>
      </c>
      <c r="H14" s="17">
        <v>48</v>
      </c>
      <c r="I14" s="17">
        <v>52</v>
      </c>
      <c r="J14" s="29">
        <v>3.6</v>
      </c>
      <c r="K14" s="29">
        <v>3.8</v>
      </c>
      <c r="L14" s="29">
        <v>4</v>
      </c>
      <c r="M14" s="29">
        <v>4.2</v>
      </c>
      <c r="N14" s="29">
        <v>4.5</v>
      </c>
      <c r="O14" s="30">
        <f t="shared" si="1"/>
        <v>4.2</v>
      </c>
      <c r="P14" s="30">
        <f t="shared" si="2"/>
        <v>0</v>
      </c>
    </row>
    <row r="15" spans="1:16">
      <c r="A15" s="26" t="s">
        <v>56</v>
      </c>
      <c r="B15" s="17">
        <v>2009</v>
      </c>
      <c r="C15" s="27">
        <v>0.25923938000000002</v>
      </c>
      <c r="D15" s="27">
        <v>5.2318900000000002E-2</v>
      </c>
      <c r="E15" s="27">
        <v>1.3407820000000001E-2</v>
      </c>
      <c r="F15" s="28">
        <f t="shared" si="0"/>
        <v>0.17647118800000003</v>
      </c>
      <c r="H15" s="17">
        <v>49</v>
      </c>
      <c r="I15" s="17">
        <v>51</v>
      </c>
      <c r="J15" s="29">
        <v>3.6</v>
      </c>
      <c r="K15" s="29">
        <v>3.8</v>
      </c>
      <c r="L15" s="29">
        <v>4.0999999999999996</v>
      </c>
      <c r="M15" s="29">
        <v>4.3</v>
      </c>
      <c r="N15" s="29">
        <v>4.5</v>
      </c>
      <c r="O15" s="30">
        <f t="shared" si="1"/>
        <v>4.3</v>
      </c>
      <c r="P15" s="30">
        <f t="shared" si="2"/>
        <v>0</v>
      </c>
    </row>
    <row r="16" spans="1:16">
      <c r="A16" s="26" t="s">
        <v>56</v>
      </c>
      <c r="B16" s="17">
        <v>2010</v>
      </c>
      <c r="C16" s="27">
        <v>0.20863461999999999</v>
      </c>
      <c r="D16" s="27">
        <v>3.7332629999999999E-2</v>
      </c>
      <c r="E16" s="27">
        <v>1.9845640000000001E-2</v>
      </c>
      <c r="F16" s="28">
        <f t="shared" si="0"/>
        <v>0.140113824</v>
      </c>
      <c r="H16" s="17">
        <v>50</v>
      </c>
      <c r="I16" s="17">
        <v>50</v>
      </c>
      <c r="J16" s="29">
        <v>3.7</v>
      </c>
      <c r="K16" s="29">
        <v>3.9</v>
      </c>
      <c r="L16" s="29">
        <v>4.0999999999999996</v>
      </c>
      <c r="M16" s="29">
        <v>4.3</v>
      </c>
      <c r="N16" s="29">
        <v>4.5</v>
      </c>
      <c r="O16" s="30">
        <f t="shared" si="1"/>
        <v>4.3</v>
      </c>
      <c r="P16" s="30">
        <f t="shared" si="2"/>
        <v>0</v>
      </c>
    </row>
    <row r="17" spans="1:16">
      <c r="A17" s="26" t="s">
        <v>56</v>
      </c>
      <c r="B17" s="17">
        <v>2011</v>
      </c>
      <c r="C17" s="27">
        <v>1.5987540000000001E-2</v>
      </c>
      <c r="D17" s="27">
        <v>0.15584343000000001</v>
      </c>
      <c r="E17" s="27">
        <v>3.3513519999999998E-2</v>
      </c>
      <c r="F17" s="28">
        <f t="shared" si="0"/>
        <v>7.1929896000000007E-2</v>
      </c>
      <c r="H17" s="17">
        <v>51</v>
      </c>
      <c r="I17" s="17">
        <v>49</v>
      </c>
      <c r="J17" s="29">
        <v>3.7</v>
      </c>
      <c r="K17" s="29">
        <v>3.9</v>
      </c>
      <c r="L17" s="29">
        <v>4.0999999999999996</v>
      </c>
      <c r="M17" s="29">
        <v>4.3</v>
      </c>
      <c r="N17" s="29">
        <v>4.5999999999999996</v>
      </c>
      <c r="O17" s="30">
        <f t="shared" si="1"/>
        <v>4.3</v>
      </c>
      <c r="P17" s="30">
        <f t="shared" si="2"/>
        <v>0</v>
      </c>
    </row>
    <row r="18" spans="1:16">
      <c r="A18" s="26" t="s">
        <v>56</v>
      </c>
      <c r="B18" s="17">
        <v>2012</v>
      </c>
      <c r="C18" s="27">
        <v>0.11781347</v>
      </c>
      <c r="D18" s="27">
        <v>4.7151430000000001E-2</v>
      </c>
      <c r="E18" s="27">
        <v>2.405856E-2</v>
      </c>
      <c r="F18" s="28">
        <f t="shared" si="0"/>
        <v>8.9548654000000005E-2</v>
      </c>
      <c r="H18" s="17">
        <v>52</v>
      </c>
      <c r="I18" s="17">
        <v>48</v>
      </c>
      <c r="J18" s="29">
        <v>3.7</v>
      </c>
      <c r="K18" s="29">
        <v>3.9</v>
      </c>
      <c r="L18" s="29">
        <v>4.0999999999999996</v>
      </c>
      <c r="M18" s="29">
        <v>4.4000000000000004</v>
      </c>
      <c r="N18" s="29">
        <v>4.5999999999999996</v>
      </c>
      <c r="O18" s="30">
        <f t="shared" si="1"/>
        <v>4.4000000000000004</v>
      </c>
      <c r="P18" s="30">
        <f t="shared" si="2"/>
        <v>0</v>
      </c>
    </row>
    <row r="19" spans="1:16">
      <c r="A19" s="26" t="s">
        <v>56</v>
      </c>
      <c r="B19" s="17">
        <v>2013</v>
      </c>
      <c r="C19" s="27">
        <v>0.16833165</v>
      </c>
      <c r="D19" s="27">
        <v>8.8160100000000009E-3</v>
      </c>
      <c r="E19" s="27">
        <v>6.1286999999999999E-3</v>
      </c>
      <c r="F19" s="28">
        <f t="shared" si="0"/>
        <v>0.10452539399999999</v>
      </c>
      <c r="H19" s="17">
        <v>53</v>
      </c>
      <c r="I19" s="17">
        <v>47</v>
      </c>
      <c r="J19" s="29">
        <v>3.8</v>
      </c>
      <c r="K19" s="29">
        <v>4</v>
      </c>
      <c r="L19" s="29">
        <v>4.2</v>
      </c>
      <c r="M19" s="29">
        <v>4.4000000000000004</v>
      </c>
      <c r="N19" s="29">
        <v>4.5999999999999996</v>
      </c>
      <c r="O19" s="30">
        <f t="shared" si="1"/>
        <v>4.4000000000000004</v>
      </c>
      <c r="P19" s="30">
        <f t="shared" si="2"/>
        <v>0</v>
      </c>
    </row>
    <row r="20" spans="1:16">
      <c r="A20" s="26" t="s">
        <v>56</v>
      </c>
      <c r="B20" s="17">
        <v>2014</v>
      </c>
      <c r="C20" s="27">
        <v>0.27868470000000001</v>
      </c>
      <c r="D20" s="27">
        <v>0.15159908</v>
      </c>
      <c r="E20" s="27">
        <v>-5.0761299999999999E-3</v>
      </c>
      <c r="F20" s="28">
        <f t="shared" si="0"/>
        <v>0.22785045200000001</v>
      </c>
      <c r="H20" s="17">
        <v>54</v>
      </c>
      <c r="I20" s="17">
        <v>46</v>
      </c>
      <c r="J20" s="29">
        <v>3.8</v>
      </c>
      <c r="K20" s="29">
        <v>4</v>
      </c>
      <c r="L20" s="29">
        <v>4.2</v>
      </c>
      <c r="M20" s="29">
        <v>4.4000000000000004</v>
      </c>
      <c r="N20" s="29">
        <v>4.7</v>
      </c>
      <c r="O20" s="30">
        <f t="shared" si="1"/>
        <v>4.4000000000000004</v>
      </c>
      <c r="P20" s="30">
        <f t="shared" si="2"/>
        <v>0</v>
      </c>
    </row>
    <row r="21" spans="1:16">
      <c r="A21" s="26" t="s">
        <v>56</v>
      </c>
      <c r="B21" s="17">
        <v>2015</v>
      </c>
      <c r="C21" s="27">
        <v>-1.011453E-2</v>
      </c>
      <c r="D21" s="27">
        <v>5.4971000000000004E-3</v>
      </c>
      <c r="E21" s="27">
        <v>4.0816400000000001E-3</v>
      </c>
      <c r="F21" s="28">
        <f t="shared" si="0"/>
        <v>-3.8698779999999998E-3</v>
      </c>
      <c r="H21" s="17">
        <v>55</v>
      </c>
      <c r="I21" s="17">
        <v>45</v>
      </c>
      <c r="J21" s="29">
        <v>3.8</v>
      </c>
      <c r="K21" s="29">
        <v>4.0999999999999996</v>
      </c>
      <c r="L21" s="29">
        <v>4.3</v>
      </c>
      <c r="M21" s="29">
        <v>4.5</v>
      </c>
      <c r="N21" s="29">
        <v>4.7</v>
      </c>
      <c r="O21" s="30">
        <f t="shared" si="1"/>
        <v>4.5</v>
      </c>
      <c r="P21" s="30">
        <f t="shared" si="2"/>
        <v>0</v>
      </c>
    </row>
    <row r="22" spans="1:16">
      <c r="A22" s="26" t="s">
        <v>56</v>
      </c>
      <c r="B22" s="17">
        <v>2016</v>
      </c>
      <c r="C22" s="27">
        <v>0.17257639</v>
      </c>
      <c r="D22" s="27">
        <v>-1.161308E-2</v>
      </c>
      <c r="E22" s="27">
        <v>1.0162600000000001E-2</v>
      </c>
      <c r="F22" s="28">
        <f t="shared" si="0"/>
        <v>9.890060199999999E-2</v>
      </c>
      <c r="H22" s="17">
        <v>56</v>
      </c>
      <c r="I22" s="17">
        <v>44</v>
      </c>
      <c r="J22" s="29">
        <v>3.9</v>
      </c>
      <c r="K22" s="29">
        <v>4.0999999999999996</v>
      </c>
      <c r="L22" s="29">
        <v>4.3</v>
      </c>
      <c r="M22" s="29">
        <v>4.5</v>
      </c>
      <c r="N22" s="29">
        <v>4.7</v>
      </c>
      <c r="O22" s="30">
        <f t="shared" si="1"/>
        <v>4.5</v>
      </c>
      <c r="P22" s="30">
        <f t="shared" si="2"/>
        <v>0</v>
      </c>
    </row>
    <row r="23" spans="1:16">
      <c r="A23" s="26" t="s">
        <v>56</v>
      </c>
      <c r="B23" s="17">
        <v>2017</v>
      </c>
      <c r="C23" s="27">
        <v>9.1556979999999996E-2</v>
      </c>
      <c r="D23" s="27">
        <v>-1.8424309999999999E-2</v>
      </c>
      <c r="E23" s="27">
        <v>1.207242E-2</v>
      </c>
      <c r="F23" s="28">
        <f t="shared" si="0"/>
        <v>4.7564463999999994E-2</v>
      </c>
      <c r="H23" s="17">
        <v>57</v>
      </c>
      <c r="I23" s="17">
        <v>43</v>
      </c>
      <c r="J23" s="29">
        <v>3.9</v>
      </c>
      <c r="K23" s="29">
        <v>4.0999999999999996</v>
      </c>
      <c r="L23" s="29">
        <v>4.3</v>
      </c>
      <c r="M23" s="29">
        <v>4.5999999999999996</v>
      </c>
      <c r="N23" s="29">
        <v>4.8</v>
      </c>
      <c r="O23" s="30">
        <f t="shared" si="1"/>
        <v>4.5999999999999996</v>
      </c>
      <c r="P23" s="30">
        <f t="shared" si="2"/>
        <v>0</v>
      </c>
    </row>
    <row r="24" spans="1:16">
      <c r="A24" s="26" t="s">
        <v>56</v>
      </c>
      <c r="B24" s="17">
        <v>2018</v>
      </c>
      <c r="C24" s="27">
        <v>1.462924E-2</v>
      </c>
      <c r="D24" s="27">
        <v>5.9407389999999997E-2</v>
      </c>
      <c r="E24" s="27">
        <v>8.9463100000000007E-3</v>
      </c>
      <c r="F24" s="28">
        <f t="shared" si="0"/>
        <v>3.25405E-2</v>
      </c>
      <c r="H24" s="17">
        <v>58</v>
      </c>
      <c r="I24" s="17">
        <v>42</v>
      </c>
      <c r="J24" s="29">
        <v>4</v>
      </c>
      <c r="K24" s="29">
        <v>4.2</v>
      </c>
      <c r="L24" s="29">
        <v>4.4000000000000004</v>
      </c>
      <c r="M24" s="29">
        <v>4.5999999999999996</v>
      </c>
      <c r="N24" s="29">
        <v>4.8</v>
      </c>
      <c r="O24" s="30">
        <f t="shared" si="1"/>
        <v>4.5999999999999996</v>
      </c>
      <c r="P24" s="30">
        <f t="shared" si="2"/>
        <v>0</v>
      </c>
    </row>
    <row r="25" spans="1:16">
      <c r="A25" s="26" t="s">
        <v>56</v>
      </c>
      <c r="B25" s="17">
        <v>2019</v>
      </c>
      <c r="C25" s="27">
        <v>0.21902537999999999</v>
      </c>
      <c r="D25" s="27">
        <v>5.4113130000000002E-2</v>
      </c>
      <c r="E25" s="27">
        <v>3.94087E-3</v>
      </c>
      <c r="F25" s="28">
        <f t="shared" si="0"/>
        <v>0.15306048</v>
      </c>
      <c r="H25" s="17">
        <v>59</v>
      </c>
      <c r="I25" s="17">
        <v>41</v>
      </c>
      <c r="J25" s="29">
        <v>4</v>
      </c>
      <c r="K25" s="29">
        <v>4.2</v>
      </c>
      <c r="L25" s="29">
        <v>4.4000000000000004</v>
      </c>
      <c r="M25" s="29">
        <v>4.5999999999999996</v>
      </c>
      <c r="N25" s="29">
        <v>4.9000000000000004</v>
      </c>
      <c r="O25" s="30">
        <f t="shared" si="1"/>
        <v>4.5999999999999996</v>
      </c>
      <c r="P25" s="30">
        <f t="shared" si="2"/>
        <v>0</v>
      </c>
    </row>
    <row r="26" spans="1:16">
      <c r="A26" s="26" t="s">
        <v>56</v>
      </c>
      <c r="B26" s="17">
        <v>2020</v>
      </c>
      <c r="C26" s="27">
        <v>5.313499E-2</v>
      </c>
      <c r="D26" s="27">
        <v>6.7132399999999997E-3</v>
      </c>
      <c r="E26" s="27">
        <v>6.8694699999999999E-3</v>
      </c>
      <c r="F26" s="28">
        <f t="shared" si="0"/>
        <v>3.456629E-2</v>
      </c>
      <c r="H26" s="17">
        <v>60</v>
      </c>
      <c r="I26" s="17">
        <v>40</v>
      </c>
      <c r="J26" s="29">
        <v>4.0999999999999996</v>
      </c>
      <c r="K26" s="29">
        <v>4.3</v>
      </c>
      <c r="L26" s="29">
        <v>4.5</v>
      </c>
      <c r="M26" s="29">
        <v>4.7</v>
      </c>
      <c r="N26" s="29">
        <v>4.9000000000000004</v>
      </c>
      <c r="O26" s="30">
        <f t="shared" si="1"/>
        <v>4.7</v>
      </c>
      <c r="P26" s="30">
        <f t="shared" si="2"/>
        <v>0</v>
      </c>
    </row>
    <row r="27" spans="1:16">
      <c r="A27" s="26" t="s">
        <v>56</v>
      </c>
      <c r="B27" s="17">
        <v>2021</v>
      </c>
      <c r="C27" s="27">
        <v>0.26290902999999999</v>
      </c>
      <c r="D27" s="27">
        <v>-4.8974620000000003E-2</v>
      </c>
      <c r="E27" s="27">
        <v>5.068226E-2</v>
      </c>
      <c r="F27" s="28">
        <f t="shared" si="0"/>
        <v>0.13815557000000001</v>
      </c>
      <c r="H27" s="17">
        <v>61</v>
      </c>
      <c r="I27" s="17">
        <v>39</v>
      </c>
      <c r="J27" s="29">
        <v>4.0999999999999996</v>
      </c>
      <c r="K27" s="29">
        <v>4.3</v>
      </c>
      <c r="L27" s="29">
        <v>4.5</v>
      </c>
      <c r="M27" s="29">
        <v>4.7</v>
      </c>
      <c r="N27" s="29">
        <v>5</v>
      </c>
      <c r="O27" s="30">
        <f t="shared" si="1"/>
        <v>4.7</v>
      </c>
      <c r="P27" s="30">
        <f t="shared" si="2"/>
        <v>0</v>
      </c>
    </row>
    <row r="28" spans="1:16">
      <c r="A28" s="26" t="s">
        <v>56</v>
      </c>
      <c r="B28" s="17">
        <v>2022</v>
      </c>
      <c r="C28" s="27">
        <v>-4.47467E-2</v>
      </c>
      <c r="D28" s="27">
        <v>-0.19074869999999999</v>
      </c>
      <c r="E28" s="27">
        <v>0.10667902</v>
      </c>
      <c r="F28" s="28">
        <f t="shared" si="0"/>
        <v>-0.1031475</v>
      </c>
      <c r="H28" s="17">
        <v>62</v>
      </c>
      <c r="I28" s="17">
        <v>38</v>
      </c>
      <c r="J28" s="29">
        <v>4.2</v>
      </c>
      <c r="K28" s="29">
        <v>4.4000000000000004</v>
      </c>
      <c r="L28" s="29">
        <v>4.5999999999999996</v>
      </c>
      <c r="M28" s="29">
        <v>4.8</v>
      </c>
      <c r="N28" s="29">
        <v>5</v>
      </c>
      <c r="O28" s="30">
        <f t="shared" si="1"/>
        <v>4.8</v>
      </c>
      <c r="P28" s="30">
        <f t="shared" si="2"/>
        <v>0</v>
      </c>
    </row>
    <row r="29" spans="1:16">
      <c r="A29" s="26" t="s">
        <v>56</v>
      </c>
      <c r="B29" s="17">
        <v>2023</v>
      </c>
      <c r="C29" s="27">
        <v>0.16973179999999999</v>
      </c>
      <c r="D29" s="27">
        <v>2.7370680000000001E-2</v>
      </c>
      <c r="E29" s="27">
        <v>9.2204599999999998E-3</v>
      </c>
      <c r="F29" s="28">
        <f t="shared" si="0"/>
        <v>0.11278735199999998</v>
      </c>
      <c r="H29" s="17">
        <v>63</v>
      </c>
      <c r="I29" s="17">
        <v>37</v>
      </c>
      <c r="J29" s="29">
        <v>4.3</v>
      </c>
      <c r="K29" s="29">
        <v>4.5</v>
      </c>
      <c r="L29" s="29">
        <v>4.7</v>
      </c>
      <c r="M29" s="29">
        <v>4.9000000000000004</v>
      </c>
      <c r="N29" s="29">
        <v>5.0999999999999996</v>
      </c>
      <c r="O29" s="30">
        <f t="shared" si="1"/>
        <v>4.9000000000000004</v>
      </c>
      <c r="P29" s="30">
        <f t="shared" si="2"/>
        <v>0</v>
      </c>
    </row>
    <row r="30" spans="1:16">
      <c r="A30" s="26" t="s">
        <v>56</v>
      </c>
      <c r="B30" s="17">
        <v>2024</v>
      </c>
      <c r="C30" s="27">
        <v>0.26855486000000001</v>
      </c>
      <c r="D30" s="27">
        <v>-4.3909E-4</v>
      </c>
      <c r="E30" s="27">
        <v>1.6611290000000001E-2</v>
      </c>
      <c r="F30" s="28">
        <f t="shared" si="0"/>
        <v>0.16095727999999998</v>
      </c>
      <c r="H30" s="17">
        <v>64</v>
      </c>
      <c r="I30" s="17">
        <v>36</v>
      </c>
      <c r="J30" s="29">
        <v>4.3</v>
      </c>
      <c r="K30" s="29">
        <v>4.5</v>
      </c>
      <c r="L30" s="29">
        <v>4.7</v>
      </c>
      <c r="M30" s="29">
        <v>4.9000000000000004</v>
      </c>
      <c r="N30" s="29">
        <v>5.0999999999999996</v>
      </c>
      <c r="O30" s="30">
        <f t="shared" si="1"/>
        <v>4.9000000000000004</v>
      </c>
      <c r="P30" s="30">
        <f t="shared" si="2"/>
        <v>0</v>
      </c>
    </row>
    <row r="31" spans="1:16">
      <c r="A31" s="26" t="s">
        <v>56</v>
      </c>
      <c r="B31" s="17">
        <v>2025</v>
      </c>
      <c r="C31" s="27">
        <v>4.4959810000000003E-2</v>
      </c>
      <c r="D31" s="27">
        <v>-8.7022599999999999E-3</v>
      </c>
      <c r="E31" s="27">
        <v>1.0286440000000001E-2</v>
      </c>
      <c r="F31" s="28">
        <f t="shared" si="0"/>
        <v>2.3494982000000001E-2</v>
      </c>
      <c r="H31" s="17">
        <v>65</v>
      </c>
      <c r="I31" s="17">
        <v>35</v>
      </c>
      <c r="J31" s="29">
        <v>4.4000000000000004</v>
      </c>
      <c r="K31" s="29">
        <v>4.5999999999999996</v>
      </c>
      <c r="L31" s="29">
        <v>4.8</v>
      </c>
      <c r="M31" s="29">
        <v>5</v>
      </c>
      <c r="N31" s="29">
        <v>5.2</v>
      </c>
      <c r="O31" s="30">
        <f t="shared" si="1"/>
        <v>5</v>
      </c>
      <c r="P31" s="30">
        <f t="shared" si="2"/>
        <v>0</v>
      </c>
    </row>
    <row r="32" spans="1:16">
      <c r="A32" s="26" t="s">
        <v>291</v>
      </c>
      <c r="B32" s="17">
        <v>1871</v>
      </c>
      <c r="C32" s="27">
        <v>0.15644806</v>
      </c>
      <c r="D32" s="27">
        <v>5.0315989999999998E-2</v>
      </c>
      <c r="E32" s="27">
        <v>1.527035E-2</v>
      </c>
      <c r="F32" s="28">
        <f t="shared" si="0"/>
        <v>0.113995232</v>
      </c>
      <c r="H32" s="17">
        <v>66</v>
      </c>
      <c r="I32" s="17">
        <v>34</v>
      </c>
      <c r="J32" s="29">
        <v>4.5</v>
      </c>
      <c r="K32" s="29">
        <v>4.7</v>
      </c>
      <c r="L32" s="29">
        <v>4.9000000000000004</v>
      </c>
      <c r="M32" s="29">
        <v>5.0999999999999996</v>
      </c>
      <c r="N32" s="29">
        <v>5.3</v>
      </c>
      <c r="O32" s="30">
        <f t="shared" si="1"/>
        <v>5.0999999999999996</v>
      </c>
      <c r="P32" s="30">
        <f t="shared" si="2"/>
        <v>0</v>
      </c>
    </row>
    <row r="33" spans="1:16">
      <c r="A33" s="26" t="s">
        <v>291</v>
      </c>
      <c r="B33" s="17">
        <v>1872</v>
      </c>
      <c r="C33" s="27">
        <v>0.11234681000000001</v>
      </c>
      <c r="D33" s="27">
        <v>4.0835240000000002E-2</v>
      </c>
      <c r="E33" s="27">
        <v>2.2554620000000001E-2</v>
      </c>
      <c r="F33" s="28">
        <f t="shared" si="0"/>
        <v>8.3742182000000012E-2</v>
      </c>
      <c r="H33" s="17">
        <v>67</v>
      </c>
      <c r="I33" s="17">
        <v>33</v>
      </c>
      <c r="J33" s="29">
        <v>4.5999999999999996</v>
      </c>
      <c r="K33" s="29">
        <v>4.8</v>
      </c>
      <c r="L33" s="29">
        <v>5</v>
      </c>
      <c r="M33" s="29">
        <v>5.0999999999999996</v>
      </c>
      <c r="N33" s="29">
        <v>5.3</v>
      </c>
      <c r="O33" s="30">
        <f t="shared" si="1"/>
        <v>5.0999999999999996</v>
      </c>
      <c r="P33" s="30">
        <f t="shared" si="2"/>
        <v>0</v>
      </c>
    </row>
    <row r="34" spans="1:16">
      <c r="A34" s="26" t="s">
        <v>291</v>
      </c>
      <c r="B34" s="17">
        <v>1873</v>
      </c>
      <c r="C34" s="27">
        <v>-2.4675059999999999E-2</v>
      </c>
      <c r="D34" s="27">
        <v>6.7441070000000006E-2</v>
      </c>
      <c r="E34" s="27">
        <v>-4.41205E-2</v>
      </c>
      <c r="F34" s="28">
        <f t="shared" si="0"/>
        <v>1.2171392000000005E-2</v>
      </c>
      <c r="H34" s="17">
        <v>68</v>
      </c>
      <c r="I34" s="17">
        <v>32</v>
      </c>
      <c r="J34" s="29">
        <v>4.7</v>
      </c>
      <c r="K34" s="29">
        <v>4.8</v>
      </c>
      <c r="L34" s="29">
        <v>5</v>
      </c>
      <c r="M34" s="29">
        <v>5.2</v>
      </c>
      <c r="N34" s="29">
        <v>5.4</v>
      </c>
      <c r="O34" s="30">
        <f t="shared" si="1"/>
        <v>5.2</v>
      </c>
      <c r="P34" s="30">
        <f t="shared" si="2"/>
        <v>0</v>
      </c>
    </row>
    <row r="35" spans="1:16">
      <c r="A35" s="26" t="s">
        <v>291</v>
      </c>
      <c r="B35" s="17">
        <v>1874</v>
      </c>
      <c r="C35" s="27">
        <v>4.7128839999999998E-2</v>
      </c>
      <c r="D35" s="27">
        <v>8.7275099999999994E-2</v>
      </c>
      <c r="E35" s="27">
        <v>-6.9225620000000002E-2</v>
      </c>
      <c r="F35" s="28">
        <f t="shared" si="0"/>
        <v>6.3187343999999993E-2</v>
      </c>
      <c r="H35" s="17">
        <v>69</v>
      </c>
      <c r="I35" s="17">
        <v>31</v>
      </c>
      <c r="J35" s="29">
        <v>4.8</v>
      </c>
      <c r="K35" s="29">
        <v>4.9000000000000004</v>
      </c>
      <c r="L35" s="29">
        <v>5.0999999999999996</v>
      </c>
      <c r="M35" s="29">
        <v>5.3</v>
      </c>
      <c r="N35" s="29">
        <v>5.5</v>
      </c>
      <c r="O35" s="30">
        <f t="shared" si="1"/>
        <v>5.3</v>
      </c>
      <c r="P35" s="30">
        <f t="shared" si="2"/>
        <v>0</v>
      </c>
    </row>
    <row r="36" spans="1:16">
      <c r="A36" s="26" t="s">
        <v>291</v>
      </c>
      <c r="B36" s="17">
        <v>1875</v>
      </c>
      <c r="C36" s="27">
        <v>5.3541779999999997E-2</v>
      </c>
      <c r="D36" s="27">
        <v>8.6993210000000001E-2</v>
      </c>
      <c r="E36" s="27">
        <v>-5.7856009999999999E-2</v>
      </c>
      <c r="F36" s="28">
        <f t="shared" si="0"/>
        <v>6.6922352000000004E-2</v>
      </c>
      <c r="H36" s="17">
        <v>70</v>
      </c>
      <c r="I36" s="17">
        <v>30</v>
      </c>
      <c r="J36" s="29">
        <v>4.9000000000000004</v>
      </c>
      <c r="K36" s="29">
        <v>5</v>
      </c>
      <c r="L36" s="29">
        <v>5.2</v>
      </c>
      <c r="M36" s="29">
        <v>5.4</v>
      </c>
      <c r="N36" s="29">
        <v>5.6</v>
      </c>
      <c r="O36" s="30">
        <f t="shared" si="1"/>
        <v>5.4</v>
      </c>
      <c r="P36" s="30">
        <f t="shared" si="2"/>
        <v>0</v>
      </c>
    </row>
    <row r="37" spans="1:16">
      <c r="A37" s="26" t="s">
        <v>291</v>
      </c>
      <c r="B37" s="17">
        <v>1876</v>
      </c>
      <c r="C37" s="27">
        <v>-0.14169926999999999</v>
      </c>
      <c r="D37" s="27">
        <v>5.7589029999999999E-2</v>
      </c>
      <c r="E37" s="27">
        <v>8.7737600000000002E-3</v>
      </c>
      <c r="F37" s="28">
        <f t="shared" si="0"/>
        <v>-6.1983949999999996E-2</v>
      </c>
      <c r="H37" s="17">
        <v>71</v>
      </c>
      <c r="I37" s="17">
        <v>29</v>
      </c>
      <c r="J37" s="29">
        <v>5</v>
      </c>
      <c r="K37" s="29">
        <v>5.0999999999999996</v>
      </c>
      <c r="L37" s="29">
        <v>5.3</v>
      </c>
      <c r="M37" s="29">
        <v>5.5</v>
      </c>
      <c r="N37" s="29">
        <v>5.7</v>
      </c>
      <c r="O37" s="30">
        <f t="shared" si="1"/>
        <v>5.5</v>
      </c>
      <c r="P37" s="30">
        <f t="shared" si="2"/>
        <v>0</v>
      </c>
    </row>
    <row r="38" spans="1:16">
      <c r="A38" s="26" t="s">
        <v>291</v>
      </c>
      <c r="B38" s="17">
        <v>1877</v>
      </c>
      <c r="C38" s="27">
        <v>-1.3361430000000001E-2</v>
      </c>
      <c r="D38" s="27">
        <v>5.4102989999999997E-2</v>
      </c>
      <c r="E38" s="27">
        <v>-0.15652456000000001</v>
      </c>
      <c r="F38" s="28">
        <f t="shared" ref="F38:F69" si="3">0.6*C38+0.4*D38</f>
        <v>1.3624338000000001E-2</v>
      </c>
      <c r="H38" s="17">
        <v>72</v>
      </c>
      <c r="I38" s="17">
        <v>28</v>
      </c>
      <c r="J38" s="29">
        <v>5.0999999999999996</v>
      </c>
      <c r="K38" s="29">
        <v>5.3</v>
      </c>
      <c r="L38" s="29">
        <v>5.4</v>
      </c>
      <c r="M38" s="29">
        <v>5.6</v>
      </c>
      <c r="N38" s="29">
        <v>5.8</v>
      </c>
      <c r="O38" s="30">
        <f t="shared" ref="O38:O65" si="4">ROUND($P$70/(1-(1+$P$70)^(-I38))/(1+$P$70)*100,1)</f>
        <v>5.6</v>
      </c>
      <c r="P38" s="30">
        <f t="shared" ref="P38:P69" si="5">O38-M38</f>
        <v>0</v>
      </c>
    </row>
    <row r="39" spans="1:16">
      <c r="A39" s="26" t="s">
        <v>291</v>
      </c>
      <c r="B39" s="17">
        <v>1878</v>
      </c>
      <c r="C39" s="27">
        <v>0.16253347000000001</v>
      </c>
      <c r="D39" s="27">
        <v>5.4285510000000002E-2</v>
      </c>
      <c r="E39" s="27">
        <v>-0.10308816</v>
      </c>
      <c r="F39" s="28">
        <f t="shared" si="3"/>
        <v>0.11923428600000001</v>
      </c>
      <c r="H39" s="17">
        <v>73</v>
      </c>
      <c r="I39" s="17">
        <v>27</v>
      </c>
      <c r="J39" s="29">
        <v>5.2</v>
      </c>
      <c r="K39" s="29">
        <v>5.4</v>
      </c>
      <c r="L39" s="29">
        <v>5.6</v>
      </c>
      <c r="M39" s="29">
        <v>5.7</v>
      </c>
      <c r="N39" s="29">
        <v>5.9</v>
      </c>
      <c r="O39" s="30">
        <f t="shared" si="4"/>
        <v>5.7</v>
      </c>
      <c r="P39" s="30">
        <f t="shared" si="5"/>
        <v>0</v>
      </c>
    </row>
    <row r="40" spans="1:16">
      <c r="A40" s="26" t="s">
        <v>291</v>
      </c>
      <c r="B40" s="17">
        <v>1879</v>
      </c>
      <c r="C40" s="27">
        <v>0.49413212000000001</v>
      </c>
      <c r="D40" s="27">
        <v>5.9791190000000001E-2</v>
      </c>
      <c r="E40" s="27">
        <v>0.20689994</v>
      </c>
      <c r="F40" s="28">
        <f t="shared" si="3"/>
        <v>0.32039574800000004</v>
      </c>
      <c r="H40" s="17">
        <v>74</v>
      </c>
      <c r="I40" s="17">
        <v>26</v>
      </c>
      <c r="J40" s="29">
        <v>5.3</v>
      </c>
      <c r="K40" s="29">
        <v>5.5</v>
      </c>
      <c r="L40" s="29">
        <v>5.7</v>
      </c>
      <c r="M40" s="29">
        <v>5.9</v>
      </c>
      <c r="N40" s="29">
        <v>6.1</v>
      </c>
      <c r="O40" s="30">
        <f t="shared" si="4"/>
        <v>5.9</v>
      </c>
      <c r="P40" s="30">
        <f t="shared" si="5"/>
        <v>0</v>
      </c>
    </row>
    <row r="41" spans="1:16">
      <c r="A41" s="26" t="s">
        <v>291</v>
      </c>
      <c r="B41" s="17">
        <v>1880</v>
      </c>
      <c r="C41" s="27">
        <v>0.26686714</v>
      </c>
      <c r="D41" s="27">
        <v>6.5047709999999995E-2</v>
      </c>
      <c r="E41" s="27">
        <v>-5.7146339999999997E-2</v>
      </c>
      <c r="F41" s="28">
        <f t="shared" si="3"/>
        <v>0.186139368</v>
      </c>
      <c r="H41" s="17">
        <v>75</v>
      </c>
      <c r="I41" s="17">
        <v>25</v>
      </c>
      <c r="J41" s="29">
        <v>5.5</v>
      </c>
      <c r="K41" s="29">
        <v>5.7</v>
      </c>
      <c r="L41" s="29">
        <v>5.8</v>
      </c>
      <c r="M41" s="29">
        <v>6</v>
      </c>
      <c r="N41" s="29">
        <v>6.2</v>
      </c>
      <c r="O41" s="30">
        <f t="shared" si="4"/>
        <v>6</v>
      </c>
      <c r="P41" s="30">
        <f t="shared" si="5"/>
        <v>0</v>
      </c>
    </row>
    <row r="42" spans="1:16">
      <c r="A42" s="26" t="s">
        <v>291</v>
      </c>
      <c r="B42" s="17">
        <v>1881</v>
      </c>
      <c r="C42" s="27">
        <v>3.0610300000000002E-3</v>
      </c>
      <c r="D42" s="27">
        <v>4.3431280000000003E-2</v>
      </c>
      <c r="E42" s="27">
        <v>8.0807550000000006E-2</v>
      </c>
      <c r="F42" s="28">
        <f t="shared" si="3"/>
        <v>1.9209130000000005E-2</v>
      </c>
      <c r="H42" s="17">
        <v>76</v>
      </c>
      <c r="I42" s="17">
        <v>24</v>
      </c>
      <c r="J42" s="29">
        <v>5.6</v>
      </c>
      <c r="K42" s="29">
        <v>5.8</v>
      </c>
      <c r="L42" s="29">
        <v>6</v>
      </c>
      <c r="M42" s="29">
        <v>6.2</v>
      </c>
      <c r="N42" s="29">
        <v>6.3</v>
      </c>
      <c r="O42" s="30">
        <f t="shared" si="4"/>
        <v>6.2</v>
      </c>
      <c r="P42" s="30">
        <f t="shared" si="5"/>
        <v>0</v>
      </c>
    </row>
    <row r="43" spans="1:16">
      <c r="A43" s="26" t="s">
        <v>291</v>
      </c>
      <c r="B43" s="17">
        <v>1882</v>
      </c>
      <c r="C43" s="27">
        <v>3.6140150000000003E-2</v>
      </c>
      <c r="D43" s="27">
        <v>3.6146249999999998E-2</v>
      </c>
      <c r="E43" s="27">
        <v>-1.8687479999999999E-2</v>
      </c>
      <c r="F43" s="28">
        <f t="shared" si="3"/>
        <v>3.6142590000000002E-2</v>
      </c>
      <c r="H43" s="17">
        <v>77</v>
      </c>
      <c r="I43" s="17">
        <v>23</v>
      </c>
      <c r="J43" s="29">
        <v>5.8</v>
      </c>
      <c r="K43" s="29">
        <v>6</v>
      </c>
      <c r="L43" s="29">
        <v>6.2</v>
      </c>
      <c r="M43" s="29">
        <v>6.3</v>
      </c>
      <c r="N43" s="29">
        <v>6.5</v>
      </c>
      <c r="O43" s="30">
        <f t="shared" si="4"/>
        <v>6.3</v>
      </c>
      <c r="P43" s="30">
        <f t="shared" si="5"/>
        <v>0</v>
      </c>
    </row>
    <row r="44" spans="1:16">
      <c r="A44" s="26" t="s">
        <v>291</v>
      </c>
      <c r="B44" s="17">
        <v>1883</v>
      </c>
      <c r="C44" s="27">
        <v>-5.4845890000000001E-2</v>
      </c>
      <c r="D44" s="27">
        <v>3.8360400000000003E-2</v>
      </c>
      <c r="E44" s="27">
        <v>-7.6197819999999999E-2</v>
      </c>
      <c r="F44" s="28">
        <f t="shared" si="3"/>
        <v>-1.7563374E-2</v>
      </c>
      <c r="H44" s="17">
        <v>78</v>
      </c>
      <c r="I44" s="17">
        <v>22</v>
      </c>
      <c r="J44" s="29">
        <v>6</v>
      </c>
      <c r="K44" s="29">
        <v>6.2</v>
      </c>
      <c r="L44" s="29">
        <v>6.3</v>
      </c>
      <c r="M44" s="29">
        <v>6.5</v>
      </c>
      <c r="N44" s="29">
        <v>6.7</v>
      </c>
      <c r="O44" s="30">
        <f t="shared" si="4"/>
        <v>6.5</v>
      </c>
      <c r="P44" s="30">
        <f t="shared" si="5"/>
        <v>0</v>
      </c>
    </row>
    <row r="45" spans="1:16">
      <c r="A45" s="26" t="s">
        <v>291</v>
      </c>
      <c r="B45" s="17">
        <v>1884</v>
      </c>
      <c r="C45" s="27">
        <v>-0.12376681</v>
      </c>
      <c r="D45" s="27">
        <v>4.5265729999999997E-2</v>
      </c>
      <c r="E45" s="27">
        <v>-0.10308816</v>
      </c>
      <c r="F45" s="28">
        <f t="shared" si="3"/>
        <v>-5.6153794000000007E-2</v>
      </c>
      <c r="H45" s="17">
        <v>79</v>
      </c>
      <c r="I45" s="17">
        <v>21</v>
      </c>
      <c r="J45" s="29">
        <v>6.2</v>
      </c>
      <c r="K45" s="29">
        <v>6.4</v>
      </c>
      <c r="L45" s="29">
        <v>6.5</v>
      </c>
      <c r="M45" s="29">
        <v>6.7</v>
      </c>
      <c r="N45" s="29">
        <v>6.9</v>
      </c>
      <c r="O45" s="30">
        <f t="shared" si="4"/>
        <v>6.7</v>
      </c>
      <c r="P45" s="30">
        <f t="shared" si="5"/>
        <v>0</v>
      </c>
    </row>
    <row r="46" spans="1:16">
      <c r="A46" s="26" t="s">
        <v>291</v>
      </c>
      <c r="B46" s="17">
        <v>1885</v>
      </c>
      <c r="C46" s="27">
        <v>0.29895748</v>
      </c>
      <c r="D46" s="27">
        <v>4.5811419999999999E-2</v>
      </c>
      <c r="E46" s="27">
        <v>-3.4483979999999997E-2</v>
      </c>
      <c r="F46" s="28">
        <f t="shared" si="3"/>
        <v>0.19769905599999998</v>
      </c>
      <c r="H46" s="17">
        <v>80</v>
      </c>
      <c r="I46" s="17">
        <v>20</v>
      </c>
      <c r="J46" s="29">
        <v>6.4</v>
      </c>
      <c r="K46" s="29">
        <v>6.6</v>
      </c>
      <c r="L46" s="29">
        <v>6.8</v>
      </c>
      <c r="M46" s="29">
        <v>6.9</v>
      </c>
      <c r="N46" s="29">
        <v>7.1</v>
      </c>
      <c r="O46" s="30">
        <f t="shared" si="4"/>
        <v>6.9</v>
      </c>
      <c r="P46" s="30">
        <f t="shared" si="5"/>
        <v>0</v>
      </c>
    </row>
    <row r="47" spans="1:16">
      <c r="A47" s="26" t="s">
        <v>291</v>
      </c>
      <c r="B47" s="17">
        <v>1886</v>
      </c>
      <c r="C47" s="27">
        <v>0.11939988999999999</v>
      </c>
      <c r="D47" s="27">
        <v>2.2160280000000001E-2</v>
      </c>
      <c r="E47" s="27">
        <v>0</v>
      </c>
      <c r="F47" s="28">
        <f t="shared" si="3"/>
        <v>8.0504045999999996E-2</v>
      </c>
      <c r="H47" s="17">
        <v>81</v>
      </c>
      <c r="I47" s="17">
        <v>19</v>
      </c>
      <c r="J47" s="29">
        <v>6.7</v>
      </c>
      <c r="K47" s="29">
        <v>6.9</v>
      </c>
      <c r="L47" s="29">
        <v>7</v>
      </c>
      <c r="M47" s="29">
        <v>7.2</v>
      </c>
      <c r="N47" s="29">
        <v>7.4</v>
      </c>
      <c r="O47" s="30">
        <f t="shared" si="4"/>
        <v>7.2</v>
      </c>
      <c r="P47" s="30">
        <f t="shared" si="5"/>
        <v>0</v>
      </c>
    </row>
    <row r="48" spans="1:16">
      <c r="A48" s="26" t="s">
        <v>291</v>
      </c>
      <c r="B48" s="17">
        <v>1887</v>
      </c>
      <c r="C48" s="27">
        <v>-6.2871799999999999E-3</v>
      </c>
      <c r="D48" s="27">
        <v>2.6398049999999999E-2</v>
      </c>
      <c r="E48" s="27">
        <v>4.7622820000000003E-2</v>
      </c>
      <c r="F48" s="28">
        <f t="shared" si="3"/>
        <v>6.7869120000000008E-3</v>
      </c>
      <c r="H48" s="17">
        <v>82</v>
      </c>
      <c r="I48" s="17">
        <v>18</v>
      </c>
      <c r="J48" s="29">
        <v>7</v>
      </c>
      <c r="K48" s="29">
        <v>7.1</v>
      </c>
      <c r="L48" s="29">
        <v>7.3</v>
      </c>
      <c r="M48" s="29">
        <v>7.5</v>
      </c>
      <c r="N48" s="29">
        <v>7.6</v>
      </c>
      <c r="O48" s="30">
        <f t="shared" si="4"/>
        <v>7.5</v>
      </c>
      <c r="P48" s="30">
        <f t="shared" si="5"/>
        <v>0</v>
      </c>
    </row>
    <row r="49" spans="1:16">
      <c r="A49" s="26" t="s">
        <v>291</v>
      </c>
      <c r="B49" s="17">
        <v>1888</v>
      </c>
      <c r="C49" s="27">
        <v>3.2901729999999997E-2</v>
      </c>
      <c r="D49" s="27">
        <v>5.3845509999999999E-2</v>
      </c>
      <c r="E49" s="27">
        <v>-4.5457959999999999E-2</v>
      </c>
      <c r="F49" s="28">
        <f t="shared" si="3"/>
        <v>4.1279242000000001E-2</v>
      </c>
      <c r="H49" s="17">
        <v>83</v>
      </c>
      <c r="I49" s="17">
        <v>17</v>
      </c>
      <c r="J49" s="29">
        <v>7.3</v>
      </c>
      <c r="K49" s="29">
        <v>7.4</v>
      </c>
      <c r="L49" s="29">
        <v>7.6</v>
      </c>
      <c r="M49" s="29">
        <v>7.8</v>
      </c>
      <c r="N49" s="29">
        <v>7.9</v>
      </c>
      <c r="O49" s="30">
        <f t="shared" si="4"/>
        <v>7.8</v>
      </c>
      <c r="P49" s="30">
        <f t="shared" si="5"/>
        <v>0</v>
      </c>
    </row>
    <row r="50" spans="1:16">
      <c r="A50" s="26" t="s">
        <v>291</v>
      </c>
      <c r="B50" s="17">
        <v>1889</v>
      </c>
      <c r="C50" s="27">
        <v>7.0645620000000006E-2</v>
      </c>
      <c r="D50" s="27">
        <v>3.5821020000000002E-2</v>
      </c>
      <c r="E50" s="27">
        <v>-4.7618760000000003E-2</v>
      </c>
      <c r="F50" s="28">
        <f t="shared" si="3"/>
        <v>5.671578E-2</v>
      </c>
      <c r="H50" s="17">
        <v>84</v>
      </c>
      <c r="I50" s="17">
        <v>16</v>
      </c>
      <c r="J50" s="29">
        <v>7.6</v>
      </c>
      <c r="K50" s="29">
        <v>7.8</v>
      </c>
      <c r="L50" s="29">
        <v>8</v>
      </c>
      <c r="M50" s="29">
        <v>8.1</v>
      </c>
      <c r="N50" s="29">
        <v>8.3000000000000007</v>
      </c>
      <c r="O50" s="30">
        <f t="shared" si="4"/>
        <v>8.1</v>
      </c>
      <c r="P50" s="30">
        <f t="shared" si="5"/>
        <v>0</v>
      </c>
    </row>
    <row r="51" spans="1:16">
      <c r="A51" s="26" t="s">
        <v>291</v>
      </c>
      <c r="B51" s="17">
        <v>1890</v>
      </c>
      <c r="C51" s="27">
        <v>-6.1584069999999998E-2</v>
      </c>
      <c r="D51" s="27">
        <v>2.029129E-2</v>
      </c>
      <c r="E51" s="27">
        <v>2.4999839999999999E-2</v>
      </c>
      <c r="F51" s="28">
        <f t="shared" si="3"/>
        <v>-2.8833925999999999E-2</v>
      </c>
      <c r="H51" s="17">
        <v>85</v>
      </c>
      <c r="I51" s="17">
        <v>15</v>
      </c>
      <c r="J51" s="29">
        <v>8</v>
      </c>
      <c r="K51" s="29">
        <v>8.1999999999999993</v>
      </c>
      <c r="L51" s="29">
        <v>8.4</v>
      </c>
      <c r="M51" s="29">
        <v>8.5</v>
      </c>
      <c r="N51" s="29">
        <v>8.6999999999999993</v>
      </c>
      <c r="O51" s="30">
        <f t="shared" si="4"/>
        <v>8.5</v>
      </c>
      <c r="P51" s="30">
        <f t="shared" si="5"/>
        <v>0</v>
      </c>
    </row>
    <row r="52" spans="1:16">
      <c r="A52" s="26" t="s">
        <v>291</v>
      </c>
      <c r="B52" s="17">
        <v>1891</v>
      </c>
      <c r="C52" s="27">
        <v>0.18883320000000001</v>
      </c>
      <c r="D52" s="27">
        <v>3.7196369999999999E-2</v>
      </c>
      <c r="E52" s="27">
        <v>-6.097574E-2</v>
      </c>
      <c r="F52" s="28">
        <f t="shared" si="3"/>
        <v>0.12817846799999999</v>
      </c>
      <c r="H52" s="17">
        <v>86</v>
      </c>
      <c r="I52" s="17">
        <v>14</v>
      </c>
      <c r="J52" s="29">
        <v>8.5</v>
      </c>
      <c r="K52" s="29">
        <v>8.6999999999999993</v>
      </c>
      <c r="L52" s="29">
        <v>8.8000000000000007</v>
      </c>
      <c r="M52" s="29">
        <v>9</v>
      </c>
      <c r="N52" s="29">
        <v>9.1</v>
      </c>
      <c r="O52" s="30">
        <f t="shared" si="4"/>
        <v>9</v>
      </c>
      <c r="P52" s="30">
        <f t="shared" si="5"/>
        <v>0</v>
      </c>
    </row>
    <row r="53" spans="1:16">
      <c r="A53" s="26" t="s">
        <v>291</v>
      </c>
      <c r="B53" s="17">
        <v>1892</v>
      </c>
      <c r="C53" s="27">
        <v>6.1550359999999998E-2</v>
      </c>
      <c r="D53" s="27">
        <v>2.605646E-2</v>
      </c>
      <c r="E53" s="27">
        <v>7.7922699999999998E-2</v>
      </c>
      <c r="F53" s="28">
        <f t="shared" si="3"/>
        <v>4.7352799999999994E-2</v>
      </c>
      <c r="H53" s="17">
        <v>87</v>
      </c>
      <c r="I53" s="17">
        <v>13</v>
      </c>
      <c r="J53" s="29">
        <v>9</v>
      </c>
      <c r="K53" s="29">
        <v>9.1999999999999993</v>
      </c>
      <c r="L53" s="29">
        <v>9.4</v>
      </c>
      <c r="M53" s="29">
        <v>9.5</v>
      </c>
      <c r="N53" s="29">
        <v>9.6999999999999993</v>
      </c>
      <c r="O53" s="30">
        <f t="shared" si="4"/>
        <v>9.5</v>
      </c>
      <c r="P53" s="30">
        <f t="shared" si="5"/>
        <v>0</v>
      </c>
    </row>
    <row r="54" spans="1:16">
      <c r="A54" s="26" t="s">
        <v>291</v>
      </c>
      <c r="B54" s="17">
        <v>1893</v>
      </c>
      <c r="C54" s="27">
        <v>-0.18796934000000001</v>
      </c>
      <c r="D54" s="27">
        <v>4.3529060000000001E-2</v>
      </c>
      <c r="E54" s="27">
        <v>-0.13253076999999999</v>
      </c>
      <c r="F54" s="28">
        <f t="shared" si="3"/>
        <v>-9.5369980000000007E-2</v>
      </c>
      <c r="H54" s="17">
        <v>88</v>
      </c>
      <c r="I54" s="17">
        <v>12</v>
      </c>
      <c r="J54" s="29">
        <v>9.6999999999999993</v>
      </c>
      <c r="K54" s="29">
        <v>9.8000000000000007</v>
      </c>
      <c r="L54" s="29">
        <v>10</v>
      </c>
      <c r="M54" s="29">
        <v>10.1</v>
      </c>
      <c r="N54" s="29">
        <v>10.3</v>
      </c>
      <c r="O54" s="30">
        <f t="shared" si="4"/>
        <v>10.1</v>
      </c>
      <c r="P54" s="30">
        <f t="shared" si="5"/>
        <v>0</v>
      </c>
    </row>
    <row r="55" spans="1:16">
      <c r="A55" s="26" t="s">
        <v>291</v>
      </c>
      <c r="B55" s="17">
        <v>1894</v>
      </c>
      <c r="C55" s="27">
        <v>3.5553290000000001E-2</v>
      </c>
      <c r="D55" s="27">
        <v>5.4388319999999997E-2</v>
      </c>
      <c r="E55" s="27">
        <v>-4.1665840000000003E-2</v>
      </c>
      <c r="F55" s="28">
        <f t="shared" si="3"/>
        <v>4.3087302000000001E-2</v>
      </c>
      <c r="H55" s="17">
        <v>89</v>
      </c>
      <c r="I55" s="17">
        <v>11</v>
      </c>
      <c r="J55" s="29">
        <v>10.4</v>
      </c>
      <c r="K55" s="29">
        <v>10.6</v>
      </c>
      <c r="L55" s="29">
        <v>10.7</v>
      </c>
      <c r="M55" s="29">
        <v>10.9</v>
      </c>
      <c r="N55" s="29">
        <v>11</v>
      </c>
      <c r="O55" s="30">
        <f t="shared" si="4"/>
        <v>10.9</v>
      </c>
      <c r="P55" s="30">
        <f t="shared" si="5"/>
        <v>0</v>
      </c>
    </row>
    <row r="56" spans="1:16">
      <c r="A56" s="26" t="s">
        <v>291</v>
      </c>
      <c r="B56" s="17">
        <v>1895</v>
      </c>
      <c r="C56" s="27">
        <v>4.9585799999999999E-2</v>
      </c>
      <c r="D56" s="27">
        <v>2.6339109999999999E-2</v>
      </c>
      <c r="E56" s="27">
        <v>1.4492039999999999E-2</v>
      </c>
      <c r="F56" s="28">
        <f t="shared" si="3"/>
        <v>4.0287123999999994E-2</v>
      </c>
      <c r="H56" s="17">
        <v>90</v>
      </c>
      <c r="I56" s="17">
        <v>10</v>
      </c>
      <c r="J56" s="29">
        <v>11.3</v>
      </c>
      <c r="K56" s="29">
        <v>11.4</v>
      </c>
      <c r="L56" s="29">
        <v>11.6</v>
      </c>
      <c r="M56" s="29">
        <v>11.7</v>
      </c>
      <c r="N56" s="29">
        <v>11.9</v>
      </c>
      <c r="O56" s="30">
        <f t="shared" si="4"/>
        <v>11.7</v>
      </c>
      <c r="P56" s="30">
        <f t="shared" si="5"/>
        <v>0</v>
      </c>
    </row>
    <row r="57" spans="1:16">
      <c r="A57" s="26" t="s">
        <v>291</v>
      </c>
      <c r="B57" s="17">
        <v>1896</v>
      </c>
      <c r="C57" s="27">
        <v>3.2194159999999999E-2</v>
      </c>
      <c r="D57" s="27">
        <v>5.1811879999999998E-2</v>
      </c>
      <c r="E57" s="27">
        <v>-2.8571249999999999E-2</v>
      </c>
      <c r="F57" s="28">
        <f t="shared" si="3"/>
        <v>4.0041248000000002E-2</v>
      </c>
      <c r="H57" s="17">
        <v>91</v>
      </c>
      <c r="I57" s="17">
        <v>9</v>
      </c>
      <c r="J57" s="29">
        <v>12.4</v>
      </c>
      <c r="K57" s="29">
        <v>12.5</v>
      </c>
      <c r="L57" s="29">
        <v>12.7</v>
      </c>
      <c r="M57" s="29">
        <v>12.8</v>
      </c>
      <c r="N57" s="29">
        <v>13</v>
      </c>
      <c r="O57" s="30">
        <f t="shared" si="4"/>
        <v>12.8</v>
      </c>
      <c r="P57" s="30">
        <f t="shared" si="5"/>
        <v>0</v>
      </c>
    </row>
    <row r="58" spans="1:16">
      <c r="A58" s="26" t="s">
        <v>291</v>
      </c>
      <c r="B58" s="17">
        <v>1897</v>
      </c>
      <c r="C58" s="27">
        <v>0.20373199</v>
      </c>
      <c r="D58" s="27">
        <v>4.0062069999999998E-2</v>
      </c>
      <c r="E58" s="27">
        <v>2.9411590000000001E-2</v>
      </c>
      <c r="F58" s="28">
        <f t="shared" si="3"/>
        <v>0.13826402199999999</v>
      </c>
      <c r="H58" s="17">
        <v>92</v>
      </c>
      <c r="I58" s="17">
        <v>8</v>
      </c>
      <c r="J58" s="29">
        <v>13.8</v>
      </c>
      <c r="K58" s="29">
        <v>13.9</v>
      </c>
      <c r="L58" s="29">
        <v>14</v>
      </c>
      <c r="M58" s="29">
        <v>14.2</v>
      </c>
      <c r="N58" s="29">
        <v>14.3</v>
      </c>
      <c r="O58" s="30">
        <f t="shared" si="4"/>
        <v>14.2</v>
      </c>
      <c r="P58" s="30">
        <f t="shared" si="5"/>
        <v>0</v>
      </c>
    </row>
    <row r="59" spans="1:16">
      <c r="A59" s="26" t="s">
        <v>291</v>
      </c>
      <c r="B59" s="17">
        <v>1898</v>
      </c>
      <c r="C59" s="27">
        <v>0.29342052000000002</v>
      </c>
      <c r="D59" s="27">
        <v>5.2455889999999998E-2</v>
      </c>
      <c r="E59" s="27">
        <v>1.428625E-2</v>
      </c>
      <c r="F59" s="28">
        <f t="shared" si="3"/>
        <v>0.19703466800000002</v>
      </c>
      <c r="H59" s="17">
        <v>93</v>
      </c>
      <c r="I59" s="17">
        <v>7</v>
      </c>
      <c r="J59" s="29">
        <v>15.5</v>
      </c>
      <c r="K59" s="29">
        <v>15.6</v>
      </c>
      <c r="L59" s="29">
        <v>15.8</v>
      </c>
      <c r="M59" s="29">
        <v>15.9</v>
      </c>
      <c r="N59" s="29">
        <v>16.100000000000001</v>
      </c>
      <c r="O59" s="30">
        <f t="shared" si="4"/>
        <v>15.9</v>
      </c>
      <c r="P59" s="30">
        <f t="shared" si="5"/>
        <v>0</v>
      </c>
    </row>
    <row r="60" spans="1:16">
      <c r="A60" s="26" t="s">
        <v>291</v>
      </c>
      <c r="B60" s="17">
        <v>1899</v>
      </c>
      <c r="C60" s="27">
        <v>3.6804620000000003E-2</v>
      </c>
      <c r="D60" s="27">
        <v>2.8076879999999999E-2</v>
      </c>
      <c r="E60" s="27">
        <v>0.16901418000000001</v>
      </c>
      <c r="F60" s="28">
        <f t="shared" si="3"/>
        <v>3.3313523999999997E-2</v>
      </c>
      <c r="H60" s="17">
        <v>94</v>
      </c>
      <c r="I60" s="17">
        <v>6</v>
      </c>
      <c r="J60" s="29">
        <v>17.899999999999999</v>
      </c>
      <c r="K60" s="29">
        <v>18</v>
      </c>
      <c r="L60" s="29">
        <v>18.100000000000001</v>
      </c>
      <c r="M60" s="29">
        <v>18.2</v>
      </c>
      <c r="N60" s="29">
        <v>18.399999999999999</v>
      </c>
      <c r="O60" s="30">
        <f t="shared" si="4"/>
        <v>18.2</v>
      </c>
      <c r="P60" s="30">
        <f t="shared" si="5"/>
        <v>0</v>
      </c>
    </row>
    <row r="61" spans="1:16">
      <c r="A61" s="26" t="s">
        <v>291</v>
      </c>
      <c r="B61" s="17">
        <v>1900</v>
      </c>
      <c r="C61" s="27">
        <v>0.20951752000000001</v>
      </c>
      <c r="D61" s="27">
        <v>3.511806E-2</v>
      </c>
      <c r="E61" s="27">
        <v>-2.4097239999999999E-2</v>
      </c>
      <c r="F61" s="28">
        <f t="shared" si="3"/>
        <v>0.13975773599999999</v>
      </c>
      <c r="H61" s="17">
        <v>95</v>
      </c>
      <c r="I61" s="17">
        <v>5</v>
      </c>
      <c r="J61" s="29">
        <v>21.1</v>
      </c>
      <c r="K61" s="29">
        <v>21.3</v>
      </c>
      <c r="L61" s="29">
        <v>21.4</v>
      </c>
      <c r="M61" s="29">
        <v>21.5</v>
      </c>
      <c r="N61" s="29">
        <v>21.6</v>
      </c>
      <c r="O61" s="30">
        <f t="shared" si="4"/>
        <v>21.5</v>
      </c>
      <c r="P61" s="30">
        <f t="shared" si="5"/>
        <v>0</v>
      </c>
    </row>
    <row r="62" spans="1:16">
      <c r="A62" s="26" t="s">
        <v>291</v>
      </c>
      <c r="B62" s="17">
        <v>1901</v>
      </c>
      <c r="C62" s="27">
        <v>0.19464390000000001</v>
      </c>
      <c r="D62" s="27">
        <v>2.461762E-2</v>
      </c>
      <c r="E62" s="27">
        <v>2.469228E-2</v>
      </c>
      <c r="F62" s="28">
        <f t="shared" si="3"/>
        <v>0.12663338800000001</v>
      </c>
      <c r="H62" s="17">
        <v>96</v>
      </c>
      <c r="I62" s="17">
        <v>4</v>
      </c>
      <c r="J62" s="29">
        <v>26.1</v>
      </c>
      <c r="K62" s="29">
        <v>26.2</v>
      </c>
      <c r="L62" s="29">
        <v>26.3</v>
      </c>
      <c r="M62" s="29">
        <v>26.4</v>
      </c>
      <c r="N62" s="29">
        <v>26.5</v>
      </c>
      <c r="O62" s="30">
        <f t="shared" si="4"/>
        <v>26.4</v>
      </c>
      <c r="P62" s="30">
        <f t="shared" si="5"/>
        <v>0</v>
      </c>
    </row>
    <row r="63" spans="1:16">
      <c r="A63" s="26" t="s">
        <v>291</v>
      </c>
      <c r="B63" s="17">
        <v>1902</v>
      </c>
      <c r="C63" s="27">
        <v>8.2883689999999996E-2</v>
      </c>
      <c r="D63" s="27">
        <v>2.2663969999999999E-2</v>
      </c>
      <c r="E63" s="27">
        <v>9.6385949999999998E-2</v>
      </c>
      <c r="F63" s="28">
        <f t="shared" si="3"/>
        <v>5.8795801999999994E-2</v>
      </c>
      <c r="H63" s="17">
        <v>97</v>
      </c>
      <c r="I63" s="17">
        <v>3</v>
      </c>
      <c r="J63" s="29">
        <v>34.299999999999997</v>
      </c>
      <c r="K63" s="29">
        <v>34.4</v>
      </c>
      <c r="L63" s="29">
        <v>34.5</v>
      </c>
      <c r="M63" s="29">
        <v>34.6</v>
      </c>
      <c r="N63" s="29">
        <v>34.700000000000003</v>
      </c>
      <c r="O63" s="30">
        <f t="shared" si="4"/>
        <v>34.6</v>
      </c>
      <c r="P63" s="30">
        <f t="shared" si="5"/>
        <v>0</v>
      </c>
    </row>
    <row r="64" spans="1:16">
      <c r="A64" s="26" t="s">
        <v>291</v>
      </c>
      <c r="B64" s="17">
        <v>1903</v>
      </c>
      <c r="C64" s="27">
        <v>-0.17087237999999999</v>
      </c>
      <c r="D64" s="27">
        <v>2.5553380000000001E-2</v>
      </c>
      <c r="E64" s="27">
        <v>-4.3955729999999998E-2</v>
      </c>
      <c r="F64" s="28">
        <f t="shared" si="3"/>
        <v>-9.2302075999999983E-2</v>
      </c>
      <c r="H64" s="17">
        <v>98</v>
      </c>
      <c r="I64" s="17">
        <v>2</v>
      </c>
      <c r="J64" s="29">
        <v>50.7</v>
      </c>
      <c r="K64" s="29">
        <v>50.8</v>
      </c>
      <c r="L64" s="29">
        <v>50.8</v>
      </c>
      <c r="M64" s="29">
        <v>50.9</v>
      </c>
      <c r="N64" s="29">
        <v>51</v>
      </c>
      <c r="O64" s="30">
        <f t="shared" si="4"/>
        <v>50.9</v>
      </c>
      <c r="P64" s="30">
        <f t="shared" si="5"/>
        <v>0</v>
      </c>
    </row>
    <row r="65" spans="1:16">
      <c r="A65" s="26" t="s">
        <v>291</v>
      </c>
      <c r="B65" s="17">
        <v>1904</v>
      </c>
      <c r="C65" s="27">
        <v>0.32101747000000003</v>
      </c>
      <c r="D65" s="27">
        <v>2.9008389999999998E-2</v>
      </c>
      <c r="E65" s="27">
        <v>2.2983440000000001E-2</v>
      </c>
      <c r="F65" s="28">
        <f t="shared" si="3"/>
        <v>0.20421383800000001</v>
      </c>
      <c r="H65" s="17">
        <v>99</v>
      </c>
      <c r="I65" s="17">
        <v>1</v>
      </c>
      <c r="J65" s="29">
        <v>100</v>
      </c>
      <c r="K65" s="29">
        <v>100</v>
      </c>
      <c r="L65" s="29">
        <v>100</v>
      </c>
      <c r="M65" s="29">
        <v>100</v>
      </c>
      <c r="N65" s="29">
        <v>100</v>
      </c>
      <c r="O65" s="30">
        <f t="shared" si="4"/>
        <v>100</v>
      </c>
      <c r="P65" s="30">
        <f t="shared" si="5"/>
        <v>0</v>
      </c>
    </row>
    <row r="66" spans="1:16">
      <c r="A66" s="26" t="s">
        <v>291</v>
      </c>
      <c r="B66" s="17">
        <v>1905</v>
      </c>
      <c r="C66" s="27">
        <v>0.21305461000000001</v>
      </c>
      <c r="D66" s="27">
        <v>3.7317509999999998E-2</v>
      </c>
      <c r="E66" s="27">
        <v>0</v>
      </c>
      <c r="F66" s="28">
        <f t="shared" si="3"/>
        <v>0.14275976999999998</v>
      </c>
    </row>
    <row r="67" spans="1:16">
      <c r="A67" s="26" t="s">
        <v>291</v>
      </c>
      <c r="B67" s="17">
        <v>1906</v>
      </c>
      <c r="C67" s="27">
        <v>6.9888600000000004E-3</v>
      </c>
      <c r="D67" s="27">
        <v>1.5982920000000001E-2</v>
      </c>
      <c r="E67" s="27">
        <v>4.494372E-2</v>
      </c>
      <c r="F67" s="28">
        <f t="shared" si="3"/>
        <v>1.0586484E-2</v>
      </c>
      <c r="O67" s="2" t="s">
        <v>292</v>
      </c>
      <c r="P67" s="13">
        <f>SUMPRODUCT(--(ABS(P6:P65)&gt;0.001))</f>
        <v>0</v>
      </c>
    </row>
    <row r="68" spans="1:16" ht="45" customHeight="1">
      <c r="A68" s="26" t="s">
        <v>291</v>
      </c>
      <c r="B68" s="17">
        <v>1907</v>
      </c>
      <c r="C68" s="27">
        <v>-0.24182930999999999</v>
      </c>
      <c r="D68" s="27">
        <v>2.365045E-2</v>
      </c>
      <c r="E68" s="27">
        <v>-2.1500760000000001E-2</v>
      </c>
      <c r="F68" s="28">
        <f t="shared" si="3"/>
        <v>-0.13563740599999999</v>
      </c>
      <c r="H68" s="34" t="s">
        <v>293</v>
      </c>
      <c r="I68" s="32"/>
      <c r="J68" s="32"/>
      <c r="K68" s="32"/>
      <c r="L68" s="32"/>
      <c r="M68" s="32"/>
      <c r="N68" s="32"/>
      <c r="O68" s="32"/>
      <c r="P68" s="32"/>
    </row>
    <row r="69" spans="1:16">
      <c r="A69" s="26" t="s">
        <v>291</v>
      </c>
      <c r="B69" s="17">
        <v>1908</v>
      </c>
      <c r="C69" s="27">
        <v>0.39423598999999998</v>
      </c>
      <c r="D69" s="27">
        <v>4.6344160000000002E-2</v>
      </c>
      <c r="E69" s="27">
        <v>3.2964449999999999E-2</v>
      </c>
      <c r="F69" s="28">
        <f t="shared" si="3"/>
        <v>0.25507925799999998</v>
      </c>
    </row>
    <row r="70" spans="1:16">
      <c r="A70" s="26" t="s">
        <v>291</v>
      </c>
      <c r="B70" s="17">
        <v>1909</v>
      </c>
      <c r="C70" s="27">
        <v>0.16188182000000001</v>
      </c>
      <c r="D70" s="27">
        <v>2.6939769999999998E-2</v>
      </c>
      <c r="E70" s="27">
        <v>0.10638701</v>
      </c>
      <c r="F70" s="28">
        <f t="shared" ref="F70:F101" si="6">0.6*C70+0.4*D70</f>
        <v>0.107905</v>
      </c>
      <c r="O70" s="2" t="s">
        <v>294</v>
      </c>
      <c r="P70" s="8">
        <v>3.7600000000000001E-2</v>
      </c>
    </row>
    <row r="71" spans="1:16">
      <c r="A71" s="26" t="s">
        <v>291</v>
      </c>
      <c r="B71" s="17">
        <v>1910</v>
      </c>
      <c r="C71" s="27">
        <v>-3.3794409999999997E-2</v>
      </c>
      <c r="D71" s="27">
        <v>3.4552369999999999E-2</v>
      </c>
      <c r="E71" s="27">
        <v>-6.7313280000000003E-2</v>
      </c>
      <c r="F71" s="28">
        <f t="shared" si="6"/>
        <v>-6.4556979999999993E-3</v>
      </c>
    </row>
    <row r="72" spans="1:16">
      <c r="A72" s="26" t="s">
        <v>291</v>
      </c>
      <c r="B72" s="17">
        <v>1911</v>
      </c>
      <c r="C72" s="27">
        <v>3.5208900000000001E-2</v>
      </c>
      <c r="D72" s="27">
        <v>3.527748E-2</v>
      </c>
      <c r="E72" s="27">
        <v>-1.030266E-2</v>
      </c>
      <c r="F72" s="28">
        <f t="shared" si="6"/>
        <v>3.5236332000000002E-2</v>
      </c>
    </row>
    <row r="73" spans="1:16">
      <c r="A73" s="26" t="s">
        <v>291</v>
      </c>
      <c r="B73" s="17">
        <v>1912</v>
      </c>
      <c r="C73" s="27">
        <v>7.1792729999999999E-2</v>
      </c>
      <c r="D73" s="27">
        <v>1.1906E-2</v>
      </c>
      <c r="E73" s="27">
        <v>7.2913820000000004E-2</v>
      </c>
      <c r="F73" s="28">
        <f t="shared" si="6"/>
        <v>4.7838037999999999E-2</v>
      </c>
    </row>
    <row r="74" spans="1:16">
      <c r="A74" s="26" t="s">
        <v>291</v>
      </c>
      <c r="B74" s="17">
        <v>1913</v>
      </c>
      <c r="C74" s="27">
        <v>-4.7377309999999999E-2</v>
      </c>
      <c r="D74" s="27">
        <v>6.5736669999999997E-2</v>
      </c>
      <c r="E74" s="27">
        <v>2.0408160000000002E-2</v>
      </c>
      <c r="F74" s="28">
        <f t="shared" si="6"/>
        <v>-2.1317179999999977E-3</v>
      </c>
    </row>
    <row r="75" spans="1:16">
      <c r="A75" s="26" t="s">
        <v>291</v>
      </c>
      <c r="B75" s="17">
        <v>1914</v>
      </c>
      <c r="C75" s="27">
        <v>-5.4699129999999999E-2</v>
      </c>
      <c r="D75" s="27">
        <v>3.8022E-2</v>
      </c>
      <c r="E75" s="27">
        <v>0.01</v>
      </c>
      <c r="F75" s="28">
        <f t="shared" si="6"/>
        <v>-1.7610677999999998E-2</v>
      </c>
    </row>
    <row r="76" spans="1:16">
      <c r="A76" s="26" t="s">
        <v>291</v>
      </c>
      <c r="B76" s="17">
        <v>1915</v>
      </c>
      <c r="C76" s="27">
        <v>0.31218966999999997</v>
      </c>
      <c r="D76" s="27">
        <v>5.5669900000000001E-2</v>
      </c>
      <c r="E76" s="27">
        <v>2.9702969999999999E-2</v>
      </c>
      <c r="F76" s="28">
        <f t="shared" si="6"/>
        <v>0.20958176199999998</v>
      </c>
    </row>
    <row r="77" spans="1:16">
      <c r="A77" s="26" t="s">
        <v>291</v>
      </c>
      <c r="B77" s="17">
        <v>1916</v>
      </c>
      <c r="C77" s="27">
        <v>8.2342499999999999E-2</v>
      </c>
      <c r="D77" s="27">
        <v>2.6101280000000001E-2</v>
      </c>
      <c r="E77" s="27">
        <v>0.12499999000000001</v>
      </c>
      <c r="F77" s="28">
        <f t="shared" si="6"/>
        <v>5.9846011999999997E-2</v>
      </c>
    </row>
    <row r="78" spans="1:16">
      <c r="A78" s="26" t="s">
        <v>291</v>
      </c>
      <c r="B78" s="17">
        <v>1917</v>
      </c>
      <c r="C78" s="27">
        <v>-0.18537996000000001</v>
      </c>
      <c r="D78" s="27">
        <v>1.980239E-2</v>
      </c>
      <c r="E78" s="27">
        <v>0.19658118999999999</v>
      </c>
      <c r="F78" s="28">
        <f t="shared" si="6"/>
        <v>-0.10330702</v>
      </c>
    </row>
    <row r="79" spans="1:16">
      <c r="A79" s="26" t="s">
        <v>291</v>
      </c>
      <c r="B79" s="17">
        <v>1918</v>
      </c>
      <c r="C79" s="27">
        <v>0.18064863</v>
      </c>
      <c r="D79" s="27">
        <v>4.8349969999999999E-2</v>
      </c>
      <c r="E79" s="27">
        <v>0.17857142000000001</v>
      </c>
      <c r="F79" s="28">
        <f t="shared" si="6"/>
        <v>0.12772916600000001</v>
      </c>
    </row>
    <row r="80" spans="1:16">
      <c r="A80" s="26" t="s">
        <v>291</v>
      </c>
      <c r="B80" s="17">
        <v>1919</v>
      </c>
      <c r="C80" s="27">
        <v>0.19628150999999999</v>
      </c>
      <c r="D80" s="27">
        <v>1.285436E-2</v>
      </c>
      <c r="E80" s="27">
        <v>0.16969697</v>
      </c>
      <c r="F80" s="28">
        <f t="shared" si="6"/>
        <v>0.12291065</v>
      </c>
    </row>
    <row r="81" spans="1:6">
      <c r="A81" s="26" t="s">
        <v>291</v>
      </c>
      <c r="B81" s="17">
        <v>1920</v>
      </c>
      <c r="C81" s="27">
        <v>-0.13977175999999999</v>
      </c>
      <c r="D81" s="27">
        <v>4.7917319999999999E-2</v>
      </c>
      <c r="E81" s="27">
        <v>-1.554405E-2</v>
      </c>
      <c r="F81" s="28">
        <f t="shared" si="6"/>
        <v>-6.4696127999999992E-2</v>
      </c>
    </row>
    <row r="82" spans="1:6">
      <c r="A82" s="26" t="s">
        <v>291</v>
      </c>
      <c r="B82" s="17">
        <v>1921</v>
      </c>
      <c r="C82" s="27">
        <v>0.10082544</v>
      </c>
      <c r="D82" s="27">
        <v>0.1087794</v>
      </c>
      <c r="E82" s="27">
        <v>-0.11052633000000001</v>
      </c>
      <c r="F82" s="28">
        <f t="shared" si="6"/>
        <v>0.104007024</v>
      </c>
    </row>
    <row r="83" spans="1:6">
      <c r="A83" s="26" t="s">
        <v>291</v>
      </c>
      <c r="B83" s="17">
        <v>1922</v>
      </c>
      <c r="C83" s="27">
        <v>0.29128077000000002</v>
      </c>
      <c r="D83" s="27">
        <v>4.1683449999999997E-2</v>
      </c>
      <c r="E83" s="27">
        <v>-5.9171600000000003E-3</v>
      </c>
      <c r="F83" s="28">
        <f t="shared" si="6"/>
        <v>0.191441842</v>
      </c>
    </row>
    <row r="84" spans="1:6">
      <c r="A84" s="26" t="s">
        <v>291</v>
      </c>
      <c r="B84" s="17">
        <v>1923</v>
      </c>
      <c r="C84" s="27">
        <v>5.4573280000000002E-2</v>
      </c>
      <c r="D84" s="27">
        <v>6.7633390000000002E-2</v>
      </c>
      <c r="E84" s="27">
        <v>2.9761900000000001E-2</v>
      </c>
      <c r="F84" s="28">
        <f t="shared" si="6"/>
        <v>5.9797323999999999E-2</v>
      </c>
    </row>
    <row r="85" spans="1:6">
      <c r="A85" s="26" t="s">
        <v>291</v>
      </c>
      <c r="B85" s="17">
        <v>1924</v>
      </c>
      <c r="C85" s="27">
        <v>0.27116485000000001</v>
      </c>
      <c r="D85" s="27">
        <v>5.7227210000000001E-2</v>
      </c>
      <c r="E85" s="27">
        <v>-1E-8</v>
      </c>
      <c r="F85" s="28">
        <f t="shared" si="6"/>
        <v>0.185589794</v>
      </c>
    </row>
    <row r="86" spans="1:6">
      <c r="A86" s="26" t="s">
        <v>291</v>
      </c>
      <c r="B86" s="17">
        <v>1925</v>
      </c>
      <c r="C86" s="27">
        <v>0.25872741999999999</v>
      </c>
      <c r="D86" s="27">
        <v>5.496036E-2</v>
      </c>
      <c r="E86" s="27">
        <v>3.4682049999999999E-2</v>
      </c>
      <c r="F86" s="28">
        <f t="shared" si="6"/>
        <v>0.17722059600000001</v>
      </c>
    </row>
    <row r="87" spans="1:6">
      <c r="A87" s="26" t="s">
        <v>291</v>
      </c>
      <c r="B87" s="17">
        <v>1926</v>
      </c>
      <c r="C87" s="27">
        <v>0.11564650999999999</v>
      </c>
      <c r="D87" s="27">
        <v>6.2872570000000003E-2</v>
      </c>
      <c r="E87" s="27">
        <v>-2.2346370000000001E-2</v>
      </c>
      <c r="F87" s="28">
        <f t="shared" si="6"/>
        <v>9.4536934000000003E-2</v>
      </c>
    </row>
    <row r="88" spans="1:6">
      <c r="A88" s="26" t="s">
        <v>291</v>
      </c>
      <c r="B88" s="17">
        <v>1927</v>
      </c>
      <c r="C88" s="27">
        <v>0.37159453999999997</v>
      </c>
      <c r="D88" s="27">
        <v>3.2701290000000001E-2</v>
      </c>
      <c r="E88" s="27">
        <v>-1.1428580000000001E-2</v>
      </c>
      <c r="F88" s="28">
        <f t="shared" si="6"/>
        <v>0.23603723999999998</v>
      </c>
    </row>
    <row r="89" spans="1:6">
      <c r="A89" s="26" t="s">
        <v>291</v>
      </c>
      <c r="B89" s="17">
        <v>1928</v>
      </c>
      <c r="C89" s="27">
        <v>0.47621156999999997</v>
      </c>
      <c r="D89" s="27">
        <v>1.630527E-2</v>
      </c>
      <c r="E89" s="27">
        <v>-1.156069E-2</v>
      </c>
      <c r="F89" s="28">
        <f t="shared" si="6"/>
        <v>0.29224905000000001</v>
      </c>
    </row>
    <row r="90" spans="1:6">
      <c r="A90" s="26" t="s">
        <v>291</v>
      </c>
      <c r="B90" s="17">
        <v>1929</v>
      </c>
      <c r="C90" s="27">
        <v>-9.426967E-2</v>
      </c>
      <c r="D90" s="27">
        <v>5.9394820000000001E-2</v>
      </c>
      <c r="E90" s="27">
        <v>1E-8</v>
      </c>
      <c r="F90" s="28">
        <f t="shared" si="6"/>
        <v>-3.2803873999999997E-2</v>
      </c>
    </row>
    <row r="91" spans="1:6">
      <c r="A91" s="26" t="s">
        <v>291</v>
      </c>
      <c r="B91" s="17">
        <v>1930</v>
      </c>
      <c r="C91" s="27">
        <v>-0.22727101999999999</v>
      </c>
      <c r="D91" s="27">
        <v>2.724936E-2</v>
      </c>
      <c r="E91" s="27">
        <v>-7.0175429999999997E-2</v>
      </c>
      <c r="F91" s="28">
        <f t="shared" si="6"/>
        <v>-0.12546286800000001</v>
      </c>
    </row>
    <row r="92" spans="1:6">
      <c r="A92" s="26" t="s">
        <v>291</v>
      </c>
      <c r="B92" s="17">
        <v>1931</v>
      </c>
      <c r="C92" s="27">
        <v>-0.44264069</v>
      </c>
      <c r="D92" s="27">
        <v>1.182061E-2</v>
      </c>
      <c r="E92" s="27">
        <v>-0.10062896</v>
      </c>
      <c r="F92" s="28">
        <f t="shared" si="6"/>
        <v>-0.26085617</v>
      </c>
    </row>
    <row r="93" spans="1:6">
      <c r="A93" s="26" t="s">
        <v>291</v>
      </c>
      <c r="B93" s="17">
        <v>1932</v>
      </c>
      <c r="C93" s="27">
        <v>-6.1641319999999999E-2</v>
      </c>
      <c r="D93" s="27">
        <v>6.6509429999999994E-2</v>
      </c>
      <c r="E93" s="27">
        <v>-9.7902110000000001E-2</v>
      </c>
      <c r="F93" s="28">
        <f t="shared" si="6"/>
        <v>-1.0381019999999998E-2</v>
      </c>
    </row>
    <row r="94" spans="1:6">
      <c r="A94" s="26" t="s">
        <v>291</v>
      </c>
      <c r="B94" s="17">
        <v>1933</v>
      </c>
      <c r="C94" s="27">
        <v>0.56664532000000001</v>
      </c>
      <c r="D94" s="27">
        <v>5.0324460000000001E-2</v>
      </c>
      <c r="E94" s="27">
        <v>2.3255809999999998E-2</v>
      </c>
      <c r="F94" s="28">
        <f t="shared" si="6"/>
        <v>0.36011697599999998</v>
      </c>
    </row>
    <row r="95" spans="1:6">
      <c r="A95" s="26" t="s">
        <v>291</v>
      </c>
      <c r="B95" s="17">
        <v>1934</v>
      </c>
      <c r="C95" s="27">
        <v>-8.0049170000000003E-2</v>
      </c>
      <c r="D95" s="27">
        <v>5.7913359999999997E-2</v>
      </c>
      <c r="E95" s="27">
        <v>3.0303030000000002E-2</v>
      </c>
      <c r="F95" s="28">
        <f t="shared" si="6"/>
        <v>-2.4864158000000001E-2</v>
      </c>
    </row>
    <row r="96" spans="1:6">
      <c r="A96" s="26" t="s">
        <v>291</v>
      </c>
      <c r="B96" s="17">
        <v>1935</v>
      </c>
      <c r="C96" s="27">
        <v>0.54956444999999998</v>
      </c>
      <c r="D96" s="27">
        <v>3.8744260000000003E-2</v>
      </c>
      <c r="E96" s="27">
        <v>1.4705879999999999E-2</v>
      </c>
      <c r="F96" s="28">
        <f t="shared" si="6"/>
        <v>0.34523637399999996</v>
      </c>
    </row>
    <row r="97" spans="1:6">
      <c r="A97" s="26" t="s">
        <v>291</v>
      </c>
      <c r="B97" s="17">
        <v>1936</v>
      </c>
      <c r="C97" s="27">
        <v>0.32716919</v>
      </c>
      <c r="D97" s="27">
        <v>2.5430149999999999E-2</v>
      </c>
      <c r="E97" s="27">
        <v>2.1739129999999999E-2</v>
      </c>
      <c r="F97" s="28">
        <f t="shared" si="6"/>
        <v>0.20647357399999999</v>
      </c>
    </row>
    <row r="98" spans="1:6">
      <c r="A98" s="26" t="s">
        <v>291</v>
      </c>
      <c r="B98" s="17">
        <v>1937</v>
      </c>
      <c r="C98" s="27">
        <v>-0.32082378</v>
      </c>
      <c r="D98" s="27">
        <v>3.7852410000000003E-2</v>
      </c>
      <c r="E98" s="27">
        <v>7.09219E-3</v>
      </c>
      <c r="F98" s="28">
        <f t="shared" si="6"/>
        <v>-0.17735330399999999</v>
      </c>
    </row>
    <row r="99" spans="1:6">
      <c r="A99" s="26" t="s">
        <v>291</v>
      </c>
      <c r="B99" s="17">
        <v>1938</v>
      </c>
      <c r="C99" s="27">
        <v>0.17273570999999999</v>
      </c>
      <c r="D99" s="27">
        <v>4.2561000000000002E-2</v>
      </c>
      <c r="E99" s="27">
        <v>-1.40845E-2</v>
      </c>
      <c r="F99" s="28">
        <f t="shared" si="6"/>
        <v>0.120665826</v>
      </c>
    </row>
    <row r="100" spans="1:6">
      <c r="A100" s="26" t="s">
        <v>291</v>
      </c>
      <c r="B100" s="17">
        <v>1939</v>
      </c>
      <c r="C100" s="27">
        <v>3.0569829999999999E-2</v>
      </c>
      <c r="D100" s="27">
        <v>3.7546099999999999E-2</v>
      </c>
      <c r="E100" s="27">
        <v>-7.14286E-3</v>
      </c>
      <c r="F100" s="28">
        <f t="shared" si="6"/>
        <v>3.3360338000000003E-2</v>
      </c>
    </row>
    <row r="101" spans="1:6">
      <c r="A101" s="26" t="s">
        <v>291</v>
      </c>
      <c r="B101" s="17">
        <v>1940</v>
      </c>
      <c r="C101" s="27">
        <v>-8.8789400000000004E-2</v>
      </c>
      <c r="D101" s="27">
        <v>3.8893240000000003E-2</v>
      </c>
      <c r="E101" s="27">
        <v>1.438849E-2</v>
      </c>
      <c r="F101" s="28">
        <f t="shared" si="6"/>
        <v>-3.7716343999999999E-2</v>
      </c>
    </row>
    <row r="102" spans="1:6">
      <c r="A102" s="26" t="s">
        <v>291</v>
      </c>
      <c r="B102" s="17">
        <v>1941</v>
      </c>
      <c r="C102" s="27">
        <v>-9.0701660000000003E-2</v>
      </c>
      <c r="D102" s="27">
        <v>-1.9171239999999999E-2</v>
      </c>
      <c r="E102" s="27">
        <v>0.11347517999999999</v>
      </c>
      <c r="F102" s="28">
        <f t="shared" ref="F102:F133" si="7">0.6*C102+0.4*D102</f>
        <v>-6.2089491999999996E-2</v>
      </c>
    </row>
    <row r="103" spans="1:6">
      <c r="A103" s="26" t="s">
        <v>291</v>
      </c>
      <c r="B103" s="17">
        <v>1942</v>
      </c>
      <c r="C103" s="27">
        <v>0.21606073000000001</v>
      </c>
      <c r="D103" s="27">
        <v>2.4036060000000001E-2</v>
      </c>
      <c r="E103" s="27">
        <v>7.6433119999999993E-2</v>
      </c>
      <c r="F103" s="28">
        <f t="shared" si="7"/>
        <v>0.139250862</v>
      </c>
    </row>
    <row r="104" spans="1:6">
      <c r="A104" s="26" t="s">
        <v>291</v>
      </c>
      <c r="B104" s="17">
        <v>1943</v>
      </c>
      <c r="C104" s="27">
        <v>0.23621537000000001</v>
      </c>
      <c r="D104" s="27">
        <v>2.503679E-2</v>
      </c>
      <c r="E104" s="27">
        <v>2.9585799999999999E-2</v>
      </c>
      <c r="F104" s="28">
        <f t="shared" si="7"/>
        <v>0.15174393799999999</v>
      </c>
    </row>
    <row r="105" spans="1:6">
      <c r="A105" s="26" t="s">
        <v>291</v>
      </c>
      <c r="B105" s="17">
        <v>1944</v>
      </c>
      <c r="C105" s="27">
        <v>0.19691963000000001</v>
      </c>
      <c r="D105" s="27">
        <v>3.4961319999999997E-2</v>
      </c>
      <c r="E105" s="27">
        <v>2.2988519999999998E-2</v>
      </c>
      <c r="F105" s="28">
        <f t="shared" si="7"/>
        <v>0.13213630600000001</v>
      </c>
    </row>
    <row r="106" spans="1:6">
      <c r="A106" s="26" t="s">
        <v>291</v>
      </c>
      <c r="B106" s="17">
        <v>1945</v>
      </c>
      <c r="C106" s="27">
        <v>0.3936327</v>
      </c>
      <c r="D106" s="27">
        <v>3.7552250000000002E-2</v>
      </c>
      <c r="E106" s="27">
        <v>2.2471910000000001E-2</v>
      </c>
      <c r="F106" s="28">
        <f t="shared" si="7"/>
        <v>0.25120051999999998</v>
      </c>
    </row>
    <row r="107" spans="1:6">
      <c r="A107" s="26" t="s">
        <v>291</v>
      </c>
      <c r="B107" s="17">
        <v>1946</v>
      </c>
      <c r="C107" s="27">
        <v>-0.12032588</v>
      </c>
      <c r="D107" s="27">
        <v>1.6046040000000001E-2</v>
      </c>
      <c r="E107" s="27">
        <v>0.18131865999999999</v>
      </c>
      <c r="F107" s="28">
        <f t="shared" si="7"/>
        <v>-6.5777111999999999E-2</v>
      </c>
    </row>
    <row r="108" spans="1:6">
      <c r="A108" s="26" t="s">
        <v>291</v>
      </c>
      <c r="B108" s="17">
        <v>1947</v>
      </c>
      <c r="C108" s="27">
        <v>2.6345130000000001E-2</v>
      </c>
      <c r="D108" s="27">
        <v>9.1329600000000007E-3</v>
      </c>
      <c r="E108" s="27">
        <v>0.10232557</v>
      </c>
      <c r="F108" s="28">
        <f t="shared" si="7"/>
        <v>1.9460261999999999E-2</v>
      </c>
    </row>
    <row r="109" spans="1:6">
      <c r="A109" s="26" t="s">
        <v>291</v>
      </c>
      <c r="B109" s="17">
        <v>1948</v>
      </c>
      <c r="C109" s="27">
        <v>9.5681059999999998E-2</v>
      </c>
      <c r="D109" s="27">
        <v>3.4686120000000001E-2</v>
      </c>
      <c r="E109" s="27">
        <v>1.2658229999999999E-2</v>
      </c>
      <c r="F109" s="28">
        <f t="shared" si="7"/>
        <v>7.1283083999999997E-2</v>
      </c>
    </row>
    <row r="110" spans="1:6">
      <c r="A110" s="26" t="s">
        <v>291</v>
      </c>
      <c r="B110" s="17">
        <v>1949</v>
      </c>
      <c r="C110" s="27">
        <v>0.17609593000000001</v>
      </c>
      <c r="D110" s="27">
        <v>2.0692820000000001E-2</v>
      </c>
      <c r="E110" s="27">
        <v>-2.0833330000000001E-2</v>
      </c>
      <c r="F110" s="28">
        <f t="shared" si="7"/>
        <v>0.11393468599999999</v>
      </c>
    </row>
    <row r="111" spans="1:6">
      <c r="A111" s="26" t="s">
        <v>291</v>
      </c>
      <c r="B111" s="17">
        <v>1950</v>
      </c>
      <c r="C111" s="27">
        <v>0.34580915000000001</v>
      </c>
      <c r="D111" s="27">
        <v>3.6158800000000001E-3</v>
      </c>
      <c r="E111" s="27">
        <v>8.0851069999999997E-2</v>
      </c>
      <c r="F111" s="28">
        <f t="shared" si="7"/>
        <v>0.20893184200000001</v>
      </c>
    </row>
    <row r="112" spans="1:6">
      <c r="A112" s="26" t="s">
        <v>291</v>
      </c>
      <c r="B112" s="17">
        <v>1951</v>
      </c>
      <c r="C112" s="27">
        <v>0.21885677000000001</v>
      </c>
      <c r="D112" s="27">
        <v>1.6541549999999999E-2</v>
      </c>
      <c r="E112" s="27">
        <v>4.3307089999999999E-2</v>
      </c>
      <c r="F112" s="28">
        <f t="shared" si="7"/>
        <v>0.137930682</v>
      </c>
    </row>
    <row r="113" spans="1:6">
      <c r="A113" s="26" t="s">
        <v>291</v>
      </c>
      <c r="B113" s="17">
        <v>1952</v>
      </c>
      <c r="C113" s="27">
        <v>0.14689285999999999</v>
      </c>
      <c r="D113" s="27">
        <v>1.836962E-2</v>
      </c>
      <c r="E113" s="27">
        <v>3.7735799999999999E-3</v>
      </c>
      <c r="F113" s="28">
        <f t="shared" si="7"/>
        <v>9.5483563999999993E-2</v>
      </c>
    </row>
    <row r="114" spans="1:6">
      <c r="A114" s="26" t="s">
        <v>291</v>
      </c>
      <c r="B114" s="17">
        <v>1953</v>
      </c>
      <c r="C114" s="27">
        <v>3.025945E-2</v>
      </c>
      <c r="D114" s="27">
        <v>5.8209780000000003E-2</v>
      </c>
      <c r="E114" s="27">
        <v>1.127819E-2</v>
      </c>
      <c r="F114" s="28">
        <f t="shared" si="7"/>
        <v>4.1439582000000003E-2</v>
      </c>
    </row>
    <row r="115" spans="1:6">
      <c r="A115" s="26" t="s">
        <v>291</v>
      </c>
      <c r="B115" s="17">
        <v>1954</v>
      </c>
      <c r="C115" s="27">
        <v>0.46825422999999999</v>
      </c>
      <c r="D115" s="27">
        <v>8.3278699999999994E-3</v>
      </c>
      <c r="E115" s="27">
        <v>-7.4349400000000001E-3</v>
      </c>
      <c r="F115" s="28">
        <f t="shared" si="7"/>
        <v>0.28428368599999998</v>
      </c>
    </row>
    <row r="116" spans="1:6">
      <c r="A116" s="26" t="s">
        <v>291</v>
      </c>
      <c r="B116" s="17">
        <v>1955</v>
      </c>
      <c r="C116" s="27">
        <v>0.28940088000000003</v>
      </c>
      <c r="D116" s="27">
        <v>1.1926580000000001E-2</v>
      </c>
      <c r="E116" s="27">
        <v>3.7453199999999999E-3</v>
      </c>
      <c r="F116" s="28">
        <f t="shared" si="7"/>
        <v>0.17841116000000001</v>
      </c>
    </row>
    <row r="117" spans="1:6">
      <c r="A117" s="26" t="s">
        <v>291</v>
      </c>
      <c r="B117" s="17">
        <v>1956</v>
      </c>
      <c r="C117" s="27">
        <v>6.8773550000000003E-2</v>
      </c>
      <c r="D117" s="27">
        <v>-1.0584319999999999E-2</v>
      </c>
      <c r="E117" s="27">
        <v>2.9850729999999999E-2</v>
      </c>
      <c r="F117" s="28">
        <f t="shared" si="7"/>
        <v>3.7030402000000004E-2</v>
      </c>
    </row>
    <row r="118" spans="1:6">
      <c r="A118" s="26" t="s">
        <v>291</v>
      </c>
      <c r="B118" s="17">
        <v>1957</v>
      </c>
      <c r="C118" s="27">
        <v>-5.8012309999999997E-2</v>
      </c>
      <c r="D118" s="27">
        <v>6.1859440000000002E-2</v>
      </c>
      <c r="E118" s="27">
        <v>3.6231890000000003E-2</v>
      </c>
      <c r="F118" s="28">
        <f t="shared" si="7"/>
        <v>-1.0063609999999994E-2</v>
      </c>
    </row>
    <row r="119" spans="1:6">
      <c r="A119" s="26" t="s">
        <v>291</v>
      </c>
      <c r="B119" s="17">
        <v>1958</v>
      </c>
      <c r="C119" s="27">
        <v>0.40375836999999998</v>
      </c>
      <c r="D119" s="27">
        <v>-4.1598030000000001E-2</v>
      </c>
      <c r="E119" s="27">
        <v>1.398601E-2</v>
      </c>
      <c r="F119" s="28">
        <f t="shared" si="7"/>
        <v>0.22561580999999997</v>
      </c>
    </row>
    <row r="120" spans="1:6">
      <c r="A120" s="26" t="s">
        <v>291</v>
      </c>
      <c r="B120" s="17">
        <v>1959</v>
      </c>
      <c r="C120" s="27">
        <v>7.6475699999999994E-2</v>
      </c>
      <c r="D120" s="27">
        <v>8.0263000000000003E-4</v>
      </c>
      <c r="E120" s="27">
        <v>1.0344839999999999E-2</v>
      </c>
      <c r="F120" s="28">
        <f t="shared" si="7"/>
        <v>4.6206471999999998E-2</v>
      </c>
    </row>
    <row r="121" spans="1:6">
      <c r="A121" s="26" t="s">
        <v>291</v>
      </c>
      <c r="B121" s="17">
        <v>1960</v>
      </c>
      <c r="C121" s="27">
        <v>6.5454739999999997E-2</v>
      </c>
      <c r="D121" s="27">
        <v>0.10248836</v>
      </c>
      <c r="E121" s="27">
        <v>1.7064849999999999E-2</v>
      </c>
      <c r="F121" s="28">
        <f t="shared" si="7"/>
        <v>8.026818799999999E-2</v>
      </c>
    </row>
    <row r="122" spans="1:6">
      <c r="A122" s="26" t="s">
        <v>291</v>
      </c>
      <c r="B122" s="17">
        <v>1961</v>
      </c>
      <c r="C122" s="27">
        <v>0.19096727999999999</v>
      </c>
      <c r="D122" s="27">
        <v>1.772775E-2</v>
      </c>
      <c r="E122" s="27">
        <v>6.7114100000000001E-3</v>
      </c>
      <c r="F122" s="28">
        <f t="shared" si="7"/>
        <v>0.12167146799999999</v>
      </c>
    </row>
    <row r="123" spans="1:6">
      <c r="A123" s="26" t="s">
        <v>291</v>
      </c>
      <c r="B123" s="17">
        <v>1962</v>
      </c>
      <c r="C123" s="27">
        <v>-2.5800960000000001E-2</v>
      </c>
      <c r="D123" s="27">
        <v>5.0116290000000001E-2</v>
      </c>
      <c r="E123" s="27">
        <v>1.3333329999999999E-2</v>
      </c>
      <c r="F123" s="28">
        <f t="shared" si="7"/>
        <v>4.565940000000001E-3</v>
      </c>
    </row>
    <row r="124" spans="1:6">
      <c r="A124" s="26" t="s">
        <v>291</v>
      </c>
      <c r="B124" s="17">
        <v>1963</v>
      </c>
      <c r="C124" s="27">
        <v>0.21232401000000001</v>
      </c>
      <c r="D124" s="27">
        <v>2.173897E-2</v>
      </c>
      <c r="E124" s="27">
        <v>1.6447360000000001E-2</v>
      </c>
      <c r="F124" s="28">
        <f t="shared" si="7"/>
        <v>0.13608999399999999</v>
      </c>
    </row>
    <row r="125" spans="1:6">
      <c r="A125" s="26" t="s">
        <v>291</v>
      </c>
      <c r="B125" s="17">
        <v>1964</v>
      </c>
      <c r="C125" s="27">
        <v>0.16001578999999999</v>
      </c>
      <c r="D125" s="27">
        <v>3.7639499999999999E-2</v>
      </c>
      <c r="E125" s="27">
        <v>9.7087500000000004E-3</v>
      </c>
      <c r="F125" s="28">
        <f t="shared" si="7"/>
        <v>0.11106527399999999</v>
      </c>
    </row>
    <row r="126" spans="1:6">
      <c r="A126" s="26" t="s">
        <v>291</v>
      </c>
      <c r="B126" s="17">
        <v>1965</v>
      </c>
      <c r="C126" s="27">
        <v>0.11622738000000001</v>
      </c>
      <c r="D126" s="27">
        <v>-6.3059400000000003E-3</v>
      </c>
      <c r="E126" s="27">
        <v>1.9230779999999999E-2</v>
      </c>
      <c r="F126" s="28">
        <f t="shared" si="7"/>
        <v>6.7214051999999996E-2</v>
      </c>
    </row>
    <row r="127" spans="1:6">
      <c r="A127" s="26" t="s">
        <v>291</v>
      </c>
      <c r="B127" s="17">
        <v>1966</v>
      </c>
      <c r="C127" s="27">
        <v>-6.4021869999999995E-2</v>
      </c>
      <c r="D127" s="27">
        <v>6.6554070000000007E-2</v>
      </c>
      <c r="E127" s="27">
        <v>3.4591209999999997E-2</v>
      </c>
      <c r="F127" s="28">
        <f t="shared" si="7"/>
        <v>-1.1791493999999989E-2</v>
      </c>
    </row>
    <row r="128" spans="1:6">
      <c r="A128" s="26" t="s">
        <v>291</v>
      </c>
      <c r="B128" s="17">
        <v>1967</v>
      </c>
      <c r="C128" s="27">
        <v>0.16122138</v>
      </c>
      <c r="D128" s="27">
        <v>-2.0702849999999998E-2</v>
      </c>
      <c r="E128" s="27">
        <v>3.6474159999999999E-2</v>
      </c>
      <c r="F128" s="28">
        <f t="shared" si="7"/>
        <v>8.8451688000000001E-2</v>
      </c>
    </row>
    <row r="129" spans="1:6">
      <c r="A129" s="26" t="s">
        <v>291</v>
      </c>
      <c r="B129" s="17">
        <v>1968</v>
      </c>
      <c r="C129" s="27">
        <v>0.10629804</v>
      </c>
      <c r="D129" s="27">
        <v>9.3676799999999998E-3</v>
      </c>
      <c r="E129" s="27">
        <v>4.3988270000000003E-2</v>
      </c>
      <c r="F129" s="28">
        <f t="shared" si="7"/>
        <v>6.7525896000000002E-2</v>
      </c>
    </row>
    <row r="130" spans="1:6">
      <c r="A130" s="26" t="s">
        <v>291</v>
      </c>
      <c r="B130" s="17">
        <v>1969</v>
      </c>
      <c r="C130" s="27">
        <v>-8.5467089999999996E-2</v>
      </c>
      <c r="D130" s="27">
        <v>-8.3660699999999998E-3</v>
      </c>
      <c r="E130" s="27">
        <v>6.179776E-2</v>
      </c>
      <c r="F130" s="28">
        <f t="shared" si="7"/>
        <v>-5.4626681999999996E-2</v>
      </c>
    </row>
    <row r="131" spans="1:6">
      <c r="A131" s="26" t="s">
        <v>291</v>
      </c>
      <c r="B131" s="17">
        <v>1970</v>
      </c>
      <c r="C131" s="27">
        <v>7.5405440000000004E-2</v>
      </c>
      <c r="D131" s="27">
        <v>0.16453519</v>
      </c>
      <c r="E131" s="27">
        <v>5.2910069999999997E-2</v>
      </c>
      <c r="F131" s="28">
        <f t="shared" si="7"/>
        <v>0.11105734</v>
      </c>
    </row>
    <row r="132" spans="1:6">
      <c r="A132" s="26" t="s">
        <v>291</v>
      </c>
      <c r="B132" s="17">
        <v>1971</v>
      </c>
      <c r="C132" s="27">
        <v>0.13994506000000001</v>
      </c>
      <c r="D132" s="27">
        <v>6.4450729999999998E-2</v>
      </c>
      <c r="E132" s="27">
        <v>3.2663320000000003E-2</v>
      </c>
      <c r="F132" s="28">
        <f t="shared" si="7"/>
        <v>0.10974732800000001</v>
      </c>
    </row>
    <row r="133" spans="1:6">
      <c r="A133" s="26" t="s">
        <v>291</v>
      </c>
      <c r="B133" s="17">
        <v>1972</v>
      </c>
      <c r="C133" s="27">
        <v>0.17871608</v>
      </c>
      <c r="D133" s="27">
        <v>2.143952E-2</v>
      </c>
      <c r="E133" s="27">
        <v>3.6496349999999997E-2</v>
      </c>
      <c r="F133" s="28">
        <f t="shared" si="7"/>
        <v>0.115805456</v>
      </c>
    </row>
    <row r="134" spans="1:6">
      <c r="A134" s="26" t="s">
        <v>291</v>
      </c>
      <c r="B134" s="17">
        <v>1973</v>
      </c>
      <c r="C134" s="27">
        <v>-0.16271962000000001</v>
      </c>
      <c r="D134" s="27">
        <v>4.6395560000000002E-2</v>
      </c>
      <c r="E134" s="27">
        <v>9.3896709999999994E-2</v>
      </c>
      <c r="F134" s="28">
        <f t="shared" ref="F134:F165" si="8">0.6*C134+0.4*D134</f>
        <v>-7.9073548000000007E-2</v>
      </c>
    </row>
    <row r="135" spans="1:6">
      <c r="A135" s="26" t="s">
        <v>291</v>
      </c>
      <c r="B135" s="17">
        <v>1974</v>
      </c>
      <c r="C135" s="27">
        <v>-0.21057045999999999</v>
      </c>
      <c r="D135" s="27">
        <v>4.6127479999999998E-2</v>
      </c>
      <c r="E135" s="27">
        <v>0.11802575</v>
      </c>
      <c r="F135" s="28">
        <f t="shared" si="8"/>
        <v>-0.10789128399999998</v>
      </c>
    </row>
    <row r="136" spans="1:6">
      <c r="A136" s="26" t="s">
        <v>291</v>
      </c>
      <c r="B136" s="17">
        <v>1975</v>
      </c>
      <c r="C136" s="27">
        <v>0.39199038000000003</v>
      </c>
      <c r="D136" s="27">
        <v>5.2860959999999999E-2</v>
      </c>
      <c r="E136" s="27">
        <v>6.7178509999999997E-2</v>
      </c>
      <c r="F136" s="28">
        <f t="shared" si="8"/>
        <v>0.25633861200000002</v>
      </c>
    </row>
    <row r="137" spans="1:6">
      <c r="A137" s="26" t="s">
        <v>291</v>
      </c>
      <c r="B137" s="17">
        <v>1976</v>
      </c>
      <c r="C137" s="27">
        <v>0.11246398000000001</v>
      </c>
      <c r="D137" s="27">
        <v>0.10799441999999999</v>
      </c>
      <c r="E137" s="27">
        <v>5.2158259999999998E-2</v>
      </c>
      <c r="F137" s="28">
        <f t="shared" si="8"/>
        <v>0.110676156</v>
      </c>
    </row>
    <row r="138" spans="1:6">
      <c r="A138" s="26" t="s">
        <v>291</v>
      </c>
      <c r="B138" s="17">
        <v>1977</v>
      </c>
      <c r="C138" s="27">
        <v>-8.9926699999999998E-2</v>
      </c>
      <c r="D138" s="27">
        <v>3.0887359999999999E-2</v>
      </c>
      <c r="E138" s="27">
        <v>6.8376069999999997E-2</v>
      </c>
      <c r="F138" s="28">
        <f t="shared" si="8"/>
        <v>-4.1601076000000001E-2</v>
      </c>
    </row>
    <row r="139" spans="1:6">
      <c r="A139" s="26" t="s">
        <v>291</v>
      </c>
      <c r="B139" s="17">
        <v>1978</v>
      </c>
      <c r="C139" s="27">
        <v>0.16275297999999999</v>
      </c>
      <c r="D139" s="27">
        <v>1.3782590000000001E-2</v>
      </c>
      <c r="E139" s="27">
        <v>9.2800010000000002E-2</v>
      </c>
      <c r="F139" s="28">
        <f t="shared" si="8"/>
        <v>0.10316482399999999</v>
      </c>
    </row>
    <row r="140" spans="1:6">
      <c r="A140" s="26" t="s">
        <v>291</v>
      </c>
      <c r="B140" s="17">
        <v>1979</v>
      </c>
      <c r="C140" s="27">
        <v>0.17170204</v>
      </c>
      <c r="D140" s="27">
        <v>-0.10130477</v>
      </c>
      <c r="E140" s="27">
        <v>0.13909225</v>
      </c>
      <c r="F140" s="28">
        <f t="shared" si="8"/>
        <v>6.2499315999999992E-2</v>
      </c>
    </row>
    <row r="141" spans="1:6">
      <c r="A141" s="26" t="s">
        <v>291</v>
      </c>
      <c r="B141" s="17">
        <v>1980</v>
      </c>
      <c r="C141" s="27">
        <v>0.26064496999999998</v>
      </c>
      <c r="D141" s="27">
        <v>7.1357489999999996E-2</v>
      </c>
      <c r="E141" s="27">
        <v>0.11825194</v>
      </c>
      <c r="F141" s="28">
        <f t="shared" si="8"/>
        <v>0.18492997799999999</v>
      </c>
    </row>
    <row r="142" spans="1:6">
      <c r="A142" s="26" t="s">
        <v>291</v>
      </c>
      <c r="B142" s="17">
        <v>1981</v>
      </c>
      <c r="C142" s="27">
        <v>-7.1928950000000005E-2</v>
      </c>
      <c r="D142" s="27">
        <v>7.4159870000000003E-2</v>
      </c>
      <c r="E142" s="27">
        <v>8.3908049999999998E-2</v>
      </c>
      <c r="F142" s="28">
        <f t="shared" si="8"/>
        <v>-1.3493421999999998E-2</v>
      </c>
    </row>
    <row r="143" spans="1:6">
      <c r="A143" s="26" t="s">
        <v>291</v>
      </c>
      <c r="B143" s="17">
        <v>1982</v>
      </c>
      <c r="C143" s="27">
        <v>0.30134402999999998</v>
      </c>
      <c r="D143" s="27">
        <v>0.39311538000000001</v>
      </c>
      <c r="E143" s="27">
        <v>3.7115589999999997E-2</v>
      </c>
      <c r="F143" s="28">
        <f t="shared" si="8"/>
        <v>0.33805257</v>
      </c>
    </row>
    <row r="144" spans="1:6">
      <c r="A144" s="26" t="s">
        <v>291</v>
      </c>
      <c r="B144" s="17">
        <v>1983</v>
      </c>
      <c r="C144" s="27">
        <v>0.20386582</v>
      </c>
      <c r="D144" s="27">
        <v>4.5958220000000001E-2</v>
      </c>
      <c r="E144" s="27">
        <v>4.1922269999999998E-2</v>
      </c>
      <c r="F144" s="28">
        <f t="shared" si="8"/>
        <v>0.14070278</v>
      </c>
    </row>
    <row r="145" spans="1:6">
      <c r="A145" s="26" t="s">
        <v>291</v>
      </c>
      <c r="B145" s="17">
        <v>1984</v>
      </c>
      <c r="C145" s="27">
        <v>7.9408160000000005E-2</v>
      </c>
      <c r="D145" s="27">
        <v>0.15224335999999999</v>
      </c>
      <c r="E145" s="27">
        <v>3.5328749999999999E-2</v>
      </c>
      <c r="F145" s="28">
        <f t="shared" si="8"/>
        <v>0.10854224</v>
      </c>
    </row>
    <row r="146" spans="1:6">
      <c r="A146" s="26" t="s">
        <v>291</v>
      </c>
      <c r="B146" s="17">
        <v>1985</v>
      </c>
      <c r="C146" s="27">
        <v>0.26406467</v>
      </c>
      <c r="D146" s="27">
        <v>0.31917700999999998</v>
      </c>
      <c r="E146" s="27">
        <v>3.8862559999999997E-2</v>
      </c>
      <c r="F146" s="28">
        <f t="shared" si="8"/>
        <v>0.28610960600000002</v>
      </c>
    </row>
    <row r="147" spans="1:6">
      <c r="A147" s="26" t="s">
        <v>291</v>
      </c>
      <c r="B147" s="17">
        <v>1986</v>
      </c>
      <c r="C147" s="27">
        <v>0.31413018999999998</v>
      </c>
      <c r="D147" s="27">
        <v>0.18755489</v>
      </c>
      <c r="E147" s="27">
        <v>1.459853E-2</v>
      </c>
      <c r="F147" s="28">
        <f t="shared" si="8"/>
        <v>0.26350006999999998</v>
      </c>
    </row>
    <row r="148" spans="1:6">
      <c r="A148" s="26" t="s">
        <v>291</v>
      </c>
      <c r="B148" s="17">
        <v>1987</v>
      </c>
      <c r="C148" s="27">
        <v>-2.3767679999999999E-2</v>
      </c>
      <c r="D148" s="27">
        <v>1.7205249999999998E-2</v>
      </c>
      <c r="E148" s="27">
        <v>4.0467629999999997E-2</v>
      </c>
      <c r="F148" s="28">
        <f t="shared" si="8"/>
        <v>-7.3785079999999998E-3</v>
      </c>
    </row>
    <row r="149" spans="1:6">
      <c r="A149" s="26" t="s">
        <v>291</v>
      </c>
      <c r="B149" s="17">
        <v>1988</v>
      </c>
      <c r="C149" s="27">
        <v>0.17959871999999999</v>
      </c>
      <c r="D149" s="27">
        <v>2.516386E-2</v>
      </c>
      <c r="E149" s="27">
        <v>4.6672419999999999E-2</v>
      </c>
      <c r="F149" s="28">
        <f t="shared" si="8"/>
        <v>0.11782477599999999</v>
      </c>
    </row>
    <row r="150" spans="1:6">
      <c r="A150" s="26" t="s">
        <v>291</v>
      </c>
      <c r="B150" s="17">
        <v>1989</v>
      </c>
      <c r="C150" s="27">
        <v>0.23010742000000001</v>
      </c>
      <c r="D150" s="27">
        <v>0.13780439</v>
      </c>
      <c r="E150" s="27">
        <v>5.2023119999999999E-2</v>
      </c>
      <c r="F150" s="28">
        <f t="shared" si="8"/>
        <v>0.193186208</v>
      </c>
    </row>
    <row r="151" spans="1:6">
      <c r="A151" s="26" t="s">
        <v>291</v>
      </c>
      <c r="B151" s="17">
        <v>1990</v>
      </c>
      <c r="C151" s="27">
        <v>-8.2765300000000007E-3</v>
      </c>
      <c r="D151" s="27">
        <v>0.13479485999999999</v>
      </c>
      <c r="E151" s="27">
        <v>5.6514910000000002E-2</v>
      </c>
      <c r="F151" s="28">
        <f t="shared" si="8"/>
        <v>4.8952025999999996E-2</v>
      </c>
    </row>
    <row r="152" spans="1:6">
      <c r="A152" s="26" t="s">
        <v>291</v>
      </c>
      <c r="B152" s="17">
        <v>1991</v>
      </c>
      <c r="C152" s="27">
        <v>0.31955960999999999</v>
      </c>
      <c r="D152" s="27">
        <v>0.11872183</v>
      </c>
      <c r="E152" s="27">
        <v>2.6002979999999998E-2</v>
      </c>
      <c r="F152" s="28">
        <f t="shared" si="8"/>
        <v>0.23922449800000001</v>
      </c>
    </row>
    <row r="153" spans="1:6">
      <c r="A153" s="26" t="s">
        <v>291</v>
      </c>
      <c r="B153" s="17">
        <v>1992</v>
      </c>
      <c r="C153" s="27">
        <v>7.7425170000000001E-2</v>
      </c>
      <c r="D153" s="27">
        <v>0.15749925000000001</v>
      </c>
      <c r="E153" s="27">
        <v>3.2585080000000002E-2</v>
      </c>
      <c r="F153" s="28">
        <f t="shared" si="8"/>
        <v>0.109454802</v>
      </c>
    </row>
    <row r="154" spans="1:6">
      <c r="A154" s="26" t="s">
        <v>291</v>
      </c>
      <c r="B154" s="17">
        <v>1993</v>
      </c>
      <c r="C154" s="27">
        <v>0.11709899999999999</v>
      </c>
      <c r="D154" s="27">
        <v>8.1979189999999993E-2</v>
      </c>
      <c r="E154" s="27">
        <v>2.5245429999999999E-2</v>
      </c>
      <c r="F154" s="28">
        <f t="shared" si="8"/>
        <v>0.10305107599999999</v>
      </c>
    </row>
    <row r="155" spans="1:6">
      <c r="A155" s="26" t="s">
        <v>291</v>
      </c>
      <c r="B155" s="17">
        <v>1994</v>
      </c>
      <c r="C155" s="27">
        <v>1.162532E-2</v>
      </c>
      <c r="D155" s="27">
        <v>-3.5759590000000001E-2</v>
      </c>
      <c r="E155" s="27">
        <v>2.8043780000000001E-2</v>
      </c>
      <c r="F155" s="28">
        <f t="shared" si="8"/>
        <v>-7.3286440000000005E-3</v>
      </c>
    </row>
    <row r="156" spans="1:6">
      <c r="A156" s="26" t="s">
        <v>291</v>
      </c>
      <c r="B156" s="17">
        <v>1995</v>
      </c>
      <c r="C156" s="27">
        <v>0.35329347999999999</v>
      </c>
      <c r="D156" s="27">
        <v>0.20058827000000001</v>
      </c>
      <c r="E156" s="27">
        <v>2.7278779999999999E-2</v>
      </c>
      <c r="F156" s="28">
        <f t="shared" si="8"/>
        <v>0.29221139600000001</v>
      </c>
    </row>
    <row r="157" spans="1:6">
      <c r="A157" s="26" t="s">
        <v>291</v>
      </c>
      <c r="B157" s="17">
        <v>1996</v>
      </c>
      <c r="C157" s="27">
        <v>0.27379893</v>
      </c>
      <c r="D157" s="27">
        <v>1.931534E-2</v>
      </c>
      <c r="E157" s="27">
        <v>3.0440430000000001E-2</v>
      </c>
      <c r="F157" s="28">
        <f t="shared" si="8"/>
        <v>0.17200549399999998</v>
      </c>
    </row>
    <row r="158" spans="1:6">
      <c r="A158" s="26" t="s">
        <v>291</v>
      </c>
      <c r="B158" s="17">
        <v>1997</v>
      </c>
      <c r="C158" s="27">
        <v>0.27916781000000002</v>
      </c>
      <c r="D158" s="27">
        <v>0.13333833</v>
      </c>
      <c r="E158" s="27">
        <v>1.5713399999999999E-2</v>
      </c>
      <c r="F158" s="28">
        <f t="shared" si="8"/>
        <v>0.22083601800000002</v>
      </c>
    </row>
    <row r="159" spans="1:6">
      <c r="A159" s="26" t="s">
        <v>291</v>
      </c>
      <c r="B159" s="17">
        <v>1998</v>
      </c>
      <c r="C159" s="27">
        <v>0.31515285999999998</v>
      </c>
      <c r="D159" s="27">
        <v>9.943428E-2</v>
      </c>
      <c r="E159" s="27">
        <v>1.6707920000000001E-2</v>
      </c>
      <c r="F159" s="28">
        <f t="shared" si="8"/>
        <v>0.22886542799999998</v>
      </c>
    </row>
    <row r="160" spans="1:6">
      <c r="A160" s="26" t="s">
        <v>291</v>
      </c>
      <c r="B160" s="17">
        <v>1999</v>
      </c>
      <c r="C160" s="27">
        <v>0.15578845999999999</v>
      </c>
      <c r="D160" s="27">
        <v>-5.5389189999999998E-2</v>
      </c>
      <c r="E160" s="27">
        <v>2.7388929999999999E-2</v>
      </c>
      <c r="F160" s="28">
        <f t="shared" si="8"/>
        <v>7.1317399999999989E-2</v>
      </c>
    </row>
    <row r="161" spans="1:6">
      <c r="A161" s="26" t="s">
        <v>291</v>
      </c>
      <c r="B161" s="17">
        <v>2000</v>
      </c>
      <c r="C161" s="27">
        <v>-5.2136929999999998E-2</v>
      </c>
      <c r="D161" s="27">
        <v>0.17869503</v>
      </c>
      <c r="E161" s="27">
        <v>3.7322269999999998E-2</v>
      </c>
      <c r="F161" s="28">
        <f t="shared" si="8"/>
        <v>4.019585400000001E-2</v>
      </c>
    </row>
    <row r="162" spans="1:6">
      <c r="A162" s="26" t="s">
        <v>291</v>
      </c>
      <c r="B162" s="17">
        <v>2001</v>
      </c>
      <c r="C162" s="27">
        <v>-0.13473389</v>
      </c>
      <c r="D162" s="27">
        <v>6.6113030000000003E-2</v>
      </c>
      <c r="E162" s="27">
        <v>1.142204E-2</v>
      </c>
      <c r="F162" s="28">
        <f t="shared" si="8"/>
        <v>-5.4395121999999997E-2</v>
      </c>
    </row>
    <row r="163" spans="1:6">
      <c r="A163" s="26" t="s">
        <v>291</v>
      </c>
      <c r="B163" s="17">
        <v>2002</v>
      </c>
      <c r="C163" s="27">
        <v>-0.20125514999999999</v>
      </c>
      <c r="D163" s="27">
        <v>0.13326963999999999</v>
      </c>
      <c r="E163" s="27">
        <v>2.597402E-2</v>
      </c>
      <c r="F163" s="28">
        <f t="shared" si="8"/>
        <v>-6.7445233999999993E-2</v>
      </c>
    </row>
    <row r="164" spans="1:6">
      <c r="A164" s="26" t="s">
        <v>291</v>
      </c>
      <c r="B164" s="17">
        <v>2003</v>
      </c>
      <c r="C164" s="27">
        <v>0.28584177</v>
      </c>
      <c r="D164" s="27">
        <v>2.4375029999999999E-2</v>
      </c>
      <c r="E164" s="27">
        <v>1.9262540000000002E-2</v>
      </c>
      <c r="F164" s="28">
        <f t="shared" si="8"/>
        <v>0.18125507399999999</v>
      </c>
    </row>
    <row r="165" spans="1:6">
      <c r="A165" s="26" t="s">
        <v>291</v>
      </c>
      <c r="B165" s="17">
        <v>2004</v>
      </c>
      <c r="C165" s="27">
        <v>6.0602120000000002E-2</v>
      </c>
      <c r="D165" s="27">
        <v>3.5176359999999997E-2</v>
      </c>
      <c r="E165" s="27">
        <v>2.9697609999999999E-2</v>
      </c>
      <c r="F165" s="28">
        <f t="shared" si="8"/>
        <v>5.0431815999999997E-2</v>
      </c>
    </row>
    <row r="166" spans="1:6">
      <c r="A166" s="26" t="s">
        <v>291</v>
      </c>
      <c r="B166" s="17">
        <v>2005</v>
      </c>
      <c r="C166" s="27">
        <v>0.10141569</v>
      </c>
      <c r="D166" s="27">
        <v>1.0539430000000001E-2</v>
      </c>
      <c r="E166" s="27">
        <v>3.985317E-2</v>
      </c>
      <c r="F166" s="28">
        <f t="shared" ref="F166:F186" si="9">0.6*C166+0.4*D166</f>
        <v>6.5065185999999997E-2</v>
      </c>
    </row>
    <row r="167" spans="1:6">
      <c r="A167" s="26" t="s">
        <v>291</v>
      </c>
      <c r="B167" s="17">
        <v>2006</v>
      </c>
      <c r="C167" s="27">
        <v>0.13394934999999999</v>
      </c>
      <c r="D167" s="27">
        <v>3.6586349999999997E-2</v>
      </c>
      <c r="E167" s="27">
        <v>2.0756429999999999E-2</v>
      </c>
      <c r="F167" s="28">
        <f t="shared" si="9"/>
        <v>9.5004149999999996E-2</v>
      </c>
    </row>
    <row r="168" spans="1:6">
      <c r="A168" s="26" t="s">
        <v>291</v>
      </c>
      <c r="B168" s="17">
        <v>2007</v>
      </c>
      <c r="C168" s="27">
        <v>-1.423635E-2</v>
      </c>
      <c r="D168" s="27">
        <v>0.13151101000000001</v>
      </c>
      <c r="E168" s="27">
        <v>4.2802960000000001E-2</v>
      </c>
      <c r="F168" s="28">
        <f t="shared" si="9"/>
        <v>4.406259400000001E-2</v>
      </c>
    </row>
    <row r="169" spans="1:6">
      <c r="A169" s="26" t="s">
        <v>291</v>
      </c>
      <c r="B169" s="17">
        <v>2008</v>
      </c>
      <c r="C169" s="27">
        <v>-0.35630355000000002</v>
      </c>
      <c r="D169" s="27">
        <v>0.11202297999999999</v>
      </c>
      <c r="E169" s="27">
        <v>2.9847000000000001E-4</v>
      </c>
      <c r="F169" s="28">
        <f t="shared" si="9"/>
        <v>-0.16897293800000002</v>
      </c>
    </row>
    <row r="170" spans="1:6">
      <c r="A170" s="26" t="s">
        <v>291</v>
      </c>
      <c r="B170" s="17">
        <v>2009</v>
      </c>
      <c r="C170" s="27">
        <v>0.33257558999999998</v>
      </c>
      <c r="D170" s="27">
        <v>-3.5689699999999998E-2</v>
      </c>
      <c r="E170" s="27">
        <v>2.625707E-2</v>
      </c>
      <c r="F170" s="28">
        <f t="shared" si="9"/>
        <v>0.18526947399999999</v>
      </c>
    </row>
    <row r="171" spans="1:6">
      <c r="A171" s="26" t="s">
        <v>291</v>
      </c>
      <c r="B171" s="17">
        <v>2010</v>
      </c>
      <c r="C171" s="27">
        <v>0.16387520999999999</v>
      </c>
      <c r="D171" s="27">
        <v>4.0476900000000003E-2</v>
      </c>
      <c r="E171" s="27">
        <v>1.631846E-2</v>
      </c>
      <c r="F171" s="28">
        <f t="shared" si="9"/>
        <v>0.114515886</v>
      </c>
    </row>
    <row r="172" spans="1:6">
      <c r="A172" s="26" t="s">
        <v>291</v>
      </c>
      <c r="B172" s="17">
        <v>2011</v>
      </c>
      <c r="C172" s="27">
        <v>3.4080279999999998E-2</v>
      </c>
      <c r="D172" s="27">
        <v>0.17875926</v>
      </c>
      <c r="E172" s="27">
        <v>2.9252170000000001E-2</v>
      </c>
      <c r="F172" s="28">
        <f t="shared" si="9"/>
        <v>9.1951872000000004E-2</v>
      </c>
    </row>
    <row r="173" spans="1:6">
      <c r="A173" s="26" t="s">
        <v>291</v>
      </c>
      <c r="B173" s="17">
        <v>2012</v>
      </c>
      <c r="C173" s="27">
        <v>0.16225951</v>
      </c>
      <c r="D173" s="27">
        <v>1.674103E-2</v>
      </c>
      <c r="E173" s="27">
        <v>1.5948629999999998E-2</v>
      </c>
      <c r="F173" s="28">
        <f t="shared" si="9"/>
        <v>0.104052118</v>
      </c>
    </row>
    <row r="174" spans="1:6">
      <c r="A174" s="26" t="s">
        <v>291</v>
      </c>
      <c r="B174" s="17">
        <v>2013</v>
      </c>
      <c r="C174" s="27">
        <v>0.25608624000000002</v>
      </c>
      <c r="D174" s="27">
        <v>-4.0077429999999997E-2</v>
      </c>
      <c r="E174" s="27">
        <v>1.578949E-2</v>
      </c>
      <c r="F174" s="28">
        <f t="shared" si="9"/>
        <v>0.137620772</v>
      </c>
    </row>
    <row r="175" spans="1:6">
      <c r="A175" s="26" t="s">
        <v>291</v>
      </c>
      <c r="B175" s="17">
        <v>2014</v>
      </c>
      <c r="C175" s="27">
        <v>0.13478988</v>
      </c>
      <c r="D175" s="27">
        <v>9.2577950000000006E-2</v>
      </c>
      <c r="E175" s="27">
        <v>-8.9347999999999999E-4</v>
      </c>
      <c r="F175" s="28">
        <f t="shared" si="9"/>
        <v>0.11790510800000001</v>
      </c>
    </row>
    <row r="176" spans="1:6">
      <c r="A176" s="26" t="s">
        <v>291</v>
      </c>
      <c r="B176" s="17">
        <v>2015</v>
      </c>
      <c r="C176" s="27">
        <v>-3.4417990000000002E-2</v>
      </c>
      <c r="D176" s="27">
        <v>3.9782900000000003E-2</v>
      </c>
      <c r="E176" s="27">
        <v>1.3730849999999999E-2</v>
      </c>
      <c r="F176" s="28">
        <f t="shared" si="9"/>
        <v>-4.7376339999999975E-3</v>
      </c>
    </row>
    <row r="177" spans="1:6">
      <c r="A177" s="26" t="s">
        <v>291</v>
      </c>
      <c r="B177" s="17">
        <v>2016</v>
      </c>
      <c r="C177" s="27">
        <v>0.21112855999999999</v>
      </c>
      <c r="D177" s="27">
        <v>-3.8404750000000001E-2</v>
      </c>
      <c r="E177" s="27">
        <v>2.5000430000000001E-2</v>
      </c>
      <c r="F177" s="28">
        <f t="shared" si="9"/>
        <v>0.111315236</v>
      </c>
    </row>
    <row r="178" spans="1:6">
      <c r="A178" s="26" t="s">
        <v>291</v>
      </c>
      <c r="B178" s="17">
        <v>2017</v>
      </c>
      <c r="C178" s="27">
        <v>0.24994068999999999</v>
      </c>
      <c r="D178" s="27">
        <v>-1.513749E-2</v>
      </c>
      <c r="E178" s="27">
        <v>2.0705080000000001E-2</v>
      </c>
      <c r="F178" s="28">
        <f t="shared" si="9"/>
        <v>0.14390941799999998</v>
      </c>
    </row>
    <row r="179" spans="1:6">
      <c r="A179" s="26" t="s">
        <v>291</v>
      </c>
      <c r="B179" s="17">
        <v>2018</v>
      </c>
      <c r="C179" s="27">
        <v>-4.747792E-2</v>
      </c>
      <c r="D179" s="27">
        <v>4.5477070000000001E-2</v>
      </c>
      <c r="E179" s="27">
        <v>1.5512359999999999E-2</v>
      </c>
      <c r="F179" s="28">
        <f t="shared" si="9"/>
        <v>-1.0295923999999994E-2</v>
      </c>
    </row>
    <row r="180" spans="1:6">
      <c r="A180" s="26" t="s">
        <v>291</v>
      </c>
      <c r="B180" s="17">
        <v>2019</v>
      </c>
      <c r="C180" s="27">
        <v>0.28150090999999999</v>
      </c>
      <c r="D180" s="27">
        <v>0.13303765000000001</v>
      </c>
      <c r="E180" s="27">
        <v>2.4865720000000001E-2</v>
      </c>
      <c r="F180" s="28">
        <f t="shared" si="9"/>
        <v>0.22211560599999999</v>
      </c>
    </row>
    <row r="181" spans="1:6">
      <c r="A181" s="26" t="s">
        <v>291</v>
      </c>
      <c r="B181" s="17">
        <v>2020</v>
      </c>
      <c r="C181" s="27">
        <v>0.17864940000000001</v>
      </c>
      <c r="D181" s="27">
        <v>2.9891919999999999E-2</v>
      </c>
      <c r="E181" s="27">
        <v>1.39977E-2</v>
      </c>
      <c r="F181" s="28">
        <f t="shared" si="9"/>
        <v>0.11914640800000001</v>
      </c>
    </row>
    <row r="182" spans="1:6">
      <c r="A182" s="26" t="s">
        <v>291</v>
      </c>
      <c r="B182" s="17">
        <v>2021</v>
      </c>
      <c r="C182" s="27">
        <v>0.22214344999999999</v>
      </c>
      <c r="D182" s="27">
        <v>-4.5977530000000003E-2</v>
      </c>
      <c r="E182" s="27">
        <v>7.4798719999999999E-2</v>
      </c>
      <c r="F182" s="28">
        <f t="shared" si="9"/>
        <v>0.11489505799999998</v>
      </c>
    </row>
    <row r="183" spans="1:6">
      <c r="A183" s="26" t="s">
        <v>291</v>
      </c>
      <c r="B183" s="17">
        <v>2022</v>
      </c>
      <c r="C183" s="27">
        <v>-0.12009421000000001</v>
      </c>
      <c r="D183" s="27">
        <v>-0.12019726</v>
      </c>
      <c r="E183" s="27">
        <v>6.4101450000000004E-2</v>
      </c>
      <c r="F183" s="28">
        <f t="shared" si="9"/>
        <v>-0.12013543</v>
      </c>
    </row>
    <row r="184" spans="1:6">
      <c r="A184" s="26" t="s">
        <v>291</v>
      </c>
      <c r="B184" s="17">
        <v>2023</v>
      </c>
      <c r="C184" s="27">
        <v>0.23534550000000001</v>
      </c>
      <c r="D184" s="27">
        <v>1.3757299999999999E-3</v>
      </c>
      <c r="E184" s="27">
        <v>3.0908850000000002E-2</v>
      </c>
      <c r="F184" s="28">
        <f t="shared" si="9"/>
        <v>0.14175759200000002</v>
      </c>
    </row>
    <row r="185" spans="1:6">
      <c r="A185" s="26" t="s">
        <v>291</v>
      </c>
      <c r="B185" s="17">
        <v>2024</v>
      </c>
      <c r="C185" s="27">
        <v>0.25819067000000001</v>
      </c>
      <c r="D185" s="27">
        <v>2.2605139999999999E-2</v>
      </c>
      <c r="E185" s="27">
        <v>3.000483E-2</v>
      </c>
      <c r="F185" s="28">
        <f t="shared" si="9"/>
        <v>0.163956458</v>
      </c>
    </row>
    <row r="186" spans="1:6">
      <c r="A186" s="26" t="s">
        <v>291</v>
      </c>
      <c r="B186" s="17">
        <v>2025</v>
      </c>
      <c r="C186" s="27">
        <v>0.17330783</v>
      </c>
      <c r="D186" s="27">
        <v>7.0432259999999997E-2</v>
      </c>
      <c r="E186" s="27">
        <v>2.3864300000000001E-2</v>
      </c>
      <c r="F186" s="28">
        <f t="shared" si="9"/>
        <v>0.13215760199999999</v>
      </c>
    </row>
  </sheetData>
  <mergeCells count="5">
    <mergeCell ref="A1:P1"/>
    <mergeCell ref="A4:F4"/>
    <mergeCell ref="A3:P3"/>
    <mergeCell ref="H68:P6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56</vt:i4>
      </vt:variant>
    </vt:vector>
  </HeadingPairs>
  <TitlesOfParts>
    <vt:vector size="62" baseType="lpstr">
      <vt:lpstr>0 - Indice</vt:lpstr>
      <vt:lpstr>1 - Parametri</vt:lpstr>
      <vt:lpstr>2 - Sequenza storica</vt:lpstr>
      <vt:lpstr>3 - Rendimento costante</vt:lpstr>
      <vt:lpstr>4 - Fisco e pensione</vt:lpstr>
      <vt:lpstr>5 - Dati</vt:lpstr>
      <vt:lpstr>Aliq</vt:lpstr>
      <vt:lpstr>Aliq_eff</vt:lpstr>
      <vt:lpstr>Alt_pens1</vt:lpstr>
      <vt:lpstr>Alt_pens2</vt:lpstr>
      <vt:lpstr>Alt_pens3</vt:lpstr>
      <vt:lpstr>Anni</vt:lpstr>
      <vt:lpstr>Anni_ipotesi</vt:lpstr>
      <vt:lpstr>Anni_osservati</vt:lpstr>
      <vt:lpstr>Anno_inizio</vt:lpstr>
      <vt:lpstr>Anno_pens</vt:lpstr>
      <vt:lpstr>Bollo</vt:lpstr>
      <vt:lpstr>Bollo_anno1</vt:lpstr>
      <vt:lpstr>Bollo_eff</vt:lpstr>
      <vt:lpstr>Cap_con_pens</vt:lpstr>
      <vt:lpstr>Cap_diff</vt:lpstr>
      <vt:lpstr>Cap_senza_pens</vt:lpstr>
      <vt:lpstr>Durata_testo</vt:lpstr>
      <vt:lpstr>Eta_fine</vt:lpstr>
      <vt:lpstr>Eta_inizio</vt:lpstr>
      <vt:lpstr>Eta_rif_VPW</vt:lpstr>
      <vt:lpstr>GK_banda</vt:lpstr>
      <vt:lpstr>GK_taglio</vt:lpstr>
      <vt:lpstr>GK_ultimi</vt:lpstr>
      <vt:lpstr>GK_variante</vt:lpstr>
      <vt:lpstr>Imposta_anno1</vt:lpstr>
      <vt:lpstr>Infl_c</vt:lpstr>
      <vt:lpstr>Lat_anno_pens</vt:lpstr>
      <vt:lpstr>Lat_anno1</vt:lpstr>
      <vt:lpstr>Lat_ponte2</vt:lpstr>
      <vt:lpstr>Lat_ultimo</vt:lpstr>
      <vt:lpstr>Latente_eff</vt:lpstr>
      <vt:lpstr>Latente0</vt:lpstr>
      <vt:lpstr>Mese_pens</vt:lpstr>
      <vt:lpstr>Mesi_ultimo</vt:lpstr>
      <vt:lpstr>Modalita</vt:lpstr>
      <vt:lpstr>Patrimonio</vt:lpstr>
      <vt:lpstr>Pav_pct</vt:lpstr>
      <vt:lpstr>Pens_eta_testo</vt:lpstr>
      <vt:lpstr>Pens_mesi_req</vt:lpstr>
      <vt:lpstr>Pensione</vt:lpstr>
      <vt:lpstr>Ponte_L</vt:lpstr>
      <vt:lpstr>Ponte_M</vt:lpstr>
      <vt:lpstr>Ponte_N</vt:lpstr>
      <vt:lpstr>r_VPW</vt:lpstr>
      <vt:lpstr>Rend_c</vt:lpstr>
      <vt:lpstr>Serie</vt:lpstr>
      <vt:lpstr>Spesa_netta</vt:lpstr>
      <vt:lpstr>Spesa0</vt:lpstr>
      <vt:lpstr>Tasso</vt:lpstr>
      <vt:lpstr>Tasso_con_bollo</vt:lpstr>
      <vt:lpstr>Tasso_lordo_eq</vt:lpstr>
      <vt:lpstr>Tasso0</vt:lpstr>
      <vt:lpstr>Uscita_anno1</vt:lpstr>
      <vt:lpstr>Venduto_anno1</vt:lpstr>
      <vt:lpstr>VG_pav</vt:lpstr>
      <vt:lpstr>VG_tetto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2026-10-17T14:36:04Z</dcterms:created>
  <dcterms:modified xsi:type="dcterms:W3CDTF">2026-10-17T14:36:12Z</dcterms:modified>
</cp:coreProperties>
</file>