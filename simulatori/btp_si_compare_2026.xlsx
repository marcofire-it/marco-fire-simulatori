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mmm aaaa"/>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167" fontId="5" fillId="0" borderId="1" applyAlignment="1" pivotButton="0" quotePrefix="0" xfId="0">
      <alignment horizontal="right" vertical="center"/>
    </xf>
    <xf numFmtId="4" fontId="5" fillId="6" borderId="1" applyAlignment="1" pivotButton="0" quotePrefix="0" xfId="0">
      <alignment horizontal="right" vertical="center"/>
    </xf>
    <xf numFmtId="167" fontId="5"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varyColors val="0"/>
        <ser>
          <idx val="0"/>
          <order val="0"/>
          <tx>
            <strRef>
              <f>'11 - Flusso cedolare'!E12</f>
            </strRef>
          </tx>
          <spPr>
            <a:ln>
              <a:prstDash val="solid"/>
            </a:ln>
          </spPr>
          <cat>
            <numRef>
              <f>'11 - Flusso cedolare'!$A$13:$A$23</f>
            </numRef>
          </cat>
          <val>
            <numRef>
              <f>'11 - Flusso cedolare'!$E$13:$E$23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0.016</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0.028</v>
      </c>
      <c r="D30" s="10">
        <f>"MEF asta: "&amp;SUBSTITUTE(ROUND(B30*100,2)&amp;"",".",",")&amp;"%"</f>
        <v/>
      </c>
    </row>
    <row r="31" ht="30" customHeight="1">
      <c r="A31" s="8" t="inlineStr">
        <is>
          <t>BTP 3y - rendimento lordo (mar 2029)</t>
        </is>
      </c>
      <c r="B31" s="9" t="n">
        <v>0.029</v>
      </c>
      <c r="D31" s="10">
        <f>"MEF asta: "&amp;SUBSTITUTE(ROUND(B31*100,2)&amp;"",".",",")&amp;"%"</f>
        <v/>
      </c>
    </row>
    <row r="32" ht="15" customHeight="1">
      <c r="A32" s="8" t="inlineStr">
        <is>
          <t>BTP 5y - rendimento lordo (stima)</t>
        </is>
      </c>
      <c r="B32" s="9" t="n">
        <v>0.0313</v>
      </c>
      <c r="D32" s="10" t="inlineStr">
        <is>
          <t>Stima interpolata 2y-7y curva 2026</t>
        </is>
      </c>
    </row>
    <row r="33" ht="30" customHeight="1">
      <c r="A33" s="8" t="inlineStr">
        <is>
          <t>BTP 7y - rendimento lordo (mar 2033)</t>
        </is>
      </c>
      <c r="B33" s="9" t="n">
        <v>0.0344</v>
      </c>
      <c r="D33" s="10">
        <f>"MEF asta: "&amp;SUBSTITUTE(ROUND(B33*100,2)&amp;"",".",",")&amp;"%"</f>
        <v/>
      </c>
    </row>
    <row r="34" ht="30" customHeight="1">
      <c r="A34" s="8" t="inlineStr">
        <is>
          <t>BTP 10y - rendimento lordo (feb 2036)</t>
        </is>
      </c>
      <c r="B34" s="9" t="n">
        <v>0.0374</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101.83</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101.86</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99.03</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86.59999999999999</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f>"1 - Disinflazione "&amp;SUBSTITUTE(ROUND('1 - Parametri'!B37*100,1)&amp;"",".",",")&amp;"%"</f>
        <v/>
      </c>
      <c r="B13" s="19">
        <f>'1 - Parametri'!B37</f>
        <v/>
      </c>
      <c r="C13" s="16">
        <f>$B$5+B13</f>
        <v/>
      </c>
      <c r="D13" s="16">
        <f>C13*(1-$B$8)</f>
        <v/>
      </c>
      <c r="E13" s="20">
        <f>$B$9*D13</f>
        <v/>
      </c>
    </row>
    <row r="14">
      <c r="A14" s="8">
        <f>"2 - Base BCE "&amp;SUBSTITUTE(ROUND('1 - Parametri'!B38*100,1)&amp;"",".",",")&amp;"%"</f>
        <v/>
      </c>
      <c r="B14" s="19">
        <f>'1 - Parametri'!B38</f>
        <v/>
      </c>
      <c r="C14" s="16">
        <f>$B$5+B14</f>
        <v/>
      </c>
      <c r="D14" s="16">
        <f>C14*(1-$B$8)</f>
        <v/>
      </c>
      <c r="E14" s="20">
        <f>$B$9*D14</f>
        <v/>
      </c>
    </row>
    <row r="15">
      <c r="A15" s="8">
        <f>"3 - Persistente "&amp;SUBSTITUTE(ROUND('1 - Parametri'!B39*100,1)&amp;"",".",",")&amp;"%"</f>
        <v/>
      </c>
      <c r="B15" s="19">
        <f>'1 - Parametri'!B39</f>
        <v/>
      </c>
      <c r="C15" s="16">
        <f>$B$5+B15</f>
        <v/>
      </c>
      <c r="D15" s="16">
        <f>C15*(1-$B$8)</f>
        <v/>
      </c>
      <c r="E15" s="20">
        <f>$B$9*D15</f>
        <v/>
      </c>
    </row>
    <row r="16">
      <c r="A16" s="8">
        <f>"4 - Stress geopol. "&amp;SUBSTITUTE(ROUND('1 - Parametri'!B40*100,1)&amp;"",".",",")&amp;"%"</f>
        <v/>
      </c>
      <c r="B16" s="19">
        <f>'1 - Parametri'!B40</f>
        <v/>
      </c>
      <c r="C16" s="16">
        <f>$B$5+B16</f>
        <v/>
      </c>
      <c r="D16" s="16">
        <f>C16*(1-$B$8)</f>
        <v/>
      </c>
      <c r="E16" s="20">
        <f>$B$9*D16</f>
        <v/>
      </c>
    </row>
    <row r="18">
      <c r="A18" s="7">
        <f>"Rendimento totale finale "&amp;'1 - Parametri'!B6&amp;" anni (netto, con premio "&amp;SUBSTITUTE(ROUND('1 - Parametri'!B7*100,1)&amp;"",".",",")&amp;"%)"</f>
        <v/>
      </c>
    </row>
    <row r="19">
      <c r="A19" s="21" t="inlineStr">
        <is>
          <t>Scenario</t>
        </is>
      </c>
      <c r="B19" s="21">
        <f>"Cedole nette tot "&amp;$B$6&amp;"y"</f>
        <v/>
      </c>
      <c r="C19" s="21" t="inlineStr">
        <is>
          <t>Premio netto fedelta'</t>
        </is>
      </c>
      <c r="D19" s="21" t="inlineStr">
        <is>
          <t>Tot. netto incassato</t>
        </is>
      </c>
      <c r="E19" s="21" t="inlineStr">
        <is>
          <t>IRR nom netto annuo (lineare)</t>
        </is>
      </c>
      <c r="F19" s="21" t="inlineStr">
        <is>
          <t>IRR reale netto</t>
        </is>
      </c>
    </row>
    <row r="20">
      <c r="A20" s="8">
        <f>"1 - Disinflazione "&amp;SUBSTITUTE(ROUND('1 - Parametri'!B37*100,1)&amp;"",".",",")&amp;"%"</f>
        <v/>
      </c>
      <c r="B20" s="20">
        <f>E13*$B$6</f>
        <v/>
      </c>
      <c r="C20" s="20">
        <f>$B$9*$B$7*(1-$B$8)</f>
        <v/>
      </c>
      <c r="D20" s="20">
        <f>B20+C20</f>
        <v/>
      </c>
      <c r="E20" s="16">
        <f>ROUND(($B$5+$B$7/$B$6+B13)*(1-$B$8),6)</f>
        <v/>
      </c>
      <c r="F20" s="16">
        <f>E20-B13</f>
        <v/>
      </c>
    </row>
    <row r="21">
      <c r="A21" s="8">
        <f>"2 - Base BCE "&amp;SUBSTITUTE(ROUND('1 - Parametri'!B38*100,1)&amp;"",".",",")&amp;"%"</f>
        <v/>
      </c>
      <c r="B21" s="20">
        <f>E14*$B$6</f>
        <v/>
      </c>
      <c r="C21" s="20">
        <f>$B$9*$B$7*(1-$B$8)</f>
        <v/>
      </c>
      <c r="D21" s="20">
        <f>B21+C21</f>
        <v/>
      </c>
      <c r="E21" s="16">
        <f>ROUND(($B$5+$B$7/$B$6+B14)*(1-$B$8),6)</f>
        <v/>
      </c>
      <c r="F21" s="16">
        <f>E21-B14</f>
        <v/>
      </c>
    </row>
    <row r="22">
      <c r="A22" s="8">
        <f>"3 - Persistente "&amp;SUBSTITUTE(ROUND('1 - Parametri'!B39*100,1)&amp;"",".",",")&amp;"%"</f>
        <v/>
      </c>
      <c r="B22" s="20">
        <f>E15*$B$6</f>
        <v/>
      </c>
      <c r="C22" s="20">
        <f>$B$9*$B$7*(1-$B$8)</f>
        <v/>
      </c>
      <c r="D22" s="20">
        <f>B22+C22</f>
        <v/>
      </c>
      <c r="E22" s="16">
        <f>ROUND(($B$5+$B$7/$B$6+B15)*(1-$B$8),6)</f>
        <v/>
      </c>
      <c r="F22" s="16">
        <f>E22-B15</f>
        <v/>
      </c>
    </row>
    <row r="23">
      <c r="A23" s="8">
        <f>"4 - Stress geopol. "&amp;SUBSTITUTE(ROUND('1 - Parametri'!B40*100,1)&amp;"",".",",")&amp;"%"</f>
        <v/>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f>"FOI cumulata "&amp;$B$6&amp;"y"</f>
        <v/>
      </c>
      <c r="C11" s="21" t="inlineStr">
        <is>
          <t>Capitale rivalutato</t>
        </is>
      </c>
      <c r="D11" s="21">
        <f>"Cedole nette "&amp;$B$6&amp;"y (su cap. rivalut.)"</f>
        <v/>
      </c>
      <c r="E11" s="21">
        <f>"Tot. netto "&amp;$B$6&amp;"y (cedole + rivalut.)"</f>
        <v/>
      </c>
    </row>
    <row r="12">
      <c r="A12" s="8">
        <f>"1 - Disinflazione "&amp;SUBSTITUTE(ROUND('1 - Parametri'!B37*100,1)&amp;"",".",",")&amp;"%"</f>
        <v/>
      </c>
      <c r="B12" s="19">
        <f>'1 - Parametri'!B37</f>
        <v/>
      </c>
      <c r="C12" s="20">
        <f>$B$8*(1+B12)^$B$6</f>
        <v/>
      </c>
      <c r="D12" s="20">
        <f>$B$5*$B$8*((1+B12)^$B$6-1)/B12*(1-$B$7)</f>
        <v/>
      </c>
      <c r="E12" s="20">
        <f>(C12-$B$8)*(1-$B$7)+D12</f>
        <v/>
      </c>
    </row>
    <row r="13">
      <c r="A13" s="8">
        <f>"2 - Base BCE "&amp;SUBSTITUTE(ROUND('1 - Parametri'!B38*100,1)&amp;"",".",",")&amp;"%"</f>
        <v/>
      </c>
      <c r="B13" s="19">
        <f>'1 - Parametri'!B38</f>
        <v/>
      </c>
      <c r="C13" s="20">
        <f>$B$8*(1+B13)^$B$6</f>
        <v/>
      </c>
      <c r="D13" s="20">
        <f>$B$5*$B$8*((1+B13)^$B$6-1)/B13*(1-$B$7)</f>
        <v/>
      </c>
      <c r="E13" s="20">
        <f>(C13-$B$8)*(1-$B$7)+D13</f>
        <v/>
      </c>
    </row>
    <row r="14">
      <c r="A14" s="8">
        <f>"3 - Persistente "&amp;SUBSTITUTE(ROUND('1 - Parametri'!B39*100,1)&amp;"",".",",")&amp;"%"</f>
        <v/>
      </c>
      <c r="B14" s="19">
        <f>'1 - Parametri'!B39</f>
        <v/>
      </c>
      <c r="C14" s="20">
        <f>$B$8*(1+B14)^$B$6</f>
        <v/>
      </c>
      <c r="D14" s="20">
        <f>$B$5*$B$8*((1+B14)^$B$6-1)/B14*(1-$B$7)</f>
        <v/>
      </c>
      <c r="E14" s="20">
        <f>(C14-$B$8)*(1-$B$7)+D14</f>
        <v/>
      </c>
    </row>
    <row r="15">
      <c r="A15" s="8">
        <f>"4 - Stress geopol. "&amp;SUBSTITUTE(ROUND('1 - Parametri'!B40*100,1)&amp;"",".",",")&amp;"%"</f>
        <v/>
      </c>
      <c r="B15" s="19">
        <f>'1 - Parametri'!B40</f>
        <v/>
      </c>
      <c r="C15" s="20">
        <f>$B$8*(1+B15)^$B$6</f>
        <v/>
      </c>
      <c r="D15" s="20">
        <f>$B$5*$B$8*((1+B15)^$B$6-1)/B15*(1-$B$7)</f>
        <v/>
      </c>
      <c r="E15" s="20">
        <f>(C15-$B$8)*(1-$B$7)+D15</f>
        <v/>
      </c>
    </row>
    <row r="17">
      <c r="A17" s="7" t="inlineStr">
        <is>
          <t>IRR netto annuo a confronto</t>
        </is>
      </c>
    </row>
    <row r="18">
      <c r="A18" s="21" t="inlineStr">
        <is>
          <t>Scenario</t>
        </is>
      </c>
      <c r="B18" s="21">
        <f>"Tot. netto "&amp;$B$6&amp;"y"</f>
        <v/>
      </c>
      <c r="C18" s="21" t="inlineStr">
        <is>
          <t>IRR netto annuo</t>
        </is>
      </c>
    </row>
    <row r="19">
      <c r="A19" s="8">
        <f>"1 - Disinflazione "&amp;SUBSTITUTE(ROUND('1 - Parametri'!B37*100,1)&amp;"",".",",")&amp;"%"</f>
        <v/>
      </c>
      <c r="B19" s="20">
        <f>E12</f>
        <v/>
      </c>
      <c r="C19" s="16">
        <f>((E12+$B$8)/$B$8)^(1/$B$6)-1</f>
        <v/>
      </c>
    </row>
    <row r="20">
      <c r="A20" s="8">
        <f>"2 - Base BCE "&amp;SUBSTITUTE(ROUND('1 - Parametri'!B38*100,1)&amp;"",".",",")&amp;"%"</f>
        <v/>
      </c>
      <c r="B20" s="20">
        <f>E13</f>
        <v/>
      </c>
      <c r="C20" s="16">
        <f>((E13+$B$8)/$B$8)^(1/$B$6)-1</f>
        <v/>
      </c>
    </row>
    <row r="21">
      <c r="A21" s="8">
        <f>"3 - Persistente "&amp;SUBSTITUTE(ROUND('1 - Parametri'!B39*100,1)&amp;"",".",",")&amp;"%"</f>
        <v/>
      </c>
      <c r="B21" s="20">
        <f>E14</f>
        <v/>
      </c>
      <c r="C21" s="16">
        <f>((E14+$B$8)/$B$8)^(1/$B$6)-1</f>
        <v/>
      </c>
    </row>
    <row r="22">
      <c r="A22" s="8">
        <f>"4 - Stress geopol. "&amp;SUBSTITUTE(ROUND('1 - Parametri'!B40*100,1)&amp;"",".",",")&amp;"%"</f>
        <v/>
      </c>
      <c r="B22" s="20">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f>"Anni 1-2 ("&amp;SUBSTITUTE(ROUND(B5*100,2)&amp;"",".",",")&amp;"%)"</f>
        <v/>
      </c>
      <c r="B15" s="16">
        <f>B5</f>
        <v/>
      </c>
      <c r="C15" s="22">
        <f>B5*(1-$B$10)</f>
        <v/>
      </c>
      <c r="D15" s="20">
        <f>$B$11*C15</f>
        <v/>
      </c>
      <c r="E15" s="20">
        <f>D15*2</f>
        <v/>
      </c>
    </row>
    <row r="16">
      <c r="A16" s="8">
        <f>"Anni 3-4 ("&amp;SUBSTITUTE(ROUND(B6*100,2)&amp;"",".",",")&amp;"%)"</f>
        <v/>
      </c>
      <c r="B16" s="16">
        <f>B6</f>
        <v/>
      </c>
      <c r="C16" s="22">
        <f>B6*(1-$B$10)</f>
        <v/>
      </c>
      <c r="D16" s="20">
        <f>$B$11*C16</f>
        <v/>
      </c>
      <c r="E16" s="20">
        <f>D16*2</f>
        <v/>
      </c>
    </row>
    <row r="17">
      <c r="A17" s="8">
        <f>"Anni 5-6 ("&amp;SUBSTITUTE(ROUND(B7*100,2)&amp;"",".",",")&amp;"%)"</f>
        <v/>
      </c>
      <c r="B17" s="16">
        <f>B7</f>
        <v/>
      </c>
      <c r="C17" s="22">
        <f>B7*(1-$B$10)</f>
        <v/>
      </c>
      <c r="D17" s="20">
        <f>$B$11*C17</f>
        <v/>
      </c>
      <c r="E17" s="20">
        <f>D17*2</f>
        <v/>
      </c>
    </row>
    <row r="19">
      <c r="A19" s="7">
        <f>"Rendimento totale netto "&amp;B9&amp;" anni"</f>
        <v/>
      </c>
    </row>
    <row r="20">
      <c r="A20" s="8">
        <f>"Tot. cedole nette "&amp;B9&amp;"y"</f>
        <v/>
      </c>
      <c r="B20" s="20">
        <f>E15+E16+E17</f>
        <v/>
      </c>
    </row>
    <row r="21">
      <c r="A21" s="8" t="inlineStr">
        <is>
          <t>Premio fedelta' netto</t>
        </is>
      </c>
      <c r="B21" s="20">
        <f>B11*B8*(1-B10)</f>
        <v/>
      </c>
    </row>
    <row r="22">
      <c r="A22" s="8">
        <f>"Tot. netto "&amp;B9&amp;"y"</f>
        <v/>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f>"1 - Disinflazione "&amp;SUBSTITUTE(ROUND('1 - Parametri'!B37*100,1)&amp;"",".",",")&amp;"%"</f>
        <v/>
      </c>
      <c r="B38" s="19">
        <f>'1 - Parametri'!B37</f>
        <v/>
      </c>
      <c r="C38" s="16">
        <f>$B$33-B38</f>
        <v/>
      </c>
    </row>
    <row r="39">
      <c r="A39" s="8">
        <f>"2 - Base BCE "&amp;SUBSTITUTE(ROUND('1 - Parametri'!B38*100,1)&amp;"",".",",")&amp;"%"</f>
        <v/>
      </c>
      <c r="B39" s="19">
        <f>'1 - Parametri'!B38</f>
        <v/>
      </c>
      <c r="C39" s="16">
        <f>$B$33-B39</f>
        <v/>
      </c>
    </row>
    <row r="40">
      <c r="A40" s="8">
        <f>"3 - Persistente "&amp;SUBSTITUTE(ROUND('1 - Parametri'!B39*100,1)&amp;"",".",",")&amp;"%"</f>
        <v/>
      </c>
      <c r="B40" s="19">
        <f>'1 - Parametri'!B39</f>
        <v/>
      </c>
      <c r="C40" s="16">
        <f>$B$33-B40</f>
        <v/>
      </c>
    </row>
    <row r="41">
      <c r="A41" s="8">
        <f>"4 - Stress geopol. "&amp;SUBSTITUTE(ROUND('1 - Parametri'!B40*100,1)&amp;"",".",",")&amp;"%"</f>
        <v/>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f>"Cedole nette "&amp;$B$10&amp;"y"</f>
        <v/>
      </c>
      <c r="E15" s="21">
        <f>"Tot. netto "&amp;$B$10&amp;"y"</f>
        <v/>
      </c>
      <c r="F15" s="21" t="inlineStr">
        <is>
          <t>IRR nom netto annuo (lineare)</t>
        </is>
      </c>
    </row>
    <row r="16">
      <c r="A16" s="8">
        <f>"Bassa (PIL "&amp;SUBSTITUTE(ROUND(B16*100,1)&amp;"",".",",")&amp;"%)"</f>
        <v/>
      </c>
      <c r="B16" s="12" t="n">
        <v>0.015</v>
      </c>
      <c r="C16" s="16">
        <f>MAX($B$8,MIN($B$9,0.4*B16))</f>
        <v/>
      </c>
      <c r="D16" s="20">
        <f>$B$12*(4*$B$5+4*$B$6+4*$B$7)*(1-$B$11)</f>
        <v/>
      </c>
      <c r="E16" s="20">
        <f>D16+$B$12*C16*(1-$B$11)</f>
        <v/>
      </c>
      <c r="F16" s="16">
        <f>E16/$B$12/$B$10</f>
        <v/>
      </c>
    </row>
    <row r="17">
      <c r="A17" s="8">
        <f>"Base (PIL "&amp;SUBSTITUTE(ROUND(B17*100,1)&amp;"",".",",")&amp;"%)"</f>
        <v/>
      </c>
      <c r="B17" s="12" t="n">
        <v>0.03</v>
      </c>
      <c r="C17" s="16">
        <f>MAX($B$8,MIN($B$9,0.4*B17))</f>
        <v/>
      </c>
      <c r="D17" s="20">
        <f>$B$12*(4*$B$5+4*$B$6+4*$B$7)*(1-$B$11)</f>
        <v/>
      </c>
      <c r="E17" s="20">
        <f>D17+$B$12*C17*(1-$B$11)</f>
        <v/>
      </c>
      <c r="F17" s="16">
        <f>E17/$B$12/$B$10</f>
        <v/>
      </c>
    </row>
    <row r="18">
      <c r="A18" s="8">
        <f>"Alta (PIL "&amp;SUBSTITUTE(ROUND(B18*100,1)&amp;"",".",",")&amp;"%)"</f>
        <v/>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f>"1 - Disinflazione "&amp;SUBSTITUTE(ROUND('1 - Parametri'!B37*100,1)&amp;"",".",",")&amp;"%"</f>
        <v/>
      </c>
      <c r="B33" s="19">
        <f>'1 - Parametri'!B37</f>
        <v/>
      </c>
      <c r="C33" s="16">
        <f>$B$28-B33</f>
        <v/>
      </c>
    </row>
    <row r="34">
      <c r="A34" s="8">
        <f>"2 - Base BCE "&amp;SUBSTITUTE(ROUND('1 - Parametri'!B38*100,1)&amp;"",".",",")&amp;"%"</f>
        <v/>
      </c>
      <c r="B34" s="19">
        <f>'1 - Parametri'!B38</f>
        <v/>
      </c>
      <c r="C34" s="16">
        <f>$B$28-B34</f>
        <v/>
      </c>
    </row>
    <row r="35">
      <c r="A35" s="8">
        <f>"3 - Persistente "&amp;SUBSTITUTE(ROUND('1 - Parametri'!B39*100,1)&amp;"",".",",")&amp;"%"</f>
        <v/>
      </c>
      <c r="B35" s="19">
        <f>'1 - Parametri'!B39</f>
        <v/>
      </c>
      <c r="C35" s="16">
        <f>$B$28-B35</f>
        <v/>
      </c>
    </row>
    <row r="36">
      <c r="A36" s="8">
        <f>"4 - Stress geopol. "&amp;SUBSTITUTE(ROUND('1 - Parametri'!B40*100,1)&amp;"",".",",")&amp;"%"</f>
        <v/>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titoli di Stato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f>"Infl. "&amp;SUBSTITUTE(ROUND('1 - Parametri'!B37*100,1)&amp;"",".",",")&amp;"%"</f>
        <v/>
      </c>
      <c r="C5" s="21">
        <f>"Infl. "&amp;SUBSTITUTE(ROUND('1 - Parametri'!B38*100,1)&amp;"",".",",")&amp;"%"</f>
        <v/>
      </c>
      <c r="D5" s="21">
        <f>"Infl. "&amp;SUBSTITUTE(ROUND('1 - Parametri'!B39*100,1)&amp;"",".",",")&amp;"%"</f>
        <v/>
      </c>
      <c r="E5" s="21">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(dopo tasse)</t>
        </is>
      </c>
      <c r="D5" s="21" t="inlineStr">
        <is>
          <t>Soglia infl. break-even (lorda)</t>
        </is>
      </c>
      <c r="E5" s="21" t="inlineStr">
        <is>
          <t>Verdetto</t>
        </is>
      </c>
    </row>
    <row r="6">
      <c r="A6" s="8" t="inlineStr">
        <is>
          <t>BTP nominale 2y</t>
        </is>
      </c>
      <c r="B6" s="16">
        <f>'1 - Parametri'!B30</f>
        <v/>
      </c>
      <c r="C6" s="16">
        <f>B6*(1-'1 - Parametri'!B8)</f>
        <v/>
      </c>
      <c r="D6" s="16">
        <f>B6-('1 - Parametri'!B5+'1 - Parametri'!B7/'1 - Parametri'!B6)</f>
        <v/>
      </c>
      <c r="E6" s="24">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4">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4">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4">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4">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4">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4">
        <f>IF(D12&lt;=0,"Si vince SEMPRE",IF(D12&gt;='1 - Parametri'!B40,"Si perde quasi sempre","Si vince se FOI &gt; "&amp;SUBSTITUTE(ROUND(D12*100,2)&amp;"",".",",")&amp;"%"))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4">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Parametri'!B7/'1 - Parametri'!B6)*(1-'1 -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G34"/>
  <sheetViews>
    <sheetView workbookViewId="0">
      <selection activeCell="A1" sqref="A1"/>
    </sheetView>
  </sheetViews>
  <sheetFormatPr baseColWidth="8" defaultRowHeight="15"/>
  <cols>
    <col width="14" customWidth="1" min="1" max="1"/>
    <col width="13" customWidth="1" min="2" max="2"/>
    <col width="15" customWidth="1" min="3" max="3"/>
    <col width="14" customWidth="1" min="4" max="4"/>
    <col width="15" customWidth="1" min="5" max="5"/>
    <col width="16" customWidth="1" min="6" max="6"/>
    <col width="16" customWidth="1" min="7" max="7"/>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19">
        <f>'1 - Parametri'!B8</f>
        <v/>
      </c>
    </row>
    <row r="8">
      <c r="A8" s="8" t="inlineStr">
        <is>
          <t>Capitale investito (EUR)</t>
        </is>
      </c>
      <c r="B8" s="20">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1" t="inlineStr">
        <is>
          <t>Stacco</t>
        </is>
      </c>
      <c r="B12" s="21" t="inlineStr">
        <is>
          <t>Data</t>
        </is>
      </c>
      <c r="C12" s="21" t="inlineStr">
        <is>
          <t>Cedola lorda</t>
        </is>
      </c>
      <c r="D12" s="21" t="inlineStr">
        <is>
          <t>Imposta</t>
        </is>
      </c>
      <c r="E12" s="21" t="inlineStr">
        <is>
          <t>Cedola netta</t>
        </is>
      </c>
      <c r="F12" s="21" t="inlineStr">
        <is>
          <t>Cumulato netto</t>
        </is>
      </c>
      <c r="G12" s="21" t="inlineStr">
        <is>
          <t>Flusso di cassa</t>
        </is>
      </c>
    </row>
    <row r="13">
      <c r="A13" s="8" t="inlineStr">
        <is>
          <t>1/10</t>
        </is>
      </c>
      <c r="B13" s="29" t="n">
        <v>46371</v>
      </c>
      <c r="C13" s="28">
        <f>($B$5+$B$9)/2*$B$8</f>
        <v/>
      </c>
      <c r="D13" s="28">
        <f>C13*$B$7</f>
        <v/>
      </c>
      <c r="E13" s="28">
        <f>C13-D13</f>
        <v/>
      </c>
      <c r="F13" s="28">
        <f>E13</f>
        <v/>
      </c>
      <c r="G13" s="28">
        <f>E13</f>
        <v/>
      </c>
    </row>
    <row r="14">
      <c r="A14" s="8" t="inlineStr">
        <is>
          <t>2/10</t>
        </is>
      </c>
      <c r="B14" s="29" t="n">
        <v>46553</v>
      </c>
      <c r="C14" s="28">
        <f>($B$5+$B$9)/2*$B$8</f>
        <v/>
      </c>
      <c r="D14" s="28">
        <f>C14*$B$7</f>
        <v/>
      </c>
      <c r="E14" s="28">
        <f>C14-D14</f>
        <v/>
      </c>
      <c r="F14" s="28">
        <f>F13+E14</f>
        <v/>
      </c>
      <c r="G14" s="28">
        <f>E14</f>
        <v/>
      </c>
    </row>
    <row r="15">
      <c r="A15" s="8" t="inlineStr">
        <is>
          <t>3/10</t>
        </is>
      </c>
      <c r="B15" s="29" t="n">
        <v>46736</v>
      </c>
      <c r="C15" s="28">
        <f>($B$5+$B$9)/2*$B$8</f>
        <v/>
      </c>
      <c r="D15" s="28">
        <f>C15*$B$7</f>
        <v/>
      </c>
      <c r="E15" s="28">
        <f>C15-D15</f>
        <v/>
      </c>
      <c r="F15" s="28">
        <f>F14+E15</f>
        <v/>
      </c>
      <c r="G15" s="28">
        <f>E15</f>
        <v/>
      </c>
    </row>
    <row r="16">
      <c r="A16" s="8" t="inlineStr">
        <is>
          <t>4/10</t>
        </is>
      </c>
      <c r="B16" s="29" t="n">
        <v>46919</v>
      </c>
      <c r="C16" s="28">
        <f>($B$5+$B$9)/2*$B$8</f>
        <v/>
      </c>
      <c r="D16" s="28">
        <f>C16*$B$7</f>
        <v/>
      </c>
      <c r="E16" s="28">
        <f>C16-D16</f>
        <v/>
      </c>
      <c r="F16" s="28">
        <f>F15+E16</f>
        <v/>
      </c>
      <c r="G16" s="28">
        <f>E16</f>
        <v/>
      </c>
    </row>
    <row r="17">
      <c r="A17" s="8" t="inlineStr">
        <is>
          <t>5/10</t>
        </is>
      </c>
      <c r="B17" s="29" t="n">
        <v>47102</v>
      </c>
      <c r="C17" s="28">
        <f>($B$5+$B$9)/2*$B$8</f>
        <v/>
      </c>
      <c r="D17" s="28">
        <f>C17*$B$7</f>
        <v/>
      </c>
      <c r="E17" s="28">
        <f>C17-D17</f>
        <v/>
      </c>
      <c r="F17" s="28">
        <f>F16+E17</f>
        <v/>
      </c>
      <c r="G17" s="28">
        <f>E17</f>
        <v/>
      </c>
    </row>
    <row r="18">
      <c r="A18" s="8" t="inlineStr">
        <is>
          <t>6/10</t>
        </is>
      </c>
      <c r="B18" s="29" t="n">
        <v>47284</v>
      </c>
      <c r="C18" s="28">
        <f>($B$5+$B$9)/2*$B$8</f>
        <v/>
      </c>
      <c r="D18" s="28">
        <f>C18*$B$7</f>
        <v/>
      </c>
      <c r="E18" s="28">
        <f>C18-D18</f>
        <v/>
      </c>
      <c r="F18" s="28">
        <f>F17+E18</f>
        <v/>
      </c>
      <c r="G18" s="28">
        <f>E18</f>
        <v/>
      </c>
    </row>
    <row r="19">
      <c r="A19" s="8" t="inlineStr">
        <is>
          <t>7/10</t>
        </is>
      </c>
      <c r="B19" s="29" t="n">
        <v>47467</v>
      </c>
      <c r="C19" s="28">
        <f>($B$5+$B$9)/2*$B$8</f>
        <v/>
      </c>
      <c r="D19" s="28">
        <f>C19*$B$7</f>
        <v/>
      </c>
      <c r="E19" s="28">
        <f>C19-D19</f>
        <v/>
      </c>
      <c r="F19" s="28">
        <f>F18+E19</f>
        <v/>
      </c>
      <c r="G19" s="28">
        <f>E19</f>
        <v/>
      </c>
    </row>
    <row r="20">
      <c r="A20" s="8" t="inlineStr">
        <is>
          <t>8/10</t>
        </is>
      </c>
      <c r="B20" s="29" t="n">
        <v>47649</v>
      </c>
      <c r="C20" s="28">
        <f>($B$5+$B$9)/2*$B$8</f>
        <v/>
      </c>
      <c r="D20" s="28">
        <f>C20*$B$7</f>
        <v/>
      </c>
      <c r="E20" s="28">
        <f>C20-D20</f>
        <v/>
      </c>
      <c r="F20" s="28">
        <f>F19+E20</f>
        <v/>
      </c>
      <c r="G20" s="28">
        <f>E20</f>
        <v/>
      </c>
    </row>
    <row r="21">
      <c r="A21" s="8" t="inlineStr">
        <is>
          <t>9/10</t>
        </is>
      </c>
      <c r="B21" s="29" t="n">
        <v>47832</v>
      </c>
      <c r="C21" s="28">
        <f>($B$5+$B$9)/2*$B$8</f>
        <v/>
      </c>
      <c r="D21" s="28">
        <f>C21*$B$7</f>
        <v/>
      </c>
      <c r="E21" s="28">
        <f>C21-D21</f>
        <v/>
      </c>
      <c r="F21" s="28">
        <f>F20+E21</f>
        <v/>
      </c>
      <c r="G21" s="28">
        <f>E21</f>
        <v/>
      </c>
    </row>
    <row r="22">
      <c r="A22" s="8" t="inlineStr">
        <is>
          <t>10/10</t>
        </is>
      </c>
      <c r="B22" s="29" t="n">
        <v>48014</v>
      </c>
      <c r="C22" s="28">
        <f>($B$5+$B$9)/2*$B$8</f>
        <v/>
      </c>
      <c r="D22" s="28">
        <f>C22*$B$7</f>
        <v/>
      </c>
      <c r="E22" s="28">
        <f>C22-D22</f>
        <v/>
      </c>
      <c r="F22" s="28">
        <f>F21+E22</f>
        <v/>
      </c>
      <c r="G22" s="28">
        <f>E22</f>
        <v/>
      </c>
    </row>
    <row r="23">
      <c r="A23" s="8" t="inlineStr">
        <is>
          <t>Premio</t>
        </is>
      </c>
      <c r="B23" s="29" t="n">
        <v>48014</v>
      </c>
      <c r="C23" s="28">
        <f>$B$8*$B$6</f>
        <v/>
      </c>
      <c r="D23" s="28">
        <f>C23*$B$7</f>
        <v/>
      </c>
      <c r="E23" s="28">
        <f>C23-D23</f>
        <v/>
      </c>
      <c r="F23" s="28">
        <f>F22+E23</f>
        <v/>
      </c>
      <c r="G23" s="28">
        <f>E23</f>
        <v/>
      </c>
    </row>
    <row r="24">
      <c r="A24" s="8" t="inlineStr">
        <is>
          <t>Acquisto</t>
        </is>
      </c>
      <c r="B24" s="29" t="n">
        <v>46192</v>
      </c>
      <c r="G24" s="28">
        <f>-$B$8</f>
        <v/>
      </c>
    </row>
    <row r="25">
      <c r="A25" s="8" t="inlineStr">
        <is>
          <t>Rimborso</t>
        </is>
      </c>
      <c r="B25" s="29" t="n">
        <v>48014</v>
      </c>
      <c r="G25" s="28">
        <f>$B$8</f>
        <v/>
      </c>
    </row>
    <row r="26">
      <c r="A26" s="8" t="inlineStr">
        <is>
          <t>TOTALE NETTO 5 ANNI (cedole + premio)</t>
        </is>
      </c>
      <c r="F26" s="28">
        <f>F23</f>
        <v/>
      </c>
    </row>
    <row r="28">
      <c r="A28" s="7" t="inlineStr">
        <is>
          <t>IRR dai flussi di cassa</t>
        </is>
      </c>
    </row>
    <row r="29">
      <c r="A29" s="8" t="inlineStr">
        <is>
          <t>IRR nominale netto EFFETTIVO (XIRR composto sui flussi)</t>
        </is>
      </c>
      <c r="F29" s="16">
        <f>XIRR(G13:G25,B13:B25)</f>
        <v/>
      </c>
    </row>
    <row r="30">
      <c r="A30" s="8" t="inlineStr">
        <is>
          <t>IRR nominale netto LINEARE (convenzione fogli 2-7)</t>
        </is>
      </c>
      <c r="F30" s="16">
        <f>ROUND(($B$5+$B$6/'1 - Parametri'!B6+$B$9)*(1-$B$7),6)</f>
        <v/>
      </c>
    </row>
    <row r="31">
      <c r="A31" s="8" t="inlineStr">
        <is>
          <t>IRR REALE netto effettivo (XIRR - FOI media)</t>
        </is>
      </c>
      <c r="F31" s="16">
        <f>F29-$B$9</f>
        <v/>
      </c>
    </row>
    <row r="33">
      <c r="A33" s="7" t="inlineStr">
        <is>
          <t>Note metodologiche</t>
        </is>
      </c>
    </row>
    <row r="34" ht="90" customHeight="1">
      <c r="A34" s="10" t="inlineStr">
        <is>
          <t>Date indicative: godimento giugno 2026, cedole semestrali dicembre/giugno (15 del mese convenzionale; acquisto = chiusura collocamento 19/06/2026). Il FOI media e' un'ipotesi di scenario: le cedole effettive varieranno semestre per semestre con l'inflazione FOI rilevata da ISTAT. Il premio fedelta' spetta solo a chi sottoscrive in collocamento e tiene fino a scadenza. XIRR = rendimento composto effettivo sui flussi datati; differisce di pochi centesimi dall'IRR lineare divulgativo usato negli altri fogli (che non compone i reinvestimenti).</t>
        </is>
      </c>
    </row>
  </sheetData>
  <mergeCells count="8">
    <mergeCell ref="C9:G9"/>
    <mergeCell ref="A1:G1"/>
    <mergeCell ref="A34:G34"/>
    <mergeCell ref="A4:G4"/>
    <mergeCell ref="A2:G2"/>
    <mergeCell ref="A33:G33"/>
    <mergeCell ref="A11:G11"/>
    <mergeCell ref="A28:G28"/>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2026-06-11T13:13:20Z</dcterms:created>
  <dcterms:modified xsi:type="dcterms:W3CDTF">2026-06-12T11:05:48Z</dcterms:modified>
</cp:coreProperties>
</file>