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style val="12"/>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EF4444"/>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8B5CF6"/>
              </a:solidFill>
              <a:prstDash val="solid"/>
            </a:ln>
          </spPr>
          <marker>
            <symbol val="none"/>
            <spPr>
              <a:ln>
                <a:prstDash val="solid"/>
              </a:ln>
            </spPr>
          </marker>
          <cat>
            <numRef>
              <f>'7 - MATRICE COMPARATIVA'!$B$5:$E$5</f>
            </numRef>
          </cat>
          <val>
            <numRef>
              <f>'7 - MATRICE COMPARATIVA'!$B$10:$E$10</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style val="11"/>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style val="10"/>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2,0%</t>
        </is>
      </c>
    </row>
    <row r="8" ht="22" customHeight="1">
      <c r="A8" s="4" t="inlineStr">
        <is>
          <t>4 - BTP Valore</t>
        </is>
      </c>
      <c r="B8" s="5" t="inlineStr">
        <is>
          <t>Step-up 2+2+2 + premio 0,8%</t>
        </is>
      </c>
    </row>
    <row r="9" ht="22" customHeight="1">
      <c r="A9" s="4" t="inlineStr">
        <is>
          <t>5 - BTP Futura</t>
        </is>
      </c>
      <c r="B9" s="5" t="inlineStr">
        <is>
          <t>Storico 4a emissione + premio PIL</t>
        </is>
      </c>
    </row>
    <row r="10" ht="22" customHeight="1">
      <c r="A10" s="4" t="inlineStr">
        <is>
          <t>6 - BTP nominali</t>
        </is>
      </c>
      <c r="B10" s="5" t="inlineStr">
        <is>
          <t>Curva 2y/5y/10y rendimenti fissi</t>
        </is>
      </c>
    </row>
    <row r="11" ht="22" customHeight="1">
      <c r="A11" s="4" t="inlineStr">
        <is>
          <t>7 - MATRICE COMPARATIVA</t>
        </is>
      </c>
      <c r="B11" s="5" t="inlineStr">
        <is>
          <t>5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maggio 2028 (IT0005***) tasso reale 2,0%; giu 2030 (IT0005497000) tasso reale 1,6%</t>
        </is>
      </c>
    </row>
    <row r="25">
      <c r="A25" s="5" t="inlineStr">
        <is>
          <t>• MEF - BTP Valore marzo 2026 step-up 2,60/2,80/3,80% + premio 0,8%, scadenza 10 ott 2032</t>
        </is>
      </c>
    </row>
    <row r="26">
      <c r="A26" s="5" t="inlineStr">
        <is>
          <t>• MEF - BTP Futura 4a emissione 2021 (nov 2021), 12 anni step-up 0,35/0,60/1,00 + premio PIL 0,4-3%</t>
        </is>
      </c>
    </row>
    <row r="27">
      <c r="A27" s="5" t="inlineStr">
        <is>
          <t>• MEF Tesoro - Calendario aste BTP nominali maggio 2026 (asta 13 e 28 maggio)</t>
        </is>
      </c>
    </row>
    <row r="28">
      <c r="A28" s="5" t="inlineStr">
        <is>
          <t>• Banca d'Italia - Risultati aste BTP nominali 2026 (rendimenti curva 2y-10y)</t>
        </is>
      </c>
    </row>
    <row r="29">
      <c r="A29" s="5" t="inlineStr">
        <is>
          <t>• ISTAT - Indice FOI per famiglie operai e impiegati (escluso tabacchi) - meccanismo BTP Italia</t>
        </is>
      </c>
    </row>
    <row r="30">
      <c r="A30" s="5" t="inlineStr">
        <is>
          <t>• Eurostat - HICP eurozona per BTPi (non incluso in matrice; alternativa istituzionale)</t>
        </is>
      </c>
    </row>
    <row r="31">
      <c r="A31" s="5" t="inlineStr">
        <is>
          <t>• Borsa Italiana MOT - mercato secondario BTP retail (liquidita' supportata da Dealer MEF)</t>
        </is>
      </c>
    </row>
    <row r="33">
      <c r="A33"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0.012</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30" customHeight="1">
      <c r="A11" s="8" t="inlineStr">
        <is>
          <t>BTP Italia mag 2028 - cedola reale annua</t>
        </is>
      </c>
      <c r="B11" s="9" t="n">
        <v>0.02</v>
      </c>
      <c r="D11" s="10" t="inlineStr">
        <is>
          <t>MEF IT0005***: tasso reale 2,0% sul prospetto (rendimento per chi compra a 100)</t>
        </is>
      </c>
    </row>
    <row r="12" ht="30" customHeight="1">
      <c r="A12" s="8" t="inlineStr">
        <is>
          <t>BTP Italia giu 2030 - cedola reale annua</t>
        </is>
      </c>
      <c r="B12" s="9" t="n">
        <v>0.016</v>
      </c>
      <c r="D12" s="10" t="inlineStr">
        <is>
          <t>MEF IT0005497000: tasso reale 1,6% sul prospetto</t>
        </is>
      </c>
    </row>
    <row r="14">
      <c r="A14" s="7" t="inlineStr">
        <is>
          <t>BTP Valore (ultima emissione marzo 2026, secondario)</t>
        </is>
      </c>
    </row>
    <row r="15" ht="15" customHeight="1">
      <c r="A15" s="8" t="inlineStr">
        <is>
          <t>Cedola step-up anni 1-2</t>
        </is>
      </c>
      <c r="B15" s="9" t="n">
        <v>0.026</v>
      </c>
      <c r="D15" s="10" t="inlineStr">
        <is>
          <t>MEF: 2,60% (cedole trimestrali)</t>
        </is>
      </c>
    </row>
    <row r="16" ht="15" customHeight="1">
      <c r="A16" s="8" t="inlineStr">
        <is>
          <t>Cedola step-up anni 3-4</t>
        </is>
      </c>
      <c r="B16" s="9" t="n">
        <v>0.028</v>
      </c>
      <c r="D16" s="10" t="inlineStr">
        <is>
          <t>MEF: 2,80%</t>
        </is>
      </c>
    </row>
    <row r="17" ht="15" customHeight="1">
      <c r="A17" s="8" t="inlineStr">
        <is>
          <t>Cedola step-up anni 5-6</t>
        </is>
      </c>
      <c r="B17" s="9" t="n">
        <v>0.038</v>
      </c>
      <c r="D17" s="10" t="inlineStr">
        <is>
          <t>MEF: 3,80% (definitivo)</t>
        </is>
      </c>
    </row>
    <row r="18" ht="15" customHeight="1">
      <c r="A18" s="8" t="inlineStr">
        <is>
          <t>Premio fedelta'</t>
        </is>
      </c>
      <c r="B18" s="9" t="n">
        <v>0.008</v>
      </c>
      <c r="D18" s="10" t="inlineStr">
        <is>
          <t>MEF: 0,8% del capitale a scadenza</t>
        </is>
      </c>
    </row>
    <row r="19" ht="15" customHeight="1">
      <c r="A19" s="8" t="inlineStr">
        <is>
          <t>Durata (anni)</t>
        </is>
      </c>
      <c r="B19" s="11" t="n">
        <v>6</v>
      </c>
      <c r="D19" s="10" t="inlineStr">
        <is>
          <t>Scadenza 10 ott 2032</t>
        </is>
      </c>
    </row>
    <row r="21">
      <c r="A21" s="7" t="inlineStr">
        <is>
          <t>BTP Futura (sospeso, riferimento storico)</t>
        </is>
      </c>
    </row>
    <row r="22" ht="15" customHeight="1">
      <c r="A22" s="8" t="inlineStr">
        <is>
          <t>Cedola step-up anni 1-4</t>
        </is>
      </c>
      <c r="B22" s="9" t="n">
        <v>0.0035</v>
      </c>
      <c r="D22" s="10" t="inlineStr">
        <is>
          <t>Storico 4a emissione nov 2021: 0,35%</t>
        </is>
      </c>
    </row>
    <row r="23" ht="15" customHeight="1">
      <c r="A23" s="8" t="inlineStr">
        <is>
          <t>Cedola step-up anni 5-8</t>
        </is>
      </c>
      <c r="B23" s="9" t="n">
        <v>0.006</v>
      </c>
      <c r="D23" s="10" t="inlineStr">
        <is>
          <t>Storico: 0,60% (anni 5-8)</t>
        </is>
      </c>
    </row>
    <row r="24" ht="15" customHeight="1">
      <c r="A24" s="8" t="inlineStr">
        <is>
          <t>Cedola step-up anni 9-12</t>
        </is>
      </c>
      <c r="B24" s="9" t="n">
        <v>0.01</v>
      </c>
      <c r="D24" s="10" t="inlineStr">
        <is>
          <t>Storico: 1,00% (anni 9-12)</t>
        </is>
      </c>
    </row>
    <row r="25" ht="15" customHeight="1">
      <c r="A25" s="8" t="inlineStr">
        <is>
          <t>Premio fedelta' min (PIL)</t>
        </is>
      </c>
      <c r="B25" s="9" t="n">
        <v>0.004</v>
      </c>
      <c r="D25" s="10" t="inlineStr">
        <is>
          <t>Floor 0,4% se PIL nominale basso</t>
        </is>
      </c>
    </row>
    <row r="26" ht="15" customHeight="1">
      <c r="A26" s="8" t="inlineStr">
        <is>
          <t>Premio fedelta' max (PIL)</t>
        </is>
      </c>
      <c r="B26" s="9" t="n">
        <v>0.03</v>
      </c>
      <c r="D26" s="10" t="inlineStr">
        <is>
          <t>Cap 3,0% se PIL nominale alto</t>
        </is>
      </c>
    </row>
    <row r="27" ht="15" customHeight="1">
      <c r="A27" s="8" t="inlineStr">
        <is>
          <t>Durata (anni)</t>
        </is>
      </c>
      <c r="B27" s="11" t="n">
        <v>12</v>
      </c>
      <c r="D27" s="10" t="inlineStr">
        <is>
          <t>Storica 4a emissione (4+4+4 step-up)</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mag 2028</t>
        </is>
      </c>
      <c r="B46" s="14" t="n">
        <v>104</v>
      </c>
      <c r="C46" s="8" t="inlineStr">
        <is>
          <t>Anni residui</t>
        </is>
      </c>
      <c r="D46" s="15" t="n">
        <v>2</v>
      </c>
    </row>
    <row r="47" ht="30" customHeight="1">
      <c r="A47" s="10" t="inlineStr">
        <is>
          <t>Quotazione corrente sul MOT (100 = par). Aggiorna col valore reale al 12/06/2026. Default 104 = premio 4% (stima 2026 con tassi sopra cedola del prospetto).</t>
        </is>
      </c>
    </row>
    <row r="48">
      <c r="A48" s="8" t="inlineStr">
        <is>
          <t>Prezzo secondario BTP Italia giu 2030</t>
        </is>
      </c>
      <c r="B48" s="14" t="n">
        <v>102</v>
      </c>
      <c r="C48" s="8" t="inlineStr">
        <is>
          <t>Anni residui</t>
        </is>
      </c>
      <c r="D48" s="15" t="n">
        <v>4</v>
      </c>
    </row>
    <row r="49" ht="15" customHeight="1">
      <c r="A49" s="10" t="inlineStr">
        <is>
          <t>Default 102 = premio 2%. Aggiorna col valore reale al 12/06/2026.</t>
        </is>
      </c>
    </row>
    <row r="50">
      <c r="A50" s="8" t="inlineStr">
        <is>
          <t>YTM reale mag 2028 (per chi compra al MOT oggi)</t>
        </is>
      </c>
      <c r="B50" s="16">
        <f>(B11*100+(100-B46)/D46)/((100+B46)/2)</f>
        <v/>
      </c>
    </row>
    <row r="51" ht="15" customHeight="1">
      <c r="A51" s="10" t="inlineStr">
        <is>
          <t>Formula bond equiv. yield. Default classico 2,0% sul prospetto, ma a prezzo 104 con 2y residui → YTM ~0% reale.</t>
        </is>
      </c>
    </row>
    <row r="52">
      <c r="A52" s="8" t="inlineStr">
        <is>
          <t>YTM reale giu 2030 (per chi compra al MOT oggi)</t>
        </is>
      </c>
      <c r="B52" s="16">
        <f>(B12*100+(100-B48)/D48)/((100+B48)/2)</f>
        <v/>
      </c>
    </row>
    <row r="53" ht="15" customHeight="1">
      <c r="A53" s="10" t="inlineStr">
        <is>
          <t>Default classico 1,6% sul prospetto, a prezzo 102 con 4y residui → YTM ~1,1% reale.</t>
        </is>
      </c>
    </row>
    <row r="55">
      <c r="A55" s="7" t="inlineStr">
        <is>
          <t>YTM reale medio classico per il confronto matrice (media ponderata 2 ISIN)</t>
        </is>
      </c>
    </row>
    <row r="56">
      <c r="A56" s="8" t="inlineStr">
        <is>
          <t>YTM reale effettivo (media mag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mag 2028</t>
        </is>
      </c>
      <c r="B59" s="16">
        <f>B50*(1-B8)</f>
        <v/>
      </c>
    </row>
    <row r="60">
      <c r="A60" s="8" t="inlineStr">
        <is>
          <t>YTM reale NETTO giu 2030</t>
        </is>
      </c>
      <c r="B60" s="16">
        <f>B52*(1-B8)</f>
        <v/>
      </c>
    </row>
    <row r="61">
      <c r="A61" s="8" t="inlineStr">
        <is>
          <t>YTM reale NETTO medio (2 ISIN)</t>
        </is>
      </c>
      <c r="B61" s="16">
        <f>B56*(1-B8)</f>
        <v/>
      </c>
    </row>
  </sheetData>
  <mergeCells count="17">
    <mergeCell ref="A1:D1"/>
    <mergeCell ref="A45:D45"/>
    <mergeCell ref="A58:D58"/>
    <mergeCell ref="A53:D53"/>
    <mergeCell ref="A4:D4"/>
    <mergeCell ref="A21:D21"/>
    <mergeCell ref="A55:D55"/>
    <mergeCell ref="A29:D29"/>
    <mergeCell ref="A57:D57"/>
    <mergeCell ref="A51:D51"/>
    <mergeCell ref="A2:D2"/>
    <mergeCell ref="A49:D49"/>
    <mergeCell ref="A10:D10"/>
    <mergeCell ref="A42:D42"/>
    <mergeCell ref="A47:D47"/>
    <mergeCell ref="A36:D36"/>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7">
        <f>'1 - Parametri'!B6</f>
        <v/>
      </c>
    </row>
    <row r="7">
      <c r="A7" s="8" t="inlineStr">
        <is>
          <t>Premio fedelta' finale</t>
        </is>
      </c>
      <c r="B7" s="16">
        <f>'1 - Parametri'!B7</f>
        <v/>
      </c>
    </row>
    <row r="8">
      <c r="A8" s="8" t="inlineStr">
        <is>
          <t>Tassazione</t>
        </is>
      </c>
      <c r="B8" s="18">
        <f>'1 - Parametri'!B8</f>
        <v/>
      </c>
    </row>
    <row r="9">
      <c r="A9" s="8" t="inlineStr">
        <is>
          <t>Capitale investito (EUR)</t>
        </is>
      </c>
      <c r="B9" s="19">
        <f>'1 - Parametri'!B43</f>
        <v/>
      </c>
    </row>
    <row r="11">
      <c r="A11" s="7" t="inlineStr">
        <is>
          <t>Cedola annua lorda = fisso + inflazione FOI media</t>
        </is>
      </c>
    </row>
    <row r="12">
      <c r="A12" s="20" t="inlineStr">
        <is>
          <t>Scenario inflazione</t>
        </is>
      </c>
      <c r="B12" s="20" t="inlineStr">
        <is>
          <t>Infl. FOI media</t>
        </is>
      </c>
      <c r="C12" s="20" t="inlineStr">
        <is>
          <t>Cedola lorda annua</t>
        </is>
      </c>
      <c r="D12" s="20" t="inlineStr">
        <is>
          <t>Cedola netta annua</t>
        </is>
      </c>
      <c r="E12" s="20" t="inlineStr">
        <is>
          <t>Importo netto su cap.</t>
        </is>
      </c>
    </row>
    <row r="13">
      <c r="A13" s="8" t="inlineStr">
        <is>
          <t>1 - Disinflazione 1,0%</t>
        </is>
      </c>
      <c r="B13" s="18">
        <f>'1 - Parametri'!B37</f>
        <v/>
      </c>
      <c r="C13" s="16">
        <f>$B$5+B13</f>
        <v/>
      </c>
      <c r="D13" s="16">
        <f>C13*(1-$B$8)</f>
        <v/>
      </c>
      <c r="E13" s="19">
        <f>$B$9*D13</f>
        <v/>
      </c>
    </row>
    <row r="14">
      <c r="A14" s="8" t="inlineStr">
        <is>
          <t>2 - Base BCE 2,0%</t>
        </is>
      </c>
      <c r="B14" s="18">
        <f>'1 - Parametri'!B38</f>
        <v/>
      </c>
      <c r="C14" s="16">
        <f>$B$5+B14</f>
        <v/>
      </c>
      <c r="D14" s="16">
        <f>C14*(1-$B$8)</f>
        <v/>
      </c>
      <c r="E14" s="19">
        <f>$B$9*D14</f>
        <v/>
      </c>
    </row>
    <row r="15">
      <c r="A15" s="8" t="inlineStr">
        <is>
          <t>3 - Persistente 3,0%</t>
        </is>
      </c>
      <c r="B15" s="18">
        <f>'1 - Parametri'!B39</f>
        <v/>
      </c>
      <c r="C15" s="16">
        <f>$B$5+B15</f>
        <v/>
      </c>
      <c r="D15" s="16">
        <f>C15*(1-$B$8)</f>
        <v/>
      </c>
      <c r="E15" s="19">
        <f>$B$9*D15</f>
        <v/>
      </c>
    </row>
    <row r="16">
      <c r="A16" s="8" t="inlineStr">
        <is>
          <t>4 - Stress geopol. 4,5%</t>
        </is>
      </c>
      <c r="B16" s="18">
        <f>'1 - Parametri'!B40</f>
        <v/>
      </c>
      <c r="C16" s="16">
        <f>$B$5+B16</f>
        <v/>
      </c>
      <c r="D16" s="16">
        <f>C16*(1-$B$8)</f>
        <v/>
      </c>
      <c r="E16" s="19">
        <f>$B$9*D16</f>
        <v/>
      </c>
    </row>
    <row r="18">
      <c r="A18" s="7" t="inlineStr">
        <is>
          <t>Rendimento totale finale 5 anni (netto, con premio 0,6%)</t>
        </is>
      </c>
    </row>
    <row r="19">
      <c r="A19" s="20" t="inlineStr">
        <is>
          <t>Scenario</t>
        </is>
      </c>
      <c r="B19" s="20" t="inlineStr">
        <is>
          <t>Cedole nette tot 5y</t>
        </is>
      </c>
      <c r="C19" s="20" t="inlineStr">
        <is>
          <t>Premio netto fedelta'</t>
        </is>
      </c>
      <c r="D19" s="20" t="inlineStr">
        <is>
          <t>Tot. netto incassato</t>
        </is>
      </c>
      <c r="E19" s="20" t="inlineStr">
        <is>
          <t>IRR nom netto annuo (lineare)</t>
        </is>
      </c>
      <c r="F19" s="20" t="inlineStr">
        <is>
          <t>IRR reale netto</t>
        </is>
      </c>
    </row>
    <row r="20">
      <c r="A20" s="8" t="inlineStr">
        <is>
          <t>1 - Disinflazione 1,0%</t>
        </is>
      </c>
      <c r="B20" s="19">
        <f>E13*$B$6</f>
        <v/>
      </c>
      <c r="C20" s="19">
        <f>$B$9*$B$7*(1-$B$8)</f>
        <v/>
      </c>
      <c r="D20" s="19">
        <f>B20+C20</f>
        <v/>
      </c>
      <c r="E20" s="16">
        <f>ROUND(($B$5+$B$7/$B$6+B13)*(1-$B$8),6)</f>
        <v/>
      </c>
      <c r="F20" s="16">
        <f>E20-B13</f>
        <v/>
      </c>
    </row>
    <row r="21">
      <c r="A21" s="8" t="inlineStr">
        <is>
          <t>2 - Base BCE 2,0%</t>
        </is>
      </c>
      <c r="B21" s="19">
        <f>E14*$B$6</f>
        <v/>
      </c>
      <c r="C21" s="19">
        <f>$B$9*$B$7*(1-$B$8)</f>
        <v/>
      </c>
      <c r="D21" s="19">
        <f>B21+C21</f>
        <v/>
      </c>
      <c r="E21" s="16">
        <f>ROUND(($B$5+$B$7/$B$6+B14)*(1-$B$8),6)</f>
        <v/>
      </c>
      <c r="F21" s="16">
        <f>E21-B14</f>
        <v/>
      </c>
    </row>
    <row r="22">
      <c r="A22" s="8" t="inlineStr">
        <is>
          <t>3 - Persistente 3,0%</t>
        </is>
      </c>
      <c r="B22" s="19">
        <f>E15*$B$6</f>
        <v/>
      </c>
      <c r="C22" s="19">
        <f>$B$9*$B$7*(1-$B$8)</f>
        <v/>
      </c>
      <c r="D22" s="19">
        <f>B22+C22</f>
        <v/>
      </c>
      <c r="E22" s="16">
        <f>ROUND(($B$5+$B$7/$B$6+B15)*(1-$B$8),6)</f>
        <v/>
      </c>
      <c r="F22" s="16">
        <f>E22-B15</f>
        <v/>
      </c>
    </row>
    <row r="23">
      <c r="A23" s="8" t="inlineStr">
        <is>
          <t>4 - Stress geopol. 4,5%</t>
        </is>
      </c>
      <c r="B23" s="19">
        <f>E16*$B$6</f>
        <v/>
      </c>
      <c r="C23" s="19">
        <f>$B$9*$B$7*(1-$B$8)</f>
        <v/>
      </c>
      <c r="D23" s="19">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4:E4"/>
    <mergeCell ref="A26:E26"/>
    <mergeCell ref="A2:E2"/>
    <mergeCell ref="A25:E25"/>
    <mergeCell ref="A11:E11"/>
    <mergeCell ref="A1:E1"/>
    <mergeCell ref="A18:E18"/>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8">
        <f>'1 - Parametri'!B8</f>
        <v/>
      </c>
    </row>
    <row r="8">
      <c r="A8" s="8" t="inlineStr">
        <is>
          <t>Capitale investito (EUR)</t>
        </is>
      </c>
      <c r="B8" s="19">
        <f>'1 - Parametri'!B43</f>
        <v/>
      </c>
    </row>
    <row r="10">
      <c r="A10" s="7" t="inlineStr">
        <is>
          <t>Meccanismo classico: cedola reale + capitale rivalutato</t>
        </is>
      </c>
    </row>
    <row r="11">
      <c r="A11" s="20" t="inlineStr">
        <is>
          <t>Scenario inflazione</t>
        </is>
      </c>
      <c r="B11" s="20" t="inlineStr">
        <is>
          <t>FOI cumulata 5y</t>
        </is>
      </c>
      <c r="C11" s="20" t="inlineStr">
        <is>
          <t>Capitale rivalutato</t>
        </is>
      </c>
      <c r="D11" s="20" t="inlineStr">
        <is>
          <t>Cedole nette 5y (su cap. rivalut.)</t>
        </is>
      </c>
      <c r="E11" s="20" t="inlineStr">
        <is>
          <t>Tot. netto 5y (cedole + rivalut.)</t>
        </is>
      </c>
    </row>
    <row r="12">
      <c r="A12" s="8" t="inlineStr">
        <is>
          <t>1 - Disinflazione 1,0%</t>
        </is>
      </c>
      <c r="B12" s="18">
        <f>'1 - Parametri'!B37</f>
        <v/>
      </c>
      <c r="C12" s="19">
        <f>$B$8*(1+B12)^$B$6</f>
        <v/>
      </c>
      <c r="D12" s="19">
        <f>$B$5*$B$8*((1+B12)^$B$6-1)/B12*(1-$B$7)</f>
        <v/>
      </c>
      <c r="E12" s="19">
        <f>(C12-$B$8)*(1-$B$7)+D12</f>
        <v/>
      </c>
    </row>
    <row r="13">
      <c r="A13" s="8" t="inlineStr">
        <is>
          <t>2 - Base BCE 2,0%</t>
        </is>
      </c>
      <c r="B13" s="18">
        <f>'1 - Parametri'!B38</f>
        <v/>
      </c>
      <c r="C13" s="19">
        <f>$B$8*(1+B13)^$B$6</f>
        <v/>
      </c>
      <c r="D13" s="19">
        <f>$B$5*$B$8*((1+B13)^$B$6-1)/B13*(1-$B$7)</f>
        <v/>
      </c>
      <c r="E13" s="19">
        <f>(C13-$B$8)*(1-$B$7)+D13</f>
        <v/>
      </c>
    </row>
    <row r="14">
      <c r="A14" s="8" t="inlineStr">
        <is>
          <t>3 - Persistente 3,0%</t>
        </is>
      </c>
      <c r="B14" s="18">
        <f>'1 - Parametri'!B39</f>
        <v/>
      </c>
      <c r="C14" s="19">
        <f>$B$8*(1+B14)^$B$6</f>
        <v/>
      </c>
      <c r="D14" s="19">
        <f>$B$5*$B$8*((1+B14)^$B$6-1)/B14*(1-$B$7)</f>
        <v/>
      </c>
      <c r="E14" s="19">
        <f>(C14-$B$8)*(1-$B$7)+D14</f>
        <v/>
      </c>
    </row>
    <row r="15">
      <c r="A15" s="8" t="inlineStr">
        <is>
          <t>4 - Stress geopol. 4,5%</t>
        </is>
      </c>
      <c r="B15" s="18">
        <f>'1 - Parametri'!B40</f>
        <v/>
      </c>
      <c r="C15" s="19">
        <f>$B$8*(1+B15)^$B$6</f>
        <v/>
      </c>
      <c r="D15" s="19">
        <f>$B$5*$B$8*((1+B15)^$B$6-1)/B15*(1-$B$7)</f>
        <v/>
      </c>
      <c r="E15" s="19">
        <f>(C15-$B$8)*(1-$B$7)+D15</f>
        <v/>
      </c>
    </row>
    <row r="17">
      <c r="A17" s="7" t="inlineStr">
        <is>
          <t>IRR netto annuo a confronto</t>
        </is>
      </c>
    </row>
    <row r="18">
      <c r="A18" s="20" t="inlineStr">
        <is>
          <t>Scenario</t>
        </is>
      </c>
      <c r="B18" s="20" t="inlineStr">
        <is>
          <t>Tot. netto 5y</t>
        </is>
      </c>
      <c r="C18" s="20" t="inlineStr">
        <is>
          <t>IRR netto annuo</t>
        </is>
      </c>
    </row>
    <row r="19">
      <c r="A19" s="8" t="inlineStr">
        <is>
          <t>1 - Disinflazione 1,0%</t>
        </is>
      </c>
      <c r="B19" s="19">
        <f>E12</f>
        <v/>
      </c>
      <c r="C19" s="16">
        <f>((E12+$B$8)/$B$8)^(1/$B$6)-1</f>
        <v/>
      </c>
    </row>
    <row r="20">
      <c r="A20" s="8" t="inlineStr">
        <is>
          <t>2 - Base BCE 2,0%</t>
        </is>
      </c>
      <c r="B20" s="19">
        <f>E13</f>
        <v/>
      </c>
      <c r="C20" s="16">
        <f>((E13+$B$8)/$B$8)^(1/$B$6)-1</f>
        <v/>
      </c>
    </row>
    <row r="21">
      <c r="A21" s="8" t="inlineStr">
        <is>
          <t>3 - Persistente 3,0%</t>
        </is>
      </c>
      <c r="B21" s="19">
        <f>E14</f>
        <v/>
      </c>
      <c r="C21" s="16">
        <f>((E14+$B$8)/$B$8)^(1/$B$6)-1</f>
        <v/>
      </c>
    </row>
    <row r="22">
      <c r="A22" s="8" t="inlineStr">
        <is>
          <t>4 - Stress geopol. 4,5%</t>
        </is>
      </c>
      <c r="B22" s="19">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7">
        <f>'1 - Parametri'!B19</f>
        <v/>
      </c>
    </row>
    <row r="10">
      <c r="A10" s="8" t="inlineStr">
        <is>
          <t>Tassazione</t>
        </is>
      </c>
      <c r="B10" s="18">
        <f>'1 - Parametri'!B8</f>
        <v/>
      </c>
    </row>
    <row r="11">
      <c r="A11" s="8" t="inlineStr">
        <is>
          <t>Capitale investito</t>
        </is>
      </c>
      <c r="B11" s="19">
        <f>'1 - Parametri'!B43</f>
        <v/>
      </c>
    </row>
    <row r="13">
      <c r="A13" s="7" t="inlineStr">
        <is>
          <t>Cedole nette per fase step-up</t>
        </is>
      </c>
    </row>
    <row r="14">
      <c r="A14" s="20" t="inlineStr">
        <is>
          <t>Fase</t>
        </is>
      </c>
      <c r="B14" s="20" t="inlineStr">
        <is>
          <t>Cedola lorda annua</t>
        </is>
      </c>
      <c r="C14" s="20" t="inlineStr">
        <is>
          <t>Cedola netta annua</t>
        </is>
      </c>
      <c r="D14" s="20" t="inlineStr">
        <is>
          <t>Importo netto x anno</t>
        </is>
      </c>
      <c r="E14" s="20" t="inlineStr">
        <is>
          <t>Importo netto x fase (2y)</t>
        </is>
      </c>
    </row>
    <row r="15">
      <c r="A15" s="8" t="inlineStr">
        <is>
          <t>Anni 1-2 (2,60%)</t>
        </is>
      </c>
      <c r="B15" s="16">
        <f>B5</f>
        <v/>
      </c>
      <c r="C15" s="21">
        <f>B5*(1-$B$10)</f>
        <v/>
      </c>
      <c r="D15" s="19">
        <f>$B$11*C15</f>
        <v/>
      </c>
      <c r="E15" s="19">
        <f>D15*2</f>
        <v/>
      </c>
    </row>
    <row r="16">
      <c r="A16" s="8" t="inlineStr">
        <is>
          <t>Anni 3-4 (2,80%)</t>
        </is>
      </c>
      <c r="B16" s="16">
        <f>B6</f>
        <v/>
      </c>
      <c r="C16" s="21">
        <f>B6*(1-$B$10)</f>
        <v/>
      </c>
      <c r="D16" s="19">
        <f>$B$11*C16</f>
        <v/>
      </c>
      <c r="E16" s="19">
        <f>D16*2</f>
        <v/>
      </c>
    </row>
    <row r="17">
      <c r="A17" s="8" t="inlineStr">
        <is>
          <t>Anni 5-6 (3,80%)</t>
        </is>
      </c>
      <c r="B17" s="16">
        <f>B7</f>
        <v/>
      </c>
      <c r="C17" s="21">
        <f>B7*(1-$B$10)</f>
        <v/>
      </c>
      <c r="D17" s="19">
        <f>$B$11*C17</f>
        <v/>
      </c>
      <c r="E17" s="19">
        <f>D17*2</f>
        <v/>
      </c>
    </row>
    <row r="19">
      <c r="A19" s="7" t="inlineStr">
        <is>
          <t>Rendimento totale netto 6 anni</t>
        </is>
      </c>
    </row>
    <row r="20">
      <c r="A20" s="8" t="inlineStr">
        <is>
          <t>Tot. cedole nette 6y</t>
        </is>
      </c>
      <c r="B20" s="19">
        <f>E15+E16+E17</f>
        <v/>
      </c>
    </row>
    <row r="21">
      <c r="A21" s="8" t="inlineStr">
        <is>
          <t>Premio fedelta' netto</t>
        </is>
      </c>
      <c r="B21" s="19">
        <f>B11*B8*(1-B10)</f>
        <v/>
      </c>
    </row>
    <row r="22">
      <c r="A22" s="8" t="inlineStr">
        <is>
          <t>Tot. netto 6y</t>
        </is>
      </c>
      <c r="B22" s="19">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sheetData>
  <mergeCells count="7">
    <mergeCell ref="A4:E4"/>
    <mergeCell ref="A26:E26"/>
    <mergeCell ref="A2:E2"/>
    <mergeCell ref="A25:E25"/>
    <mergeCell ref="A19:E19"/>
    <mergeCell ref="A1:E1"/>
    <mergeCell ref="A13:E13"/>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5-7</t>
        </is>
      </c>
      <c r="B6" s="16">
        <f>'1 - Parametri'!B23</f>
        <v/>
      </c>
    </row>
    <row r="7">
      <c r="A7" s="8" t="inlineStr">
        <is>
          <t>Cedola anni 8-12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7">
        <f>'1 - Parametri'!B27</f>
        <v/>
      </c>
    </row>
    <row r="11">
      <c r="A11" s="8" t="inlineStr">
        <is>
          <t>Tassazione</t>
        </is>
      </c>
      <c r="B11" s="18">
        <f>'1 - Parametri'!B8</f>
        <v/>
      </c>
    </row>
    <row r="12">
      <c r="A12" s="8" t="inlineStr">
        <is>
          <t>Capitale</t>
        </is>
      </c>
      <c r="B12" s="19">
        <f>'1 - Parametri'!B43</f>
        <v/>
      </c>
    </row>
    <row r="14">
      <c r="A14" s="7" t="inlineStr">
        <is>
          <t>Scenari di PIL nominale e premio fedelta'</t>
        </is>
      </c>
    </row>
    <row r="15">
      <c r="A15" s="20" t="inlineStr">
        <is>
          <t>Scenario PIL nominale medio</t>
        </is>
      </c>
      <c r="B15" s="20" t="inlineStr">
        <is>
          <t>PIL nom. medio</t>
        </is>
      </c>
      <c r="C15" s="20" t="inlineStr">
        <is>
          <t>Premio fed. atteso</t>
        </is>
      </c>
      <c r="D15" s="20" t="inlineStr">
        <is>
          <t>Cedole nette 12y</t>
        </is>
      </c>
      <c r="E15" s="20" t="inlineStr">
        <is>
          <t>Tot. netto 12y</t>
        </is>
      </c>
      <c r="F15" s="20" t="inlineStr">
        <is>
          <t>IRR nom netto annuo (lineare)</t>
        </is>
      </c>
    </row>
    <row r="16">
      <c r="A16" s="8" t="inlineStr">
        <is>
          <t>Bassa (PIL 1,5%)</t>
        </is>
      </c>
      <c r="B16" s="12" t="n">
        <v>0.015</v>
      </c>
      <c r="C16" s="16">
        <f>MAX($B$8,MIN($B$9,0.4*B16))</f>
        <v/>
      </c>
      <c r="D16" s="19">
        <f>$B$12*(4*$B$5+4*$B$6+4*$B$7)*(1-$B$11)</f>
        <v/>
      </c>
      <c r="E16" s="19">
        <f>D16+$B$12*C16*(1-$B$11)</f>
        <v/>
      </c>
      <c r="F16" s="16">
        <f>E16/$B$12/$B$10</f>
        <v/>
      </c>
    </row>
    <row r="17">
      <c r="A17" s="8" t="inlineStr">
        <is>
          <t>Base (PIL 3,0%)</t>
        </is>
      </c>
      <c r="B17" s="12" t="n">
        <v>0.03</v>
      </c>
      <c r="C17" s="16">
        <f>MAX($B$8,MIN($B$9,0.4*B17))</f>
        <v/>
      </c>
      <c r="D17" s="19">
        <f>$B$12*(4*$B$5+4*$B$6+4*$B$7)*(1-$B$11)</f>
        <v/>
      </c>
      <c r="E17" s="19">
        <f>D17+$B$12*C17*(1-$B$11)</f>
        <v/>
      </c>
      <c r="F17" s="16">
        <f>E17/$B$12/$B$10</f>
        <v/>
      </c>
    </row>
    <row r="18">
      <c r="A18" s="8" t="inlineStr">
        <is>
          <t>Alta (PIL 4,5%)</t>
        </is>
      </c>
      <c r="B18" s="12" t="n">
        <v>0.045</v>
      </c>
      <c r="C18" s="16">
        <f>MAX($B$8,MIN($B$9,0.4*B18))</f>
        <v/>
      </c>
      <c r="D18" s="19">
        <f>$B$12*(4*$B$5+4*$B$6+4*$B$7)*(1-$B$11)</f>
        <v/>
      </c>
      <c r="E18" s="19">
        <f>D18+$B$12*C18*(1-$B$11)</f>
        <v/>
      </c>
      <c r="F18" s="16">
        <f>E18/$B$12/$B$10</f>
        <v/>
      </c>
    </row>
    <row r="20">
      <c r="A20" s="7" t="inlineStr">
        <is>
          <t>NOTA: BTP Futura NON e' piu' emesso dal 2021</t>
        </is>
      </c>
    </row>
    <row r="21" ht="45" customHeight="1">
      <c r="A21" s="10" t="inlineStr">
        <is>
          <t>Sul secondario disponibili 4 ISIN ma cedole molto basse (0,35-1,0%). Confronto utile per capire la LOGICA del premio fedelta', non per acquisto attuale. Struttura step-up 4+4+4 anni (1-4: 0,35%, 5-8: 0,60%, 9-12: 1,00%).</t>
        </is>
      </c>
    </row>
  </sheetData>
  <mergeCells count="6">
    <mergeCell ref="A21:E21"/>
    <mergeCell ref="A4:E4"/>
    <mergeCell ref="A20:E20"/>
    <mergeCell ref="A2:E2"/>
    <mergeCell ref="A1:E1"/>
    <mergeCell ref="A14:E14"/>
  </mergeCells>
  <conditionalFormatting sqref="E16:E18">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0" t="inlineStr">
        <is>
          <t>Scadenza</t>
        </is>
      </c>
      <c r="B5" s="20" t="inlineStr">
        <is>
          <t>Rendimento lordo</t>
        </is>
      </c>
      <c r="C5" s="20" t="inlineStr">
        <is>
          <t>Cedola netta annua</t>
        </is>
      </c>
      <c r="D5" s="20" t="inlineStr">
        <is>
          <t>Tot. cedole nette a scad.</t>
        </is>
      </c>
      <c r="E5" s="20" t="inlineStr">
        <is>
          <t>Cedola netta annua EUR</t>
        </is>
      </c>
    </row>
    <row r="6">
      <c r="A6" s="8" t="inlineStr">
        <is>
          <t>Tassazione 12,5% applicata</t>
        </is>
      </c>
      <c r="B6" s="18">
        <f>'1 - Parametri'!B8</f>
        <v/>
      </c>
    </row>
    <row r="7">
      <c r="A7" s="8" t="inlineStr">
        <is>
          <t>Capitale (default Parametri)</t>
        </is>
      </c>
      <c r="B7" s="19">
        <f>'1 - Parametri'!B43</f>
        <v/>
      </c>
    </row>
    <row r="8">
      <c r="B8" s="20" t="inlineStr">
        <is>
          <t>Rendim. lordo (curva)</t>
        </is>
      </c>
    </row>
    <row r="9">
      <c r="A9" s="8" t="inlineStr">
        <is>
          <t>2 anni (feb 2028)</t>
        </is>
      </c>
      <c r="B9" s="16">
        <f>'1 - Parametri'!B30</f>
        <v/>
      </c>
      <c r="C9" s="21">
        <f>B9*(1-$B$6)</f>
        <v/>
      </c>
      <c r="D9" s="19">
        <f>$B$7*C9*2</f>
        <v/>
      </c>
      <c r="E9" s="19">
        <f>$B$7*C9</f>
        <v/>
      </c>
    </row>
    <row r="10">
      <c r="A10" s="8" t="inlineStr">
        <is>
          <t>3 anni (mar 2029)</t>
        </is>
      </c>
      <c r="B10" s="16">
        <f>'1 - Parametri'!B31</f>
        <v/>
      </c>
      <c r="C10" s="21">
        <f>B10*(1-$B$6)</f>
        <v/>
      </c>
      <c r="D10" s="19">
        <f>$B$7*C10*3</f>
        <v/>
      </c>
      <c r="E10" s="19">
        <f>$B$7*C10</f>
        <v/>
      </c>
    </row>
    <row r="11">
      <c r="A11" s="8" t="inlineStr">
        <is>
          <t>5 anni (stima)</t>
        </is>
      </c>
      <c r="B11" s="16">
        <f>'1 - Parametri'!B32</f>
        <v/>
      </c>
      <c r="C11" s="21">
        <f>B11*(1-$B$6)</f>
        <v/>
      </c>
      <c r="D11" s="19">
        <f>$B$7*C11*5</f>
        <v/>
      </c>
      <c r="E11" s="19">
        <f>$B$7*C11</f>
        <v/>
      </c>
    </row>
    <row r="12">
      <c r="A12" s="8" t="inlineStr">
        <is>
          <t>7 anni (mar 2033)</t>
        </is>
      </c>
      <c r="B12" s="16">
        <f>'1 - Parametri'!B33</f>
        <v/>
      </c>
      <c r="C12" s="21">
        <f>B12*(1-$B$6)</f>
        <v/>
      </c>
      <c r="D12" s="19">
        <f>$B$7*C12*7</f>
        <v/>
      </c>
      <c r="E12" s="19">
        <f>$B$7*C12</f>
        <v/>
      </c>
    </row>
    <row r="13">
      <c r="A13" s="8" t="inlineStr">
        <is>
          <t>10 anni (feb 2036)</t>
        </is>
      </c>
      <c r="B13" s="16">
        <f>'1 - Parametri'!B34</f>
        <v/>
      </c>
      <c r="C13" s="21">
        <f>B13*(1-$B$6)</f>
        <v/>
      </c>
      <c r="D13" s="19">
        <f>$B$7*C13*10</f>
        <v/>
      </c>
      <c r="E13" s="19">
        <f>$B$7*C13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- 5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0" t="inlineStr">
        <is>
          <t>Strumento</t>
        </is>
      </c>
      <c r="B5" s="20" t="inlineStr">
        <is>
          <t>Infl. 1,0%</t>
        </is>
      </c>
      <c r="C5" s="20" t="inlineStr">
        <is>
          <t>Infl. 2,0%</t>
        </is>
      </c>
      <c r="D5" s="20" t="inlineStr">
        <is>
          <t>Infl. 3,0%</t>
        </is>
      </c>
      <c r="E5" s="20" t="inlineStr">
        <is>
          <t>Infl. 4,5%</t>
        </is>
      </c>
    </row>
    <row r="6">
      <c r="A6" s="8" t="inlineStr">
        <is>
          <t>BTP Italia Si (1,2% + FOI)</t>
        </is>
      </c>
      <c r="B6" s="16">
        <f>ROUND(('1 - Parametri'!B5+('1 - Parametri'!B7)/5+'1 - Parametri'!B37)*(1-'1 - Parametri'!B8)-'1 - Parametri'!B37,6)</f>
        <v/>
      </c>
      <c r="C6" s="16">
        <f>ROUND(('1 - Parametri'!B5+('1 - Parametri'!B7)/5+'1 - Parametri'!B38)*(1-'1 - Parametri'!B8)-'1 - Parametri'!B38,6)</f>
        <v/>
      </c>
      <c r="D6" s="16">
        <f>ROUND(('1 - Parametri'!B5+('1 - Parametri'!B7)/5+'1 - Parametri'!B39)*(1-'1 - Parametri'!B8)-'1 - Parametri'!B39,6)</f>
        <v/>
      </c>
      <c r="E6" s="16">
        <f>ROUND(('1 - Parametri'!B5+('1 - Parametri'!B7)/5+'1 -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t="inlineStr">
        <is>
          <t>BTP Valore (avg 3,07% lordo)</t>
        </is>
      </c>
      <c r="B8" s="16">
        <f>((2*'1 - Parametri'!B15+2*'1 - Parametri'!B16+2*'1 - Parametri'!B17)/6+('1 - Parametri'!B18)/6)*(1-'1 - Parametri'!B8)-'1 - Parametri'!B37</f>
        <v/>
      </c>
      <c r="C8" s="16">
        <f>((2*'1 - Parametri'!B15+2*'1 - Parametri'!B16+2*'1 - Parametri'!B17)/6+('1 - Parametri'!B18)/6)*(1-'1 - Parametri'!B8)-'1 - Parametri'!B38</f>
        <v/>
      </c>
      <c r="D8" s="16">
        <f>((2*'1 - Parametri'!B15+2*'1 - Parametri'!B16+2*'1 - Parametri'!B17)/6+('1 - Parametri'!B18)/6)*(1-'1 - Parametri'!B8)-'1 - Parametri'!B39</f>
        <v/>
      </c>
      <c r="E8" s="16">
        <f>((2*'1 - Parametri'!B15+2*'1 - Parametri'!B16+2*'1 - Parametri'!B17)/6+('1 - Parametri'!B18)/6)*(1-'1 - Parametri'!B8)-'1 - Parametri'!B40</f>
        <v/>
      </c>
    </row>
    <row r="9">
      <c r="A9" s="8" t="inlineStr">
        <is>
          <t>BTP nominale 5y (2,90% lordo)</t>
        </is>
      </c>
      <c r="B9" s="16">
        <f>'1 - Parametri'!B32*(1-'1 - Parametri'!B8)-'1 - Parametri'!B37</f>
        <v/>
      </c>
      <c r="C9" s="16">
        <f>'1 - Parametri'!B32*(1-'1 - Parametri'!B8)-'1 - Parametri'!B38</f>
        <v/>
      </c>
      <c r="D9" s="16">
        <f>'1 - Parametri'!B32*(1-'1 - Parametri'!B8)-'1 - Parametri'!B39</f>
        <v/>
      </c>
      <c r="E9" s="16">
        <f>'1 - Parametri'!B32*(1-'1 - Parametri'!B8)-'1 - Parametri'!B40</f>
        <v/>
      </c>
    </row>
    <row r="10">
      <c r="A10" s="8" t="inlineStr">
        <is>
          <t>BTP nominale 10y (3,45% lordo)</t>
        </is>
      </c>
      <c r="B10" s="16">
        <f>'1 - Parametri'!B34*(1-'1 - Parametri'!B8)-'1 - Parametri'!B37</f>
        <v/>
      </c>
      <c r="C10" s="16">
        <f>'1 - Parametri'!B34*(1-'1 - Parametri'!B8)-'1 - Parametri'!B38</f>
        <v/>
      </c>
      <c r="D10" s="16">
        <f>'1 - Parametri'!B34*(1-'1 - Parametri'!B8)-'1 - Parametri'!B39</f>
        <v/>
      </c>
      <c r="E10" s="16">
        <f>'1 - Parametri'!B34*(1-'1 - Parametri'!B8)-'1 - Parametri'!B40</f>
        <v/>
      </c>
    </row>
    <row r="12">
      <c r="A12" s="7" t="inlineStr">
        <is>
          <t>Heatmap: VERDE = miglior rendimento REALE per scenario / ROSSO = peggior</t>
        </is>
      </c>
    </row>
    <row r="13" ht="45" customHeight="1">
      <c r="A13" s="10" t="inlineStr">
        <is>
          <t>BTP Italia Si vince in scenari di inflazione media-alta perche' il tasso fisso e' REALE. BTP Italia classico in inflazione alta ha vantaggio capitale rivalutato. Nominali: vincono solo in disinflazione.</t>
        </is>
      </c>
    </row>
  </sheetData>
  <mergeCells count="5">
    <mergeCell ref="A12:E12"/>
    <mergeCell ref="A4:E4"/>
    <mergeCell ref="A2:E2"/>
    <mergeCell ref="A1:E1"/>
    <mergeCell ref="A13:E13"/>
  </mergeCells>
  <conditionalFormatting sqref="B6:B10">
    <cfRule type="colorScale" priority="1">
      <colorScale>
        <cfvo type="min"/>
        <cfvo type="percentile" val="50"/>
        <cfvo type="max"/>
        <color rgb="00F87171"/>
        <color rgb="00FEF3C7"/>
        <color rgb="0086EFAC"/>
      </colorScale>
    </cfRule>
  </conditionalFormatting>
  <conditionalFormatting sqref="C6:C10">
    <cfRule type="colorScale" priority="1">
      <colorScale>
        <cfvo type="min"/>
        <cfvo type="percentile" val="50"/>
        <cfvo type="max"/>
        <color rgb="00F87171"/>
        <color rgb="00FEF3C7"/>
        <color rgb="0086EFAC"/>
      </colorScale>
    </cfRule>
  </conditionalFormatting>
  <conditionalFormatting sqref="D6:D10">
    <cfRule type="colorScale" priority="1">
      <colorScale>
        <cfvo type="min"/>
        <cfvo type="percentile" val="50"/>
        <cfvo type="max"/>
        <color rgb="00F87171"/>
        <color rgb="00FEF3C7"/>
        <color rgb="0086EFAC"/>
      </colorScale>
    </cfRule>
  </conditionalFormatting>
  <conditionalFormatting sqref="E6:E10">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0" t="inlineStr">
        <is>
          <t>Avversario</t>
        </is>
      </c>
      <c r="B5" s="20" t="inlineStr">
        <is>
          <t>Rendimento lordo</t>
        </is>
      </c>
      <c r="C5" s="20" t="inlineStr">
        <is>
          <t>Rend. netto (1-12,5%)</t>
        </is>
      </c>
      <c r="D5" s="20" t="inlineStr">
        <is>
          <t>Soglia infl. break-even (lorda)</t>
        </is>
      </c>
      <c r="E5" s="20" t="inlineStr">
        <is>
          <t>Verdetto</t>
        </is>
      </c>
    </row>
    <row r="6">
      <c r="A6" s="8" t="inlineStr">
        <is>
          <t>BTP nominale 2y</t>
        </is>
      </c>
      <c r="B6" s="16">
        <f>'1 - Parametri'!B30</f>
        <v/>
      </c>
      <c r="C6" s="16">
        <f>B6*(1-'1 - Parametri'!B8)</f>
        <v/>
      </c>
      <c r="D6" s="16">
        <f>B6-('1 - Parametri'!B5+('1 - Parametri'!B7)/5)</f>
        <v/>
      </c>
      <c r="E6" s="22">
        <f>IF(D6&lt;=0,"Si vince SEMPRE",IF(D6&gt;=0.045,"Si perde quasi sempre","Si vince se FOI &gt; "&amp;ROUND(D6*100,2)&amp;"%"))</f>
        <v/>
      </c>
    </row>
    <row r="7">
      <c r="A7" s="8" t="inlineStr">
        <is>
          <t>BTP nominale 3y</t>
        </is>
      </c>
      <c r="B7" s="16">
        <f>'1 - Parametri'!B31</f>
        <v/>
      </c>
      <c r="C7" s="16">
        <f>B7*(1-'1 - Parametri'!B8)</f>
        <v/>
      </c>
      <c r="D7" s="16">
        <f>B7-('1 - Parametri'!B5+('1 - Parametri'!B7)/5)</f>
        <v/>
      </c>
      <c r="E7" s="22">
        <f>IF(D7&lt;=0,"Si vince SEMPRE",IF(D7&gt;=0.045,"Si perde quasi sempre","Si vince se FOI &gt; "&amp;ROUND(D7*100,2)&amp;"%"))</f>
        <v/>
      </c>
    </row>
    <row r="8">
      <c r="A8" s="8" t="inlineStr">
        <is>
          <t>BTP nominale 5y</t>
        </is>
      </c>
      <c r="B8" s="16">
        <f>'1 - Parametri'!B32</f>
        <v/>
      </c>
      <c r="C8" s="16">
        <f>B8*(1-'1 - Parametri'!B8)</f>
        <v/>
      </c>
      <c r="D8" s="16">
        <f>B8-('1 - Parametri'!B5+('1 - Parametri'!B7)/5)</f>
        <v/>
      </c>
      <c r="E8" s="22">
        <f>IF(D8&lt;=0,"Si vince SEMPRE",IF(D8&gt;=0.045,"Si perde quasi sempre","Si vince se FOI &gt; "&amp;ROUND(D8*100,2)&amp;"%"))</f>
        <v/>
      </c>
    </row>
    <row r="9">
      <c r="A9" s="8" t="inlineStr">
        <is>
          <t>BTP nominale 7y</t>
        </is>
      </c>
      <c r="B9" s="16">
        <f>'1 - Parametri'!B33</f>
        <v/>
      </c>
      <c r="C9" s="16">
        <f>B9*(1-'1 - Parametri'!B8)</f>
        <v/>
      </c>
      <c r="D9" s="16">
        <f>B9-('1 - Parametri'!B5+('1 - Parametri'!B7)/5)</f>
        <v/>
      </c>
      <c r="E9" s="22">
        <f>IF(D9&lt;=0,"Si vince SEMPRE",IF(D9&gt;=0.045,"Si perde quasi sempre","Si vince se FOI &gt; "&amp;ROUND(D9*100,2)&amp;"%"))</f>
        <v/>
      </c>
    </row>
    <row r="10">
      <c r="A10" s="8" t="inlineStr">
        <is>
          <t>BTP nominale 10y</t>
        </is>
      </c>
      <c r="B10" s="16">
        <f>'1 - Parametri'!B34</f>
        <v/>
      </c>
      <c r="C10" s="16">
        <f>B10*(1-'1 - Parametri'!B8)</f>
        <v/>
      </c>
      <c r="D10" s="16">
        <f>B10-('1 - Parametri'!B5+('1 - Parametri'!B7)/5)</f>
        <v/>
      </c>
      <c r="E10" s="22">
        <f>IF(D10&lt;=0,"Si vince SEMPRE",IF(D10&gt;=0.045,"Si perde quasi sempre","Si vince se FOI &gt; "&amp;ROUND(D10*100,2)&amp;"%"))</f>
        <v/>
      </c>
    </row>
    <row r="11">
      <c r="A11" s="8" t="inlineStr">
        <is>
          <t>BTP Valore (avg+premio)</t>
        </is>
      </c>
      <c r="B11" s="16">
        <f>(2*'1 - Parametri'!B15+2*'1 - Parametri'!B16+2*'1 - Parametri'!B17)/6+('1 - Parametri'!B18)/6</f>
        <v/>
      </c>
      <c r="C11" s="16">
        <f>B11*(1-'1 - Parametri'!B8)</f>
        <v/>
      </c>
      <c r="D11" s="16">
        <f>B11-('1 - Parametri'!B5+('1 - Parametri'!B7)/5)</f>
        <v/>
      </c>
      <c r="E11" s="22">
        <f>IF(D11&lt;=0,"Si vince SEMPRE",IF(D11&gt;=0.045,"Si perde quasi sempre","Si vince se FOI &gt; "&amp;ROUND(D11*100,2)&amp;"%"))</f>
        <v/>
      </c>
    </row>
    <row r="12">
      <c r="A12" s="8" t="inlineStr">
        <is>
          <t>BTP Futura (avg cedole+premio PIL 3%)</t>
        </is>
      </c>
      <c r="B12" s="16">
        <f>(4*'1 - Parametri'!B22+4*'1 - Parametri'!B23+4*'1 - Parametri'!B24)/12+MAX('1 - Parametri'!B25,MIN('1 - Parametri'!B26,0.4*0.03))/12</f>
        <v/>
      </c>
      <c r="C12" s="16">
        <f>B12*(1-'1 - Parametri'!B8)</f>
        <v/>
      </c>
      <c r="D12" s="16">
        <f>B12-('1 - Parametri'!B5+('1 - Parametri'!B7)/5)</f>
        <v/>
      </c>
      <c r="E12" s="22">
        <f>IF(D12&lt;=0,"Si vince SEMPRE",IF(D12&gt;=0.045,"Si perde quasi sempre","Si vince se FOI &gt; "&amp;ROUND(D12*100,2)&amp;"%"))</f>
        <v/>
      </c>
    </row>
    <row r="14">
      <c r="A14" s="7" t="inlineStr">
        <is>
          <t>BTP Italia classico: confronto diverso (capitale rivalutato, no break-even classico)</t>
        </is>
      </c>
    </row>
    <row r="15">
      <c r="A15" s="20" t="inlineStr">
        <is>
          <t>Avversario</t>
        </is>
      </c>
      <c r="B15" s="20" t="inlineStr">
        <is>
          <t>YTM reale NETTO (MOT)</t>
        </is>
      </c>
      <c r="C15" s="20" t="inlineStr">
        <is>
          <t>Sì reale netto</t>
        </is>
      </c>
      <c r="D15" s="20" t="inlineStr">
        <is>
          <t>Vantaggio Sì (pp)</t>
        </is>
      </c>
      <c r="E15" s="20" t="inlineStr">
        <is>
          <t>Verdetto</t>
        </is>
      </c>
    </row>
    <row r="16">
      <c r="A16" s="8" t="inlineStr">
        <is>
          <t>BTP Italia classico mag 2028 (YTM REALE da prezzo MOT)</t>
        </is>
      </c>
      <c r="B16" s="16">
        <f>'1 - Parametri'!B50*(1-'1 - Parametri'!B8)</f>
        <v/>
      </c>
      <c r="C16" s="16">
        <f>('1 - Parametri'!B5+'1 - Parametri'!B7/5)*(1-'1 - Parametri'!B8)</f>
        <v/>
      </c>
      <c r="D16" s="16">
        <f>C16-B16</f>
        <v/>
      </c>
      <c r="E16" s="22">
        <f>IF(D16&gt;=0,"Sì vince (vantaggio "&amp;ROUND(D16*100,2)&amp;"pp)","Classico vince (gap "&amp;ROUND(-D16*100,2)&amp;"pp)")</f>
        <v/>
      </c>
    </row>
    <row r="17">
      <c r="A17" s="8" t="inlineStr">
        <is>
          <t>BTP Italia classico giu 2030 (YTM REALE da prezzo MOT)</t>
        </is>
      </c>
      <c r="B17" s="16">
        <f>'1 - Parametri'!B52*(1-'1 - Parametri'!B8)</f>
        <v/>
      </c>
      <c r="C17" s="16">
        <f>('1 - Parametri'!B5+'1 - Parametri'!B7/5)*(1-'1 - Parametri'!B8)</f>
        <v/>
      </c>
      <c r="D17" s="16">
        <f>C17-B17</f>
        <v/>
      </c>
      <c r="E17" s="22">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Parametri'!B7/5)*(1-'1 - Parametri'!B8)</f>
        <v/>
      </c>
      <c r="D18" s="16">
        <f>C18-B18</f>
        <v/>
      </c>
      <c r="E18" s="22">
        <f>IF(D18&gt;=0,"Sì vince (vantaggio "&amp;ROUND(D18*100,2)&amp;"pp)","Classico vince (gap "&amp;ROUND(-D18*100,2)&amp;"pp)")</f>
        <v/>
      </c>
    </row>
    <row r="19" ht="60" customHeight="1">
      <c r="A19" s="10" t="inlineStr">
        <is>
          <t>ATTENZIONE: usato YTM REALE EFFETTIVO calcolato dal prezzo MOT (non cedola del prospetto). Se sul secondario il classico quota SOPRA par (es. 104), il YTM reale si abbassa molto, specie per scadenze brevi. Esempio default: mag 2028 a 104, YTM reale ~0% (premio erode tutto). Vai al foglio Parametri righe 46-56 per modificare i prezzi MOT e vedere come cambia.</t>
        </is>
      </c>
    </row>
    <row r="21" ht="45" customHeight="1">
      <c r="A21" s="10" t="inlineStr">
        <is>
          <t>BTP Futura: cedole FISSE step-up molto basse (0,35%/0,60%/1,00%) + premio PIL nominale (0,4-3% diluito su 12y). Rendimento totale annuo molto inferiore al Sì → Sì vince SEMPRE indipendentemente dall'inflazione. Sospeso dal 2021, solo secondario.</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0" t="inlineStr">
        <is>
          <t>Profilo</t>
        </is>
      </c>
      <c r="B5" s="20" t="inlineStr">
        <is>
          <t>BTP Italia Si</t>
        </is>
      </c>
      <c r="C5" s="20" t="inlineStr">
        <is>
          <t>BTP Italia clas.</t>
        </is>
      </c>
      <c r="D5" s="20" t="inlineStr">
        <is>
          <t>BTP Valore</t>
        </is>
      </c>
      <c r="E5" s="20" t="inlineStr">
        <is>
          <t>BTP nominale 5y</t>
        </is>
      </c>
      <c r="F5" s="20" t="inlineStr">
        <is>
          <t>BTP nominale 10y</t>
        </is>
      </c>
    </row>
    <row r="6">
      <c r="A6" s="8" t="inlineStr">
        <is>
          <t>Giovane 25-34</t>
        </is>
      </c>
      <c r="B6" s="23" t="n">
        <v>0.2</v>
      </c>
      <c r="C6" s="23" t="n">
        <v>0.1</v>
      </c>
      <c r="D6" s="23" t="n">
        <v>0.2</v>
      </c>
      <c r="E6" s="23" t="n">
        <v>0.3</v>
      </c>
      <c r="F6" s="23" t="n">
        <v>0.2</v>
      </c>
    </row>
    <row r="7">
      <c r="A7" s="8" t="inlineStr">
        <is>
          <t>Mezza età 35-49</t>
        </is>
      </c>
      <c r="B7" s="23" t="n">
        <v>0.25</v>
      </c>
      <c r="C7" s="23" t="n">
        <v>0.15</v>
      </c>
      <c r="D7" s="23" t="n">
        <v>0.2</v>
      </c>
      <c r="E7" s="23" t="n">
        <v>0.25</v>
      </c>
      <c r="F7" s="23" t="n">
        <v>0.15</v>
      </c>
    </row>
    <row r="8">
      <c r="A8" s="8" t="inlineStr">
        <is>
          <t>Over 50 pre-FIRE</t>
        </is>
      </c>
      <c r="B8" s="23" t="n">
        <v>0.3</v>
      </c>
      <c r="C8" s="23" t="n">
        <v>0.3</v>
      </c>
      <c r="D8" s="23" t="n">
        <v>0.2</v>
      </c>
      <c r="E8" s="23" t="n">
        <v>0.15</v>
      </c>
      <c r="F8" s="23" t="n">
        <v>0.05</v>
      </c>
    </row>
    <row r="9">
      <c r="A9" s="8" t="inlineStr">
        <is>
          <t>FIRE in decumulo</t>
        </is>
      </c>
      <c r="B9" s="23" t="n">
        <v>0.25</v>
      </c>
      <c r="C9" s="23" t="n">
        <v>0.35</v>
      </c>
      <c r="D9" s="23" t="n">
        <v>0.15</v>
      </c>
      <c r="E9" s="23" t="n">
        <v>0.15</v>
      </c>
      <c r="F9" s="23"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4" t="n">
        <v>0.33</v>
      </c>
    </row>
    <row r="10">
      <c r="A10" s="7" t="inlineStr">
        <is>
          <t>Rendimento REALE netto atteso per strumento</t>
        </is>
      </c>
    </row>
    <row r="11">
      <c r="A11" s="20" t="inlineStr">
        <is>
          <t>Strumento</t>
        </is>
      </c>
      <c r="B11" s="20" t="inlineStr">
        <is>
          <t>Rend. reale annuo</t>
        </is>
      </c>
      <c r="C11" s="20" t="inlineStr">
        <is>
          <t>Idoneo al tuo orizzonte</t>
        </is>
      </c>
    </row>
    <row r="12">
      <c r="A12" s="8" t="inlineStr">
        <is>
          <t>BTP Italia Si</t>
        </is>
      </c>
      <c r="B12" s="16">
        <f>('1 - Parametri'!B5+'1 - Parametri'!B7/5)*(1-'1 - Parametri'!B8)-'1 - Parametri'!B8*B7</f>
        <v/>
      </c>
      <c r="C12" s="22">
        <f>IF(B6&gt;=5,"SI","NO - troppo lungo")</f>
        <v/>
      </c>
    </row>
    <row r="13">
      <c r="A13" s="8" t="inlineStr">
        <is>
          <t>BTP Italia clas. (YTM MOT)</t>
        </is>
      </c>
      <c r="B13" s="16">
        <f>'1 - Parametri'!B56*(1-'1 - Parametri'!B8)-'1 - Parametri'!B8*B7</f>
        <v/>
      </c>
      <c r="C13" s="22">
        <f>IF(B6&gt;=5,"SI","NO - troppo lungo")</f>
        <v/>
      </c>
    </row>
    <row r="14">
      <c r="A14" s="8" t="inlineStr">
        <is>
          <t>BTP Valore</t>
        </is>
      </c>
      <c r="B14" s="16">
        <f>((2*'1 - Parametri'!B15+2*'1 - Parametri'!B16+2*'1 - Parametri'!B17)/6+'1 - Parametri'!B18/6)*(1-'1 - Parametri'!B8)-B7</f>
        <v/>
      </c>
      <c r="C14" s="22">
        <f>IF(B6&gt;=6,"SI","NO - troppo lungo")</f>
        <v/>
      </c>
    </row>
    <row r="15">
      <c r="A15" s="8" t="inlineStr">
        <is>
          <t>BTP nominale 5y</t>
        </is>
      </c>
      <c r="B15" s="16">
        <f>'1 - Parametri'!B32*(1-'1 - Parametri'!B8)-B7</f>
        <v/>
      </c>
      <c r="C15" s="22">
        <f>IF(B6&gt;=5,"SI","NO - troppo lungo")</f>
        <v/>
      </c>
    </row>
    <row r="16">
      <c r="A16" s="8" t="inlineStr">
        <is>
          <t>BTP nominale 10y</t>
        </is>
      </c>
      <c r="B16" s="16">
        <f>'1 - Parametri'!B34*(1-'1 - Parametri'!B8)-B7</f>
        <v/>
      </c>
      <c r="C16" s="22">
        <f>IF(B6&gt;=10,"SI","NO - troppo lungo")</f>
        <v/>
      </c>
    </row>
    <row r="18">
      <c r="A18" s="7" t="inlineStr">
        <is>
          <t>Raccomandazione automatica (strumento con rendimento reale max)</t>
        </is>
      </c>
    </row>
    <row r="19">
      <c r="A19" s="8" t="inlineStr">
        <is>
          <t>Miglior strumento</t>
        </is>
      </c>
      <c r="B19" s="22">
        <f>INDEX(A12:A16,MATCH(MAX(B12:B16),B12:B16,0))</f>
        <v/>
      </c>
    </row>
    <row r="20">
      <c r="A20" s="8" t="inlineStr">
        <is>
          <t>Rendimento reale atteso annuo</t>
        </is>
      </c>
      <c r="B20" s="16">
        <f>MAX(B12:B16)</f>
        <v/>
      </c>
    </row>
    <row r="21">
      <c r="A21" s="8" t="inlineStr">
        <is>
          <t>Valore finale (con cap. + reale)</t>
        </is>
      </c>
      <c r="B21" s="19">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2026-06-10T13:56:19Z</dcterms:created>
  <dcterms:modified xsi:type="dcterms:W3CDTF">2026-06-10T13:56:19Z</dcterms:modified>
</cp:coreProperties>
</file>