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 Indice" sheetId="1" state="visible" r:id="rId1"/>
    <sheet name="1 - Parametri" sheetId="2" state="visible" r:id="rId2"/>
    <sheet name="2 - BTP Italia Si" sheetId="3" state="visible" r:id="rId3"/>
    <sheet name="3 - BTP Italia classico" sheetId="4" state="visible" r:id="rId4"/>
    <sheet name="4 - BTP Valore" sheetId="5" state="visible" r:id="rId5"/>
    <sheet name="5 - BTP Futura" sheetId="6" state="visible" r:id="rId6"/>
    <sheet name="6 - BTP nominali" sheetId="7" state="visible" r:id="rId7"/>
    <sheet name="7 - MATRICE COMPARATIVA" sheetId="8" state="visible" r:id="rId8"/>
    <sheet name="8 - Break-even" sheetId="9" state="visible" r:id="rId9"/>
    <sheet name="9 - 4 profili FIRE" sheetId="10" state="visible" r:id="rId10"/>
    <sheet name="10 - Calcolatore personale" sheetId="11" state="visible" r:id="rId11"/>
    <sheet name="11 - Flusso cedolare" sheetId="12" state="visible" r:id="rId12"/>
    <sheet name="12 - Switch" sheetId="13" state="visible" r:id="rId13"/>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0%"/>
    <numFmt numFmtId="167" formatCode="0.000%"/>
    <numFmt numFmtId="168" formatCode="mmm aaaa"/>
    <numFmt numFmtId="169" formatCode="+0.00%;-0.00%;0.00%"/>
    <numFmt numFmtId="170" formatCode="#,##0&quot; EUR&quot;"/>
  </numFmts>
  <fonts count="8">
    <font>
      <name val="Calibri"/>
      <family val="2"/>
      <color theme="1"/>
      <sz val="11"/>
      <scheme val="minor"/>
    </font>
    <font>
      <name val="Calibri"/>
      <b val="1"/>
      <color rgb="001E40AF"/>
      <sz val="16"/>
    </font>
    <font>
      <name val="Calibri"/>
      <i val="1"/>
      <color rgb="00991B1B"/>
      <sz val="10"/>
    </font>
    <font>
      <name val="Calibri"/>
      <b val="1"/>
      <sz val="14"/>
    </font>
    <font>
      <name val="Calibri"/>
      <b val="1"/>
      <sz val="11"/>
    </font>
    <font>
      <name val="Calibri"/>
      <sz val="11"/>
    </font>
    <font>
      <name val="Calibri"/>
      <i val="1"/>
      <color rgb="00666666"/>
      <sz val="9"/>
    </font>
    <font>
      <name val="Calibri"/>
      <b val="1"/>
      <color rgb="00FFFFFF"/>
      <sz val="13"/>
    </font>
  </fonts>
  <fills count="8">
    <fill>
      <patternFill/>
    </fill>
    <fill>
      <patternFill patternType="gray125"/>
    </fill>
    <fill>
      <patternFill patternType="solid">
        <fgColor rgb="00FEE2E2"/>
      </patternFill>
    </fill>
    <fill>
      <patternFill patternType="solid">
        <fgColor rgb="001E40AF"/>
      </patternFill>
    </fill>
    <fill>
      <patternFill patternType="solid">
        <fgColor rgb="00FFF59D"/>
      </patternFill>
    </fill>
    <fill>
      <patternFill patternType="solid">
        <fgColor rgb="00FAFAFA"/>
      </patternFill>
    </fill>
    <fill>
      <patternFill patternType="solid">
        <fgColor rgb="00C8E6C9"/>
      </patternFill>
    </fill>
    <fill>
      <patternFill patternType="solid">
        <fgColor rgb="00DBEAFE"/>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2" borderId="0" applyAlignment="1" pivotButton="0" quotePrefix="0" xfId="0">
      <alignment horizontal="left" vertical="center"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horizontal="center" vertical="center" wrapText="1"/>
    </xf>
    <xf numFmtId="0" fontId="4" fillId="0" borderId="1" applyAlignment="1" pivotButton="0" quotePrefix="0" xfId="0">
      <alignment horizontal="left" vertical="center" wrapText="1"/>
    </xf>
    <xf numFmtId="10" fontId="5" fillId="4" borderId="1" applyAlignment="1" pivotButton="0" quotePrefix="0" xfId="0">
      <alignment horizontal="right" vertical="center"/>
    </xf>
    <xf numFmtId="0" fontId="6" fillId="5" borderId="0" applyAlignment="1" pivotButton="0" quotePrefix="0" xfId="0">
      <alignment horizontal="left" vertical="center" wrapText="1"/>
    </xf>
    <xf numFmtId="1" fontId="5" fillId="4" borderId="1" applyAlignment="1" pivotButton="0" quotePrefix="0" xfId="0">
      <alignment horizontal="right" vertical="center"/>
    </xf>
    <xf numFmtId="164" fontId="5" fillId="4" borderId="1" applyAlignment="1" pivotButton="0" quotePrefix="0" xfId="0">
      <alignment horizontal="right" vertical="center"/>
    </xf>
    <xf numFmtId="3" fontId="5" fillId="4" borderId="1" applyAlignment="1" pivotButton="0" quotePrefix="0" xfId="0">
      <alignment horizontal="right" vertical="center"/>
    </xf>
    <xf numFmtId="2" fontId="5" fillId="4" borderId="1" applyAlignment="1" pivotButton="0" quotePrefix="0" xfId="0">
      <alignment horizontal="right" vertical="center"/>
    </xf>
    <xf numFmtId="165" fontId="5" fillId="4" borderId="1" applyAlignment="1" pivotButton="0" quotePrefix="0" xfId="0">
      <alignment horizontal="right" vertical="center"/>
    </xf>
    <xf numFmtId="10" fontId="5" fillId="6" borderId="1" applyAlignment="1" pivotButton="0" quotePrefix="0" xfId="0">
      <alignment horizontal="right" vertical="center"/>
    </xf>
    <xf numFmtId="49" fontId="5" fillId="4" borderId="1" applyAlignment="1" pivotButton="0" quotePrefix="0" xfId="0">
      <alignment horizontal="right" vertical="center"/>
    </xf>
    <xf numFmtId="166" fontId="5" fillId="4" borderId="1" applyAlignment="1" pivotButton="0" quotePrefix="0" xfId="0">
      <alignment horizontal="right" vertical="center"/>
    </xf>
    <xf numFmtId="1" fontId="5" fillId="6" borderId="1" applyAlignment="1" pivotButton="0" quotePrefix="0" xfId="0">
      <alignment horizontal="right" vertical="center"/>
    </xf>
    <xf numFmtId="164" fontId="5" fillId="6" borderId="1" applyAlignment="1" pivotButton="0" quotePrefix="0" xfId="0">
      <alignment horizontal="right" vertical="center"/>
    </xf>
    <xf numFmtId="3" fontId="5" fillId="6" borderId="1" applyAlignment="1" pivotButton="0" quotePrefix="0" xfId="0">
      <alignment horizontal="right" vertical="center"/>
    </xf>
    <xf numFmtId="0" fontId="4" fillId="7" borderId="1" applyAlignment="1" pivotButton="0" quotePrefix="0" xfId="0">
      <alignment horizontal="center" vertical="center" wrapText="1"/>
    </xf>
    <xf numFmtId="167" fontId="5" fillId="6" borderId="1" applyAlignment="1" pivotButton="0" quotePrefix="0" xfId="0">
      <alignment horizontal="right" vertical="center"/>
    </xf>
    <xf numFmtId="2" fontId="5" fillId="6" borderId="1" applyAlignment="1" pivotButton="0" quotePrefix="0" xfId="0">
      <alignment horizontal="right" vertical="center"/>
    </xf>
    <xf numFmtId="49" fontId="5" fillId="6" borderId="1" applyAlignment="1" pivotButton="0" quotePrefix="0" xfId="0">
      <alignment horizontal="right" vertical="center"/>
    </xf>
    <xf numFmtId="9" fontId="5" fillId="6" borderId="1" applyAlignment="1" pivotButton="0" quotePrefix="0" xfId="0">
      <alignment horizontal="right" vertical="center"/>
    </xf>
    <xf numFmtId="9" fontId="5" fillId="4" borderId="1" applyAlignment="1" pivotButton="0" quotePrefix="0" xfId="0">
      <alignment horizontal="right" vertical="center"/>
    </xf>
    <xf numFmtId="168" fontId="5" fillId="0" borderId="1" applyAlignment="1" pivotButton="0" quotePrefix="0" xfId="0">
      <alignment horizontal="right" vertical="center"/>
    </xf>
    <xf numFmtId="4" fontId="5" fillId="6" borderId="1" applyAlignment="1" pivotButton="0" quotePrefix="0" xfId="0">
      <alignment horizontal="right" vertical="center"/>
    </xf>
    <xf numFmtId="168" fontId="5" fillId="0" borderId="1" applyAlignment="1" pivotButton="0" quotePrefix="0" xfId="0">
      <alignment horizontal="right" vertical="center"/>
    </xf>
    <xf numFmtId="169" fontId="5" fillId="6" borderId="1" applyAlignment="1" pivotButton="0" quotePrefix="0" xfId="0">
      <alignment horizontal="right" vertical="center"/>
    </xf>
    <xf numFmtId="170" fontId="5" fillId="6"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a:pPr>
            <a:r>
              <a:t>BTP Italia Sì - IRR netto annuo per scenario</a:t>
            </a:r>
          </a:p>
        </rich>
      </tx>
      <overlay val="0"/>
    </title>
    <plotArea>
      <barChart>
        <barDir val="col"/>
        <grouping val="clustered"/>
        <ser>
          <idx val="0"/>
          <order val="0"/>
          <tx>
            <strRef>
              <f>'2 - BTP Italia Si'!E19</f>
            </strRef>
          </tx>
          <spPr>
            <a:ln>
              <a:prstDash val="solid"/>
            </a:ln>
          </spPr>
          <cat>
            <numRef>
              <f>'2 - BTP Italia Si'!$A$20:$A$23</f>
            </numRef>
          </cat>
          <val>
            <numRef>
              <f>'2 - BTP Italia Si'!$E$20:$E$23</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IRR netto</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BTP Italia classico - IRR netto annuo per scenario</a:t>
            </a:r>
          </a:p>
        </rich>
      </tx>
      <overlay val="0"/>
    </title>
    <plotArea>
      <barChart>
        <barDir val="col"/>
        <grouping val="clustered"/>
        <ser>
          <idx val="0"/>
          <order val="0"/>
          <tx>
            <strRef>
              <f>'3 - BTP Italia classico'!C18</f>
            </strRef>
          </tx>
          <spPr>
            <a:ln>
              <a:prstDash val="solid"/>
            </a:ln>
          </spPr>
          <cat>
            <numRef>
              <f>'3 - BTP Italia classico'!$A$19:$A$22</f>
            </numRef>
          </cat>
          <val>
            <numRef>
              <f>'3 - BTP Italia classico'!$C$19:$C$22</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IRR netto</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BTP Valore - cedole step-up 2+2+2</a:t>
            </a:r>
          </a:p>
        </rich>
      </tx>
      <overlay val="0"/>
    </title>
    <plotArea>
      <barChart>
        <barDir val="col"/>
        <grouping val="clustered"/>
        <ser>
          <idx val="0"/>
          <order val="0"/>
          <tx>
            <strRef>
              <f>'4 - BTP Valore'!B14</f>
            </strRef>
          </tx>
          <spPr>
            <a:ln>
              <a:prstDash val="solid"/>
            </a:ln>
          </spPr>
          <cat>
            <numRef>
              <f>'4 - BTP Valore'!$A$15:$A$17</f>
            </numRef>
          </cat>
          <val>
            <numRef>
              <f>'4 - BTP Valore'!$B$15:$B$17</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Cedola annua lorda</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BTP Futura - tot. netto 12 anni per scenario PIL</a:t>
            </a:r>
          </a:p>
        </rich>
      </tx>
      <overlay val="0"/>
    </title>
    <plotArea>
      <barChart>
        <barDir val="col"/>
        <grouping val="clustered"/>
        <ser>
          <idx val="0"/>
          <order val="0"/>
          <tx>
            <strRef>
              <f>'5 - BTP Futura'!E15</f>
            </strRef>
          </tx>
          <spPr>
            <a:ln>
              <a:prstDash val="solid"/>
            </a:ln>
          </spPr>
          <cat>
            <numRef>
              <f>'5 - BTP Futura'!$A$16:$A$18</f>
            </numRef>
          </cat>
          <val>
            <numRef>
              <f>'5 - BTP Futura'!$E$16:$E$18</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EUR su 10k</a:t>
                </a:r>
              </a:p>
            </rich>
          </tx>
          <layout>
            <manualLayout>
              <xMode val="edge"/>
              <yMode val="edge"/>
              <wMode val="factor"/>
              <hMode val="factor"/>
              <x val="0.005"/>
              <y val="0.3"/>
            </manualLayout>
          </layout>
          <overlay val="0"/>
        </title>
        <numFmt formatCode="#,##0" sourceLinked="0"/>
        <majorTickMark val="none"/>
        <minorTickMark val="none"/>
        <tickLblPos val="nextTo"/>
        <crossAx val="10"/>
      </valAx>
    </plotArea>
    <legend>
      <legendPos val="r"/>
      <overlay val="0"/>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Curva BTP nominali 2026 - rendimento lordo per scadenza</a:t>
            </a:r>
          </a:p>
        </rich>
      </tx>
      <overlay val="0"/>
    </title>
    <plotArea>
      <lineChart>
        <grouping val="standard"/>
        <ser>
          <idx val="0"/>
          <order val="0"/>
          <tx>
            <strRef>
              <f>'6 - BTP nominali'!B8</f>
            </strRef>
          </tx>
          <spPr>
            <a:ln>
              <a:prstDash val="solid"/>
            </a:ln>
          </spPr>
          <marker>
            <symbol val="none"/>
            <spPr>
              <a:ln>
                <a:prstDash val="solid"/>
              </a:ln>
            </spPr>
          </marker>
          <cat>
            <numRef>
              <f>'6 - BTP nominali'!$A$9:$A$13</f>
            </numRef>
          </cat>
          <val>
            <numRef>
              <f>'6 - BTP nominali'!$B$9:$B$13</f>
            </numRef>
          </val>
        </ser>
        <axId val="10"/>
        <axId val="100"/>
      </lineChart>
      <catAx>
        <axId val="10"/>
        <scaling>
          <orientation val="minMax"/>
        </scaling>
        <delete val="0"/>
        <axPos val="l"/>
        <title>
          <tx>
            <rich>
              <a:bodyPr/>
              <a:p>
                <a:pPr>
                  <a:defRPr/>
                </a:pPr>
                <a:r>
                  <a:t>Scadenza</a:t>
                </a:r>
              </a:p>
            </rich>
          </tx>
          <layout>
            <manualLayout>
              <xMode val="edge"/>
              <yMode val="edge"/>
              <wMode val="factor"/>
              <hMode val="factor"/>
              <x val="0.4"/>
              <y val="0.93"/>
            </manualLayout>
          </layout>
          <overlay val="0"/>
        </title>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Rendimento lordo</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Matrice: rendimento REALE netto annuo per strumento × inflazione</a:t>
            </a:r>
          </a:p>
        </rich>
      </tx>
      <overlay val="0"/>
    </title>
    <plotArea>
      <lineChart>
        <grouping val="standard"/>
        <ser>
          <idx val="0"/>
          <order val="0"/>
          <tx>
            <strRef>
              <f>'7 - MATRICE COMPARATIVA'!A6</f>
            </strRef>
          </tx>
          <spPr>
            <a:ln w="28000">
              <a:solidFill>
                <a:srgbClr val="10B981"/>
              </a:solidFill>
              <a:prstDash val="solid"/>
            </a:ln>
          </spPr>
          <marker>
            <symbol val="none"/>
            <spPr>
              <a:ln>
                <a:prstDash val="solid"/>
              </a:ln>
            </spPr>
          </marker>
          <cat>
            <numRef>
              <f>'7 - MATRICE COMPARATIVA'!$B$5:$E$5</f>
            </numRef>
          </cat>
          <val>
            <numRef>
              <f>'7 - MATRICE COMPARATIVA'!$B$6:$E$6</f>
            </numRef>
          </val>
        </ser>
        <ser>
          <idx val="1"/>
          <order val="1"/>
          <tx>
            <strRef>
              <f>'7 - MATRICE COMPARATIVA'!A7</f>
            </strRef>
          </tx>
          <spPr>
            <a:ln w="28000">
              <a:solidFill>
                <a:srgbClr val="1E40AF"/>
              </a:solidFill>
              <a:prstDash val="solid"/>
            </a:ln>
          </spPr>
          <marker>
            <symbol val="none"/>
            <spPr>
              <a:ln>
                <a:prstDash val="solid"/>
              </a:ln>
            </spPr>
          </marker>
          <cat>
            <numRef>
              <f>'7 - MATRICE COMPARATIVA'!$B$5:$E$5</f>
            </numRef>
          </cat>
          <val>
            <numRef>
              <f>'7 - MATRICE COMPARATIVA'!$B$7:$E$7</f>
            </numRef>
          </val>
        </ser>
        <ser>
          <idx val="2"/>
          <order val="2"/>
          <tx>
            <strRef>
              <f>'7 - MATRICE COMPARATIVA'!A8</f>
            </strRef>
          </tx>
          <spPr>
            <a:ln w="28000">
              <a:solidFill>
                <a:srgbClr val="F59E0B"/>
              </a:solidFill>
              <a:prstDash val="solid"/>
            </a:ln>
          </spPr>
          <marker>
            <symbol val="none"/>
            <spPr>
              <a:ln>
                <a:prstDash val="solid"/>
              </a:ln>
            </spPr>
          </marker>
          <cat>
            <numRef>
              <f>'7 - MATRICE COMPARATIVA'!$B$5:$E$5</f>
            </numRef>
          </cat>
          <val>
            <numRef>
              <f>'7 - MATRICE COMPARATIVA'!$B$8:$E$8</f>
            </numRef>
          </val>
        </ser>
        <ser>
          <idx val="3"/>
          <order val="3"/>
          <tx>
            <strRef>
              <f>'7 - MATRICE COMPARATIVA'!A9</f>
            </strRef>
          </tx>
          <spPr>
            <a:ln w="28000">
              <a:solidFill>
                <a:srgbClr val="0EA5E9"/>
              </a:solidFill>
              <a:prstDash val="solid"/>
            </a:ln>
          </spPr>
          <marker>
            <symbol val="none"/>
            <spPr>
              <a:ln>
                <a:prstDash val="solid"/>
              </a:ln>
            </spPr>
          </marker>
          <cat>
            <numRef>
              <f>'7 - MATRICE COMPARATIVA'!$B$5:$E$5</f>
            </numRef>
          </cat>
          <val>
            <numRef>
              <f>'7 - MATRICE COMPARATIVA'!$B$9:$E$9</f>
            </numRef>
          </val>
        </ser>
        <ser>
          <idx val="4"/>
          <order val="4"/>
          <tx>
            <strRef>
              <f>'7 - MATRICE COMPARATIVA'!A10</f>
            </strRef>
          </tx>
          <spPr>
            <a:ln w="28000">
              <a:solidFill>
                <a:srgbClr val="EF4444"/>
              </a:solidFill>
              <a:prstDash val="solid"/>
            </a:ln>
          </spPr>
          <marker>
            <symbol val="none"/>
            <spPr>
              <a:ln>
                <a:prstDash val="solid"/>
              </a:ln>
            </spPr>
          </marker>
          <cat>
            <numRef>
              <f>'7 - MATRICE COMPARATIVA'!$B$5:$E$5</f>
            </numRef>
          </cat>
          <val>
            <numRef>
              <f>'7 - MATRICE COMPARATIVA'!$B$10:$E$10</f>
            </numRef>
          </val>
        </ser>
        <ser>
          <idx val="5"/>
          <order val="5"/>
          <tx>
            <strRef>
              <f>'7 - MATRICE COMPARATIVA'!A11</f>
            </strRef>
          </tx>
          <spPr>
            <a:ln w="28000">
              <a:solidFill>
                <a:srgbClr val="8B5CF6"/>
              </a:solidFill>
              <a:prstDash val="solid"/>
            </a:ln>
          </spPr>
          <marker>
            <symbol val="none"/>
            <spPr>
              <a:ln>
                <a:prstDash val="solid"/>
              </a:ln>
            </spPr>
          </marker>
          <cat>
            <numRef>
              <f>'7 - MATRICE COMPARATIVA'!$B$5:$E$5</f>
            </numRef>
          </cat>
          <val>
            <numRef>
              <f>'7 - MATRICE COMPARATIVA'!$B$11:$E$11</f>
            </numRef>
          </val>
        </ser>
        <axId val="10"/>
        <axId val="100"/>
      </lineChart>
      <catAx>
        <axId val="10"/>
        <scaling>
          <orientation val="minMax"/>
        </scaling>
        <delete val="0"/>
        <axPos val="l"/>
        <title>
          <tx>
            <rich>
              <a:bodyPr/>
              <a:p>
                <a:pPr>
                  <a:defRPr/>
                </a:pPr>
                <a:r>
                  <a:t>Scenario inflazione FOI</a:t>
                </a:r>
              </a:p>
            </rich>
          </tx>
          <layout>
            <manualLayout>
              <xMode val="edge"/>
              <yMode val="edge"/>
              <wMode val="factor"/>
              <hMode val="factor"/>
              <x val="0.4"/>
              <y val="0.93"/>
            </manualLayout>
          </layout>
          <overlay val="0"/>
        </title>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Rendim. reale netto</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Break-even: soglia inflazione FOI per ogni avversario (cedola fissa nominale)</a:t>
            </a:r>
          </a:p>
        </rich>
      </tx>
      <overlay val="0"/>
    </title>
    <plotArea>
      <barChart>
        <barDir val="bar"/>
        <grouping val="clustered"/>
        <ser>
          <idx val="0"/>
          <order val="0"/>
          <tx>
            <strRef>
              <f>'8 - Break-even'!D5</f>
            </strRef>
          </tx>
          <spPr>
            <a:ln>
              <a:prstDash val="solid"/>
            </a:ln>
          </spPr>
          <cat>
            <numRef>
              <f>'8 - Break-even'!$A$6:$A$12</f>
            </numRef>
          </cat>
          <val>
            <numRef>
              <f>'8 - Break-even'!$D$6:$D$12</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Soglia inflazione</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8.xml><?xml version="1.0" encoding="utf-8"?>
<chartSpace xmlns:a="http://schemas.openxmlformats.org/drawingml/2006/main" xmlns="http://schemas.openxmlformats.org/drawingml/2006/chart">
  <chart>
    <title>
      <tx>
        <rich>
          <a:bodyPr/>
          <a:p>
            <a:pPr>
              <a:defRPr/>
            </a:pPr>
            <a:r>
              <a:t>Allocazione % per profilo FIRE (5 strumenti)</a:t>
            </a:r>
          </a:p>
        </rich>
      </tx>
      <overlay val="0"/>
    </title>
    <plotArea>
      <barChart>
        <barDir val="col"/>
        <grouping val="percentStacked"/>
        <ser>
          <idx val="0"/>
          <order val="0"/>
          <tx>
            <strRef>
              <f>'9 - 4 profili FIRE'!B5</f>
            </strRef>
          </tx>
          <spPr>
            <a:solidFill>
              <a:srgbClr val="10B981"/>
            </a:solidFill>
            <a:ln>
              <a:prstDash val="solid"/>
            </a:ln>
          </spPr>
          <cat>
            <numRef>
              <f>'9 - 4 profili FIRE'!$A$6:$A$9</f>
            </numRef>
          </cat>
          <val>
            <numRef>
              <f>'9 - 4 profili FIRE'!$B$6:$B$9</f>
            </numRef>
          </val>
        </ser>
        <ser>
          <idx val="1"/>
          <order val="1"/>
          <tx>
            <strRef>
              <f>'9 - 4 profili FIRE'!C5</f>
            </strRef>
          </tx>
          <spPr>
            <a:solidFill>
              <a:srgbClr val="1E40AF"/>
            </a:solidFill>
            <a:ln>
              <a:prstDash val="solid"/>
            </a:ln>
          </spPr>
          <cat>
            <numRef>
              <f>'9 - 4 profili FIRE'!$A$6:$A$9</f>
            </numRef>
          </cat>
          <val>
            <numRef>
              <f>'9 - 4 profili FIRE'!$C$6:$C$9</f>
            </numRef>
          </val>
        </ser>
        <ser>
          <idx val="2"/>
          <order val="2"/>
          <tx>
            <strRef>
              <f>'9 - 4 profili FIRE'!D5</f>
            </strRef>
          </tx>
          <spPr>
            <a:solidFill>
              <a:srgbClr val="F59E0B"/>
            </a:solidFill>
            <a:ln>
              <a:prstDash val="solid"/>
            </a:ln>
          </spPr>
          <cat>
            <numRef>
              <f>'9 - 4 profili FIRE'!$A$6:$A$9</f>
            </numRef>
          </cat>
          <val>
            <numRef>
              <f>'9 - 4 profili FIRE'!$D$6:$D$9</f>
            </numRef>
          </val>
        </ser>
        <ser>
          <idx val="3"/>
          <order val="3"/>
          <tx>
            <strRef>
              <f>'9 - 4 profili FIRE'!E5</f>
            </strRef>
          </tx>
          <spPr>
            <a:solidFill>
              <a:srgbClr val="EF4444"/>
            </a:solidFill>
            <a:ln>
              <a:prstDash val="solid"/>
            </a:ln>
          </spPr>
          <cat>
            <numRef>
              <f>'9 - 4 profili FIRE'!$A$6:$A$9</f>
            </numRef>
          </cat>
          <val>
            <numRef>
              <f>'9 - 4 profili FIRE'!$E$6:$E$9</f>
            </numRef>
          </val>
        </ser>
        <ser>
          <idx val="4"/>
          <order val="4"/>
          <tx>
            <strRef>
              <f>'9 - 4 profili FIRE'!F5</f>
            </strRef>
          </tx>
          <spPr>
            <a:solidFill>
              <a:srgbClr val="8B5CF6"/>
            </a:solidFill>
            <a:ln>
              <a:prstDash val="solid"/>
            </a:ln>
          </spPr>
          <cat>
            <numRef>
              <f>'9 - 4 profili FIRE'!$A$6:$A$9</f>
            </numRef>
          </cat>
          <val>
            <numRef>
              <f>'9 - 4 profili FIRE'!$F$6:$F$9</f>
            </numRef>
          </val>
        </ser>
        <gapWidth val="150"/>
        <overlap val="10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 portafoglio bond</a:t>
                </a:r>
              </a:p>
            </rich>
          </tx>
          <layout>
            <manualLayout>
              <xMode val="edge"/>
              <yMode val="edge"/>
              <wMode val="factor"/>
              <hMode val="factor"/>
              <x val="0.005"/>
              <y val="0.3"/>
            </manualLayout>
          </layout>
          <overlay val="0"/>
        </title>
        <numFmt formatCode="0%" sourceLinked="0"/>
        <majorTickMark val="none"/>
        <minorTickMark val="none"/>
        <tickLblPos val="nextTo"/>
        <crossAx val="10"/>
      </valAx>
    </plotArea>
    <legend>
      <legendPos val="r"/>
      <overlay val="0"/>
    </legend>
    <plotVisOnly val="1"/>
    <dispBlanksAs val="gap"/>
  </chart>
</chartSpace>
</file>

<file path=xl/charts/chart9.xml><?xml version="1.0" encoding="utf-8"?>
<chartSpace xmlns:a="http://schemas.openxmlformats.org/drawingml/2006/main" xmlns="http://schemas.openxmlformats.org/drawingml/2006/chart">
  <chart>
    <title>
      <tx>
        <rich>
          <a:bodyPr/>
          <a:p>
            <a:pPr>
              <a:defRPr/>
            </a:pPr>
            <a:r>
              <a:t>Rendimento REALE netto annuo per strumento (tuoi input)</a:t>
            </a:r>
          </a:p>
        </rich>
      </tx>
      <overlay val="0"/>
    </title>
    <plotArea>
      <barChart>
        <barDir val="col"/>
        <grouping val="clustered"/>
        <ser>
          <idx val="0"/>
          <order val="0"/>
          <tx>
            <strRef>
              <f>'10 - Calcolatore personale'!B11</f>
            </strRef>
          </tx>
          <spPr>
            <a:ln>
              <a:prstDash val="solid"/>
            </a:ln>
          </spPr>
          <cat>
            <numRef>
              <f>'10 - Calcolatore personale'!$A$12:$A$16</f>
            </numRef>
          </cat>
          <val>
            <numRef>
              <f>'10 - Calcolatore personale'!$B$12:$B$16</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Rendimento reale annuo</a:t>
                </a:r>
              </a:p>
            </rich>
          </tx>
          <layout>
            <manualLayout>
              <xMode val="edge"/>
              <yMode val="edge"/>
              <wMode val="factor"/>
              <hMode val="factor"/>
              <x val="0.005"/>
              <y val="0.3"/>
            </manualLayout>
          </layout>
          <overlay val="0"/>
        </title>
        <numFmt formatCode="0.00%" sourceLinked="0"/>
        <majorTickMark val="none"/>
        <minorTickMark val="none"/>
        <tickLblPos val="nextTo"/>
        <crossAx val="10"/>
      </valAx>
    </plotArea>
    <legend>
      <legendPos val="r"/>
      <overlay val="0"/>
    </legend>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Cedole nette semestrali + premio finale</a:t>
            </a:r>
          </a:p>
        </rich>
      </tx>
      <overlay val="0"/>
    </title>
    <plotArea>
      <barChart>
        <barDir val="col"/>
        <grouping val="clustered"/>
        <varyColors val="0"/>
        <ser>
          <idx val="0"/>
          <order val="0"/>
          <tx>
            <strRef>
              <f>'11 - Flusso cedolare'!E12</f>
            </strRef>
          </tx>
          <spPr>
            <a:ln>
              <a:prstDash val="solid"/>
            </a:ln>
          </spPr>
          <cat>
            <numRef>
              <f>'11 - Flusso cedolare'!$A$13:$A$23</f>
            </numRef>
          </cat>
          <val>
            <numRef>
              <f>'11 - Flusso cedolare'!$E$13:$E$23</f>
            </numRef>
          </val>
        </ser>
        <gapWidth val="150"/>
        <axId val="10"/>
        <axId val="100"/>
      </barChart>
      <catAx>
        <axId val="10"/>
        <scaling>
          <orientation val="minMax"/>
        </scaling>
        <delete val="0"/>
        <axPos val="l"/>
        <majorTickMark val="none"/>
        <minorTickMark val="none"/>
        <tickLblPos val="low"/>
        <crossAx val="100"/>
        <lblOffset val="100"/>
      </catAx>
      <valAx>
        <axId val="100"/>
        <scaling>
          <orientation val="minMax"/>
        </scaling>
        <delete val="0"/>
        <axPos val="l"/>
        <majorGridlines>
          <spPr>
            <a:ln w="4500">
              <a:solidFill>
                <a:srgbClr val="D0D0D0"/>
              </a:solidFill>
              <a:prstDash val="solid"/>
            </a:ln>
          </spPr>
        </majorGridlines>
        <title>
          <tx>
            <rich>
              <a:bodyPr/>
              <a:p>
                <a:pPr>
                  <a:defRPr/>
                </a:pPr>
                <a:r>
                  <a:t>EUR netti</a:t>
                </a:r>
              </a:p>
            </rich>
          </tx>
          <layout>
            <manualLayout>
              <xMode val="edge"/>
              <yMode val="edge"/>
              <wMode val="factor"/>
              <hMode val="factor"/>
              <x val="0.005"/>
              <y val="0.3"/>
            </manualLayout>
          </layout>
          <overlay val="0"/>
        </title>
        <numFmt formatCode="#,##0" sourceLinked="0"/>
        <majorTickMark val="none"/>
        <minorTickMark val="none"/>
        <tickLblPos val="nextTo"/>
        <crossAx val="10"/>
      </valAx>
    </plotArea>
    <plotVisOnly val="1"/>
    <dispBlanksAs val="gap"/>
  </chart>
</chartSpace>
</file>

<file path=xl/charts/chart11.xml><?xml version="1.0" encoding="utf-8"?>
<chartSpace xmlns:a="http://schemas.openxmlformats.org/drawingml/2006/main" xmlns="http://schemas.openxmlformats.org/drawingml/2006/chart">
  <style val="13"/>
  <chart>
    <title>
      <tx>
        <rich>
          <a:bodyPr/>
          <a:p>
            <a:pPr>
              <a:defRPr/>
            </a:pPr>
            <a:r>
              <a:t>Break-even: quando conviene lo switch</a:t>
            </a:r>
          </a:p>
        </rich>
      </tx>
      <overlay val="0"/>
    </title>
    <plotArea>
      <scatterChart>
        <scatterStyle val="lineMarker"/>
        <ser>
          <idx val="0"/>
          <order val="0"/>
          <tx>
            <v>Vecchio (rend. reale)</v>
          </tx>
          <spPr>
            <a:ln w="19050">
              <a:solidFill>
                <a:srgbClr val="E0A458"/>
              </a:solidFill>
              <a:prstDash val="solid"/>
            </a:ln>
          </spPr>
          <marker>
            <symbol val="none"/>
            <spPr>
              <a:ln>
                <a:prstDash val="solid"/>
              </a:ln>
            </spPr>
          </marker>
          <xVal>
            <numRef>
              <f>'12 - Switch'!$A$34:$A$41</f>
            </numRef>
          </xVal>
          <yVal>
            <numRef>
              <f>'12 - Switch'!$B$34:$B$41</f>
            </numRef>
          </yVal>
          <smooth val="0"/>
        </ser>
        <ser>
          <idx val="1"/>
          <order val="1"/>
          <tx>
            <v>Nuovo Si (rend. reale)</v>
          </tx>
          <spPr>
            <a:ln w="19050">
              <a:solidFill>
                <a:srgbClr val="10B981"/>
              </a:solidFill>
              <a:prstDash val="solid"/>
            </a:ln>
          </spPr>
          <marker>
            <symbol val="none"/>
            <spPr>
              <a:ln>
                <a:prstDash val="solid"/>
              </a:ln>
            </spPr>
          </marker>
          <xVal>
            <numRef>
              <f>'12 - Switch'!$A$34:$A$41</f>
            </numRef>
          </xVal>
          <yVal>
            <numRef>
              <f>'12 - Switch'!$C$34:$C$41</f>
            </numRef>
          </yVal>
          <smooth val="0"/>
        </ser>
        <ser>
          <idx val="2"/>
          <order val="2"/>
          <tx>
            <v>Prezzo di indifferenza</v>
          </tx>
          <spPr>
            <a:ln>
              <a:noFill/>
              <a:prstDash val="solid"/>
            </a:ln>
          </spPr>
          <marker>
            <symbol val="diamond"/>
            <size val="12"/>
            <spPr>
              <a:solidFill>
                <a:srgbClr val="EF4444"/>
              </a:solidFill>
              <a:ln>
                <a:prstDash val="solid"/>
              </a:ln>
            </spPr>
          </marker>
          <dLbls>
            <dLbl>
              <idx val="0"/>
              <tx>
                <rich>
                  <a:bodyPr/>
                  <a:lstStyle/>
                  <a:p>
                    <a:r>
                      <a:rPr lang="it-IT" b="1" sz="1150">
                        <a:solidFill>
                          <a:srgbClr val="C00000"/>
                        </a:solidFill>
                      </a:rPr>
                      <a:t>≈ 100,7</a:t>
                    </a:r>
                  </a:p>
                </rich>
              </tx>
              <dLblPos val="t"/>
              <showLegendKey val="0"/>
              <showVal val="0"/>
              <showCatName val="0"/>
              <showSerName val="0"/>
              <showPercent val="0"/>
              <showBubbleSize val="0"/>
            </dLbl>
            <showLegendKey val="0"/>
            <showVal val="0"/>
            <showCatName val="0"/>
            <showSerName val="0"/>
            <showPercent val="0"/>
            <showBubbleSize val="0"/>
          </dLbls>
          <xVal>
            <numRef>
              <f>'12 - Switch'!$B$24</f>
            </numRef>
          </xVal>
          <yVal>
            <numRef>
              <f>'12 - Switch'!$B$14</f>
            </numRef>
          </yVal>
        </ser>
        <axId val="10"/>
        <axId val="20"/>
      </scatterChart>
      <valAx>
        <axId val="10"/>
        <scaling>
          <orientation val="minMax"/>
        </scaling>
        <delete val="0"/>
        <axPos val="l"/>
        <title>
          <tx>
            <rich>
              <a:bodyPr/>
              <a:p>
                <a:pPr>
                  <a:defRPr/>
                </a:pPr>
                <a:r>
                  <a:t>Prezzo del vecchio (su 100)</a:t>
                </a:r>
              </a:p>
            </rich>
          </tx>
          <layout>
            <manualLayout>
              <xMode val="edge"/>
              <yMode val="edge"/>
              <wMode val="factor"/>
              <hMode val="factor"/>
              <x val="0.4"/>
              <y val="0.93"/>
            </manualLayout>
          </layout>
          <overlay val="0"/>
        </title>
        <majorTickMark val="none"/>
        <minorTickMark val="none"/>
        <tickLblPos val="low"/>
        <crossAx val="20"/>
      </valAx>
      <valAx>
        <axId val="20"/>
        <scaling>
          <orientation val="minMax"/>
        </scaling>
        <delete val="0"/>
        <axPos val="l"/>
        <majorGridlines>
          <spPr>
            <a:ln w="3000">
              <a:solidFill>
                <a:srgbClr val="ECECEC"/>
              </a:solidFill>
              <a:prstDash val="solid"/>
            </a:ln>
          </spPr>
        </majorGridlines>
        <title>
          <tx>
            <rich>
              <a:bodyPr/>
              <a:p>
                <a:pPr>
                  <a:defRPr/>
                </a:pPr>
                <a:r>
                  <a:t>Rendimento reale annuo</a:t>
                </a:r>
              </a:p>
            </rich>
          </tx>
          <layout>
            <manualLayout>
              <xMode val="edge"/>
              <yMode val="edge"/>
              <wMode val="factor"/>
              <hMode val="factor"/>
              <x val="0.005"/>
              <y val="0.3"/>
            </manualLayout>
          </layout>
          <overlay val="0"/>
        </title>
        <numFmt formatCode="0.0%" sourceLinked="0"/>
        <majorTickMark val="none"/>
        <minorTickMark val="none"/>
        <tickLblPos val="nextTo"/>
        <crossAx val="10"/>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_rels/drawing5.xml.rels><Relationships xmlns="http://schemas.openxmlformats.org/package/2006/relationships"><Relationship Type="http://schemas.openxmlformats.org/officeDocument/2006/relationships/chart" Target="/xl/charts/chart5.xml" Id="rId1" /></Relationships>
</file>

<file path=xl/drawings/_rels/drawing6.xml.rels><Relationships xmlns="http://schemas.openxmlformats.org/package/2006/relationships"><Relationship Type="http://schemas.openxmlformats.org/officeDocument/2006/relationships/chart" Target="/xl/charts/chart6.xml" Id="rId1" /></Relationships>
</file>

<file path=xl/drawings/_rels/drawing7.xml.rels><Relationships xmlns="http://schemas.openxmlformats.org/package/2006/relationships"><Relationship Type="http://schemas.openxmlformats.org/officeDocument/2006/relationships/chart" Target="/xl/charts/chart7.xml" Id="rId1" /></Relationships>
</file>

<file path=xl/drawings/_rels/drawing8.xml.rels><Relationships xmlns="http://schemas.openxmlformats.org/package/2006/relationships"><Relationship Type="http://schemas.openxmlformats.org/officeDocument/2006/relationships/chart" Target="/xl/charts/chart8.xml" Id="rId1" /></Relationships>
</file>

<file path=xl/drawings/_rels/drawing9.xml.rels><Relationships xmlns="http://schemas.openxmlformats.org/package/2006/relationships"><Relationship Type="http://schemas.openxmlformats.org/officeDocument/2006/relationships/chart" Target="/xl/charts/chart9.xml" Id="rId1" /></Relationships>
</file>

<file path=xl/drawings/_rels/drawing10.xml.rels><Relationships xmlns="http://schemas.openxmlformats.org/package/2006/relationships"><Relationship Type="http://schemas.openxmlformats.org/officeDocument/2006/relationships/chart" Target="/xl/charts/chart10.xml" Id="rId1" /></Relationships>
</file>

<file path=xl/drawings/_rels/drawing11.xml.rels><Relationships xmlns="http://schemas.openxmlformats.org/package/2006/relationships"><Relationship Type="http://schemas.openxmlformats.org/officeDocument/2006/relationships/chart" Target="/xl/charts/chart1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792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6.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9360000" cy="54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7.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8.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3</row>
      <rowOff>0</rowOff>
    </from>
    <ext cx="792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9.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0.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8</col>
      <colOff>0</colOff>
      <row>3</row>
      <rowOff>0</rowOff>
    </from>
    <ext cx="6480000" cy="39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1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560000" cy="43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_rels/sheet7.xml.rels><Relationships xmlns="http://schemas.openxmlformats.org/package/2006/relationships"><Relationship Type="http://schemas.openxmlformats.org/officeDocument/2006/relationships/drawing" Target="/xl/drawings/drawing5.xml" Id="rId1" /></Relationships>
</file>

<file path=xl/worksheets/_rels/sheet8.xml.rels><Relationships xmlns="http://schemas.openxmlformats.org/package/2006/relationships"><Relationship Type="http://schemas.openxmlformats.org/officeDocument/2006/relationships/drawing" Target="/xl/drawings/drawing6.xml" Id="rId1" /></Relationships>
</file>

<file path=xl/worksheets/_rels/sheet9.xml.rels><Relationships xmlns="http://schemas.openxmlformats.org/package/2006/relationships"><Relationship Type="http://schemas.openxmlformats.org/officeDocument/2006/relationships/drawing" Target="/xl/drawings/drawing7.xml" Id="rId1" /></Relationships>
</file>

<file path=xl/worksheets/_rels/sheet10.xml.rels><Relationships xmlns="http://schemas.openxmlformats.org/package/2006/relationships"><Relationship Type="http://schemas.openxmlformats.org/officeDocument/2006/relationships/drawing" Target="/xl/drawings/drawing8.xml" Id="rId1" /></Relationships>
</file>

<file path=xl/worksheets/_rels/sheet11.xml.rels><Relationships xmlns="http://schemas.openxmlformats.org/package/2006/relationships"><Relationship Type="http://schemas.openxmlformats.org/officeDocument/2006/relationships/drawing" Target="/xl/drawings/drawing9.xml" Id="rId1" /></Relationships>
</file>

<file path=xl/worksheets/_rels/sheet12.xml.rels><Relationships xmlns="http://schemas.openxmlformats.org/package/2006/relationships"><Relationship Type="http://schemas.openxmlformats.org/officeDocument/2006/relationships/drawing" Target="/xl/drawings/drawing10.xml" Id="rId1" /></Relationships>
</file>

<file path=xl/worksheets/_rels/sheet13.xml.rels><Relationships xmlns="http://schemas.openxmlformats.org/package/2006/relationships"><Relationship Type="http://schemas.openxmlformats.org/officeDocument/2006/relationships/drawing" Target="/xl/drawings/drawing11.xml" Id="rId1" /></Relationships>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30" customWidth="1" min="2" max="2"/>
  </cols>
  <sheetData>
    <row r="1" ht="32" customHeight="1">
      <c r="A1" s="1" t="inlineStr">
        <is>
          <t>Simulatore BTP Italia Si vs altri BTP retail (giugno 2026)</t>
        </is>
      </c>
    </row>
    <row r="2" ht="32" customHeight="1">
      <c r="A2" s="2" t="inlineStr">
        <is>
          <t>Strumento informativo / divulgativo. NON è consulenza finanziaria. I valori sono indicativi al 2026 e vanno verificati col tuo consulente.</t>
        </is>
      </c>
    </row>
    <row r="4">
      <c r="A4" s="3" t="inlineStr">
        <is>
          <t>Indice</t>
        </is>
      </c>
    </row>
    <row r="5" ht="22" customHeight="1">
      <c r="A5" s="4" t="inlineStr">
        <is>
          <t>1 - Parametri</t>
        </is>
      </c>
      <c r="B5" s="5" t="inlineStr">
        <is>
          <t>Input centralizzati (modifica QUI dopo annuncio MEF 12 giu)</t>
        </is>
      </c>
    </row>
    <row r="6" ht="22" customHeight="1">
      <c r="A6" s="4" t="inlineStr">
        <is>
          <t>2 - BTP Italia Si</t>
        </is>
      </c>
      <c r="B6" s="5" t="inlineStr">
        <is>
          <t>Rendimento Si in 4 scenari inflazione FOI</t>
        </is>
      </c>
    </row>
    <row r="7" ht="22" customHeight="1">
      <c r="A7" s="4" t="inlineStr">
        <is>
          <t>3 - BTP Italia classico</t>
        </is>
      </c>
      <c r="B7" s="5">
        <f>"Capitale rivalutato + cedola reale "&amp;SUBSTITUTE(ROUND('1 - Parametri'!B12*100,1)&amp;"",".",",")&amp;"% (giu 2030)"</f>
        <v/>
      </c>
    </row>
    <row r="8" ht="22" customHeight="1">
      <c r="A8" s="4" t="inlineStr">
        <is>
          <t>4 - BTP Valore</t>
        </is>
      </c>
      <c r="B8" s="5">
        <f>"Step-up "&amp;SUBSTITUTE(ROUND('1 - Parametri'!B15*100,2)&amp;"",".",",")&amp;"/"&amp;SUBSTITUTE(ROUND('1 - Parametri'!B16*100,2)&amp;"",".",",")&amp;"/"&amp;SUBSTITUTE(ROUND('1 - Parametri'!B17*100,2)&amp;"",".",",")&amp;" + YTM a prezzo MOT "&amp;SUBSTITUTE(ROUND('1 - Parametri'!B64,2)&amp;"",".",",")</f>
        <v/>
      </c>
    </row>
    <row r="9" ht="22" customHeight="1">
      <c r="A9" s="4" t="inlineStr">
        <is>
          <t>5 - BTP Futura</t>
        </is>
      </c>
      <c r="B9" s="5">
        <f>"Storico 4a emissione + YTM a prezzo MOT "&amp;SUBSTITUTE(ROUND('1 - Parametri'!B66,2)&amp;"",".",",")</f>
        <v/>
      </c>
    </row>
    <row r="10" ht="22" customHeight="1">
      <c r="A10" s="4" t="inlineStr">
        <is>
          <t>6 - BTP nominali</t>
        </is>
      </c>
      <c r="B10" s="5" t="inlineStr">
        <is>
          <t>Curva 2y/5y/10y rendimenti fissi</t>
        </is>
      </c>
    </row>
    <row r="11" ht="22" customHeight="1">
      <c r="A11" s="4" t="inlineStr">
        <is>
          <t>7 - MATRICE COMPARATIVA</t>
        </is>
      </c>
      <c r="B11" s="5" t="inlineStr">
        <is>
          <t>6 strumenti x 4 scenari (rendimenti REALI netti)</t>
        </is>
      </c>
    </row>
    <row r="12" ht="22" customHeight="1">
      <c r="A12" s="4" t="inlineStr">
        <is>
          <t>8 - Break-even</t>
        </is>
      </c>
      <c r="B12" s="5" t="inlineStr">
        <is>
          <t>Soglia inflazione per ogni avversario</t>
        </is>
      </c>
    </row>
    <row r="13" ht="22" customHeight="1">
      <c r="A13" s="4" t="inlineStr">
        <is>
          <t>9 - 4 profili FIRE</t>
        </is>
      </c>
      <c r="B13" s="5" t="inlineStr">
        <is>
          <t>Allocazione consigliata</t>
        </is>
      </c>
    </row>
    <row r="14" ht="22" customHeight="1">
      <c r="A14" s="4" t="inlineStr">
        <is>
          <t>10 - Calcolatore</t>
        </is>
      </c>
      <c r="B14" s="5" t="inlineStr">
        <is>
          <t>Tuo profilo personale - raccomandazione automatica</t>
        </is>
      </c>
    </row>
    <row r="15" ht="22" customHeight="1">
      <c r="A15" s="4" t="inlineStr">
        <is>
          <t>11 - Flusso cedolare</t>
        </is>
      </c>
      <c r="B15" s="5" t="inlineStr">
        <is>
          <t>Calendario semestrale: quanto incassi e quando, cedola per cedola</t>
        </is>
      </c>
    </row>
    <row r="17">
      <c r="A17" s="3" t="inlineStr">
        <is>
          <t>Come usare</t>
        </is>
      </c>
    </row>
    <row r="18">
      <c r="A18" s="5" t="inlineStr">
        <is>
          <t>1. Le celle GIALLE sono input — modificale coi tuoi numeri.</t>
        </is>
      </c>
    </row>
    <row r="19">
      <c r="A19" s="5" t="inlineStr">
        <is>
          <t>2. Le celle VERDI sono output — si aggiornano automaticamente.</t>
        </is>
      </c>
    </row>
    <row r="20">
      <c r="A20" s="5" t="inlineStr">
        <is>
          <t>3. Tutti i numeri di default sono al 2026 da fonti pubbliche.</t>
        </is>
      </c>
    </row>
    <row r="21">
      <c r="A21" s="5" t="inlineStr">
        <is>
          <t>4. Niente codice nascosto: l'Excel è solo formule modificabili.</t>
        </is>
      </c>
    </row>
    <row r="23">
      <c r="A23" s="3" t="inlineStr">
        <is>
          <t>Fonti dati</t>
        </is>
      </c>
    </row>
    <row r="24">
      <c r="A24" s="5" t="inlineStr">
        <is>
          <t>• MEF Dipartimento del Tesoro - Annuncio BTP Italia Si dal 15 al 19 giugno 2026</t>
        </is>
      </c>
    </row>
    <row r="25">
      <c r="A25" s="5">
        <f>"• MEF - BTP Italia marzo 2028 (IT0005532723, scad. 14/03/2028) tasso reale "&amp;SUBSTITUTE(ROUND('1 - Parametri'!B11*100,1)&amp;"",".",",")&amp;"%; giugno 2030 (IT0005497000) tasso reale "&amp;SUBSTITUTE(ROUND('1 - Parametri'!B12*100,1)&amp;"",".",",")&amp;"%"</f>
        <v/>
      </c>
    </row>
    <row r="26">
      <c r="A26" s="5">
        <f>"• MEF - BTP Valore marzo 2026 (IT0005696338) step-up DEFINITIVI "&amp;SUBSTITUTE(ROUND('1 - Parametri'!B15*100,2)&amp;"",".",",")&amp;"/"&amp;SUBSTITUTE(ROUND('1 - Parametri'!B16*100,2)&amp;"",".",",")&amp;"/"&amp;SUBSTITUTE(ROUND('1 - Parametri'!B17*100,2)&amp;"",".",",")&amp;"% + premio "&amp;SUBSTITUTE(ROUND('1 - Parametri'!B18*100,1)&amp;"",".",",")&amp;"%, scadenza 10 mar 2032"</f>
        <v/>
      </c>
    </row>
    <row r="27">
      <c r="A27" s="5">
        <f>"• MEF - BTP Futura 4a emissione nov 2021 (IT0005466351), "&amp;'1 - Parametri'!B27&amp;" anni step-up DEFINITIVI "&amp;SUBSTITUTE(ROUND('1 - Parametri'!B22*100,2)&amp;"",".",",")&amp;"/"&amp;SUBSTITUTE(ROUND('1 - Parametri'!B23*100,2)&amp;"",".",",")&amp;"/"&amp;SUBSTITUTE(ROUND('1 - Parametri'!B24*100,2)&amp;"",".",",")&amp;"% + doppio premio PIL (solo sottoscrittori originali), scadenza 16 nov 2033"</f>
        <v/>
      </c>
    </row>
    <row r="28">
      <c r="A28" s="5">
        <f>"• Borsa Italiana MOT - prezzi ufficiali correnti (foglio 1 - Parametri): mar 2028 "&amp;SUBSTITUTE(ROUND('1 - Parametri'!B46,2)&amp;"",".",",")&amp;"; giu 2030 "&amp;SUBSTITUTE(ROUND('1 - Parametri'!B48,2)&amp;"",".",",")&amp;"; Valore "&amp;SUBSTITUTE(ROUND('1 - Parametri'!B64,2)&amp;"",".",",")&amp;"; Futura "&amp;SUBSTITUTE(ROUND('1 - Parametri'!B66,2)&amp;"",".",",")</f>
        <v/>
      </c>
    </row>
    <row r="29">
      <c r="A29" s="5" t="inlineStr">
        <is>
          <t>• MEF Tesoro - Calendario aste BTP nominali maggio 2026 (asta 13 e 28 maggio)</t>
        </is>
      </c>
    </row>
    <row r="30">
      <c r="A30" s="5" t="inlineStr">
        <is>
          <t>• Banca d'Italia - Risultati aste BTP nominali 2026 (rendimenti curva 2y-10y)</t>
        </is>
      </c>
    </row>
    <row r="31">
      <c r="A31" s="5" t="inlineStr">
        <is>
          <t>• ISTAT - Indice FOI per famiglie operai e impiegati (escluso tabacchi) - meccanismo BTP Italia</t>
        </is>
      </c>
    </row>
    <row r="32">
      <c r="A32" s="5" t="inlineStr">
        <is>
          <t>• Eurostat - HICP eurozona per BTPi (non incluso in matrice; alternativa istituzionale)</t>
        </is>
      </c>
    </row>
    <row r="33">
      <c r="A33" s="5" t="inlineStr">
        <is>
          <t>• Borsa Italiana MOT - mercato secondario BTP retail (liquidita' supportata da Dealer MEF)</t>
        </is>
      </c>
    </row>
    <row r="35">
      <c r="A35" s="6" t="inlineStr">
        <is>
          <t>Aggiornamenti: github.com/marcofire-it/marco-fire-simulatori</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50" customWidth="1" min="1" max="1"/>
    <col width="18" customWidth="1" min="2" max="2"/>
    <col width="14" customWidth="1" min="3" max="3"/>
    <col width="50" customWidth="1" min="4" max="4"/>
  </cols>
  <sheetData>
    <row r="1" ht="25" customHeight="1">
      <c r="A1" s="1" t="inlineStr">
        <is>
          <t>PARAMETRI CENTRALIZZATI (modifica QUI, tutto il resto si aggiorna)</t>
        </is>
      </c>
    </row>
    <row r="2" ht="32" customHeight="1">
      <c r="A2" s="2" t="inlineStr">
        <is>
          <t>Strumento informativo / divulgativo. NON è consulenza finanziaria. I valori sono indicativi al 2026 e vanno verificati col tuo consulente.</t>
        </is>
      </c>
    </row>
    <row r="4">
      <c r="A4" s="7" t="inlineStr">
        <is>
          <t>BTP Italia Si - emissione 15-19 giugno 2026</t>
        </is>
      </c>
    </row>
    <row r="5" ht="90" customHeight="1">
      <c r="A5" s="8" t="inlineStr">
        <is>
          <t>Tasso fisso reale annuo (possibile rialzo a chiusura 19/06)</t>
        </is>
      </c>
      <c r="B5" s="9" t="n">
        <v>0.016</v>
      </c>
      <c r="D5" s="10" t="inlineStr">
        <is>
          <t>Tasso minimo garantito annunciato dal MEF in apertura emissione. Puo' essere rivisto AL RIALZO (mai al ribasso) alla chiusura del collocamento, ven 19/06/2026 ore 13. Se rivisto, aggiorna SOLO questa cella e tutte le simulazioni si ricalcolano.</t>
        </is>
      </c>
    </row>
    <row r="6" ht="15" customHeight="1">
      <c r="A6" s="8" t="inlineStr">
        <is>
          <t>Durata (anni)</t>
        </is>
      </c>
      <c r="B6" s="11" t="n">
        <v>5</v>
      </c>
      <c r="D6" s="10">
        <f>"Fissa: "&amp;B6&amp;" anni"</f>
        <v/>
      </c>
    </row>
    <row r="7" ht="45" customHeight="1">
      <c r="A7" s="8" t="inlineStr">
        <is>
          <t>Premio fedelta' finale</t>
        </is>
      </c>
      <c r="B7" s="9" t="n">
        <v>0.006</v>
      </c>
      <c r="D7" s="10">
        <f>"Confermato MEF: "&amp;SUBSTITUTE(ROUND(B7*100,1)&amp;"",".",",")&amp;"% del capitale (solo se mantenuto a scadenza)"</f>
        <v/>
      </c>
    </row>
    <row r="8" ht="30" customHeight="1">
      <c r="A8" s="8" t="inlineStr">
        <is>
          <t>Tassazione titoli di stato</t>
        </is>
      </c>
      <c r="B8" s="12" t="n">
        <v>0.125</v>
      </c>
      <c r="D8" s="10">
        <f>"Aliquota "&amp;SUBSTITUTE(ROUND(B8*100,1)&amp;"",".",",")&amp;"% su cedole + premio finale"</f>
        <v/>
      </c>
    </row>
    <row r="10">
      <c r="A10" s="7" t="inlineStr">
        <is>
          <t>BTP Italia classico in essere (riferimenti secondario MOT)</t>
        </is>
      </c>
    </row>
    <row r="11" ht="60" customHeight="1">
      <c r="A11" s="8" t="inlineStr">
        <is>
          <t>BTP Italia mar 2028 - cedola reale annua</t>
        </is>
      </c>
      <c r="B11" s="9" t="n">
        <v>0.02</v>
      </c>
      <c r="D11" s="10">
        <f>"MEF IT0005532723, scadenza 14/03/2028: tasso reale "&amp;SUBSTITUTE(ROUND(B11*100,1)&amp;"",".",",")&amp;"% sul prospetto (rendimento per chi compra a 100)."</f>
        <v/>
      </c>
    </row>
    <row r="12" ht="45" customHeight="1">
      <c r="A12" s="8" t="inlineStr">
        <is>
          <t>BTP Italia giu 2030 - cedola reale annua</t>
        </is>
      </c>
      <c r="B12" s="9" t="n">
        <v>0.016</v>
      </c>
      <c r="D12" s="10">
        <f>"MEF IT0005497000, scadenza 28/06/2030: tasso reale "&amp;SUBSTITUTE(ROUND(B12*100,1)&amp;"",".",",")&amp;"% sul prospetto"</f>
        <v/>
      </c>
    </row>
    <row r="14">
      <c r="A14" s="7" t="inlineStr">
        <is>
          <t>BTP Valore (7a emissione marzo 2026, ISIN IT0005696338, secondario)</t>
        </is>
      </c>
    </row>
    <row r="15" ht="30" customHeight="1">
      <c r="A15" s="8" t="inlineStr">
        <is>
          <t>Cedola step-up anni 1-2</t>
        </is>
      </c>
      <c r="B15" s="9" t="n">
        <v>0.026</v>
      </c>
      <c r="D15" s="10">
        <f>"MEF: "&amp;SUBSTITUTE(ROUND(B15*100,2)&amp;"",".",",")&amp;"% definitivo (cedole trimestrali)"</f>
        <v/>
      </c>
    </row>
    <row r="16" ht="45" customHeight="1">
      <c r="A16" s="8" t="inlineStr">
        <is>
          <t>Cedola step-up anni 3-4</t>
        </is>
      </c>
      <c r="B16" s="9" t="n">
        <v>0.032</v>
      </c>
      <c r="D16" s="10">
        <f>"MEF: "&amp;SUBSTITUTE(ROUND(B16*100,2)&amp;"",".",",")&amp;"% definitivo (il 2,80 era il minimo garantito pre-collocamento)"</f>
        <v/>
      </c>
    </row>
    <row r="17" ht="30" customHeight="1">
      <c r="A17" s="8" t="inlineStr">
        <is>
          <t>Cedola step-up anni 5-6</t>
        </is>
      </c>
      <c r="B17" s="9" t="n">
        <v>0.038</v>
      </c>
      <c r="D17" s="10">
        <f>"MEF: "&amp;SUBSTITUTE(ROUND(B17*100,2)&amp;"",".",",")&amp;"% (definitivo)"</f>
        <v/>
      </c>
    </row>
    <row r="18" ht="45" customHeight="1">
      <c r="A18" s="8" t="inlineStr">
        <is>
          <t>Premio fedelta'</t>
        </is>
      </c>
      <c r="B18" s="9" t="n">
        <v>0.008</v>
      </c>
      <c r="D18" s="10">
        <f>"MEF: "&amp;SUBSTITUTE(ROUND(B18*100,1)&amp;"",".",",")&amp;"% del capitale a scadenza (solo sottoscrittori in collocamento)"</f>
        <v/>
      </c>
    </row>
    <row r="19" ht="15" customHeight="1">
      <c r="A19" s="8" t="inlineStr">
        <is>
          <t>Durata (anni)</t>
        </is>
      </c>
      <c r="B19" s="11" t="n">
        <v>6</v>
      </c>
      <c r="D19" s="10" t="inlineStr">
        <is>
          <t>Scadenza 10 mar 2032</t>
        </is>
      </c>
    </row>
    <row r="21">
      <c r="A21" s="7" t="inlineStr">
        <is>
          <t>BTP Futura 4a emissione nov 2021 (sospeso, ISIN IT0005466351 sul MOT)</t>
        </is>
      </c>
    </row>
    <row r="22" ht="45" customHeight="1">
      <c r="A22" s="8" t="inlineStr">
        <is>
          <t>Cedola step-up anni 1-4</t>
        </is>
      </c>
      <c r="B22" s="9" t="n">
        <v>0.0075</v>
      </c>
      <c r="D22" s="10">
        <f>"MEF 4a emissione nov 2021, step DEFINITIVI: "&amp;SUBSTITUTE(ROUND(B22*100,2)&amp;"",".",",")&amp;"% (NON 0,35 = 2a emissione)"</f>
        <v/>
      </c>
    </row>
    <row r="23" ht="30" customHeight="1">
      <c r="A23" s="8" t="inlineStr">
        <is>
          <t>Cedola step-up anni 5-8</t>
        </is>
      </c>
      <c r="B23" s="9" t="n">
        <v>0.0135</v>
      </c>
      <c r="D23" s="10">
        <f>"MEF definitivo: "&amp;SUBSTITUTE(ROUND(B23*100,2)&amp;"",".",",")&amp;"% (anni 5-8)"</f>
        <v/>
      </c>
    </row>
    <row r="24" ht="30" customHeight="1">
      <c r="A24" s="8" t="inlineStr">
        <is>
          <t>Cedola step-up anni 9-12</t>
        </is>
      </c>
      <c r="B24" s="9" t="n">
        <v>0.017</v>
      </c>
      <c r="D24" s="10">
        <f>"MEF definitivo: "&amp;SUBSTITUTE(ROUND(B24*100,2)&amp;"",".",",")&amp;"% (anni 9-12)"</f>
        <v/>
      </c>
    </row>
    <row r="25" ht="45" customHeight="1">
      <c r="A25" s="8" t="inlineStr">
        <is>
          <t>Premio fedelta' min (PIL)</t>
        </is>
      </c>
      <c r="B25" s="9" t="n">
        <v>0.004</v>
      </c>
      <c r="D25" s="10">
        <f>"Floor "&amp;SUBSTITUTE(ROUND(B25*100,1)&amp;"",".",",")&amp;"% se PIL nominale basso (solo sottoscrittori originali)"</f>
        <v/>
      </c>
    </row>
    <row r="26" ht="45" customHeight="1">
      <c r="A26" s="8" t="inlineStr">
        <is>
          <t>Premio fedelta' max (PIL)</t>
        </is>
      </c>
      <c r="B26" s="9" t="n">
        <v>0.03</v>
      </c>
      <c r="D26" s="10">
        <f>"Cap "&amp;SUBSTITUTE(ROUND(B26*100,1)&amp;"",".",",")&amp;"% se PIL nominale alto (solo sottoscrittori originali)"</f>
        <v/>
      </c>
    </row>
    <row r="27" ht="30" customHeight="1">
      <c r="A27" s="8" t="inlineStr">
        <is>
          <t>Durata (anni)</t>
        </is>
      </c>
      <c r="B27" s="11" t="n">
        <v>12</v>
      </c>
      <c r="D27" s="10" t="inlineStr">
        <is>
          <t>4a emissione (4+4+4 step-up), scadenza 16/11/2033</t>
        </is>
      </c>
    </row>
    <row r="29">
      <c r="A29" s="7" t="inlineStr">
        <is>
          <t>BTP nominali - curva 2026 (asta MEF)</t>
        </is>
      </c>
    </row>
    <row r="30" ht="30" customHeight="1">
      <c r="A30" s="8" t="inlineStr">
        <is>
          <t>BTP 2y - rendimento lordo (feb 2028)</t>
        </is>
      </c>
      <c r="B30" s="9" t="n">
        <v>0.028</v>
      </c>
      <c r="D30" s="10">
        <f>"MEF asta: "&amp;SUBSTITUTE(ROUND(B30*100,2)&amp;"",".",",")&amp;"%"</f>
        <v/>
      </c>
    </row>
    <row r="31" ht="30" customHeight="1">
      <c r="A31" s="8" t="inlineStr">
        <is>
          <t>BTP 3y - rendimento lordo (mar 2029)</t>
        </is>
      </c>
      <c r="B31" s="9" t="n">
        <v>0.029</v>
      </c>
      <c r="D31" s="10">
        <f>"MEF asta: "&amp;SUBSTITUTE(ROUND(B31*100,2)&amp;"",".",",")&amp;"%"</f>
        <v/>
      </c>
    </row>
    <row r="32" ht="15" customHeight="1">
      <c r="A32" s="8" t="inlineStr">
        <is>
          <t>BTP 5y - rendimento lordo (stima)</t>
        </is>
      </c>
      <c r="B32" s="9" t="n">
        <v>0.0313</v>
      </c>
      <c r="D32" s="10" t="inlineStr">
        <is>
          <t>Stima interpolata 2y-7y curva 2026</t>
        </is>
      </c>
    </row>
    <row r="33" ht="30" customHeight="1">
      <c r="A33" s="8" t="inlineStr">
        <is>
          <t>BTP 7y - rendimento lordo (mar 2033)</t>
        </is>
      </c>
      <c r="B33" s="9" t="n">
        <v>0.0344</v>
      </c>
      <c r="D33" s="10">
        <f>"MEF asta: "&amp;SUBSTITUTE(ROUND(B33*100,2)&amp;"",".",",")&amp;"%"</f>
        <v/>
      </c>
    </row>
    <row r="34" ht="30" customHeight="1">
      <c r="A34" s="8" t="inlineStr">
        <is>
          <t>BTP 10y - rendimento lordo (feb 2036)</t>
        </is>
      </c>
      <c r="B34" s="9" t="n">
        <v>0.0374</v>
      </c>
      <c r="D34" s="10">
        <f>"MEF asta: "&amp;SUBSTITUTE(ROUND(B34*100,2)&amp;"",".",",")&amp;"%"</f>
        <v/>
      </c>
    </row>
    <row r="36">
      <c r="A36" s="7">
        <f>"Scenari inflazione FOI media "&amp;B6&amp;" anni (per simulazioni)"</f>
        <v/>
      </c>
    </row>
    <row r="37" ht="30" customHeight="1">
      <c r="A37" s="8" t="inlineStr">
        <is>
          <t>Scenario 1: Disinflazione</t>
        </is>
      </c>
      <c r="B37" s="12" t="n">
        <v>0.01</v>
      </c>
      <c r="D37" s="10">
        <f>"BCE stretta riuscita - inflazione "&amp;SUBSTITUTE(ROUND(B37*100,1)&amp;"",".",",")&amp;"%"</f>
        <v/>
      </c>
    </row>
    <row r="38" ht="30" customHeight="1">
      <c r="A38" s="8" t="inlineStr">
        <is>
          <t>Scenario 2: Base BCE</t>
        </is>
      </c>
      <c r="B38" s="12" t="n">
        <v>0.02</v>
      </c>
      <c r="D38" s="10">
        <f>"Target "&amp;SUBSTITUTE(ROUND(B38*100,1)&amp;"",".",",")&amp;"% medio termine"</f>
        <v/>
      </c>
    </row>
    <row r="39" ht="30" customHeight="1">
      <c r="A39" s="8" t="inlineStr">
        <is>
          <t>Scenario 3: Persistente</t>
        </is>
      </c>
      <c r="B39" s="12" t="n">
        <v>0.03</v>
      </c>
      <c r="D39" s="10">
        <f>"Inflazione strutturale "&amp;SUBSTITUTE(ROUND(B39*100,1)&amp;"",".",",")&amp;"%"</f>
        <v/>
      </c>
    </row>
    <row r="40" ht="30" customHeight="1">
      <c r="A40" s="8" t="inlineStr">
        <is>
          <t>Scenario 4: Stress geopol.</t>
        </is>
      </c>
      <c r="B40" s="12" t="n">
        <v>0.045</v>
      </c>
      <c r="D40" s="10">
        <f>"Brent 120 USD persistente - "&amp;SUBSTITUTE(ROUND(B40*100,1)&amp;"",".",",")&amp;"%"</f>
        <v/>
      </c>
    </row>
    <row r="42">
      <c r="A42" s="7" t="inlineStr">
        <is>
          <t>Setup simulazioni</t>
        </is>
      </c>
    </row>
    <row r="43" ht="15" customHeight="1">
      <c r="A43" s="8" t="inlineStr">
        <is>
          <t>Capitale investito (EUR)</t>
        </is>
      </c>
      <c r="B43" s="13" t="n">
        <v>10000</v>
      </c>
      <c r="D43" s="10" t="inlineStr">
        <is>
          <t>Importo scalabile per tutte le simulazioni</t>
        </is>
      </c>
    </row>
    <row r="45">
      <c r="A45" s="7" t="inlineStr">
        <is>
          <t>BTP Italia classico - PREZZI MOT (YTM reale effettivo per chi compra al secondario)</t>
        </is>
      </c>
    </row>
    <row r="46">
      <c r="A46" s="8" t="inlineStr">
        <is>
          <t>Prezzo secondario BTP Italia mar 2028</t>
        </is>
      </c>
      <c r="B46" s="14" t="n">
        <v>101.83</v>
      </c>
      <c r="C46" s="8" t="inlineStr">
        <is>
          <t>Anni residui</t>
        </is>
      </c>
      <c r="D46" s="15" t="n">
        <v>1.8</v>
      </c>
    </row>
    <row r="47" ht="30" customHeight="1">
      <c r="A47" s="10">
        <f>"Quotazione ufficiale MOT corrente: "&amp;SUBSTITUTE(ROUND(B46,2)&amp;"",".",",")&amp;" (100 = par). Aggiorna col valore corrente quando cambia il mercato."</f>
        <v/>
      </c>
    </row>
    <row r="48">
      <c r="A48" s="8" t="inlineStr">
        <is>
          <t>Prezzo secondario BTP Italia giu 2030</t>
        </is>
      </c>
      <c r="B48" s="14" t="n">
        <v>101.86</v>
      </c>
      <c r="C48" s="8" t="inlineStr">
        <is>
          <t>Anni residui</t>
        </is>
      </c>
      <c r="D48" s="15" t="n">
        <v>4</v>
      </c>
    </row>
    <row r="49" ht="30" customHeight="1">
      <c r="A49" s="10">
        <f>"Quotazione ufficiale MOT corrente: "&amp;SUBSTITUTE(ROUND(B48,2)&amp;"",".",",")&amp;". Aggiorna col valore corrente quando cambia il mercato."</f>
        <v/>
      </c>
    </row>
    <row r="50">
      <c r="A50" s="8" t="inlineStr">
        <is>
          <t>YTM reale mar 2028 (per chi compra al MOT oggi)</t>
        </is>
      </c>
      <c r="B50" s="16">
        <f>(B11*100+(100-B46)/D46)/((100+B46)/2)+B76</f>
        <v/>
      </c>
    </row>
    <row r="51" ht="45" customHeight="1">
      <c r="A51" s="10">
        <f>"Formula bond equiv. yield. Cedola "&amp;SUBSTITUTE(ROUND(B11*100,1)&amp;"",".",",")&amp;"% sul prospetto, ma a prezzo "&amp;SUBSTITUTE(ROUND(B46,2)&amp;"",".",",")&amp;" con "&amp;SUBSTITUTE(ROUND(D46,1)&amp;"",".",",")&amp;"y residui → YTM reale ~"&amp;SUBSTITUTE(ROUND(B50*100,2)&amp;"",".",",")&amp;"%."</f>
        <v/>
      </c>
    </row>
    <row r="52">
      <c r="A52" s="8" t="inlineStr">
        <is>
          <t>YTM reale giu 2030 (per chi compra al MOT oggi)</t>
        </is>
      </c>
      <c r="B52" s="16">
        <f>(B12*100+(100-B48)/D48)/((100+B48)/2)+B77</f>
        <v/>
      </c>
    </row>
    <row r="53" ht="30" customHeight="1">
      <c r="A53" s="10">
        <f>"Cedola "&amp;SUBSTITUTE(ROUND(B12*100,1)&amp;"",".",",")&amp;"% sul prospetto, a prezzo "&amp;SUBSTITUTE(ROUND(B48,2)&amp;"",".",",")&amp;" con "&amp;SUBSTITUTE(ROUND(D48,1)&amp;"",".",",")&amp;"y residui → YTM reale ~"&amp;SUBSTITUTE(ROUND(B52*100,2)&amp;"",".",",")&amp;"%."</f>
        <v/>
      </c>
    </row>
    <row r="55">
      <c r="A55" s="7" t="inlineStr">
        <is>
          <t>YTM reale medio classico per il confronto matrice (media ponderata 2 ISIN)</t>
        </is>
      </c>
    </row>
    <row r="56">
      <c r="A56" s="8" t="inlineStr">
        <is>
          <t>YTM reale effettivo (media mar 2028 + giu 2030)</t>
        </is>
      </c>
      <c r="B56" s="16">
        <f>(B50+B52)/2</f>
        <v/>
      </c>
    </row>
    <row r="57" ht="15" customHeight="1">
      <c r="A57" s="10" t="inlineStr">
        <is>
          <t>Usato come riferimento nelle matrici e break-even. Se vuoi cambiare la pesatura, modifica la formula.</t>
        </is>
      </c>
    </row>
    <row r="58">
      <c r="A58" s="7" t="inlineStr">
        <is>
          <t>YTM reale NETTO (citati nel video)</t>
        </is>
      </c>
    </row>
    <row r="59">
      <c r="A59" s="8" t="inlineStr">
        <is>
          <t>YTM reale NETTO mar 2028</t>
        </is>
      </c>
      <c r="B59" s="16">
        <f>B50*(1-B8)</f>
        <v/>
      </c>
    </row>
    <row r="60">
      <c r="A60" s="8" t="inlineStr">
        <is>
          <t>YTM reale NETTO giu 2030</t>
        </is>
      </c>
      <c r="B60" s="16">
        <f>B52*(1-B8)</f>
        <v/>
      </c>
    </row>
    <row r="61">
      <c r="A61" s="8" t="inlineStr">
        <is>
          <t>YTM reale NETTO medio (2 ISIN)</t>
        </is>
      </c>
      <c r="B61" s="16">
        <f>B56*(1-B8)</f>
        <v/>
      </c>
    </row>
    <row r="63">
      <c r="A63" s="7" t="inlineStr">
        <is>
          <t>BTP Valore / BTP Futura - PREZZI MOT (per YTM di chi compra oggi)</t>
        </is>
      </c>
    </row>
    <row r="64">
      <c r="A64" s="8" t="inlineStr">
        <is>
          <t>Prezzo MOT BTP Valore mar 2026</t>
        </is>
      </c>
      <c r="B64" s="14" t="n">
        <v>99.03</v>
      </c>
      <c r="C64" s="8" t="inlineStr">
        <is>
          <t>Anni residui</t>
        </is>
      </c>
      <c r="D64" s="14" t="n">
        <v>5.75</v>
      </c>
    </row>
    <row r="65" ht="45" customHeight="1">
      <c r="A65" s="10">
        <f>"Quotazione ufficiale MOT corrente: "&amp;SUBSTITUTE(ROUND(B64,2)&amp;"",".",",")&amp;IF(B64&lt;100," (SOTTO la pari)",IF(B64&gt;100," (sopra la pari)"," (alla pari)"))&amp;". Scadenza 10/03/2032. Il premio fedelta' "&amp;SUBSTITUTE(ROUND(B18*100,1)&amp;"",".",",")&amp;"% NON spetta a chi compra sul MOT."</f>
        <v/>
      </c>
    </row>
    <row r="66">
      <c r="A66" s="8" t="inlineStr">
        <is>
          <t>Prezzo MOT BTP Futura nov 2033</t>
        </is>
      </c>
      <c r="B66" s="14" t="n">
        <v>86.59999999999999</v>
      </c>
      <c r="C66" s="8" t="inlineStr">
        <is>
          <t>Anni residui</t>
        </is>
      </c>
      <c r="D66" s="14" t="n">
        <v>7.4</v>
      </c>
    </row>
    <row r="67" ht="30" customHeight="1">
      <c r="A67" s="10">
        <f>"Quotazione ufficiale MOT corrente: "&amp;SUBSTITUTE(ROUND(B66,2)&amp;"",".",",")&amp;" → YTM lordo ~"&amp;SUBSTITUTE(ROUND('5 - BTP Futura'!B27*100,2)&amp;"",".",",")&amp;"%. Scadenza 16/11/2033. Il doppio premio PIL NON spetta a chi compra sul MOT."</f>
        <v/>
      </c>
    </row>
    <row r="69">
      <c r="A69" s="7" t="inlineStr">
        <is>
          <t>Anagrafica ISIN (Borsa Italiana MOT)</t>
        </is>
      </c>
    </row>
    <row r="70" ht="15" customHeight="1">
      <c r="A70" s="8" t="inlineStr">
        <is>
          <t>BTP Italia mar 2028</t>
        </is>
      </c>
      <c r="B70" s="17" t="inlineStr">
        <is>
          <t>IT0005532723</t>
        </is>
      </c>
      <c r="D70" s="10" t="inlineStr">
        <is>
          <t>Scadenza 14/03/2028</t>
        </is>
      </c>
    </row>
    <row r="71" ht="15" customHeight="1">
      <c r="A71" s="8" t="inlineStr">
        <is>
          <t>BTP Italia giu 2030</t>
        </is>
      </c>
      <c r="B71" s="17" t="inlineStr">
        <is>
          <t>IT0005497000</t>
        </is>
      </c>
      <c r="D71" s="10" t="inlineStr">
        <is>
          <t>Scadenza 28/06/2030</t>
        </is>
      </c>
    </row>
    <row r="72" ht="15" customHeight="1">
      <c r="A72" s="8" t="inlineStr">
        <is>
          <t>BTP Valore mar 2026</t>
        </is>
      </c>
      <c r="B72" s="17" t="inlineStr">
        <is>
          <t>IT0005696338</t>
        </is>
      </c>
      <c r="D72" s="10" t="inlineStr">
        <is>
          <t>7a emissione, scadenza 10/03/2032</t>
        </is>
      </c>
    </row>
    <row r="73" ht="15" customHeight="1">
      <c r="A73" s="8" t="inlineStr">
        <is>
          <t>BTP Futura nov 2033</t>
        </is>
      </c>
      <c r="B73" s="17" t="inlineStr">
        <is>
          <t>IT0005466351</t>
        </is>
      </c>
      <c r="D73" s="10" t="inlineStr">
        <is>
          <t>4a emissione nov 2021, scadenza 16/11/2033</t>
        </is>
      </c>
    </row>
    <row r="75">
      <c r="A75" s="7" t="inlineStr">
        <is>
          <t>Calibrazione IRR esatto (auto: compute_ytm_exact.py + sync, NON modificare a mano)</t>
        </is>
      </c>
    </row>
    <row r="76">
      <c r="A76" s="8" t="inlineStr">
        <is>
          <t>Offset IRR mar 2028 (esatto - BEY)</t>
        </is>
      </c>
      <c r="B76" s="18" t="n">
        <v>-0.000259</v>
      </c>
    </row>
    <row r="77">
      <c r="A77" s="8" t="inlineStr">
        <is>
          <t>Offset IRR giu 2030 (esatto - BEY)</t>
        </is>
      </c>
      <c r="B77" s="18" t="n">
        <v>6.8e-05</v>
      </c>
    </row>
    <row r="78">
      <c r="A78" s="8" t="inlineStr">
        <is>
          <t>Offset IRR BTP Valore (esatto - BEY)</t>
        </is>
      </c>
      <c r="B78" s="18" t="n">
        <v>0.000478</v>
      </c>
    </row>
    <row r="79">
      <c r="A79" s="8" t="inlineStr">
        <is>
          <t>Offset IRR BTP Futura (esatto - BEY)</t>
        </is>
      </c>
      <c r="B79" s="18" t="n">
        <v>0.00039</v>
      </c>
    </row>
    <row r="80" ht="30" customHeight="1">
      <c r="A80" s="10" t="inlineStr">
        <is>
          <t>Le formule YTM nei fogli sono bond-equivalent-yield + offset: ai prezzi correnti coincidono con l'IRR esatto da cashflow datati (stessi numeri di video e simulatore web).</t>
        </is>
      </c>
    </row>
  </sheetData>
  <mergeCells count="23">
    <mergeCell ref="A53:D53"/>
    <mergeCell ref="A4:D4"/>
    <mergeCell ref="A29:D29"/>
    <mergeCell ref="A63:D63"/>
    <mergeCell ref="A10:D10"/>
    <mergeCell ref="A67:D67"/>
    <mergeCell ref="A58:D58"/>
    <mergeCell ref="A51:D51"/>
    <mergeCell ref="A49:D49"/>
    <mergeCell ref="A36:D36"/>
    <mergeCell ref="A1:D1"/>
    <mergeCell ref="A45:D45"/>
    <mergeCell ref="A69:D69"/>
    <mergeCell ref="A65:D65"/>
    <mergeCell ref="A80:D80"/>
    <mergeCell ref="A75:D75"/>
    <mergeCell ref="A21:D21"/>
    <mergeCell ref="A55:D55"/>
    <mergeCell ref="A57:D57"/>
    <mergeCell ref="A2:D2"/>
    <mergeCell ref="A47:D47"/>
    <mergeCell ref="A42:D4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s>
  <sheetData>
    <row r="1" ht="25" customHeight="1">
      <c r="A1" s="1" t="inlineStr">
        <is>
          <t>BTP Italia Si - rendimento netto in 4 scenari inflazione FOI</t>
        </is>
      </c>
    </row>
    <row r="2" ht="32" customHeight="1">
      <c r="A2" s="2" t="inlineStr">
        <is>
          <t>Strumento informativo / divulgativo. NON è consulenza finanziaria. I valori sono indicativi al 2026 e vanno verificati col tuo consulente.</t>
        </is>
      </c>
    </row>
    <row r="4">
      <c r="A4" s="7" t="inlineStr">
        <is>
          <t>Input (da foglio Parametri)</t>
        </is>
      </c>
    </row>
    <row r="5">
      <c r="A5" s="8" t="inlineStr">
        <is>
          <t>Tasso fisso reale annuo</t>
        </is>
      </c>
      <c r="B5" s="16">
        <f>'1 - Parametri'!B5</f>
        <v/>
      </c>
    </row>
    <row r="6">
      <c r="A6" s="8" t="inlineStr">
        <is>
          <t>Durata (anni)</t>
        </is>
      </c>
      <c r="B6" s="19">
        <f>'1 - Parametri'!B6</f>
        <v/>
      </c>
    </row>
    <row r="7">
      <c r="A7" s="8" t="inlineStr">
        <is>
          <t>Premio fedelta' finale</t>
        </is>
      </c>
      <c r="B7" s="16">
        <f>'1 - Parametri'!B7</f>
        <v/>
      </c>
    </row>
    <row r="8">
      <c r="A8" s="8" t="inlineStr">
        <is>
          <t>Tassazione</t>
        </is>
      </c>
      <c r="B8" s="20">
        <f>'1 - Parametri'!B8</f>
        <v/>
      </c>
    </row>
    <row r="9">
      <c r="A9" s="8" t="inlineStr">
        <is>
          <t>Capitale investito (EUR)</t>
        </is>
      </c>
      <c r="B9" s="21">
        <f>'1 - Parametri'!B43</f>
        <v/>
      </c>
    </row>
    <row r="11">
      <c r="A11" s="7" t="inlineStr">
        <is>
          <t>Cedola annua lorda = fisso + inflazione FOI media</t>
        </is>
      </c>
    </row>
    <row r="12">
      <c r="A12" s="22" t="inlineStr">
        <is>
          <t>Scenario inflazione</t>
        </is>
      </c>
      <c r="B12" s="22" t="inlineStr">
        <is>
          <t>Infl. FOI media</t>
        </is>
      </c>
      <c r="C12" s="22" t="inlineStr">
        <is>
          <t>Cedola lorda annua</t>
        </is>
      </c>
      <c r="D12" s="22" t="inlineStr">
        <is>
          <t>Cedola netta annua</t>
        </is>
      </c>
      <c r="E12" s="22" t="inlineStr">
        <is>
          <t>Importo netto su cap.</t>
        </is>
      </c>
    </row>
    <row r="13">
      <c r="A13" s="8">
        <f>"1 - Disinflazione "&amp;SUBSTITUTE(ROUND('1 - Parametri'!B37*100,1)&amp;"",".",",")&amp;"%"</f>
        <v/>
      </c>
      <c r="B13" s="20">
        <f>'1 - Parametri'!B37</f>
        <v/>
      </c>
      <c r="C13" s="16">
        <f>$B$5+B13</f>
        <v/>
      </c>
      <c r="D13" s="16">
        <f>C13*(1-$B$8)</f>
        <v/>
      </c>
      <c r="E13" s="21">
        <f>$B$9*D13</f>
        <v/>
      </c>
    </row>
    <row r="14">
      <c r="A14" s="8">
        <f>"2 - Base BCE "&amp;SUBSTITUTE(ROUND('1 - Parametri'!B38*100,1)&amp;"",".",",")&amp;"%"</f>
        <v/>
      </c>
      <c r="B14" s="20">
        <f>'1 - Parametri'!B38</f>
        <v/>
      </c>
      <c r="C14" s="16">
        <f>$B$5+B14</f>
        <v/>
      </c>
      <c r="D14" s="16">
        <f>C14*(1-$B$8)</f>
        <v/>
      </c>
      <c r="E14" s="21">
        <f>$B$9*D14</f>
        <v/>
      </c>
    </row>
    <row r="15">
      <c r="A15" s="8">
        <f>"3 - Persistente "&amp;SUBSTITUTE(ROUND('1 - Parametri'!B39*100,1)&amp;"",".",",")&amp;"%"</f>
        <v/>
      </c>
      <c r="B15" s="20">
        <f>'1 - Parametri'!B39</f>
        <v/>
      </c>
      <c r="C15" s="16">
        <f>$B$5+B15</f>
        <v/>
      </c>
      <c r="D15" s="16">
        <f>C15*(1-$B$8)</f>
        <v/>
      </c>
      <c r="E15" s="21">
        <f>$B$9*D15</f>
        <v/>
      </c>
    </row>
    <row r="16">
      <c r="A16" s="8">
        <f>"4 - Stress geopol. "&amp;SUBSTITUTE(ROUND('1 - Parametri'!B40*100,1)&amp;"",".",",")&amp;"%"</f>
        <v/>
      </c>
      <c r="B16" s="20">
        <f>'1 - Parametri'!B40</f>
        <v/>
      </c>
      <c r="C16" s="16">
        <f>$B$5+B16</f>
        <v/>
      </c>
      <c r="D16" s="16">
        <f>C16*(1-$B$8)</f>
        <v/>
      </c>
      <c r="E16" s="21">
        <f>$B$9*D16</f>
        <v/>
      </c>
    </row>
    <row r="18">
      <c r="A18" s="7">
        <f>"Rendimento totale finale "&amp;'1 - Parametri'!B6&amp;" anni (netto, con premio "&amp;SUBSTITUTE(ROUND('1 - Parametri'!B7*100,1)&amp;"",".",",")&amp;"%)"</f>
        <v/>
      </c>
    </row>
    <row r="19">
      <c r="A19" s="22" t="inlineStr">
        <is>
          <t>Scenario</t>
        </is>
      </c>
      <c r="B19" s="22">
        <f>"Cedole nette tot "&amp;$B$6&amp;"y"</f>
        <v/>
      </c>
      <c r="C19" s="22" t="inlineStr">
        <is>
          <t>Premio netto fedelta'</t>
        </is>
      </c>
      <c r="D19" s="22" t="inlineStr">
        <is>
          <t>Tot. netto incassato</t>
        </is>
      </c>
      <c r="E19" s="22" t="inlineStr">
        <is>
          <t>IRR nom netto annuo (lineare)</t>
        </is>
      </c>
      <c r="F19" s="22" t="inlineStr">
        <is>
          <t>IRR reale netto</t>
        </is>
      </c>
    </row>
    <row r="20">
      <c r="A20" s="8">
        <f>"1 - Disinflazione "&amp;SUBSTITUTE(ROUND('1 - Parametri'!B37*100,1)&amp;"",".",",")&amp;"%"</f>
        <v/>
      </c>
      <c r="B20" s="21">
        <f>E13*$B$6</f>
        <v/>
      </c>
      <c r="C20" s="21">
        <f>$B$9*$B$7*(1-$B$8)</f>
        <v/>
      </c>
      <c r="D20" s="21">
        <f>B20+C20</f>
        <v/>
      </c>
      <c r="E20" s="16">
        <f>ROUND(($B$5+$B$7/$B$6+B13)*(1-$B$8),6)</f>
        <v/>
      </c>
      <c r="F20" s="16">
        <f>E20-B13</f>
        <v/>
      </c>
    </row>
    <row r="21">
      <c r="A21" s="8">
        <f>"2 - Base BCE "&amp;SUBSTITUTE(ROUND('1 - Parametri'!B38*100,1)&amp;"",".",",")&amp;"%"</f>
        <v/>
      </c>
      <c r="B21" s="21">
        <f>E14*$B$6</f>
        <v/>
      </c>
      <c r="C21" s="21">
        <f>$B$9*$B$7*(1-$B$8)</f>
        <v/>
      </c>
      <c r="D21" s="21">
        <f>B21+C21</f>
        <v/>
      </c>
      <c r="E21" s="16">
        <f>ROUND(($B$5+$B$7/$B$6+B14)*(1-$B$8),6)</f>
        <v/>
      </c>
      <c r="F21" s="16">
        <f>E21-B14</f>
        <v/>
      </c>
    </row>
    <row r="22">
      <c r="A22" s="8">
        <f>"3 - Persistente "&amp;SUBSTITUTE(ROUND('1 - Parametri'!B39*100,1)&amp;"",".",",")&amp;"%"</f>
        <v/>
      </c>
      <c r="B22" s="21">
        <f>E15*$B$6</f>
        <v/>
      </c>
      <c r="C22" s="21">
        <f>$B$9*$B$7*(1-$B$8)</f>
        <v/>
      </c>
      <c r="D22" s="21">
        <f>B22+C22</f>
        <v/>
      </c>
      <c r="E22" s="16">
        <f>ROUND(($B$5+$B$7/$B$6+B15)*(1-$B$8),6)</f>
        <v/>
      </c>
      <c r="F22" s="16">
        <f>E22-B15</f>
        <v/>
      </c>
    </row>
    <row r="23">
      <c r="A23" s="8">
        <f>"4 - Stress geopol. "&amp;SUBSTITUTE(ROUND('1 - Parametri'!B40*100,1)&amp;"",".",",")&amp;"%"</f>
        <v/>
      </c>
      <c r="B23" s="21">
        <f>E16*$B$6</f>
        <v/>
      </c>
      <c r="C23" s="21">
        <f>$B$9*$B$7*(1-$B$8)</f>
        <v/>
      </c>
      <c r="D23" s="21">
        <f>B23+C23</f>
        <v/>
      </c>
      <c r="E23" s="16">
        <f>ROUND(($B$5+$B$7/$B$6+B16)*(1-$B$8),6)</f>
        <v/>
      </c>
      <c r="F23" s="16">
        <f>E23-B16</f>
        <v/>
      </c>
    </row>
    <row r="25">
      <c r="A25" s="7" t="inlineStr">
        <is>
          <t>NOTA: BTP Italia Si NON rivaluta il capitale (resta a 100)</t>
        </is>
      </c>
    </row>
    <row r="26" ht="30" customHeight="1">
      <c r="A26" s="10" t="inlineStr">
        <is>
          <t>Differenza chiave vs BTP Italia classico: qui l'inflazione alimenta solo la cedola, il capitale a scadenza torna nominale.</t>
        </is>
      </c>
    </row>
  </sheetData>
  <mergeCells count="7">
    <mergeCell ref="A2:F2"/>
    <mergeCell ref="A11:F11"/>
    <mergeCell ref="A1:F1"/>
    <mergeCell ref="A18:F18"/>
    <mergeCell ref="A4:F4"/>
    <mergeCell ref="A26:F26"/>
    <mergeCell ref="A25:F25"/>
  </mergeCells>
  <conditionalFormatting sqref="E20:E23">
    <cfRule type="colorScale" priority="1">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ht="25" customHeight="1">
      <c r="A1" s="1" t="inlineStr">
        <is>
          <t>BTP Italia classico - capitale rivalutato per inflazione FOI</t>
        </is>
      </c>
    </row>
    <row r="2" ht="32" customHeight="1">
      <c r="A2" s="2" t="inlineStr">
        <is>
          <t>Strumento informativo / divulgativo. NON è consulenza finanziaria. I valori sono indicativi al 2026 e vanno verificati col tuo consulente.</t>
        </is>
      </c>
    </row>
    <row r="4">
      <c r="A4" s="7" t="inlineStr">
        <is>
          <t>Input (BTP Italia giugno 2030 come riferimento)</t>
        </is>
      </c>
    </row>
    <row r="5">
      <c r="A5" s="8" t="inlineStr">
        <is>
          <t>Tasso reale annuo (giu 2030)</t>
        </is>
      </c>
      <c r="B5" s="16">
        <f>'1 - Parametri'!B12</f>
        <v/>
      </c>
    </row>
    <row r="6">
      <c r="A6" s="8" t="inlineStr">
        <is>
          <t>Durata residua simulata (anni)</t>
        </is>
      </c>
      <c r="B6" s="11" t="n">
        <v>5</v>
      </c>
    </row>
    <row r="7">
      <c r="A7" s="8" t="inlineStr">
        <is>
          <t>Tassazione</t>
        </is>
      </c>
      <c r="B7" s="20">
        <f>'1 - Parametri'!B8</f>
        <v/>
      </c>
    </row>
    <row r="8">
      <c r="A8" s="8" t="inlineStr">
        <is>
          <t>Capitale investito (EUR)</t>
        </is>
      </c>
      <c r="B8" s="21">
        <f>'1 - Parametri'!B43</f>
        <v/>
      </c>
    </row>
    <row r="10">
      <c r="A10" s="7" t="inlineStr">
        <is>
          <t>Meccanismo classico: cedola reale + capitale rivalutato</t>
        </is>
      </c>
    </row>
    <row r="11">
      <c r="A11" s="22" t="inlineStr">
        <is>
          <t>Scenario inflazione</t>
        </is>
      </c>
      <c r="B11" s="22">
        <f>"FOI cumulata "&amp;$B$6&amp;"y"</f>
        <v/>
      </c>
      <c r="C11" s="22" t="inlineStr">
        <is>
          <t>Capitale rivalutato</t>
        </is>
      </c>
      <c r="D11" s="22">
        <f>"Cedole nette "&amp;$B$6&amp;"y (su cap. rivalut.)"</f>
        <v/>
      </c>
      <c r="E11" s="22">
        <f>"Tot. netto "&amp;$B$6&amp;"y (cedole + rivalut.)"</f>
        <v/>
      </c>
    </row>
    <row r="12">
      <c r="A12" s="8">
        <f>"1 - Disinflazione "&amp;SUBSTITUTE(ROUND('1 - Parametri'!B37*100,1)&amp;"",".",",")&amp;"%"</f>
        <v/>
      </c>
      <c r="B12" s="20">
        <f>'1 - Parametri'!B37</f>
        <v/>
      </c>
      <c r="C12" s="21">
        <f>$B$8*(1+B12)^$B$6</f>
        <v/>
      </c>
      <c r="D12" s="21">
        <f>$B$5*$B$8*((1+B12)^$B$6-1)/B12*(1-$B$7)</f>
        <v/>
      </c>
      <c r="E12" s="21">
        <f>(C12-$B$8)*(1-$B$7)+D12</f>
        <v/>
      </c>
    </row>
    <row r="13">
      <c r="A13" s="8">
        <f>"2 - Base BCE "&amp;SUBSTITUTE(ROUND('1 - Parametri'!B38*100,1)&amp;"",".",",")&amp;"%"</f>
        <v/>
      </c>
      <c r="B13" s="20">
        <f>'1 - Parametri'!B38</f>
        <v/>
      </c>
      <c r="C13" s="21">
        <f>$B$8*(1+B13)^$B$6</f>
        <v/>
      </c>
      <c r="D13" s="21">
        <f>$B$5*$B$8*((1+B13)^$B$6-1)/B13*(1-$B$7)</f>
        <v/>
      </c>
      <c r="E13" s="21">
        <f>(C13-$B$8)*(1-$B$7)+D13</f>
        <v/>
      </c>
    </row>
    <row r="14">
      <c r="A14" s="8">
        <f>"3 - Persistente "&amp;SUBSTITUTE(ROUND('1 - Parametri'!B39*100,1)&amp;"",".",",")&amp;"%"</f>
        <v/>
      </c>
      <c r="B14" s="20">
        <f>'1 - Parametri'!B39</f>
        <v/>
      </c>
      <c r="C14" s="21">
        <f>$B$8*(1+B14)^$B$6</f>
        <v/>
      </c>
      <c r="D14" s="21">
        <f>$B$5*$B$8*((1+B14)^$B$6-1)/B14*(1-$B$7)</f>
        <v/>
      </c>
      <c r="E14" s="21">
        <f>(C14-$B$8)*(1-$B$7)+D14</f>
        <v/>
      </c>
    </row>
    <row r="15">
      <c r="A15" s="8">
        <f>"4 - Stress geopol. "&amp;SUBSTITUTE(ROUND('1 - Parametri'!B40*100,1)&amp;"",".",",")&amp;"%"</f>
        <v/>
      </c>
      <c r="B15" s="20">
        <f>'1 - Parametri'!B40</f>
        <v/>
      </c>
      <c r="C15" s="21">
        <f>$B$8*(1+B15)^$B$6</f>
        <v/>
      </c>
      <c r="D15" s="21">
        <f>$B$5*$B$8*((1+B15)^$B$6-1)/B15*(1-$B$7)</f>
        <v/>
      </c>
      <c r="E15" s="21">
        <f>(C15-$B$8)*(1-$B$7)+D15</f>
        <v/>
      </c>
    </row>
    <row r="17">
      <c r="A17" s="7" t="inlineStr">
        <is>
          <t>IRR netto annuo a confronto</t>
        </is>
      </c>
    </row>
    <row r="18">
      <c r="A18" s="22" t="inlineStr">
        <is>
          <t>Scenario</t>
        </is>
      </c>
      <c r="B18" s="22">
        <f>"Tot. netto "&amp;$B$6&amp;"y"</f>
        <v/>
      </c>
      <c r="C18" s="22" t="inlineStr">
        <is>
          <t>IRR netto annuo</t>
        </is>
      </c>
    </row>
    <row r="19">
      <c r="A19" s="8">
        <f>"1 - Disinflazione "&amp;SUBSTITUTE(ROUND('1 - Parametri'!B37*100,1)&amp;"",".",",")&amp;"%"</f>
        <v/>
      </c>
      <c r="B19" s="21">
        <f>E12</f>
        <v/>
      </c>
      <c r="C19" s="16">
        <f>((E12+$B$8)/$B$8)^(1/$B$6)-1</f>
        <v/>
      </c>
    </row>
    <row r="20">
      <c r="A20" s="8">
        <f>"2 - Base BCE "&amp;SUBSTITUTE(ROUND('1 - Parametri'!B38*100,1)&amp;"",".",",")&amp;"%"</f>
        <v/>
      </c>
      <c r="B20" s="21">
        <f>E13</f>
        <v/>
      </c>
      <c r="C20" s="16">
        <f>((E13+$B$8)/$B$8)^(1/$B$6)-1</f>
        <v/>
      </c>
    </row>
    <row r="21">
      <c r="A21" s="8">
        <f>"3 - Persistente "&amp;SUBSTITUTE(ROUND('1 - Parametri'!B39*100,1)&amp;"",".",",")&amp;"%"</f>
        <v/>
      </c>
      <c r="B21" s="21">
        <f>E14</f>
        <v/>
      </c>
      <c r="C21" s="16">
        <f>((E14+$B$8)/$B$8)^(1/$B$6)-1</f>
        <v/>
      </c>
    </row>
    <row r="22">
      <c r="A22" s="8">
        <f>"4 - Stress geopol. "&amp;SUBSTITUTE(ROUND('1 - Parametri'!B40*100,1)&amp;"",".",",")&amp;"%"</f>
        <v/>
      </c>
      <c r="B22" s="21">
        <f>E15</f>
        <v/>
      </c>
      <c r="C22" s="16">
        <f>((E15+$B$8)/$B$8)^(1/$B$6)-1</f>
        <v/>
      </c>
    </row>
    <row r="24">
      <c r="A24" s="7" t="inlineStr">
        <is>
          <t>NOTA: vantaggio classico vs Si quando inflazione e' alta (capitale +)</t>
        </is>
      </c>
    </row>
    <row r="25" ht="45" customHeight="1">
      <c r="A25" s="10" t="inlineStr">
        <is>
          <t>Classico: l'inflazione cresce IL CAPITALE (effetto compounding). Si: l'inflazione cresce SOLO la cedola annua. Trade-off: sul secondario il classico si paga al prezzo MOT corrente (vedi foglio Parametri) e chi compra usato NON ha il premio fedelta'.</t>
        </is>
      </c>
    </row>
  </sheetData>
  <mergeCells count="7">
    <mergeCell ref="A4:E4"/>
    <mergeCell ref="A24:E24"/>
    <mergeCell ref="A2:E2"/>
    <mergeCell ref="A10:E10"/>
    <mergeCell ref="A25:E25"/>
    <mergeCell ref="A1:E1"/>
    <mergeCell ref="A17:E17"/>
  </mergeCells>
  <conditionalFormatting sqref="C19:C22">
    <cfRule type="colorScale" priority="1">
      <colorScale>
        <cfvo type="min"/>
        <cfvo type="percentile" val="50"/>
        <cfvo type="max"/>
        <color rgb="00F87171"/>
        <color rgb="00FEF3C7"/>
        <color rgb="0086EFAC"/>
      </colorScale>
    </cfRule>
  </conditionalFormatting>
  <conditionalFormatting sqref="E12:E15">
    <cfRule type="colorScale" priority="1">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ht="25" customHeight="1">
      <c r="A1" s="1" t="inlineStr">
        <is>
          <t>BTP Valore (marzo 2026) - step-up 2+2+2 cedole trimestrali</t>
        </is>
      </c>
    </row>
    <row r="2" ht="32" customHeight="1">
      <c r="A2" s="2" t="inlineStr">
        <is>
          <t>Strumento informativo / divulgativo. NON è consulenza finanziaria. I valori sono indicativi al 2026 e vanno verificati col tuo consulente.</t>
        </is>
      </c>
    </row>
    <row r="4">
      <c r="A4" s="7" t="inlineStr">
        <is>
          <t>Input</t>
        </is>
      </c>
    </row>
    <row r="5">
      <c r="A5" s="8" t="inlineStr">
        <is>
          <t>Cedola anni 1-2</t>
        </is>
      </c>
      <c r="B5" s="16">
        <f>'1 - Parametri'!B15</f>
        <v/>
      </c>
    </row>
    <row r="6">
      <c r="A6" s="8" t="inlineStr">
        <is>
          <t>Cedola anni 3-4</t>
        </is>
      </c>
      <c r="B6" s="16">
        <f>'1 - Parametri'!B16</f>
        <v/>
      </c>
    </row>
    <row r="7">
      <c r="A7" s="8" t="inlineStr">
        <is>
          <t>Cedola anni 5-6</t>
        </is>
      </c>
      <c r="B7" s="16">
        <f>'1 - Parametri'!B17</f>
        <v/>
      </c>
    </row>
    <row r="8">
      <c r="A8" s="8" t="inlineStr">
        <is>
          <t>Premio fedelta'</t>
        </is>
      </c>
      <c r="B8" s="16">
        <f>'1 - Parametri'!B18</f>
        <v/>
      </c>
    </row>
    <row r="9">
      <c r="A9" s="8" t="inlineStr">
        <is>
          <t>Durata (anni)</t>
        </is>
      </c>
      <c r="B9" s="19">
        <f>'1 - Parametri'!B19</f>
        <v/>
      </c>
    </row>
    <row r="10">
      <c r="A10" s="8" t="inlineStr">
        <is>
          <t>Tassazione</t>
        </is>
      </c>
      <c r="B10" s="20">
        <f>'1 - Parametri'!B8</f>
        <v/>
      </c>
    </row>
    <row r="11">
      <c r="A11" s="8" t="inlineStr">
        <is>
          <t>Capitale investito</t>
        </is>
      </c>
      <c r="B11" s="21">
        <f>'1 - Parametri'!B43</f>
        <v/>
      </c>
    </row>
    <row r="13">
      <c r="A13" s="7" t="inlineStr">
        <is>
          <t>Cedole nette per fase step-up</t>
        </is>
      </c>
    </row>
    <row r="14">
      <c r="A14" s="22" t="inlineStr">
        <is>
          <t>Fase</t>
        </is>
      </c>
      <c r="B14" s="22" t="inlineStr">
        <is>
          <t>Cedola lorda annua</t>
        </is>
      </c>
      <c r="C14" s="22" t="inlineStr">
        <is>
          <t>Cedola netta annua</t>
        </is>
      </c>
      <c r="D14" s="22" t="inlineStr">
        <is>
          <t>Importo netto x anno</t>
        </is>
      </c>
      <c r="E14" s="22" t="inlineStr">
        <is>
          <t>Importo netto x fase (2y)</t>
        </is>
      </c>
    </row>
    <row r="15">
      <c r="A15" s="8">
        <f>"Anni 1-2 ("&amp;SUBSTITUTE(ROUND(B5*100,2)&amp;"",".",",")&amp;"%)"</f>
        <v/>
      </c>
      <c r="B15" s="16">
        <f>B5</f>
        <v/>
      </c>
      <c r="C15" s="23">
        <f>B5*(1-$B$10)</f>
        <v/>
      </c>
      <c r="D15" s="21">
        <f>$B$11*C15</f>
        <v/>
      </c>
      <c r="E15" s="21">
        <f>D15*2</f>
        <v/>
      </c>
    </row>
    <row r="16">
      <c r="A16" s="8">
        <f>"Anni 3-4 ("&amp;SUBSTITUTE(ROUND(B6*100,2)&amp;"",".",",")&amp;"%)"</f>
        <v/>
      </c>
      <c r="B16" s="16">
        <f>B6</f>
        <v/>
      </c>
      <c r="C16" s="23">
        <f>B6*(1-$B$10)</f>
        <v/>
      </c>
      <c r="D16" s="21">
        <f>$B$11*C16</f>
        <v/>
      </c>
      <c r="E16" s="21">
        <f>D16*2</f>
        <v/>
      </c>
    </row>
    <row r="17">
      <c r="A17" s="8">
        <f>"Anni 5-6 ("&amp;SUBSTITUTE(ROUND(B7*100,2)&amp;"",".",",")&amp;"%)"</f>
        <v/>
      </c>
      <c r="B17" s="16">
        <f>B7</f>
        <v/>
      </c>
      <c r="C17" s="23">
        <f>B7*(1-$B$10)</f>
        <v/>
      </c>
      <c r="D17" s="21">
        <f>$B$11*C17</f>
        <v/>
      </c>
      <c r="E17" s="21">
        <f>D17*2</f>
        <v/>
      </c>
    </row>
    <row r="19">
      <c r="A19" s="7">
        <f>"Rendimento totale netto "&amp;B9&amp;" anni"</f>
        <v/>
      </c>
    </row>
    <row r="20">
      <c r="A20" s="8">
        <f>"Tot. cedole nette "&amp;B9&amp;"y"</f>
        <v/>
      </c>
      <c r="B20" s="21">
        <f>E15+E16+E17</f>
        <v/>
      </c>
    </row>
    <row r="21">
      <c r="A21" s="8" t="inlineStr">
        <is>
          <t>Premio fedelta' netto</t>
        </is>
      </c>
      <c r="B21" s="21">
        <f>B11*B8*(1-B10)</f>
        <v/>
      </c>
    </row>
    <row r="22">
      <c r="A22" s="8">
        <f>"Tot. netto "&amp;B9&amp;"y"</f>
        <v/>
      </c>
      <c r="B22" s="21">
        <f>B20+B21</f>
        <v/>
      </c>
    </row>
    <row r="23">
      <c r="A23" s="8" t="inlineStr">
        <is>
          <t>IRR nom netto annuo (lineare)</t>
        </is>
      </c>
      <c r="B23" s="16">
        <f>ROUND(((B5+B6+B7)/3+B8/B9)*(1-B10),6)</f>
        <v/>
      </c>
    </row>
    <row r="25">
      <c r="A25" s="7" t="inlineStr">
        <is>
          <t>NOTA: il BTP Valore NON e' indicizzato all'inflazione</t>
        </is>
      </c>
    </row>
    <row r="26" ht="30" customHeight="1">
      <c r="A26" s="10" t="inlineStr">
        <is>
          <t>Cedole step-up FISSE in nominale. In inflazione alta perde potere d'acquisto reale. Vantaggio: cedola trimestrale (vs semestrale altri BTP) per pianificazione cassa.</t>
        </is>
      </c>
    </row>
    <row r="28">
      <c r="A28" s="7">
        <f>"Comprato OGGI sul MOT - YTM a prezzo "&amp;SUBSTITUTE(ROUND('1 - Parametri'!B64,2)&amp;"",".",",")&amp;IF('1 - Parametri'!B64&lt;100," (sotto la pari)",IF('1 - Parametri'!B64&gt;100," (sopra la pari)"," (alla pari)"))</f>
        <v/>
      </c>
    </row>
    <row r="29">
      <c r="A29" s="8" t="inlineStr">
        <is>
          <t>Prezzo MOT corrente (vedi foglio Parametri)</t>
        </is>
      </c>
      <c r="B29" s="24">
        <f>'1 - Parametri'!B64</f>
        <v/>
      </c>
    </row>
    <row r="30">
      <c r="A30" s="8" t="inlineStr">
        <is>
          <t>Anni residui (scad. 10/03/2032)</t>
        </is>
      </c>
      <c r="B30" s="24">
        <f>'1 - Parametri'!D64</f>
        <v/>
      </c>
    </row>
    <row r="31">
      <c r="A31" s="8" t="inlineStr">
        <is>
          <t>Cedola media residua (step pesati sugli anni rimasti)</t>
        </is>
      </c>
      <c r="B31" s="16">
        <f>(B5*MAX(0,B30-4)+B6*MIN(2,MAX(0,B30-2))+B7*MIN(2,B30))/B30</f>
        <v/>
      </c>
    </row>
    <row r="32">
      <c r="A32" s="8" t="inlineStr">
        <is>
          <t>YTM lordo (formula bond equivalent yield)</t>
        </is>
      </c>
      <c r="B32" s="16">
        <f>(B31*100+(100-B29)/B30)/((100+B29)/2)+'1 - Parametri'!B78</f>
        <v/>
      </c>
    </row>
    <row r="33">
      <c r="A33" s="8">
        <f>"YTM netto (tassazione "&amp;SUBSTITUTE(ROUND(B10*100,1)&amp;"",".",",")&amp;"%)"</f>
        <v/>
      </c>
      <c r="B33" s="16">
        <f>B32*(1-B10)</f>
        <v/>
      </c>
    </row>
    <row r="34" ht="75" customHeight="1">
      <c r="A34" s="10">
        <f>"Prezzo MOT corrente "&amp;SUBSTITUTE(ROUND(B29,2)&amp;"",".",",")&amp;": YTM lordo ~"&amp;SUBSTITUTE(ROUND(B32*100,2)&amp;"",".",",")&amp;"% vs media cedole residue ~"&amp;SUBSTITUTE(ROUND(B31*100,2)&amp;"",".",",")&amp;"%. Se il prezzo e' sotto la pari il YTM supera la media cedole (sconto), se sopra la riduce. ATTENZIONE: il premio fedelta' "&amp;SUBSTITUTE(ROUND(B8*100,1)&amp;"",".",",")&amp;"% NON spetta a chi compra sul MOT (solo sottoscrittori in collocamento), percio' il YTM qui sopra NON lo include."</f>
        <v/>
      </c>
    </row>
    <row r="36">
      <c r="A36" s="7" t="inlineStr">
        <is>
          <t>IRR reale netto per scenario (da YTM MOT)</t>
        </is>
      </c>
    </row>
    <row r="37">
      <c r="A37" s="22" t="inlineStr">
        <is>
          <t>Scenario inflazione</t>
        </is>
      </c>
      <c r="B37" s="22" t="inlineStr">
        <is>
          <t>Infl. FOI media</t>
        </is>
      </c>
      <c r="C37" s="22" t="inlineStr">
        <is>
          <t>IRR reale netto (YTM netto - FOI)</t>
        </is>
      </c>
    </row>
    <row r="38">
      <c r="A38" s="8">
        <f>"1 - Disinflazione "&amp;SUBSTITUTE(ROUND('1 - Parametri'!B37*100,1)&amp;"",".",",")&amp;"%"</f>
        <v/>
      </c>
      <c r="B38" s="20">
        <f>'1 - Parametri'!B37</f>
        <v/>
      </c>
      <c r="C38" s="16">
        <f>$B$33-B38</f>
        <v/>
      </c>
    </row>
    <row r="39">
      <c r="A39" s="8">
        <f>"2 - Base BCE "&amp;SUBSTITUTE(ROUND('1 - Parametri'!B38*100,1)&amp;"",".",",")&amp;"%"</f>
        <v/>
      </c>
      <c r="B39" s="20">
        <f>'1 - Parametri'!B38</f>
        <v/>
      </c>
      <c r="C39" s="16">
        <f>$B$33-B39</f>
        <v/>
      </c>
    </row>
    <row r="40">
      <c r="A40" s="8">
        <f>"3 - Persistente "&amp;SUBSTITUTE(ROUND('1 - Parametri'!B39*100,1)&amp;"",".",",")&amp;"%"</f>
        <v/>
      </c>
      <c r="B40" s="20">
        <f>'1 - Parametri'!B39</f>
        <v/>
      </c>
      <c r="C40" s="16">
        <f>$B$33-B40</f>
        <v/>
      </c>
    </row>
    <row r="41">
      <c r="A41" s="8">
        <f>"4 - Stress geopol. "&amp;SUBSTITUTE(ROUND('1 - Parametri'!B40*100,1)&amp;"",".",",")&amp;"%"</f>
        <v/>
      </c>
      <c r="B41" s="20">
        <f>'1 - Parametri'!B40</f>
        <v/>
      </c>
      <c r="C41" s="16">
        <f>$B$33-B41</f>
        <v/>
      </c>
    </row>
  </sheetData>
  <mergeCells count="10">
    <mergeCell ref="A34:E34"/>
    <mergeCell ref="A4:E4"/>
    <mergeCell ref="A26:E26"/>
    <mergeCell ref="A2:E2"/>
    <mergeCell ref="A25:E25"/>
    <mergeCell ref="A28:E28"/>
    <mergeCell ref="A19:E19"/>
    <mergeCell ref="A1:E1"/>
    <mergeCell ref="A13:E13"/>
    <mergeCell ref="A36:E36"/>
  </mergeCells>
  <conditionalFormatting sqref="C38:C41">
    <cfRule type="colorScale" priority="1">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 width="16" customWidth="1" min="6" max="6"/>
  </cols>
  <sheetData>
    <row r="1" ht="25" customHeight="1">
      <c r="A1" s="1" t="inlineStr">
        <is>
          <t>BTP Futura - sospeso, ricostruzione storica 4a emissione 12y</t>
        </is>
      </c>
    </row>
    <row r="2" ht="32" customHeight="1">
      <c r="A2" s="2" t="inlineStr">
        <is>
          <t>Strumento informativo / divulgativo. NON è consulenza finanziaria. I valori sono indicativi al 2026 e vanno verificati col tuo consulente.</t>
        </is>
      </c>
    </row>
    <row r="4">
      <c r="A4" s="7" t="inlineStr">
        <is>
          <t>Input</t>
        </is>
      </c>
    </row>
    <row r="5">
      <c r="A5" s="8" t="inlineStr">
        <is>
          <t>Cedola anni 1-4</t>
        </is>
      </c>
      <c r="B5" s="16">
        <f>'1 - Parametri'!B22</f>
        <v/>
      </c>
    </row>
    <row r="6">
      <c r="A6" s="8" t="inlineStr">
        <is>
          <t>Cedola anni 5-8</t>
        </is>
      </c>
      <c r="B6" s="16">
        <f>'1 - Parametri'!B23</f>
        <v/>
      </c>
    </row>
    <row r="7">
      <c r="A7" s="8" t="inlineStr">
        <is>
          <t>Cedola anni 9-12</t>
        </is>
      </c>
      <c r="B7" s="16">
        <f>'1 - Parametri'!B24</f>
        <v/>
      </c>
    </row>
    <row r="8">
      <c r="A8" s="8" t="inlineStr">
        <is>
          <t>Premio min (PIL basso)</t>
        </is>
      </c>
      <c r="B8" s="16">
        <f>'1 - Parametri'!B25</f>
        <v/>
      </c>
    </row>
    <row r="9">
      <c r="A9" s="8" t="inlineStr">
        <is>
          <t>Premio max (PIL alto)</t>
        </is>
      </c>
      <c r="B9" s="16">
        <f>'1 - Parametri'!B26</f>
        <v/>
      </c>
    </row>
    <row r="10">
      <c r="A10" s="8" t="inlineStr">
        <is>
          <t>Durata (anni)</t>
        </is>
      </c>
      <c r="B10" s="19">
        <f>'1 - Parametri'!B27</f>
        <v/>
      </c>
    </row>
    <row r="11">
      <c r="A11" s="8" t="inlineStr">
        <is>
          <t>Tassazione</t>
        </is>
      </c>
      <c r="B11" s="20">
        <f>'1 - Parametri'!B8</f>
        <v/>
      </c>
    </row>
    <row r="12">
      <c r="A12" s="8" t="inlineStr">
        <is>
          <t>Capitale</t>
        </is>
      </c>
      <c r="B12" s="21">
        <f>'1 - Parametri'!B43</f>
        <v/>
      </c>
    </row>
    <row r="14">
      <c r="A14" s="7" t="inlineStr">
        <is>
          <t>Scenari di PIL nominale e premio fedelta'</t>
        </is>
      </c>
    </row>
    <row r="15">
      <c r="A15" s="22" t="inlineStr">
        <is>
          <t>Scenario PIL nominale medio</t>
        </is>
      </c>
      <c r="B15" s="22" t="inlineStr">
        <is>
          <t>PIL nom. medio</t>
        </is>
      </c>
      <c r="C15" s="22" t="inlineStr">
        <is>
          <t>Premio fed. atteso</t>
        </is>
      </c>
      <c r="D15" s="22">
        <f>"Cedole nette "&amp;$B$10&amp;"y"</f>
        <v/>
      </c>
      <c r="E15" s="22">
        <f>"Tot. netto "&amp;$B$10&amp;"y"</f>
        <v/>
      </c>
      <c r="F15" s="22" t="inlineStr">
        <is>
          <t>IRR nom netto annuo (lineare)</t>
        </is>
      </c>
    </row>
    <row r="16">
      <c r="A16" s="8">
        <f>"Bassa (PIL "&amp;SUBSTITUTE(ROUND(B16*100,1)&amp;"",".",",")&amp;"%)"</f>
        <v/>
      </c>
      <c r="B16" s="12" t="n">
        <v>0.015</v>
      </c>
      <c r="C16" s="16">
        <f>MAX($B$8,MIN($B$9,0.4*B16))</f>
        <v/>
      </c>
      <c r="D16" s="21">
        <f>$B$12*(4*$B$5+4*$B$6+4*$B$7)*(1-$B$11)</f>
        <v/>
      </c>
      <c r="E16" s="21">
        <f>D16+$B$12*C16*(1-$B$11)</f>
        <v/>
      </c>
      <c r="F16" s="16">
        <f>E16/$B$12/$B$10</f>
        <v/>
      </c>
    </row>
    <row r="17">
      <c r="A17" s="8">
        <f>"Base (PIL "&amp;SUBSTITUTE(ROUND(B17*100,1)&amp;"",".",",")&amp;"%)"</f>
        <v/>
      </c>
      <c r="B17" s="12" t="n">
        <v>0.03</v>
      </c>
      <c r="C17" s="16">
        <f>MAX($B$8,MIN($B$9,0.4*B17))</f>
        <v/>
      </c>
      <c r="D17" s="21">
        <f>$B$12*(4*$B$5+4*$B$6+4*$B$7)*(1-$B$11)</f>
        <v/>
      </c>
      <c r="E17" s="21">
        <f>D17+$B$12*C17*(1-$B$11)</f>
        <v/>
      </c>
      <c r="F17" s="16">
        <f>E17/$B$12/$B$10</f>
        <v/>
      </c>
    </row>
    <row r="18">
      <c r="A18" s="8">
        <f>"Alta (PIL "&amp;SUBSTITUTE(ROUND(B18*100,1)&amp;"",".",",")&amp;"%)"</f>
        <v/>
      </c>
      <c r="B18" s="12" t="n">
        <v>0.045</v>
      </c>
      <c r="C18" s="16">
        <f>MAX($B$8,MIN($B$9,0.4*B18))</f>
        <v/>
      </c>
      <c r="D18" s="21">
        <f>$B$12*(4*$B$5+4*$B$6+4*$B$7)*(1-$B$11)</f>
        <v/>
      </c>
      <c r="E18" s="21">
        <f>D18+$B$12*C18*(1-$B$11)</f>
        <v/>
      </c>
      <c r="F18" s="16">
        <f>E18/$B$12/$B$10</f>
        <v/>
      </c>
    </row>
    <row r="20">
      <c r="A20" s="7" t="inlineStr">
        <is>
          <t>NOTA: BTP Futura NON e' piu' emesso dal 2021 (ricostruzione storica = contesto)</t>
        </is>
      </c>
    </row>
    <row r="21" ht="60" customHeight="1">
      <c r="A21" s="10">
        <f>"La tabella sopra RICOSTRUISCE il collocamento nov 2021 (chi sottoscrisse a 100 con premio PIL). Struttura step-up 4+4+4 anni DEFINITIVA 4a emissione (1-4: "&amp;SUBSTITUTE(ROUND(B5*100,2)&amp;"",".",",")&amp;"%, 5-8: "&amp;SUBSTITUTE(ROUND(B6*100,2)&amp;"",".",",")&amp;"%, 9-12: "&amp;SUBSTITUTE(ROUND(B7*100,2)&amp;"",".",",")&amp;"%). Per chi compra OGGI vale la sezione qui sotto: prezzo MOT "&amp;SUBSTITUTE(ROUND(B24,2)&amp;"",".",",")&amp;" e NIENTE premio PIL."</f>
        <v/>
      </c>
    </row>
    <row r="23">
      <c r="A23" s="7">
        <f>"Comprato OGGI sul MOT - prezzo "&amp;SUBSTITUTE(ROUND(B24,2)&amp;"",".",",")&amp;" → YTM lordo ~"&amp;SUBSTITUTE(ROUND(B27*100,2)&amp;"",".",",")&amp;"%"</f>
        <v/>
      </c>
    </row>
    <row r="24">
      <c r="A24" s="8" t="inlineStr">
        <is>
          <t>Prezzo MOT corrente (vedi foglio Parametri)</t>
        </is>
      </c>
      <c r="B24" s="24">
        <f>'1 - Parametri'!B66</f>
        <v/>
      </c>
    </row>
    <row r="25">
      <c r="A25" s="8" t="inlineStr">
        <is>
          <t>Anni residui (scad. 16/11/2033)</t>
        </is>
      </c>
      <c r="B25" s="24">
        <f>'1 - Parametri'!D66</f>
        <v/>
      </c>
    </row>
    <row r="26">
      <c r="A26" s="8" t="inlineStr">
        <is>
          <t>Cedola media residua (step pesati sugli anni rimasti)</t>
        </is>
      </c>
      <c r="B26" s="16">
        <f>(B5*MAX(0,B25-8)+B6*MIN(4,MAX(0,B25-4))+B7*MIN(4,B25))/B25</f>
        <v/>
      </c>
    </row>
    <row r="27">
      <c r="A27" s="8" t="inlineStr">
        <is>
          <t>YTM lordo (formula bond equivalent yield)</t>
        </is>
      </c>
      <c r="B27" s="16">
        <f>(B26*100+(100-B24)/B25)/((100+B24)/2)+'1 - Parametri'!B79</f>
        <v/>
      </c>
    </row>
    <row r="28">
      <c r="A28" s="8">
        <f>"YTM netto (tassazione "&amp;SUBSTITUTE(ROUND(B11*100,1)&amp;"",".",",")&amp;"%)"</f>
        <v/>
      </c>
      <c r="B28" s="16">
        <f>B27*(1-B11)</f>
        <v/>
      </c>
    </row>
    <row r="29" ht="60" customHeight="1">
      <c r="A29" s="10">
        <f>"Lo sconto/premio sul prezzo MOT corrente ("&amp;SUBSTITUTE(ROUND(B24,2)&amp;"",".",",")&amp;") si somma alle cedole: parte del rendimento arriva dal capital gain a scadenza (100 - "&amp;SUBSTITUTE(ROUND(B24,2)&amp;"",".",",")&amp;" su "&amp;SUBSTITUTE(ROUND(B25,1)&amp;"",".",",")&amp;" anni). ATTENZIONE: il doppio premio PIL spetta SOLO ai sottoscrittori originali del nov 2021, NON a chi compra sul MOT — il YTM qui sopra correttamente lo esclude."</f>
        <v/>
      </c>
    </row>
    <row r="31">
      <c r="A31" s="7" t="inlineStr">
        <is>
          <t>IRR reale netto per scenario (da YTM MOT)</t>
        </is>
      </c>
    </row>
    <row r="32">
      <c r="A32" s="22" t="inlineStr">
        <is>
          <t>Scenario inflazione</t>
        </is>
      </c>
      <c r="B32" s="22" t="inlineStr">
        <is>
          <t>Infl. FOI media</t>
        </is>
      </c>
      <c r="C32" s="22" t="inlineStr">
        <is>
          <t>IRR reale netto (YTM netto - FOI)</t>
        </is>
      </c>
    </row>
    <row r="33">
      <c r="A33" s="8">
        <f>"1 - Disinflazione "&amp;SUBSTITUTE(ROUND('1 - Parametri'!B37*100,1)&amp;"",".",",")&amp;"%"</f>
        <v/>
      </c>
      <c r="B33" s="20">
        <f>'1 - Parametri'!B37</f>
        <v/>
      </c>
      <c r="C33" s="16">
        <f>$B$28-B33</f>
        <v/>
      </c>
    </row>
    <row r="34">
      <c r="A34" s="8">
        <f>"2 - Base BCE "&amp;SUBSTITUTE(ROUND('1 - Parametri'!B38*100,1)&amp;"",".",",")&amp;"%"</f>
        <v/>
      </c>
      <c r="B34" s="20">
        <f>'1 - Parametri'!B38</f>
        <v/>
      </c>
      <c r="C34" s="16">
        <f>$B$28-B34</f>
        <v/>
      </c>
    </row>
    <row r="35">
      <c r="A35" s="8">
        <f>"3 - Persistente "&amp;SUBSTITUTE(ROUND('1 - Parametri'!B39*100,1)&amp;"",".",",")&amp;"%"</f>
        <v/>
      </c>
      <c r="B35" s="20">
        <f>'1 - Parametri'!B39</f>
        <v/>
      </c>
      <c r="C35" s="16">
        <f>$B$28-B35</f>
        <v/>
      </c>
    </row>
    <row r="36">
      <c r="A36" s="8">
        <f>"4 - Stress geopol. "&amp;SUBSTITUTE(ROUND('1 - Parametri'!B40*100,1)&amp;"",".",",")&amp;"%"</f>
        <v/>
      </c>
      <c r="B36" s="20">
        <f>'1 - Parametri'!B40</f>
        <v/>
      </c>
      <c r="C36" s="16">
        <f>$B$28-B36</f>
        <v/>
      </c>
    </row>
  </sheetData>
  <mergeCells count="9">
    <mergeCell ref="A2:F2"/>
    <mergeCell ref="A14:F14"/>
    <mergeCell ref="A1:F1"/>
    <mergeCell ref="A23:F23"/>
    <mergeCell ref="A31:F31"/>
    <mergeCell ref="A4:F4"/>
    <mergeCell ref="A20:F20"/>
    <mergeCell ref="A21:F21"/>
    <mergeCell ref="A29:F29"/>
  </mergeCells>
  <conditionalFormatting sqref="C33:C36">
    <cfRule type="colorScale" priority="1">
      <colorScale>
        <cfvo type="min"/>
        <cfvo type="percentile" val="50"/>
        <cfvo type="max"/>
        <color rgb="00F87171"/>
        <color rgb="00FEF3C7"/>
        <color rgb="0086EFAC"/>
      </colorScale>
    </cfRule>
  </conditionalFormatting>
  <conditionalFormatting sqref="E16:E18">
    <cfRule type="colorScale" priority="2">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ht="25" customHeight="1">
      <c r="A1" s="1" t="inlineStr">
        <is>
          <t>BTP nominali - curva tassi 2026 (cedola fissa, NO inflazione)</t>
        </is>
      </c>
    </row>
    <row r="2" ht="32" customHeight="1">
      <c r="A2" s="2" t="inlineStr">
        <is>
          <t>Strumento informativo / divulgativo. NON è consulenza finanziaria. I valori sono indicativi al 2026 e vanno verificati col tuo consulente.</t>
        </is>
      </c>
    </row>
    <row r="4">
      <c r="A4" s="7" t="inlineStr">
        <is>
          <t>Input curva (da foglio Parametri)</t>
        </is>
      </c>
    </row>
    <row r="5">
      <c r="A5" s="22" t="inlineStr">
        <is>
          <t>Scadenza</t>
        </is>
      </c>
      <c r="B5" s="22" t="inlineStr">
        <is>
          <t>Rendimento lordo</t>
        </is>
      </c>
      <c r="C5" s="22" t="inlineStr">
        <is>
          <t>Cedola netta annua</t>
        </is>
      </c>
      <c r="D5" s="22" t="inlineStr">
        <is>
          <t>Tot. cedole nette a scad.</t>
        </is>
      </c>
      <c r="E5" s="22" t="inlineStr">
        <is>
          <t>Cedola netta annua EUR</t>
        </is>
      </c>
    </row>
    <row r="6">
      <c r="A6" s="8" t="inlineStr">
        <is>
          <t>Tassazione titoli di Stato applicata</t>
        </is>
      </c>
      <c r="B6" s="20">
        <f>'1 - Parametri'!B8</f>
        <v/>
      </c>
    </row>
    <row r="7">
      <c r="A7" s="8" t="inlineStr">
        <is>
          <t>Capitale (default Parametri)</t>
        </is>
      </c>
      <c r="B7" s="21">
        <f>'1 - Parametri'!B43</f>
        <v/>
      </c>
    </row>
    <row r="8">
      <c r="B8" s="22" t="inlineStr">
        <is>
          <t>Rendim. lordo (curva)</t>
        </is>
      </c>
    </row>
    <row r="9">
      <c r="A9" s="8" t="inlineStr">
        <is>
          <t>2 anni (feb 2028)</t>
        </is>
      </c>
      <c r="B9" s="16">
        <f>'1 - Parametri'!B30</f>
        <v/>
      </c>
      <c r="C9" s="23">
        <f>B9*(1-$B$6)</f>
        <v/>
      </c>
      <c r="D9" s="21">
        <f>$B$7*C9*2</f>
        <v/>
      </c>
      <c r="E9" s="21">
        <f>$B$7*C9</f>
        <v/>
      </c>
    </row>
    <row r="10">
      <c r="A10" s="8" t="inlineStr">
        <is>
          <t>3 anni (mar 2029)</t>
        </is>
      </c>
      <c r="B10" s="16">
        <f>'1 - Parametri'!B31</f>
        <v/>
      </c>
      <c r="C10" s="23">
        <f>B10*(1-$B$6)</f>
        <v/>
      </c>
      <c r="D10" s="21">
        <f>$B$7*C10*3</f>
        <v/>
      </c>
      <c r="E10" s="21">
        <f>$B$7*C10</f>
        <v/>
      </c>
    </row>
    <row r="11">
      <c r="A11" s="8" t="inlineStr">
        <is>
          <t>5 anni (stima)</t>
        </is>
      </c>
      <c r="B11" s="16">
        <f>'1 - Parametri'!B32</f>
        <v/>
      </c>
      <c r="C11" s="23">
        <f>B11*(1-$B$6)</f>
        <v/>
      </c>
      <c r="D11" s="21">
        <f>$B$7*C11*5</f>
        <v/>
      </c>
      <c r="E11" s="21">
        <f>$B$7*C11</f>
        <v/>
      </c>
    </row>
    <row r="12">
      <c r="A12" s="8" t="inlineStr">
        <is>
          <t>7 anni (mar 2033)</t>
        </is>
      </c>
      <c r="B12" s="16">
        <f>'1 - Parametri'!B33</f>
        <v/>
      </c>
      <c r="C12" s="23">
        <f>B12*(1-$B$6)</f>
        <v/>
      </c>
      <c r="D12" s="21">
        <f>$B$7*C12*7</f>
        <v/>
      </c>
      <c r="E12" s="21">
        <f>$B$7*C12</f>
        <v/>
      </c>
    </row>
    <row r="13">
      <c r="A13" s="8" t="inlineStr">
        <is>
          <t>10 anni (feb 2036)</t>
        </is>
      </c>
      <c r="B13" s="16">
        <f>'1 - Parametri'!B34</f>
        <v/>
      </c>
      <c r="C13" s="23">
        <f>B13*(1-$B$6)</f>
        <v/>
      </c>
      <c r="D13" s="21">
        <f>$B$7*C13*10</f>
        <v/>
      </c>
      <c r="E13" s="21">
        <f>$B$7*C13</f>
        <v/>
      </c>
    </row>
    <row r="16">
      <c r="A16" s="7" t="inlineStr">
        <is>
          <t>NOTA: BTP nominali NON proteggono dall'inflazione</t>
        </is>
      </c>
    </row>
    <row r="17" ht="30" customHeight="1">
      <c r="A17" s="10" t="inlineStr">
        <is>
          <t>Rendimento certo in nominale. Se inflazione &gt; rendimento, perdi potere d'acquisto. Vantaggio: rendimento bloccato a scadenza, e possibile plusvalenza se i tassi BCE scendono.</t>
        </is>
      </c>
    </row>
  </sheetData>
  <mergeCells count="5">
    <mergeCell ref="A4:E4"/>
    <mergeCell ref="A2:E2"/>
    <mergeCell ref="A16:E16"/>
    <mergeCell ref="A1:E1"/>
    <mergeCell ref="A17:E17"/>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s>
  <sheetData>
    <row r="1" ht="25" customHeight="1">
      <c r="A1" s="1" t="inlineStr">
        <is>
          <t>MATRICE: rendimento REALE netto annuo - 6 strumenti x 4 scenari</t>
        </is>
      </c>
    </row>
    <row r="2" ht="32" customHeight="1">
      <c r="A2" s="2" t="inlineStr">
        <is>
          <t>Strumento informativo / divulgativo. NON è consulenza finanziaria. I valori sono indicativi al 2026 e vanno verificati col tuo consulente.</t>
        </is>
      </c>
    </row>
    <row r="4">
      <c r="A4" s="7" t="inlineStr">
        <is>
          <t>Tutti i valori sono IRR REALI annui netti (lordo - tasse - inflazione)</t>
        </is>
      </c>
    </row>
    <row r="5">
      <c r="A5" s="22" t="inlineStr">
        <is>
          <t>Strumento</t>
        </is>
      </c>
      <c r="B5" s="22">
        <f>"Infl. "&amp;SUBSTITUTE(ROUND('1 - Parametri'!B37*100,1)&amp;"",".",",")&amp;"%"</f>
        <v/>
      </c>
      <c r="C5" s="22">
        <f>"Infl. "&amp;SUBSTITUTE(ROUND('1 - Parametri'!B38*100,1)&amp;"",".",",")&amp;"%"</f>
        <v/>
      </c>
      <c r="D5" s="22">
        <f>"Infl. "&amp;SUBSTITUTE(ROUND('1 - Parametri'!B39*100,1)&amp;"",".",",")&amp;"%"</f>
        <v/>
      </c>
      <c r="E5" s="22">
        <f>"Infl. "&amp;SUBSTITUTE(ROUND('1 - Parametri'!B40*100,1)&amp;"",".",",")&amp;"%"</f>
        <v/>
      </c>
    </row>
    <row r="6">
      <c r="A6" s="8">
        <f>"BTP Italia Si ("&amp;SUBSTITUTE(ROUND('1 - Parametri'!B5*100,1)&amp;"",".",",")&amp;"% + FOI)"</f>
        <v/>
      </c>
      <c r="B6" s="16">
        <f>ROUND(('1 - Parametri'!B5+('1 - Parametri'!B7/'1 - Parametri'!B6)+'1 - Parametri'!B37)*(1-'1 - Parametri'!B8)-'1 - Parametri'!B37,6)</f>
        <v/>
      </c>
      <c r="C6" s="16">
        <f>ROUND(('1 - Parametri'!B5+('1 - Parametri'!B7/'1 - Parametri'!B6)+'1 - Parametri'!B38)*(1-'1 - Parametri'!B8)-'1 - Parametri'!B38,6)</f>
        <v/>
      </c>
      <c r="D6" s="16">
        <f>ROUND(('1 - Parametri'!B5+('1 - Parametri'!B7/'1 - Parametri'!B6)+'1 - Parametri'!B39)*(1-'1 - Parametri'!B8)-'1 - Parametri'!B39,6)</f>
        <v/>
      </c>
      <c r="E6" s="16">
        <f>ROUND(('1 - Parametri'!B5+('1 - Parametri'!B7/'1 - Parametri'!B6)+'1 - Parametri'!B40)*(1-'1 - Parametri'!B8)-'1 - Parametri'!B40,6)</f>
        <v/>
      </c>
    </row>
    <row r="7">
      <c r="A7" s="8" t="inlineStr">
        <is>
          <t>BTP Italia classico (YTM reale MOT)</t>
        </is>
      </c>
      <c r="B7" s="16">
        <f>'1 - Parametri'!B56*(1-'1 - Parametri'!B8)-'1 - Parametri'!B8*'1 - Parametri'!B37</f>
        <v/>
      </c>
      <c r="C7" s="16">
        <f>'1 - Parametri'!B56*(1-'1 - Parametri'!B8)-'1 - Parametri'!B8*'1 - Parametri'!B38</f>
        <v/>
      </c>
      <c r="D7" s="16">
        <f>'1 - Parametri'!B56*(1-'1 - Parametri'!B8)-'1 - Parametri'!B8*'1 - Parametri'!B39</f>
        <v/>
      </c>
      <c r="E7" s="16">
        <f>'1 - Parametri'!B56*(1-'1 - Parametri'!B8)-'1 - Parametri'!B8*'1 - Parametri'!B40</f>
        <v/>
      </c>
    </row>
    <row r="8">
      <c r="A8" s="8">
        <f>"BTP Valore (YTM lordo MOT ~"&amp;SUBSTITUTE(ROUND('4 - BTP Valore'!$B$32*100,2)&amp;"",".",",")&amp;"%)"</f>
        <v/>
      </c>
      <c r="B8" s="16">
        <f>'4 - BTP Valore'!$B$32*(1-'1 - Parametri'!B8)-'1 - Parametri'!B37</f>
        <v/>
      </c>
      <c r="C8" s="16">
        <f>'4 - BTP Valore'!$B$32*(1-'1 - Parametri'!B8)-'1 - Parametri'!B38</f>
        <v/>
      </c>
      <c r="D8" s="16">
        <f>'4 - BTP Valore'!$B$32*(1-'1 - Parametri'!B8)-'1 - Parametri'!B39</f>
        <v/>
      </c>
      <c r="E8" s="16">
        <f>'4 - BTP Valore'!$B$32*(1-'1 - Parametri'!B8)-'1 - Parametri'!B40</f>
        <v/>
      </c>
    </row>
    <row r="9">
      <c r="A9" s="8">
        <f>"BTP Futura (YTM lordo MOT ~"&amp;SUBSTITUTE(ROUND('5 - BTP Futura'!$B$27*100,2)&amp;"",".",",")&amp;"%)"</f>
        <v/>
      </c>
      <c r="B9" s="16">
        <f>'5 - BTP Futura'!$B$27*(1-'1 - Parametri'!B8)-'1 - Parametri'!B37</f>
        <v/>
      </c>
      <c r="C9" s="16">
        <f>'5 - BTP Futura'!$B$27*(1-'1 - Parametri'!B8)-'1 - Parametri'!B38</f>
        <v/>
      </c>
      <c r="D9" s="16">
        <f>'5 - BTP Futura'!$B$27*(1-'1 - Parametri'!B8)-'1 - Parametri'!B39</f>
        <v/>
      </c>
      <c r="E9" s="16">
        <f>'5 - BTP Futura'!$B$27*(1-'1 - Parametri'!B8)-'1 - Parametri'!B40</f>
        <v/>
      </c>
    </row>
    <row r="10">
      <c r="A10" s="8">
        <f>"BTP nominale 5y ("&amp;SUBSTITUTE(ROUND('1 - Parametri'!B32*100,2)&amp;"",".",",")&amp;"% lordo)"</f>
        <v/>
      </c>
      <c r="B10" s="16">
        <f>'1 - Parametri'!B32*(1-'1 - Parametri'!B8)-'1 - Parametri'!B37</f>
        <v/>
      </c>
      <c r="C10" s="16">
        <f>'1 - Parametri'!B32*(1-'1 - Parametri'!B8)-'1 - Parametri'!B38</f>
        <v/>
      </c>
      <c r="D10" s="16">
        <f>'1 - Parametri'!B32*(1-'1 - Parametri'!B8)-'1 - Parametri'!B39</f>
        <v/>
      </c>
      <c r="E10" s="16">
        <f>'1 - Parametri'!B32*(1-'1 - Parametri'!B8)-'1 - Parametri'!B40</f>
        <v/>
      </c>
    </row>
    <row r="11">
      <c r="A11" s="8">
        <f>"BTP nominale 10y ("&amp;SUBSTITUTE(ROUND('1 - Parametri'!B34*100,2)&amp;"",".",",")&amp;"% lordo)"</f>
        <v/>
      </c>
      <c r="B11" s="16">
        <f>'1 - Parametri'!B34*(1-'1 - Parametri'!B8)-'1 - Parametri'!B37</f>
        <v/>
      </c>
      <c r="C11" s="16">
        <f>'1 - Parametri'!B34*(1-'1 - Parametri'!B8)-'1 - Parametri'!B38</f>
        <v/>
      </c>
      <c r="D11" s="16">
        <f>'1 - Parametri'!B34*(1-'1 - Parametri'!B8)-'1 - Parametri'!B39</f>
        <v/>
      </c>
      <c r="E11" s="16">
        <f>'1 - Parametri'!B34*(1-'1 - Parametri'!B8)-'1 - Parametri'!B40</f>
        <v/>
      </c>
    </row>
    <row r="13">
      <c r="A13" s="7" t="inlineStr">
        <is>
          <t>Heatmap: VERDE = miglior rendimento REALE per scenario / ROSSO = peggior</t>
        </is>
      </c>
    </row>
    <row r="14" ht="90" customHeight="1">
      <c r="A14" s="10" t="inlineStr">
        <is>
          <t>NOTA DI METODO - heatmap per colonna: VERDE = miglior rendimento REALE dello scenario, ROSSO = peggiore. Il tasso del Si e' REALE (si somma al FOI), quindi il suo rendimento reale resta stabile tra gli scenari; gli strumenti a cedola nominale fissa perdono rendimento reale al crescere dell'inflazione. Valore e Futura sono valutati allo YTM da prezzo MOT (comprati OGGI, senza premi fedelta'/PIL). Il vincitore di ogni scenario dipende dai parametri correnti del foglio 1 - Parametri.</t>
        </is>
      </c>
    </row>
  </sheetData>
  <mergeCells count="5">
    <mergeCell ref="A4:E4"/>
    <mergeCell ref="A2:E2"/>
    <mergeCell ref="A1:E1"/>
    <mergeCell ref="A13:E13"/>
    <mergeCell ref="A14:E14"/>
  </mergeCells>
  <conditionalFormatting sqref="B6:B11">
    <cfRule type="colorScale" priority="1">
      <colorScale>
        <cfvo type="min"/>
        <cfvo type="percentile" val="50"/>
        <cfvo type="max"/>
        <color rgb="00F87171"/>
        <color rgb="00FEF3C7"/>
        <color rgb="0086EFAC"/>
      </colorScale>
    </cfRule>
  </conditionalFormatting>
  <conditionalFormatting sqref="C6:C11">
    <cfRule type="colorScale" priority="1">
      <colorScale>
        <cfvo type="min"/>
        <cfvo type="percentile" val="50"/>
        <cfvo type="max"/>
        <color rgb="00F87171"/>
        <color rgb="00FEF3C7"/>
        <color rgb="0086EFAC"/>
      </colorScale>
    </cfRule>
  </conditionalFormatting>
  <conditionalFormatting sqref="D6:D11">
    <cfRule type="colorScale" priority="1">
      <colorScale>
        <cfvo type="min"/>
        <cfvo type="percentile" val="50"/>
        <cfvo type="max"/>
        <color rgb="00F87171"/>
        <color rgb="00FEF3C7"/>
        <color rgb="0086EFAC"/>
      </colorScale>
    </cfRule>
  </conditionalFormatting>
  <conditionalFormatting sqref="E6:E11">
    <cfRule type="colorScale" priority="1">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44" customWidth="1" min="1" max="1"/>
    <col width="18" customWidth="1" min="2" max="2"/>
    <col width="16" customWidth="1" min="3" max="3"/>
    <col width="16" customWidth="1" min="4" max="4"/>
    <col width="22" customWidth="1" min="5" max="5"/>
  </cols>
  <sheetData>
    <row r="1" ht="25" customHeight="1">
      <c r="A1" s="1" t="inlineStr">
        <is>
          <t>Break-even: a quale inflazione media il BTP Italia Si batte ogni avversario</t>
        </is>
      </c>
    </row>
    <row r="2" ht="32" customHeight="1">
      <c r="A2" s="2" t="inlineStr">
        <is>
          <t>Strumento informativo / divulgativo. NON è consulenza finanziaria. I valori sono indicativi al 2026 e vanno verificati col tuo consulente.</t>
        </is>
      </c>
    </row>
    <row r="4">
      <c r="A4" s="7" t="inlineStr">
        <is>
          <t>Avversari a cedola FISSA nominale (break-even basato su inflazione)</t>
        </is>
      </c>
    </row>
    <row r="5">
      <c r="A5" s="22" t="inlineStr">
        <is>
          <t>Avversario</t>
        </is>
      </c>
      <c r="B5" s="22" t="inlineStr">
        <is>
          <t>Rendimento lordo</t>
        </is>
      </c>
      <c r="C5" s="22" t="inlineStr">
        <is>
          <t>Rend. netto (dopo tasse)</t>
        </is>
      </c>
      <c r="D5" s="22" t="inlineStr">
        <is>
          <t>Soglia infl. break-even (lorda)</t>
        </is>
      </c>
      <c r="E5" s="22" t="inlineStr">
        <is>
          <t>Verdetto</t>
        </is>
      </c>
    </row>
    <row r="6">
      <c r="A6" s="8" t="inlineStr">
        <is>
          <t>BTP nominale 2y</t>
        </is>
      </c>
      <c r="B6" s="16">
        <f>'1 - Parametri'!B30</f>
        <v/>
      </c>
      <c r="C6" s="16">
        <f>B6*(1-'1 - Parametri'!B8)</f>
        <v/>
      </c>
      <c r="D6" s="16">
        <f>B6-('1 - Parametri'!B5+'1 - Parametri'!B7/'1 - Parametri'!B6)</f>
        <v/>
      </c>
      <c r="E6" s="25">
        <f>IF(D6&lt;=0,"Si vince SEMPRE",IF(D6&gt;='1 - Parametri'!B40,"Si perde quasi sempre","Si vince se FOI &gt; "&amp;SUBSTITUTE(ROUND(D6*100,2)&amp;"",".",",")&amp;"%"))</f>
        <v/>
      </c>
    </row>
    <row r="7">
      <c r="A7" s="8" t="inlineStr">
        <is>
          <t>BTP nominale 3y</t>
        </is>
      </c>
      <c r="B7" s="16">
        <f>'1 - Parametri'!B31</f>
        <v/>
      </c>
      <c r="C7" s="16">
        <f>B7*(1-'1 - Parametri'!B8)</f>
        <v/>
      </c>
      <c r="D7" s="16">
        <f>B7-('1 - Parametri'!B5+'1 - Parametri'!B7/'1 - Parametri'!B6)</f>
        <v/>
      </c>
      <c r="E7" s="25">
        <f>IF(D7&lt;=0,"Si vince SEMPRE",IF(D7&gt;='1 - Parametri'!B40,"Si perde quasi sempre","Si vince se FOI &gt; "&amp;SUBSTITUTE(ROUND(D7*100,2)&amp;"",".",",")&amp;"%"))</f>
        <v/>
      </c>
    </row>
    <row r="8">
      <c r="A8" s="8" t="inlineStr">
        <is>
          <t>BTP nominale 5y</t>
        </is>
      </c>
      <c r="B8" s="16">
        <f>'1 - Parametri'!B32</f>
        <v/>
      </c>
      <c r="C8" s="16">
        <f>B8*(1-'1 - Parametri'!B8)</f>
        <v/>
      </c>
      <c r="D8" s="16">
        <f>B8-('1 - Parametri'!B5+'1 - Parametri'!B7/'1 - Parametri'!B6)</f>
        <v/>
      </c>
      <c r="E8" s="25">
        <f>IF(D8&lt;=0,"Si vince SEMPRE",IF(D8&gt;='1 - Parametri'!B40,"Si perde quasi sempre","Si vince se FOI &gt; "&amp;SUBSTITUTE(ROUND(D8*100,2)&amp;"",".",",")&amp;"%"))</f>
        <v/>
      </c>
    </row>
    <row r="9">
      <c r="A9" s="8" t="inlineStr">
        <is>
          <t>BTP nominale 7y</t>
        </is>
      </c>
      <c r="B9" s="16">
        <f>'1 - Parametri'!B33</f>
        <v/>
      </c>
      <c r="C9" s="16">
        <f>B9*(1-'1 - Parametri'!B8)</f>
        <v/>
      </c>
      <c r="D9" s="16">
        <f>B9-('1 - Parametri'!B5+'1 - Parametri'!B7/'1 - Parametri'!B6)</f>
        <v/>
      </c>
      <c r="E9" s="25">
        <f>IF(D9&lt;=0,"Si vince SEMPRE",IF(D9&gt;='1 - Parametri'!B40,"Si perde quasi sempre","Si vince se FOI &gt; "&amp;SUBSTITUTE(ROUND(D9*100,2)&amp;"",".",",")&amp;"%"))</f>
        <v/>
      </c>
    </row>
    <row r="10">
      <c r="A10" s="8" t="inlineStr">
        <is>
          <t>BTP nominale 10y</t>
        </is>
      </c>
      <c r="B10" s="16">
        <f>'1 - Parametri'!B34</f>
        <v/>
      </c>
      <c r="C10" s="16">
        <f>B10*(1-'1 - Parametri'!B8)</f>
        <v/>
      </c>
      <c r="D10" s="16">
        <f>B10-('1 - Parametri'!B5+'1 - Parametri'!B7/'1 - Parametri'!B6)</f>
        <v/>
      </c>
      <c r="E10" s="25">
        <f>IF(D10&lt;=0,"Si vince SEMPRE",IF(D10&gt;='1 - Parametri'!B40,"Si perde quasi sempre","Si vince se FOI &gt; "&amp;SUBSTITUTE(ROUND(D10*100,2)&amp;"",".",",")&amp;"%"))</f>
        <v/>
      </c>
    </row>
    <row r="11">
      <c r="A11" s="8">
        <f>"BTP Valore (YTM lordo MOT, prezzo "&amp;SUBSTITUTE(ROUND('1 - Parametri'!B64,2)&amp;"",".",",")&amp;")"</f>
        <v/>
      </c>
      <c r="B11" s="16">
        <f>'4 - BTP Valore'!B32</f>
        <v/>
      </c>
      <c r="C11" s="16">
        <f>B11*(1-'1 - Parametri'!B8)</f>
        <v/>
      </c>
      <c r="D11" s="16">
        <f>B11-('1 - Parametri'!B5+'1 - Parametri'!B7/'1 - Parametri'!B6)</f>
        <v/>
      </c>
      <c r="E11" s="25">
        <f>IF(D11&lt;=0,"Si vince SEMPRE",IF(D11&gt;='1 - Parametri'!B40,"Si perde quasi sempre","Si vince se FOI &gt; "&amp;SUBSTITUTE(ROUND(D11*100,2)&amp;"",".",",")&amp;"%"))</f>
        <v/>
      </c>
    </row>
    <row r="12">
      <c r="A12" s="8">
        <f>"BTP Futura (YTM lordo MOT, prezzo "&amp;SUBSTITUTE(ROUND('1 - Parametri'!B66,2)&amp;"",".",",")&amp;")"</f>
        <v/>
      </c>
      <c r="B12" s="16">
        <f>'5 - BTP Futura'!B27</f>
        <v/>
      </c>
      <c r="C12" s="16">
        <f>B12*(1-'1 - Parametri'!B8)</f>
        <v/>
      </c>
      <c r="D12" s="16">
        <f>B12-('1 - Parametri'!B5+'1 - Parametri'!B7/'1 - Parametri'!B6)</f>
        <v/>
      </c>
      <c r="E12" s="25">
        <f>IF(D12&lt;=0,"Si vince SEMPRE",IF(D12&gt;='1 - Parametri'!B40,"Si perde quasi sempre","Si vince se FOI &gt; "&amp;SUBSTITUTE(ROUND(D12*100,2)&amp;"",".",",")&amp;"%"))</f>
        <v/>
      </c>
    </row>
    <row r="14">
      <c r="A14" s="7" t="inlineStr">
        <is>
          <t>BTP Italia classico: confronto diverso (capitale rivalutato, no break-even classico)</t>
        </is>
      </c>
    </row>
    <row r="15">
      <c r="A15" s="22" t="inlineStr">
        <is>
          <t>Avversario</t>
        </is>
      </c>
      <c r="B15" s="22" t="inlineStr">
        <is>
          <t>YTM reale NETTO (MOT)</t>
        </is>
      </c>
      <c r="C15" s="22" t="inlineStr">
        <is>
          <t>Sì reale netto</t>
        </is>
      </c>
      <c r="D15" s="22" t="inlineStr">
        <is>
          <t>Vantaggio Sì (pp)</t>
        </is>
      </c>
      <c r="E15" s="22" t="inlineStr">
        <is>
          <t>Verdetto</t>
        </is>
      </c>
    </row>
    <row r="16">
      <c r="A16" s="8" t="inlineStr">
        <is>
          <t>BTP Italia classico mar 2028 (YTM REALE da prezzo MOT)</t>
        </is>
      </c>
      <c r="B16" s="16">
        <f>'1 - Parametri'!B50*(1-'1 - Parametri'!B8)</f>
        <v/>
      </c>
      <c r="C16" s="16">
        <f>('1 - Parametri'!B5+'1 - Parametri'!B7/'1 - Parametri'!B6)*(1-'1 - Parametri'!B8)</f>
        <v/>
      </c>
      <c r="D16" s="16">
        <f>C16-B16</f>
        <v/>
      </c>
      <c r="E16" s="25">
        <f>IF(D16&gt;=0,"Sì vince (vantaggio "&amp;ROUND(D16*100,2)&amp;"pp)","Classico vince (gap "&amp;ROUND(-D16*100,2)&amp;"pp)")</f>
        <v/>
      </c>
    </row>
    <row r="17">
      <c r="A17" s="8" t="inlineStr">
        <is>
          <t>BTP Italia classico giu 2030 (YTM REALE da prezzo MOT)</t>
        </is>
      </c>
      <c r="B17" s="16">
        <f>'1 - Parametri'!B52*(1-'1 - Parametri'!B8)</f>
        <v/>
      </c>
      <c r="C17" s="16">
        <f>('1 - Parametri'!B5+'1 - Parametri'!B7/'1 - Parametri'!B6)*(1-'1 - Parametri'!B8)</f>
        <v/>
      </c>
      <c r="D17" s="16">
        <f>C17-B17</f>
        <v/>
      </c>
      <c r="E17" s="25">
        <f>IF(D17&gt;=0,"Sì vince (vantaggio "&amp;ROUND(D17*100,2)&amp;"pp)","Classico vince (gap "&amp;ROUND(-D17*100,2)&amp;"pp)")</f>
        <v/>
      </c>
    </row>
    <row r="18">
      <c r="A18" s="8" t="inlineStr">
        <is>
          <t>BTP Italia classico MEDIA 2 ISIN (YTM reale NETTO medio)</t>
        </is>
      </c>
      <c r="B18" s="16">
        <f>'1 - Parametri'!B56*(1-'1 - Parametri'!B8)</f>
        <v/>
      </c>
      <c r="C18" s="16">
        <f>('1 - Parametri'!B5+'1 - Parametri'!B7/'1 - Parametri'!B6)*(1-'1 - Parametri'!B8)</f>
        <v/>
      </c>
      <c r="D18" s="16">
        <f>C18-B18</f>
        <v/>
      </c>
      <c r="E18" s="25">
        <f>IF(D18&gt;=0,"Sì vince (vantaggio "&amp;ROUND(D18*100,2)&amp;"pp)","Classico vince (gap "&amp;ROUND(-D18*100,2)&amp;"pp)")</f>
        <v/>
      </c>
    </row>
    <row r="19" ht="90" customHeight="1">
      <c r="A19" s="10">
        <f>"ATTENZIONE: usato YTM REALE EFFETTIVO calcolato dal prezzo MOT (non cedola del prospetto). Se sul secondario il classico quota SOPRA par, il YTM reale si abbassa, specie per scadenze brevi. Coi prezzi MOT correnti: mar 2028 a "&amp;SUBSTITUTE(ROUND('1 - Parametri'!B46,2)&amp;"",".",",")&amp;" → YTM reale ~"&amp;SUBSTITUTE(ROUND('1 - Parametri'!B50*100,2)&amp;"",".",",")&amp;"%; giu 2030 a "&amp;SUBSTITUTE(ROUND('1 - Parametri'!B48,2)&amp;"",".",",")&amp;" → ~"&amp;SUBSTITUTE(ROUND('1 - Parametri'!B52*100,2)&amp;"",".",",")&amp;"%. Vai al foglio Parametri righe 46-56 per modificare i prezzi MOT."</f>
        <v/>
      </c>
    </row>
    <row r="21" ht="90" customHeight="1">
      <c r="A21" s="10">
        <f>"BTP Futura comprato OGGI sul MOT a "&amp;SUBSTITUTE(ROUND('1 - Parametri'!B66,2)&amp;"",".",",")&amp;": YTM lordo ~"&amp;SUBSTITUTE(ROUND('5 - BTP Futura'!B27*100,2)&amp;"",".",",")&amp;"% con cedole step-up "&amp;SUBSTITUTE(ROUND('1 - Parametri'!B22*100,2)&amp;"",".",",")&amp;"/"&amp;SUBSTITUTE(ROUND('1 - Parametri'!B23*100,2)&amp;"",".",",")&amp;"/"&amp;SUBSTITUTE(ROUND('1 - Parametri'!B24*100,2)&amp;"",".",",")&amp;"%. Soglia break-even FOI ~"&amp;SUBSTITUTE(ROUND(D12*100,2)&amp;"",".",",")&amp;"% (col. D): sotto la soglia vince il Futura, sopra vince il Si; se la soglia e' negativa il Si vince sempre. Il doppio premio PIL NON spetta a chi compra sul MOT (solo sottoscrittori originali nov 2021)."</f>
        <v/>
      </c>
    </row>
  </sheetData>
  <mergeCells count="6">
    <mergeCell ref="A21:E21"/>
    <mergeCell ref="A4:E4"/>
    <mergeCell ref="A2:E2"/>
    <mergeCell ref="A19:E19"/>
    <mergeCell ref="A1:E1"/>
    <mergeCell ref="A14:E14"/>
  </mergeCells>
  <conditionalFormatting sqref="D6:D12">
    <cfRule type="colorScale" priority="1">
      <colorScale>
        <cfvo type="min"/>
        <cfvo type="percentile" val="50"/>
        <cfvo type="max"/>
        <color rgb="0086EFAC"/>
        <color rgb="00FEF3C7"/>
        <color rgb="00F87171"/>
      </colorScale>
    </cfRule>
  </conditionalFormatting>
  <conditionalFormatting sqref="D16:D18">
    <cfRule type="colorScale" priority="2">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s>
  <sheetData>
    <row r="1" ht="25" customHeight="1">
      <c r="A1" s="1" t="inlineStr">
        <is>
          <t>4 profili FIRE - allocazione consigliata tra i 5 strumenti</t>
        </is>
      </c>
    </row>
    <row r="2" ht="32" customHeight="1">
      <c r="A2" s="2" t="inlineStr">
        <is>
          <t>Strumento informativo / divulgativo. NON è consulenza finanziaria. I valori sono indicativi al 2026 e vanno verificati col tuo consulente.</t>
        </is>
      </c>
    </row>
    <row r="4">
      <c r="A4" s="7" t="inlineStr">
        <is>
          <t>Allocazione (% del cuscinetto bond del portafoglio)</t>
        </is>
      </c>
    </row>
    <row r="5">
      <c r="A5" s="22" t="inlineStr">
        <is>
          <t>Profilo</t>
        </is>
      </c>
      <c r="B5" s="22" t="inlineStr">
        <is>
          <t>BTP Italia Si</t>
        </is>
      </c>
      <c r="C5" s="22" t="inlineStr">
        <is>
          <t>BTP Italia clas.</t>
        </is>
      </c>
      <c r="D5" s="22" t="inlineStr">
        <is>
          <t>BTP Valore</t>
        </is>
      </c>
      <c r="E5" s="22" t="inlineStr">
        <is>
          <t>BTP nominale 5y</t>
        </is>
      </c>
      <c r="F5" s="22" t="inlineStr">
        <is>
          <t>BTP nominale 10y</t>
        </is>
      </c>
    </row>
    <row r="6">
      <c r="A6" s="8" t="inlineStr">
        <is>
          <t>Giovane 25-34</t>
        </is>
      </c>
      <c r="B6" s="26" t="n">
        <v>0.2</v>
      </c>
      <c r="C6" s="26" t="n">
        <v>0.1</v>
      </c>
      <c r="D6" s="26" t="n">
        <v>0.2</v>
      </c>
      <c r="E6" s="26" t="n">
        <v>0.3</v>
      </c>
      <c r="F6" s="26" t="n">
        <v>0.2</v>
      </c>
    </row>
    <row r="7">
      <c r="A7" s="8" t="inlineStr">
        <is>
          <t>Mezza età 35-49</t>
        </is>
      </c>
      <c r="B7" s="26" t="n">
        <v>0.25</v>
      </c>
      <c r="C7" s="26" t="n">
        <v>0.15</v>
      </c>
      <c r="D7" s="26" t="n">
        <v>0.2</v>
      </c>
      <c r="E7" s="26" t="n">
        <v>0.25</v>
      </c>
      <c r="F7" s="26" t="n">
        <v>0.15</v>
      </c>
    </row>
    <row r="8">
      <c r="A8" s="8" t="inlineStr">
        <is>
          <t>Over 50 pre-FIRE</t>
        </is>
      </c>
      <c r="B8" s="26" t="n">
        <v>0.3</v>
      </c>
      <c r="C8" s="26" t="n">
        <v>0.3</v>
      </c>
      <c r="D8" s="26" t="n">
        <v>0.2</v>
      </c>
      <c r="E8" s="26" t="n">
        <v>0.15</v>
      </c>
      <c r="F8" s="26" t="n">
        <v>0.05</v>
      </c>
    </row>
    <row r="9">
      <c r="A9" s="8" t="inlineStr">
        <is>
          <t>FIRE in decumulo</t>
        </is>
      </c>
      <c r="B9" s="26" t="n">
        <v>0.25</v>
      </c>
      <c r="C9" s="26" t="n">
        <v>0.35</v>
      </c>
      <c r="D9" s="26" t="n">
        <v>0.15</v>
      </c>
      <c r="E9" s="26" t="n">
        <v>0.15</v>
      </c>
      <c r="F9" s="26" t="n">
        <v>0.1</v>
      </c>
    </row>
    <row r="11">
      <c r="A11" s="7" t="inlineStr">
        <is>
          <t>Razionale per profilo</t>
        </is>
      </c>
    </row>
    <row r="12" ht="15" customHeight="1">
      <c r="A12" s="10" t="inlineStr">
        <is>
          <t>Giovane: peso nominali alto (tassi sopra inflazione attesa), Si come 'difesa' inflazione.</t>
        </is>
      </c>
    </row>
    <row r="13" ht="15" customHeight="1">
      <c r="A13" s="10" t="inlineStr">
        <is>
          <t>Mezza eta': bilanciato, Si cresce per protezione potere d'acquisto.</t>
        </is>
      </c>
    </row>
    <row r="14" ht="15" customHeight="1">
      <c r="A14" s="10" t="inlineStr">
        <is>
          <t>Over 50: peso classico alto per crescita capitale; Si per cedola decrescente in real terms.</t>
        </is>
      </c>
    </row>
    <row r="15" ht="15" customHeight="1">
      <c r="A15" s="10" t="inlineStr">
        <is>
          <t>Decumulo: priorita' capitale rivalutato (classico) + reddito stabile (Si + Valore).</t>
        </is>
      </c>
    </row>
  </sheetData>
  <mergeCells count="8">
    <mergeCell ref="A2:F2"/>
    <mergeCell ref="A11:F11"/>
    <mergeCell ref="A13:F13"/>
    <mergeCell ref="A14:F14"/>
    <mergeCell ref="A1:F1"/>
    <mergeCell ref="A12:F12"/>
    <mergeCell ref="A4:F4"/>
    <mergeCell ref="A15:F15"/>
  </mergeCells>
  <conditionalFormatting sqref="B6:F9">
    <cfRule type="colorScale" priority="1">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42" customWidth="1" min="1" max="1"/>
    <col width="16" customWidth="1" min="2" max="2"/>
    <col width="30" customWidth="1" min="3" max="3"/>
  </cols>
  <sheetData>
    <row r="1" ht="25" customHeight="1">
      <c r="A1" s="1" t="inlineStr">
        <is>
          <t>Calcolatore: quale BTP scegliere in base ai tuoi parametri</t>
        </is>
      </c>
    </row>
    <row r="2" ht="32" customHeight="1">
      <c r="A2" s="2" t="inlineStr">
        <is>
          <t>Strumento informativo / divulgativo. NON è consulenza finanziaria. I valori sono indicativi al 2026 e vanno verificati col tuo consulente.</t>
        </is>
      </c>
    </row>
    <row r="4">
      <c r="A4" s="7" t="inlineStr">
        <is>
          <t>Input personali</t>
        </is>
      </c>
    </row>
    <row r="5">
      <c r="A5" s="8" t="inlineStr">
        <is>
          <t>Tuo capitale (EUR)</t>
        </is>
      </c>
      <c r="B5" s="13" t="n">
        <v>20000</v>
      </c>
    </row>
    <row r="6">
      <c r="A6" s="8" t="inlineStr">
        <is>
          <t>Tuo orizzonte temporale (anni)</t>
        </is>
      </c>
      <c r="B6" s="11" t="n">
        <v>7</v>
      </c>
    </row>
    <row r="7">
      <c r="A7" s="8" t="inlineStr">
        <is>
          <t>Tua aspettativa inflazione FOI media (%)</t>
        </is>
      </c>
      <c r="B7" s="12" t="n">
        <v>0.025</v>
      </c>
    </row>
    <row r="8">
      <c r="A8" s="8" t="inlineStr">
        <is>
          <t>Tua aliquota IRPEF marginale (info)</t>
        </is>
      </c>
      <c r="B8" s="27" t="n">
        <v>0.33</v>
      </c>
    </row>
    <row r="10">
      <c r="A10" s="7" t="inlineStr">
        <is>
          <t>Rendimento REALE netto atteso per strumento</t>
        </is>
      </c>
    </row>
    <row r="11">
      <c r="A11" s="22" t="inlineStr">
        <is>
          <t>Strumento</t>
        </is>
      </c>
      <c r="B11" s="22" t="inlineStr">
        <is>
          <t>Rend. reale annuo</t>
        </is>
      </c>
      <c r="C11" s="22" t="inlineStr">
        <is>
          <t>Idoneo al tuo orizzonte</t>
        </is>
      </c>
    </row>
    <row r="12">
      <c r="A12" s="8" t="inlineStr">
        <is>
          <t>BTP Italia Si</t>
        </is>
      </c>
      <c r="B12" s="16">
        <f>('1 - Parametri'!B5+'1 - Parametri'!B7/'1 - Parametri'!B6)*(1-'1 - Parametri'!B8)-'1 - Parametri'!B8*B7</f>
        <v/>
      </c>
      <c r="C12" s="25">
        <f>IF(B6&gt;=5,"SI","NO - troppo lungo")</f>
        <v/>
      </c>
    </row>
    <row r="13">
      <c r="A13" s="8" t="inlineStr">
        <is>
          <t>BTP Italia clas. (YTM MOT)</t>
        </is>
      </c>
      <c r="B13" s="16">
        <f>'1 - Parametri'!B56*(1-'1 - Parametri'!B8)-'1 - Parametri'!B8*B7</f>
        <v/>
      </c>
      <c r="C13" s="25">
        <f>IF(B6&gt;=5,"SI","NO - troppo lungo")</f>
        <v/>
      </c>
    </row>
    <row r="14">
      <c r="A14" s="8" t="inlineStr">
        <is>
          <t>BTP Valore (YTM MOT)</t>
        </is>
      </c>
      <c r="B14" s="16">
        <f>'4 - BTP Valore'!B32*(1-'1 - Parametri'!B8)-B7</f>
        <v/>
      </c>
      <c r="C14" s="25">
        <f>IF(B6&gt;=6,"SI","NO - troppo lungo")</f>
        <v/>
      </c>
    </row>
    <row r="15">
      <c r="A15" s="8" t="inlineStr">
        <is>
          <t>BTP nominale 5y</t>
        </is>
      </c>
      <c r="B15" s="16">
        <f>'1 - Parametri'!B32*(1-'1 - Parametri'!B8)-B7</f>
        <v/>
      </c>
      <c r="C15" s="25">
        <f>IF(B6&gt;=5,"SI","NO - troppo lungo")</f>
        <v/>
      </c>
    </row>
    <row r="16">
      <c r="A16" s="8" t="inlineStr">
        <is>
          <t>BTP nominale 10y</t>
        </is>
      </c>
      <c r="B16" s="16">
        <f>'1 - Parametri'!B34*(1-'1 - Parametri'!B8)-B7</f>
        <v/>
      </c>
      <c r="C16" s="25">
        <f>IF(B6&gt;=10,"SI","NO - troppo lungo")</f>
        <v/>
      </c>
    </row>
    <row r="18">
      <c r="A18" s="7" t="inlineStr">
        <is>
          <t>Raccomandazione automatica (strumento con rendimento reale max)</t>
        </is>
      </c>
    </row>
    <row r="19">
      <c r="A19" s="8" t="inlineStr">
        <is>
          <t>Miglior strumento</t>
        </is>
      </c>
      <c r="B19" s="25">
        <f>INDEX(A12:A16,MATCH(MAX(B12:B16),B12:B16,0))</f>
        <v/>
      </c>
    </row>
    <row r="20">
      <c r="A20" s="8" t="inlineStr">
        <is>
          <t>Rendimento reale atteso annuo</t>
        </is>
      </c>
      <c r="B20" s="16">
        <f>MAX(B12:B16)</f>
        <v/>
      </c>
    </row>
    <row r="21">
      <c r="A21" s="8" t="inlineStr">
        <is>
          <t>Valore finale (con cap. + reale)</t>
        </is>
      </c>
      <c r="B21" s="21">
        <f>B5*(1+B20)^B6</f>
        <v/>
      </c>
    </row>
    <row r="23" ht="45" customHeight="1">
      <c r="A23" s="10" t="inlineStr">
        <is>
          <t>Raccomandazione algoritmica basata sul rendimento reale max. NON e' consulenza finanziaria. Considera anche liquidita', diversificazione, necessita' di reddito cedolare periodico.</t>
        </is>
      </c>
    </row>
  </sheetData>
  <mergeCells count="6">
    <mergeCell ref="A10:C10"/>
    <mergeCell ref="A1:C1"/>
    <mergeCell ref="A23:C23"/>
    <mergeCell ref="A18:C18"/>
    <mergeCell ref="A4:C4"/>
    <mergeCell ref="A2:C2"/>
  </mergeCells>
  <conditionalFormatting sqref="B12:B16">
    <cfRule type="colorScale" priority="1">
      <colorScale>
        <cfvo type="min"/>
        <cfvo type="percentile" val="50"/>
        <cfvo type="max"/>
        <color rgb="00F87171"/>
        <color rgb="00FEF3C7"/>
        <color rgb="0086EFAC"/>
      </colorScale>
    </cfRule>
  </conditionalFormatting>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4" customWidth="1" min="1" max="1"/>
    <col width="13" customWidth="1" min="2" max="2"/>
    <col width="15" customWidth="1" min="3" max="3"/>
    <col width="14" customWidth="1" min="4" max="4"/>
    <col width="15" customWidth="1" min="5" max="5"/>
    <col width="16" customWidth="1" min="6" max="6"/>
    <col width="16" customWidth="1" min="7" max="7"/>
  </cols>
  <sheetData>
    <row r="1" ht="25" customHeight="1">
      <c r="A1" s="1" t="inlineStr">
        <is>
          <t>BTP Italia Si - flusso cedolare semestrale (quanto incassi, quando)</t>
        </is>
      </c>
    </row>
    <row r="2" ht="32" customHeight="1">
      <c r="A2" s="2" t="inlineStr">
        <is>
          <t>Strumento informativo / divulgativo. NON è consulenza finanziaria. I valori sono indicativi al 2026 e vanno verificati col tuo consulente.</t>
        </is>
      </c>
    </row>
    <row r="4">
      <c r="A4" s="7" t="inlineStr">
        <is>
          <t>Input (tasso/premio/tassazione dal foglio Parametri; FOI modificabile QUI)</t>
        </is>
      </c>
    </row>
    <row r="5">
      <c r="A5" s="8" t="inlineStr">
        <is>
          <t>Tasso fisso reale annuo</t>
        </is>
      </c>
      <c r="B5" s="16">
        <f>'1 - Parametri'!B5</f>
        <v/>
      </c>
    </row>
    <row r="6">
      <c r="A6" s="8" t="inlineStr">
        <is>
          <t>Premio fedelta' finale</t>
        </is>
      </c>
      <c r="B6" s="16">
        <f>'1 - Parametri'!B7</f>
        <v/>
      </c>
    </row>
    <row r="7">
      <c r="A7" s="8" t="inlineStr">
        <is>
          <t>Tassazione</t>
        </is>
      </c>
      <c r="B7" s="20">
        <f>'1 - Parametri'!B8</f>
        <v/>
      </c>
    </row>
    <row r="8">
      <c r="A8" s="8" t="inlineStr">
        <is>
          <t>Capitale investito (EUR)</t>
        </is>
      </c>
      <c r="B8" s="21">
        <f>'1 - Parametri'!B43</f>
        <v/>
      </c>
    </row>
    <row r="9" ht="15" customHeight="1">
      <c r="A9" s="8" t="inlineStr">
        <is>
          <t>Inflazione FOI media (scenario)</t>
        </is>
      </c>
      <c r="B9" s="12" t="n">
        <v>0.02</v>
      </c>
      <c r="C9" s="10" t="inlineStr">
        <is>
          <t>GIALLO = modificabile: 0,01 / 0,02 / 0,03 / 0,045</t>
        </is>
      </c>
    </row>
    <row r="11">
      <c r="A11" s="7" t="inlineStr">
        <is>
          <t>Calendario cedole semestrali nette (convenzione lineare, FOI media costante)</t>
        </is>
      </c>
    </row>
    <row r="12">
      <c r="A12" s="22" t="inlineStr">
        <is>
          <t>Stacco</t>
        </is>
      </c>
      <c r="B12" s="22" t="inlineStr">
        <is>
          <t>Data</t>
        </is>
      </c>
      <c r="C12" s="22" t="inlineStr">
        <is>
          <t>Cedola lorda</t>
        </is>
      </c>
      <c r="D12" s="22" t="inlineStr">
        <is>
          <t>Imposta</t>
        </is>
      </c>
      <c r="E12" s="22" t="inlineStr">
        <is>
          <t>Cedola netta</t>
        </is>
      </c>
      <c r="F12" s="22" t="inlineStr">
        <is>
          <t>Cumulato netto</t>
        </is>
      </c>
      <c r="G12" s="22" t="inlineStr">
        <is>
          <t>Flusso di cassa</t>
        </is>
      </c>
    </row>
    <row r="13">
      <c r="A13" s="8" t="inlineStr">
        <is>
          <t>1/10</t>
        </is>
      </c>
      <c r="B13" s="30" t="n">
        <v>46371</v>
      </c>
      <c r="C13" s="29">
        <f>($B$5+$B$9)/2*$B$8</f>
        <v/>
      </c>
      <c r="D13" s="29">
        <f>C13*$B$7</f>
        <v/>
      </c>
      <c r="E13" s="29">
        <f>C13-D13</f>
        <v/>
      </c>
      <c r="F13" s="29">
        <f>E13</f>
        <v/>
      </c>
      <c r="G13" s="29">
        <f>E13</f>
        <v/>
      </c>
    </row>
    <row r="14">
      <c r="A14" s="8" t="inlineStr">
        <is>
          <t>2/10</t>
        </is>
      </c>
      <c r="B14" s="30" t="n">
        <v>46553</v>
      </c>
      <c r="C14" s="29">
        <f>($B$5+$B$9)/2*$B$8</f>
        <v/>
      </c>
      <c r="D14" s="29">
        <f>C14*$B$7</f>
        <v/>
      </c>
      <c r="E14" s="29">
        <f>C14-D14</f>
        <v/>
      </c>
      <c r="F14" s="29">
        <f>F13+E14</f>
        <v/>
      </c>
      <c r="G14" s="29">
        <f>E14</f>
        <v/>
      </c>
    </row>
    <row r="15">
      <c r="A15" s="8" t="inlineStr">
        <is>
          <t>3/10</t>
        </is>
      </c>
      <c r="B15" s="30" t="n">
        <v>46736</v>
      </c>
      <c r="C15" s="29">
        <f>($B$5+$B$9)/2*$B$8</f>
        <v/>
      </c>
      <c r="D15" s="29">
        <f>C15*$B$7</f>
        <v/>
      </c>
      <c r="E15" s="29">
        <f>C15-D15</f>
        <v/>
      </c>
      <c r="F15" s="29">
        <f>F14+E15</f>
        <v/>
      </c>
      <c r="G15" s="29">
        <f>E15</f>
        <v/>
      </c>
    </row>
    <row r="16">
      <c r="A16" s="8" t="inlineStr">
        <is>
          <t>4/10</t>
        </is>
      </c>
      <c r="B16" s="30" t="n">
        <v>46919</v>
      </c>
      <c r="C16" s="29">
        <f>($B$5+$B$9)/2*$B$8</f>
        <v/>
      </c>
      <c r="D16" s="29">
        <f>C16*$B$7</f>
        <v/>
      </c>
      <c r="E16" s="29">
        <f>C16-D16</f>
        <v/>
      </c>
      <c r="F16" s="29">
        <f>F15+E16</f>
        <v/>
      </c>
      <c r="G16" s="29">
        <f>E16</f>
        <v/>
      </c>
    </row>
    <row r="17">
      <c r="A17" s="8" t="inlineStr">
        <is>
          <t>5/10</t>
        </is>
      </c>
      <c r="B17" s="30" t="n">
        <v>47102</v>
      </c>
      <c r="C17" s="29">
        <f>($B$5+$B$9)/2*$B$8</f>
        <v/>
      </c>
      <c r="D17" s="29">
        <f>C17*$B$7</f>
        <v/>
      </c>
      <c r="E17" s="29">
        <f>C17-D17</f>
        <v/>
      </c>
      <c r="F17" s="29">
        <f>F16+E17</f>
        <v/>
      </c>
      <c r="G17" s="29">
        <f>E17</f>
        <v/>
      </c>
    </row>
    <row r="18">
      <c r="A18" s="8" t="inlineStr">
        <is>
          <t>6/10</t>
        </is>
      </c>
      <c r="B18" s="30" t="n">
        <v>47284</v>
      </c>
      <c r="C18" s="29">
        <f>($B$5+$B$9)/2*$B$8</f>
        <v/>
      </c>
      <c r="D18" s="29">
        <f>C18*$B$7</f>
        <v/>
      </c>
      <c r="E18" s="29">
        <f>C18-D18</f>
        <v/>
      </c>
      <c r="F18" s="29">
        <f>F17+E18</f>
        <v/>
      </c>
      <c r="G18" s="29">
        <f>E18</f>
        <v/>
      </c>
    </row>
    <row r="19">
      <c r="A19" s="8" t="inlineStr">
        <is>
          <t>7/10</t>
        </is>
      </c>
      <c r="B19" s="30" t="n">
        <v>47467</v>
      </c>
      <c r="C19" s="29">
        <f>($B$5+$B$9)/2*$B$8</f>
        <v/>
      </c>
      <c r="D19" s="29">
        <f>C19*$B$7</f>
        <v/>
      </c>
      <c r="E19" s="29">
        <f>C19-D19</f>
        <v/>
      </c>
      <c r="F19" s="29">
        <f>F18+E19</f>
        <v/>
      </c>
      <c r="G19" s="29">
        <f>E19</f>
        <v/>
      </c>
    </row>
    <row r="20">
      <c r="A20" s="8" t="inlineStr">
        <is>
          <t>8/10</t>
        </is>
      </c>
      <c r="B20" s="30" t="n">
        <v>47649</v>
      </c>
      <c r="C20" s="29">
        <f>($B$5+$B$9)/2*$B$8</f>
        <v/>
      </c>
      <c r="D20" s="29">
        <f>C20*$B$7</f>
        <v/>
      </c>
      <c r="E20" s="29">
        <f>C20-D20</f>
        <v/>
      </c>
      <c r="F20" s="29">
        <f>F19+E20</f>
        <v/>
      </c>
      <c r="G20" s="29">
        <f>E20</f>
        <v/>
      </c>
    </row>
    <row r="21">
      <c r="A21" s="8" t="inlineStr">
        <is>
          <t>9/10</t>
        </is>
      </c>
      <c r="B21" s="30" t="n">
        <v>47832</v>
      </c>
      <c r="C21" s="29">
        <f>($B$5+$B$9)/2*$B$8</f>
        <v/>
      </c>
      <c r="D21" s="29">
        <f>C21*$B$7</f>
        <v/>
      </c>
      <c r="E21" s="29">
        <f>C21-D21</f>
        <v/>
      </c>
      <c r="F21" s="29">
        <f>F20+E21</f>
        <v/>
      </c>
      <c r="G21" s="29">
        <f>E21</f>
        <v/>
      </c>
    </row>
    <row r="22">
      <c r="A22" s="8" t="inlineStr">
        <is>
          <t>10/10</t>
        </is>
      </c>
      <c r="B22" s="30" t="n">
        <v>48014</v>
      </c>
      <c r="C22" s="29">
        <f>($B$5+$B$9)/2*$B$8</f>
        <v/>
      </c>
      <c r="D22" s="29">
        <f>C22*$B$7</f>
        <v/>
      </c>
      <c r="E22" s="29">
        <f>C22-D22</f>
        <v/>
      </c>
      <c r="F22" s="29">
        <f>F21+E22</f>
        <v/>
      </c>
      <c r="G22" s="29">
        <f>E22</f>
        <v/>
      </c>
    </row>
    <row r="23">
      <c r="A23" s="8" t="inlineStr">
        <is>
          <t>Premio</t>
        </is>
      </c>
      <c r="B23" s="30" t="n">
        <v>48014</v>
      </c>
      <c r="C23" s="29">
        <f>$B$8*$B$6</f>
        <v/>
      </c>
      <c r="D23" s="29">
        <f>C23*$B$7</f>
        <v/>
      </c>
      <c r="E23" s="29">
        <f>C23-D23</f>
        <v/>
      </c>
      <c r="F23" s="29">
        <f>F22+E23</f>
        <v/>
      </c>
      <c r="G23" s="29">
        <f>E23</f>
        <v/>
      </c>
    </row>
    <row r="24">
      <c r="A24" s="8" t="inlineStr">
        <is>
          <t>Acquisto</t>
        </is>
      </c>
      <c r="B24" s="30" t="n">
        <v>46192</v>
      </c>
      <c r="G24" s="29">
        <f>-$B$8</f>
        <v/>
      </c>
    </row>
    <row r="25">
      <c r="A25" s="8" t="inlineStr">
        <is>
          <t>Rimborso</t>
        </is>
      </c>
      <c r="B25" s="30" t="n">
        <v>48014</v>
      </c>
      <c r="G25" s="29">
        <f>$B$8</f>
        <v/>
      </c>
    </row>
    <row r="26">
      <c r="A26" s="8" t="inlineStr">
        <is>
          <t>TOTALE NETTO 5 ANNI (cedole + premio)</t>
        </is>
      </c>
      <c r="F26" s="29">
        <f>F23</f>
        <v/>
      </c>
    </row>
    <row r="28">
      <c r="A28" s="7" t="inlineStr">
        <is>
          <t>IRR dai flussi di cassa</t>
        </is>
      </c>
    </row>
    <row r="29">
      <c r="A29" s="8" t="inlineStr">
        <is>
          <t>IRR nominale netto EFFETTIVO (XIRR composto sui flussi)</t>
        </is>
      </c>
      <c r="F29" s="16">
        <f>XIRR(G13:G25,B13:B25)</f>
        <v/>
      </c>
    </row>
    <row r="30">
      <c r="A30" s="8" t="inlineStr">
        <is>
          <t>IRR nominale netto LINEARE (convenzione fogli 2-7)</t>
        </is>
      </c>
      <c r="F30" s="16">
        <f>ROUND(($B$5+$B$6/'1 - Parametri'!B6+$B$9)*(1-$B$7),6)</f>
        <v/>
      </c>
    </row>
    <row r="31">
      <c r="A31" s="8" t="inlineStr">
        <is>
          <t>IRR REALE netto effettivo (XIRR - FOI media)</t>
        </is>
      </c>
      <c r="F31" s="16">
        <f>F29-$B$9</f>
        <v/>
      </c>
    </row>
    <row r="33">
      <c r="A33" s="7" t="inlineStr">
        <is>
          <t>Note metodologiche</t>
        </is>
      </c>
    </row>
    <row r="34" ht="90" customHeight="1">
      <c r="A34" s="10" t="inlineStr">
        <is>
          <t>Date indicative: godimento giugno 2026, cedole semestrali dicembre/giugno (15 del mese convenzionale; acquisto = chiusura collocamento 19/06/2026). Il FOI media e' un'ipotesi di scenario: le cedole effettive varieranno semestre per semestre con l'inflazione FOI rilevata da ISTAT. Il premio fedelta' spetta solo a chi sottoscrive in collocamento e tiene fino a scadenza. XIRR = rendimento composto effettivo sui flussi datati; differisce di pochi centesimi dall'IRR lineare divulgativo usato negli altri fogli (che non compone i reinvestimenti).</t>
        </is>
      </c>
    </row>
  </sheetData>
  <mergeCells count="8">
    <mergeCell ref="C9:G9"/>
    <mergeCell ref="A1:G1"/>
    <mergeCell ref="A34:G34"/>
    <mergeCell ref="A4:G4"/>
    <mergeCell ref="A2:G2"/>
    <mergeCell ref="A33:G33"/>
    <mergeCell ref="A11:G11"/>
    <mergeCell ref="A28:G28"/>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46" customWidth="1" min="1" max="1"/>
    <col width="16" customWidth="1" min="2" max="2"/>
    <col width="34" customWidth="1" min="3" max="3"/>
  </cols>
  <sheetData>
    <row r="1" ht="25" customHeight="1">
      <c r="A1" s="1" t="inlineStr">
        <is>
          <t>Switch: conviene vendere un vecchio BTP Italia per il nuovo Si?</t>
        </is>
      </c>
    </row>
    <row r="2" ht="32" customHeight="1">
      <c r="A2" s="2" t="inlineStr">
        <is>
          <t>Strumento informativo / divulgativo. NON è consulenza finanziaria. I valori sono indicativi al 2026 e vanno verificati col tuo consulente.</t>
        </is>
      </c>
    </row>
    <row r="4">
      <c r="A4" s="7" t="inlineStr">
        <is>
          <t>Il tuo vecchio BTP Italia (quello che valuti di vendere)</t>
        </is>
      </c>
    </row>
    <row r="5">
      <c r="A5" s="8" t="inlineStr">
        <is>
          <t>Nominale posseduto (EUR)</t>
        </is>
      </c>
      <c r="B5" s="13" t="n">
        <v>10000</v>
      </c>
    </row>
    <row r="6">
      <c r="A6" s="8" t="inlineStr">
        <is>
          <t>Prezzo MOT attuale (su 100)</t>
        </is>
      </c>
      <c r="B6" s="14" t="n">
        <v>101.4</v>
      </c>
    </row>
    <row r="7">
      <c r="A7" s="8" t="inlineStr">
        <is>
          <t>Tasso reale del vecchio (% annuo)</t>
        </is>
      </c>
      <c r="B7" s="9" t="n">
        <v>0.0185</v>
      </c>
    </row>
    <row r="8">
      <c r="A8" s="8" t="inlineStr">
        <is>
          <t>Anni residui alla scadenza</t>
        </is>
      </c>
      <c r="B8" s="11" t="n">
        <v>6</v>
      </c>
    </row>
    <row r="10">
      <c r="A10" s="7" t="inlineStr">
        <is>
          <t>Il nuovo BTP Italia Si (in emissione, a 100)</t>
        </is>
      </c>
    </row>
    <row r="11">
      <c r="A11" s="8" t="inlineStr">
        <is>
          <t>Tasso reale</t>
        </is>
      </c>
      <c r="B11" s="16">
        <f>'1 - Parametri'!B5</f>
        <v/>
      </c>
    </row>
    <row r="12">
      <c r="A12" s="8" t="inlineStr">
        <is>
          <t>Premio fedelta' (a scadenza)</t>
        </is>
      </c>
      <c r="B12" s="16">
        <f>'1 - Parametri'!B7</f>
        <v/>
      </c>
    </row>
    <row r="13">
      <c r="A13" s="8" t="inlineStr">
        <is>
          <t>Durata (anni)</t>
        </is>
      </c>
      <c r="B13" s="19">
        <f>'1 - Parametri'!B6</f>
        <v/>
      </c>
    </row>
    <row r="14">
      <c r="A14" s="8" t="inlineStr">
        <is>
          <t>Rendimento reale annuo (comprato a 100)</t>
        </is>
      </c>
      <c r="B14" s="16">
        <f>B11+B12/B13</f>
        <v/>
      </c>
    </row>
    <row r="16">
      <c r="A16" s="7" t="inlineStr">
        <is>
          <t>Confronto: rendimento reale annuo DA OGGI</t>
        </is>
      </c>
    </row>
    <row r="17">
      <c r="A17" s="8" t="inlineStr">
        <is>
          <t>Vecchio, tenuto a scadenza (sul prezzo attuale)</t>
        </is>
      </c>
      <c r="B17" s="16">
        <f>(B7*100+(100-B6)/B8)/B6</f>
        <v/>
      </c>
    </row>
    <row r="18">
      <c r="A18" s="8" t="inlineStr">
        <is>
          <t>Nuovo Si (comprato a 100)</t>
        </is>
      </c>
      <c r="B18" s="16">
        <f>B14</f>
        <v/>
      </c>
    </row>
    <row r="19">
      <c r="A19" s="8" t="inlineStr">
        <is>
          <t>Differenza annua (Si - vecchio)</t>
        </is>
      </c>
      <c r="B19" s="31">
        <f>B18-B17</f>
        <v/>
      </c>
    </row>
    <row r="20">
      <c r="A20" s="8" t="inlineStr">
        <is>
          <t>Vantaggio stimato dello switch (su 5 anni)</t>
        </is>
      </c>
      <c r="B20" s="32">
        <f>B19*B13*(B5*B6/100)</f>
        <v/>
      </c>
    </row>
    <row r="22">
      <c r="A22" s="7" t="inlineStr">
        <is>
          <t>Verdetto</t>
        </is>
      </c>
    </row>
    <row r="23">
      <c r="A23" s="8" t="inlineStr">
        <is>
          <t>Conviene lo switch?</t>
        </is>
      </c>
      <c r="B23" s="25">
        <f>IF(B18&gt;B17,"SI - valuta lo switch","NO - tieni il vecchio")</f>
        <v/>
      </c>
    </row>
    <row r="24">
      <c r="A24" s="8" t="inlineStr">
        <is>
          <t>Prezzo di indifferenza del vecchio</t>
        </is>
      </c>
      <c r="B24" s="24">
        <f>(B7*100+100/B8)/(B18+1/B8)</f>
        <v/>
      </c>
    </row>
    <row r="26" ht="45" customHeight="1">
      <c r="A26" s="10" t="inlineStr">
        <is>
          <t>Logica: confronta il rendimento reale annuo che otterresti DA OGGI tenendo il vecchio (penalizzato se quota sopra 100, perche' a scadenza torna a 100) contro il Si comprato a 100. Se il vecchio quota SOPRA il prezzo di indifferenza, lo switch inizia ad avere senso.</t>
        </is>
      </c>
    </row>
    <row r="29" ht="60" customHeight="1">
      <c r="A29" s="10" t="inlineStr">
        <is>
          <t>Attenzione: vendendo il vecchio perdi il rateo/rivalutazione gia' maturati e il suo premio fedelta'; paghi spread ed esecuzione. Per piccoli importi il vantaggio e' spesso di pochi euro. Stima semplificata (rendimento 'semplice', cedole non reinvestite). NON e' consulenza finanziaria.</t>
        </is>
      </c>
    </row>
    <row r="32">
      <c r="A32" s="7" t="inlineStr">
        <is>
          <t>Dati grafico break-even (prezzo del vecchio -&gt; rendimento reale)</t>
        </is>
      </c>
    </row>
    <row r="33">
      <c r="A33" s="22" t="inlineStr">
        <is>
          <t>Prezzo vecchio</t>
        </is>
      </c>
      <c r="B33" s="22" t="inlineStr">
        <is>
          <t>Vecchio (rend. reale)</t>
        </is>
      </c>
      <c r="C33" s="22" t="inlineStr">
        <is>
          <t>Nuovo Si (rend. reale)</t>
        </is>
      </c>
    </row>
    <row r="34">
      <c r="A34" s="11" t="n">
        <v>98</v>
      </c>
      <c r="B34" s="16">
        <f>(B$7*100+(100-A34)/B$8)/A34</f>
        <v/>
      </c>
      <c r="C34" s="16">
        <f>B$14</f>
        <v/>
      </c>
    </row>
    <row r="35">
      <c r="A35" s="11" t="n">
        <v>99</v>
      </c>
      <c r="B35" s="16">
        <f>(B$7*100+(100-A35)/B$8)/A35</f>
        <v/>
      </c>
      <c r="C35" s="16">
        <f>B$14</f>
        <v/>
      </c>
    </row>
    <row r="36">
      <c r="A36" s="11" t="n">
        <v>100</v>
      </c>
      <c r="B36" s="16">
        <f>(B$7*100+(100-A36)/B$8)/A36</f>
        <v/>
      </c>
      <c r="C36" s="16">
        <f>B$14</f>
        <v/>
      </c>
    </row>
    <row r="37">
      <c r="A37" s="11" t="n">
        <v>101</v>
      </c>
      <c r="B37" s="16">
        <f>(B$7*100+(100-A37)/B$8)/A37</f>
        <v/>
      </c>
      <c r="C37" s="16">
        <f>B$14</f>
        <v/>
      </c>
    </row>
    <row r="38">
      <c r="A38" s="11" t="n">
        <v>102</v>
      </c>
      <c r="B38" s="16">
        <f>(B$7*100+(100-A38)/B$8)/A38</f>
        <v/>
      </c>
      <c r="C38" s="16">
        <f>B$14</f>
        <v/>
      </c>
    </row>
    <row r="39">
      <c r="A39" s="11" t="n">
        <v>103</v>
      </c>
      <c r="B39" s="16">
        <f>(B$7*100+(100-A39)/B$8)/A39</f>
        <v/>
      </c>
      <c r="C39" s="16">
        <f>B$14</f>
        <v/>
      </c>
    </row>
    <row r="40">
      <c r="A40" s="11" t="n">
        <v>104</v>
      </c>
      <c r="B40" s="16">
        <f>(B$7*100+(100-A40)/B$8)/A40</f>
        <v/>
      </c>
      <c r="C40" s="16">
        <f>B$14</f>
        <v/>
      </c>
    </row>
    <row r="41">
      <c r="A41" s="11" t="n">
        <v>105</v>
      </c>
      <c r="B41" s="16">
        <f>(B$7*100+(100-A41)/B$8)/A41</f>
        <v/>
      </c>
      <c r="C41" s="16">
        <f>B$14</f>
        <v/>
      </c>
    </row>
  </sheetData>
  <mergeCells count="9">
    <mergeCell ref="A10:C10"/>
    <mergeCell ref="A1:C1"/>
    <mergeCell ref="A16:C16"/>
    <mergeCell ref="A32:C32"/>
    <mergeCell ref="A22:C22"/>
    <mergeCell ref="A29:C29"/>
    <mergeCell ref="A4:C4"/>
    <mergeCell ref="A26:C26"/>
    <mergeCell ref="A2:C2"/>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2026-06-12T12:13:09Z</dcterms:created>
  <dcterms:modified xsi:type="dcterms:W3CDTF">2026-06-20T15:24:51Z</dcterms:modified>
</cp:coreProperties>
</file>