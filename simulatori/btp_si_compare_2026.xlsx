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worksheets/sheet10.xml" ContentType="application/vnd.openxmlformats-officedocument.spreadsheetml.worksheet+xml"/>
  <Override PartName="/xl/drawings/drawing8.xml" ContentType="application/vnd.openxmlformats-officedocument.drawing+xml"/>
  <Override PartName="/xl/worksheets/sheet11.xml" ContentType="application/vnd.openxmlformats-officedocument.spreadsheetml.worksheet+xml"/>
  <Override PartName="/xl/drawings/drawing9.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 - Indice" sheetId="1" state="visible" r:id="rId1"/>
    <sheet name="1 - Parametri" sheetId="2" state="visible" r:id="rId2"/>
    <sheet name="2 - BTP Italia Si" sheetId="3" state="visible" r:id="rId3"/>
    <sheet name="3 - BTP Italia classico" sheetId="4" state="visible" r:id="rId4"/>
    <sheet name="4 - BTP Valore" sheetId="5" state="visible" r:id="rId5"/>
    <sheet name="5 - BTP Futura" sheetId="6" state="visible" r:id="rId6"/>
    <sheet name="6 - BTP nominali" sheetId="7" state="visible" r:id="rId7"/>
    <sheet name="7 - MATRICE COMPARATIVA" sheetId="8" state="visible" r:id="rId8"/>
    <sheet name="8 - Break-even" sheetId="9" state="visible" r:id="rId9"/>
    <sheet name="9 - 4 profili FIRE" sheetId="10" state="visible" r:id="rId10"/>
    <sheet name="10 - Calcolatore personale" sheetId="11" state="visible" r:id="rId11"/>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0%"/>
  </numFmts>
  <fonts count="8">
    <font>
      <name val="Calibri"/>
      <family val="2"/>
      <color theme="1"/>
      <sz val="11"/>
      <scheme val="minor"/>
    </font>
    <font>
      <name val="Calibri"/>
      <b val="1"/>
      <color rgb="001E40AF"/>
      <sz val="16"/>
    </font>
    <font>
      <name val="Calibri"/>
      <i val="1"/>
      <color rgb="00991B1B"/>
      <sz val="10"/>
    </font>
    <font>
      <name val="Calibri"/>
      <b val="1"/>
      <sz val="14"/>
    </font>
    <font>
      <name val="Calibri"/>
      <b val="1"/>
      <sz val="11"/>
    </font>
    <font>
      <name val="Calibri"/>
      <sz val="11"/>
    </font>
    <font>
      <name val="Calibri"/>
      <i val="1"/>
      <color rgb="00666666"/>
      <sz val="9"/>
    </font>
    <font>
      <name val="Calibri"/>
      <b val="1"/>
      <color rgb="00FFFFFF"/>
      <sz val="13"/>
    </font>
  </fonts>
  <fills count="8">
    <fill>
      <patternFill/>
    </fill>
    <fill>
      <patternFill patternType="gray125"/>
    </fill>
    <fill>
      <patternFill patternType="solid">
        <fgColor rgb="00FEE2E2"/>
      </patternFill>
    </fill>
    <fill>
      <patternFill patternType="solid">
        <fgColor rgb="001E40AF"/>
      </patternFill>
    </fill>
    <fill>
      <patternFill patternType="solid">
        <fgColor rgb="00FFF59D"/>
      </patternFill>
    </fill>
    <fill>
      <patternFill patternType="solid">
        <fgColor rgb="00FAFAFA"/>
      </patternFill>
    </fill>
    <fill>
      <patternFill patternType="solid">
        <fgColor rgb="00C8E6C9"/>
      </patternFill>
    </fill>
    <fill>
      <patternFill patternType="solid">
        <fgColor rgb="00DBEAFE"/>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2" borderId="0" applyAlignment="1" pivotButton="0" quotePrefix="0" xfId="0">
      <alignment horizontal="left" vertical="center" wrapText="1"/>
    </xf>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3" borderId="0" applyAlignment="1" pivotButton="0" quotePrefix="0" xfId="0">
      <alignment horizontal="center" vertical="center" wrapText="1"/>
    </xf>
    <xf numFmtId="0" fontId="4" fillId="0" borderId="1" applyAlignment="1" pivotButton="0" quotePrefix="0" xfId="0">
      <alignment horizontal="left" vertical="center" wrapText="1"/>
    </xf>
    <xf numFmtId="10" fontId="5" fillId="4" borderId="1" applyAlignment="1" pivotButton="0" quotePrefix="0" xfId="0">
      <alignment horizontal="right" vertical="center"/>
    </xf>
    <xf numFmtId="0" fontId="6" fillId="5" borderId="0" applyAlignment="1" pivotButton="0" quotePrefix="0" xfId="0">
      <alignment horizontal="left" vertical="center" wrapText="1"/>
    </xf>
    <xf numFmtId="1" fontId="5" fillId="4" borderId="1" applyAlignment="1" pivotButton="0" quotePrefix="0" xfId="0">
      <alignment horizontal="right" vertical="center"/>
    </xf>
    <xf numFmtId="164" fontId="5" fillId="4" borderId="1" applyAlignment="1" pivotButton="0" quotePrefix="0" xfId="0">
      <alignment horizontal="right" vertical="center"/>
    </xf>
    <xf numFmtId="3" fontId="5" fillId="4" borderId="1" applyAlignment="1" pivotButton="0" quotePrefix="0" xfId="0">
      <alignment horizontal="right" vertical="center"/>
    </xf>
    <xf numFmtId="2" fontId="5" fillId="4" borderId="1" applyAlignment="1" pivotButton="0" quotePrefix="0" xfId="0">
      <alignment horizontal="right" vertical="center"/>
    </xf>
    <xf numFmtId="165" fontId="5" fillId="4" borderId="1" applyAlignment="1" pivotButton="0" quotePrefix="0" xfId="0">
      <alignment horizontal="right" vertical="center"/>
    </xf>
    <xf numFmtId="10" fontId="5" fillId="6" borderId="1" applyAlignment="1" pivotButton="0" quotePrefix="0" xfId="0">
      <alignment horizontal="right" vertical="center"/>
    </xf>
    <xf numFmtId="1" fontId="5" fillId="6" borderId="1" applyAlignment="1" pivotButton="0" quotePrefix="0" xfId="0">
      <alignment horizontal="right" vertical="center"/>
    </xf>
    <xf numFmtId="164" fontId="5" fillId="6" borderId="1" applyAlignment="1" pivotButton="0" quotePrefix="0" xfId="0">
      <alignment horizontal="right" vertical="center"/>
    </xf>
    <xf numFmtId="3" fontId="5" fillId="6" borderId="1" applyAlignment="1" pivotButton="0" quotePrefix="0" xfId="0">
      <alignment horizontal="right" vertical="center"/>
    </xf>
    <xf numFmtId="0" fontId="4" fillId="7" borderId="1" applyAlignment="1" pivotButton="0" quotePrefix="0" xfId="0">
      <alignment horizontal="center" vertical="center" wrapText="1"/>
    </xf>
    <xf numFmtId="166" fontId="5" fillId="6" borderId="1" applyAlignment="1" pivotButton="0" quotePrefix="0" xfId="0">
      <alignment horizontal="right" vertical="center"/>
    </xf>
    <xf numFmtId="49" fontId="5" fillId="6" borderId="1" applyAlignment="1" pivotButton="0" quotePrefix="0" xfId="0">
      <alignment horizontal="right" vertical="center"/>
    </xf>
    <xf numFmtId="9" fontId="5" fillId="6" borderId="1" applyAlignment="1" pivotButton="0" quotePrefix="0" xfId="0">
      <alignment horizontal="right" vertical="center"/>
    </xf>
    <xf numFmtId="9" fontId="5" fillId="4"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harts/chart1.xml><?xml version="1.0" encoding="utf-8"?>
<chartSpace xmlns:a="http://schemas.openxmlformats.org/drawingml/2006/main" xmlns="http://schemas.openxmlformats.org/drawingml/2006/chart">
  <style val="10"/>
  <chart>
    <title>
      <tx>
        <rich>
          <a:bodyPr/>
          <a:p>
            <a:pPr>
              <a:defRPr/>
            </a:pPr>
            <a:r>
              <a:t>BTP Italia Sì - IRR netto annuo per scenario</a:t>
            </a:r>
          </a:p>
        </rich>
      </tx>
      <overlay val="0"/>
    </title>
    <plotArea>
      <barChart>
        <barDir val="col"/>
        <grouping val="clustered"/>
        <ser>
          <idx val="0"/>
          <order val="0"/>
          <tx>
            <strRef>
              <f>'2 - BTP Italia Si'!E19</f>
            </strRef>
          </tx>
          <spPr>
            <a:ln>
              <a:prstDash val="solid"/>
            </a:ln>
          </spPr>
          <cat>
            <numRef>
              <f>'2 - BTP Italia Si'!$A$20:$A$23</f>
            </numRef>
          </cat>
          <val>
            <numRef>
              <f>'2 - BTP Italia Si'!$E$20:$E$23</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IRR netto</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BTP Italia classico - IRR netto annuo per scenario</a:t>
            </a:r>
          </a:p>
        </rich>
      </tx>
      <overlay val="0"/>
    </title>
    <plotArea>
      <barChart>
        <barDir val="col"/>
        <grouping val="clustered"/>
        <ser>
          <idx val="0"/>
          <order val="0"/>
          <tx>
            <strRef>
              <f>'3 - BTP Italia classico'!C18</f>
            </strRef>
          </tx>
          <spPr>
            <a:ln>
              <a:prstDash val="solid"/>
            </a:ln>
          </spPr>
          <cat>
            <numRef>
              <f>'3 - BTP Italia classico'!$A$19:$A$22</f>
            </numRef>
          </cat>
          <val>
            <numRef>
              <f>'3 - BTP Italia classico'!$C$19:$C$22</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IRR netto</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BTP Valore - cedole step-up 2+2+2</a:t>
            </a:r>
          </a:p>
        </rich>
      </tx>
      <overlay val="0"/>
    </title>
    <plotArea>
      <barChart>
        <barDir val="col"/>
        <grouping val="clustered"/>
        <ser>
          <idx val="0"/>
          <order val="0"/>
          <tx>
            <strRef>
              <f>'4 - BTP Valore'!B14</f>
            </strRef>
          </tx>
          <spPr>
            <a:ln>
              <a:prstDash val="solid"/>
            </a:ln>
          </spPr>
          <cat>
            <numRef>
              <f>'4 - BTP Valore'!$A$15:$A$17</f>
            </numRef>
          </cat>
          <val>
            <numRef>
              <f>'4 - BTP Valore'!$B$15:$B$17</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Cedola annua lorda</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BTP Futura - tot. netto 12 anni per scenario PIL</a:t>
            </a:r>
          </a:p>
        </rich>
      </tx>
      <overlay val="0"/>
    </title>
    <plotArea>
      <barChart>
        <barDir val="col"/>
        <grouping val="clustered"/>
        <ser>
          <idx val="0"/>
          <order val="0"/>
          <tx>
            <strRef>
              <f>'5 - BTP Futura'!E15</f>
            </strRef>
          </tx>
          <spPr>
            <a:ln>
              <a:prstDash val="solid"/>
            </a:ln>
          </spPr>
          <cat>
            <numRef>
              <f>'5 - BTP Futura'!$A$16:$A$18</f>
            </numRef>
          </cat>
          <val>
            <numRef>
              <f>'5 - BTP Futura'!$E$16:$E$18</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EUR su 10k</a:t>
                </a:r>
              </a:p>
            </rich>
          </tx>
          <layout>
            <manualLayout>
              <xMode val="edge"/>
              <yMode val="edge"/>
              <wMode val="factor"/>
              <hMode val="factor"/>
              <x val="0.005"/>
              <y val="0.3"/>
            </manualLayout>
          </layout>
          <overlay val="0"/>
        </title>
        <numFmt formatCode="#,##0" sourceLinked="0"/>
        <majorTickMark val="none"/>
        <minorTickMark val="none"/>
        <tickLblPos val="nextTo"/>
        <crossAx val="10"/>
      </valAx>
    </plotArea>
    <legend>
      <legendPos val="r"/>
      <overlay val="0"/>
    </legend>
    <plotVisOnly val="1"/>
    <dispBlanksAs val="gap"/>
  </chart>
</chartSpace>
</file>

<file path=xl/charts/chart5.xml><?xml version="1.0" encoding="utf-8"?>
<chartSpace xmlns:a="http://schemas.openxmlformats.org/drawingml/2006/main" xmlns="http://schemas.openxmlformats.org/drawingml/2006/chart">
  <style val="12"/>
  <chart>
    <title>
      <tx>
        <rich>
          <a:bodyPr/>
          <a:p>
            <a:pPr>
              <a:defRPr/>
            </a:pPr>
            <a:r>
              <a:t>Curva BTP nominali 2026 - rendimento lordo per scadenza</a:t>
            </a:r>
          </a:p>
        </rich>
      </tx>
      <overlay val="0"/>
    </title>
    <plotArea>
      <lineChart>
        <grouping val="standard"/>
        <ser>
          <idx val="0"/>
          <order val="0"/>
          <tx>
            <strRef>
              <f>'6 - BTP nominali'!B8</f>
            </strRef>
          </tx>
          <spPr>
            <a:ln>
              <a:prstDash val="solid"/>
            </a:ln>
          </spPr>
          <marker>
            <symbol val="none"/>
            <spPr>
              <a:ln>
                <a:prstDash val="solid"/>
              </a:ln>
            </spPr>
          </marker>
          <cat>
            <numRef>
              <f>'6 - BTP nominali'!$A$9:$A$13</f>
            </numRef>
          </cat>
          <val>
            <numRef>
              <f>'6 - BTP nominali'!$B$9:$B$13</f>
            </numRef>
          </val>
        </ser>
        <axId val="10"/>
        <axId val="100"/>
      </lineChart>
      <catAx>
        <axId val="10"/>
        <scaling>
          <orientation val="minMax"/>
        </scaling>
        <delete val="0"/>
        <axPos val="l"/>
        <title>
          <tx>
            <rich>
              <a:bodyPr/>
              <a:p>
                <a:pPr>
                  <a:defRPr/>
                </a:pPr>
                <a:r>
                  <a:t>Scadenza</a:t>
                </a:r>
              </a:p>
            </rich>
          </tx>
          <layout>
            <manualLayout>
              <xMode val="edge"/>
              <yMode val="edge"/>
              <wMode val="factor"/>
              <hMode val="factor"/>
              <x val="0.4"/>
              <y val="0.93"/>
            </manualLayout>
          </layout>
          <overlay val="0"/>
        </title>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Rendimento lordo</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6.xml><?xml version="1.0" encoding="utf-8"?>
<chartSpace xmlns:a="http://schemas.openxmlformats.org/drawingml/2006/main" xmlns="http://schemas.openxmlformats.org/drawingml/2006/chart">
  <style val="12"/>
  <chart>
    <title>
      <tx>
        <rich>
          <a:bodyPr/>
          <a:p>
            <a:pPr>
              <a:defRPr/>
            </a:pPr>
            <a:r>
              <a:t>Matrice: rendimento REALE netto annuo per strumento × inflazione</a:t>
            </a:r>
          </a:p>
        </rich>
      </tx>
      <overlay val="0"/>
    </title>
    <plotArea>
      <lineChart>
        <grouping val="standard"/>
        <ser>
          <idx val="0"/>
          <order val="0"/>
          <tx>
            <strRef>
              <f>'7 - MATRICE COMPARATIVA'!A6</f>
            </strRef>
          </tx>
          <spPr>
            <a:ln w="28000">
              <a:solidFill>
                <a:srgbClr val="10B981"/>
              </a:solidFill>
              <a:prstDash val="solid"/>
            </a:ln>
          </spPr>
          <marker>
            <symbol val="none"/>
            <spPr>
              <a:ln>
                <a:prstDash val="solid"/>
              </a:ln>
            </spPr>
          </marker>
          <cat>
            <numRef>
              <f>'7 - MATRICE COMPARATIVA'!$B$5:$E$5</f>
            </numRef>
          </cat>
          <val>
            <numRef>
              <f>'7 - MATRICE COMPARATIVA'!$B$6:$E$6</f>
            </numRef>
          </val>
        </ser>
        <ser>
          <idx val="1"/>
          <order val="1"/>
          <tx>
            <strRef>
              <f>'7 - MATRICE COMPARATIVA'!A7</f>
            </strRef>
          </tx>
          <spPr>
            <a:ln w="28000">
              <a:solidFill>
                <a:srgbClr val="1E40AF"/>
              </a:solidFill>
              <a:prstDash val="solid"/>
            </a:ln>
          </spPr>
          <marker>
            <symbol val="none"/>
            <spPr>
              <a:ln>
                <a:prstDash val="solid"/>
              </a:ln>
            </spPr>
          </marker>
          <cat>
            <numRef>
              <f>'7 - MATRICE COMPARATIVA'!$B$5:$E$5</f>
            </numRef>
          </cat>
          <val>
            <numRef>
              <f>'7 - MATRICE COMPARATIVA'!$B$7:$E$7</f>
            </numRef>
          </val>
        </ser>
        <ser>
          <idx val="2"/>
          <order val="2"/>
          <tx>
            <strRef>
              <f>'7 - MATRICE COMPARATIVA'!A8</f>
            </strRef>
          </tx>
          <spPr>
            <a:ln w="28000">
              <a:solidFill>
                <a:srgbClr val="F59E0B"/>
              </a:solidFill>
              <a:prstDash val="solid"/>
            </a:ln>
          </spPr>
          <marker>
            <symbol val="none"/>
            <spPr>
              <a:ln>
                <a:prstDash val="solid"/>
              </a:ln>
            </spPr>
          </marker>
          <cat>
            <numRef>
              <f>'7 - MATRICE COMPARATIVA'!$B$5:$E$5</f>
            </numRef>
          </cat>
          <val>
            <numRef>
              <f>'7 - MATRICE COMPARATIVA'!$B$8:$E$8</f>
            </numRef>
          </val>
        </ser>
        <ser>
          <idx val="3"/>
          <order val="3"/>
          <tx>
            <strRef>
              <f>'7 - MATRICE COMPARATIVA'!A9</f>
            </strRef>
          </tx>
          <spPr>
            <a:ln w="28000">
              <a:solidFill>
                <a:srgbClr val="EF4444"/>
              </a:solidFill>
              <a:prstDash val="solid"/>
            </a:ln>
          </spPr>
          <marker>
            <symbol val="none"/>
            <spPr>
              <a:ln>
                <a:prstDash val="solid"/>
              </a:ln>
            </spPr>
          </marker>
          <cat>
            <numRef>
              <f>'7 - MATRICE COMPARATIVA'!$B$5:$E$5</f>
            </numRef>
          </cat>
          <val>
            <numRef>
              <f>'7 - MATRICE COMPARATIVA'!$B$9:$E$9</f>
            </numRef>
          </val>
        </ser>
        <ser>
          <idx val="4"/>
          <order val="4"/>
          <tx>
            <strRef>
              <f>'7 - MATRICE COMPARATIVA'!A10</f>
            </strRef>
          </tx>
          <spPr>
            <a:ln w="28000">
              <a:solidFill>
                <a:srgbClr val="8B5CF6"/>
              </a:solidFill>
              <a:prstDash val="solid"/>
            </a:ln>
          </spPr>
          <marker>
            <symbol val="none"/>
            <spPr>
              <a:ln>
                <a:prstDash val="solid"/>
              </a:ln>
            </spPr>
          </marker>
          <cat>
            <numRef>
              <f>'7 - MATRICE COMPARATIVA'!$B$5:$E$5</f>
            </numRef>
          </cat>
          <val>
            <numRef>
              <f>'7 - MATRICE COMPARATIVA'!$B$10:$E$10</f>
            </numRef>
          </val>
        </ser>
        <axId val="10"/>
        <axId val="100"/>
      </lineChart>
      <catAx>
        <axId val="10"/>
        <scaling>
          <orientation val="minMax"/>
        </scaling>
        <delete val="0"/>
        <axPos val="l"/>
        <title>
          <tx>
            <rich>
              <a:bodyPr/>
              <a:p>
                <a:pPr>
                  <a:defRPr/>
                </a:pPr>
                <a:r>
                  <a:t>Scenario inflazione FOI</a:t>
                </a:r>
              </a:p>
            </rich>
          </tx>
          <layout>
            <manualLayout>
              <xMode val="edge"/>
              <yMode val="edge"/>
              <wMode val="factor"/>
              <hMode val="factor"/>
              <x val="0.4"/>
              <y val="0.93"/>
            </manualLayout>
          </layout>
          <overlay val="0"/>
        </title>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Rendim. reale netto</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7.xml><?xml version="1.0" encoding="utf-8"?>
<chartSpace xmlns:a="http://schemas.openxmlformats.org/drawingml/2006/main" xmlns="http://schemas.openxmlformats.org/drawingml/2006/chart">
  <style val="10"/>
  <chart>
    <title>
      <tx>
        <rich>
          <a:bodyPr/>
          <a:p>
            <a:pPr>
              <a:defRPr/>
            </a:pPr>
            <a:r>
              <a:t>Break-even: soglia inflazione FOI per ogni avversario (cedola fissa nominale)</a:t>
            </a:r>
          </a:p>
        </rich>
      </tx>
      <overlay val="0"/>
    </title>
    <plotArea>
      <barChart>
        <barDir val="bar"/>
        <grouping val="clustered"/>
        <ser>
          <idx val="0"/>
          <order val="0"/>
          <tx>
            <strRef>
              <f>'8 - Break-even'!D5</f>
            </strRef>
          </tx>
          <spPr>
            <a:ln>
              <a:prstDash val="solid"/>
            </a:ln>
          </spPr>
          <cat>
            <numRef>
              <f>'8 - Break-even'!$A$6:$A$12</f>
            </numRef>
          </cat>
          <val>
            <numRef>
              <f>'8 - Break-even'!$D$6:$D$12</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Soglia inflazione</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8.xml><?xml version="1.0" encoding="utf-8"?>
<chartSpace xmlns:a="http://schemas.openxmlformats.org/drawingml/2006/main" xmlns="http://schemas.openxmlformats.org/drawingml/2006/chart">
  <style val="11"/>
  <chart>
    <title>
      <tx>
        <rich>
          <a:bodyPr/>
          <a:p>
            <a:pPr>
              <a:defRPr/>
            </a:pPr>
            <a:r>
              <a:t>Allocazione % per profilo FIRE (5 strumenti)</a:t>
            </a:r>
          </a:p>
        </rich>
      </tx>
      <overlay val="0"/>
    </title>
    <plotArea>
      <barChart>
        <barDir val="col"/>
        <grouping val="percentStacked"/>
        <ser>
          <idx val="0"/>
          <order val="0"/>
          <tx>
            <strRef>
              <f>'9 - 4 profili FIRE'!B5</f>
            </strRef>
          </tx>
          <spPr>
            <a:solidFill>
              <a:srgbClr val="10B981"/>
            </a:solidFill>
            <a:ln>
              <a:prstDash val="solid"/>
            </a:ln>
          </spPr>
          <cat>
            <numRef>
              <f>'9 - 4 profili FIRE'!$A$6:$A$9</f>
            </numRef>
          </cat>
          <val>
            <numRef>
              <f>'9 - 4 profili FIRE'!$B$6:$B$9</f>
            </numRef>
          </val>
        </ser>
        <ser>
          <idx val="1"/>
          <order val="1"/>
          <tx>
            <strRef>
              <f>'9 - 4 profili FIRE'!C5</f>
            </strRef>
          </tx>
          <spPr>
            <a:solidFill>
              <a:srgbClr val="1E40AF"/>
            </a:solidFill>
            <a:ln>
              <a:prstDash val="solid"/>
            </a:ln>
          </spPr>
          <cat>
            <numRef>
              <f>'9 - 4 profili FIRE'!$A$6:$A$9</f>
            </numRef>
          </cat>
          <val>
            <numRef>
              <f>'9 - 4 profili FIRE'!$C$6:$C$9</f>
            </numRef>
          </val>
        </ser>
        <ser>
          <idx val="2"/>
          <order val="2"/>
          <tx>
            <strRef>
              <f>'9 - 4 profili FIRE'!D5</f>
            </strRef>
          </tx>
          <spPr>
            <a:solidFill>
              <a:srgbClr val="F59E0B"/>
            </a:solidFill>
            <a:ln>
              <a:prstDash val="solid"/>
            </a:ln>
          </spPr>
          <cat>
            <numRef>
              <f>'9 - 4 profili FIRE'!$A$6:$A$9</f>
            </numRef>
          </cat>
          <val>
            <numRef>
              <f>'9 - 4 profili FIRE'!$D$6:$D$9</f>
            </numRef>
          </val>
        </ser>
        <ser>
          <idx val="3"/>
          <order val="3"/>
          <tx>
            <strRef>
              <f>'9 - 4 profili FIRE'!E5</f>
            </strRef>
          </tx>
          <spPr>
            <a:solidFill>
              <a:srgbClr val="EF4444"/>
            </a:solidFill>
            <a:ln>
              <a:prstDash val="solid"/>
            </a:ln>
          </spPr>
          <cat>
            <numRef>
              <f>'9 - 4 profili FIRE'!$A$6:$A$9</f>
            </numRef>
          </cat>
          <val>
            <numRef>
              <f>'9 - 4 profili FIRE'!$E$6:$E$9</f>
            </numRef>
          </val>
        </ser>
        <ser>
          <idx val="4"/>
          <order val="4"/>
          <tx>
            <strRef>
              <f>'9 - 4 profili FIRE'!F5</f>
            </strRef>
          </tx>
          <spPr>
            <a:solidFill>
              <a:srgbClr val="8B5CF6"/>
            </a:solidFill>
            <a:ln>
              <a:prstDash val="solid"/>
            </a:ln>
          </spPr>
          <cat>
            <numRef>
              <f>'9 - 4 profili FIRE'!$A$6:$A$9</f>
            </numRef>
          </cat>
          <val>
            <numRef>
              <f>'9 - 4 profili FIRE'!$F$6:$F$9</f>
            </numRef>
          </val>
        </ser>
        <gapWidth val="150"/>
        <overlap val="10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 portafoglio bond</a:t>
                </a:r>
              </a:p>
            </rich>
          </tx>
          <layout>
            <manualLayout>
              <xMode val="edge"/>
              <yMode val="edge"/>
              <wMode val="factor"/>
              <hMode val="factor"/>
              <x val="0.005"/>
              <y val="0.3"/>
            </manualLayout>
          </layout>
          <overlay val="0"/>
        </title>
        <numFmt formatCode="0%" sourceLinked="0"/>
        <majorTickMark val="none"/>
        <minorTickMark val="none"/>
        <tickLblPos val="nextTo"/>
        <crossAx val="10"/>
      </valAx>
    </plotArea>
    <legend>
      <legendPos val="r"/>
      <overlay val="0"/>
    </legend>
    <plotVisOnly val="1"/>
    <dispBlanksAs val="gap"/>
  </chart>
</chartSpace>
</file>

<file path=xl/charts/chart9.xml><?xml version="1.0" encoding="utf-8"?>
<chartSpace xmlns:a="http://schemas.openxmlformats.org/drawingml/2006/main" xmlns="http://schemas.openxmlformats.org/drawingml/2006/chart">
  <style val="10"/>
  <chart>
    <title>
      <tx>
        <rich>
          <a:bodyPr/>
          <a:p>
            <a:pPr>
              <a:defRPr/>
            </a:pPr>
            <a:r>
              <a:t>Rendimento REALE netto annuo per strumento (tuoi input)</a:t>
            </a:r>
          </a:p>
        </rich>
      </tx>
      <overlay val="0"/>
    </title>
    <plotArea>
      <barChart>
        <barDir val="col"/>
        <grouping val="clustered"/>
        <ser>
          <idx val="0"/>
          <order val="0"/>
          <tx>
            <strRef>
              <f>'10 - Calcolatore personale'!B11</f>
            </strRef>
          </tx>
          <spPr>
            <a:ln>
              <a:prstDash val="solid"/>
            </a:ln>
          </spPr>
          <cat>
            <numRef>
              <f>'10 - Calcolatore personale'!$A$12:$A$16</f>
            </numRef>
          </cat>
          <val>
            <numRef>
              <f>'10 - Calcolatore personale'!$B$12:$B$16</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Rendimento reale annuo</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792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9360000" cy="54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3</row>
      <rowOff>0</rowOff>
    </from>
    <ext cx="792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_rels/sheet10.xml.rels><Relationships xmlns="http://schemas.openxmlformats.org/package/2006/relationships"><Relationship Type="http://schemas.openxmlformats.org/officeDocument/2006/relationships/drawing" Target="/xl/drawings/drawing8.xml" Id="rId1" /></Relationships>
</file>

<file path=xl/worksheets/_rels/sheet11.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B33"/>
  <sheetViews>
    <sheetView workbookViewId="0">
      <selection activeCell="A1" sqref="A1"/>
    </sheetView>
  </sheetViews>
  <sheetFormatPr baseColWidth="8" defaultRowHeight="15"/>
  <cols>
    <col width="60" customWidth="1" min="1" max="1"/>
    <col width="30" customWidth="1" min="2" max="2"/>
  </cols>
  <sheetData>
    <row r="1" ht="32" customHeight="1">
      <c r="A1" s="1" t="inlineStr">
        <is>
          <t>Simulatore BTP Italia Si vs altri BTP retail (giugno 2026)</t>
        </is>
      </c>
    </row>
    <row r="2" ht="32" customHeight="1">
      <c r="A2" s="2" t="inlineStr">
        <is>
          <t>Strumento informativo / divulgativo. NON è consulenza finanziaria. I valori sono indicativi al 2026 e vanno verificati col tuo consulente.</t>
        </is>
      </c>
    </row>
    <row r="4">
      <c r="A4" s="3" t="inlineStr">
        <is>
          <t>Indice</t>
        </is>
      </c>
    </row>
    <row r="5" ht="22" customHeight="1">
      <c r="A5" s="4" t="inlineStr">
        <is>
          <t>1 - Parametri</t>
        </is>
      </c>
      <c r="B5" s="5" t="inlineStr">
        <is>
          <t>Input centralizzati (modifica QUI dopo annuncio MEF 12 giu)</t>
        </is>
      </c>
    </row>
    <row r="6" ht="22" customHeight="1">
      <c r="A6" s="4" t="inlineStr">
        <is>
          <t>2 - BTP Italia Si</t>
        </is>
      </c>
      <c r="B6" s="5" t="inlineStr">
        <is>
          <t>Rendimento Si in 4 scenari inflazione FOI</t>
        </is>
      </c>
    </row>
    <row r="7" ht="22" customHeight="1">
      <c r="A7" s="4" t="inlineStr">
        <is>
          <t>3 - BTP Italia classico</t>
        </is>
      </c>
      <c r="B7" s="5" t="inlineStr">
        <is>
          <t>Capitale rivalutato + cedola reale 2,0%</t>
        </is>
      </c>
    </row>
    <row r="8" ht="22" customHeight="1">
      <c r="A8" s="4" t="inlineStr">
        <is>
          <t>4 - BTP Valore</t>
        </is>
      </c>
      <c r="B8" s="5" t="inlineStr">
        <is>
          <t>Step-up 2+2+2 + premio 0,8%</t>
        </is>
      </c>
    </row>
    <row r="9" ht="22" customHeight="1">
      <c r="A9" s="4" t="inlineStr">
        <is>
          <t>5 - BTP Futura</t>
        </is>
      </c>
      <c r="B9" s="5" t="inlineStr">
        <is>
          <t>Storico 4a emissione + premio PIL</t>
        </is>
      </c>
    </row>
    <row r="10" ht="22" customHeight="1">
      <c r="A10" s="4" t="inlineStr">
        <is>
          <t>6 - BTP nominali</t>
        </is>
      </c>
      <c r="B10" s="5" t="inlineStr">
        <is>
          <t>Curva 2y/5y/10y rendimenti fissi</t>
        </is>
      </c>
    </row>
    <row r="11" ht="22" customHeight="1">
      <c r="A11" s="4" t="inlineStr">
        <is>
          <t>7 - MATRICE COMPARATIVA</t>
        </is>
      </c>
      <c r="B11" s="5" t="inlineStr">
        <is>
          <t>5 strumenti x 4 scenari (rendimenti REALI netti)</t>
        </is>
      </c>
    </row>
    <row r="12" ht="22" customHeight="1">
      <c r="A12" s="4" t="inlineStr">
        <is>
          <t>8 - Break-even</t>
        </is>
      </c>
      <c r="B12" s="5" t="inlineStr">
        <is>
          <t>Soglia inflazione per ogni avversario</t>
        </is>
      </c>
    </row>
    <row r="13" ht="22" customHeight="1">
      <c r="A13" s="4" t="inlineStr">
        <is>
          <t>9 - 4 profili FIRE</t>
        </is>
      </c>
      <c r="B13" s="5" t="inlineStr">
        <is>
          <t>Allocazione consigliata</t>
        </is>
      </c>
    </row>
    <row r="14" ht="22" customHeight="1">
      <c r="A14" s="4" t="inlineStr">
        <is>
          <t>10 - Calcolatore</t>
        </is>
      </c>
      <c r="B14" s="5" t="inlineStr">
        <is>
          <t>Tuo profilo personale - raccomandazione automatica</t>
        </is>
      </c>
    </row>
    <row r="16">
      <c r="A16" s="3" t="inlineStr">
        <is>
          <t>Come usare</t>
        </is>
      </c>
    </row>
    <row r="17">
      <c r="A17" s="5" t="inlineStr">
        <is>
          <t>1. Le celle GIALLE sono input — modificale coi tuoi numeri.</t>
        </is>
      </c>
    </row>
    <row r="18">
      <c r="A18" s="5" t="inlineStr">
        <is>
          <t>2. Le celle VERDI sono output — si aggiornano automaticamente.</t>
        </is>
      </c>
    </row>
    <row r="19">
      <c r="A19" s="5" t="inlineStr">
        <is>
          <t>3. Tutti i numeri di default sono al 2026 da fonti pubbliche.</t>
        </is>
      </c>
    </row>
    <row r="20">
      <c r="A20" s="5" t="inlineStr">
        <is>
          <t>4. Niente codice nascosto: l'Excel è solo formule modificabili.</t>
        </is>
      </c>
    </row>
    <row r="22">
      <c r="A22" s="3" t="inlineStr">
        <is>
          <t>Fonti dati</t>
        </is>
      </c>
    </row>
    <row r="23">
      <c r="A23" s="5" t="inlineStr">
        <is>
          <t>• MEF Dipartimento del Tesoro - Annuncio BTP Italia Si dal 15 al 19 giugno 2026</t>
        </is>
      </c>
    </row>
    <row r="24">
      <c r="A24" s="5" t="inlineStr">
        <is>
          <t>• MEF - BTP Italia maggio 2028 (IT0005***) tasso reale 2,0%; giu 2030 (IT0005497000) tasso reale 1,6%</t>
        </is>
      </c>
    </row>
    <row r="25">
      <c r="A25" s="5" t="inlineStr">
        <is>
          <t>• MEF - BTP Valore marzo 2026 step-up 2,60/2,80/3,80% + premio 0,8%, scadenza 10 ott 2032</t>
        </is>
      </c>
    </row>
    <row r="26">
      <c r="A26" s="5" t="inlineStr">
        <is>
          <t>• MEF - BTP Futura 4a emissione 2021 (nov 2021), 12 anni step-up 0,35/0,60/1,00 + premio PIL 0,4-3%</t>
        </is>
      </c>
    </row>
    <row r="27">
      <c r="A27" s="5" t="inlineStr">
        <is>
          <t>• MEF Tesoro - Calendario aste BTP nominali maggio 2026 (asta 13 e 28 maggio)</t>
        </is>
      </c>
    </row>
    <row r="28">
      <c r="A28" s="5" t="inlineStr">
        <is>
          <t>• Banca d'Italia - Risultati aste BTP nominali 2026 (rendimenti curva 2y-10y)</t>
        </is>
      </c>
    </row>
    <row r="29">
      <c r="A29" s="5" t="inlineStr">
        <is>
          <t>• ISTAT - Indice FOI per famiglie operai e impiegati (escluso tabacchi) - meccanismo BTP Italia</t>
        </is>
      </c>
    </row>
    <row r="30">
      <c r="A30" s="5" t="inlineStr">
        <is>
          <t>• Eurostat - HICP eurozona per BTPi (non incluso in matrice; alternativa istituzionale)</t>
        </is>
      </c>
    </row>
    <row r="31">
      <c r="A31" s="5" t="inlineStr">
        <is>
          <t>• Borsa Italiana MOT - mercato secondario BTP retail (liquidita' supportata da Dealer MEF)</t>
        </is>
      </c>
    </row>
    <row r="33">
      <c r="A33" s="6" t="inlineStr">
        <is>
          <t>Aggiornamenti: github.com/marcofire-it/marco-fire-simulatori</t>
        </is>
      </c>
    </row>
  </sheetData>
  <mergeCells count="2">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61"/>
  <sheetViews>
    <sheetView workbookViewId="0">
      <selection activeCell="A1" sqref="A1"/>
    </sheetView>
  </sheetViews>
  <sheetFormatPr baseColWidth="8" defaultRowHeight="15"/>
  <cols>
    <col width="50" customWidth="1" min="1" max="1"/>
    <col width="18" customWidth="1" min="2" max="2"/>
    <col width="14" customWidth="1" min="3" max="3"/>
    <col width="50" customWidth="1" min="4" max="4"/>
  </cols>
  <sheetData>
    <row r="1" ht="25" customHeight="1">
      <c r="A1" s="1" t="inlineStr">
        <is>
          <t>PARAMETRI CENTRALIZZATI (modifica QUI, tutto il resto si aggiorna)</t>
        </is>
      </c>
    </row>
    <row r="2" ht="32" customHeight="1">
      <c r="A2" s="2" t="inlineStr">
        <is>
          <t>Strumento informativo / divulgativo. NON è consulenza finanziaria. I valori sono indicativi al 2026 e vanno verificati col tuo consulente.</t>
        </is>
      </c>
    </row>
    <row r="4">
      <c r="A4" s="7" t="inlineStr">
        <is>
          <t>BTP Italia Si - emissione 15-19 giugno 2026</t>
        </is>
      </c>
    </row>
    <row r="5" ht="90" customHeight="1">
      <c r="A5" s="8" t="inlineStr">
        <is>
          <t>Tasso fisso reale annuo (possibile rialzo a chiusura 19/06)</t>
        </is>
      </c>
      <c r="B5" s="9" t="n">
        <v>0.012</v>
      </c>
      <c r="D5" s="10" t="inlineStr">
        <is>
          <t>Tasso minimo garantito annunciato dal MEF in apertura emissione. Puo' essere rivisto AL RIALZO (mai al ribasso) alla chiusura del collocamento, ven 19/06/2026 ore 13. Se rivisto, aggiorna SOLO questa cella e tutte le simulazioni si ricalcolano.</t>
        </is>
      </c>
    </row>
    <row r="6" ht="15" customHeight="1">
      <c r="A6" s="8" t="inlineStr">
        <is>
          <t>Durata (anni)</t>
        </is>
      </c>
      <c r="B6" s="11" t="n">
        <v>5</v>
      </c>
      <c r="D6" s="10" t="inlineStr">
        <is>
          <t>Fissa: 5 anni</t>
        </is>
      </c>
    </row>
    <row r="7" ht="30" customHeight="1">
      <c r="A7" s="8" t="inlineStr">
        <is>
          <t>Premio fedelta' finale</t>
        </is>
      </c>
      <c r="B7" s="9" t="n">
        <v>0.006</v>
      </c>
      <c r="D7" s="10" t="inlineStr">
        <is>
          <t>Confermato MEF: 0,6% del capitale (solo se mantenuto a scadenza)</t>
        </is>
      </c>
    </row>
    <row r="8" ht="15" customHeight="1">
      <c r="A8" s="8" t="inlineStr">
        <is>
          <t>Tassazione titoli di stato</t>
        </is>
      </c>
      <c r="B8" s="12" t="n">
        <v>0.125</v>
      </c>
      <c r="D8" s="10" t="inlineStr">
        <is>
          <t>12,5% su cedole + premio finale</t>
        </is>
      </c>
    </row>
    <row r="10">
      <c r="A10" s="7" t="inlineStr">
        <is>
          <t>BTP Italia classico in essere (riferimenti secondario MOT)</t>
        </is>
      </c>
    </row>
    <row r="11" ht="30" customHeight="1">
      <c r="A11" s="8" t="inlineStr">
        <is>
          <t>BTP Italia mag 2028 - cedola reale annua</t>
        </is>
      </c>
      <c r="B11" s="9" t="n">
        <v>0.02</v>
      </c>
      <c r="D11" s="10" t="inlineStr">
        <is>
          <t>MEF IT0005***: tasso reale 2,0% sul prospetto (rendimento per chi compra a 100)</t>
        </is>
      </c>
    </row>
    <row r="12" ht="30" customHeight="1">
      <c r="A12" s="8" t="inlineStr">
        <is>
          <t>BTP Italia giu 2030 - cedola reale annua</t>
        </is>
      </c>
      <c r="B12" s="9" t="n">
        <v>0.016</v>
      </c>
      <c r="D12" s="10" t="inlineStr">
        <is>
          <t>MEF IT0005497000: tasso reale 1,6% sul prospetto</t>
        </is>
      </c>
    </row>
    <row r="14">
      <c r="A14" s="7" t="inlineStr">
        <is>
          <t>BTP Valore (ultima emissione marzo 2026, secondario)</t>
        </is>
      </c>
    </row>
    <row r="15" ht="15" customHeight="1">
      <c r="A15" s="8" t="inlineStr">
        <is>
          <t>Cedola step-up anni 1-2</t>
        </is>
      </c>
      <c r="B15" s="9" t="n">
        <v>0.026</v>
      </c>
      <c r="D15" s="10" t="inlineStr">
        <is>
          <t>MEF: 2,60% (cedole trimestrali)</t>
        </is>
      </c>
    </row>
    <row r="16" ht="15" customHeight="1">
      <c r="A16" s="8" t="inlineStr">
        <is>
          <t>Cedola step-up anni 3-4</t>
        </is>
      </c>
      <c r="B16" s="9" t="n">
        <v>0.028</v>
      </c>
      <c r="D16" s="10" t="inlineStr">
        <is>
          <t>MEF: 2,80%</t>
        </is>
      </c>
    </row>
    <row r="17" ht="15" customHeight="1">
      <c r="A17" s="8" t="inlineStr">
        <is>
          <t>Cedola step-up anni 5-6</t>
        </is>
      </c>
      <c r="B17" s="9" t="n">
        <v>0.038</v>
      </c>
      <c r="D17" s="10" t="inlineStr">
        <is>
          <t>MEF: 3,80% (definitivo)</t>
        </is>
      </c>
    </row>
    <row r="18" ht="15" customHeight="1">
      <c r="A18" s="8" t="inlineStr">
        <is>
          <t>Premio fedelta'</t>
        </is>
      </c>
      <c r="B18" s="9" t="n">
        <v>0.008</v>
      </c>
      <c r="D18" s="10" t="inlineStr">
        <is>
          <t>MEF: 0,8% del capitale a scadenza</t>
        </is>
      </c>
    </row>
    <row r="19" ht="15" customHeight="1">
      <c r="A19" s="8" t="inlineStr">
        <is>
          <t>Durata (anni)</t>
        </is>
      </c>
      <c r="B19" s="11" t="n">
        <v>6</v>
      </c>
      <c r="D19" s="10" t="inlineStr">
        <is>
          <t>Scadenza 10 ott 2032</t>
        </is>
      </c>
    </row>
    <row r="21">
      <c r="A21" s="7" t="inlineStr">
        <is>
          <t>BTP Futura (sospeso, riferimento storico)</t>
        </is>
      </c>
    </row>
    <row r="22" ht="15" customHeight="1">
      <c r="A22" s="8" t="inlineStr">
        <is>
          <t>Cedola step-up anni 1-4</t>
        </is>
      </c>
      <c r="B22" s="9" t="n">
        <v>0.0035</v>
      </c>
      <c r="D22" s="10" t="inlineStr">
        <is>
          <t>Storico 4a emissione nov 2021: 0,35%</t>
        </is>
      </c>
    </row>
    <row r="23" ht="15" customHeight="1">
      <c r="A23" s="8" t="inlineStr">
        <is>
          <t>Cedola step-up anni 5-8</t>
        </is>
      </c>
      <c r="B23" s="9" t="n">
        <v>0.006</v>
      </c>
      <c r="D23" s="10" t="inlineStr">
        <is>
          <t>Storico: 0,60% (anni 5-8)</t>
        </is>
      </c>
    </row>
    <row r="24" ht="15" customHeight="1">
      <c r="A24" s="8" t="inlineStr">
        <is>
          <t>Cedola step-up anni 9-12</t>
        </is>
      </c>
      <c r="B24" s="9" t="n">
        <v>0.01</v>
      </c>
      <c r="D24" s="10" t="inlineStr">
        <is>
          <t>Storico: 1,00% (anni 9-12)</t>
        </is>
      </c>
    </row>
    <row r="25" ht="15" customHeight="1">
      <c r="A25" s="8" t="inlineStr">
        <is>
          <t>Premio fedelta' min (PIL)</t>
        </is>
      </c>
      <c r="B25" s="9" t="n">
        <v>0.004</v>
      </c>
      <c r="D25" s="10" t="inlineStr">
        <is>
          <t>Floor 0,4% se PIL nominale basso</t>
        </is>
      </c>
    </row>
    <row r="26" ht="15" customHeight="1">
      <c r="A26" s="8" t="inlineStr">
        <is>
          <t>Premio fedelta' max (PIL)</t>
        </is>
      </c>
      <c r="B26" s="9" t="n">
        <v>0.03</v>
      </c>
      <c r="D26" s="10" t="inlineStr">
        <is>
          <t>Cap 3,0% se PIL nominale alto</t>
        </is>
      </c>
    </row>
    <row r="27" ht="15" customHeight="1">
      <c r="A27" s="8" t="inlineStr">
        <is>
          <t>Durata (anni)</t>
        </is>
      </c>
      <c r="B27" s="11" t="n">
        <v>12</v>
      </c>
      <c r="D27" s="10" t="inlineStr">
        <is>
          <t>Storica 4a emissione (4+4+4 step-up)</t>
        </is>
      </c>
    </row>
    <row r="29">
      <c r="A29" s="7" t="inlineStr">
        <is>
          <t>BTP nominali - curva 2026 (asta MEF)</t>
        </is>
      </c>
    </row>
    <row r="30" ht="15" customHeight="1">
      <c r="A30" s="8" t="inlineStr">
        <is>
          <t>BTP 2y - rendimento lordo (feb 2028)</t>
        </is>
      </c>
      <c r="B30" s="9" t="n">
        <v>0.022</v>
      </c>
      <c r="D30" s="10" t="inlineStr">
        <is>
          <t>MEF asta: 2,20%</t>
        </is>
      </c>
    </row>
    <row r="31" ht="15" customHeight="1">
      <c r="A31" s="8" t="inlineStr">
        <is>
          <t>BTP 3y - rendimento lordo (mar 2029)</t>
        </is>
      </c>
      <c r="B31" s="9" t="n">
        <v>0.024</v>
      </c>
      <c r="D31" s="10" t="inlineStr">
        <is>
          <t>MEF asta: 2,40%</t>
        </is>
      </c>
    </row>
    <row r="32" ht="15" customHeight="1">
      <c r="A32" s="8" t="inlineStr">
        <is>
          <t>BTP 5y - rendimento lordo (stima)</t>
        </is>
      </c>
      <c r="B32" s="9" t="n">
        <v>0.029</v>
      </c>
      <c r="D32" s="10" t="inlineStr">
        <is>
          <t>Stima interpolata 2y-7y curva 2026</t>
        </is>
      </c>
    </row>
    <row r="33" ht="15" customHeight="1">
      <c r="A33" s="8" t="inlineStr">
        <is>
          <t>BTP 7y - rendimento lordo (mar 2033)</t>
        </is>
      </c>
      <c r="B33" s="9" t="n">
        <v>0.0315</v>
      </c>
      <c r="D33" s="10" t="inlineStr">
        <is>
          <t>MEF asta: 3,15%</t>
        </is>
      </c>
    </row>
    <row r="34" ht="15" customHeight="1">
      <c r="A34" s="8" t="inlineStr">
        <is>
          <t>BTP 10y - rendimento lordo (feb 2036)</t>
        </is>
      </c>
      <c r="B34" s="9" t="n">
        <v>0.0345</v>
      </c>
      <c r="D34" s="10" t="inlineStr">
        <is>
          <t>MEF asta: 3,45%</t>
        </is>
      </c>
    </row>
    <row r="36">
      <c r="A36" s="7" t="inlineStr">
        <is>
          <t>Scenari inflazione FOI media 5 anni (per simulazioni)</t>
        </is>
      </c>
    </row>
    <row r="37" ht="15" customHeight="1">
      <c r="A37" s="8" t="inlineStr">
        <is>
          <t>Scenario 1: Disinflazione</t>
        </is>
      </c>
      <c r="B37" s="12" t="n">
        <v>0.01</v>
      </c>
      <c r="D37" s="10" t="inlineStr">
        <is>
          <t>BCE stretta riuscita - inflazione 1,0%</t>
        </is>
      </c>
    </row>
    <row r="38" ht="15" customHeight="1">
      <c r="A38" s="8" t="inlineStr">
        <is>
          <t>Scenario 2: Base BCE</t>
        </is>
      </c>
      <c r="B38" s="12" t="n">
        <v>0.02</v>
      </c>
      <c r="D38" s="10" t="inlineStr">
        <is>
          <t>Target 2,0% medio termine</t>
        </is>
      </c>
    </row>
    <row r="39" ht="15" customHeight="1">
      <c r="A39" s="8" t="inlineStr">
        <is>
          <t>Scenario 3: Persistente</t>
        </is>
      </c>
      <c r="B39" s="12" t="n">
        <v>0.03</v>
      </c>
      <c r="D39" s="10" t="inlineStr">
        <is>
          <t>Inflazione struturale 3,0%</t>
        </is>
      </c>
    </row>
    <row r="40" ht="15" customHeight="1">
      <c r="A40" s="8" t="inlineStr">
        <is>
          <t>Scenario 4: Stress geopol.</t>
        </is>
      </c>
      <c r="B40" s="12" t="n">
        <v>0.045</v>
      </c>
      <c r="D40" s="10" t="inlineStr">
        <is>
          <t>Brent 120 USD persistente - 4,5%</t>
        </is>
      </c>
    </row>
    <row r="42">
      <c r="A42" s="7" t="inlineStr">
        <is>
          <t>Setup simulazioni</t>
        </is>
      </c>
    </row>
    <row r="43" ht="15" customHeight="1">
      <c r="A43" s="8" t="inlineStr">
        <is>
          <t>Capitale investito (EUR)</t>
        </is>
      </c>
      <c r="B43" s="13" t="n">
        <v>10000</v>
      </c>
      <c r="D43" s="10" t="inlineStr">
        <is>
          <t>Importo scalabile per tutte le simulazioni</t>
        </is>
      </c>
    </row>
    <row r="45">
      <c r="A45" s="7" t="inlineStr">
        <is>
          <t>BTP Italia classico - PREZZI MOT (YTM reale effettivo per chi compra al secondario)</t>
        </is>
      </c>
    </row>
    <row r="46">
      <c r="A46" s="8" t="inlineStr">
        <is>
          <t>Prezzo secondario BTP Italia mag 2028</t>
        </is>
      </c>
      <c r="B46" s="14" t="n">
        <v>104</v>
      </c>
      <c r="C46" s="8" t="inlineStr">
        <is>
          <t>Anni residui</t>
        </is>
      </c>
      <c r="D46" s="15" t="n">
        <v>2</v>
      </c>
    </row>
    <row r="47" ht="30" customHeight="1">
      <c r="A47" s="10" t="inlineStr">
        <is>
          <t>Quotazione corrente sul MOT (100 = par). Aggiorna col valore reale al 12/06/2026. Default 104 = premio 4% (stima 2026 con tassi sopra cedola del prospetto).</t>
        </is>
      </c>
    </row>
    <row r="48">
      <c r="A48" s="8" t="inlineStr">
        <is>
          <t>Prezzo secondario BTP Italia giu 2030</t>
        </is>
      </c>
      <c r="B48" s="14" t="n">
        <v>102</v>
      </c>
      <c r="C48" s="8" t="inlineStr">
        <is>
          <t>Anni residui</t>
        </is>
      </c>
      <c r="D48" s="15" t="n">
        <v>4</v>
      </c>
    </row>
    <row r="49" ht="15" customHeight="1">
      <c r="A49" s="10" t="inlineStr">
        <is>
          <t>Default 102 = premio 2%. Aggiorna col valore reale al 12/06/2026.</t>
        </is>
      </c>
    </row>
    <row r="50">
      <c r="A50" s="8" t="inlineStr">
        <is>
          <t>YTM reale mag 2028 (per chi compra al MOT oggi)</t>
        </is>
      </c>
      <c r="B50" s="16">
        <f>(B11*100+(100-B46)/D46)/((100+B46)/2)</f>
        <v/>
      </c>
    </row>
    <row r="51" ht="15" customHeight="1">
      <c r="A51" s="10" t="inlineStr">
        <is>
          <t>Formula bond equiv. yield. Default classico 2,0% sul prospetto, ma a prezzo 104 con 2y residui → YTM ~0% reale.</t>
        </is>
      </c>
    </row>
    <row r="52">
      <c r="A52" s="8" t="inlineStr">
        <is>
          <t>YTM reale giu 2030 (per chi compra al MOT oggi)</t>
        </is>
      </c>
      <c r="B52" s="16">
        <f>(B12*100+(100-B48)/D48)/((100+B48)/2)</f>
        <v/>
      </c>
    </row>
    <row r="53" ht="15" customHeight="1">
      <c r="A53" s="10" t="inlineStr">
        <is>
          <t>Default classico 1,6% sul prospetto, a prezzo 102 con 4y residui → YTM ~1,1% reale.</t>
        </is>
      </c>
    </row>
    <row r="55">
      <c r="A55" s="7" t="inlineStr">
        <is>
          <t>YTM reale medio classico per il confronto matrice (media ponderata 2 ISIN)</t>
        </is>
      </c>
    </row>
    <row r="56">
      <c r="A56" s="8" t="inlineStr">
        <is>
          <t>YTM reale effettivo (media mag 2028 + giu 2030)</t>
        </is>
      </c>
      <c r="B56" s="16">
        <f>(B50+B52)/2</f>
        <v/>
      </c>
    </row>
    <row r="57" ht="15" customHeight="1">
      <c r="A57" s="10" t="inlineStr">
        <is>
          <t>Usato come riferimento nelle matrici e break-even. Se vuoi cambiare la pesatura, modifica la formula.</t>
        </is>
      </c>
    </row>
    <row r="58">
      <c r="A58" s="7" t="inlineStr">
        <is>
          <t>YTM reale NETTO (citati nel video)</t>
        </is>
      </c>
    </row>
    <row r="59">
      <c r="A59" s="8" t="inlineStr">
        <is>
          <t>YTM reale NETTO mag 2028</t>
        </is>
      </c>
      <c r="B59" s="16">
        <f>B50*(1-B8)</f>
        <v/>
      </c>
    </row>
    <row r="60">
      <c r="A60" s="8" t="inlineStr">
        <is>
          <t>YTM reale NETTO giu 2030</t>
        </is>
      </c>
      <c r="B60" s="16">
        <f>B52*(1-B8)</f>
        <v/>
      </c>
    </row>
    <row r="61">
      <c r="A61" s="8" t="inlineStr">
        <is>
          <t>YTM reale NETTO medio (2 ISIN)</t>
        </is>
      </c>
      <c r="B61" s="16">
        <f>B56*(1-B8)</f>
        <v/>
      </c>
    </row>
  </sheetData>
  <mergeCells count="17">
    <mergeCell ref="A1:D1"/>
    <mergeCell ref="A45:D45"/>
    <mergeCell ref="A58:D58"/>
    <mergeCell ref="A53:D53"/>
    <mergeCell ref="A4:D4"/>
    <mergeCell ref="A21:D21"/>
    <mergeCell ref="A55:D55"/>
    <mergeCell ref="A29:D29"/>
    <mergeCell ref="A57:D57"/>
    <mergeCell ref="A51:D51"/>
    <mergeCell ref="A2:D2"/>
    <mergeCell ref="A49:D49"/>
    <mergeCell ref="A10:D10"/>
    <mergeCell ref="A42:D42"/>
    <mergeCell ref="A47:D47"/>
    <mergeCell ref="A36:D36"/>
    <mergeCell ref="A14:D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 width="16" customWidth="1" min="6" max="6"/>
  </cols>
  <sheetData>
    <row r="1" ht="25" customHeight="1">
      <c r="A1" s="1" t="inlineStr">
        <is>
          <t>BTP Italia Si - rendimento netto in 4 scenari inflazione FOI</t>
        </is>
      </c>
    </row>
    <row r="2" ht="32" customHeight="1">
      <c r="A2" s="2" t="inlineStr">
        <is>
          <t>Strumento informativo / divulgativo. NON è consulenza finanziaria. I valori sono indicativi al 2026 e vanno verificati col tuo consulente.</t>
        </is>
      </c>
    </row>
    <row r="4">
      <c r="A4" s="7" t="inlineStr">
        <is>
          <t>Input (da foglio Parametri)</t>
        </is>
      </c>
    </row>
    <row r="5">
      <c r="A5" s="8" t="inlineStr">
        <is>
          <t>Tasso fisso reale annuo</t>
        </is>
      </c>
      <c r="B5" s="16">
        <f>'1 - Parametri'!B5</f>
        <v/>
      </c>
    </row>
    <row r="6">
      <c r="A6" s="8" t="inlineStr">
        <is>
          <t>Durata (anni)</t>
        </is>
      </c>
      <c r="B6" s="17">
        <f>'1 - Parametri'!B6</f>
        <v/>
      </c>
    </row>
    <row r="7">
      <c r="A7" s="8" t="inlineStr">
        <is>
          <t>Premio fedelta' finale</t>
        </is>
      </c>
      <c r="B7" s="16">
        <f>'1 - Parametri'!B7</f>
        <v/>
      </c>
    </row>
    <row r="8">
      <c r="A8" s="8" t="inlineStr">
        <is>
          <t>Tassazione</t>
        </is>
      </c>
      <c r="B8" s="18">
        <f>'1 - Parametri'!B8</f>
        <v/>
      </c>
    </row>
    <row r="9">
      <c r="A9" s="8" t="inlineStr">
        <is>
          <t>Capitale investito (EUR)</t>
        </is>
      </c>
      <c r="B9" s="19">
        <f>'1 - Parametri'!B43</f>
        <v/>
      </c>
    </row>
    <row r="11">
      <c r="A11" s="7" t="inlineStr">
        <is>
          <t>Cedola annua lorda = fisso + inflazione FOI media</t>
        </is>
      </c>
    </row>
    <row r="12">
      <c r="A12" s="20" t="inlineStr">
        <is>
          <t>Scenario inflazione</t>
        </is>
      </c>
      <c r="B12" s="20" t="inlineStr">
        <is>
          <t>Infl. FOI media</t>
        </is>
      </c>
      <c r="C12" s="20" t="inlineStr">
        <is>
          <t>Cedola lorda annua</t>
        </is>
      </c>
      <c r="D12" s="20" t="inlineStr">
        <is>
          <t>Cedola netta annua</t>
        </is>
      </c>
      <c r="E12" s="20" t="inlineStr">
        <is>
          <t>Importo netto su cap.</t>
        </is>
      </c>
    </row>
    <row r="13">
      <c r="A13" s="8" t="inlineStr">
        <is>
          <t>1 - Disinflazione 1,0%</t>
        </is>
      </c>
      <c r="B13" s="18">
        <f>'1 - Parametri'!B37</f>
        <v/>
      </c>
      <c r="C13" s="16">
        <f>$B$5+B13</f>
        <v/>
      </c>
      <c r="D13" s="16">
        <f>C13*(1-$B$8)</f>
        <v/>
      </c>
      <c r="E13" s="19">
        <f>$B$9*D13</f>
        <v/>
      </c>
    </row>
    <row r="14">
      <c r="A14" s="8" t="inlineStr">
        <is>
          <t>2 - Base BCE 2,0%</t>
        </is>
      </c>
      <c r="B14" s="18">
        <f>'1 - Parametri'!B38</f>
        <v/>
      </c>
      <c r="C14" s="16">
        <f>$B$5+B14</f>
        <v/>
      </c>
      <c r="D14" s="16">
        <f>C14*(1-$B$8)</f>
        <v/>
      </c>
      <c r="E14" s="19">
        <f>$B$9*D14</f>
        <v/>
      </c>
    </row>
    <row r="15">
      <c r="A15" s="8" t="inlineStr">
        <is>
          <t>3 - Persistente 3,0%</t>
        </is>
      </c>
      <c r="B15" s="18">
        <f>'1 - Parametri'!B39</f>
        <v/>
      </c>
      <c r="C15" s="16">
        <f>$B$5+B15</f>
        <v/>
      </c>
      <c r="D15" s="16">
        <f>C15*(1-$B$8)</f>
        <v/>
      </c>
      <c r="E15" s="19">
        <f>$B$9*D15</f>
        <v/>
      </c>
    </row>
    <row r="16">
      <c r="A16" s="8" t="inlineStr">
        <is>
          <t>4 - Stress geopol. 4,5%</t>
        </is>
      </c>
      <c r="B16" s="18">
        <f>'1 - Parametri'!B40</f>
        <v/>
      </c>
      <c r="C16" s="16">
        <f>$B$5+B16</f>
        <v/>
      </c>
      <c r="D16" s="16">
        <f>C16*(1-$B$8)</f>
        <v/>
      </c>
      <c r="E16" s="19">
        <f>$B$9*D16</f>
        <v/>
      </c>
    </row>
    <row r="18">
      <c r="A18" s="7" t="inlineStr">
        <is>
          <t>Rendimento totale finale 5 anni (netto, con premio 0,6%)</t>
        </is>
      </c>
    </row>
    <row r="19">
      <c r="A19" s="20" t="inlineStr">
        <is>
          <t>Scenario</t>
        </is>
      </c>
      <c r="B19" s="20" t="inlineStr">
        <is>
          <t>Cedole nette tot 5y</t>
        </is>
      </c>
      <c r="C19" s="20" t="inlineStr">
        <is>
          <t>Premio netto fedelta'</t>
        </is>
      </c>
      <c r="D19" s="20" t="inlineStr">
        <is>
          <t>Tot. netto incassato</t>
        </is>
      </c>
      <c r="E19" s="20" t="inlineStr">
        <is>
          <t>IRR nom netto annuo (lineare)</t>
        </is>
      </c>
      <c r="F19" s="20" t="inlineStr">
        <is>
          <t>IRR reale netto</t>
        </is>
      </c>
    </row>
    <row r="20">
      <c r="A20" s="8" t="inlineStr">
        <is>
          <t>1 - Disinflazione 1,0%</t>
        </is>
      </c>
      <c r="B20" s="19">
        <f>E13*$B$6</f>
        <v/>
      </c>
      <c r="C20" s="19">
        <f>$B$9*$B$7*(1-$B$8)</f>
        <v/>
      </c>
      <c r="D20" s="19">
        <f>B20+C20</f>
        <v/>
      </c>
      <c r="E20" s="16">
        <f>ROUND(($B$5+$B$7/$B$6+B13)*(1-$B$8),6)</f>
        <v/>
      </c>
      <c r="F20" s="16">
        <f>E20-B13</f>
        <v/>
      </c>
    </row>
    <row r="21">
      <c r="A21" s="8" t="inlineStr">
        <is>
          <t>2 - Base BCE 2,0%</t>
        </is>
      </c>
      <c r="B21" s="19">
        <f>E14*$B$6</f>
        <v/>
      </c>
      <c r="C21" s="19">
        <f>$B$9*$B$7*(1-$B$8)</f>
        <v/>
      </c>
      <c r="D21" s="19">
        <f>B21+C21</f>
        <v/>
      </c>
      <c r="E21" s="16">
        <f>ROUND(($B$5+$B$7/$B$6+B14)*(1-$B$8),6)</f>
        <v/>
      </c>
      <c r="F21" s="16">
        <f>E21-B14</f>
        <v/>
      </c>
    </row>
    <row r="22">
      <c r="A22" s="8" t="inlineStr">
        <is>
          <t>3 - Persistente 3,0%</t>
        </is>
      </c>
      <c r="B22" s="19">
        <f>E15*$B$6</f>
        <v/>
      </c>
      <c r="C22" s="19">
        <f>$B$9*$B$7*(1-$B$8)</f>
        <v/>
      </c>
      <c r="D22" s="19">
        <f>B22+C22</f>
        <v/>
      </c>
      <c r="E22" s="16">
        <f>ROUND(($B$5+$B$7/$B$6+B15)*(1-$B$8),6)</f>
        <v/>
      </c>
      <c r="F22" s="16">
        <f>E22-B15</f>
        <v/>
      </c>
    </row>
    <row r="23">
      <c r="A23" s="8" t="inlineStr">
        <is>
          <t>4 - Stress geopol. 4,5%</t>
        </is>
      </c>
      <c r="B23" s="19">
        <f>E16*$B$6</f>
        <v/>
      </c>
      <c r="C23" s="19">
        <f>$B$9*$B$7*(1-$B$8)</f>
        <v/>
      </c>
      <c r="D23" s="19">
        <f>B23+C23</f>
        <v/>
      </c>
      <c r="E23" s="16">
        <f>ROUND(($B$5+$B$7/$B$6+B16)*(1-$B$8),6)</f>
        <v/>
      </c>
      <c r="F23" s="16">
        <f>E23-B16</f>
        <v/>
      </c>
    </row>
    <row r="25">
      <c r="A25" s="7" t="inlineStr">
        <is>
          <t>NOTA: BTP Italia Si NON rivaluta il capitale (resta a 100)</t>
        </is>
      </c>
    </row>
    <row r="26" ht="30" customHeight="1">
      <c r="A26" s="10" t="inlineStr">
        <is>
          <t>Differenza chiave vs BTP Italia classico: qui l'inflazione alimenta solo la cedola, il capitale a scadenza torna nominale.</t>
        </is>
      </c>
    </row>
  </sheetData>
  <mergeCells count="7">
    <mergeCell ref="A4:E4"/>
    <mergeCell ref="A26:E26"/>
    <mergeCell ref="A2:E2"/>
    <mergeCell ref="A25:E25"/>
    <mergeCell ref="A11:E11"/>
    <mergeCell ref="A1:E1"/>
    <mergeCell ref="A18:F18"/>
  </mergeCells>
  <conditionalFormatting sqref="E20:E23">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s>
  <sheetData>
    <row r="1" ht="25" customHeight="1">
      <c r="A1" s="1" t="inlineStr">
        <is>
          <t>BTP Italia classico - capitale rivalutato per inflazione FOI</t>
        </is>
      </c>
    </row>
    <row r="2" ht="32" customHeight="1">
      <c r="A2" s="2" t="inlineStr">
        <is>
          <t>Strumento informativo / divulgativo. NON è consulenza finanziaria. I valori sono indicativi al 2026 e vanno verificati col tuo consulente.</t>
        </is>
      </c>
    </row>
    <row r="4">
      <c r="A4" s="7" t="inlineStr">
        <is>
          <t>Input (BTP Italia giugno 2030 come riferimento)</t>
        </is>
      </c>
    </row>
    <row r="5">
      <c r="A5" s="8" t="inlineStr">
        <is>
          <t>Tasso reale annuo (giu 2030)</t>
        </is>
      </c>
      <c r="B5" s="16">
        <f>'1 - Parametri'!B12</f>
        <v/>
      </c>
    </row>
    <row r="6">
      <c r="A6" s="8" t="inlineStr">
        <is>
          <t>Durata residua simulata (anni)</t>
        </is>
      </c>
      <c r="B6" s="11" t="n">
        <v>5</v>
      </c>
    </row>
    <row r="7">
      <c r="A7" s="8" t="inlineStr">
        <is>
          <t>Tassazione</t>
        </is>
      </c>
      <c r="B7" s="18">
        <f>'1 - Parametri'!B8</f>
        <v/>
      </c>
    </row>
    <row r="8">
      <c r="A8" s="8" t="inlineStr">
        <is>
          <t>Capitale investito (EUR)</t>
        </is>
      </c>
      <c r="B8" s="19">
        <f>'1 - Parametri'!B43</f>
        <v/>
      </c>
    </row>
    <row r="10">
      <c r="A10" s="7" t="inlineStr">
        <is>
          <t>Meccanismo classico: cedola reale + capitale rivalutato</t>
        </is>
      </c>
    </row>
    <row r="11">
      <c r="A11" s="20" t="inlineStr">
        <is>
          <t>Scenario inflazione</t>
        </is>
      </c>
      <c r="B11" s="20" t="inlineStr">
        <is>
          <t>FOI cumulata 5y</t>
        </is>
      </c>
      <c r="C11" s="20" t="inlineStr">
        <is>
          <t>Capitale rivalutato</t>
        </is>
      </c>
      <c r="D11" s="20" t="inlineStr">
        <is>
          <t>Cedole nette 5y (su cap. rivalut.)</t>
        </is>
      </c>
      <c r="E11" s="20" t="inlineStr">
        <is>
          <t>Tot. netto 5y (cedole + rivalut.)</t>
        </is>
      </c>
    </row>
    <row r="12">
      <c r="A12" s="8" t="inlineStr">
        <is>
          <t>1 - Disinflazione 1,0%</t>
        </is>
      </c>
      <c r="B12" s="18">
        <f>'1 - Parametri'!B37</f>
        <v/>
      </c>
      <c r="C12" s="19">
        <f>$B$8*(1+B12)^$B$6</f>
        <v/>
      </c>
      <c r="D12" s="19">
        <f>$B$5*$B$8*((1+B12)^$B$6-1)/B12*(1-$B$7)</f>
        <v/>
      </c>
      <c r="E12" s="19">
        <f>(C12-$B$8)*(1-$B$7)+D12</f>
        <v/>
      </c>
    </row>
    <row r="13">
      <c r="A13" s="8" t="inlineStr">
        <is>
          <t>2 - Base BCE 2,0%</t>
        </is>
      </c>
      <c r="B13" s="18">
        <f>'1 - Parametri'!B38</f>
        <v/>
      </c>
      <c r="C13" s="19">
        <f>$B$8*(1+B13)^$B$6</f>
        <v/>
      </c>
      <c r="D13" s="19">
        <f>$B$5*$B$8*((1+B13)^$B$6-1)/B13*(1-$B$7)</f>
        <v/>
      </c>
      <c r="E13" s="19">
        <f>(C13-$B$8)*(1-$B$7)+D13</f>
        <v/>
      </c>
    </row>
    <row r="14">
      <c r="A14" s="8" t="inlineStr">
        <is>
          <t>3 - Persistente 3,0%</t>
        </is>
      </c>
      <c r="B14" s="18">
        <f>'1 - Parametri'!B39</f>
        <v/>
      </c>
      <c r="C14" s="19">
        <f>$B$8*(1+B14)^$B$6</f>
        <v/>
      </c>
      <c r="D14" s="19">
        <f>$B$5*$B$8*((1+B14)^$B$6-1)/B14*(1-$B$7)</f>
        <v/>
      </c>
      <c r="E14" s="19">
        <f>(C14-$B$8)*(1-$B$7)+D14</f>
        <v/>
      </c>
    </row>
    <row r="15">
      <c r="A15" s="8" t="inlineStr">
        <is>
          <t>4 - Stress geopol. 4,5%</t>
        </is>
      </c>
      <c r="B15" s="18">
        <f>'1 - Parametri'!B40</f>
        <v/>
      </c>
      <c r="C15" s="19">
        <f>$B$8*(1+B15)^$B$6</f>
        <v/>
      </c>
      <c r="D15" s="19">
        <f>$B$5*$B$8*((1+B15)^$B$6-1)/B15*(1-$B$7)</f>
        <v/>
      </c>
      <c r="E15" s="19">
        <f>(C15-$B$8)*(1-$B$7)+D15</f>
        <v/>
      </c>
    </row>
    <row r="17">
      <c r="A17" s="7" t="inlineStr">
        <is>
          <t>IRR netto annuo a confronto</t>
        </is>
      </c>
    </row>
    <row r="18">
      <c r="A18" s="20" t="inlineStr">
        <is>
          <t>Scenario</t>
        </is>
      </c>
      <c r="B18" s="20" t="inlineStr">
        <is>
          <t>Tot. netto 5y</t>
        </is>
      </c>
      <c r="C18" s="20" t="inlineStr">
        <is>
          <t>IRR netto annuo</t>
        </is>
      </c>
    </row>
    <row r="19">
      <c r="A19" s="8" t="inlineStr">
        <is>
          <t>1 - Disinflazione 1,0%</t>
        </is>
      </c>
      <c r="B19" s="19">
        <f>E12</f>
        <v/>
      </c>
      <c r="C19" s="16">
        <f>((E12+$B$8)/$B$8)^(1/$B$6)-1</f>
        <v/>
      </c>
    </row>
    <row r="20">
      <c r="A20" s="8" t="inlineStr">
        <is>
          <t>2 - Base BCE 2,0%</t>
        </is>
      </c>
      <c r="B20" s="19">
        <f>E13</f>
        <v/>
      </c>
      <c r="C20" s="16">
        <f>((E13+$B$8)/$B$8)^(1/$B$6)-1</f>
        <v/>
      </c>
    </row>
    <row r="21">
      <c r="A21" s="8" t="inlineStr">
        <is>
          <t>3 - Persistente 3,0%</t>
        </is>
      </c>
      <c r="B21" s="19">
        <f>E14</f>
        <v/>
      </c>
      <c r="C21" s="16">
        <f>((E14+$B$8)/$B$8)^(1/$B$6)-1</f>
        <v/>
      </c>
    </row>
    <row r="22">
      <c r="A22" s="8" t="inlineStr">
        <is>
          <t>4 - Stress geopol. 4,5%</t>
        </is>
      </c>
      <c r="B22" s="19">
        <f>E15</f>
        <v/>
      </c>
      <c r="C22" s="16">
        <f>((E15+$B$8)/$B$8)^(1/$B$6)-1</f>
        <v/>
      </c>
    </row>
    <row r="24">
      <c r="A24" s="7" t="inlineStr">
        <is>
          <t>NOTA: vantaggio classico vs Si quando inflazione e' alta (capitale +)</t>
        </is>
      </c>
    </row>
    <row r="25" ht="30" customHeight="1">
      <c r="A25" s="10" t="inlineStr">
        <is>
          <t>Classico: l'inflazione cresce IL CAPITALE (effetto compounding). Si: l'inflazione cresce SOLO la cedola annua. Trade-off: il classico costa di piu' sul secondario (no premio se compri usato).</t>
        </is>
      </c>
    </row>
  </sheetData>
  <mergeCells count="7">
    <mergeCell ref="A4:E4"/>
    <mergeCell ref="A24:E24"/>
    <mergeCell ref="A2:E2"/>
    <mergeCell ref="A10:E10"/>
    <mergeCell ref="A25:E25"/>
    <mergeCell ref="A1:E1"/>
    <mergeCell ref="A17:E17"/>
  </mergeCells>
  <conditionalFormatting sqref="C19:C22">
    <cfRule type="colorScale" priority="1">
      <colorScale>
        <cfvo type="min"/>
        <cfvo type="percentile" val="50"/>
        <cfvo type="max"/>
        <color rgb="00F87171"/>
        <color rgb="00FEF3C7"/>
        <color rgb="0086EFAC"/>
      </colorScale>
    </cfRule>
  </conditionalFormatting>
  <conditionalFormatting sqref="E12:E15">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s>
  <sheetData>
    <row r="1" ht="25" customHeight="1">
      <c r="A1" s="1" t="inlineStr">
        <is>
          <t>BTP Valore (marzo 2026) - step-up 2+2+2 cedole trimestrali</t>
        </is>
      </c>
    </row>
    <row r="2" ht="32" customHeight="1">
      <c r="A2" s="2" t="inlineStr">
        <is>
          <t>Strumento informativo / divulgativo. NON è consulenza finanziaria. I valori sono indicativi al 2026 e vanno verificati col tuo consulente.</t>
        </is>
      </c>
    </row>
    <row r="4">
      <c r="A4" s="7" t="inlineStr">
        <is>
          <t>Input</t>
        </is>
      </c>
    </row>
    <row r="5">
      <c r="A5" s="8" t="inlineStr">
        <is>
          <t>Cedola anni 1-2</t>
        </is>
      </c>
      <c r="B5" s="16">
        <f>'1 - Parametri'!B15</f>
        <v/>
      </c>
    </row>
    <row r="6">
      <c r="A6" s="8" t="inlineStr">
        <is>
          <t>Cedola anni 3-4</t>
        </is>
      </c>
      <c r="B6" s="16">
        <f>'1 - Parametri'!B16</f>
        <v/>
      </c>
    </row>
    <row r="7">
      <c r="A7" s="8" t="inlineStr">
        <is>
          <t>Cedola anni 5-6</t>
        </is>
      </c>
      <c r="B7" s="16">
        <f>'1 - Parametri'!B17</f>
        <v/>
      </c>
    </row>
    <row r="8">
      <c r="A8" s="8" t="inlineStr">
        <is>
          <t>Premio fedelta'</t>
        </is>
      </c>
      <c r="B8" s="16">
        <f>'1 - Parametri'!B18</f>
        <v/>
      </c>
    </row>
    <row r="9">
      <c r="A9" s="8" t="inlineStr">
        <is>
          <t>Durata (anni)</t>
        </is>
      </c>
      <c r="B9" s="17">
        <f>'1 - Parametri'!B19</f>
        <v/>
      </c>
    </row>
    <row r="10">
      <c r="A10" s="8" t="inlineStr">
        <is>
          <t>Tassazione</t>
        </is>
      </c>
      <c r="B10" s="18">
        <f>'1 - Parametri'!B8</f>
        <v/>
      </c>
    </row>
    <row r="11">
      <c r="A11" s="8" t="inlineStr">
        <is>
          <t>Capitale investito</t>
        </is>
      </c>
      <c r="B11" s="19">
        <f>'1 - Parametri'!B43</f>
        <v/>
      </c>
    </row>
    <row r="13">
      <c r="A13" s="7" t="inlineStr">
        <is>
          <t>Cedole nette per fase step-up</t>
        </is>
      </c>
    </row>
    <row r="14">
      <c r="A14" s="20" t="inlineStr">
        <is>
          <t>Fase</t>
        </is>
      </c>
      <c r="B14" s="20" t="inlineStr">
        <is>
          <t>Cedola lorda annua</t>
        </is>
      </c>
      <c r="C14" s="20" t="inlineStr">
        <is>
          <t>Cedola netta annua</t>
        </is>
      </c>
      <c r="D14" s="20" t="inlineStr">
        <is>
          <t>Importo netto x anno</t>
        </is>
      </c>
      <c r="E14" s="20" t="inlineStr">
        <is>
          <t>Importo netto x fase (2y)</t>
        </is>
      </c>
    </row>
    <row r="15">
      <c r="A15" s="8" t="inlineStr">
        <is>
          <t>Anni 1-2 (2,60%)</t>
        </is>
      </c>
      <c r="B15" s="16">
        <f>B5</f>
        <v/>
      </c>
      <c r="C15" s="21">
        <f>B5*(1-$B$10)</f>
        <v/>
      </c>
      <c r="D15" s="19">
        <f>$B$11*C15</f>
        <v/>
      </c>
      <c r="E15" s="19">
        <f>D15*2</f>
        <v/>
      </c>
    </row>
    <row r="16">
      <c r="A16" s="8" t="inlineStr">
        <is>
          <t>Anni 3-4 (2,80%)</t>
        </is>
      </c>
      <c r="B16" s="16">
        <f>B6</f>
        <v/>
      </c>
      <c r="C16" s="21">
        <f>B6*(1-$B$10)</f>
        <v/>
      </c>
      <c r="D16" s="19">
        <f>$B$11*C16</f>
        <v/>
      </c>
      <c r="E16" s="19">
        <f>D16*2</f>
        <v/>
      </c>
    </row>
    <row r="17">
      <c r="A17" s="8" t="inlineStr">
        <is>
          <t>Anni 5-6 (3,80%)</t>
        </is>
      </c>
      <c r="B17" s="16">
        <f>B7</f>
        <v/>
      </c>
      <c r="C17" s="21">
        <f>B7*(1-$B$10)</f>
        <v/>
      </c>
      <c r="D17" s="19">
        <f>$B$11*C17</f>
        <v/>
      </c>
      <c r="E17" s="19">
        <f>D17*2</f>
        <v/>
      </c>
    </row>
    <row r="19">
      <c r="A19" s="7" t="inlineStr">
        <is>
          <t>Rendimento totale netto 6 anni</t>
        </is>
      </c>
    </row>
    <row r="20">
      <c r="A20" s="8" t="inlineStr">
        <is>
          <t>Tot. cedole nette 6y</t>
        </is>
      </c>
      <c r="B20" s="19">
        <f>E15+E16+E17</f>
        <v/>
      </c>
    </row>
    <row r="21">
      <c r="A21" s="8" t="inlineStr">
        <is>
          <t>Premio fedelta' netto</t>
        </is>
      </c>
      <c r="B21" s="19">
        <f>B11*B8*(1-B10)</f>
        <v/>
      </c>
    </row>
    <row r="22">
      <c r="A22" s="8" t="inlineStr">
        <is>
          <t>Tot. netto 6y</t>
        </is>
      </c>
      <c r="B22" s="19">
        <f>B20+B21</f>
        <v/>
      </c>
    </row>
    <row r="23">
      <c r="A23" s="8" t="inlineStr">
        <is>
          <t>IRR nom netto annuo (lineare)</t>
        </is>
      </c>
      <c r="B23" s="16">
        <f>ROUND(((B5+B6+B7)/3+B8/B9)*(1-B10),6)</f>
        <v/>
      </c>
    </row>
    <row r="25">
      <c r="A25" s="7" t="inlineStr">
        <is>
          <t>NOTA: il BTP Valore NON e' indicizzato all'inflazione</t>
        </is>
      </c>
    </row>
    <row r="26" ht="30" customHeight="1">
      <c r="A26" s="10" t="inlineStr">
        <is>
          <t>Cedole step-up FISSE in nominale. In inflazione alta perde potere d'acquisto reale. Vantaggio: cedola trimestrale (vs semestrale altri BTP) per pianificazione cassa.</t>
        </is>
      </c>
    </row>
  </sheetData>
  <mergeCells count="7">
    <mergeCell ref="A4:E4"/>
    <mergeCell ref="A26:E26"/>
    <mergeCell ref="A2:E2"/>
    <mergeCell ref="A25:E25"/>
    <mergeCell ref="A19:E19"/>
    <mergeCell ref="A1:E1"/>
    <mergeCell ref="A13:E13"/>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 width="16" customWidth="1" min="6" max="6"/>
  </cols>
  <sheetData>
    <row r="1" ht="25" customHeight="1">
      <c r="A1" s="1" t="inlineStr">
        <is>
          <t>BTP Futura - sospeso, ricostruzione storica 4a emissione 12y</t>
        </is>
      </c>
    </row>
    <row r="2" ht="32" customHeight="1">
      <c r="A2" s="2" t="inlineStr">
        <is>
          <t>Strumento informativo / divulgativo. NON è consulenza finanziaria. I valori sono indicativi al 2026 e vanno verificati col tuo consulente.</t>
        </is>
      </c>
    </row>
    <row r="4">
      <c r="A4" s="7" t="inlineStr">
        <is>
          <t>Input</t>
        </is>
      </c>
    </row>
    <row r="5">
      <c r="A5" s="8" t="inlineStr">
        <is>
          <t>Cedola anni 1-4</t>
        </is>
      </c>
      <c r="B5" s="16">
        <f>'1 - Parametri'!B22</f>
        <v/>
      </c>
    </row>
    <row r="6">
      <c r="A6" s="8" t="inlineStr">
        <is>
          <t>Cedola anni 5-7</t>
        </is>
      </c>
      <c r="B6" s="16">
        <f>'1 - Parametri'!B23</f>
        <v/>
      </c>
    </row>
    <row r="7">
      <c r="A7" s="8" t="inlineStr">
        <is>
          <t>Cedola anni 8-12</t>
        </is>
      </c>
      <c r="B7" s="16">
        <f>'1 - Parametri'!B24</f>
        <v/>
      </c>
    </row>
    <row r="8">
      <c r="A8" s="8" t="inlineStr">
        <is>
          <t>Premio min (PIL basso)</t>
        </is>
      </c>
      <c r="B8" s="16">
        <f>'1 - Parametri'!B25</f>
        <v/>
      </c>
    </row>
    <row r="9">
      <c r="A9" s="8" t="inlineStr">
        <is>
          <t>Premio max (PIL alto)</t>
        </is>
      </c>
      <c r="B9" s="16">
        <f>'1 - Parametri'!B26</f>
        <v/>
      </c>
    </row>
    <row r="10">
      <c r="A10" s="8" t="inlineStr">
        <is>
          <t>Durata (anni)</t>
        </is>
      </c>
      <c r="B10" s="17">
        <f>'1 - Parametri'!B27</f>
        <v/>
      </c>
    </row>
    <row r="11">
      <c r="A11" s="8" t="inlineStr">
        <is>
          <t>Tassazione</t>
        </is>
      </c>
      <c r="B11" s="18">
        <f>'1 - Parametri'!B8</f>
        <v/>
      </c>
    </row>
    <row r="12">
      <c r="A12" s="8" t="inlineStr">
        <is>
          <t>Capitale</t>
        </is>
      </c>
      <c r="B12" s="19">
        <f>'1 - Parametri'!B43</f>
        <v/>
      </c>
    </row>
    <row r="14">
      <c r="A14" s="7" t="inlineStr">
        <is>
          <t>Scenari di PIL nominale e premio fedelta'</t>
        </is>
      </c>
    </row>
    <row r="15">
      <c r="A15" s="20" t="inlineStr">
        <is>
          <t>Scenario PIL nominale medio</t>
        </is>
      </c>
      <c r="B15" s="20" t="inlineStr">
        <is>
          <t>PIL nom. medio</t>
        </is>
      </c>
      <c r="C15" s="20" t="inlineStr">
        <is>
          <t>Premio fed. atteso</t>
        </is>
      </c>
      <c r="D15" s="20" t="inlineStr">
        <is>
          <t>Cedole nette 12y</t>
        </is>
      </c>
      <c r="E15" s="20" t="inlineStr">
        <is>
          <t>Tot. netto 12y</t>
        </is>
      </c>
      <c r="F15" s="20" t="inlineStr">
        <is>
          <t>IRR nom netto annuo (lineare)</t>
        </is>
      </c>
    </row>
    <row r="16">
      <c r="A16" s="8" t="inlineStr">
        <is>
          <t>Bassa (PIL 1,5%)</t>
        </is>
      </c>
      <c r="B16" s="12" t="n">
        <v>0.015</v>
      </c>
      <c r="C16" s="16">
        <f>MAX($B$8,MIN($B$9,0.4*B16))</f>
        <v/>
      </c>
      <c r="D16" s="19">
        <f>$B$12*(4*$B$5+4*$B$6+4*$B$7)*(1-$B$11)</f>
        <v/>
      </c>
      <c r="E16" s="19">
        <f>D16+$B$12*C16*(1-$B$11)</f>
        <v/>
      </c>
      <c r="F16" s="16">
        <f>E16/$B$12/$B$10</f>
        <v/>
      </c>
    </row>
    <row r="17">
      <c r="A17" s="8" t="inlineStr">
        <is>
          <t>Base (PIL 3,0%)</t>
        </is>
      </c>
      <c r="B17" s="12" t="n">
        <v>0.03</v>
      </c>
      <c r="C17" s="16">
        <f>MAX($B$8,MIN($B$9,0.4*B17))</f>
        <v/>
      </c>
      <c r="D17" s="19">
        <f>$B$12*(4*$B$5+4*$B$6+4*$B$7)*(1-$B$11)</f>
        <v/>
      </c>
      <c r="E17" s="19">
        <f>D17+$B$12*C17*(1-$B$11)</f>
        <v/>
      </c>
      <c r="F17" s="16">
        <f>E17/$B$12/$B$10</f>
        <v/>
      </c>
    </row>
    <row r="18">
      <c r="A18" s="8" t="inlineStr">
        <is>
          <t>Alta (PIL 4,5%)</t>
        </is>
      </c>
      <c r="B18" s="12" t="n">
        <v>0.045</v>
      </c>
      <c r="C18" s="16">
        <f>MAX($B$8,MIN($B$9,0.4*B18))</f>
        <v/>
      </c>
      <c r="D18" s="19">
        <f>$B$12*(4*$B$5+4*$B$6+4*$B$7)*(1-$B$11)</f>
        <v/>
      </c>
      <c r="E18" s="19">
        <f>D18+$B$12*C18*(1-$B$11)</f>
        <v/>
      </c>
      <c r="F18" s="16">
        <f>E18/$B$12/$B$10</f>
        <v/>
      </c>
    </row>
    <row r="20">
      <c r="A20" s="7" t="inlineStr">
        <is>
          <t>NOTA: BTP Futura NON e' piu' emesso dal 2021</t>
        </is>
      </c>
    </row>
    <row r="21" ht="45" customHeight="1">
      <c r="A21" s="10" t="inlineStr">
        <is>
          <t>Sul secondario disponibili 4 ISIN ma cedole molto basse (0,35-1,0%). Confronto utile per capire la LOGICA del premio fedelta', non per acquisto attuale. Struttura step-up 4+4+4 anni (1-4: 0,35%, 5-8: 0,60%, 9-12: 1,00%).</t>
        </is>
      </c>
    </row>
  </sheetData>
  <mergeCells count="6">
    <mergeCell ref="A21:E21"/>
    <mergeCell ref="A4:E4"/>
    <mergeCell ref="A20:E20"/>
    <mergeCell ref="A2:E2"/>
    <mergeCell ref="A14:F14"/>
    <mergeCell ref="A1:E1"/>
  </mergeCells>
  <conditionalFormatting sqref="E16:E18">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s>
  <sheetData>
    <row r="1" ht="25" customHeight="1">
      <c r="A1" s="1" t="inlineStr">
        <is>
          <t>BTP nominali - curva tassi 2026 (cedola fissa, NO inflazione)</t>
        </is>
      </c>
    </row>
    <row r="2" ht="32" customHeight="1">
      <c r="A2" s="2" t="inlineStr">
        <is>
          <t>Strumento informativo / divulgativo. NON è consulenza finanziaria. I valori sono indicativi al 2026 e vanno verificati col tuo consulente.</t>
        </is>
      </c>
    </row>
    <row r="4">
      <c r="A4" s="7" t="inlineStr">
        <is>
          <t>Input curva (da foglio Parametri)</t>
        </is>
      </c>
    </row>
    <row r="5">
      <c r="A5" s="20" t="inlineStr">
        <is>
          <t>Scadenza</t>
        </is>
      </c>
      <c r="B5" s="20" t="inlineStr">
        <is>
          <t>Rendimento lordo</t>
        </is>
      </c>
      <c r="C5" s="20" t="inlineStr">
        <is>
          <t>Cedola netta annua</t>
        </is>
      </c>
      <c r="D5" s="20" t="inlineStr">
        <is>
          <t>Tot. cedole nette a scad.</t>
        </is>
      </c>
      <c r="E5" s="20" t="inlineStr">
        <is>
          <t>Cedola netta annua EUR</t>
        </is>
      </c>
    </row>
    <row r="6">
      <c r="A6" s="8" t="inlineStr">
        <is>
          <t>Tassazione 12,5% applicata</t>
        </is>
      </c>
      <c r="B6" s="18">
        <f>'1 - Parametri'!B8</f>
        <v/>
      </c>
    </row>
    <row r="7">
      <c r="A7" s="8" t="inlineStr">
        <is>
          <t>Capitale (default Parametri)</t>
        </is>
      </c>
      <c r="B7" s="19">
        <f>'1 - Parametri'!B43</f>
        <v/>
      </c>
    </row>
    <row r="8">
      <c r="B8" s="20" t="inlineStr">
        <is>
          <t>Rendim. lordo (curva)</t>
        </is>
      </c>
    </row>
    <row r="9">
      <c r="A9" s="8" t="inlineStr">
        <is>
          <t>2 anni (feb 2028)</t>
        </is>
      </c>
      <c r="B9" s="16">
        <f>'1 - Parametri'!B30</f>
        <v/>
      </c>
      <c r="C9" s="21">
        <f>B9*(1-$B$6)</f>
        <v/>
      </c>
      <c r="D9" s="19">
        <f>$B$7*C9*2</f>
        <v/>
      </c>
      <c r="E9" s="19">
        <f>$B$7*C9</f>
        <v/>
      </c>
    </row>
    <row r="10">
      <c r="A10" s="8" t="inlineStr">
        <is>
          <t>3 anni (mar 2029)</t>
        </is>
      </c>
      <c r="B10" s="16">
        <f>'1 - Parametri'!B31</f>
        <v/>
      </c>
      <c r="C10" s="21">
        <f>B10*(1-$B$6)</f>
        <v/>
      </c>
      <c r="D10" s="19">
        <f>$B$7*C10*3</f>
        <v/>
      </c>
      <c r="E10" s="19">
        <f>$B$7*C10</f>
        <v/>
      </c>
    </row>
    <row r="11">
      <c r="A11" s="8" t="inlineStr">
        <is>
          <t>5 anni (stima)</t>
        </is>
      </c>
      <c r="B11" s="16">
        <f>'1 - Parametri'!B32</f>
        <v/>
      </c>
      <c r="C11" s="21">
        <f>B11*(1-$B$6)</f>
        <v/>
      </c>
      <c r="D11" s="19">
        <f>$B$7*C11*5</f>
        <v/>
      </c>
      <c r="E11" s="19">
        <f>$B$7*C11</f>
        <v/>
      </c>
    </row>
    <row r="12">
      <c r="A12" s="8" t="inlineStr">
        <is>
          <t>7 anni (mar 2033)</t>
        </is>
      </c>
      <c r="B12" s="16">
        <f>'1 - Parametri'!B33</f>
        <v/>
      </c>
      <c r="C12" s="21">
        <f>B12*(1-$B$6)</f>
        <v/>
      </c>
      <c r="D12" s="19">
        <f>$B$7*C12*7</f>
        <v/>
      </c>
      <c r="E12" s="19">
        <f>$B$7*C12</f>
        <v/>
      </c>
    </row>
    <row r="13">
      <c r="A13" s="8" t="inlineStr">
        <is>
          <t>10 anni (feb 2036)</t>
        </is>
      </c>
      <c r="B13" s="16">
        <f>'1 - Parametri'!B34</f>
        <v/>
      </c>
      <c r="C13" s="21">
        <f>B13*(1-$B$6)</f>
        <v/>
      </c>
      <c r="D13" s="19">
        <f>$B$7*C13*10</f>
        <v/>
      </c>
      <c r="E13" s="19">
        <f>$B$7*C13</f>
        <v/>
      </c>
    </row>
    <row r="16">
      <c r="A16" s="7" t="inlineStr">
        <is>
          <t>NOTA: BTP nominali NON proteggono dall'inflazione</t>
        </is>
      </c>
    </row>
    <row r="17" ht="30" customHeight="1">
      <c r="A17" s="10" t="inlineStr">
        <is>
          <t>Rendimento certo in nominale. Se inflazione &gt; rendimento, perdi potere d'acquisto. Vantaggio: tassi attualmente alti, e plusvalenza se i tassi BCE scendono.</t>
        </is>
      </c>
    </row>
  </sheetData>
  <mergeCells count="5">
    <mergeCell ref="A4:E4"/>
    <mergeCell ref="A2:E2"/>
    <mergeCell ref="A16:E16"/>
    <mergeCell ref="A1:E1"/>
    <mergeCell ref="A17:E17"/>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38" customWidth="1" min="1" max="1"/>
    <col width="16" customWidth="1" min="2" max="2"/>
    <col width="16" customWidth="1" min="3" max="3"/>
    <col width="16" customWidth="1" min="4" max="4"/>
    <col width="16" customWidth="1" min="5" max="5"/>
  </cols>
  <sheetData>
    <row r="1" ht="25" customHeight="1">
      <c r="A1" s="1" t="inlineStr">
        <is>
          <t>MATRICE: rendimento REALE netto annuo - 5 strumenti x 4 scenari</t>
        </is>
      </c>
    </row>
    <row r="2" ht="32" customHeight="1">
      <c r="A2" s="2" t="inlineStr">
        <is>
          <t>Strumento informativo / divulgativo. NON è consulenza finanziaria. I valori sono indicativi al 2026 e vanno verificati col tuo consulente.</t>
        </is>
      </c>
    </row>
    <row r="4">
      <c r="A4" s="7" t="inlineStr">
        <is>
          <t>Tutti i valori sono IRR REALI annui netti (lordo - tasse - inflazione)</t>
        </is>
      </c>
    </row>
    <row r="5">
      <c r="A5" s="20" t="inlineStr">
        <is>
          <t>Strumento</t>
        </is>
      </c>
      <c r="B5" s="20" t="inlineStr">
        <is>
          <t>Infl. 1,0%</t>
        </is>
      </c>
      <c r="C5" s="20" t="inlineStr">
        <is>
          <t>Infl. 2,0%</t>
        </is>
      </c>
      <c r="D5" s="20" t="inlineStr">
        <is>
          <t>Infl. 3,0%</t>
        </is>
      </c>
      <c r="E5" s="20" t="inlineStr">
        <is>
          <t>Infl. 4,5%</t>
        </is>
      </c>
    </row>
    <row r="6">
      <c r="A6" s="8" t="inlineStr">
        <is>
          <t>BTP Italia Si (1,2% + FOI)</t>
        </is>
      </c>
      <c r="B6" s="16">
        <f>ROUND(('1 - Parametri'!B5+('1 - Parametri'!B7)/5+'1 - Parametri'!B37)*(1-'1 - Parametri'!B8)-'1 - Parametri'!B37,6)</f>
        <v/>
      </c>
      <c r="C6" s="16">
        <f>ROUND(('1 - Parametri'!B5+('1 - Parametri'!B7)/5+'1 - Parametri'!B38)*(1-'1 - Parametri'!B8)-'1 - Parametri'!B38,6)</f>
        <v/>
      </c>
      <c r="D6" s="16">
        <f>ROUND(('1 - Parametri'!B5+('1 - Parametri'!B7)/5+'1 - Parametri'!B39)*(1-'1 - Parametri'!B8)-'1 - Parametri'!B39,6)</f>
        <v/>
      </c>
      <c r="E6" s="16">
        <f>ROUND(('1 - Parametri'!B5+('1 - Parametri'!B7)/5+'1 - Parametri'!B40)*(1-'1 - Parametri'!B8)-'1 - Parametri'!B40,6)</f>
        <v/>
      </c>
    </row>
    <row r="7">
      <c r="A7" s="8" t="inlineStr">
        <is>
          <t>BTP Italia classico (YTM reale MOT)</t>
        </is>
      </c>
      <c r="B7" s="16">
        <f>'1 - Parametri'!B56*(1-'1 - Parametri'!B8)-'1 - Parametri'!B8*'1 - Parametri'!B37</f>
        <v/>
      </c>
      <c r="C7" s="16">
        <f>'1 - Parametri'!B56*(1-'1 - Parametri'!B8)-'1 - Parametri'!B8*'1 - Parametri'!B38</f>
        <v/>
      </c>
      <c r="D7" s="16">
        <f>'1 - Parametri'!B56*(1-'1 - Parametri'!B8)-'1 - Parametri'!B8*'1 - Parametri'!B39</f>
        <v/>
      </c>
      <c r="E7" s="16">
        <f>'1 - Parametri'!B56*(1-'1 - Parametri'!B8)-'1 - Parametri'!B8*'1 - Parametri'!B40</f>
        <v/>
      </c>
    </row>
    <row r="8">
      <c r="A8" s="8" t="inlineStr">
        <is>
          <t>BTP Valore (avg 3,07% lordo)</t>
        </is>
      </c>
      <c r="B8" s="16">
        <f>((2*'1 - Parametri'!B15+2*'1 - Parametri'!B16+2*'1 - Parametri'!B17)/6+('1 - Parametri'!B18)/6)*(1-'1 - Parametri'!B8)-'1 - Parametri'!B37</f>
        <v/>
      </c>
      <c r="C8" s="16">
        <f>((2*'1 - Parametri'!B15+2*'1 - Parametri'!B16+2*'1 - Parametri'!B17)/6+('1 - Parametri'!B18)/6)*(1-'1 - Parametri'!B8)-'1 - Parametri'!B38</f>
        <v/>
      </c>
      <c r="D8" s="16">
        <f>((2*'1 - Parametri'!B15+2*'1 - Parametri'!B16+2*'1 - Parametri'!B17)/6+('1 - Parametri'!B18)/6)*(1-'1 - Parametri'!B8)-'1 - Parametri'!B39</f>
        <v/>
      </c>
      <c r="E8" s="16">
        <f>((2*'1 - Parametri'!B15+2*'1 - Parametri'!B16+2*'1 - Parametri'!B17)/6+('1 - Parametri'!B18)/6)*(1-'1 - Parametri'!B8)-'1 - Parametri'!B40</f>
        <v/>
      </c>
    </row>
    <row r="9">
      <c r="A9" s="8" t="inlineStr">
        <is>
          <t>BTP nominale 5y (2,90% lordo)</t>
        </is>
      </c>
      <c r="B9" s="16">
        <f>'1 - Parametri'!B32*(1-'1 - Parametri'!B8)-'1 - Parametri'!B37</f>
        <v/>
      </c>
      <c r="C9" s="16">
        <f>'1 - Parametri'!B32*(1-'1 - Parametri'!B8)-'1 - Parametri'!B38</f>
        <v/>
      </c>
      <c r="D9" s="16">
        <f>'1 - Parametri'!B32*(1-'1 - Parametri'!B8)-'1 - Parametri'!B39</f>
        <v/>
      </c>
      <c r="E9" s="16">
        <f>'1 - Parametri'!B32*(1-'1 - Parametri'!B8)-'1 - Parametri'!B40</f>
        <v/>
      </c>
    </row>
    <row r="10">
      <c r="A10" s="8" t="inlineStr">
        <is>
          <t>BTP nominale 10y (3,45% lordo)</t>
        </is>
      </c>
      <c r="B10" s="16">
        <f>'1 - Parametri'!B34*(1-'1 - Parametri'!B8)-'1 - Parametri'!B37</f>
        <v/>
      </c>
      <c r="C10" s="16">
        <f>'1 - Parametri'!B34*(1-'1 - Parametri'!B8)-'1 - Parametri'!B38</f>
        <v/>
      </c>
      <c r="D10" s="16">
        <f>'1 - Parametri'!B34*(1-'1 - Parametri'!B8)-'1 - Parametri'!B39</f>
        <v/>
      </c>
      <c r="E10" s="16">
        <f>'1 - Parametri'!B34*(1-'1 - Parametri'!B8)-'1 - Parametri'!B40</f>
        <v/>
      </c>
    </row>
    <row r="12">
      <c r="A12" s="7" t="inlineStr">
        <is>
          <t>Heatmap: VERDE = miglior rendimento REALE per scenario / ROSSO = peggior</t>
        </is>
      </c>
    </row>
    <row r="13" ht="45" customHeight="1">
      <c r="A13" s="10" t="inlineStr">
        <is>
          <t>BTP Italia Si vince in scenari di inflazione media-alta perche' il tasso fisso e' REALE. BTP Italia classico in inflazione alta ha vantaggio capitale rivalutato. Nominali: vincono solo in disinflazione.</t>
        </is>
      </c>
    </row>
  </sheetData>
  <mergeCells count="5">
    <mergeCell ref="A12:E12"/>
    <mergeCell ref="A4:E4"/>
    <mergeCell ref="A2:E2"/>
    <mergeCell ref="A1:E1"/>
    <mergeCell ref="A13:E13"/>
  </mergeCells>
  <conditionalFormatting sqref="B6:B10">
    <cfRule type="colorScale" priority="1">
      <colorScale>
        <cfvo type="min"/>
        <cfvo type="percentile" val="50"/>
        <cfvo type="max"/>
        <color rgb="00F87171"/>
        <color rgb="00FEF3C7"/>
        <color rgb="0086EFAC"/>
      </colorScale>
    </cfRule>
  </conditionalFormatting>
  <conditionalFormatting sqref="C6:C10">
    <cfRule type="colorScale" priority="1">
      <colorScale>
        <cfvo type="min"/>
        <cfvo type="percentile" val="50"/>
        <cfvo type="max"/>
        <color rgb="00F87171"/>
        <color rgb="00FEF3C7"/>
        <color rgb="0086EFAC"/>
      </colorScale>
    </cfRule>
  </conditionalFormatting>
  <conditionalFormatting sqref="D6:D10">
    <cfRule type="colorScale" priority="1">
      <colorScale>
        <cfvo type="min"/>
        <cfvo type="percentile" val="50"/>
        <cfvo type="max"/>
        <color rgb="00F87171"/>
        <color rgb="00FEF3C7"/>
        <color rgb="0086EFAC"/>
      </colorScale>
    </cfRule>
  </conditionalFormatting>
  <conditionalFormatting sqref="E6:E10">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44" customWidth="1" min="1" max="1"/>
    <col width="18" customWidth="1" min="2" max="2"/>
    <col width="16" customWidth="1" min="3" max="3"/>
    <col width="16" customWidth="1" min="4" max="4"/>
    <col width="22" customWidth="1" min="5" max="5"/>
  </cols>
  <sheetData>
    <row r="1" ht="25" customHeight="1">
      <c r="A1" s="1" t="inlineStr">
        <is>
          <t>Break-even: a quale inflazione media il BTP Italia Si batte ogni avversario</t>
        </is>
      </c>
    </row>
    <row r="2" ht="32" customHeight="1">
      <c r="A2" s="2" t="inlineStr">
        <is>
          <t>Strumento informativo / divulgativo. NON è consulenza finanziaria. I valori sono indicativi al 2026 e vanno verificati col tuo consulente.</t>
        </is>
      </c>
    </row>
    <row r="4">
      <c r="A4" s="7" t="inlineStr">
        <is>
          <t>Avversari a cedola FISSA nominale (break-even basato su inflazione)</t>
        </is>
      </c>
    </row>
    <row r="5">
      <c r="A5" s="20" t="inlineStr">
        <is>
          <t>Avversario</t>
        </is>
      </c>
      <c r="B5" s="20" t="inlineStr">
        <is>
          <t>Rendimento lordo</t>
        </is>
      </c>
      <c r="C5" s="20" t="inlineStr">
        <is>
          <t>Rend. netto (1-12,5%)</t>
        </is>
      </c>
      <c r="D5" s="20" t="inlineStr">
        <is>
          <t>Soglia infl. break-even (lorda)</t>
        </is>
      </c>
      <c r="E5" s="20" t="inlineStr">
        <is>
          <t>Verdetto</t>
        </is>
      </c>
    </row>
    <row r="6">
      <c r="A6" s="8" t="inlineStr">
        <is>
          <t>BTP nominale 2y</t>
        </is>
      </c>
      <c r="B6" s="16">
        <f>'1 - Parametri'!B30</f>
        <v/>
      </c>
      <c r="C6" s="16">
        <f>B6*(1-'1 - Parametri'!B8)</f>
        <v/>
      </c>
      <c r="D6" s="16">
        <f>B6-('1 - Parametri'!B5+('1 - Parametri'!B7)/5)</f>
        <v/>
      </c>
      <c r="E6" s="22">
        <f>IF(D6&lt;=0,"Si vince SEMPRE",IF(D6&gt;=0.045,"Si perde quasi sempre","Si vince se FOI &gt; "&amp;ROUND(D6*100,2)&amp;"%"))</f>
        <v/>
      </c>
    </row>
    <row r="7">
      <c r="A7" s="8" t="inlineStr">
        <is>
          <t>BTP nominale 3y</t>
        </is>
      </c>
      <c r="B7" s="16">
        <f>'1 - Parametri'!B31</f>
        <v/>
      </c>
      <c r="C7" s="16">
        <f>B7*(1-'1 - Parametri'!B8)</f>
        <v/>
      </c>
      <c r="D7" s="16">
        <f>B7-('1 - Parametri'!B5+('1 - Parametri'!B7)/5)</f>
        <v/>
      </c>
      <c r="E7" s="22">
        <f>IF(D7&lt;=0,"Si vince SEMPRE",IF(D7&gt;=0.045,"Si perde quasi sempre","Si vince se FOI &gt; "&amp;ROUND(D7*100,2)&amp;"%"))</f>
        <v/>
      </c>
    </row>
    <row r="8">
      <c r="A8" s="8" t="inlineStr">
        <is>
          <t>BTP nominale 5y</t>
        </is>
      </c>
      <c r="B8" s="16">
        <f>'1 - Parametri'!B32</f>
        <v/>
      </c>
      <c r="C8" s="16">
        <f>B8*(1-'1 - Parametri'!B8)</f>
        <v/>
      </c>
      <c r="D8" s="16">
        <f>B8-('1 - Parametri'!B5+('1 - Parametri'!B7)/5)</f>
        <v/>
      </c>
      <c r="E8" s="22">
        <f>IF(D8&lt;=0,"Si vince SEMPRE",IF(D8&gt;=0.045,"Si perde quasi sempre","Si vince se FOI &gt; "&amp;ROUND(D8*100,2)&amp;"%"))</f>
        <v/>
      </c>
    </row>
    <row r="9">
      <c r="A9" s="8" t="inlineStr">
        <is>
          <t>BTP nominale 7y</t>
        </is>
      </c>
      <c r="B9" s="16">
        <f>'1 - Parametri'!B33</f>
        <v/>
      </c>
      <c r="C9" s="16">
        <f>B9*(1-'1 - Parametri'!B8)</f>
        <v/>
      </c>
      <c r="D9" s="16">
        <f>B9-('1 - Parametri'!B5+('1 - Parametri'!B7)/5)</f>
        <v/>
      </c>
      <c r="E9" s="22">
        <f>IF(D9&lt;=0,"Si vince SEMPRE",IF(D9&gt;=0.045,"Si perde quasi sempre","Si vince se FOI &gt; "&amp;ROUND(D9*100,2)&amp;"%"))</f>
        <v/>
      </c>
    </row>
    <row r="10">
      <c r="A10" s="8" t="inlineStr">
        <is>
          <t>BTP nominale 10y</t>
        </is>
      </c>
      <c r="B10" s="16">
        <f>'1 - Parametri'!B34</f>
        <v/>
      </c>
      <c r="C10" s="16">
        <f>B10*(1-'1 - Parametri'!B8)</f>
        <v/>
      </c>
      <c r="D10" s="16">
        <f>B10-('1 - Parametri'!B5+('1 - Parametri'!B7)/5)</f>
        <v/>
      </c>
      <c r="E10" s="22">
        <f>IF(D10&lt;=0,"Si vince SEMPRE",IF(D10&gt;=0.045,"Si perde quasi sempre","Si vince se FOI &gt; "&amp;ROUND(D10*100,2)&amp;"%"))</f>
        <v/>
      </c>
    </row>
    <row r="11">
      <c r="A11" s="8" t="inlineStr">
        <is>
          <t>BTP Valore (avg+premio)</t>
        </is>
      </c>
      <c r="B11" s="16">
        <f>(2*'1 - Parametri'!B15+2*'1 - Parametri'!B16+2*'1 - Parametri'!B17)/6+('1 - Parametri'!B18)/6</f>
        <v/>
      </c>
      <c r="C11" s="16">
        <f>B11*(1-'1 - Parametri'!B8)</f>
        <v/>
      </c>
      <c r="D11" s="16">
        <f>B11-('1 - Parametri'!B5+('1 - Parametri'!B7)/5)</f>
        <v/>
      </c>
      <c r="E11" s="22">
        <f>IF(D11&lt;=0,"Si vince SEMPRE",IF(D11&gt;=0.045,"Si perde quasi sempre","Si vince se FOI &gt; "&amp;ROUND(D11*100,2)&amp;"%"))</f>
        <v/>
      </c>
    </row>
    <row r="12">
      <c r="A12" s="8" t="inlineStr">
        <is>
          <t>BTP Futura (avg cedole+premio PIL 3%)</t>
        </is>
      </c>
      <c r="B12" s="16">
        <f>(4*'1 - Parametri'!B22+4*'1 - Parametri'!B23+4*'1 - Parametri'!B24)/12+MAX('1 - Parametri'!B25,MIN('1 - Parametri'!B26,0.4*0.03))/12</f>
        <v/>
      </c>
      <c r="C12" s="16">
        <f>B12*(1-'1 - Parametri'!B8)</f>
        <v/>
      </c>
      <c r="D12" s="16">
        <f>B12-('1 - Parametri'!B5+('1 - Parametri'!B7)/5)</f>
        <v/>
      </c>
      <c r="E12" s="22">
        <f>IF(D12&lt;=0,"Si vince SEMPRE",IF(D12&gt;=0.045,"Si perde quasi sempre","Si vince se FOI &gt; "&amp;ROUND(D12*100,2)&amp;"%"))</f>
        <v/>
      </c>
    </row>
    <row r="14">
      <c r="A14" s="7" t="inlineStr">
        <is>
          <t>BTP Italia classico: confronto diverso (capitale rivalutato, no break-even classico)</t>
        </is>
      </c>
    </row>
    <row r="15">
      <c r="A15" s="20" t="inlineStr">
        <is>
          <t>Avversario</t>
        </is>
      </c>
      <c r="B15" s="20" t="inlineStr">
        <is>
          <t>YTM reale NETTO (MOT)</t>
        </is>
      </c>
      <c r="C15" s="20" t="inlineStr">
        <is>
          <t>Sì reale netto</t>
        </is>
      </c>
      <c r="D15" s="20" t="inlineStr">
        <is>
          <t>Vantaggio Sì (pp)</t>
        </is>
      </c>
      <c r="E15" s="20" t="inlineStr">
        <is>
          <t>Verdetto</t>
        </is>
      </c>
    </row>
    <row r="16">
      <c r="A16" s="8" t="inlineStr">
        <is>
          <t>BTP Italia classico mag 2028 (YTM REALE da prezzo MOT)</t>
        </is>
      </c>
      <c r="B16" s="16">
        <f>'1 - Parametri'!B50*(1-'1 - Parametri'!B8)</f>
        <v/>
      </c>
      <c r="C16" s="16">
        <f>('1 - Parametri'!B5+'1 - Parametri'!B7/5)*(1-'1 - Parametri'!B8)</f>
        <v/>
      </c>
      <c r="D16" s="16">
        <f>C16-B16</f>
        <v/>
      </c>
      <c r="E16" s="22">
        <f>IF(D16&gt;=0,"Sì vince (vantaggio "&amp;ROUND(D16*100,2)&amp;"pp)","Classico vince (gap "&amp;ROUND(-D16*100,2)&amp;"pp)")</f>
        <v/>
      </c>
    </row>
    <row r="17">
      <c r="A17" s="8" t="inlineStr">
        <is>
          <t>BTP Italia classico giu 2030 (YTM REALE da prezzo MOT)</t>
        </is>
      </c>
      <c r="B17" s="16">
        <f>'1 - Parametri'!B52*(1-'1 - Parametri'!B8)</f>
        <v/>
      </c>
      <c r="C17" s="16">
        <f>('1 - Parametri'!B5+'1 - Parametri'!B7/5)*(1-'1 - Parametri'!B8)</f>
        <v/>
      </c>
      <c r="D17" s="16">
        <f>C17-B17</f>
        <v/>
      </c>
      <c r="E17" s="22">
        <f>IF(D17&gt;=0,"Sì vince (vantaggio "&amp;ROUND(D17*100,2)&amp;"pp)","Classico vince (gap "&amp;ROUND(-D17*100,2)&amp;"pp)")</f>
        <v/>
      </c>
    </row>
    <row r="18">
      <c r="A18" s="8" t="inlineStr">
        <is>
          <t>BTP Italia classico MEDIA 2 ISIN (YTM reale NETTO medio)</t>
        </is>
      </c>
      <c r="B18" s="16">
        <f>'1 - Parametri'!B56*(1-'1 - Parametri'!B8)</f>
        <v/>
      </c>
      <c r="C18" s="16">
        <f>('1 - Parametri'!B5+'1 - Parametri'!B7/5)*(1-'1 - Parametri'!B8)</f>
        <v/>
      </c>
      <c r="D18" s="16">
        <f>C18-B18</f>
        <v/>
      </c>
      <c r="E18" s="22">
        <f>IF(D18&gt;=0,"Sì vince (vantaggio "&amp;ROUND(D18*100,2)&amp;"pp)","Classico vince (gap "&amp;ROUND(-D18*100,2)&amp;"pp)")</f>
        <v/>
      </c>
    </row>
    <row r="19" ht="60" customHeight="1">
      <c r="A19" s="10" t="inlineStr">
        <is>
          <t>ATTENZIONE: usato YTM REALE EFFETTIVO calcolato dal prezzo MOT (non cedola del prospetto). Se sul secondario il classico quota SOPRA par (es. 104), il YTM reale si abbassa molto, specie per scadenze brevi. Esempio default: mag 2028 a 104, YTM reale ~0% (premio erode tutto). Vai al foglio Parametri righe 46-56 per modificare i prezzi MOT e vedere come cambia.</t>
        </is>
      </c>
    </row>
    <row r="21" ht="45" customHeight="1">
      <c r="A21" s="10" t="inlineStr">
        <is>
          <t>BTP Futura: cedole FISSE step-up molto basse (0,35%/0,60%/1,00%) + premio PIL nominale (0,4-3% diluito su 12y). Rendimento totale annuo molto inferiore al Sì → Sì vince SEMPRE indipendentemente dall'inflazione. Sospeso dal 2021, solo secondario.</t>
        </is>
      </c>
    </row>
  </sheetData>
  <mergeCells count="6">
    <mergeCell ref="A21:E21"/>
    <mergeCell ref="A4:E4"/>
    <mergeCell ref="A2:E2"/>
    <mergeCell ref="A19:E19"/>
    <mergeCell ref="A1:E1"/>
    <mergeCell ref="A14:E14"/>
  </mergeCells>
  <conditionalFormatting sqref="D6:D12">
    <cfRule type="colorScale" priority="1">
      <colorScale>
        <cfvo type="min"/>
        <cfvo type="percentile" val="50"/>
        <cfvo type="max"/>
        <color rgb="0086EFAC"/>
        <color rgb="00FEF3C7"/>
        <color rgb="00F87171"/>
      </colorScale>
    </cfRule>
  </conditionalFormatting>
  <conditionalFormatting sqref="D16:D18">
    <cfRule type="colorScale" priority="2">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ht="25" customHeight="1">
      <c r="A1" s="1" t="inlineStr">
        <is>
          <t>4 profili FIRE - allocazione consigliata tra i 5 strumenti</t>
        </is>
      </c>
    </row>
    <row r="2" ht="32" customHeight="1">
      <c r="A2" s="2" t="inlineStr">
        <is>
          <t>Strumento informativo / divulgativo. NON è consulenza finanziaria. I valori sono indicativi al 2026 e vanno verificati col tuo consulente.</t>
        </is>
      </c>
    </row>
    <row r="4">
      <c r="A4" s="7" t="inlineStr">
        <is>
          <t>Allocazione (% del cuscinetto bond del portafoglio)</t>
        </is>
      </c>
    </row>
    <row r="5">
      <c r="A5" s="20" t="inlineStr">
        <is>
          <t>Profilo</t>
        </is>
      </c>
      <c r="B5" s="20" t="inlineStr">
        <is>
          <t>BTP Italia Si</t>
        </is>
      </c>
      <c r="C5" s="20" t="inlineStr">
        <is>
          <t>BTP Italia clas.</t>
        </is>
      </c>
      <c r="D5" s="20" t="inlineStr">
        <is>
          <t>BTP Valore</t>
        </is>
      </c>
      <c r="E5" s="20" t="inlineStr">
        <is>
          <t>BTP nominale 5y</t>
        </is>
      </c>
      <c r="F5" s="20" t="inlineStr">
        <is>
          <t>BTP nominale 10y</t>
        </is>
      </c>
    </row>
    <row r="6">
      <c r="A6" s="8" t="inlineStr">
        <is>
          <t>Giovane 25-34</t>
        </is>
      </c>
      <c r="B6" s="23" t="n">
        <v>0.2</v>
      </c>
      <c r="C6" s="23" t="n">
        <v>0.1</v>
      </c>
      <c r="D6" s="23" t="n">
        <v>0.2</v>
      </c>
      <c r="E6" s="23" t="n">
        <v>0.3</v>
      </c>
      <c r="F6" s="23" t="n">
        <v>0.2</v>
      </c>
    </row>
    <row r="7">
      <c r="A7" s="8" t="inlineStr">
        <is>
          <t>Mezza età 35-49</t>
        </is>
      </c>
      <c r="B7" s="23" t="n">
        <v>0.25</v>
      </c>
      <c r="C7" s="23" t="n">
        <v>0.15</v>
      </c>
      <c r="D7" s="23" t="n">
        <v>0.2</v>
      </c>
      <c r="E7" s="23" t="n">
        <v>0.25</v>
      </c>
      <c r="F7" s="23" t="n">
        <v>0.15</v>
      </c>
    </row>
    <row r="8">
      <c r="A8" s="8" t="inlineStr">
        <is>
          <t>Over 50 pre-FIRE</t>
        </is>
      </c>
      <c r="B8" s="23" t="n">
        <v>0.3</v>
      </c>
      <c r="C8" s="23" t="n">
        <v>0.3</v>
      </c>
      <c r="D8" s="23" t="n">
        <v>0.2</v>
      </c>
      <c r="E8" s="23" t="n">
        <v>0.15</v>
      </c>
      <c r="F8" s="23" t="n">
        <v>0.05</v>
      </c>
    </row>
    <row r="9">
      <c r="A9" s="8" t="inlineStr">
        <is>
          <t>FIRE in decumulo</t>
        </is>
      </c>
      <c r="B9" s="23" t="n">
        <v>0.25</v>
      </c>
      <c r="C9" s="23" t="n">
        <v>0.35</v>
      </c>
      <c r="D9" s="23" t="n">
        <v>0.15</v>
      </c>
      <c r="E9" s="23" t="n">
        <v>0.15</v>
      </c>
      <c r="F9" s="23" t="n">
        <v>0.1</v>
      </c>
    </row>
    <row r="11">
      <c r="A11" s="7" t="inlineStr">
        <is>
          <t>Razionale per profilo</t>
        </is>
      </c>
    </row>
    <row r="12" ht="15" customHeight="1">
      <c r="A12" s="10" t="inlineStr">
        <is>
          <t>Giovane: peso nominali alto (tassi sopra inflazione attesa), Si come 'difesa' inflazione.</t>
        </is>
      </c>
    </row>
    <row r="13" ht="15" customHeight="1">
      <c r="A13" s="10" t="inlineStr">
        <is>
          <t>Mezza eta': bilanciato, Si cresce per protezione potere d'acquisto.</t>
        </is>
      </c>
    </row>
    <row r="14" ht="15" customHeight="1">
      <c r="A14" s="10" t="inlineStr">
        <is>
          <t>Over 50: peso classico alto per crescita capitale; Si per cedola decrescente in real terms.</t>
        </is>
      </c>
    </row>
    <row r="15" ht="15" customHeight="1">
      <c r="A15" s="10" t="inlineStr">
        <is>
          <t>Decumulo: priorita' capitale rivalutato (classico) + reddito stabile (Si + Valore).</t>
        </is>
      </c>
    </row>
  </sheetData>
  <mergeCells count="8">
    <mergeCell ref="A2:F2"/>
    <mergeCell ref="A11:F11"/>
    <mergeCell ref="A13:F13"/>
    <mergeCell ref="A14:F14"/>
    <mergeCell ref="A1:F1"/>
    <mergeCell ref="A12:F12"/>
    <mergeCell ref="A4:F4"/>
    <mergeCell ref="A15:F15"/>
  </mergeCells>
  <conditionalFormatting sqref="B6:F9">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C23"/>
  <sheetViews>
    <sheetView workbookViewId="0">
      <selection activeCell="A1" sqref="A1"/>
    </sheetView>
  </sheetViews>
  <sheetFormatPr baseColWidth="8" defaultRowHeight="15"/>
  <cols>
    <col width="42" customWidth="1" min="1" max="1"/>
    <col width="16" customWidth="1" min="2" max="2"/>
    <col width="30" customWidth="1" min="3" max="3"/>
  </cols>
  <sheetData>
    <row r="1" ht="25" customHeight="1">
      <c r="A1" s="1" t="inlineStr">
        <is>
          <t>Calcolatore: quale BTP scegliere in base ai tuoi parametri</t>
        </is>
      </c>
    </row>
    <row r="2" ht="32" customHeight="1">
      <c r="A2" s="2" t="inlineStr">
        <is>
          <t>Strumento informativo / divulgativo. NON è consulenza finanziaria. I valori sono indicativi al 2026 e vanno verificati col tuo consulente.</t>
        </is>
      </c>
    </row>
    <row r="4">
      <c r="A4" s="7" t="inlineStr">
        <is>
          <t>Input personali</t>
        </is>
      </c>
    </row>
    <row r="5">
      <c r="A5" s="8" t="inlineStr">
        <is>
          <t>Tuo capitale (EUR)</t>
        </is>
      </c>
      <c r="B5" s="13" t="n">
        <v>20000</v>
      </c>
    </row>
    <row r="6">
      <c r="A6" s="8" t="inlineStr">
        <is>
          <t>Tuo orizzonte temporale (anni)</t>
        </is>
      </c>
      <c r="B6" s="11" t="n">
        <v>7</v>
      </c>
    </row>
    <row r="7">
      <c r="A7" s="8" t="inlineStr">
        <is>
          <t>Tua aspettativa inflazione FOI media (%)</t>
        </is>
      </c>
      <c r="B7" s="12" t="n">
        <v>0.025</v>
      </c>
    </row>
    <row r="8">
      <c r="A8" s="8" t="inlineStr">
        <is>
          <t>Tua aliquota IRPEF marginale (info)</t>
        </is>
      </c>
      <c r="B8" s="24" t="n">
        <v>0.33</v>
      </c>
    </row>
    <row r="10">
      <c r="A10" s="7" t="inlineStr">
        <is>
          <t>Rendimento REALE netto atteso per strumento</t>
        </is>
      </c>
    </row>
    <row r="11">
      <c r="A11" s="20" t="inlineStr">
        <is>
          <t>Strumento</t>
        </is>
      </c>
      <c r="B11" s="20" t="inlineStr">
        <is>
          <t>Rend. reale annuo</t>
        </is>
      </c>
      <c r="C11" s="20" t="inlineStr">
        <is>
          <t>Idoneo al tuo orizzonte</t>
        </is>
      </c>
    </row>
    <row r="12">
      <c r="A12" s="8" t="inlineStr">
        <is>
          <t>BTP Italia Si</t>
        </is>
      </c>
      <c r="B12" s="16">
        <f>('1 - Parametri'!B5+'1 - Parametri'!B7/5)*(1-'1 - Parametri'!B8)-'1 - Parametri'!B8*B7</f>
        <v/>
      </c>
      <c r="C12" s="22">
        <f>IF(B6&gt;=5,"SI","NO - troppo lungo")</f>
        <v/>
      </c>
    </row>
    <row r="13">
      <c r="A13" s="8" t="inlineStr">
        <is>
          <t>BTP Italia clas. (YTM MOT)</t>
        </is>
      </c>
      <c r="B13" s="16">
        <f>'1 - Parametri'!B56*(1-'1 - Parametri'!B8)-'1 - Parametri'!B8*B7</f>
        <v/>
      </c>
      <c r="C13" s="22">
        <f>IF(B6&gt;=5,"SI","NO - troppo lungo")</f>
        <v/>
      </c>
    </row>
    <row r="14">
      <c r="A14" s="8" t="inlineStr">
        <is>
          <t>BTP Valore</t>
        </is>
      </c>
      <c r="B14" s="16">
        <f>((2*'1 - Parametri'!B15+2*'1 - Parametri'!B16+2*'1 - Parametri'!B17)/6+'1 - Parametri'!B18/6)*(1-'1 - Parametri'!B8)-B7</f>
        <v/>
      </c>
      <c r="C14" s="22">
        <f>IF(B6&gt;=6,"SI","NO - troppo lungo")</f>
        <v/>
      </c>
    </row>
    <row r="15">
      <c r="A15" s="8" t="inlineStr">
        <is>
          <t>BTP nominale 5y</t>
        </is>
      </c>
      <c r="B15" s="16">
        <f>'1 - Parametri'!B32*(1-'1 - Parametri'!B8)-B7</f>
        <v/>
      </c>
      <c r="C15" s="22">
        <f>IF(B6&gt;=5,"SI","NO - troppo lungo")</f>
        <v/>
      </c>
    </row>
    <row r="16">
      <c r="A16" s="8" t="inlineStr">
        <is>
          <t>BTP nominale 10y</t>
        </is>
      </c>
      <c r="B16" s="16">
        <f>'1 - Parametri'!B34*(1-'1 - Parametri'!B8)-B7</f>
        <v/>
      </c>
      <c r="C16" s="22">
        <f>IF(B6&gt;=10,"SI","NO - troppo lungo")</f>
        <v/>
      </c>
    </row>
    <row r="18">
      <c r="A18" s="7" t="inlineStr">
        <is>
          <t>Raccomandazione automatica (strumento con rendimento reale max)</t>
        </is>
      </c>
    </row>
    <row r="19">
      <c r="A19" s="8" t="inlineStr">
        <is>
          <t>Miglior strumento</t>
        </is>
      </c>
      <c r="B19" s="22">
        <f>INDEX(A12:A16,MATCH(MAX(B12:B16),B12:B16,0))</f>
        <v/>
      </c>
    </row>
    <row r="20">
      <c r="A20" s="8" t="inlineStr">
        <is>
          <t>Rendimento reale atteso annuo</t>
        </is>
      </c>
      <c r="B20" s="16">
        <f>MAX(B12:B16)</f>
        <v/>
      </c>
    </row>
    <row r="21">
      <c r="A21" s="8" t="inlineStr">
        <is>
          <t>Valore finale (con cap. + reale)</t>
        </is>
      </c>
      <c r="B21" s="19">
        <f>B5*(1+B20)^B6</f>
        <v/>
      </c>
    </row>
    <row r="23" ht="45" customHeight="1">
      <c r="A23" s="10" t="inlineStr">
        <is>
          <t>Raccomandazione algoritmica basata sul rendimento reale max. NON e' consulenza finanziaria. Considera anche liquidita', diversificazione, necessita' di reddito cedolare periodico.</t>
        </is>
      </c>
    </row>
  </sheetData>
  <mergeCells count="6">
    <mergeCell ref="A10:C10"/>
    <mergeCell ref="A1:C1"/>
    <mergeCell ref="A23:C23"/>
    <mergeCell ref="A18:C18"/>
    <mergeCell ref="A4:C4"/>
    <mergeCell ref="A2:C2"/>
  </mergeCells>
  <conditionalFormatting sqref="B12:B16">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2026-06-10T15:35:33Z</dcterms:created>
  <dcterms:modified xsi:type="dcterms:W3CDTF">2026-06-10T15:35:33Z</dcterms:modified>
</cp:coreProperties>
</file>