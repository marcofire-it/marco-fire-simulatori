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 name="11 - Flusso cedolare"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mmm aaaa"/>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xf numFmtId="167" fontId="5" fillId="0" borderId="1" applyAlignment="1" pivotButton="0" quotePrefix="0" xfId="0">
      <alignment horizontal="right" vertical="center"/>
    </xf>
    <xf numFmtId="4" fontId="5" fillId="6" borderId="1" applyAlignment="1" pivotButton="0" quotePrefix="0" xfId="0">
      <alignment horizontal="right" vertical="center"/>
    </xf>
    <xf numFmtId="167" fontId="5"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Cedole nette semestrali + premio finale</a:t>
            </a:r>
          </a:p>
        </rich>
      </tx>
      <overlay val="0"/>
    </title>
    <plotArea>
      <barChart>
        <barDir val="col"/>
        <grouping val="clustered"/>
        <varyColors val="0"/>
        <ser>
          <idx val="0"/>
          <order val="0"/>
          <tx>
            <strRef>
              <f>'11 - Flusso cedolare'!E12</f>
            </strRef>
          </tx>
          <spPr>
            <a:ln>
              <a:prstDash val="solid"/>
            </a:ln>
          </spPr>
          <cat>
            <numRef>
              <f>'11 - Flusso cedolare'!$A$13:$A$23</f>
            </numRef>
          </cat>
          <val>
            <numRef>
              <f>'11 - Flusso cedolare'!$E$13:$E$23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netti</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f>"Capitale rivalutato + cedola reale "&amp;SUBSTITUTE(ROUND('1 - Parametri'!B12*100,1)&amp;"",".",",")&amp;"% (giu 2030)"</f>
        <v/>
      </c>
    </row>
    <row r="8" ht="22" customHeight="1">
      <c r="A8" s="4" t="inlineStr">
        <is>
          <t>4 - BTP Valore</t>
        </is>
      </c>
      <c r="B8" s="5">
        <f>"Step-up "&amp;SUBSTITUTE(ROUND('1 - Parametri'!B15*100,2)&amp;"",".",",")&amp;"/"&amp;SUBSTITUTE(ROUND('1 - Parametri'!B16*100,2)&amp;"",".",",")&amp;"/"&amp;SUBSTITUTE(ROUND('1 - Parametri'!B17*100,2)&amp;"",".",",")&amp;" + YTM a prezzo MOT "&amp;SUBSTITUTE(ROUND('1 - Parametri'!B64,2)&amp;"",".",",")</f>
        <v/>
      </c>
    </row>
    <row r="9" ht="22" customHeight="1">
      <c r="A9" s="4" t="inlineStr">
        <is>
          <t>5 - BTP Futura</t>
        </is>
      </c>
      <c r="B9" s="5">
        <f>"Storico 4a emissione + YTM a prezzo MOT "&amp;SUBSTITUTE(ROUND('1 - Parametri'!B66,2)&amp;"",".",",")</f>
        <v/>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5" ht="22" customHeight="1">
      <c r="A15" s="4" t="inlineStr">
        <is>
          <t>11 - Flusso cedolare</t>
        </is>
      </c>
      <c r="B15" s="5" t="inlineStr">
        <is>
          <t>Calendario semestrale: quanto incassi e quando, cedola per cedola</t>
        </is>
      </c>
    </row>
    <row r="17">
      <c r="A17" s="3" t="inlineStr">
        <is>
          <t>Come usare</t>
        </is>
      </c>
    </row>
    <row r="18">
      <c r="A18" s="5" t="inlineStr">
        <is>
          <t>1. Le celle GIALLE sono input — modificale coi tuoi numeri.</t>
        </is>
      </c>
    </row>
    <row r="19">
      <c r="A19" s="5" t="inlineStr">
        <is>
          <t>2. Le celle VERDI sono output — si aggiornano automaticamente.</t>
        </is>
      </c>
    </row>
    <row r="20">
      <c r="A20" s="5" t="inlineStr">
        <is>
          <t>3. Tutti i numeri di default sono al 2026 da fonti pubbliche.</t>
        </is>
      </c>
    </row>
    <row r="21">
      <c r="A21" s="5" t="inlineStr">
        <is>
          <t>4. Niente codice nascosto: l'Excel è solo formule modificabili.</t>
        </is>
      </c>
    </row>
    <row r="23">
      <c r="A23" s="3" t="inlineStr">
        <is>
          <t>Fonti dati</t>
        </is>
      </c>
    </row>
    <row r="24">
      <c r="A24" s="5" t="inlineStr">
        <is>
          <t>• MEF Dipartimento del Tesoro - Annuncio BTP Italia Si dal 15 al 19 giugno 2026</t>
        </is>
      </c>
    </row>
    <row r="25">
      <c r="A25" s="5">
        <f>"• MEF - BTP Italia marzo 2028 (IT0005532723, scad. 14/03/2028) tasso reale "&amp;SUBSTITUTE(ROUND('1 - Parametri'!B11*100,1)&amp;"",".",",")&amp;"%; giugno 2030 (IT0005497000) tasso reale "&amp;SUBSTITUTE(ROUND('1 - Parametri'!B12*100,1)&amp;"",".",",")&amp;"%"</f>
        <v/>
      </c>
    </row>
    <row r="26">
      <c r="A26" s="5">
        <f>"• MEF - BTP Valore marzo 2026 (IT0005696338) step-up DEFINITIVI "&amp;SUBSTITUTE(ROUND('1 - Parametri'!B15*100,2)&amp;"",".",",")&amp;"/"&amp;SUBSTITUTE(ROUND('1 - Parametri'!B16*100,2)&amp;"",".",",")&amp;"/"&amp;SUBSTITUTE(ROUND('1 - Parametri'!B17*100,2)&amp;"",".",",")&amp;"% + premio "&amp;SUBSTITUTE(ROUND('1 - Parametri'!B18*100,1)&amp;"",".",",")&amp;"%, scadenza 10 mar 2032"</f>
        <v/>
      </c>
    </row>
    <row r="27">
      <c r="A27" s="5">
        <f>"• MEF - BTP Futura 4a emissione nov 2021 (IT0005466351), "&amp;'1 - Parametri'!B27&amp;" anni step-up DEFINITIVI "&amp;SUBSTITUTE(ROUND('1 - Parametri'!B22*100,2)&amp;"",".",",")&amp;"/"&amp;SUBSTITUTE(ROUND('1 - Parametri'!B23*100,2)&amp;"",".",",")&amp;"/"&amp;SUBSTITUTE(ROUND('1 - Parametri'!B24*100,2)&amp;"",".",",")&amp;"% + doppio premio PIL (solo sottoscrittori originali), scadenza 16 nov 2033"</f>
        <v/>
      </c>
    </row>
    <row r="28">
      <c r="A28" s="5">
        <f>"• Borsa Italiana MOT - prezzi ufficiali correnti (foglio 1 - Parametri): mar 2028 "&amp;SUBSTITUTE(ROUND('1 - Parametri'!B46,2)&amp;"",".",",")&amp;"; giu 2030 "&amp;SUBSTITUTE(ROUND('1 - Parametri'!B48,2)&amp;"",".",",")&amp;"; Valore "&amp;SUBSTITUTE(ROUND('1 - Parametri'!B64,2)&amp;"",".",",")&amp;"; Futura "&amp;SUBSTITUTE(ROUND('1 - Parametri'!B66,2)&amp;"",".",",")</f>
        <v/>
      </c>
    </row>
    <row r="29">
      <c r="A29" s="5" t="inlineStr">
        <is>
          <t>• MEF Tesoro - Calendario aste BTP nominali maggio 2026 (asta 13 e 28 maggio)</t>
        </is>
      </c>
    </row>
    <row r="30">
      <c r="A30" s="5" t="inlineStr">
        <is>
          <t>• Banca d'Italia - Risultati aste BTP nominali 2026 (rendimenti curva 2y-10y)</t>
        </is>
      </c>
    </row>
    <row r="31">
      <c r="A31" s="5" t="inlineStr">
        <is>
          <t>• ISTAT - Indice FOI per famiglie operai e impiegati (escluso tabacchi) - meccanismo BTP Italia</t>
        </is>
      </c>
    </row>
    <row r="32">
      <c r="A32" s="5" t="inlineStr">
        <is>
          <t>• Eurostat - HICP eurozona per BTPi (non incluso in matrice; alternativa istituzionale)</t>
        </is>
      </c>
    </row>
    <row r="33">
      <c r="A33" s="5" t="inlineStr">
        <is>
          <t>• Borsa Italiana MOT - mercato secondario BTP retail (liquidita' supportata da Dealer MEF)</t>
        </is>
      </c>
    </row>
    <row r="35">
      <c r="A35"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0.018</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f>"Fissa: "&amp;B6&amp;" anni"</f>
        <v/>
      </c>
    </row>
    <row r="7" ht="45" customHeight="1">
      <c r="A7" s="8" t="inlineStr">
        <is>
          <t>Premio fedelta' finale</t>
        </is>
      </c>
      <c r="B7" s="9" t="n">
        <v>0.006</v>
      </c>
      <c r="D7" s="10">
        <f>"Confermato MEF: "&amp;SUBSTITUTE(ROUND(B7*100,1)&amp;"",".",",")&amp;"% del capitale (solo se mantenuto a scadenza)"</f>
        <v/>
      </c>
    </row>
    <row r="8" ht="30" customHeight="1">
      <c r="A8" s="8" t="inlineStr">
        <is>
          <t>Tassazione titoli di stato</t>
        </is>
      </c>
      <c r="B8" s="12" t="n">
        <v>0.125</v>
      </c>
      <c r="D8" s="10">
        <f>"Aliquota "&amp;SUBSTITUTE(ROUND(B8*100,1)&amp;"",".",",")&amp;"% su cedole + premio finale"</f>
        <v/>
      </c>
    </row>
    <row r="10">
      <c r="A10" s="7" t="inlineStr">
        <is>
          <t>BTP Italia classico in essere (riferimenti secondario MOT)</t>
        </is>
      </c>
    </row>
    <row r="11" ht="60" customHeight="1">
      <c r="A11" s="8" t="inlineStr">
        <is>
          <t>BTP Italia mar 2028 - cedola reale annua</t>
        </is>
      </c>
      <c r="B11" s="9" t="n">
        <v>0.02</v>
      </c>
      <c r="D11" s="10">
        <f>"MEF IT0005532723, scadenza 14/03/2028: tasso reale "&amp;SUBSTITUTE(ROUND(B11*100,1)&amp;"",".",",")&amp;"% sul prospetto (rendimento per chi compra a 100)."</f>
        <v/>
      </c>
    </row>
    <row r="12" ht="45" customHeight="1">
      <c r="A12" s="8" t="inlineStr">
        <is>
          <t>BTP Italia giu 2030 - cedola reale annua</t>
        </is>
      </c>
      <c r="B12" s="9" t="n">
        <v>0.016</v>
      </c>
      <c r="D12" s="10">
        <f>"MEF IT0005497000, scadenza 28/06/2030: tasso reale "&amp;SUBSTITUTE(ROUND(B12*100,1)&amp;"",".",",")&amp;"% sul prospetto"</f>
        <v/>
      </c>
    </row>
    <row r="14">
      <c r="A14" s="7" t="inlineStr">
        <is>
          <t>BTP Valore (7a emissione marzo 2026, ISIN IT0005696338, secondario)</t>
        </is>
      </c>
    </row>
    <row r="15" ht="30" customHeight="1">
      <c r="A15" s="8" t="inlineStr">
        <is>
          <t>Cedola step-up anni 1-2</t>
        </is>
      </c>
      <c r="B15" s="9" t="n">
        <v>0.026</v>
      </c>
      <c r="D15" s="10">
        <f>"MEF: "&amp;SUBSTITUTE(ROUND(B15*100,2)&amp;"",".",",")&amp;"% definitivo (cedole trimestrali)"</f>
        <v/>
      </c>
    </row>
    <row r="16" ht="45" customHeight="1">
      <c r="A16" s="8" t="inlineStr">
        <is>
          <t>Cedola step-up anni 3-4</t>
        </is>
      </c>
      <c r="B16" s="9" t="n">
        <v>0.032</v>
      </c>
      <c r="D16" s="10">
        <f>"MEF: "&amp;SUBSTITUTE(ROUND(B16*100,2)&amp;"",".",",")&amp;"% definitivo (il 2,80 era il minimo garantito pre-collocamento)"</f>
        <v/>
      </c>
    </row>
    <row r="17" ht="30" customHeight="1">
      <c r="A17" s="8" t="inlineStr">
        <is>
          <t>Cedola step-up anni 5-6</t>
        </is>
      </c>
      <c r="B17" s="9" t="n">
        <v>0.038</v>
      </c>
      <c r="D17" s="10">
        <f>"MEF: "&amp;SUBSTITUTE(ROUND(B17*100,2)&amp;"",".",",")&amp;"% (definitivo)"</f>
        <v/>
      </c>
    </row>
    <row r="18" ht="45" customHeight="1">
      <c r="A18" s="8" t="inlineStr">
        <is>
          <t>Premio fedelta'</t>
        </is>
      </c>
      <c r="B18" s="9" t="n">
        <v>0.008</v>
      </c>
      <c r="D18" s="10">
        <f>"MEF: "&amp;SUBSTITUTE(ROUND(B18*100,1)&amp;"",".",",")&amp;"% del capitale a scadenza (solo sottoscrittori in collocamento)"</f>
        <v/>
      </c>
    </row>
    <row r="19" ht="15" customHeight="1">
      <c r="A19" s="8" t="inlineStr">
        <is>
          <t>Durata (anni)</t>
        </is>
      </c>
      <c r="B19" s="11" t="n">
        <v>6</v>
      </c>
      <c r="D19" s="10" t="inlineStr">
        <is>
          <t>Scadenza 10 mar 2032</t>
        </is>
      </c>
    </row>
    <row r="21">
      <c r="A21" s="7" t="inlineStr">
        <is>
          <t>BTP Futura 4a emissione nov 2021 (sospeso, ISIN IT0005466351 sul MOT)</t>
        </is>
      </c>
    </row>
    <row r="22" ht="45" customHeight="1">
      <c r="A22" s="8" t="inlineStr">
        <is>
          <t>Cedola step-up anni 1-4</t>
        </is>
      </c>
      <c r="B22" s="9" t="n">
        <v>0.0075</v>
      </c>
      <c r="D22" s="10">
        <f>"MEF 4a emissione nov 2021, step DEFINITIVI: "&amp;SUBSTITUTE(ROUND(B22*100,2)&amp;"",".",",")&amp;"% (NON 0,35 = 2a emissione)"</f>
        <v/>
      </c>
    </row>
    <row r="23" ht="30" customHeight="1">
      <c r="A23" s="8" t="inlineStr">
        <is>
          <t>Cedola step-up anni 5-8</t>
        </is>
      </c>
      <c r="B23" s="9" t="n">
        <v>0.0135</v>
      </c>
      <c r="D23" s="10">
        <f>"MEF definitivo: "&amp;SUBSTITUTE(ROUND(B23*100,2)&amp;"",".",",")&amp;"% (anni 5-8)"</f>
        <v/>
      </c>
    </row>
    <row r="24" ht="30" customHeight="1">
      <c r="A24" s="8" t="inlineStr">
        <is>
          <t>Cedola step-up anni 9-12</t>
        </is>
      </c>
      <c r="B24" s="9" t="n">
        <v>0.017</v>
      </c>
      <c r="D24" s="10">
        <f>"MEF definitivo: "&amp;SUBSTITUTE(ROUND(B24*100,2)&amp;"",".",",")&amp;"% (anni 9-12)"</f>
        <v/>
      </c>
    </row>
    <row r="25" ht="45" customHeight="1">
      <c r="A25" s="8" t="inlineStr">
        <is>
          <t>Premio fedelta' min (PIL)</t>
        </is>
      </c>
      <c r="B25" s="9" t="n">
        <v>0.004</v>
      </c>
      <c r="D25" s="10">
        <f>"Floor "&amp;SUBSTITUTE(ROUND(B25*100,1)&amp;"",".",",")&amp;"% se PIL nominale basso (solo sottoscrittori originali)"</f>
        <v/>
      </c>
    </row>
    <row r="26" ht="45" customHeight="1">
      <c r="A26" s="8" t="inlineStr">
        <is>
          <t>Premio fedelta' max (PIL)</t>
        </is>
      </c>
      <c r="B26" s="9" t="n">
        <v>0.03</v>
      </c>
      <c r="D26" s="10">
        <f>"Cap "&amp;SUBSTITUTE(ROUND(B26*100,1)&amp;"",".",",")&amp;"% se PIL nominale alto (solo sottoscrittori originali)"</f>
        <v/>
      </c>
    </row>
    <row r="27" ht="30" customHeight="1">
      <c r="A27" s="8" t="inlineStr">
        <is>
          <t>Durata (anni)</t>
        </is>
      </c>
      <c r="B27" s="11" t="n">
        <v>12</v>
      </c>
      <c r="D27" s="10" t="inlineStr">
        <is>
          <t>4a emissione (4+4+4 step-up), scadenza 16/11/2033</t>
        </is>
      </c>
    </row>
    <row r="29">
      <c r="A29" s="7" t="inlineStr">
        <is>
          <t>BTP nominali - curva 2026 (asta MEF)</t>
        </is>
      </c>
    </row>
    <row r="30" ht="30" customHeight="1">
      <c r="A30" s="8" t="inlineStr">
        <is>
          <t>BTP 2y - rendimento lordo (feb 2028)</t>
        </is>
      </c>
      <c r="B30" s="9" t="n">
        <v>0.022</v>
      </c>
      <c r="D30" s="10">
        <f>"MEF asta: "&amp;SUBSTITUTE(ROUND(B30*100,2)&amp;"",".",",")&amp;"%"</f>
        <v/>
      </c>
    </row>
    <row r="31" ht="30" customHeight="1">
      <c r="A31" s="8" t="inlineStr">
        <is>
          <t>BTP 3y - rendimento lordo (mar 2029)</t>
        </is>
      </c>
      <c r="B31" s="9" t="n">
        <v>0.024</v>
      </c>
      <c r="D31" s="10">
        <f>"MEF asta: "&amp;SUBSTITUTE(ROUND(B31*100,2)&amp;"",".",",")&amp;"%"</f>
        <v/>
      </c>
    </row>
    <row r="32" ht="15" customHeight="1">
      <c r="A32" s="8" t="inlineStr">
        <is>
          <t>BTP 5y - rendimento lordo (stima)</t>
        </is>
      </c>
      <c r="B32" s="9" t="n">
        <v>0.029</v>
      </c>
      <c r="D32" s="10" t="inlineStr">
        <is>
          <t>Stima interpolata 2y-7y curva 2026</t>
        </is>
      </c>
    </row>
    <row r="33" ht="30" customHeight="1">
      <c r="A33" s="8" t="inlineStr">
        <is>
          <t>BTP 7y - rendimento lordo (mar 2033)</t>
        </is>
      </c>
      <c r="B33" s="9" t="n">
        <v>0.0315</v>
      </c>
      <c r="D33" s="10">
        <f>"MEF asta: "&amp;SUBSTITUTE(ROUND(B33*100,2)&amp;"",".",",")&amp;"%"</f>
        <v/>
      </c>
    </row>
    <row r="34" ht="30" customHeight="1">
      <c r="A34" s="8" t="inlineStr">
        <is>
          <t>BTP 10y - rendimento lordo (feb 2036)</t>
        </is>
      </c>
      <c r="B34" s="9" t="n">
        <v>0.0345</v>
      </c>
      <c r="D34" s="10">
        <f>"MEF asta: "&amp;SUBSTITUTE(ROUND(B34*100,2)&amp;"",".",",")&amp;"%"</f>
        <v/>
      </c>
    </row>
    <row r="36">
      <c r="A36" s="7">
        <f>"Scenari inflazione FOI media "&amp;B6&amp;" anni (per simulazioni)"</f>
        <v/>
      </c>
    </row>
    <row r="37" ht="30" customHeight="1">
      <c r="A37" s="8" t="inlineStr">
        <is>
          <t>Scenario 1: Disinflazione</t>
        </is>
      </c>
      <c r="B37" s="12" t="n">
        <v>0.01</v>
      </c>
      <c r="D37" s="10">
        <f>"BCE stretta riuscita - inflazione "&amp;SUBSTITUTE(ROUND(B37*100,1)&amp;"",".",",")&amp;"%"</f>
        <v/>
      </c>
    </row>
    <row r="38" ht="30" customHeight="1">
      <c r="A38" s="8" t="inlineStr">
        <is>
          <t>Scenario 2: Base BCE</t>
        </is>
      </c>
      <c r="B38" s="12" t="n">
        <v>0.02</v>
      </c>
      <c r="D38" s="10">
        <f>"Target "&amp;SUBSTITUTE(ROUND(B38*100,1)&amp;"",".",",")&amp;"% medio termine"</f>
        <v/>
      </c>
    </row>
    <row r="39" ht="30" customHeight="1">
      <c r="A39" s="8" t="inlineStr">
        <is>
          <t>Scenario 3: Persistente</t>
        </is>
      </c>
      <c r="B39" s="12" t="n">
        <v>0.03</v>
      </c>
      <c r="D39" s="10">
        <f>"Inflazione strutturale "&amp;SUBSTITUTE(ROUND(B39*100,1)&amp;"",".",",")&amp;"%"</f>
        <v/>
      </c>
    </row>
    <row r="40" ht="30" customHeight="1">
      <c r="A40" s="8" t="inlineStr">
        <is>
          <t>Scenario 4: Stress geopol.</t>
        </is>
      </c>
      <c r="B40" s="12" t="n">
        <v>0.045</v>
      </c>
      <c r="D40" s="10">
        <f>"Brent 120 USD persistente - "&amp;SUBSTITUTE(ROUND(B40*100,1)&amp;"",".",",")&amp;"%"</f>
        <v/>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101.97</v>
      </c>
      <c r="C46" s="8" t="inlineStr">
        <is>
          <t>Anni residui</t>
        </is>
      </c>
      <c r="D46" s="15" t="n">
        <v>1.8</v>
      </c>
    </row>
    <row r="47" ht="30" customHeight="1">
      <c r="A47" s="10">
        <f>"Quotazione ufficiale MOT corrente: "&amp;SUBSTITUTE(ROUND(B46,2)&amp;"",".",",")&amp;" (100 = par). Aggiorna col valore corrente quando cambia il mercato."</f>
        <v/>
      </c>
    </row>
    <row r="48">
      <c r="A48" s="8" t="inlineStr">
        <is>
          <t>Prezzo secondario BTP Italia giu 2030</t>
        </is>
      </c>
      <c r="B48" s="14" t="n">
        <v>101.92</v>
      </c>
      <c r="C48" s="8" t="inlineStr">
        <is>
          <t>Anni residui</t>
        </is>
      </c>
      <c r="D48" s="15" t="n">
        <v>4</v>
      </c>
    </row>
    <row r="49" ht="30" customHeight="1">
      <c r="A49" s="10">
        <f>"Quotazione ufficiale MOT corrente: "&amp;SUBSTITUTE(ROUND(B48,2)&amp;"",".",",")&amp;". Aggiorna col valore corrente quando cambia il mercato."</f>
        <v/>
      </c>
    </row>
    <row r="50">
      <c r="A50" s="8" t="inlineStr">
        <is>
          <t>YTM reale mar 2028 (per chi compra al MOT oggi)</t>
        </is>
      </c>
      <c r="B50" s="16">
        <f>(B11*100+(100-B46)/D46)/((100+B46)/2)</f>
        <v/>
      </c>
    </row>
    <row r="51" ht="45" customHeight="1">
      <c r="A51" s="10">
        <f>"Formula bond equiv. yield. Cedola "&amp;SUBSTITUTE(ROUND(B11*100,1)&amp;"",".",",")&amp;"% sul prospetto, ma a prezzo "&amp;SUBSTITUTE(ROUND(B46,2)&amp;"",".",",")&amp;" con "&amp;SUBSTITUTE(ROUND(D46,1)&amp;"",".",",")&amp;"y residui → YTM reale ~"&amp;SUBSTITUTE(ROUND(B50*100,2)&amp;"",".",",")&amp;"%."</f>
        <v/>
      </c>
    </row>
    <row r="52">
      <c r="A52" s="8" t="inlineStr">
        <is>
          <t>YTM reale giu 2030 (per chi compra al MOT oggi)</t>
        </is>
      </c>
      <c r="B52" s="16">
        <f>(B12*100+(100-B48)/D48)/((100+B48)/2)</f>
        <v/>
      </c>
    </row>
    <row r="53" ht="30" customHeight="1">
      <c r="A53" s="10">
        <f>"Cedola "&amp;SUBSTITUTE(ROUND(B12*100,1)&amp;"",".",",")&amp;"% sul prospetto, a prezzo "&amp;SUBSTITUTE(ROUND(B48,2)&amp;"",".",",")&amp;" con "&amp;SUBSTITUTE(ROUND(D48,1)&amp;"",".",",")&amp;"y residui → YTM reale ~"&amp;SUBSTITUTE(ROUND(B52*100,2)&amp;"",".",",")&amp;"%."</f>
        <v/>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98.65000000000001</v>
      </c>
      <c r="C64" s="8" t="inlineStr">
        <is>
          <t>Anni residui</t>
        </is>
      </c>
      <c r="D64" s="14" t="n">
        <v>5.75</v>
      </c>
    </row>
    <row r="65" ht="45" customHeight="1">
      <c r="A65" s="10">
        <f>"Quotazione ufficiale MOT corrente: "&amp;SUBSTITUTE(ROUND(B64,2)&amp;"",".",",")&amp;IF(B64&lt;100," (SOTTO la pari)",IF(B64&gt;100," (sopra la pari)"," (alla pari)"))&amp;". Scadenza 10/03/2032. Il premio fedelta' "&amp;SUBSTITUTE(ROUND(B18*100,1)&amp;"",".",",")&amp;"% NON spetta a chi compra sul MOT."</f>
        <v/>
      </c>
    </row>
    <row r="66">
      <c r="A66" s="8" t="inlineStr">
        <is>
          <t>Prezzo MOT BTP Futura nov 2033</t>
        </is>
      </c>
      <c r="B66" s="14" t="n">
        <v>86.15000000000001</v>
      </c>
      <c r="C66" s="8" t="inlineStr">
        <is>
          <t>Anni residui</t>
        </is>
      </c>
      <c r="D66" s="14" t="n">
        <v>7.4</v>
      </c>
    </row>
    <row r="67" ht="30" customHeight="1">
      <c r="A67" s="10">
        <f>"Quotazione ufficiale MOT corrente: "&amp;SUBSTITUTE(ROUND(B66,2)&amp;"",".",",")&amp;" → YTM lordo ~"&amp;SUBSTITUTE(ROUND('5 - BTP Futura'!B27*100,2)&amp;"",".",",")&amp;"%. Scadenza 16/11/2033. Il doppio premio PIL NON spetta a chi compra sul MOT."</f>
        <v/>
      </c>
    </row>
    <row r="69">
      <c r="A69" s="7" t="inlineStr">
        <is>
          <t>Anagrafica ISIN (Borsa Italiana MOT)</t>
        </is>
      </c>
    </row>
    <row r="70" ht="15" customHeight="1">
      <c r="A70" s="8" t="inlineStr">
        <is>
          <t>BTP Italia mar 2028</t>
        </is>
      </c>
      <c r="B70" s="17" t="inlineStr">
        <is>
          <t>IT0005532723</t>
        </is>
      </c>
      <c r="D70" s="10" t="inlineStr">
        <is>
          <t>Scadenza 14/03/2028</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sheetData>
  <mergeCells count="21">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8">
        <f>'1 - Parametri'!B6</f>
        <v/>
      </c>
    </row>
    <row r="7">
      <c r="A7" s="8" t="inlineStr">
        <is>
          <t>Premio fedelta' finale</t>
        </is>
      </c>
      <c r="B7" s="16">
        <f>'1 - Parametri'!B7</f>
        <v/>
      </c>
    </row>
    <row r="8">
      <c r="A8" s="8" t="inlineStr">
        <is>
          <t>Tassazione</t>
        </is>
      </c>
      <c r="B8" s="19">
        <f>'1 - Parametri'!B8</f>
        <v/>
      </c>
    </row>
    <row r="9">
      <c r="A9" s="8" t="inlineStr">
        <is>
          <t>Capitale investito (EUR)</t>
        </is>
      </c>
      <c r="B9" s="20">
        <f>'1 - Parametri'!B43</f>
        <v/>
      </c>
    </row>
    <row r="11">
      <c r="A11" s="7" t="inlineStr">
        <is>
          <t>Cedola annua lorda = fisso + inflazione FOI media</t>
        </is>
      </c>
    </row>
    <row r="12">
      <c r="A12" s="21" t="inlineStr">
        <is>
          <t>Scenario inflazione</t>
        </is>
      </c>
      <c r="B12" s="21" t="inlineStr">
        <is>
          <t>Infl. FOI media</t>
        </is>
      </c>
      <c r="C12" s="21" t="inlineStr">
        <is>
          <t>Cedola lorda annua</t>
        </is>
      </c>
      <c r="D12" s="21" t="inlineStr">
        <is>
          <t>Cedola netta annua</t>
        </is>
      </c>
      <c r="E12" s="21" t="inlineStr">
        <is>
          <t>Importo netto su cap.</t>
        </is>
      </c>
    </row>
    <row r="13">
      <c r="A13" s="8">
        <f>"1 - Disinflazione "&amp;SUBSTITUTE(ROUND('1 - Parametri'!B37*100,1)&amp;"",".",",")&amp;"%"</f>
        <v/>
      </c>
      <c r="B13" s="19">
        <f>'1 - Parametri'!B37</f>
        <v/>
      </c>
      <c r="C13" s="16">
        <f>$B$5+B13</f>
        <v/>
      </c>
      <c r="D13" s="16">
        <f>C13*(1-$B$8)</f>
        <v/>
      </c>
      <c r="E13" s="20">
        <f>$B$9*D13</f>
        <v/>
      </c>
    </row>
    <row r="14">
      <c r="A14" s="8">
        <f>"2 - Base BCE "&amp;SUBSTITUTE(ROUND('1 - Parametri'!B38*100,1)&amp;"",".",",")&amp;"%"</f>
        <v/>
      </c>
      <c r="B14" s="19">
        <f>'1 - Parametri'!B38</f>
        <v/>
      </c>
      <c r="C14" s="16">
        <f>$B$5+B14</f>
        <v/>
      </c>
      <c r="D14" s="16">
        <f>C14*(1-$B$8)</f>
        <v/>
      </c>
      <c r="E14" s="20">
        <f>$B$9*D14</f>
        <v/>
      </c>
    </row>
    <row r="15">
      <c r="A15" s="8">
        <f>"3 - Persistente "&amp;SUBSTITUTE(ROUND('1 - Parametri'!B39*100,1)&amp;"",".",",")&amp;"%"</f>
        <v/>
      </c>
      <c r="B15" s="19">
        <f>'1 - Parametri'!B39</f>
        <v/>
      </c>
      <c r="C15" s="16">
        <f>$B$5+B15</f>
        <v/>
      </c>
      <c r="D15" s="16">
        <f>C15*(1-$B$8)</f>
        <v/>
      </c>
      <c r="E15" s="20">
        <f>$B$9*D15</f>
        <v/>
      </c>
    </row>
    <row r="16">
      <c r="A16" s="8">
        <f>"4 - Stress geopol. "&amp;SUBSTITUTE(ROUND('1 - Parametri'!B40*100,1)&amp;"",".",",")&amp;"%"</f>
        <v/>
      </c>
      <c r="B16" s="19">
        <f>'1 - Parametri'!B40</f>
        <v/>
      </c>
      <c r="C16" s="16">
        <f>$B$5+B16</f>
        <v/>
      </c>
      <c r="D16" s="16">
        <f>C16*(1-$B$8)</f>
        <v/>
      </c>
      <c r="E16" s="20">
        <f>$B$9*D16</f>
        <v/>
      </c>
    </row>
    <row r="18">
      <c r="A18" s="7">
        <f>"Rendimento totale finale "&amp;'1 - Parametri'!B6&amp;" anni (netto, con premio "&amp;SUBSTITUTE(ROUND('1 - Parametri'!B7*100,1)&amp;"",".",",")&amp;"%)"</f>
        <v/>
      </c>
    </row>
    <row r="19">
      <c r="A19" s="21" t="inlineStr">
        <is>
          <t>Scenario</t>
        </is>
      </c>
      <c r="B19" s="21">
        <f>"Cedole nette tot "&amp;$B$6&amp;"y"</f>
        <v/>
      </c>
      <c r="C19" s="21" t="inlineStr">
        <is>
          <t>Premio netto fedelta'</t>
        </is>
      </c>
      <c r="D19" s="21" t="inlineStr">
        <is>
          <t>Tot. netto incassato</t>
        </is>
      </c>
      <c r="E19" s="21" t="inlineStr">
        <is>
          <t>IRR nom netto annuo (lineare)</t>
        </is>
      </c>
      <c r="F19" s="21" t="inlineStr">
        <is>
          <t>IRR reale netto</t>
        </is>
      </c>
    </row>
    <row r="20">
      <c r="A20" s="8">
        <f>"1 - Disinflazione "&amp;SUBSTITUTE(ROUND('1 - Parametri'!B37*100,1)&amp;"",".",",")&amp;"%"</f>
        <v/>
      </c>
      <c r="B20" s="20">
        <f>E13*$B$6</f>
        <v/>
      </c>
      <c r="C20" s="20">
        <f>$B$9*$B$7*(1-$B$8)</f>
        <v/>
      </c>
      <c r="D20" s="20">
        <f>B20+C20</f>
        <v/>
      </c>
      <c r="E20" s="16">
        <f>ROUND(($B$5+$B$7/$B$6+B13)*(1-$B$8),6)</f>
        <v/>
      </c>
      <c r="F20" s="16">
        <f>E20-B13</f>
        <v/>
      </c>
    </row>
    <row r="21">
      <c r="A21" s="8">
        <f>"2 - Base BCE "&amp;SUBSTITUTE(ROUND('1 - Parametri'!B38*100,1)&amp;"",".",",")&amp;"%"</f>
        <v/>
      </c>
      <c r="B21" s="20">
        <f>E14*$B$6</f>
        <v/>
      </c>
      <c r="C21" s="20">
        <f>$B$9*$B$7*(1-$B$8)</f>
        <v/>
      </c>
      <c r="D21" s="20">
        <f>B21+C21</f>
        <v/>
      </c>
      <c r="E21" s="16">
        <f>ROUND(($B$5+$B$7/$B$6+B14)*(1-$B$8),6)</f>
        <v/>
      </c>
      <c r="F21" s="16">
        <f>E21-B14</f>
        <v/>
      </c>
    </row>
    <row r="22">
      <c r="A22" s="8">
        <f>"3 - Persistente "&amp;SUBSTITUTE(ROUND('1 - Parametri'!B39*100,1)&amp;"",".",",")&amp;"%"</f>
        <v/>
      </c>
      <c r="B22" s="20">
        <f>E15*$B$6</f>
        <v/>
      </c>
      <c r="C22" s="20">
        <f>$B$9*$B$7*(1-$B$8)</f>
        <v/>
      </c>
      <c r="D22" s="20">
        <f>B22+C22</f>
        <v/>
      </c>
      <c r="E22" s="16">
        <f>ROUND(($B$5+$B$7/$B$6+B15)*(1-$B$8),6)</f>
        <v/>
      </c>
      <c r="F22" s="16">
        <f>E22-B15</f>
        <v/>
      </c>
    </row>
    <row r="23">
      <c r="A23" s="8">
        <f>"4 - Stress geopol. "&amp;SUBSTITUTE(ROUND('1 - Parametri'!B40*100,1)&amp;"",".",",")&amp;"%"</f>
        <v/>
      </c>
      <c r="B23" s="20">
        <f>E16*$B$6</f>
        <v/>
      </c>
      <c r="C23" s="20">
        <f>$B$9*$B$7*(1-$B$8)</f>
        <v/>
      </c>
      <c r="D23" s="20">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9">
        <f>'1 - Parametri'!B8</f>
        <v/>
      </c>
    </row>
    <row r="8">
      <c r="A8" s="8" t="inlineStr">
        <is>
          <t>Capitale investito (EUR)</t>
        </is>
      </c>
      <c r="B8" s="20">
        <f>'1 - Parametri'!B43</f>
        <v/>
      </c>
    </row>
    <row r="10">
      <c r="A10" s="7" t="inlineStr">
        <is>
          <t>Meccanismo classico: cedola reale + capitale rivalutato</t>
        </is>
      </c>
    </row>
    <row r="11">
      <c r="A11" s="21" t="inlineStr">
        <is>
          <t>Scenario inflazione</t>
        </is>
      </c>
      <c r="B11" s="21">
        <f>"FOI cumulata "&amp;$B$6&amp;"y"</f>
        <v/>
      </c>
      <c r="C11" s="21" t="inlineStr">
        <is>
          <t>Capitale rivalutato</t>
        </is>
      </c>
      <c r="D11" s="21">
        <f>"Cedole nette "&amp;$B$6&amp;"y (su cap. rivalut.)"</f>
        <v/>
      </c>
      <c r="E11" s="21">
        <f>"Tot. netto "&amp;$B$6&amp;"y (cedole + rivalut.)"</f>
        <v/>
      </c>
    </row>
    <row r="12">
      <c r="A12" s="8">
        <f>"1 - Disinflazione "&amp;SUBSTITUTE(ROUND('1 - Parametri'!B37*100,1)&amp;"",".",",")&amp;"%"</f>
        <v/>
      </c>
      <c r="B12" s="19">
        <f>'1 - Parametri'!B37</f>
        <v/>
      </c>
      <c r="C12" s="20">
        <f>$B$8*(1+B12)^$B$6</f>
        <v/>
      </c>
      <c r="D12" s="20">
        <f>$B$5*$B$8*((1+B12)^$B$6-1)/B12*(1-$B$7)</f>
        <v/>
      </c>
      <c r="E12" s="20">
        <f>(C12-$B$8)*(1-$B$7)+D12</f>
        <v/>
      </c>
    </row>
    <row r="13">
      <c r="A13" s="8">
        <f>"2 - Base BCE "&amp;SUBSTITUTE(ROUND('1 - Parametri'!B38*100,1)&amp;"",".",",")&amp;"%"</f>
        <v/>
      </c>
      <c r="B13" s="19">
        <f>'1 - Parametri'!B38</f>
        <v/>
      </c>
      <c r="C13" s="20">
        <f>$B$8*(1+B13)^$B$6</f>
        <v/>
      </c>
      <c r="D13" s="20">
        <f>$B$5*$B$8*((1+B13)^$B$6-1)/B13*(1-$B$7)</f>
        <v/>
      </c>
      <c r="E13" s="20">
        <f>(C13-$B$8)*(1-$B$7)+D13</f>
        <v/>
      </c>
    </row>
    <row r="14">
      <c r="A14" s="8">
        <f>"3 - Persistente "&amp;SUBSTITUTE(ROUND('1 - Parametri'!B39*100,1)&amp;"",".",",")&amp;"%"</f>
        <v/>
      </c>
      <c r="B14" s="19">
        <f>'1 - Parametri'!B39</f>
        <v/>
      </c>
      <c r="C14" s="20">
        <f>$B$8*(1+B14)^$B$6</f>
        <v/>
      </c>
      <c r="D14" s="20">
        <f>$B$5*$B$8*((1+B14)^$B$6-1)/B14*(1-$B$7)</f>
        <v/>
      </c>
      <c r="E14" s="20">
        <f>(C14-$B$8)*(1-$B$7)+D14</f>
        <v/>
      </c>
    </row>
    <row r="15">
      <c r="A15" s="8">
        <f>"4 - Stress geopol. "&amp;SUBSTITUTE(ROUND('1 - Parametri'!B40*100,1)&amp;"",".",",")&amp;"%"</f>
        <v/>
      </c>
      <c r="B15" s="19">
        <f>'1 - Parametri'!B40</f>
        <v/>
      </c>
      <c r="C15" s="20">
        <f>$B$8*(1+B15)^$B$6</f>
        <v/>
      </c>
      <c r="D15" s="20">
        <f>$B$5*$B$8*((1+B15)^$B$6-1)/B15*(1-$B$7)</f>
        <v/>
      </c>
      <c r="E15" s="20">
        <f>(C15-$B$8)*(1-$B$7)+D15</f>
        <v/>
      </c>
    </row>
    <row r="17">
      <c r="A17" s="7" t="inlineStr">
        <is>
          <t>IRR netto annuo a confronto</t>
        </is>
      </c>
    </row>
    <row r="18">
      <c r="A18" s="21" t="inlineStr">
        <is>
          <t>Scenario</t>
        </is>
      </c>
      <c r="B18" s="21">
        <f>"Tot. netto "&amp;$B$6&amp;"y"</f>
        <v/>
      </c>
      <c r="C18" s="21" t="inlineStr">
        <is>
          <t>IRR netto annuo</t>
        </is>
      </c>
    </row>
    <row r="19">
      <c r="A19" s="8">
        <f>"1 - Disinflazione "&amp;SUBSTITUTE(ROUND('1 - Parametri'!B37*100,1)&amp;"",".",",")&amp;"%"</f>
        <v/>
      </c>
      <c r="B19" s="20">
        <f>E12</f>
        <v/>
      </c>
      <c r="C19" s="16">
        <f>((E12+$B$8)/$B$8)^(1/$B$6)-1</f>
        <v/>
      </c>
    </row>
    <row r="20">
      <c r="A20" s="8">
        <f>"2 - Base BCE "&amp;SUBSTITUTE(ROUND('1 - Parametri'!B38*100,1)&amp;"",".",",")&amp;"%"</f>
        <v/>
      </c>
      <c r="B20" s="20">
        <f>E13</f>
        <v/>
      </c>
      <c r="C20" s="16">
        <f>((E13+$B$8)/$B$8)^(1/$B$6)-1</f>
        <v/>
      </c>
    </row>
    <row r="21">
      <c r="A21" s="8">
        <f>"3 - Persistente "&amp;SUBSTITUTE(ROUND('1 - Parametri'!B39*100,1)&amp;"",".",",")&amp;"%"</f>
        <v/>
      </c>
      <c r="B21" s="20">
        <f>E14</f>
        <v/>
      </c>
      <c r="C21" s="16">
        <f>((E14+$B$8)/$B$8)^(1/$B$6)-1</f>
        <v/>
      </c>
    </row>
    <row r="22">
      <c r="A22" s="8">
        <f>"4 - Stress geopol. "&amp;SUBSTITUTE(ROUND('1 - Parametri'!B40*100,1)&amp;"",".",",")&amp;"%"</f>
        <v/>
      </c>
      <c r="B22" s="20">
        <f>E15</f>
        <v/>
      </c>
      <c r="C22" s="16">
        <f>((E15+$B$8)/$B$8)^(1/$B$6)-1</f>
        <v/>
      </c>
    </row>
    <row r="24">
      <c r="A24" s="7" t="inlineStr">
        <is>
          <t>NOTA: vantaggio classico vs Si quando inflazione e' alta (capitale +)</t>
        </is>
      </c>
    </row>
    <row r="25" ht="45" customHeight="1">
      <c r="A25" s="10" t="inlineStr">
        <is>
          <t>Classico: l'inflazione cresce IL CAPITALE (effetto compounding). Si: l'inflazione cresce SOLO la cedola annua. Trade-off: sul secondario il classico si paga al prezzo MOT corrente (vedi foglio Parametri) e chi compra usato NON ha il premio fedelta'.</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8">
        <f>'1 - Parametri'!B19</f>
        <v/>
      </c>
    </row>
    <row r="10">
      <c r="A10" s="8" t="inlineStr">
        <is>
          <t>Tassazione</t>
        </is>
      </c>
      <c r="B10" s="19">
        <f>'1 - Parametri'!B8</f>
        <v/>
      </c>
    </row>
    <row r="11">
      <c r="A11" s="8" t="inlineStr">
        <is>
          <t>Capitale investito</t>
        </is>
      </c>
      <c r="B11" s="20">
        <f>'1 - Parametri'!B43</f>
        <v/>
      </c>
    </row>
    <row r="13">
      <c r="A13" s="7" t="inlineStr">
        <is>
          <t>Cedole nette per fase step-up</t>
        </is>
      </c>
    </row>
    <row r="14">
      <c r="A14" s="21" t="inlineStr">
        <is>
          <t>Fase</t>
        </is>
      </c>
      <c r="B14" s="21" t="inlineStr">
        <is>
          <t>Cedola lorda annua</t>
        </is>
      </c>
      <c r="C14" s="21" t="inlineStr">
        <is>
          <t>Cedola netta annua</t>
        </is>
      </c>
      <c r="D14" s="21" t="inlineStr">
        <is>
          <t>Importo netto x anno</t>
        </is>
      </c>
      <c r="E14" s="21" t="inlineStr">
        <is>
          <t>Importo netto x fase (2y)</t>
        </is>
      </c>
    </row>
    <row r="15">
      <c r="A15" s="8">
        <f>"Anni 1-2 ("&amp;SUBSTITUTE(ROUND(B5*100,2)&amp;"",".",",")&amp;"%)"</f>
        <v/>
      </c>
      <c r="B15" s="16">
        <f>B5</f>
        <v/>
      </c>
      <c r="C15" s="22">
        <f>B5*(1-$B$10)</f>
        <v/>
      </c>
      <c r="D15" s="20">
        <f>$B$11*C15</f>
        <v/>
      </c>
      <c r="E15" s="20">
        <f>D15*2</f>
        <v/>
      </c>
    </row>
    <row r="16">
      <c r="A16" s="8">
        <f>"Anni 3-4 ("&amp;SUBSTITUTE(ROUND(B6*100,2)&amp;"",".",",")&amp;"%)"</f>
        <v/>
      </c>
      <c r="B16" s="16">
        <f>B6</f>
        <v/>
      </c>
      <c r="C16" s="22">
        <f>B6*(1-$B$10)</f>
        <v/>
      </c>
      <c r="D16" s="20">
        <f>$B$11*C16</f>
        <v/>
      </c>
      <c r="E16" s="20">
        <f>D16*2</f>
        <v/>
      </c>
    </row>
    <row r="17">
      <c r="A17" s="8">
        <f>"Anni 5-6 ("&amp;SUBSTITUTE(ROUND(B7*100,2)&amp;"",".",",")&amp;"%)"</f>
        <v/>
      </c>
      <c r="B17" s="16">
        <f>B7</f>
        <v/>
      </c>
      <c r="C17" s="22">
        <f>B7*(1-$B$10)</f>
        <v/>
      </c>
      <c r="D17" s="20">
        <f>$B$11*C17</f>
        <v/>
      </c>
      <c r="E17" s="20">
        <f>D17*2</f>
        <v/>
      </c>
    </row>
    <row r="19">
      <c r="A19" s="7">
        <f>"Rendimento totale netto "&amp;B9&amp;" anni"</f>
        <v/>
      </c>
    </row>
    <row r="20">
      <c r="A20" s="8">
        <f>"Tot. cedole nette "&amp;B9&amp;"y"</f>
        <v/>
      </c>
      <c r="B20" s="20">
        <f>E15+E16+E17</f>
        <v/>
      </c>
    </row>
    <row r="21">
      <c r="A21" s="8" t="inlineStr">
        <is>
          <t>Premio fedelta' netto</t>
        </is>
      </c>
      <c r="B21" s="20">
        <f>B11*B8*(1-B10)</f>
        <v/>
      </c>
    </row>
    <row r="22">
      <c r="A22" s="8">
        <f>"Tot. netto "&amp;B9&amp;"y"</f>
        <v/>
      </c>
      <c r="B22" s="20">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f>"Comprato OGGI sul MOT - YTM a prezzo "&amp;SUBSTITUTE(ROUND('1 - Parametri'!B64,2)&amp;"",".",",")&amp;IF('1 - Parametri'!B64&lt;100," (sotto la pari)",IF('1 - Parametri'!B64&gt;100," (sopra la pari)"," (alla pari)"))</f>
        <v/>
      </c>
    </row>
    <row r="29">
      <c r="A29" s="8" t="inlineStr">
        <is>
          <t>Prezzo MOT corrente (vedi foglio Parametri)</t>
        </is>
      </c>
      <c r="B29" s="23">
        <f>'1 - Parametri'!B64</f>
        <v/>
      </c>
    </row>
    <row r="30">
      <c r="A30" s="8" t="inlineStr">
        <is>
          <t>Anni residui (scad. 10/03/2032)</t>
        </is>
      </c>
      <c r="B30" s="23">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f>
        <v/>
      </c>
    </row>
    <row r="33">
      <c r="A33" s="8">
        <f>"YTM netto (tassazione "&amp;SUBSTITUTE(ROUND(B10*100,1)&amp;"",".",",")&amp;"%)"</f>
        <v/>
      </c>
      <c r="B33" s="16">
        <f>B32*(1-B10)</f>
        <v/>
      </c>
    </row>
    <row r="34" ht="75" customHeight="1">
      <c r="A34" s="10">
        <f>"Prezzo MOT corrente "&amp;SUBSTITUTE(ROUND(B29,2)&amp;"",".",",")&amp;": YTM lordo ~"&amp;SUBSTITUTE(ROUND(B32*100,2)&amp;"",".",",")&amp;"% vs media cedole residue ~"&amp;SUBSTITUTE(ROUND(B31*100,2)&amp;"",".",",")&amp;"%. Se il prezzo e' sotto la pari il YTM supera la media cedole (sconto), se sopra la riduce. ATTENZIONE: il premio fedelta' "&amp;SUBSTITUTE(ROUND(B8*100,1)&amp;"",".",",")&amp;"% NON spetta a chi compra sul MOT (solo sottoscrittori in collocamento), percio' il YTM qui sopra NON lo include."</f>
        <v/>
      </c>
    </row>
    <row r="36">
      <c r="A36" s="7" t="inlineStr">
        <is>
          <t>IRR reale netto per scenario (da YTM MOT)</t>
        </is>
      </c>
    </row>
    <row r="37">
      <c r="A37" s="21" t="inlineStr">
        <is>
          <t>Scenario inflazione</t>
        </is>
      </c>
      <c r="B37" s="21" t="inlineStr">
        <is>
          <t>Infl. FOI media</t>
        </is>
      </c>
      <c r="C37" s="21" t="inlineStr">
        <is>
          <t>IRR reale netto (YTM netto - FOI)</t>
        </is>
      </c>
    </row>
    <row r="38">
      <c r="A38" s="8">
        <f>"1 - Disinflazione "&amp;SUBSTITUTE(ROUND('1 - Parametri'!B37*100,1)&amp;"",".",",")&amp;"%"</f>
        <v/>
      </c>
      <c r="B38" s="19">
        <f>'1 - Parametri'!B37</f>
        <v/>
      </c>
      <c r="C38" s="16">
        <f>$B$33-B38</f>
        <v/>
      </c>
    </row>
    <row r="39">
      <c r="A39" s="8">
        <f>"2 - Base BCE "&amp;SUBSTITUTE(ROUND('1 - Parametri'!B38*100,1)&amp;"",".",",")&amp;"%"</f>
        <v/>
      </c>
      <c r="B39" s="19">
        <f>'1 - Parametri'!B38</f>
        <v/>
      </c>
      <c r="C39" s="16">
        <f>$B$33-B39</f>
        <v/>
      </c>
    </row>
    <row r="40">
      <c r="A40" s="8">
        <f>"3 - Persistente "&amp;SUBSTITUTE(ROUND('1 - Parametri'!B39*100,1)&amp;"",".",",")&amp;"%"</f>
        <v/>
      </c>
      <c r="B40" s="19">
        <f>'1 - Parametri'!B39</f>
        <v/>
      </c>
      <c r="C40" s="16">
        <f>$B$33-B40</f>
        <v/>
      </c>
    </row>
    <row r="41">
      <c r="A41" s="8">
        <f>"4 - Stress geopol. "&amp;SUBSTITUTE(ROUND('1 - Parametri'!B40*100,1)&amp;"",".",",")&amp;"%"</f>
        <v/>
      </c>
      <c r="B41" s="19">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8">
        <f>'1 - Parametri'!B27</f>
        <v/>
      </c>
    </row>
    <row r="11">
      <c r="A11" s="8" t="inlineStr">
        <is>
          <t>Tassazione</t>
        </is>
      </c>
      <c r="B11" s="19">
        <f>'1 - Parametri'!B8</f>
        <v/>
      </c>
    </row>
    <row r="12">
      <c r="A12" s="8" t="inlineStr">
        <is>
          <t>Capitale</t>
        </is>
      </c>
      <c r="B12" s="20">
        <f>'1 - Parametri'!B43</f>
        <v/>
      </c>
    </row>
    <row r="14">
      <c r="A14" s="7" t="inlineStr">
        <is>
          <t>Scenari di PIL nominale e premio fedelta'</t>
        </is>
      </c>
    </row>
    <row r="15">
      <c r="A15" s="21" t="inlineStr">
        <is>
          <t>Scenario PIL nominale medio</t>
        </is>
      </c>
      <c r="B15" s="21" t="inlineStr">
        <is>
          <t>PIL nom. medio</t>
        </is>
      </c>
      <c r="C15" s="21" t="inlineStr">
        <is>
          <t>Premio fed. atteso</t>
        </is>
      </c>
      <c r="D15" s="21">
        <f>"Cedole nette "&amp;$B$10&amp;"y"</f>
        <v/>
      </c>
      <c r="E15" s="21">
        <f>"Tot. netto "&amp;$B$10&amp;"y"</f>
        <v/>
      </c>
      <c r="F15" s="21" t="inlineStr">
        <is>
          <t>IRR nom netto annuo (lineare)</t>
        </is>
      </c>
    </row>
    <row r="16">
      <c r="A16" s="8">
        <f>"Bassa (PIL "&amp;SUBSTITUTE(ROUND(B16*100,1)&amp;"",".",",")&amp;"%)"</f>
        <v/>
      </c>
      <c r="B16" s="12" t="n">
        <v>0.015</v>
      </c>
      <c r="C16" s="16">
        <f>MAX($B$8,MIN($B$9,0.4*B16))</f>
        <v/>
      </c>
      <c r="D16" s="20">
        <f>$B$12*(4*$B$5+4*$B$6+4*$B$7)*(1-$B$11)</f>
        <v/>
      </c>
      <c r="E16" s="20">
        <f>D16+$B$12*C16*(1-$B$11)</f>
        <v/>
      </c>
      <c r="F16" s="16">
        <f>E16/$B$12/$B$10</f>
        <v/>
      </c>
    </row>
    <row r="17">
      <c r="A17" s="8">
        <f>"Base (PIL "&amp;SUBSTITUTE(ROUND(B17*100,1)&amp;"",".",",")&amp;"%)"</f>
        <v/>
      </c>
      <c r="B17" s="12" t="n">
        <v>0.03</v>
      </c>
      <c r="C17" s="16">
        <f>MAX($B$8,MIN($B$9,0.4*B17))</f>
        <v/>
      </c>
      <c r="D17" s="20">
        <f>$B$12*(4*$B$5+4*$B$6+4*$B$7)*(1-$B$11)</f>
        <v/>
      </c>
      <c r="E17" s="20">
        <f>D17+$B$12*C17*(1-$B$11)</f>
        <v/>
      </c>
      <c r="F17" s="16">
        <f>E17/$B$12/$B$10</f>
        <v/>
      </c>
    </row>
    <row r="18">
      <c r="A18" s="8">
        <f>"Alta (PIL "&amp;SUBSTITUTE(ROUND(B18*100,1)&amp;"",".",",")&amp;"%)"</f>
        <v/>
      </c>
      <c r="B18" s="12" t="n">
        <v>0.045</v>
      </c>
      <c r="C18" s="16">
        <f>MAX($B$8,MIN($B$9,0.4*B18))</f>
        <v/>
      </c>
      <c r="D18" s="20">
        <f>$B$12*(4*$B$5+4*$B$6+4*$B$7)*(1-$B$11)</f>
        <v/>
      </c>
      <c r="E18" s="20">
        <f>D18+$B$12*C18*(1-$B$11)</f>
        <v/>
      </c>
      <c r="F18" s="16">
        <f>E18/$B$12/$B$10</f>
        <v/>
      </c>
    </row>
    <row r="20">
      <c r="A20" s="7" t="inlineStr">
        <is>
          <t>NOTA: BTP Futura NON e' piu' emesso dal 2021 (ricostruzione storica = contesto)</t>
        </is>
      </c>
    </row>
    <row r="21" ht="60" customHeight="1">
      <c r="A21" s="10">
        <f>"La tabella sopra RICOSTRUISCE il collocamento nov 2021 (chi sottoscrisse a 100 con premio PIL). Struttura step-up 4+4+4 anni DEFINITIVA 4a emissione (1-4: "&amp;SUBSTITUTE(ROUND(B5*100,2)&amp;"",".",",")&amp;"%, 5-8: "&amp;SUBSTITUTE(ROUND(B6*100,2)&amp;"",".",",")&amp;"%, 9-12: "&amp;SUBSTITUTE(ROUND(B7*100,2)&amp;"",".",",")&amp;"%). Per chi compra OGGI vale la sezione qui sotto: prezzo MOT "&amp;SUBSTITUTE(ROUND(B24,2)&amp;"",".",",")&amp;" e NIENTE premio PIL."</f>
        <v/>
      </c>
    </row>
    <row r="23">
      <c r="A23" s="7">
        <f>"Comprato OGGI sul MOT - prezzo "&amp;SUBSTITUTE(ROUND(B24,2)&amp;"",".",",")&amp;" → YTM lordo ~"&amp;SUBSTITUTE(ROUND(B27*100,2)&amp;"",".",",")&amp;"%"</f>
        <v/>
      </c>
    </row>
    <row r="24">
      <c r="A24" s="8" t="inlineStr">
        <is>
          <t>Prezzo MOT corrente (vedi foglio Parametri)</t>
        </is>
      </c>
      <c r="B24" s="23">
        <f>'1 - Parametri'!B66</f>
        <v/>
      </c>
    </row>
    <row r="25">
      <c r="A25" s="8" t="inlineStr">
        <is>
          <t>Anni residui (scad. 16/11/2033)</t>
        </is>
      </c>
      <c r="B25" s="23">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f>
        <v/>
      </c>
    </row>
    <row r="28">
      <c r="A28" s="8">
        <f>"YTM netto (tassazione "&amp;SUBSTITUTE(ROUND(B11*100,1)&amp;"",".",",")&amp;"%)"</f>
        <v/>
      </c>
      <c r="B28" s="16">
        <f>B27*(1-B11)</f>
        <v/>
      </c>
    </row>
    <row r="29" ht="60" customHeight="1">
      <c r="A29" s="10">
        <f>"Lo sconto/premio sul prezzo MOT corrente ("&amp;SUBSTITUTE(ROUND(B24,2)&amp;"",".",",")&amp;") si somma alle cedole: parte del rendimento arriva dal capital gain a scadenza (100 - "&amp;SUBSTITUTE(ROUND(B24,2)&amp;"",".",",")&amp;" su "&amp;SUBSTITUTE(ROUND(B25,1)&amp;"",".",",")&amp;" anni). ATTENZIONE: il doppio premio PIL spetta SOLO ai sottoscrittori originali del nov 2021, NON a chi compra sul MOT — il YTM qui sopra correttamente lo esclude."</f>
        <v/>
      </c>
    </row>
    <row r="31">
      <c r="A31" s="7" t="inlineStr">
        <is>
          <t>IRR reale netto per scenario (da YTM MOT)</t>
        </is>
      </c>
    </row>
    <row r="32">
      <c r="A32" s="21" t="inlineStr">
        <is>
          <t>Scenario inflazione</t>
        </is>
      </c>
      <c r="B32" s="21" t="inlineStr">
        <is>
          <t>Infl. FOI media</t>
        </is>
      </c>
      <c r="C32" s="21" t="inlineStr">
        <is>
          <t>IRR reale netto (YTM netto - FOI)</t>
        </is>
      </c>
    </row>
    <row r="33">
      <c r="A33" s="8">
        <f>"1 - Disinflazione "&amp;SUBSTITUTE(ROUND('1 - Parametri'!B37*100,1)&amp;"",".",",")&amp;"%"</f>
        <v/>
      </c>
      <c r="B33" s="19">
        <f>'1 - Parametri'!B37</f>
        <v/>
      </c>
      <c r="C33" s="16">
        <f>$B$28-B33</f>
        <v/>
      </c>
    </row>
    <row r="34">
      <c r="A34" s="8">
        <f>"2 - Base BCE "&amp;SUBSTITUTE(ROUND('1 - Parametri'!B38*100,1)&amp;"",".",",")&amp;"%"</f>
        <v/>
      </c>
      <c r="B34" s="19">
        <f>'1 - Parametri'!B38</f>
        <v/>
      </c>
      <c r="C34" s="16">
        <f>$B$28-B34</f>
        <v/>
      </c>
    </row>
    <row r="35">
      <c r="A35" s="8">
        <f>"3 - Persistente "&amp;SUBSTITUTE(ROUND('1 - Parametri'!B39*100,1)&amp;"",".",",")&amp;"%"</f>
        <v/>
      </c>
      <c r="B35" s="19">
        <f>'1 - Parametri'!B39</f>
        <v/>
      </c>
      <c r="C35" s="16">
        <f>$B$28-B35</f>
        <v/>
      </c>
    </row>
    <row r="36">
      <c r="A36" s="8">
        <f>"4 - Stress geopol. "&amp;SUBSTITUTE(ROUND('1 - Parametri'!B40*100,1)&amp;"",".",",")&amp;"%"</f>
        <v/>
      </c>
      <c r="B36" s="19">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1" t="inlineStr">
        <is>
          <t>Scadenza</t>
        </is>
      </c>
      <c r="B5" s="21" t="inlineStr">
        <is>
          <t>Rendimento lordo</t>
        </is>
      </c>
      <c r="C5" s="21" t="inlineStr">
        <is>
          <t>Cedola netta annua</t>
        </is>
      </c>
      <c r="D5" s="21" t="inlineStr">
        <is>
          <t>Tot. cedole nette a scad.</t>
        </is>
      </c>
      <c r="E5" s="21" t="inlineStr">
        <is>
          <t>Cedola netta annua EUR</t>
        </is>
      </c>
    </row>
    <row r="6">
      <c r="A6" s="8" t="inlineStr">
        <is>
          <t>Tassazione titoli di Stato applicata</t>
        </is>
      </c>
      <c r="B6" s="19">
        <f>'1 - Parametri'!B8</f>
        <v/>
      </c>
    </row>
    <row r="7">
      <c r="A7" s="8" t="inlineStr">
        <is>
          <t>Capitale (default Parametri)</t>
        </is>
      </c>
      <c r="B7" s="20">
        <f>'1 - Parametri'!B43</f>
        <v/>
      </c>
    </row>
    <row r="8">
      <c r="B8" s="21" t="inlineStr">
        <is>
          <t>Rendim. lordo (curva)</t>
        </is>
      </c>
    </row>
    <row r="9">
      <c r="A9" s="8" t="inlineStr">
        <is>
          <t>2 anni (feb 2028)</t>
        </is>
      </c>
      <c r="B9" s="16">
        <f>'1 - Parametri'!B30</f>
        <v/>
      </c>
      <c r="C9" s="22">
        <f>B9*(1-$B$6)</f>
        <v/>
      </c>
      <c r="D9" s="20">
        <f>$B$7*C9*2</f>
        <v/>
      </c>
      <c r="E9" s="20">
        <f>$B$7*C9</f>
        <v/>
      </c>
    </row>
    <row r="10">
      <c r="A10" s="8" t="inlineStr">
        <is>
          <t>3 anni (mar 2029)</t>
        </is>
      </c>
      <c r="B10" s="16">
        <f>'1 - Parametri'!B31</f>
        <v/>
      </c>
      <c r="C10" s="22">
        <f>B10*(1-$B$6)</f>
        <v/>
      </c>
      <c r="D10" s="20">
        <f>$B$7*C10*3</f>
        <v/>
      </c>
      <c r="E10" s="20">
        <f>$B$7*C10</f>
        <v/>
      </c>
    </row>
    <row r="11">
      <c r="A11" s="8" t="inlineStr">
        <is>
          <t>5 anni (stima)</t>
        </is>
      </c>
      <c r="B11" s="16">
        <f>'1 - Parametri'!B32</f>
        <v/>
      </c>
      <c r="C11" s="22">
        <f>B11*(1-$B$6)</f>
        <v/>
      </c>
      <c r="D11" s="20">
        <f>$B$7*C11*5</f>
        <v/>
      </c>
      <c r="E11" s="20">
        <f>$B$7*C11</f>
        <v/>
      </c>
    </row>
    <row r="12">
      <c r="A12" s="8" t="inlineStr">
        <is>
          <t>7 anni (mar 2033)</t>
        </is>
      </c>
      <c r="B12" s="16">
        <f>'1 - Parametri'!B33</f>
        <v/>
      </c>
      <c r="C12" s="22">
        <f>B12*(1-$B$6)</f>
        <v/>
      </c>
      <c r="D12" s="20">
        <f>$B$7*C12*7</f>
        <v/>
      </c>
      <c r="E12" s="20">
        <f>$B$7*C12</f>
        <v/>
      </c>
    </row>
    <row r="13">
      <c r="A13" s="8" t="inlineStr">
        <is>
          <t>10 anni (feb 2036)</t>
        </is>
      </c>
      <c r="B13" s="16">
        <f>'1 - Parametri'!B34</f>
        <v/>
      </c>
      <c r="C13" s="22">
        <f>B13*(1-$B$6)</f>
        <v/>
      </c>
      <c r="D13" s="20">
        <f>$B$7*C13*10</f>
        <v/>
      </c>
      <c r="E13" s="20">
        <f>$B$7*C13</f>
        <v/>
      </c>
    </row>
    <row r="16">
      <c r="A16" s="7" t="inlineStr">
        <is>
          <t>NOTA: BTP nominali NON proteggono dall'inflazione</t>
        </is>
      </c>
    </row>
    <row r="17" ht="30" customHeight="1">
      <c r="A17" s="10" t="inlineStr">
        <is>
          <t>Rendimento certo in nominale. Se inflazione &gt; rendimento, perdi potere d'acquisto. Vantaggio: rendimento bloccato a scadenza, e possibile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1" t="inlineStr">
        <is>
          <t>Strumento</t>
        </is>
      </c>
      <c r="B5" s="21">
        <f>"Infl. "&amp;SUBSTITUTE(ROUND('1 - Parametri'!B37*100,1)&amp;"",".",",")&amp;"%"</f>
        <v/>
      </c>
      <c r="C5" s="21">
        <f>"Infl. "&amp;SUBSTITUTE(ROUND('1 - Parametri'!B38*100,1)&amp;"",".",",")&amp;"%"</f>
        <v/>
      </c>
      <c r="D5" s="21">
        <f>"Infl. "&amp;SUBSTITUTE(ROUND('1 - Parametri'!B39*100,1)&amp;"",".",",")&amp;"%"</f>
        <v/>
      </c>
      <c r="E5" s="21">
        <f>"Infl. "&amp;SUBSTITUTE(ROUND('1 - Parametri'!B40*100,1)&amp;"",".",",")&amp;"%"</f>
        <v/>
      </c>
    </row>
    <row r="6">
      <c r="A6" s="8">
        <f>"BTP Italia Si ("&amp;SUBSTITUTE(ROUND('1 - Parametri'!B5*100,1)&amp;"",".",",")&amp;"% + FOI)"</f>
        <v/>
      </c>
      <c r="B6" s="16">
        <f>ROUND(('1 - Parametri'!B5+('1 - Parametri'!B7/'1 - Parametri'!B6)+'1 - Parametri'!B37)*(1-'1 - Parametri'!B8)-'1 - Parametri'!B37,6)</f>
        <v/>
      </c>
      <c r="C6" s="16">
        <f>ROUND(('1 - Parametri'!B5+('1 - Parametri'!B7/'1 - Parametri'!B6)+'1 - Parametri'!B38)*(1-'1 - Parametri'!B8)-'1 - Parametri'!B38,6)</f>
        <v/>
      </c>
      <c r="D6" s="16">
        <f>ROUND(('1 - Parametri'!B5+('1 - Parametri'!B7/'1 - Parametri'!B6)+'1 - Parametri'!B39)*(1-'1 - Parametri'!B8)-'1 - Parametri'!B39,6)</f>
        <v/>
      </c>
      <c r="E6" s="16">
        <f>ROUND(('1 - Parametri'!B5+('1 - Parametri'!B7/'1 - Parametri'!B6)+'1 -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f>"BTP Valore (YTM lordo MOT ~"&amp;SUBSTITUTE(ROUND('4 - BTP Valore'!$B$32*100,2)&amp;"",".",",")&amp;"%)"</f>
        <v/>
      </c>
      <c r="B8" s="16">
        <f>'4 - BTP Valore'!$B$32*(1-'1 - Parametri'!B8)-'1 - Parametri'!B37</f>
        <v/>
      </c>
      <c r="C8" s="16">
        <f>'4 - BTP Valore'!$B$32*(1-'1 - Parametri'!B8)-'1 - Parametri'!B38</f>
        <v/>
      </c>
      <c r="D8" s="16">
        <f>'4 - BTP Valore'!$B$32*(1-'1 - Parametri'!B8)-'1 - Parametri'!B39</f>
        <v/>
      </c>
      <c r="E8" s="16">
        <f>'4 - BTP Valore'!$B$32*(1-'1 - Parametri'!B8)-'1 - Parametri'!B40</f>
        <v/>
      </c>
    </row>
    <row r="9">
      <c r="A9" s="8">
        <f>"BTP Futura (YTM lordo MOT ~"&amp;SUBSTITUTE(ROUND('5 - BTP Futura'!$B$27*100,2)&amp;"",".",",")&amp;"%)"</f>
        <v/>
      </c>
      <c r="B9" s="16">
        <f>'5 - BTP Futura'!$B$27*(1-'1 - Parametri'!B8)-'1 - Parametri'!B37</f>
        <v/>
      </c>
      <c r="C9" s="16">
        <f>'5 - BTP Futura'!$B$27*(1-'1 - Parametri'!B8)-'1 - Parametri'!B38</f>
        <v/>
      </c>
      <c r="D9" s="16">
        <f>'5 - BTP Futura'!$B$27*(1-'1 - Parametri'!B8)-'1 - Parametri'!B39</f>
        <v/>
      </c>
      <c r="E9" s="16">
        <f>'5 - BTP Futura'!$B$27*(1-'1 - Parametri'!B8)-'1 - Parametri'!B40</f>
        <v/>
      </c>
    </row>
    <row r="10">
      <c r="A10" s="8">
        <f>"BTP nominale 5y ("&amp;SUBSTITUTE(ROUND('1 - Parametri'!B32*100,2)&amp;"",".",",")&amp;"% lordo)"</f>
        <v/>
      </c>
      <c r="B10" s="16">
        <f>'1 - Parametri'!B32*(1-'1 - Parametri'!B8)-'1 - Parametri'!B37</f>
        <v/>
      </c>
      <c r="C10" s="16">
        <f>'1 - Parametri'!B32*(1-'1 - Parametri'!B8)-'1 - Parametri'!B38</f>
        <v/>
      </c>
      <c r="D10" s="16">
        <f>'1 - Parametri'!B32*(1-'1 - Parametri'!B8)-'1 - Parametri'!B39</f>
        <v/>
      </c>
      <c r="E10" s="16">
        <f>'1 - Parametri'!B32*(1-'1 - Parametri'!B8)-'1 - Parametri'!B40</f>
        <v/>
      </c>
    </row>
    <row r="11">
      <c r="A11" s="8">
        <f>"BTP nominale 10y ("&amp;SUBSTITUTE(ROUND('1 - Parametri'!B34*100,2)&amp;"",".",",")&amp;"% lordo)"</f>
        <v/>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90" customHeight="1">
      <c r="A14" s="10" t="inlineStr">
        <is>
          <t>NOTA DI METODO - heatmap per colonna: VERDE = miglior rendimento REALE dello scenario, ROSSO = peggiore. Il tasso del Si e' REALE (si somma al FOI), quindi il suo rendimento reale resta stabile tra gli scenari; gli strumenti a cedola nominale fissa perdono rendimento reale al crescere dell'inflazione. Valore e Futura sono valutati allo YTM da prezzo MOT (comprati OGGI, senza premi fedelta'/PIL). Il vincitore di ogni scenario dipende dai parametri correnti del foglio 1 - Parametri.</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1" t="inlineStr">
        <is>
          <t>Avversario</t>
        </is>
      </c>
      <c r="B5" s="21" t="inlineStr">
        <is>
          <t>Rendimento lordo</t>
        </is>
      </c>
      <c r="C5" s="21" t="inlineStr">
        <is>
          <t>Rend. netto (dopo tasse)</t>
        </is>
      </c>
      <c r="D5" s="21" t="inlineStr">
        <is>
          <t>Soglia infl. break-even (lorda)</t>
        </is>
      </c>
      <c r="E5" s="21" t="inlineStr">
        <is>
          <t>Verdetto</t>
        </is>
      </c>
    </row>
    <row r="6">
      <c r="A6" s="8" t="inlineStr">
        <is>
          <t>BTP nominale 2y</t>
        </is>
      </c>
      <c r="B6" s="16">
        <f>'1 - Parametri'!B30</f>
        <v/>
      </c>
      <c r="C6" s="16">
        <f>B6*(1-'1 - Parametri'!B8)</f>
        <v/>
      </c>
      <c r="D6" s="16">
        <f>B6-('1 - Parametri'!B5+'1 - Parametri'!B7/'1 - Parametri'!B6)</f>
        <v/>
      </c>
      <c r="E6" s="24">
        <f>IF(D6&lt;=0,"Si vince SEMPRE",IF(D6&gt;='1 - Parametri'!B40,"Si perde quasi sempre","Si vince se FOI &gt; "&amp;SUBSTITUTE(ROUND(D6*100,2)&amp;"",".",",")&amp;"%"))</f>
        <v/>
      </c>
    </row>
    <row r="7">
      <c r="A7" s="8" t="inlineStr">
        <is>
          <t>BTP nominale 3y</t>
        </is>
      </c>
      <c r="B7" s="16">
        <f>'1 - Parametri'!B31</f>
        <v/>
      </c>
      <c r="C7" s="16">
        <f>B7*(1-'1 - Parametri'!B8)</f>
        <v/>
      </c>
      <c r="D7" s="16">
        <f>B7-('1 - Parametri'!B5+'1 - Parametri'!B7/'1 - Parametri'!B6)</f>
        <v/>
      </c>
      <c r="E7" s="24">
        <f>IF(D7&lt;=0,"Si vince SEMPRE",IF(D7&gt;='1 - Parametri'!B40,"Si perde quasi sempre","Si vince se FOI &gt; "&amp;SUBSTITUTE(ROUND(D7*100,2)&amp;"",".",",")&amp;"%"))</f>
        <v/>
      </c>
    </row>
    <row r="8">
      <c r="A8" s="8" t="inlineStr">
        <is>
          <t>BTP nominale 5y</t>
        </is>
      </c>
      <c r="B8" s="16">
        <f>'1 - Parametri'!B32</f>
        <v/>
      </c>
      <c r="C8" s="16">
        <f>B8*(1-'1 - Parametri'!B8)</f>
        <v/>
      </c>
      <c r="D8" s="16">
        <f>B8-('1 - Parametri'!B5+'1 - Parametri'!B7/'1 - Parametri'!B6)</f>
        <v/>
      </c>
      <c r="E8" s="24">
        <f>IF(D8&lt;=0,"Si vince SEMPRE",IF(D8&gt;='1 - Parametri'!B40,"Si perde quasi sempre","Si vince se FOI &gt; "&amp;SUBSTITUTE(ROUND(D8*100,2)&amp;"",".",",")&amp;"%"))</f>
        <v/>
      </c>
    </row>
    <row r="9">
      <c r="A9" s="8" t="inlineStr">
        <is>
          <t>BTP nominale 7y</t>
        </is>
      </c>
      <c r="B9" s="16">
        <f>'1 - Parametri'!B33</f>
        <v/>
      </c>
      <c r="C9" s="16">
        <f>B9*(1-'1 - Parametri'!B8)</f>
        <v/>
      </c>
      <c r="D9" s="16">
        <f>B9-('1 - Parametri'!B5+'1 - Parametri'!B7/'1 - Parametri'!B6)</f>
        <v/>
      </c>
      <c r="E9" s="24">
        <f>IF(D9&lt;=0,"Si vince SEMPRE",IF(D9&gt;='1 - Parametri'!B40,"Si perde quasi sempre","Si vince se FOI &gt; "&amp;SUBSTITUTE(ROUND(D9*100,2)&amp;"",".",",")&amp;"%"))</f>
        <v/>
      </c>
    </row>
    <row r="10">
      <c r="A10" s="8" t="inlineStr">
        <is>
          <t>BTP nominale 10y</t>
        </is>
      </c>
      <c r="B10" s="16">
        <f>'1 - Parametri'!B34</f>
        <v/>
      </c>
      <c r="C10" s="16">
        <f>B10*(1-'1 - Parametri'!B8)</f>
        <v/>
      </c>
      <c r="D10" s="16">
        <f>B10-('1 - Parametri'!B5+'1 - Parametri'!B7/'1 - Parametri'!B6)</f>
        <v/>
      </c>
      <c r="E10" s="24">
        <f>IF(D10&lt;=0,"Si vince SEMPRE",IF(D10&gt;='1 - Parametri'!B40,"Si perde quasi sempre","Si vince se FOI &gt; "&amp;SUBSTITUTE(ROUND(D10*100,2)&amp;"",".",",")&amp;"%"))</f>
        <v/>
      </c>
    </row>
    <row r="11">
      <c r="A11" s="8">
        <f>"BTP Valore (YTM lordo MOT, prezzo "&amp;SUBSTITUTE(ROUND('1 - Parametri'!B64,2)&amp;"",".",",")&amp;")"</f>
        <v/>
      </c>
      <c r="B11" s="16">
        <f>'4 - BTP Valore'!B32</f>
        <v/>
      </c>
      <c r="C11" s="16">
        <f>B11*(1-'1 - Parametri'!B8)</f>
        <v/>
      </c>
      <c r="D11" s="16">
        <f>B11-('1 - Parametri'!B5+'1 - Parametri'!B7/'1 - Parametri'!B6)</f>
        <v/>
      </c>
      <c r="E11" s="24">
        <f>IF(D11&lt;=0,"Si vince SEMPRE",IF(D11&gt;='1 - Parametri'!B40,"Si perde quasi sempre","Si vince se FOI &gt; "&amp;SUBSTITUTE(ROUND(D11*100,2)&amp;"",".",",")&amp;"%"))</f>
        <v/>
      </c>
    </row>
    <row r="12">
      <c r="A12" s="8">
        <f>"BTP Futura (YTM lordo MOT, prezzo "&amp;SUBSTITUTE(ROUND('1 - Parametri'!B66,2)&amp;"",".",",")&amp;")"</f>
        <v/>
      </c>
      <c r="B12" s="16">
        <f>'5 - BTP Futura'!B27</f>
        <v/>
      </c>
      <c r="C12" s="16">
        <f>B12*(1-'1 - Parametri'!B8)</f>
        <v/>
      </c>
      <c r="D12" s="16">
        <f>B12-('1 - Parametri'!B5+'1 - Parametri'!B7/'1 - Parametri'!B6)</f>
        <v/>
      </c>
      <c r="E12" s="24">
        <f>IF(D12&lt;=0,"Si vince SEMPRE",IF(D12&gt;='1 - Parametri'!B40,"Si perde quasi sempre","Si vince se FOI &gt; "&amp;SUBSTITUTE(ROUND(D12*100,2)&amp;"",".",",")&amp;"%"))</f>
        <v/>
      </c>
    </row>
    <row r="14">
      <c r="A14" s="7" t="inlineStr">
        <is>
          <t>BTP Italia classico: confronto diverso (capitale rivalutato, no break-even classico)</t>
        </is>
      </c>
    </row>
    <row r="15">
      <c r="A15" s="21" t="inlineStr">
        <is>
          <t>Avversario</t>
        </is>
      </c>
      <c r="B15" s="21" t="inlineStr">
        <is>
          <t>YTM reale NETTO (MOT)</t>
        </is>
      </c>
      <c r="C15" s="21" t="inlineStr">
        <is>
          <t>Sì reale netto</t>
        </is>
      </c>
      <c r="D15" s="21" t="inlineStr">
        <is>
          <t>Vantaggio Sì (pp)</t>
        </is>
      </c>
      <c r="E15" s="21" t="inlineStr">
        <is>
          <t>Verdetto</t>
        </is>
      </c>
    </row>
    <row r="16">
      <c r="A16" s="8" t="inlineStr">
        <is>
          <t>BTP Italia classico mar 2028 (YTM REALE da prezzo MOT)</t>
        </is>
      </c>
      <c r="B16" s="16">
        <f>'1 - Parametri'!B50*(1-'1 - Parametri'!B8)</f>
        <v/>
      </c>
      <c r="C16" s="16">
        <f>('1 - Parametri'!B5+'1 - Parametri'!B7/'1 - Parametri'!B6)*(1-'1 - Parametri'!B8)</f>
        <v/>
      </c>
      <c r="D16" s="16">
        <f>C16-B16</f>
        <v/>
      </c>
      <c r="E16" s="24">
        <f>IF(D16&gt;=0,"Sì vince (vantaggio "&amp;ROUND(D16*100,2)&amp;"pp)","Classico vince (gap "&amp;ROUND(-D16*100,2)&amp;"pp)")</f>
        <v/>
      </c>
    </row>
    <row r="17">
      <c r="A17" s="8" t="inlineStr">
        <is>
          <t>BTP Italia classico giu 2030 (YTM REALE da prezzo MOT)</t>
        </is>
      </c>
      <c r="B17" s="16">
        <f>'1 - Parametri'!B52*(1-'1 - Parametri'!B8)</f>
        <v/>
      </c>
      <c r="C17" s="16">
        <f>('1 - Parametri'!B5+'1 - Parametri'!B7/'1 - Parametri'!B6)*(1-'1 - Parametri'!B8)</f>
        <v/>
      </c>
      <c r="D17" s="16">
        <f>C17-B17</f>
        <v/>
      </c>
      <c r="E17" s="24">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Parametri'!B7/'1 - Parametri'!B6)*(1-'1 - Parametri'!B8)</f>
        <v/>
      </c>
      <c r="D18" s="16">
        <f>C18-B18</f>
        <v/>
      </c>
      <c r="E18" s="24">
        <f>IF(D18&gt;=0,"Sì vince (vantaggio "&amp;ROUND(D18*100,2)&amp;"pp)","Classico vince (gap "&amp;ROUND(-D18*100,2)&amp;"pp)")</f>
        <v/>
      </c>
    </row>
    <row r="19" ht="90" customHeight="1">
      <c r="A19" s="10">
        <f>"ATTENZIONE: usato YTM REALE EFFETTIVO calcolato dal prezzo MOT (non cedola del prospetto). Se sul secondario il classico quota SOPRA par, il YTM reale si abbassa, specie per scadenze brevi. Coi prezzi MOT correnti: mar 2028 a "&amp;SUBSTITUTE(ROUND('1 - Parametri'!B46,2)&amp;"",".",",")&amp;" → YTM reale ~"&amp;SUBSTITUTE(ROUND('1 - Parametri'!B50*100,2)&amp;"",".",",")&amp;"%; giu 2030 a "&amp;SUBSTITUTE(ROUND('1 - Parametri'!B48,2)&amp;"",".",",")&amp;" → ~"&amp;SUBSTITUTE(ROUND('1 - Parametri'!B52*100,2)&amp;"",".",",")&amp;"%. Vai al foglio Parametri righe 46-56 per modificare i prezzi MOT."</f>
        <v/>
      </c>
    </row>
    <row r="21" ht="90" customHeight="1">
      <c r="A21" s="10">
        <f>"BTP Futura comprato OGGI sul MOT a "&amp;SUBSTITUTE(ROUND('1 - Parametri'!B66,2)&amp;"",".",",")&amp;": YTM lordo ~"&amp;SUBSTITUTE(ROUND('5 - BTP Futura'!B27*100,2)&amp;"",".",",")&amp;"% con cedole step-up "&amp;SUBSTITUTE(ROUND('1 - Parametri'!B22*100,2)&amp;"",".",",")&amp;"/"&amp;SUBSTITUTE(ROUND('1 - Parametri'!B23*100,2)&amp;"",".",",")&amp;"/"&amp;SUBSTITUTE(ROUND('1 - Parametri'!B24*100,2)&amp;"",".",",")&amp;"%. Soglia break-even FOI ~"&amp;SUBSTITUTE(ROUND(D12*100,2)&amp;"",".",",")&amp;"% (col. D): sotto la soglia vince il Futura, sopra vince il Si; se la soglia e' negativa il Si vince sempre. Il doppio premio PIL NON spetta a chi compra sul MOT (solo sottoscrittori originali nov 2021)."</f>
        <v/>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1" t="inlineStr">
        <is>
          <t>Profilo</t>
        </is>
      </c>
      <c r="B5" s="21" t="inlineStr">
        <is>
          <t>BTP Italia Si</t>
        </is>
      </c>
      <c r="C5" s="21" t="inlineStr">
        <is>
          <t>BTP Italia clas.</t>
        </is>
      </c>
      <c r="D5" s="21" t="inlineStr">
        <is>
          <t>BTP Valore</t>
        </is>
      </c>
      <c r="E5" s="21" t="inlineStr">
        <is>
          <t>BTP nominale 5y</t>
        </is>
      </c>
      <c r="F5" s="21" t="inlineStr">
        <is>
          <t>BTP nominale 10y</t>
        </is>
      </c>
    </row>
    <row r="6">
      <c r="A6" s="8" t="inlineStr">
        <is>
          <t>Giovane 25-34</t>
        </is>
      </c>
      <c r="B6" s="25" t="n">
        <v>0.2</v>
      </c>
      <c r="C6" s="25" t="n">
        <v>0.1</v>
      </c>
      <c r="D6" s="25" t="n">
        <v>0.2</v>
      </c>
      <c r="E6" s="25" t="n">
        <v>0.3</v>
      </c>
      <c r="F6" s="25" t="n">
        <v>0.2</v>
      </c>
    </row>
    <row r="7">
      <c r="A7" s="8" t="inlineStr">
        <is>
          <t>Mezza età 35-49</t>
        </is>
      </c>
      <c r="B7" s="25" t="n">
        <v>0.25</v>
      </c>
      <c r="C7" s="25" t="n">
        <v>0.15</v>
      </c>
      <c r="D7" s="25" t="n">
        <v>0.2</v>
      </c>
      <c r="E7" s="25" t="n">
        <v>0.25</v>
      </c>
      <c r="F7" s="25" t="n">
        <v>0.15</v>
      </c>
    </row>
    <row r="8">
      <c r="A8" s="8" t="inlineStr">
        <is>
          <t>Over 50 pre-FIRE</t>
        </is>
      </c>
      <c r="B8" s="25" t="n">
        <v>0.3</v>
      </c>
      <c r="C8" s="25" t="n">
        <v>0.3</v>
      </c>
      <c r="D8" s="25" t="n">
        <v>0.2</v>
      </c>
      <c r="E8" s="25" t="n">
        <v>0.15</v>
      </c>
      <c r="F8" s="25" t="n">
        <v>0.05</v>
      </c>
    </row>
    <row r="9">
      <c r="A9" s="8" t="inlineStr">
        <is>
          <t>FIRE in decumulo</t>
        </is>
      </c>
      <c r="B9" s="25" t="n">
        <v>0.25</v>
      </c>
      <c r="C9" s="25" t="n">
        <v>0.35</v>
      </c>
      <c r="D9" s="25" t="n">
        <v>0.15</v>
      </c>
      <c r="E9" s="25" t="n">
        <v>0.15</v>
      </c>
      <c r="F9" s="25"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6" t="n">
        <v>0.33</v>
      </c>
    </row>
    <row r="10">
      <c r="A10" s="7" t="inlineStr">
        <is>
          <t>Rendimento REALE netto atteso per strumento</t>
        </is>
      </c>
    </row>
    <row r="11">
      <c r="A11" s="21" t="inlineStr">
        <is>
          <t>Strumento</t>
        </is>
      </c>
      <c r="B11" s="21" t="inlineStr">
        <is>
          <t>Rend. reale annuo</t>
        </is>
      </c>
      <c r="C11" s="21" t="inlineStr">
        <is>
          <t>Idoneo al tuo orizzonte</t>
        </is>
      </c>
    </row>
    <row r="12">
      <c r="A12" s="8" t="inlineStr">
        <is>
          <t>BTP Italia Si</t>
        </is>
      </c>
      <c r="B12" s="16">
        <f>('1 - Parametri'!B5+'1 - Parametri'!B7/'1 - Parametri'!B6)*(1-'1 - Parametri'!B8)-'1 - Parametri'!B8*B7</f>
        <v/>
      </c>
      <c r="C12" s="24">
        <f>IF(B6&gt;=5,"SI","NO - troppo lungo")</f>
        <v/>
      </c>
    </row>
    <row r="13">
      <c r="A13" s="8" t="inlineStr">
        <is>
          <t>BTP Italia clas. (YTM MOT)</t>
        </is>
      </c>
      <c r="B13" s="16">
        <f>'1 - Parametri'!B56*(1-'1 - Parametri'!B8)-'1 - Parametri'!B8*B7</f>
        <v/>
      </c>
      <c r="C13" s="24">
        <f>IF(B6&gt;=5,"SI","NO - troppo lungo")</f>
        <v/>
      </c>
    </row>
    <row r="14">
      <c r="A14" s="8" t="inlineStr">
        <is>
          <t>BTP Valore (YTM MOT)</t>
        </is>
      </c>
      <c r="B14" s="16">
        <f>'4 - BTP Valore'!B32*(1-'1 - Parametri'!B8)-B7</f>
        <v/>
      </c>
      <c r="C14" s="24">
        <f>IF(B6&gt;=6,"SI","NO - troppo lungo")</f>
        <v/>
      </c>
    </row>
    <row r="15">
      <c r="A15" s="8" t="inlineStr">
        <is>
          <t>BTP nominale 5y</t>
        </is>
      </c>
      <c r="B15" s="16">
        <f>'1 - Parametri'!B32*(1-'1 - Parametri'!B8)-B7</f>
        <v/>
      </c>
      <c r="C15" s="24">
        <f>IF(B6&gt;=5,"SI","NO - troppo lungo")</f>
        <v/>
      </c>
    </row>
    <row r="16">
      <c r="A16" s="8" t="inlineStr">
        <is>
          <t>BTP nominale 10y</t>
        </is>
      </c>
      <c r="B16" s="16">
        <f>'1 - Parametri'!B34*(1-'1 - Parametri'!B8)-B7</f>
        <v/>
      </c>
      <c r="C16" s="24">
        <f>IF(B6&gt;=10,"SI","NO - troppo lungo")</f>
        <v/>
      </c>
    </row>
    <row r="18">
      <c r="A18" s="7" t="inlineStr">
        <is>
          <t>Raccomandazione automatica (strumento con rendimento reale max)</t>
        </is>
      </c>
    </row>
    <row r="19">
      <c r="A19" s="8" t="inlineStr">
        <is>
          <t>Miglior strumento</t>
        </is>
      </c>
      <c r="B19" s="24">
        <f>INDEX(A12:A16,MATCH(MAX(B12:B16),B12:B16,0))</f>
        <v/>
      </c>
    </row>
    <row r="20">
      <c r="A20" s="8" t="inlineStr">
        <is>
          <t>Rendimento reale atteso annuo</t>
        </is>
      </c>
      <c r="B20" s="16">
        <f>MAX(B12:B16)</f>
        <v/>
      </c>
    </row>
    <row r="21">
      <c r="A21" s="8" t="inlineStr">
        <is>
          <t>Valore finale (con cap. + reale)</t>
        </is>
      </c>
      <c r="B21" s="20">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4" customWidth="1" min="1" max="1"/>
    <col width="13" customWidth="1" min="2" max="2"/>
    <col width="15" customWidth="1" min="3" max="3"/>
    <col width="14" customWidth="1" min="4" max="4"/>
    <col width="15" customWidth="1" min="5" max="5"/>
    <col width="16" customWidth="1" min="6" max="6"/>
    <col width="16" customWidth="1" min="7" max="7"/>
  </cols>
  <sheetData>
    <row r="1" ht="25" customHeight="1">
      <c r="A1" s="1" t="inlineStr">
        <is>
          <t>BTP Italia Si - flusso cedolare semestrale (quanto incassi, quando)</t>
        </is>
      </c>
    </row>
    <row r="2" ht="32" customHeight="1">
      <c r="A2" s="2" t="inlineStr">
        <is>
          <t>Strumento informativo / divulgativo. NON è consulenza finanziaria. I valori sono indicativi al 2026 e vanno verificati col tuo consulente.</t>
        </is>
      </c>
    </row>
    <row r="4">
      <c r="A4" s="7" t="inlineStr">
        <is>
          <t>Input (tasso/premio/tassazione dal foglio Parametri; FOI modificabile QUI)</t>
        </is>
      </c>
    </row>
    <row r="5">
      <c r="A5" s="8" t="inlineStr">
        <is>
          <t>Tasso fisso reale annuo</t>
        </is>
      </c>
      <c r="B5" s="16">
        <f>'1 - Parametri'!B5</f>
        <v/>
      </c>
    </row>
    <row r="6">
      <c r="A6" s="8" t="inlineStr">
        <is>
          <t>Premio fedelta' finale</t>
        </is>
      </c>
      <c r="B6" s="16">
        <f>'1 - Parametri'!B7</f>
        <v/>
      </c>
    </row>
    <row r="7">
      <c r="A7" s="8" t="inlineStr">
        <is>
          <t>Tassazione</t>
        </is>
      </c>
      <c r="B7" s="19">
        <f>'1 - Parametri'!B8</f>
        <v/>
      </c>
    </row>
    <row r="8">
      <c r="A8" s="8" t="inlineStr">
        <is>
          <t>Capitale investito (EUR)</t>
        </is>
      </c>
      <c r="B8" s="20">
        <f>'1 - Parametri'!B43</f>
        <v/>
      </c>
    </row>
    <row r="9" ht="15" customHeight="1">
      <c r="A9" s="8" t="inlineStr">
        <is>
          <t>Inflazione FOI media (scenario)</t>
        </is>
      </c>
      <c r="B9" s="12" t="n">
        <v>0.02</v>
      </c>
      <c r="C9" s="10" t="inlineStr">
        <is>
          <t>GIALLO = modificabile: 0,01 / 0,02 / 0,03 / 0,045</t>
        </is>
      </c>
    </row>
    <row r="11">
      <c r="A11" s="7" t="inlineStr">
        <is>
          <t>Calendario cedole semestrali nette (convenzione lineare, FOI media costante)</t>
        </is>
      </c>
    </row>
    <row r="12">
      <c r="A12" s="21" t="inlineStr">
        <is>
          <t>Stacco</t>
        </is>
      </c>
      <c r="B12" s="21" t="inlineStr">
        <is>
          <t>Data</t>
        </is>
      </c>
      <c r="C12" s="21" t="inlineStr">
        <is>
          <t>Cedola lorda</t>
        </is>
      </c>
      <c r="D12" s="21" t="inlineStr">
        <is>
          <t>Imposta</t>
        </is>
      </c>
      <c r="E12" s="21" t="inlineStr">
        <is>
          <t>Cedola netta</t>
        </is>
      </c>
      <c r="F12" s="21" t="inlineStr">
        <is>
          <t>Cumulato netto</t>
        </is>
      </c>
      <c r="G12" s="21" t="inlineStr">
        <is>
          <t>Flusso di cassa</t>
        </is>
      </c>
    </row>
    <row r="13">
      <c r="A13" s="8" t="inlineStr">
        <is>
          <t>1/10</t>
        </is>
      </c>
      <c r="B13" s="29" t="n">
        <v>46371</v>
      </c>
      <c r="C13" s="28">
        <f>($B$5+$B$9)/2*$B$8</f>
        <v/>
      </c>
      <c r="D13" s="28">
        <f>C13*$B$7</f>
        <v/>
      </c>
      <c r="E13" s="28">
        <f>C13-D13</f>
        <v/>
      </c>
      <c r="F13" s="28">
        <f>E13</f>
        <v/>
      </c>
      <c r="G13" s="28">
        <f>E13</f>
        <v/>
      </c>
    </row>
    <row r="14">
      <c r="A14" s="8" t="inlineStr">
        <is>
          <t>2/10</t>
        </is>
      </c>
      <c r="B14" s="29" t="n">
        <v>46553</v>
      </c>
      <c r="C14" s="28">
        <f>($B$5+$B$9)/2*$B$8</f>
        <v/>
      </c>
      <c r="D14" s="28">
        <f>C14*$B$7</f>
        <v/>
      </c>
      <c r="E14" s="28">
        <f>C14-D14</f>
        <v/>
      </c>
      <c r="F14" s="28">
        <f>F13+E14</f>
        <v/>
      </c>
      <c r="G14" s="28">
        <f>E14</f>
        <v/>
      </c>
    </row>
    <row r="15">
      <c r="A15" s="8" t="inlineStr">
        <is>
          <t>3/10</t>
        </is>
      </c>
      <c r="B15" s="29" t="n">
        <v>46736</v>
      </c>
      <c r="C15" s="28">
        <f>($B$5+$B$9)/2*$B$8</f>
        <v/>
      </c>
      <c r="D15" s="28">
        <f>C15*$B$7</f>
        <v/>
      </c>
      <c r="E15" s="28">
        <f>C15-D15</f>
        <v/>
      </c>
      <c r="F15" s="28">
        <f>F14+E15</f>
        <v/>
      </c>
      <c r="G15" s="28">
        <f>E15</f>
        <v/>
      </c>
    </row>
    <row r="16">
      <c r="A16" s="8" t="inlineStr">
        <is>
          <t>4/10</t>
        </is>
      </c>
      <c r="B16" s="29" t="n">
        <v>46919</v>
      </c>
      <c r="C16" s="28">
        <f>($B$5+$B$9)/2*$B$8</f>
        <v/>
      </c>
      <c r="D16" s="28">
        <f>C16*$B$7</f>
        <v/>
      </c>
      <c r="E16" s="28">
        <f>C16-D16</f>
        <v/>
      </c>
      <c r="F16" s="28">
        <f>F15+E16</f>
        <v/>
      </c>
      <c r="G16" s="28">
        <f>E16</f>
        <v/>
      </c>
    </row>
    <row r="17">
      <c r="A17" s="8" t="inlineStr">
        <is>
          <t>5/10</t>
        </is>
      </c>
      <c r="B17" s="29" t="n">
        <v>47102</v>
      </c>
      <c r="C17" s="28">
        <f>($B$5+$B$9)/2*$B$8</f>
        <v/>
      </c>
      <c r="D17" s="28">
        <f>C17*$B$7</f>
        <v/>
      </c>
      <c r="E17" s="28">
        <f>C17-D17</f>
        <v/>
      </c>
      <c r="F17" s="28">
        <f>F16+E17</f>
        <v/>
      </c>
      <c r="G17" s="28">
        <f>E17</f>
        <v/>
      </c>
    </row>
    <row r="18">
      <c r="A18" s="8" t="inlineStr">
        <is>
          <t>6/10</t>
        </is>
      </c>
      <c r="B18" s="29" t="n">
        <v>47284</v>
      </c>
      <c r="C18" s="28">
        <f>($B$5+$B$9)/2*$B$8</f>
        <v/>
      </c>
      <c r="D18" s="28">
        <f>C18*$B$7</f>
        <v/>
      </c>
      <c r="E18" s="28">
        <f>C18-D18</f>
        <v/>
      </c>
      <c r="F18" s="28">
        <f>F17+E18</f>
        <v/>
      </c>
      <c r="G18" s="28">
        <f>E18</f>
        <v/>
      </c>
    </row>
    <row r="19">
      <c r="A19" s="8" t="inlineStr">
        <is>
          <t>7/10</t>
        </is>
      </c>
      <c r="B19" s="29" t="n">
        <v>47467</v>
      </c>
      <c r="C19" s="28">
        <f>($B$5+$B$9)/2*$B$8</f>
        <v/>
      </c>
      <c r="D19" s="28">
        <f>C19*$B$7</f>
        <v/>
      </c>
      <c r="E19" s="28">
        <f>C19-D19</f>
        <v/>
      </c>
      <c r="F19" s="28">
        <f>F18+E19</f>
        <v/>
      </c>
      <c r="G19" s="28">
        <f>E19</f>
        <v/>
      </c>
    </row>
    <row r="20">
      <c r="A20" s="8" t="inlineStr">
        <is>
          <t>8/10</t>
        </is>
      </c>
      <c r="B20" s="29" t="n">
        <v>47649</v>
      </c>
      <c r="C20" s="28">
        <f>($B$5+$B$9)/2*$B$8</f>
        <v/>
      </c>
      <c r="D20" s="28">
        <f>C20*$B$7</f>
        <v/>
      </c>
      <c r="E20" s="28">
        <f>C20-D20</f>
        <v/>
      </c>
      <c r="F20" s="28">
        <f>F19+E20</f>
        <v/>
      </c>
      <c r="G20" s="28">
        <f>E20</f>
        <v/>
      </c>
    </row>
    <row r="21">
      <c r="A21" s="8" t="inlineStr">
        <is>
          <t>9/10</t>
        </is>
      </c>
      <c r="B21" s="29" t="n">
        <v>47832</v>
      </c>
      <c r="C21" s="28">
        <f>($B$5+$B$9)/2*$B$8</f>
        <v/>
      </c>
      <c r="D21" s="28">
        <f>C21*$B$7</f>
        <v/>
      </c>
      <c r="E21" s="28">
        <f>C21-D21</f>
        <v/>
      </c>
      <c r="F21" s="28">
        <f>F20+E21</f>
        <v/>
      </c>
      <c r="G21" s="28">
        <f>E21</f>
        <v/>
      </c>
    </row>
    <row r="22">
      <c r="A22" s="8" t="inlineStr">
        <is>
          <t>10/10</t>
        </is>
      </c>
      <c r="B22" s="29" t="n">
        <v>48014</v>
      </c>
      <c r="C22" s="28">
        <f>($B$5+$B$9)/2*$B$8</f>
        <v/>
      </c>
      <c r="D22" s="28">
        <f>C22*$B$7</f>
        <v/>
      </c>
      <c r="E22" s="28">
        <f>C22-D22</f>
        <v/>
      </c>
      <c r="F22" s="28">
        <f>F21+E22</f>
        <v/>
      </c>
      <c r="G22" s="28">
        <f>E22</f>
        <v/>
      </c>
    </row>
    <row r="23">
      <c r="A23" s="8" t="inlineStr">
        <is>
          <t>Premio</t>
        </is>
      </c>
      <c r="B23" s="29" t="n">
        <v>48014</v>
      </c>
      <c r="C23" s="28">
        <f>$B$8*$B$6</f>
        <v/>
      </c>
      <c r="D23" s="28">
        <f>C23*$B$7</f>
        <v/>
      </c>
      <c r="E23" s="28">
        <f>C23-D23</f>
        <v/>
      </c>
      <c r="F23" s="28">
        <f>F22+E23</f>
        <v/>
      </c>
      <c r="G23" s="28">
        <f>E23</f>
        <v/>
      </c>
    </row>
    <row r="24">
      <c r="A24" s="8" t="inlineStr">
        <is>
          <t>Acquisto</t>
        </is>
      </c>
      <c r="B24" s="29" t="n">
        <v>46192</v>
      </c>
      <c r="G24" s="28">
        <f>-$B$8</f>
        <v/>
      </c>
    </row>
    <row r="25">
      <c r="A25" s="8" t="inlineStr">
        <is>
          <t>Rimborso</t>
        </is>
      </c>
      <c r="B25" s="29" t="n">
        <v>48014</v>
      </c>
      <c r="G25" s="28">
        <f>$B$8</f>
        <v/>
      </c>
    </row>
    <row r="26">
      <c r="A26" s="8" t="inlineStr">
        <is>
          <t>TOTALE NETTO 5 ANNI (cedole + premio)</t>
        </is>
      </c>
      <c r="F26" s="28">
        <f>F23</f>
        <v/>
      </c>
    </row>
    <row r="28">
      <c r="A28" s="7" t="inlineStr">
        <is>
          <t>IRR dai flussi di cassa</t>
        </is>
      </c>
    </row>
    <row r="29">
      <c r="A29" s="8" t="inlineStr">
        <is>
          <t>IRR nominale netto EFFETTIVO (XIRR composto sui flussi)</t>
        </is>
      </c>
      <c r="F29" s="16">
        <f>XIRR(G13:G25,B13:B25)</f>
        <v/>
      </c>
    </row>
    <row r="30">
      <c r="A30" s="8" t="inlineStr">
        <is>
          <t>IRR nominale netto LINEARE (convenzione fogli 2-7)</t>
        </is>
      </c>
      <c r="F30" s="16">
        <f>ROUND(($B$5+$B$6/'1 - Parametri'!B6+$B$9)*(1-$B$7),6)</f>
        <v/>
      </c>
    </row>
    <row r="31">
      <c r="A31" s="8" t="inlineStr">
        <is>
          <t>IRR REALE netto effettivo (XIRR - FOI media)</t>
        </is>
      </c>
      <c r="F31" s="16">
        <f>F29-$B$9</f>
        <v/>
      </c>
    </row>
    <row r="33">
      <c r="A33" s="7" t="inlineStr">
        <is>
          <t>Note metodologiche</t>
        </is>
      </c>
    </row>
    <row r="34" ht="90" customHeight="1">
      <c r="A34" s="10" t="inlineStr">
        <is>
          <t>Date indicative: godimento giugno 2026, cedole semestrali dicembre/giugno (15 del mese convenzionale; acquisto = chiusura collocamento 19/06/2026). Il FOI media e' un'ipotesi di scenario: le cedole effettive varieranno semestre per semestre con l'inflazione FOI rilevata da ISTAT. Il premio fedelta' spetta solo a chi sottoscrive in collocamento e tiene fino a scadenza. XIRR = rendimento composto effettivo sui flussi datati; differisce di pochi centesimi dall'IRR lineare divulgativo usato negli altri fogli (che non compone i reinvestimenti).</t>
        </is>
      </c>
    </row>
  </sheetData>
  <mergeCells count="8">
    <mergeCell ref="C9:G9"/>
    <mergeCell ref="A1:G1"/>
    <mergeCell ref="A34:G34"/>
    <mergeCell ref="A4:G4"/>
    <mergeCell ref="A2:G2"/>
    <mergeCell ref="A33:G33"/>
    <mergeCell ref="A11:G11"/>
    <mergeCell ref="A28:G28"/>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2026-06-11T13:10:31Z</dcterms:created>
  <dcterms:modified xsi:type="dcterms:W3CDTF">2026-06-11T13:10:44Z</dcterms:modified>
</cp:coreProperties>
</file>