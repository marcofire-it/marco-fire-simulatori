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 Indice" sheetId="1" state="visible" r:id="rId1"/>
    <sheet xmlns:r="http://schemas.openxmlformats.org/officeDocument/2006/relationships" name="1 - Parametri" sheetId="2" state="visible" r:id="rId2"/>
    <sheet xmlns:r="http://schemas.openxmlformats.org/officeDocument/2006/relationships" name="2 - BTP Italia Si" sheetId="3" state="visible" r:id="rId3"/>
    <sheet xmlns:r="http://schemas.openxmlformats.org/officeDocument/2006/relationships" name="3 - BTP Italia classico" sheetId="4" state="visible" r:id="rId4"/>
    <sheet xmlns:r="http://schemas.openxmlformats.org/officeDocument/2006/relationships" name="4 - BTP Valore" sheetId="5" state="visible" r:id="rId5"/>
    <sheet xmlns:r="http://schemas.openxmlformats.org/officeDocument/2006/relationships" name="5 - BTP Futura" sheetId="6" state="visible" r:id="rId6"/>
    <sheet xmlns:r="http://schemas.openxmlformats.org/officeDocument/2006/relationships" name="6 - BTP nominali" sheetId="7" state="visible" r:id="rId7"/>
    <sheet xmlns:r="http://schemas.openxmlformats.org/officeDocument/2006/relationships" name="7 - MATRICE COMPARATIVA" sheetId="8" state="visible" r:id="rId8"/>
    <sheet xmlns:r="http://schemas.openxmlformats.org/officeDocument/2006/relationships" name="8 - Break-even" sheetId="9" state="visible" r:id="rId9"/>
    <sheet xmlns:r="http://schemas.openxmlformats.org/officeDocument/2006/relationships" name="9 - 4 profili FIRE" sheetId="10" state="visible" r:id="rId10"/>
    <sheet xmlns:r="http://schemas.openxmlformats.org/officeDocument/2006/relationships" name="10 - Calcolatore personale" sheetId="11" state="visible" r:id="rId1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BTP Italia Sì - IRR netto annuo per scenario</a:t>
            </a:r>
          </a:p>
        </rich>
      </tx>
      <overlay val="0"/>
    </title>
    <plotArea>
      <barChart>
        <barDir val="col"/>
        <grouping val="clustered"/>
        <ser>
          <idx val="0"/>
          <order val="0"/>
          <tx>
            <strRef>
              <f>'2 - BTP Italia Si'!E19</f>
            </strRef>
          </tx>
          <spPr>
            <a:ln xmlns:a="http://schemas.openxmlformats.org/drawingml/2006/mai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BTP Italia classico - IRR netto annuo per scenario</a:t>
            </a:r>
          </a:p>
        </rich>
      </tx>
      <overlay val="0"/>
    </title>
    <plotArea>
      <barChart>
        <barDir val="col"/>
        <grouping val="clustered"/>
        <ser>
          <idx val="0"/>
          <order val="0"/>
          <tx>
            <strRef>
              <f>'3 - BTP Italia classico'!C18</f>
            </strRef>
          </tx>
          <spPr>
            <a:ln xmlns:a="http://schemas.openxmlformats.org/drawingml/2006/mai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BTP Valore - cedole step-up 2+2+2</a:t>
            </a:r>
          </a:p>
        </rich>
      </tx>
      <overlay val="0"/>
    </title>
    <plotArea>
      <barChart>
        <barDir val="col"/>
        <grouping val="clustered"/>
        <ser>
          <idx val="0"/>
          <order val="0"/>
          <tx>
            <strRef>
              <f>'4 - BTP Valore'!B14</f>
            </strRef>
          </tx>
          <spPr>
            <a:ln xmlns:a="http://schemas.openxmlformats.org/drawingml/2006/mai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BTP Futura - tot. netto 12 anni per scenario PIL</a:t>
            </a:r>
          </a:p>
        </rich>
      </tx>
      <overlay val="0"/>
    </title>
    <plotArea>
      <barChart>
        <barDir val="col"/>
        <grouping val="clustered"/>
        <ser>
          <idx val="0"/>
          <order val="0"/>
          <tx>
            <strRef>
              <f>'5 - BTP Futura'!E15</f>
            </strRef>
          </tx>
          <spPr>
            <a:ln xmlns:a="http://schemas.openxmlformats.org/drawingml/2006/mai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http://schemas.openxmlformats.org/drawingml/2006/chart">
  <style val="12"/>
  <chart>
    <title>
      <tx>
        <rich>
          <a:bodyPr xmlns:a="http://schemas.openxmlformats.org/drawingml/2006/main"/>
          <a:p xmlns:a="http://schemas.openxmlformats.org/drawingml/2006/main">
            <a:pPr>
              <a:defRPr/>
            </a:pPr>
            <a:r>
              <a:t>Curva BTP nominali 2026 - rendimento lordo per scadenza</a:t>
            </a:r>
          </a:p>
        </rich>
      </tx>
      <overlay val="0"/>
    </title>
    <plotArea>
      <lineChart>
        <grouping val="standard"/>
        <ser>
          <idx val="0"/>
          <order val="0"/>
          <tx>
            <strRef>
              <f>'6 - BTP nominali'!B8</f>
            </strRef>
          </tx>
          <spPr>
            <a:ln xmlns:a="http://schemas.openxmlformats.org/drawingml/2006/main">
              <a:prstDash val="solid"/>
            </a:ln>
          </spPr>
          <marker>
            <symbol val="none"/>
            <spPr>
              <a:ln xmlns:a="http://schemas.openxmlformats.org/drawingml/2006/main">
                <a:prstDash val="solid"/>
              </a:ln>
            </spPr>
          </marker>
          <cat>
            <numRef>
              <f>'6 - BTP nominali'!$A$9:$A$13</f>
            </numRef>
          </cat>
          <val>
            <numRef>
              <f>'6 - BTP nominali'!$B$9:$B$13</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http://schemas.openxmlformats.org/drawingml/2006/chart">
  <style val="12"/>
  <chart>
    <title>
      <tx>
        <rich>
          <a:bodyPr xmlns:a="http://schemas.openxmlformats.org/drawingml/2006/main"/>
          <a:p xmlns:a="http://schemas.openxmlformats.org/drawingml/2006/main">
            <a:pPr>
              <a:defRPr/>
            </a:pPr>
            <a:r>
              <a:t>Matrice: rendimento REALE netto annuo per strumento × inflazione</a:t>
            </a:r>
          </a:p>
        </rich>
      </tx>
      <overlay val="0"/>
    </title>
    <plotArea>
      <lineChart>
        <grouping val="standard"/>
        <ser>
          <idx val="0"/>
          <order val="0"/>
          <tx>
            <strRef>
              <f>'7 - MATRICE COMPARATIVA'!A6</f>
            </strRef>
          </tx>
          <spPr>
            <a:ln xmlns:a="http://schemas.openxmlformats.org/drawingml/2006/main" w="28000">
              <a:solidFill>
                <a:srgbClr val="10B981"/>
              </a:solidFill>
              <a:prstDash val="solid"/>
            </a:ln>
          </spPr>
          <marker>
            <symbol val="none"/>
            <spPr>
              <a:ln xmlns:a="http://schemas.openxmlformats.org/drawingml/2006/main">
                <a:prstDash val="solid"/>
              </a:ln>
            </spPr>
          </marker>
          <cat>
            <numRef>
              <f>'7 - MATRICE COMPARATIVA'!$B$5:$E$5</f>
            </numRef>
          </cat>
          <val>
            <numRef>
              <f>'7 - MATRICE COMPARATIVA'!$B$6:$E$6</f>
            </numRef>
          </val>
        </ser>
        <ser>
          <idx val="1"/>
          <order val="1"/>
          <tx>
            <strRef>
              <f>'7 - MATRICE COMPARATIVA'!A7</f>
            </strRef>
          </tx>
          <spPr>
            <a:ln xmlns:a="http://schemas.openxmlformats.org/drawingml/2006/main" w="28000">
              <a:solidFill>
                <a:srgbClr val="1E40AF"/>
              </a:solidFill>
              <a:prstDash val="solid"/>
            </a:ln>
          </spPr>
          <marker>
            <symbol val="none"/>
            <spPr>
              <a:ln xmlns:a="http://schemas.openxmlformats.org/drawingml/2006/main">
                <a:prstDash val="solid"/>
              </a:ln>
            </spPr>
          </marker>
          <cat>
            <numRef>
              <f>'7 - MATRICE COMPARATIVA'!$B$5:$E$5</f>
            </numRef>
          </cat>
          <val>
            <numRef>
              <f>'7 - MATRICE COMPARATIVA'!$B$7:$E$7</f>
            </numRef>
          </val>
        </ser>
        <ser>
          <idx val="2"/>
          <order val="2"/>
          <tx>
            <strRef>
              <f>'7 - MATRICE COMPARATIVA'!A8</f>
            </strRef>
          </tx>
          <spPr>
            <a:ln xmlns:a="http://schemas.openxmlformats.org/drawingml/2006/main" w="28000">
              <a:solidFill>
                <a:srgbClr val="F59E0B"/>
              </a:solidFill>
              <a:prstDash val="solid"/>
            </a:ln>
          </spPr>
          <marker>
            <symbol val="none"/>
            <spPr>
              <a:ln xmlns:a="http://schemas.openxmlformats.org/drawingml/2006/main">
                <a:prstDash val="solid"/>
              </a:ln>
            </spPr>
          </marker>
          <cat>
            <numRef>
              <f>'7 - MATRICE COMPARATIVA'!$B$5:$E$5</f>
            </numRef>
          </cat>
          <val>
            <numRef>
              <f>'7 - MATRICE COMPARATIVA'!$B$8:$E$8</f>
            </numRef>
          </val>
        </ser>
        <ser>
          <idx val="3"/>
          <order val="3"/>
          <tx>
            <strRef>
              <f>'7 - MATRICE COMPARATIVA'!A9</f>
            </strRef>
          </tx>
          <spPr>
            <a:ln xmlns:a="http://schemas.openxmlformats.org/drawingml/2006/main" w="28000">
              <a:solidFill>
                <a:srgbClr val="EF4444"/>
              </a:solidFill>
              <a:prstDash val="solid"/>
            </a:ln>
          </spPr>
          <marker>
            <symbol val="none"/>
            <spPr>
              <a:ln xmlns:a="http://schemas.openxmlformats.org/drawingml/2006/main">
                <a:prstDash val="solid"/>
              </a:ln>
            </spPr>
          </marker>
          <cat>
            <numRef>
              <f>'7 - MATRICE COMPARATIVA'!$B$5:$E$5</f>
            </numRef>
          </cat>
          <val>
            <numRef>
              <f>'7 - MATRICE COMPARATIVA'!$B$9:$E$9</f>
            </numRef>
          </val>
        </ser>
        <ser>
          <idx val="4"/>
          <order val="4"/>
          <tx>
            <strRef>
              <f>'7 - MATRICE COMPARATIVA'!A10</f>
            </strRef>
          </tx>
          <spPr>
            <a:ln xmlns:a="http://schemas.openxmlformats.org/drawingml/2006/main" w="28000">
              <a:solidFill>
                <a:srgbClr val="8B5CF6"/>
              </a:solidFill>
              <a:prstDash val="solid"/>
            </a:ln>
          </spPr>
          <marker>
            <symbol val="none"/>
            <spPr>
              <a:ln xmlns:a="http://schemas.openxmlformats.org/drawingml/2006/main">
                <a:prstDash val="solid"/>
              </a:ln>
            </spPr>
          </marker>
          <cat>
            <numRef>
              <f>'7 - MATRICE COMPARATIVA'!$B$5:$E$5</f>
            </numRef>
          </cat>
          <val>
            <numRef>
              <f>'7 - MATRICE COMPARATIVA'!$B$10:$E$10</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http://schemas.openxmlformats.org/drawingml/2006/chart">
  <style val="10"/>
  <chart>
    <title>
      <tx>
        <rich>
          <a:bodyPr xmlns:a="http://schemas.openxmlformats.org/drawingml/2006/main"/>
          <a:p xmlns:a="http://schemas.openxmlformats.org/drawingml/2006/main">
            <a:pPr>
              <a:defRPr/>
            </a:pPr>
            <a:r>
              <a:t>Break-even: soglia inflazione FOI per ogni avversario (cedola fissa nominale)</a:t>
            </a:r>
          </a:p>
        </rich>
      </tx>
      <overlay val="0"/>
    </title>
    <plotArea>
      <barChart>
        <barDir val="bar"/>
        <grouping val="clustered"/>
        <ser>
          <idx val="0"/>
          <order val="0"/>
          <tx>
            <strRef>
              <f>'8 - Break-even'!D5</f>
            </strRef>
          </tx>
          <spPr>
            <a:ln xmlns:a="http://schemas.openxmlformats.org/drawingml/2006/mai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http://schemas.openxmlformats.org/drawingml/2006/chart">
  <style val="11"/>
  <chart>
    <title>
      <tx>
        <rich>
          <a:bodyPr xmlns:a="http://schemas.openxmlformats.org/drawingml/2006/main"/>
          <a:p xmlns:a="http://schemas.openxmlformats.org/drawingml/2006/main">
            <a:pPr>
              <a:defRPr/>
            </a:pPr>
            <a:r>
              <a:t>Allocazione % per profilo FIRE (5 strumenti)</a:t>
            </a:r>
          </a:p>
        </rich>
      </tx>
      <overlay val="0"/>
    </title>
    <plotArea>
      <barChart>
        <barDir val="col"/>
        <grouping val="percentStacked"/>
        <ser>
          <idx val="0"/>
          <order val="0"/>
          <tx>
            <strRef>
              <f>'9 - 4 profili FIRE'!B5</f>
            </strRef>
          </tx>
          <spPr>
            <a:solidFill xmlns:a="http://schemas.openxmlformats.org/drawingml/2006/main">
              <a:srgbClr val="10B981"/>
            </a:solidFill>
            <a:ln xmlns:a="http://schemas.openxmlformats.org/drawingml/2006/main">
              <a:prstDash val="solid"/>
            </a:ln>
          </spPr>
          <cat>
            <numRef>
              <f>'9 - 4 profili FIRE'!$A$6:$A$9</f>
            </numRef>
          </cat>
          <val>
            <numRef>
              <f>'9 - 4 profili FIRE'!$B$6:$B$9</f>
            </numRef>
          </val>
        </ser>
        <ser>
          <idx val="1"/>
          <order val="1"/>
          <tx>
            <strRef>
              <f>'9 - 4 profili FIRE'!C5</f>
            </strRef>
          </tx>
          <spPr>
            <a:solidFill xmlns:a="http://schemas.openxmlformats.org/drawingml/2006/main">
              <a:srgbClr val="1E40AF"/>
            </a:solidFill>
            <a:ln xmlns:a="http://schemas.openxmlformats.org/drawingml/2006/main">
              <a:prstDash val="solid"/>
            </a:ln>
          </spPr>
          <cat>
            <numRef>
              <f>'9 - 4 profili FIRE'!$A$6:$A$9</f>
            </numRef>
          </cat>
          <val>
            <numRef>
              <f>'9 - 4 profili FIRE'!$C$6:$C$9</f>
            </numRef>
          </val>
        </ser>
        <ser>
          <idx val="2"/>
          <order val="2"/>
          <tx>
            <strRef>
              <f>'9 - 4 profili FIRE'!D5</f>
            </strRef>
          </tx>
          <spPr>
            <a:solidFill xmlns:a="http://schemas.openxmlformats.org/drawingml/2006/main">
              <a:srgbClr val="F59E0B"/>
            </a:solidFill>
            <a:ln xmlns:a="http://schemas.openxmlformats.org/drawingml/2006/main">
              <a:prstDash val="solid"/>
            </a:ln>
          </spPr>
          <cat>
            <numRef>
              <f>'9 - 4 profili FIRE'!$A$6:$A$9</f>
            </numRef>
          </cat>
          <val>
            <numRef>
              <f>'9 - 4 profili FIRE'!$D$6:$D$9</f>
            </numRef>
          </val>
        </ser>
        <ser>
          <idx val="3"/>
          <order val="3"/>
          <tx>
            <strRef>
              <f>'9 - 4 profili FIRE'!E5</f>
            </strRef>
          </tx>
          <spPr>
            <a:solidFill xmlns:a="http://schemas.openxmlformats.org/drawingml/2006/main">
              <a:srgbClr val="EF4444"/>
            </a:solidFill>
            <a:ln xmlns:a="http://schemas.openxmlformats.org/drawingml/2006/main">
              <a:prstDash val="solid"/>
            </a:ln>
          </spPr>
          <cat>
            <numRef>
              <f>'9 - 4 profili FIRE'!$A$6:$A$9</f>
            </numRef>
          </cat>
          <val>
            <numRef>
              <f>'9 - 4 profili FIRE'!$E$6:$E$9</f>
            </numRef>
          </val>
        </ser>
        <ser>
          <idx val="4"/>
          <order val="4"/>
          <tx>
            <strRef>
              <f>'9 - 4 profili FIRE'!F5</f>
            </strRef>
          </tx>
          <spPr>
            <a:solidFill xmlns:a="http://schemas.openxmlformats.org/drawingml/2006/main">
              <a:srgbClr val="8B5CF6"/>
            </a:solidFill>
            <a:ln xmlns:a="http://schemas.openxmlformats.org/drawingml/2006/mai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http://schemas.openxmlformats.org/drawingml/2006/chart">
  <style val="10"/>
  <chart>
    <title>
      <tx>
        <rich>
          <a:bodyPr xmlns:a="http://schemas.openxmlformats.org/drawingml/2006/main"/>
          <a:p xmlns:a="http://schemas.openxmlformats.org/drawingml/2006/main">
            <a:pPr>
              <a:defRPr/>
            </a:pPr>
            <a:r>
              <a:t>Rendimento REALE netto annuo per strumento (tuoi input)</a:t>
            </a:r>
          </a:p>
        </rich>
      </tx>
      <overlay val="0"/>
    </title>
    <plotArea>
      <barChart>
        <barDir val="col"/>
        <grouping val="clustered"/>
        <ser>
          <idx val="0"/>
          <order val="0"/>
          <tx>
            <strRef>
              <f>'10 - Calcolatore personale'!B11</f>
            </strRef>
          </tx>
          <spPr>
            <a:ln xmlns:a="http://schemas.openxmlformats.org/drawingml/2006/mai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xmlns:a="http://schemas.openxmlformats.org/drawingml/2006/main" w="4500">
              <a:solidFill>
                <a:srgbClr val="D0D0D0"/>
              </a:solidFill>
              <a:prstDash val="solid"/>
            </a:ln>
          </spPr>
        </majorGridlines>
        <title>
          <tx>
            <rich>
              <a:bodyPr xmlns:a="http://schemas.openxmlformats.org/drawingml/2006/main"/>
              <a:p xmlns:a="http://schemas.openxmlformats.org/drawingml/2006/main">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drawing1.xml><?xml version="1.0" encoding="utf-8"?>
<wsDr xmlns="http://schemas.openxmlformats.org/drawingml/2006/spreadsheetDrawing">
  <oneCellAnchor>
    <from>
      <col>6</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6</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6</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3</row>
      <rowOff>0</rowOff>
    </from>
    <ext cx="792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6</col>
      <colOff>0</colOff>
      <row>3</row>
      <rowOff>0</rowOff>
    </from>
    <ext cx="9360000" cy="54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6</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7</col>
      <colOff>0</colOff>
      <row>3</row>
      <rowOff>0</rowOff>
    </from>
    <ext cx="792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4</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t="inlineStr">
        <is>
          <t>Capitale rivalutato + cedola reale 2,0%</t>
        </is>
      </c>
    </row>
    <row r="8" ht="22" customHeight="1">
      <c r="A8" s="4" t="inlineStr">
        <is>
          <t>4 - BTP Valore</t>
        </is>
      </c>
      <c r="B8" s="5" t="inlineStr">
        <is>
          <t>Step-up 2+2+2 + premio 0,8%</t>
        </is>
      </c>
    </row>
    <row r="9" ht="22" customHeight="1">
      <c r="A9" s="4" t="inlineStr">
        <is>
          <t>5 - BTP Futura</t>
        </is>
      </c>
      <c r="B9" s="5" t="inlineStr">
        <is>
          <t>Storico 4a emissione + premio PIL</t>
        </is>
      </c>
    </row>
    <row r="10" ht="22" customHeight="1">
      <c r="A10" s="4" t="inlineStr">
        <is>
          <t>6 - BTP nominali</t>
        </is>
      </c>
      <c r="B10" s="5" t="inlineStr">
        <is>
          <t>Curva 2y/5y/10y rendimenti fissi</t>
        </is>
      </c>
    </row>
    <row r="11" ht="22" customHeight="1">
      <c r="A11" s="4" t="inlineStr">
        <is>
          <t>7 - MATRICE COMPARATIVA</t>
        </is>
      </c>
      <c r="B11" s="5" t="inlineStr">
        <is>
          <t>5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6">
      <c r="A16" s="3" t="inlineStr">
        <is>
          <t>Come usare</t>
        </is>
      </c>
    </row>
    <row r="17">
      <c r="A17" s="5" t="inlineStr">
        <is>
          <t>1. Le celle GIALLE sono input — modificale coi tuoi numeri.</t>
        </is>
      </c>
    </row>
    <row r="18">
      <c r="A18" s="5" t="inlineStr">
        <is>
          <t>2. Le celle VERDI sono output — si aggiornano automaticamente.</t>
        </is>
      </c>
    </row>
    <row r="19">
      <c r="A19" s="5" t="inlineStr">
        <is>
          <t>3. Tutti i numeri di default sono al 2026 da fonti pubbliche.</t>
        </is>
      </c>
    </row>
    <row r="20">
      <c r="A20" s="5" t="inlineStr">
        <is>
          <t>4. Niente codice nascosto: l'Excel è solo formule modificabili.</t>
        </is>
      </c>
    </row>
    <row r="22">
      <c r="A22" s="3" t="inlineStr">
        <is>
          <t>Fonti dati</t>
        </is>
      </c>
    </row>
    <row r="23">
      <c r="A23" s="5" t="inlineStr">
        <is>
          <t>• MEF Dipartimento del Tesoro - Annuncio BTP Italia Si dal 15 al 19 giugno 2026</t>
        </is>
      </c>
    </row>
    <row r="24">
      <c r="A24" s="5" t="inlineStr">
        <is>
          <t>• MEF - BTP Italia maggio 2028 (IT0005***) tasso reale 2,0%; giu 2030 (IT0005497000) tasso reale 1,6%</t>
        </is>
      </c>
    </row>
    <row r="25">
      <c r="A25" s="5" t="inlineStr">
        <is>
          <t>• MEF - BTP Valore marzo 2026 step-up 2,60/2,80/3,80% + premio 0,8%, scadenza 10 ott 2032</t>
        </is>
      </c>
    </row>
    <row r="26">
      <c r="A26" s="5" t="inlineStr">
        <is>
          <t>• MEF - BTP Futura 4a emissione 2021 (nov 2021), 12 anni step-up 0,35/0,60/1,00 + premio PIL 0,4-3%</t>
        </is>
      </c>
    </row>
    <row r="27">
      <c r="A27" s="5" t="inlineStr">
        <is>
          <t>• MEF Tesoro - Calendario aste BTP nominali maggio 2026 (asta 13 e 28 maggio)</t>
        </is>
      </c>
    </row>
    <row r="28">
      <c r="A28" s="5" t="inlineStr">
        <is>
          <t>• Banca d'Italia - Risultati aste BTP nominali 2026 (rendimenti curva 2y-10y)</t>
        </is>
      </c>
    </row>
    <row r="29">
      <c r="A29" s="5" t="inlineStr">
        <is>
          <t>• ISTAT - Indice FOI per famiglie operai e impiegati (escluso tabacchi) - meccanismo BTP Italia</t>
        </is>
      </c>
    </row>
    <row r="30">
      <c r="A30" s="5" t="inlineStr">
        <is>
          <t>• Eurostat - HICP eurozona per BTPi (non incluso in matrice; alternativa istituzionale)</t>
        </is>
      </c>
    </row>
    <row r="31">
      <c r="A31" s="5" t="inlineStr">
        <is>
          <t>• Borsa Italiana MOT - mercato secondario BTP retail (liquidita' supportata da Dealer MEF)</t>
        </is>
      </c>
    </row>
    <row r="33">
      <c r="A33"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0.012</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t="inlineStr">
        <is>
          <t>Fissa: 5 anni</t>
        </is>
      </c>
    </row>
    <row r="7" ht="30" customHeight="1">
      <c r="A7" s="8" t="inlineStr">
        <is>
          <t>Premio fedelta' finale</t>
        </is>
      </c>
      <c r="B7" s="9" t="n">
        <v>0.006</v>
      </c>
      <c r="D7" s="10" t="inlineStr">
        <is>
          <t>Confermato MEF: 0,6% del capitale (solo se mantenuto a scadenza)</t>
        </is>
      </c>
    </row>
    <row r="8" ht="15" customHeight="1">
      <c r="A8" s="8" t="inlineStr">
        <is>
          <t>Tassazione titoli di stato</t>
        </is>
      </c>
      <c r="B8" s="12" t="n">
        <v>0.125</v>
      </c>
      <c r="D8" s="10" t="inlineStr">
        <is>
          <t>12,5% su cedole + premio finale</t>
        </is>
      </c>
    </row>
    <row r="10">
      <c r="A10" s="7" t="inlineStr">
        <is>
          <t>BTP Italia classico in essere (riferimenti secondario MOT)</t>
        </is>
      </c>
    </row>
    <row r="11" ht="30" customHeight="1">
      <c r="A11" s="8" t="inlineStr">
        <is>
          <t>BTP Italia mag 2028 - cedola reale annua</t>
        </is>
      </c>
      <c r="B11" s="9" t="n">
        <v>0.02</v>
      </c>
      <c r="D11" s="10" t="inlineStr">
        <is>
          <t>MEF IT0005***: tasso reale 2,0% sul prospetto (rendimento per chi compra a 100)</t>
        </is>
      </c>
    </row>
    <row r="12" ht="30" customHeight="1">
      <c r="A12" s="8" t="inlineStr">
        <is>
          <t>BTP Italia giu 2030 - cedola reale annua</t>
        </is>
      </c>
      <c r="B12" s="9" t="n">
        <v>0.016</v>
      </c>
      <c r="D12" s="10" t="inlineStr">
        <is>
          <t>MEF IT0005497000: tasso reale 1,6% sul prospetto</t>
        </is>
      </c>
    </row>
    <row r="14">
      <c r="A14" s="7" t="inlineStr">
        <is>
          <t>BTP Valore (ultima emissione marzo 2026, secondario)</t>
        </is>
      </c>
    </row>
    <row r="15" ht="15" customHeight="1">
      <c r="A15" s="8" t="inlineStr">
        <is>
          <t>Cedola step-up anni 1-2</t>
        </is>
      </c>
      <c r="B15" s="9" t="n">
        <v>0.026</v>
      </c>
      <c r="D15" s="10" t="inlineStr">
        <is>
          <t>MEF: 2,60% (cedole trimestrali)</t>
        </is>
      </c>
    </row>
    <row r="16" ht="15" customHeight="1">
      <c r="A16" s="8" t="inlineStr">
        <is>
          <t>Cedola step-up anni 3-4</t>
        </is>
      </c>
      <c r="B16" s="9" t="n">
        <v>0.028</v>
      </c>
      <c r="D16" s="10" t="inlineStr">
        <is>
          <t>MEF: 2,80%</t>
        </is>
      </c>
    </row>
    <row r="17" ht="15" customHeight="1">
      <c r="A17" s="8" t="inlineStr">
        <is>
          <t>Cedola step-up anni 5-6</t>
        </is>
      </c>
      <c r="B17" s="9" t="n">
        <v>0.038</v>
      </c>
      <c r="D17" s="10" t="inlineStr">
        <is>
          <t>MEF: 3,80% (definitivo)</t>
        </is>
      </c>
    </row>
    <row r="18" ht="15" customHeight="1">
      <c r="A18" s="8" t="inlineStr">
        <is>
          <t>Premio fedelta'</t>
        </is>
      </c>
      <c r="B18" s="9" t="n">
        <v>0.008</v>
      </c>
      <c r="D18" s="10" t="inlineStr">
        <is>
          <t>MEF: 0,8% del capitale a scadenza</t>
        </is>
      </c>
    </row>
    <row r="19" ht="15" customHeight="1">
      <c r="A19" s="8" t="inlineStr">
        <is>
          <t>Durata (anni)</t>
        </is>
      </c>
      <c r="B19" s="11" t="n">
        <v>6</v>
      </c>
      <c r="D19" s="10" t="inlineStr">
        <is>
          <t>Scadenza 10 ott 2032</t>
        </is>
      </c>
    </row>
    <row r="21">
      <c r="A21" s="7" t="inlineStr">
        <is>
          <t>BTP Futura (sospeso, riferimento storico)</t>
        </is>
      </c>
    </row>
    <row r="22" ht="15" customHeight="1">
      <c r="A22" s="8" t="inlineStr">
        <is>
          <t>Cedola step-up anni 1-4</t>
        </is>
      </c>
      <c r="B22" s="9" t="n">
        <v>0.0035</v>
      </c>
      <c r="D22" s="10" t="inlineStr">
        <is>
          <t>Storico 4a emissione nov 2021: 0,35%</t>
        </is>
      </c>
    </row>
    <row r="23" ht="15" customHeight="1">
      <c r="A23" s="8" t="inlineStr">
        <is>
          <t>Cedola step-up anni 5-8</t>
        </is>
      </c>
      <c r="B23" s="9" t="n">
        <v>0.006</v>
      </c>
      <c r="D23" s="10" t="inlineStr">
        <is>
          <t>Storico: 0,60% (anni 5-8)</t>
        </is>
      </c>
    </row>
    <row r="24" ht="15" customHeight="1">
      <c r="A24" s="8" t="inlineStr">
        <is>
          <t>Cedola step-up anni 9-12</t>
        </is>
      </c>
      <c r="B24" s="9" t="n">
        <v>0.01</v>
      </c>
      <c r="D24" s="10" t="inlineStr">
        <is>
          <t>Storico: 1,00% (anni 9-12)</t>
        </is>
      </c>
    </row>
    <row r="25" ht="15" customHeight="1">
      <c r="A25" s="8" t="inlineStr">
        <is>
          <t>Premio fedelta' min (PIL)</t>
        </is>
      </c>
      <c r="B25" s="9" t="n">
        <v>0.004</v>
      </c>
      <c r="D25" s="10" t="inlineStr">
        <is>
          <t>Floor 0,4% se PIL nominale basso</t>
        </is>
      </c>
    </row>
    <row r="26" ht="15" customHeight="1">
      <c r="A26" s="8" t="inlineStr">
        <is>
          <t>Premio fedelta' max (PIL)</t>
        </is>
      </c>
      <c r="B26" s="9" t="n">
        <v>0.03</v>
      </c>
      <c r="D26" s="10" t="inlineStr">
        <is>
          <t>Cap 3,0% se PIL nominale alto</t>
        </is>
      </c>
    </row>
    <row r="27" ht="15" customHeight="1">
      <c r="A27" s="8" t="inlineStr">
        <is>
          <t>Durata (anni)</t>
        </is>
      </c>
      <c r="B27" s="11" t="n">
        <v>12</v>
      </c>
      <c r="D27" s="10" t="inlineStr">
        <is>
          <t>Storica 4a emissione (4+4+4 step-up)</t>
        </is>
      </c>
    </row>
    <row r="29">
      <c r="A29" s="7" t="inlineStr">
        <is>
          <t>BTP nominali - curva 2026 (asta MEF)</t>
        </is>
      </c>
    </row>
    <row r="30" ht="15" customHeight="1">
      <c r="A30" s="8" t="inlineStr">
        <is>
          <t>BTP 2y - rendimento lordo (feb 2028)</t>
        </is>
      </c>
      <c r="B30" s="9" t="n">
        <v>0.022</v>
      </c>
      <c r="D30" s="10" t="inlineStr">
        <is>
          <t>MEF asta: 2,20%</t>
        </is>
      </c>
    </row>
    <row r="31" ht="15" customHeight="1">
      <c r="A31" s="8" t="inlineStr">
        <is>
          <t>BTP 3y - rendimento lordo (mar 2029)</t>
        </is>
      </c>
      <c r="B31" s="9" t="n">
        <v>0.024</v>
      </c>
      <c r="D31" s="10" t="inlineStr">
        <is>
          <t>MEF asta: 2,40%</t>
        </is>
      </c>
    </row>
    <row r="32" ht="15" customHeight="1">
      <c r="A32" s="8" t="inlineStr">
        <is>
          <t>BTP 5y - rendimento lordo (stima)</t>
        </is>
      </c>
      <c r="B32" s="9" t="n">
        <v>0.029</v>
      </c>
      <c r="D32" s="10" t="inlineStr">
        <is>
          <t>Stima interpolata 2y-7y curva 2026</t>
        </is>
      </c>
    </row>
    <row r="33" ht="15" customHeight="1">
      <c r="A33" s="8" t="inlineStr">
        <is>
          <t>BTP 7y - rendimento lordo (mar 2033)</t>
        </is>
      </c>
      <c r="B33" s="9" t="n">
        <v>0.0315</v>
      </c>
      <c r="D33" s="10" t="inlineStr">
        <is>
          <t>MEF asta: 3,15%</t>
        </is>
      </c>
    </row>
    <row r="34" ht="15" customHeight="1">
      <c r="A34" s="8" t="inlineStr">
        <is>
          <t>BTP 10y - rendimento lordo (feb 2036)</t>
        </is>
      </c>
      <c r="B34" s="9" t="n">
        <v>0.0345</v>
      </c>
      <c r="D34" s="10" t="inlineStr">
        <is>
          <t>MEF asta: 3,45%</t>
        </is>
      </c>
    </row>
    <row r="36">
      <c r="A36" s="7" t="inlineStr">
        <is>
          <t>Scenari inflazione FOI media 5 anni (per simulazioni)</t>
        </is>
      </c>
    </row>
    <row r="37" ht="15" customHeight="1">
      <c r="A37" s="8" t="inlineStr">
        <is>
          <t>Scenario 1: Disinflazione</t>
        </is>
      </c>
      <c r="B37" s="12" t="n">
        <v>0.01</v>
      </c>
      <c r="D37" s="10" t="inlineStr">
        <is>
          <t>BCE stretta riuscita - inflazione 1,0%</t>
        </is>
      </c>
    </row>
    <row r="38" ht="15" customHeight="1">
      <c r="A38" s="8" t="inlineStr">
        <is>
          <t>Scenario 2: Base BCE</t>
        </is>
      </c>
      <c r="B38" s="12" t="n">
        <v>0.02</v>
      </c>
      <c r="D38" s="10" t="inlineStr">
        <is>
          <t>Target 2,0% medio termine</t>
        </is>
      </c>
    </row>
    <row r="39" ht="15" customHeight="1">
      <c r="A39" s="8" t="inlineStr">
        <is>
          <t>Scenario 3: Persistente</t>
        </is>
      </c>
      <c r="B39" s="12" t="n">
        <v>0.03</v>
      </c>
      <c r="D39" s="10" t="inlineStr">
        <is>
          <t>Inflazione struturale 3,0%</t>
        </is>
      </c>
    </row>
    <row r="40" ht="15" customHeight="1">
      <c r="A40" s="8" t="inlineStr">
        <is>
          <t>Scenario 4: Stress geopol.</t>
        </is>
      </c>
      <c r="B40" s="12" t="n">
        <v>0.045</v>
      </c>
      <c r="D40" s="10" t="inlineStr">
        <is>
          <t>Brent 120 USD persistente - 4,5%</t>
        </is>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mag 2028</t>
        </is>
      </c>
      <c r="B46" s="14" t="n">
        <v>104</v>
      </c>
      <c r="C46" s="8" t="inlineStr">
        <is>
          <t>Anni residui</t>
        </is>
      </c>
      <c r="D46" s="15" t="n">
        <v>2</v>
      </c>
    </row>
    <row r="47" ht="30" customHeight="1">
      <c r="A47" s="10" t="inlineStr">
        <is>
          <t>Quotazione corrente sul MOT (100 = par). Aggiorna col valore reale al 12/06/2026. Default 104 = premio 4% (stima 2026 con tassi sopra cedola del prospetto).</t>
        </is>
      </c>
    </row>
    <row r="48">
      <c r="A48" s="8" t="inlineStr">
        <is>
          <t>Prezzo secondario BTP Italia giu 2030</t>
        </is>
      </c>
      <c r="B48" s="14" t="n">
        <v>102</v>
      </c>
      <c r="C48" s="8" t="inlineStr">
        <is>
          <t>Anni residui</t>
        </is>
      </c>
      <c r="D48" s="15" t="n">
        <v>4</v>
      </c>
    </row>
    <row r="49" ht="15" customHeight="1">
      <c r="A49" s="10" t="inlineStr">
        <is>
          <t>Default 102 = premio 2%. Aggiorna col valore reale al 12/06/2026.</t>
        </is>
      </c>
    </row>
    <row r="50">
      <c r="A50" s="8" t="inlineStr">
        <is>
          <t>YTM reale mag 2028 (per chi compra al MOT oggi)</t>
        </is>
      </c>
      <c r="B50" s="16">
        <f>(B11*100+(100-B46)/D46)/((100+B46)/2)</f>
        <v/>
      </c>
    </row>
    <row r="51" ht="15" customHeight="1">
      <c r="A51" s="10" t="inlineStr">
        <is>
          <t>Formula bond equiv. yield. Default classico 2,0% sul prospetto, ma a prezzo 104 con 2y residui → YTM ~0% reale.</t>
        </is>
      </c>
    </row>
    <row r="52">
      <c r="A52" s="8" t="inlineStr">
        <is>
          <t>YTM reale giu 2030 (per chi compra al MOT oggi)</t>
        </is>
      </c>
      <c r="B52" s="16">
        <f>(B12*100+(100-B48)/D48)/((100+B48)/2)</f>
        <v/>
      </c>
    </row>
    <row r="53" ht="15" customHeight="1">
      <c r="A53" s="10" t="inlineStr">
        <is>
          <t>Default classico 1,6% sul prospetto, a prezzo 102 con 4y residui → YTM ~1,1% reale.</t>
        </is>
      </c>
    </row>
    <row r="55">
      <c r="A55" s="7" t="inlineStr">
        <is>
          <t>YTM reale medio classico per il confronto matrice (media ponderata 2 ISIN)</t>
        </is>
      </c>
    </row>
    <row r="56">
      <c r="A56" s="8" t="inlineStr">
        <is>
          <t>YTM reale effettivo (media mag 2028 + giu 2030)</t>
        </is>
      </c>
      <c r="B56" s="16">
        <f>(B50+B52)/2</f>
        <v/>
      </c>
    </row>
    <row r="57" ht="15" customHeight="1">
      <c r="A57" s="10" t="inlineStr">
        <is>
          <t>Usato come riferimento nelle matrici e break-even. Se vuoi cambiare la pesatura, modifica la formula.</t>
        </is>
      </c>
    </row>
  </sheetData>
  <mergeCells count="16">
    <mergeCell ref="A1:D1"/>
    <mergeCell ref="A45:D45"/>
    <mergeCell ref="A53:D53"/>
    <mergeCell ref="A4:D4"/>
    <mergeCell ref="A21:D21"/>
    <mergeCell ref="A55:D55"/>
    <mergeCell ref="A29:D29"/>
    <mergeCell ref="A57:D57"/>
    <mergeCell ref="A51:D51"/>
    <mergeCell ref="A2:D2"/>
    <mergeCell ref="A49:D49"/>
    <mergeCell ref="A10:D10"/>
    <mergeCell ref="A42:D42"/>
    <mergeCell ref="A47:D47"/>
    <mergeCell ref="A36:D36"/>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7">
        <f>'1 - Parametri'!B6</f>
        <v/>
      </c>
    </row>
    <row r="7">
      <c r="A7" s="8" t="inlineStr">
        <is>
          <t>Premio fedelta' finale</t>
        </is>
      </c>
      <c r="B7" s="16">
        <f>'1 - Parametri'!B7</f>
        <v/>
      </c>
    </row>
    <row r="8">
      <c r="A8" s="8" t="inlineStr">
        <is>
          <t>Tassazione</t>
        </is>
      </c>
      <c r="B8" s="18">
        <f>'1 - Parametri'!B8</f>
        <v/>
      </c>
    </row>
    <row r="9">
      <c r="A9" s="8" t="inlineStr">
        <is>
          <t>Capitale investito (EUR)</t>
        </is>
      </c>
      <c r="B9" s="19">
        <f>'1 - Parametri'!B43</f>
        <v/>
      </c>
    </row>
    <row r="11">
      <c r="A11" s="7" t="inlineStr">
        <is>
          <t>Cedola annua lorda = fisso + inflazione FOI media</t>
        </is>
      </c>
    </row>
    <row r="12">
      <c r="A12" s="20" t="inlineStr">
        <is>
          <t>Scenario inflazione</t>
        </is>
      </c>
      <c r="B12" s="20" t="inlineStr">
        <is>
          <t>Infl. FOI media</t>
        </is>
      </c>
      <c r="C12" s="20" t="inlineStr">
        <is>
          <t>Cedola lorda annua</t>
        </is>
      </c>
      <c r="D12" s="20" t="inlineStr">
        <is>
          <t>Cedola netta annua</t>
        </is>
      </c>
      <c r="E12" s="20" t="inlineStr">
        <is>
          <t>Importo netto su cap.</t>
        </is>
      </c>
    </row>
    <row r="13">
      <c r="A13" s="8" t="inlineStr">
        <is>
          <t>1 - Disinflazione 1,0%</t>
        </is>
      </c>
      <c r="B13" s="18">
        <f>'1 - Parametri'!B37</f>
        <v/>
      </c>
      <c r="C13" s="16">
        <f>$B$5+B13</f>
        <v/>
      </c>
      <c r="D13" s="16">
        <f>C13*(1-$B$8)</f>
        <v/>
      </c>
      <c r="E13" s="19">
        <f>$B$9*D13</f>
        <v/>
      </c>
    </row>
    <row r="14">
      <c r="A14" s="8" t="inlineStr">
        <is>
          <t>2 - Base BCE 2,0%</t>
        </is>
      </c>
      <c r="B14" s="18">
        <f>'1 - Parametri'!B38</f>
        <v/>
      </c>
      <c r="C14" s="16">
        <f>$B$5+B14</f>
        <v/>
      </c>
      <c r="D14" s="16">
        <f>C14*(1-$B$8)</f>
        <v/>
      </c>
      <c r="E14" s="19">
        <f>$B$9*D14</f>
        <v/>
      </c>
    </row>
    <row r="15">
      <c r="A15" s="8" t="inlineStr">
        <is>
          <t>3 - Persistente 3,0%</t>
        </is>
      </c>
      <c r="B15" s="18">
        <f>'1 - Parametri'!B39</f>
        <v/>
      </c>
      <c r="C15" s="16">
        <f>$B$5+B15</f>
        <v/>
      </c>
      <c r="D15" s="16">
        <f>C15*(1-$B$8)</f>
        <v/>
      </c>
      <c r="E15" s="19">
        <f>$B$9*D15</f>
        <v/>
      </c>
    </row>
    <row r="16">
      <c r="A16" s="8" t="inlineStr">
        <is>
          <t>4 - Stress geopol. 4,5%</t>
        </is>
      </c>
      <c r="B16" s="18">
        <f>'1 - Parametri'!B40</f>
        <v/>
      </c>
      <c r="C16" s="16">
        <f>$B$5+B16</f>
        <v/>
      </c>
      <c r="D16" s="16">
        <f>C16*(1-$B$8)</f>
        <v/>
      </c>
      <c r="E16" s="19">
        <f>$B$9*D16</f>
        <v/>
      </c>
    </row>
    <row r="18">
      <c r="A18" s="7" t="inlineStr">
        <is>
          <t>Rendimento totale finale 5 anni (netto, con premio 0,6%)</t>
        </is>
      </c>
    </row>
    <row r="19">
      <c r="A19" s="20" t="inlineStr">
        <is>
          <t>Scenario</t>
        </is>
      </c>
      <c r="B19" s="20" t="inlineStr">
        <is>
          <t>Cedole nette tot 5y</t>
        </is>
      </c>
      <c r="C19" s="20" t="inlineStr">
        <is>
          <t>Premio netto fedelta'</t>
        </is>
      </c>
      <c r="D19" s="20" t="inlineStr">
        <is>
          <t>Tot. netto incassato</t>
        </is>
      </c>
      <c r="E19" s="20" t="inlineStr">
        <is>
          <t>IRR netto annuo</t>
        </is>
      </c>
    </row>
    <row r="20">
      <c r="A20" s="8" t="inlineStr">
        <is>
          <t>1 - Disinflazione 1,0%</t>
        </is>
      </c>
      <c r="B20" s="19">
        <f>E13*$B$6</f>
        <v/>
      </c>
      <c r="C20" s="19">
        <f>$B$9*$B$7*(1-$B$8)</f>
        <v/>
      </c>
      <c r="D20" s="19">
        <f>B20+C20</f>
        <v/>
      </c>
      <c r="E20" s="16">
        <f>((D20+$B$9)/$B$9)^(1/$B$6)-1</f>
        <v/>
      </c>
    </row>
    <row r="21">
      <c r="A21" s="8" t="inlineStr">
        <is>
          <t>2 - Base BCE 2,0%</t>
        </is>
      </c>
      <c r="B21" s="19">
        <f>E14*$B$6</f>
        <v/>
      </c>
      <c r="C21" s="19">
        <f>$B$9*$B$7*(1-$B$8)</f>
        <v/>
      </c>
      <c r="D21" s="19">
        <f>B21+C21</f>
        <v/>
      </c>
      <c r="E21" s="16">
        <f>((D21+$B$9)/$B$9)^(1/$B$6)-1</f>
        <v/>
      </c>
    </row>
    <row r="22">
      <c r="A22" s="8" t="inlineStr">
        <is>
          <t>3 - Persistente 3,0%</t>
        </is>
      </c>
      <c r="B22" s="19">
        <f>E15*$B$6</f>
        <v/>
      </c>
      <c r="C22" s="19">
        <f>$B$9*$B$7*(1-$B$8)</f>
        <v/>
      </c>
      <c r="D22" s="19">
        <f>B22+C22</f>
        <v/>
      </c>
      <c r="E22" s="16">
        <f>((D22+$B$9)/$B$9)^(1/$B$6)-1</f>
        <v/>
      </c>
    </row>
    <row r="23">
      <c r="A23" s="8" t="inlineStr">
        <is>
          <t>4 - Stress geopol. 4,5%</t>
        </is>
      </c>
      <c r="B23" s="19">
        <f>E16*$B$6</f>
        <v/>
      </c>
      <c r="C23" s="19">
        <f>$B$9*$B$7*(1-$B$8)</f>
        <v/>
      </c>
      <c r="D23" s="19">
        <f>B23+C23</f>
        <v/>
      </c>
      <c r="E23" s="16">
        <f>((D23+$B$9)/$B$9)^(1/$B$6)-1</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4:E4"/>
    <mergeCell ref="A26:E26"/>
    <mergeCell ref="A2:E2"/>
    <mergeCell ref="A25:E25"/>
    <mergeCell ref="A11:E11"/>
    <mergeCell ref="A1:E1"/>
    <mergeCell ref="A18:E18"/>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8">
        <f>'1 - Parametri'!B8</f>
        <v/>
      </c>
    </row>
    <row r="8">
      <c r="A8" s="8" t="inlineStr">
        <is>
          <t>Capitale investito (EUR)</t>
        </is>
      </c>
      <c r="B8" s="19">
        <f>'1 - Parametri'!B43</f>
        <v/>
      </c>
    </row>
    <row r="10">
      <c r="A10" s="7" t="inlineStr">
        <is>
          <t>Meccanismo classico: cedola reale + capitale rivalutato</t>
        </is>
      </c>
    </row>
    <row r="11">
      <c r="A11" s="20" t="inlineStr">
        <is>
          <t>Scenario inflazione</t>
        </is>
      </c>
      <c r="B11" s="20" t="inlineStr">
        <is>
          <t>FOI cumulata 5y</t>
        </is>
      </c>
      <c r="C11" s="20" t="inlineStr">
        <is>
          <t>Capitale rivalutato</t>
        </is>
      </c>
      <c r="D11" s="20" t="inlineStr">
        <is>
          <t>Cedole nette 5y (su cap. rivalut.)</t>
        </is>
      </c>
      <c r="E11" s="20" t="inlineStr">
        <is>
          <t>Tot. netto 5y (cedole + rivalut.)</t>
        </is>
      </c>
    </row>
    <row r="12">
      <c r="A12" s="8" t="inlineStr">
        <is>
          <t>1 - Disinflazione 1,0%</t>
        </is>
      </c>
      <c r="B12" s="18">
        <f>'1 - Parametri'!B37</f>
        <v/>
      </c>
      <c r="C12" s="19">
        <f>$B$8*(1+B12)^$B$6</f>
        <v/>
      </c>
      <c r="D12" s="19">
        <f>$B$5*$B$8*((1+B12)^$B$6-1)/B12*(1-$B$7)</f>
        <v/>
      </c>
      <c r="E12" s="19">
        <f>(C12-$B$8)*(1-$B$7)+D12</f>
        <v/>
      </c>
    </row>
    <row r="13">
      <c r="A13" s="8" t="inlineStr">
        <is>
          <t>2 - Base BCE 2,0%</t>
        </is>
      </c>
      <c r="B13" s="18">
        <f>'1 - Parametri'!B38</f>
        <v/>
      </c>
      <c r="C13" s="19">
        <f>$B$8*(1+B13)^$B$6</f>
        <v/>
      </c>
      <c r="D13" s="19">
        <f>$B$5*$B$8*((1+B13)^$B$6-1)/B13*(1-$B$7)</f>
        <v/>
      </c>
      <c r="E13" s="19">
        <f>(C13-$B$8)*(1-$B$7)+D13</f>
        <v/>
      </c>
    </row>
    <row r="14">
      <c r="A14" s="8" t="inlineStr">
        <is>
          <t>3 - Persistente 3,0%</t>
        </is>
      </c>
      <c r="B14" s="18">
        <f>'1 - Parametri'!B39</f>
        <v/>
      </c>
      <c r="C14" s="19">
        <f>$B$8*(1+B14)^$B$6</f>
        <v/>
      </c>
      <c r="D14" s="19">
        <f>$B$5*$B$8*((1+B14)^$B$6-1)/B14*(1-$B$7)</f>
        <v/>
      </c>
      <c r="E14" s="19">
        <f>(C14-$B$8)*(1-$B$7)+D14</f>
        <v/>
      </c>
    </row>
    <row r="15">
      <c r="A15" s="8" t="inlineStr">
        <is>
          <t>4 - Stress geopol. 4,5%</t>
        </is>
      </c>
      <c r="B15" s="18">
        <f>'1 - Parametri'!B40</f>
        <v/>
      </c>
      <c r="C15" s="19">
        <f>$B$8*(1+B15)^$B$6</f>
        <v/>
      </c>
      <c r="D15" s="19">
        <f>$B$5*$B$8*((1+B15)^$B$6-1)/B15*(1-$B$7)</f>
        <v/>
      </c>
      <c r="E15" s="19">
        <f>(C15-$B$8)*(1-$B$7)+D15</f>
        <v/>
      </c>
    </row>
    <row r="17">
      <c r="A17" s="7" t="inlineStr">
        <is>
          <t>IRR netto annuo a confronto</t>
        </is>
      </c>
    </row>
    <row r="18">
      <c r="A18" s="20" t="inlineStr">
        <is>
          <t>Scenario</t>
        </is>
      </c>
      <c r="B18" s="20" t="inlineStr">
        <is>
          <t>Tot. netto 5y</t>
        </is>
      </c>
      <c r="C18" s="20" t="inlineStr">
        <is>
          <t>IRR netto annuo</t>
        </is>
      </c>
    </row>
    <row r="19">
      <c r="A19" s="8" t="inlineStr">
        <is>
          <t>1 - Disinflazione 1,0%</t>
        </is>
      </c>
      <c r="B19" s="19">
        <f>E12</f>
        <v/>
      </c>
      <c r="C19" s="16">
        <f>((E12+$B$8)/$B$8)^(1/$B$6)-1</f>
        <v/>
      </c>
    </row>
    <row r="20">
      <c r="A20" s="8" t="inlineStr">
        <is>
          <t>2 - Base BCE 2,0%</t>
        </is>
      </c>
      <c r="B20" s="19">
        <f>E13</f>
        <v/>
      </c>
      <c r="C20" s="16">
        <f>((E13+$B$8)/$B$8)^(1/$B$6)-1</f>
        <v/>
      </c>
    </row>
    <row r="21">
      <c r="A21" s="8" t="inlineStr">
        <is>
          <t>3 - Persistente 3,0%</t>
        </is>
      </c>
      <c r="B21" s="19">
        <f>E14</f>
        <v/>
      </c>
      <c r="C21" s="16">
        <f>((E14+$B$8)/$B$8)^(1/$B$6)-1</f>
        <v/>
      </c>
    </row>
    <row r="22">
      <c r="A22" s="8" t="inlineStr">
        <is>
          <t>4 - Stress geopol. 4,5%</t>
        </is>
      </c>
      <c r="B22" s="19">
        <f>E15</f>
        <v/>
      </c>
      <c r="C22" s="16">
        <f>((E15+$B$8)/$B$8)^(1/$B$6)-1</f>
        <v/>
      </c>
    </row>
    <row r="24">
      <c r="A24" s="7" t="inlineStr">
        <is>
          <t>NOTA: vantaggio classico vs Si quando inflazione e' alta (capitale +)</t>
        </is>
      </c>
    </row>
    <row r="25" ht="30" customHeight="1">
      <c r="A25" s="10" t="inlineStr">
        <is>
          <t>Classico: l'inflazione cresce IL CAPITALE (effetto compounding). Si: l'inflazione cresce SOLO la cedola annua. Trade-off: il classico costa di piu' sul secondario (no premio se compri usato).</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7">
        <f>'1 - Parametri'!B19</f>
        <v/>
      </c>
    </row>
    <row r="10">
      <c r="A10" s="8" t="inlineStr">
        <is>
          <t>Tassazione</t>
        </is>
      </c>
      <c r="B10" s="18">
        <f>'1 - Parametri'!B8</f>
        <v/>
      </c>
    </row>
    <row r="11">
      <c r="A11" s="8" t="inlineStr">
        <is>
          <t>Capitale investito</t>
        </is>
      </c>
      <c r="B11" s="19">
        <f>'1 - Parametri'!B43</f>
        <v/>
      </c>
    </row>
    <row r="13">
      <c r="A13" s="7" t="inlineStr">
        <is>
          <t>Cedole nette per fase step-up</t>
        </is>
      </c>
    </row>
    <row r="14">
      <c r="A14" s="20" t="inlineStr">
        <is>
          <t>Fase</t>
        </is>
      </c>
      <c r="B14" s="20" t="inlineStr">
        <is>
          <t>Cedola lorda annua</t>
        </is>
      </c>
      <c r="C14" s="20" t="inlineStr">
        <is>
          <t>Cedola netta annua</t>
        </is>
      </c>
      <c r="D14" s="20" t="inlineStr">
        <is>
          <t>Importo netto x anno</t>
        </is>
      </c>
      <c r="E14" s="20" t="inlineStr">
        <is>
          <t>Importo netto x fase (2y)</t>
        </is>
      </c>
    </row>
    <row r="15">
      <c r="A15" s="8" t="inlineStr">
        <is>
          <t>Anni 1-2 (2,60%)</t>
        </is>
      </c>
      <c r="B15" s="16">
        <f>B5</f>
        <v/>
      </c>
      <c r="C15" s="16">
        <f>B5*(1-$B$10)</f>
        <v/>
      </c>
      <c r="D15" s="19">
        <f>$B$11*C15</f>
        <v/>
      </c>
      <c r="E15" s="19">
        <f>D15*2</f>
        <v/>
      </c>
    </row>
    <row r="16">
      <c r="A16" s="8" t="inlineStr">
        <is>
          <t>Anni 3-4 (2,80%)</t>
        </is>
      </c>
      <c r="B16" s="16">
        <f>B6</f>
        <v/>
      </c>
      <c r="C16" s="16">
        <f>B6*(1-$B$10)</f>
        <v/>
      </c>
      <c r="D16" s="19">
        <f>$B$11*C16</f>
        <v/>
      </c>
      <c r="E16" s="19">
        <f>D16*2</f>
        <v/>
      </c>
    </row>
    <row r="17">
      <c r="A17" s="8" t="inlineStr">
        <is>
          <t>Anni 5-6 (3,80%)</t>
        </is>
      </c>
      <c r="B17" s="16">
        <f>B7</f>
        <v/>
      </c>
      <c r="C17" s="16">
        <f>B7*(1-$B$10)</f>
        <v/>
      </c>
      <c r="D17" s="19">
        <f>$B$11*C17</f>
        <v/>
      </c>
      <c r="E17" s="19">
        <f>D17*2</f>
        <v/>
      </c>
    </row>
    <row r="19">
      <c r="A19" s="7" t="inlineStr">
        <is>
          <t>Rendimento totale netto 6 anni</t>
        </is>
      </c>
    </row>
    <row r="20">
      <c r="A20" s="8" t="inlineStr">
        <is>
          <t>Tot. cedole nette 6y</t>
        </is>
      </c>
      <c r="B20" s="19">
        <f>E15+E16+E17</f>
        <v/>
      </c>
    </row>
    <row r="21">
      <c r="A21" s="8" t="inlineStr">
        <is>
          <t>Premio fedelta' netto</t>
        </is>
      </c>
      <c r="B21" s="19">
        <f>B11*B8*(1-B10)</f>
        <v/>
      </c>
    </row>
    <row r="22">
      <c r="A22" s="8" t="inlineStr">
        <is>
          <t>Tot. netto 6y</t>
        </is>
      </c>
      <c r="B22" s="19">
        <f>B20+B21</f>
        <v/>
      </c>
    </row>
    <row r="23">
      <c r="A23" s="8" t="inlineStr">
        <is>
          <t>IRR netto annuo</t>
        </is>
      </c>
      <c r="B23" s="16">
        <f>((B22+B11)/B11)^(1/B9)-1</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sheetData>
  <mergeCells count="7">
    <mergeCell ref="A4:E4"/>
    <mergeCell ref="A26:E26"/>
    <mergeCell ref="A2:E2"/>
    <mergeCell ref="A25:E25"/>
    <mergeCell ref="A19:E19"/>
    <mergeCell ref="A1:E1"/>
    <mergeCell ref="A13:E13"/>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5-7</t>
        </is>
      </c>
      <c r="B6" s="16">
        <f>'1 - Parametri'!B23</f>
        <v/>
      </c>
    </row>
    <row r="7">
      <c r="A7" s="8" t="inlineStr">
        <is>
          <t>Cedola anni 8-12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7">
        <f>'1 - Parametri'!B27</f>
        <v/>
      </c>
    </row>
    <row r="11">
      <c r="A11" s="8" t="inlineStr">
        <is>
          <t>Tassazione</t>
        </is>
      </c>
      <c r="B11" s="18">
        <f>'1 - Parametri'!B8</f>
        <v/>
      </c>
    </row>
    <row r="12">
      <c r="A12" s="8" t="inlineStr">
        <is>
          <t>Capitale</t>
        </is>
      </c>
      <c r="B12" s="19">
        <f>'1 - Parametri'!B43</f>
        <v/>
      </c>
    </row>
    <row r="14">
      <c r="A14" s="7" t="inlineStr">
        <is>
          <t>Scenari di PIL nominale e premio fedelta'</t>
        </is>
      </c>
    </row>
    <row r="15">
      <c r="A15" s="20" t="inlineStr">
        <is>
          <t>Scenario PIL nominale medio</t>
        </is>
      </c>
      <c r="B15" s="20" t="inlineStr">
        <is>
          <t>PIL nom. medio</t>
        </is>
      </c>
      <c r="C15" s="20" t="inlineStr">
        <is>
          <t>Premio fed. atteso</t>
        </is>
      </c>
      <c r="D15" s="20" t="inlineStr">
        <is>
          <t>Cedole nette 12y</t>
        </is>
      </c>
      <c r="E15" s="20" t="inlineStr">
        <is>
          <t>Tot. netto 12y</t>
        </is>
      </c>
    </row>
    <row r="16">
      <c r="A16" s="8" t="inlineStr">
        <is>
          <t>Bassa (PIL 1,5%)</t>
        </is>
      </c>
      <c r="B16" s="12" t="n">
        <v>0.015</v>
      </c>
      <c r="C16" s="16">
        <f>MAX($B$8,MIN($B$9,0.4*B16))</f>
        <v/>
      </c>
      <c r="D16" s="19">
        <f>$B$12*(4*$B$5+4*$B$6+4*$B$7)*(1-$B$11)</f>
        <v/>
      </c>
      <c r="E16" s="19">
        <f>D16+$B$12*C16*(1-$B$11)</f>
        <v/>
      </c>
    </row>
    <row r="17">
      <c r="A17" s="8" t="inlineStr">
        <is>
          <t>Base (PIL 3,0%)</t>
        </is>
      </c>
      <c r="B17" s="12" t="n">
        <v>0.03</v>
      </c>
      <c r="C17" s="16">
        <f>MAX($B$8,MIN($B$9,0.4*B17))</f>
        <v/>
      </c>
      <c r="D17" s="19">
        <f>$B$12*(4*$B$5+4*$B$6+4*$B$7)*(1-$B$11)</f>
        <v/>
      </c>
      <c r="E17" s="19">
        <f>D17+$B$12*C17*(1-$B$11)</f>
        <v/>
      </c>
    </row>
    <row r="18">
      <c r="A18" s="8" t="inlineStr">
        <is>
          <t>Alta (PIL 4,5%)</t>
        </is>
      </c>
      <c r="B18" s="12" t="n">
        <v>0.045</v>
      </c>
      <c r="C18" s="16">
        <f>MAX($B$8,MIN($B$9,0.4*B18))</f>
        <v/>
      </c>
      <c r="D18" s="19">
        <f>$B$12*(4*$B$5+4*$B$6+4*$B$7)*(1-$B$11)</f>
        <v/>
      </c>
      <c r="E18" s="19">
        <f>D18+$B$12*C18*(1-$B$11)</f>
        <v/>
      </c>
    </row>
    <row r="20">
      <c r="A20" s="7" t="inlineStr">
        <is>
          <t>NOTA: BTP Futura NON e' piu' emesso dal 2021</t>
        </is>
      </c>
    </row>
    <row r="21" ht="45" customHeight="1">
      <c r="A21" s="10" t="inlineStr">
        <is>
          <t>Sul secondario disponibili 4 ISIN ma cedole molto basse (0,35-1,0%). Confronto utile per capire la LOGICA del premio fedelta', non per acquisto attuale. Struttura step-up 4+4+4 anni (1-4: 0,35%, 5-8: 0,60%, 9-12: 1,00%).</t>
        </is>
      </c>
    </row>
  </sheetData>
  <mergeCells count="6">
    <mergeCell ref="A21:E21"/>
    <mergeCell ref="A4:E4"/>
    <mergeCell ref="A20:E20"/>
    <mergeCell ref="A2:E2"/>
    <mergeCell ref="A1:E1"/>
    <mergeCell ref="A14:E14"/>
  </mergeCells>
  <conditionalFormatting sqref="E16:E18">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0" t="inlineStr">
        <is>
          <t>Scadenza</t>
        </is>
      </c>
      <c r="B5" s="20" t="inlineStr">
        <is>
          <t>Rendimento lordo</t>
        </is>
      </c>
      <c r="C5" s="20" t="inlineStr">
        <is>
          <t>Cedola netta annua</t>
        </is>
      </c>
      <c r="D5" s="20" t="inlineStr">
        <is>
          <t>Tot. cedole nette a scad.</t>
        </is>
      </c>
      <c r="E5" s="20" t="inlineStr">
        <is>
          <t>IRR netto annuo</t>
        </is>
      </c>
    </row>
    <row r="6">
      <c r="A6" s="8" t="inlineStr">
        <is>
          <t>Tassazione 12,5% applicata</t>
        </is>
      </c>
      <c r="B6" s="18">
        <f>'1 - Parametri'!B8</f>
        <v/>
      </c>
    </row>
    <row r="7">
      <c r="A7" s="8" t="inlineStr">
        <is>
          <t>Capitale (default Parametri)</t>
        </is>
      </c>
      <c r="B7" s="19">
        <f>'1 - Parametri'!B43</f>
        <v/>
      </c>
    </row>
    <row r="8">
      <c r="B8" s="20" t="inlineStr">
        <is>
          <t>Rendim. lordo (curva)</t>
        </is>
      </c>
    </row>
    <row r="9">
      <c r="A9" s="8" t="inlineStr">
        <is>
          <t>2 anni (feb 2028)</t>
        </is>
      </c>
      <c r="B9" s="16">
        <f>'1 - Parametri'!B30</f>
        <v/>
      </c>
      <c r="C9" s="16">
        <f>B9*(1-$B$6)</f>
        <v/>
      </c>
      <c r="D9" s="19">
        <f>$B$7*C9*2</f>
        <v/>
      </c>
      <c r="E9" s="16">
        <f>C9</f>
        <v/>
      </c>
    </row>
    <row r="10">
      <c r="A10" s="8" t="inlineStr">
        <is>
          <t>3 anni (mar 2029)</t>
        </is>
      </c>
      <c r="B10" s="16">
        <f>'1 - Parametri'!B31</f>
        <v/>
      </c>
      <c r="C10" s="16">
        <f>B10*(1-$B$6)</f>
        <v/>
      </c>
      <c r="D10" s="19">
        <f>$B$7*C10*3</f>
        <v/>
      </c>
      <c r="E10" s="16">
        <f>C10</f>
        <v/>
      </c>
    </row>
    <row r="11">
      <c r="A11" s="8" t="inlineStr">
        <is>
          <t>5 anni (stima)</t>
        </is>
      </c>
      <c r="B11" s="16">
        <f>'1 - Parametri'!B32</f>
        <v/>
      </c>
      <c r="C11" s="16">
        <f>B11*(1-$B$6)</f>
        <v/>
      </c>
      <c r="D11" s="19">
        <f>$B$7*C11*5</f>
        <v/>
      </c>
      <c r="E11" s="16">
        <f>C11</f>
        <v/>
      </c>
    </row>
    <row r="12">
      <c r="A12" s="8" t="inlineStr">
        <is>
          <t>7 anni (mar 2033)</t>
        </is>
      </c>
      <c r="B12" s="16">
        <f>'1 - Parametri'!B33</f>
        <v/>
      </c>
      <c r="C12" s="16">
        <f>B12*(1-$B$6)</f>
        <v/>
      </c>
      <c r="D12" s="19">
        <f>$B$7*C12*7</f>
        <v/>
      </c>
      <c r="E12" s="16">
        <f>C12</f>
        <v/>
      </c>
    </row>
    <row r="13">
      <c r="A13" s="8" t="inlineStr">
        <is>
          <t>10 anni (feb 2036)</t>
        </is>
      </c>
      <c r="B13" s="16">
        <f>'1 - Parametri'!B34</f>
        <v/>
      </c>
      <c r="C13" s="16">
        <f>B13*(1-$B$6)</f>
        <v/>
      </c>
      <c r="D13" s="19">
        <f>$B$7*C13*10</f>
        <v/>
      </c>
      <c r="E13" s="16">
        <f>C13</f>
        <v/>
      </c>
    </row>
    <row r="16">
      <c r="A16" s="7" t="inlineStr">
        <is>
          <t>NOTA: BTP nominali NON proteggono dall'inflazione</t>
        </is>
      </c>
    </row>
    <row r="17" ht="30" customHeight="1">
      <c r="A17" s="10" t="inlineStr">
        <is>
          <t>Rendimento certo in nominale. Se inflazione &gt; rendimento, perdi potere d'acquisto. Vantaggio: tassi attualmente alti, 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- 5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0" t="inlineStr">
        <is>
          <t>Strumento</t>
        </is>
      </c>
      <c r="B5" s="20" t="inlineStr">
        <is>
          <t>Infl. 1,0%</t>
        </is>
      </c>
      <c r="C5" s="20" t="inlineStr">
        <is>
          <t>Infl. 2,0%</t>
        </is>
      </c>
      <c r="D5" s="20" t="inlineStr">
        <is>
          <t>Infl. 3,0%</t>
        </is>
      </c>
      <c r="E5" s="20" t="inlineStr">
        <is>
          <t>Infl. 4,5%</t>
        </is>
      </c>
    </row>
    <row r="6">
      <c r="A6" s="8" t="inlineStr">
        <is>
          <t>BTP Italia Si (1,2% + FOI)</t>
        </is>
      </c>
      <c r="B6" s="16">
        <f>('1 - Parametri'!B5+('1 - Parametri'!B7)/5+'1 - Parametri'!B37)*(1-'1 - Parametri'!B8)-'1 - Parametri'!B37</f>
        <v/>
      </c>
      <c r="C6" s="16">
        <f>('1 - Parametri'!B5+('1 - Parametri'!B7)/5+'1 - Parametri'!B38)*(1-'1 - Parametri'!B8)-'1 - Parametri'!B38</f>
        <v/>
      </c>
      <c r="D6" s="16">
        <f>('1 - Parametri'!B5+('1 - Parametri'!B7)/5+'1 - Parametri'!B39)*(1-'1 - Parametri'!B8)-'1 - Parametri'!B39</f>
        <v/>
      </c>
      <c r="E6" s="16">
        <f>('1 - Parametri'!B5+('1 - Parametri'!B7)/5+'1 - Parametri'!B40)*(1-'1 - Parametri'!B8)-'1 - Parametri'!B40</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t="inlineStr">
        <is>
          <t>BTP Valore (avg 3,07% lordo)</t>
        </is>
      </c>
      <c r="B8" s="16">
        <f>(1+((2*'1 - Parametri'!B15+2*'1 - Parametri'!B16+2*'1 - Parametri'!B17)/6+('1 - Parametri'!B18)/6)*(1-'1 - Parametri'!B8))/(1+'1 - Parametri'!B37)-1</f>
        <v/>
      </c>
      <c r="C8" s="16">
        <f>(1+((2*'1 - Parametri'!B15+2*'1 - Parametri'!B16+2*'1 - Parametri'!B17)/6+('1 - Parametri'!B18)/6)*(1-'1 - Parametri'!B8))/(1+'1 - Parametri'!B38)-1</f>
        <v/>
      </c>
      <c r="D8" s="16">
        <f>(1+((2*'1 - Parametri'!B15+2*'1 - Parametri'!B16+2*'1 - Parametri'!B17)/6+('1 - Parametri'!B18)/6)*(1-'1 - Parametri'!B8))/(1+'1 - Parametri'!B39)-1</f>
        <v/>
      </c>
      <c r="E8" s="16">
        <f>(1+((2*'1 - Parametri'!B15+2*'1 - Parametri'!B16+2*'1 - Parametri'!B17)/6+('1 - Parametri'!B18)/6)*(1-'1 - Parametri'!B8))/(1+'1 - Parametri'!B40)-1</f>
        <v/>
      </c>
    </row>
    <row r="9">
      <c r="A9" s="8" t="inlineStr">
        <is>
          <t>BTP nominale 5y (2,90% lordo)</t>
        </is>
      </c>
      <c r="B9" s="16">
        <f>(1+'1 - Parametri'!B32*(1-'1 - Parametri'!B8))/(1+'1 - Parametri'!B37)-1</f>
        <v/>
      </c>
      <c r="C9" s="16">
        <f>(1+'1 - Parametri'!B32*(1-'1 - Parametri'!B8))/(1+'1 - Parametri'!B38)-1</f>
        <v/>
      </c>
      <c r="D9" s="16">
        <f>(1+'1 - Parametri'!B32*(1-'1 - Parametri'!B8))/(1+'1 - Parametri'!B39)-1</f>
        <v/>
      </c>
      <c r="E9" s="16">
        <f>(1+'1 - Parametri'!B32*(1-'1 - Parametri'!B8))/(1+'1 - Parametri'!B40)-1</f>
        <v/>
      </c>
    </row>
    <row r="10">
      <c r="A10" s="8" t="inlineStr">
        <is>
          <t>BTP nominale 10y (3,45% lordo)</t>
        </is>
      </c>
      <c r="B10" s="16">
        <f>(1+'1 - Parametri'!B34*(1-'1 - Parametri'!B8))/(1+'1 - Parametri'!B37)-1</f>
        <v/>
      </c>
      <c r="C10" s="16">
        <f>(1+'1 - Parametri'!B34*(1-'1 - Parametri'!B8))/(1+'1 - Parametri'!B38)-1</f>
        <v/>
      </c>
      <c r="D10" s="16">
        <f>(1+'1 - Parametri'!B34*(1-'1 - Parametri'!B8))/(1+'1 - Parametri'!B39)-1</f>
        <v/>
      </c>
      <c r="E10" s="16">
        <f>(1+'1 - Parametri'!B34*(1-'1 - Parametri'!B8))/(1+'1 - Parametri'!B40)-1</f>
        <v/>
      </c>
    </row>
    <row r="12">
      <c r="A12" s="7" t="inlineStr">
        <is>
          <t>Heatmap: VERDE = miglior rendimento REALE per scenario / ROSSO = peggior</t>
        </is>
      </c>
    </row>
    <row r="13" ht="45" customHeight="1">
      <c r="A13" s="10" t="inlineStr">
        <is>
          <t>BTP Italia Si vince in scenari di inflazione media-alta perche' il tasso fisso e' REALE. BTP Italia classico in inflazione alta ha vantaggio capitale rivalutato. Nominali: vincono solo in disinflazione.</t>
        </is>
      </c>
    </row>
  </sheetData>
  <mergeCells count="5">
    <mergeCell ref="A12:E12"/>
    <mergeCell ref="A4:E4"/>
    <mergeCell ref="A2:E2"/>
    <mergeCell ref="A1:E1"/>
    <mergeCell ref="A13:E13"/>
  </mergeCells>
  <conditionalFormatting sqref="B6:B10">
    <cfRule type="colorScale" priority="1">
      <colorScale>
        <cfvo type="min"/>
        <cfvo type="percentile" val="50"/>
        <cfvo type="max"/>
        <color rgb="00F87171"/>
        <color rgb="00FEF3C7"/>
        <color rgb="0086EFAC"/>
      </colorScale>
    </cfRule>
  </conditionalFormatting>
  <conditionalFormatting sqref="C6:C10">
    <cfRule type="colorScale" priority="1">
      <colorScale>
        <cfvo type="min"/>
        <cfvo type="percentile" val="50"/>
        <cfvo type="max"/>
        <color rgb="00F87171"/>
        <color rgb="00FEF3C7"/>
        <color rgb="0086EFAC"/>
      </colorScale>
    </cfRule>
  </conditionalFormatting>
  <conditionalFormatting sqref="D6:D10">
    <cfRule type="colorScale" priority="1">
      <colorScale>
        <cfvo type="min"/>
        <cfvo type="percentile" val="50"/>
        <cfvo type="max"/>
        <color rgb="00F87171"/>
        <color rgb="00FEF3C7"/>
        <color rgb="0086EFAC"/>
      </colorScale>
    </cfRule>
  </conditionalFormatting>
  <conditionalFormatting sqref="E6:E10">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0" t="inlineStr">
        <is>
          <t>Avversario</t>
        </is>
      </c>
      <c r="B5" s="20" t="inlineStr">
        <is>
          <t>Rendimento lordo</t>
        </is>
      </c>
      <c r="C5" s="20" t="inlineStr">
        <is>
          <t>Rend. netto (1-12,5%)</t>
        </is>
      </c>
      <c r="D5" s="20" t="inlineStr">
        <is>
          <t>Soglia infl. break-even (lorda)</t>
        </is>
      </c>
      <c r="E5" s="20" t="inlineStr">
        <is>
          <t>Verdetto</t>
        </is>
      </c>
    </row>
    <row r="6">
      <c r="A6" s="8" t="inlineStr">
        <is>
          <t>BTP nominale 2y</t>
        </is>
      </c>
      <c r="B6" s="16">
        <f>'1 - Parametri'!B30</f>
        <v/>
      </c>
      <c r="C6" s="16">
        <f>B6*(1-'1 - Parametri'!B8)</f>
        <v/>
      </c>
      <c r="D6" s="16">
        <f>B6-('1 - Parametri'!B5+('1 - Parametri'!B7)/5)</f>
        <v/>
      </c>
      <c r="E6" s="21">
        <f>IF(D6&lt;=0,"Si vince SEMPRE",IF(D6&gt;=0.045,"Si perde quasi sempre","Si vince se FOI &gt; "&amp;ROUND(D6*100,1)&amp;"%"))</f>
        <v/>
      </c>
    </row>
    <row r="7">
      <c r="A7" s="8" t="inlineStr">
        <is>
          <t>BTP nominale 3y</t>
        </is>
      </c>
      <c r="B7" s="16">
        <f>'1 - Parametri'!B31</f>
        <v/>
      </c>
      <c r="C7" s="16">
        <f>B7*(1-'1 - Parametri'!B8)</f>
        <v/>
      </c>
      <c r="D7" s="16">
        <f>B7-('1 - Parametri'!B5+('1 - Parametri'!B7)/5)</f>
        <v/>
      </c>
      <c r="E7" s="21">
        <f>IF(D7&lt;=0,"Si vince SEMPRE",IF(D7&gt;=0.045,"Si perde quasi sempre","Si vince se FOI &gt; "&amp;ROUND(D7*100,1)&amp;"%"))</f>
        <v/>
      </c>
    </row>
    <row r="8">
      <c r="A8" s="8" t="inlineStr">
        <is>
          <t>BTP nominale 5y</t>
        </is>
      </c>
      <c r="B8" s="16">
        <f>'1 - Parametri'!B32</f>
        <v/>
      </c>
      <c r="C8" s="16">
        <f>B8*(1-'1 - Parametri'!B8)</f>
        <v/>
      </c>
      <c r="D8" s="16">
        <f>B8-('1 - Parametri'!B5+('1 - Parametri'!B7)/5)</f>
        <v/>
      </c>
      <c r="E8" s="21">
        <f>IF(D8&lt;=0,"Si vince SEMPRE",IF(D8&gt;=0.045,"Si perde quasi sempre","Si vince se FOI &gt; "&amp;ROUND(D8*100,1)&amp;"%"))</f>
        <v/>
      </c>
    </row>
    <row r="9">
      <c r="A9" s="8" t="inlineStr">
        <is>
          <t>BTP nominale 7y</t>
        </is>
      </c>
      <c r="B9" s="16">
        <f>'1 - Parametri'!B33</f>
        <v/>
      </c>
      <c r="C9" s="16">
        <f>B9*(1-'1 - Parametri'!B8)</f>
        <v/>
      </c>
      <c r="D9" s="16">
        <f>B9-('1 - Parametri'!B5+('1 - Parametri'!B7)/5)</f>
        <v/>
      </c>
      <c r="E9" s="21">
        <f>IF(D9&lt;=0,"Si vince SEMPRE",IF(D9&gt;=0.045,"Si perde quasi sempre","Si vince se FOI &gt; "&amp;ROUND(D9*100,1)&amp;"%"))</f>
        <v/>
      </c>
    </row>
    <row r="10">
      <c r="A10" s="8" t="inlineStr">
        <is>
          <t>BTP nominale 10y</t>
        </is>
      </c>
      <c r="B10" s="16">
        <f>'1 - Parametri'!B34</f>
        <v/>
      </c>
      <c r="C10" s="16">
        <f>B10*(1-'1 - Parametri'!B8)</f>
        <v/>
      </c>
      <c r="D10" s="16">
        <f>B10-('1 - Parametri'!B5+('1 - Parametri'!B7)/5)</f>
        <v/>
      </c>
      <c r="E10" s="21">
        <f>IF(D10&lt;=0,"Si vince SEMPRE",IF(D10&gt;=0.045,"Si perde quasi sempre","Si vince se FOI &gt; "&amp;ROUND(D10*100,1)&amp;"%"))</f>
        <v/>
      </c>
    </row>
    <row r="11">
      <c r="A11" s="8" t="inlineStr">
        <is>
          <t>BTP Valore (avg+premio)</t>
        </is>
      </c>
      <c r="B11" s="16">
        <f>(2*'1 - Parametri'!B15+2*'1 - Parametri'!B16+2*'1 - Parametri'!B17)/6+('1 - Parametri'!B18)/6</f>
        <v/>
      </c>
      <c r="C11" s="16">
        <f>B11*(1-'1 - Parametri'!B8)</f>
        <v/>
      </c>
      <c r="D11" s="16">
        <f>B11-('1 - Parametri'!B5+('1 - Parametri'!B7)/5)</f>
        <v/>
      </c>
      <c r="E11" s="21">
        <f>IF(D11&lt;=0,"Si vince SEMPRE",IF(D11&gt;=0.045,"Si perde quasi sempre","Si vince se FOI &gt; "&amp;ROUND(D11*100,1)&amp;"%"))</f>
        <v/>
      </c>
    </row>
    <row r="12">
      <c r="A12" s="8" t="inlineStr">
        <is>
          <t>BTP Futura (avg cedole+premio PIL 3%)</t>
        </is>
      </c>
      <c r="B12" s="16">
        <f>(4*'1 - Parametri'!B22+4*'1 - Parametri'!B23+4*'1 - Parametri'!B24)/12+MAX('1 - Parametri'!B25,MIN('1 - Parametri'!B26,0.4*0.03))/12</f>
        <v/>
      </c>
      <c r="C12" s="16">
        <f>B12*(1-'1 - Parametri'!B8)</f>
        <v/>
      </c>
      <c r="D12" s="16">
        <f>B12-('1 - Parametri'!B5+('1 - Parametri'!B7)/5)</f>
        <v/>
      </c>
      <c r="E12" s="21">
        <f>IF(D12&lt;=0,"Si vince SEMPRE",IF(D12&gt;=0.045,"Si perde quasi sempre","Si vince se FOI &gt; "&amp;ROUND(D12*100,1)&amp;"%"))</f>
        <v/>
      </c>
    </row>
    <row r="14">
      <c r="A14" s="7" t="inlineStr">
        <is>
          <t>BTP Italia classico: confronto diverso (capitale rivalutato, no break-even classico)</t>
        </is>
      </c>
    </row>
    <row r="15">
      <c r="A15" s="20" t="inlineStr">
        <is>
          <t>Avversario</t>
        </is>
      </c>
      <c r="B15" s="20" t="inlineStr">
        <is>
          <t>Cedola reale</t>
        </is>
      </c>
      <c r="C15" s="20" t="inlineStr">
        <is>
          <t>Cedola reale Sì</t>
        </is>
      </c>
      <c r="D15" s="20" t="inlineStr">
        <is>
          <t>Gap reale (vs Sì)</t>
        </is>
      </c>
      <c r="E15" s="20" t="inlineStr">
        <is>
          <t>Verdetto</t>
        </is>
      </c>
    </row>
    <row r="16">
      <c r="A16" s="8" t="inlineStr">
        <is>
          <t>BTP Italia classico mag 2028 (YTM REALE da prezzo MOT)</t>
        </is>
      </c>
      <c r="B16" s="16">
        <f>'1 - Parametri'!B50</f>
        <v/>
      </c>
      <c r="C16" s="16">
        <f>'1 - Parametri'!B5</f>
        <v/>
      </c>
      <c r="D16" s="16">
        <f>B16-C16</f>
        <v/>
      </c>
      <c r="E16" s="21">
        <f>IF(D16&lt;=0,"Sì vince a parità infl.","Sì NON raggiunge (gap reale "&amp;ROUND(D16*100,1)&amp;"pp)")</f>
        <v/>
      </c>
    </row>
    <row r="17">
      <c r="A17" s="8" t="inlineStr">
        <is>
          <t>BTP Italia classico giu 2030 (YTM REALE da prezzo MOT)</t>
        </is>
      </c>
      <c r="B17" s="16">
        <f>'1 - Parametri'!B52</f>
        <v/>
      </c>
      <c r="C17" s="16">
        <f>'1 - Parametri'!B5</f>
        <v/>
      </c>
      <c r="D17" s="16">
        <f>B17-C17</f>
        <v/>
      </c>
      <c r="E17" s="21">
        <f>IF(D17&lt;=0,"Sì vince a parità infl.","Sì NON raggiunge (gap reale "&amp;ROUND(D17*100,1)&amp;"pp)")</f>
        <v/>
      </c>
    </row>
    <row r="19" ht="60" customHeight="1">
      <c r="A19" s="10" t="inlineStr">
        <is>
          <t>ATTENZIONE: usato YTM REALE EFFETTIVO calcolato dal prezzo MOT (non cedola del prospetto). Se sul secondario il classico quota SOPRA par (es. 104), il YTM reale si abbassa molto, specie per scadenze brevi. Esempio default: mag 2028 a 104, YTM reale ~0% (premio erode tutto). Vai al foglio Parametri righe 46-56 per modificare i prezzi MOT e vedere come cambia.</t>
        </is>
      </c>
    </row>
    <row r="21" ht="45" customHeight="1">
      <c r="A21" s="10" t="inlineStr">
        <is>
          <t>BTP Futura: cedole FISSE step-up molto basse (0,35%/0,60%/1,00%) + premio PIL nominale (0,4-3% diluito su 12y). Rendimento totale annuo molto inferiore al Sì → Sì vince SEMPRE indipendentemente dall'inflazione. Sospeso dal 2021, solo secondario.</t>
        </is>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7">
    <cfRule type="colorScale" priority="2">
      <colorScale>
        <cfvo type="min"/>
        <cfvo type="percentile" val="50"/>
        <cfvo type="max"/>
        <color rgb="0086EFAC"/>
        <color rgb="00FEF3C7"/>
        <color rgb="00F87171"/>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0" t="inlineStr">
        <is>
          <t>Profilo</t>
        </is>
      </c>
      <c r="B5" s="20" t="inlineStr">
        <is>
          <t>BTP Italia Si</t>
        </is>
      </c>
      <c r="C5" s="20" t="inlineStr">
        <is>
          <t>BTP Italia clas.</t>
        </is>
      </c>
      <c r="D5" s="20" t="inlineStr">
        <is>
          <t>BTP Valore</t>
        </is>
      </c>
      <c r="E5" s="20" t="inlineStr">
        <is>
          <t>BTP nominale 5y</t>
        </is>
      </c>
      <c r="F5" s="20" t="inlineStr">
        <is>
          <t>BTP nominale 10y</t>
        </is>
      </c>
    </row>
    <row r="6">
      <c r="A6" s="8" t="inlineStr">
        <is>
          <t>Giovane 25-34</t>
        </is>
      </c>
      <c r="B6" s="22" t="n">
        <v>0.2</v>
      </c>
      <c r="C6" s="22" t="n">
        <v>0.1</v>
      </c>
      <c r="D6" s="22" t="n">
        <v>0.2</v>
      </c>
      <c r="E6" s="22" t="n">
        <v>0.3</v>
      </c>
      <c r="F6" s="22" t="n">
        <v>0.2</v>
      </c>
    </row>
    <row r="7">
      <c r="A7" s="8" t="inlineStr">
        <is>
          <t>Mezza età 35-49</t>
        </is>
      </c>
      <c r="B7" s="22" t="n">
        <v>0.25</v>
      </c>
      <c r="C7" s="22" t="n">
        <v>0.15</v>
      </c>
      <c r="D7" s="22" t="n">
        <v>0.2</v>
      </c>
      <c r="E7" s="22" t="n">
        <v>0.25</v>
      </c>
      <c r="F7" s="22" t="n">
        <v>0.15</v>
      </c>
    </row>
    <row r="8">
      <c r="A8" s="8" t="inlineStr">
        <is>
          <t>Over 50 pre-FIRE</t>
        </is>
      </c>
      <c r="B8" s="22" t="n">
        <v>0.3</v>
      </c>
      <c r="C8" s="22" t="n">
        <v>0.3</v>
      </c>
      <c r="D8" s="22" t="n">
        <v>0.2</v>
      </c>
      <c r="E8" s="22" t="n">
        <v>0.15</v>
      </c>
      <c r="F8" s="22" t="n">
        <v>0.05</v>
      </c>
    </row>
    <row r="9">
      <c r="A9" s="8" t="inlineStr">
        <is>
          <t>FIRE in decumulo</t>
        </is>
      </c>
      <c r="B9" s="22" t="n">
        <v>0.25</v>
      </c>
      <c r="C9" s="22" t="n">
        <v>0.35</v>
      </c>
      <c r="D9" s="22" t="n">
        <v>0.15</v>
      </c>
      <c r="E9" s="22" t="n">
        <v>0.15</v>
      </c>
      <c r="F9" s="22"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3" t="n">
        <v>0.33</v>
      </c>
    </row>
    <row r="10">
      <c r="A10" s="7" t="inlineStr">
        <is>
          <t>Rendimento REALE netto atteso per strumento</t>
        </is>
      </c>
    </row>
    <row r="11">
      <c r="A11" s="20" t="inlineStr">
        <is>
          <t>Strumento</t>
        </is>
      </c>
      <c r="B11" s="20" t="inlineStr">
        <is>
          <t>Rend. reale annuo</t>
        </is>
      </c>
      <c r="C11" s="20" t="inlineStr">
        <is>
          <t>Idoneo al tuo orizzonte</t>
        </is>
      </c>
    </row>
    <row r="12">
      <c r="A12" s="8" t="inlineStr">
        <is>
          <t>BTP Italia Si</t>
        </is>
      </c>
      <c r="B12" s="16">
        <f>('1 - Parametri'!B5+'1 - Parametri'!B7/5)*(1-'1 - Parametri'!B8)</f>
        <v/>
      </c>
      <c r="C12" s="21">
        <f>IF(B6&gt;=5,"SI","NO - troppo lungo")</f>
        <v/>
      </c>
    </row>
    <row r="13">
      <c r="A13" s="8" t="inlineStr">
        <is>
          <t>BTP Italia clas.</t>
        </is>
      </c>
      <c r="B13" s="16">
        <f>'1 - Parametri'!B12*(1-'1 - Parametri'!B8)</f>
        <v/>
      </c>
      <c r="C13" s="21">
        <f>IF(B6&gt;=5,"SI","NO - troppo lungo")</f>
        <v/>
      </c>
    </row>
    <row r="14">
      <c r="A14" s="8" t="inlineStr">
        <is>
          <t>BTP Valore</t>
        </is>
      </c>
      <c r="B14" s="16">
        <f>(1+((2*'1 - Parametri'!B15+2*'1 - Parametri'!B16+2*'1 - Parametri'!B17)/6+'1 - Parametri'!B18/6)*(1-'1 - Parametri'!B8))/(1+B7)-1</f>
        <v/>
      </c>
      <c r="C14" s="21">
        <f>IF(B6&gt;=6,"SI","NO - troppo lungo")</f>
        <v/>
      </c>
    </row>
    <row r="15">
      <c r="A15" s="8" t="inlineStr">
        <is>
          <t>BTP nominale 5y</t>
        </is>
      </c>
      <c r="B15" s="16">
        <f>(1+'1 - Parametri'!B32*(1-'1 - Parametri'!B8))/(1+B7)-1</f>
        <v/>
      </c>
      <c r="C15" s="21">
        <f>IF(B6&gt;=5,"SI","NO - troppo lungo")</f>
        <v/>
      </c>
    </row>
    <row r="16">
      <c r="A16" s="8" t="inlineStr">
        <is>
          <t>BTP nominale 10y</t>
        </is>
      </c>
      <c r="B16" s="16">
        <f>(1+'1 - Parametri'!B34*(1-'1 - Parametri'!B8))/(1+B7)-1</f>
        <v/>
      </c>
      <c r="C16" s="21">
        <f>IF(B6&gt;=10,"SI","NO - troppo lungo")</f>
        <v/>
      </c>
    </row>
    <row r="18">
      <c r="A18" s="7" t="inlineStr">
        <is>
          <t>Raccomandazione automatica (strumento con rendimento reale max)</t>
        </is>
      </c>
    </row>
    <row r="19">
      <c r="A19" s="8" t="inlineStr">
        <is>
          <t>Miglior strumento</t>
        </is>
      </c>
      <c r="B19" s="21">
        <f>INDEX(A12:A16,MATCH(MAX(B12:B16),B12:B16,0))</f>
        <v/>
      </c>
    </row>
    <row r="20">
      <c r="A20" s="8" t="inlineStr">
        <is>
          <t>Rendimento reale atteso annuo</t>
        </is>
      </c>
      <c r="B20" s="16">
        <f>MAX(B12:B16)</f>
        <v/>
      </c>
    </row>
    <row r="21">
      <c r="A21" s="8" t="inlineStr">
        <is>
          <t>Valore finale (con cap. + reale)</t>
        </is>
      </c>
      <c r="B21" s="19">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2026-06-10T09:14:58Z</dcterms:created>
  <dcterms:modified xmlns:dcterms="http://purl.org/dc/terms/" xmlns:xsi="http://www.w3.org/2001/XMLSchema-instance" xsi:type="dcterms:W3CDTF">2026-06-10T09:14:58Z</dcterms:modified>
</cp:coreProperties>
</file>