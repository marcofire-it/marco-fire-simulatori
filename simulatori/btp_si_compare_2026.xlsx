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 name="12 - Switch" sheetId="13" state="visible" r:id="rId13"/>
  </sheets>
  <definedNames/>
  <calcPr calcId="124519" fullCalcOnLoad="1"/>
</workbook>
</file>

<file path=xl/styles.xml><?xml version="1.0" encoding="utf-8"?>
<styleSheet xmlns="http://schemas.openxmlformats.org/spreadsheetml/2006/main">
  <numFmts count="7">
    <numFmt numFmtId="164" formatCode="0.0%"/>
    <numFmt numFmtId="165" formatCode="0.0"/>
    <numFmt numFmtId="166" formatCode="0.0000%"/>
    <numFmt numFmtId="167" formatCode="0.000%"/>
    <numFmt numFmtId="168" formatCode="mmm aaaa"/>
    <numFmt numFmtId="169" formatCode="+0.00%;-0.00%;0.00%"/>
    <numFmt numFmtId="170" formatCode="#,##0&quot; EUR&quot;"/>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66"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7"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168" fontId="5" fillId="0" borderId="1" applyAlignment="1" pivotButton="0" quotePrefix="0" xfId="0">
      <alignment horizontal="right" vertical="center"/>
    </xf>
    <xf numFmtId="4" fontId="5" fillId="6" borderId="1" applyAlignment="1" pivotButton="0" quotePrefix="0" xfId="0">
      <alignment horizontal="right" vertical="center"/>
    </xf>
    <xf numFmtId="168" fontId="5" fillId="0" borderId="1" applyAlignment="1" pivotButton="0" quotePrefix="0" xfId="0">
      <alignment horizontal="right" vertical="center"/>
    </xf>
    <xf numFmtId="169" fontId="5" fillId="6" borderId="1" applyAlignment="1" pivotButton="0" quotePrefix="0" xfId="0">
      <alignment horizontal="right" vertical="center"/>
    </xf>
    <xf numFmtId="170" fontId="5" fillId="6"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varyColors val="0"/>
        <ser>
          <idx val="0"/>
          <order val="0"/>
          <tx>
            <strRef>
              <f>'11 - Flusso cedolare'!E12</f>
            </strRef>
          </tx>
          <spPr>
            <a:ln>
              <a:prstDash val="solid"/>
            </a:ln>
          </spPr>
          <cat>
            <numRef>
              <f>'11 - Flusso cedolare'!$A$13:$A$23</f>
            </numRef>
          </cat>
          <val>
            <numRef>
              <f>'11 - Flusso cedolare'!$E$13:$E$23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Break-even: quando conviene lo switch</a:t>
            </a:r>
          </a:p>
        </rich>
      </tx>
      <overlay val="0"/>
    </title>
    <plotArea>
      <scatterChart>
        <scatterStyle val="lineMarker"/>
        <ser>
          <idx val="0"/>
          <order val="0"/>
          <tx>
            <v>Vecchio (rend. reale)</v>
          </tx>
          <spPr>
            <a:ln w="19050">
              <a:solidFill>
                <a:srgbClr val="E0A458"/>
              </a:solidFill>
              <a:prstDash val="solid"/>
            </a:ln>
          </spPr>
          <marker>
            <symbol val="none"/>
            <spPr>
              <a:ln>
                <a:prstDash val="solid"/>
              </a:ln>
            </spPr>
          </marker>
          <xVal>
            <numRef>
              <f>'12 - Switch'!$A$34:$A$41</f>
            </numRef>
          </xVal>
          <yVal>
            <numRef>
              <f>'12 - Switch'!$B$34:$B$41</f>
            </numRef>
          </yVal>
          <smooth val="0"/>
        </ser>
        <ser>
          <idx val="1"/>
          <order val="1"/>
          <tx>
            <v>Nuovo Si (rend. reale)</v>
          </tx>
          <spPr>
            <a:ln w="19050">
              <a:solidFill>
                <a:srgbClr val="10B981"/>
              </a:solidFill>
              <a:prstDash val="solid"/>
            </a:ln>
          </spPr>
          <marker>
            <symbol val="none"/>
            <spPr>
              <a:ln>
                <a:prstDash val="solid"/>
              </a:ln>
            </spPr>
          </marker>
          <xVal>
            <numRef>
              <f>'12 - Switch'!$A$34:$A$41</f>
            </numRef>
          </xVal>
          <yVal>
            <numRef>
              <f>'12 - Switch'!$C$34:$C$41</f>
            </numRef>
          </yVal>
          <smooth val="0"/>
        </ser>
        <ser>
          <idx val="2"/>
          <order val="2"/>
          <tx>
            <v>Prezzo di indifferenza</v>
          </tx>
          <spPr>
            <a:ln>
              <a:noFill/>
              <a:prstDash val="solid"/>
            </a:ln>
          </spPr>
          <marker>
            <symbol val="diamond"/>
            <size val="12"/>
            <spPr>
              <a:solidFill>
                <a:srgbClr val="EF4444"/>
              </a:solidFill>
              <a:ln>
                <a:prstDash val="solid"/>
              </a:ln>
            </spPr>
          </marker>
          <dLbls>
            <dLbl>
              <idx val="0"/>
              <tx>
                <rich>
                  <a:bodyPr/>
                  <a:lstStyle/>
                  <a:p>
                    <a:r>
                      <a:rPr lang="it-IT" b="1" sz="1150">
                        <a:solidFill>
                          <a:srgbClr val="C00000"/>
                        </a:solidFill>
                      </a:rPr>
                      <a:t>≈ 100,7</a:t>
                    </a:r>
                  </a:p>
                </rich>
              </tx>
              <dLblPos val="t"/>
              <showLegendKey val="0"/>
              <showVal val="0"/>
              <showCatName val="0"/>
              <showSerName val="0"/>
              <showPercent val="0"/>
              <showBubbleSize val="0"/>
            </dLbl>
            <showLegendKey val="0"/>
            <showVal val="0"/>
            <showCatName val="0"/>
            <showSerName val="0"/>
            <showPercent val="0"/>
            <showBubbleSize val="0"/>
          </dLbls>
          <xVal>
            <numRef>
              <f>'12 - Switch'!$B$24</f>
            </numRef>
          </xVal>
          <yVal>
            <numRef>
              <f>'12 - Switch'!$B$14</f>
            </numRef>
          </yVal>
        </ser>
        <axId val="10"/>
        <axId val="20"/>
      </scatterChart>
      <valAx>
        <axId val="10"/>
        <scaling>
          <orientation val="minMax"/>
        </scaling>
        <delete val="0"/>
        <axPos val="l"/>
        <title>
          <tx>
            <rich>
              <a:bodyPr/>
              <a:p>
                <a:pPr>
                  <a:defRPr/>
                </a:pPr>
                <a:r>
                  <a:t>Prezzo del vecchio (su 100)</a:t>
                </a:r>
              </a:p>
            </rich>
          </tx>
          <layout>
            <manualLayout>
              <xMode val="edge"/>
              <yMode val="edge"/>
              <wMode val="factor"/>
              <hMode val="factor"/>
              <x val="0.4"/>
              <y val="0.93"/>
            </manualLayout>
          </layout>
          <overlay val="0"/>
        </title>
        <majorTickMark val="none"/>
        <minorTickMark val="none"/>
        <tickLblPos val="low"/>
        <crossAx val="20"/>
      </valAx>
      <valAx>
        <axId val="20"/>
        <scaling>
          <orientation val="minMax"/>
        </scaling>
        <delete val="0"/>
        <axPos val="l"/>
        <majorGridlines>
          <spPr>
            <a:ln w="3000">
              <a:solidFill>
                <a:srgbClr val="ECECEC"/>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75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drawing" Target="/xl/drawings/drawing11.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0"/>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0.016</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0.028</v>
      </c>
      <c r="D30" s="10">
        <f>"MEF asta: "&amp;SUBSTITUTE(ROUND(B30*100,2)&amp;"",".",",")&amp;"%"</f>
        <v/>
      </c>
    </row>
    <row r="31" ht="30" customHeight="1">
      <c r="A31" s="8" t="inlineStr">
        <is>
          <t>BTP 3y - rendimento lordo (mar 2029)</t>
        </is>
      </c>
      <c r="B31" s="9" t="n">
        <v>0.029</v>
      </c>
      <c r="D31" s="10">
        <f>"MEF asta: "&amp;SUBSTITUTE(ROUND(B31*100,2)&amp;"",".",",")&amp;"%"</f>
        <v/>
      </c>
    </row>
    <row r="32" ht="15" customHeight="1">
      <c r="A32" s="8" t="inlineStr">
        <is>
          <t>BTP 5y - rendimento lordo (stima)</t>
        </is>
      </c>
      <c r="B32" s="9" t="n">
        <v>0.0313</v>
      </c>
      <c r="D32" s="10" t="inlineStr">
        <is>
          <t>Stima interpolata 2y-7y curva 2026</t>
        </is>
      </c>
    </row>
    <row r="33" ht="30" customHeight="1">
      <c r="A33" s="8" t="inlineStr">
        <is>
          <t>BTP 7y - rendimento lordo (mar 2033)</t>
        </is>
      </c>
      <c r="B33" s="9" t="n">
        <v>0.0344</v>
      </c>
      <c r="D33" s="10">
        <f>"MEF asta: "&amp;SUBSTITUTE(ROUND(B33*100,2)&amp;"",".",",")&amp;"%"</f>
        <v/>
      </c>
    </row>
    <row r="34" ht="30" customHeight="1">
      <c r="A34" s="8" t="inlineStr">
        <is>
          <t>BTP 10y - rendimento lordo (feb 2036)</t>
        </is>
      </c>
      <c r="B34" s="9" t="n">
        <v>0.0374</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101.32</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100.94</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(B11*100+(100-B46)/D46)/((100+B46)/2)+B76</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(B12*100+(100-B48)/D48)/((100+B48)/2)+B77</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99.03</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86.59999999999999</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row r="75">
      <c r="A75" s="7" t="inlineStr">
        <is>
          <t>Calibrazione IRR esatto (auto: compute_ytm_exact.py + sync, NON modificare a mano)</t>
        </is>
      </c>
    </row>
    <row r="76">
      <c r="A76" s="8" t="inlineStr">
        <is>
          <t>Offset IRR mar 2028 (esatto - BEY)</t>
        </is>
      </c>
      <c r="B76" s="18" t="n">
        <v>-0.000259</v>
      </c>
    </row>
    <row r="77">
      <c r="A77" s="8" t="inlineStr">
        <is>
          <t>Offset IRR giu 2030 (esatto - BEY)</t>
        </is>
      </c>
      <c r="B77" s="18" t="n">
        <v>6.8e-05</v>
      </c>
    </row>
    <row r="78">
      <c r="A78" s="8" t="inlineStr">
        <is>
          <t>Offset IRR BTP Valore (esatto - BEY)</t>
        </is>
      </c>
      <c r="B78" s="18" t="n">
        <v>0.000478</v>
      </c>
    </row>
    <row r="79">
      <c r="A79" s="8" t="inlineStr">
        <is>
          <t>Offset IRR BTP Futura (esatto - BEY)</t>
        </is>
      </c>
      <c r="B79" s="18" t="n">
        <v>0.00039</v>
      </c>
    </row>
    <row r="80" ht="30" customHeight="1">
      <c r="A80" s="10" t="inlineStr">
        <is>
          <t>Le formule YTM nei fogli sono bond-equivalent-yield + offset: ai prezzi correnti coincidono con l'IRR esatto da cashflow datati (stessi numeri di video e simulatore web).</t>
        </is>
      </c>
    </row>
  </sheetData>
  <mergeCells count="23">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80:D80"/>
    <mergeCell ref="A75:D7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9">
        <f>'1 - Parametri'!B6</f>
        <v/>
      </c>
    </row>
    <row r="7">
      <c r="A7" s="8" t="inlineStr">
        <is>
          <t>Premio fedelta' finale</t>
        </is>
      </c>
      <c r="B7" s="16">
        <f>'1 - Parametri'!B7</f>
        <v/>
      </c>
    </row>
    <row r="8">
      <c r="A8" s="8" t="inlineStr">
        <is>
          <t>Tassazione</t>
        </is>
      </c>
      <c r="B8" s="20">
        <f>'1 - Parametri'!B8</f>
        <v/>
      </c>
    </row>
    <row r="9">
      <c r="A9" s="8" t="inlineStr">
        <is>
          <t>Capitale investito (EUR)</t>
        </is>
      </c>
      <c r="B9" s="21">
        <f>'1 - Parametri'!B43</f>
        <v/>
      </c>
    </row>
    <row r="11">
      <c r="A11" s="7" t="inlineStr">
        <is>
          <t>Cedola annua lorda = fisso + inflazione FOI media</t>
        </is>
      </c>
    </row>
    <row r="12">
      <c r="A12" s="22" t="inlineStr">
        <is>
          <t>Scenario inflazione</t>
        </is>
      </c>
      <c r="B12" s="22" t="inlineStr">
        <is>
          <t>Infl. FOI media</t>
        </is>
      </c>
      <c r="C12" s="22" t="inlineStr">
        <is>
          <t>Cedola lorda annua</t>
        </is>
      </c>
      <c r="D12" s="22" t="inlineStr">
        <is>
          <t>Cedola netta annua</t>
        </is>
      </c>
      <c r="E12" s="22" t="inlineStr">
        <is>
          <t>Importo netto su cap.</t>
        </is>
      </c>
    </row>
    <row r="13">
      <c r="A13" s="8">
        <f>"1 - Disinflazione "&amp;SUBSTITUTE(ROUND('1 - Parametri'!B37*100,1)&amp;"",".",",")&amp;"%"</f>
        <v/>
      </c>
      <c r="B13" s="20">
        <f>'1 - Parametri'!B37</f>
        <v/>
      </c>
      <c r="C13" s="16">
        <f>$B$5+B13</f>
        <v/>
      </c>
      <c r="D13" s="16">
        <f>C13*(1-$B$8)</f>
        <v/>
      </c>
      <c r="E13" s="21">
        <f>$B$9*D13</f>
        <v/>
      </c>
    </row>
    <row r="14">
      <c r="A14" s="8">
        <f>"2 - Base BCE "&amp;SUBSTITUTE(ROUND('1 - Parametri'!B38*100,1)&amp;"",".",",")&amp;"%"</f>
        <v/>
      </c>
      <c r="B14" s="20">
        <f>'1 - Parametri'!B38</f>
        <v/>
      </c>
      <c r="C14" s="16">
        <f>$B$5+B14</f>
        <v/>
      </c>
      <c r="D14" s="16">
        <f>C14*(1-$B$8)</f>
        <v/>
      </c>
      <c r="E14" s="21">
        <f>$B$9*D14</f>
        <v/>
      </c>
    </row>
    <row r="15">
      <c r="A15" s="8">
        <f>"3 - Persistente "&amp;SUBSTITUTE(ROUND('1 - Parametri'!B39*100,1)&amp;"",".",",")&amp;"%"</f>
        <v/>
      </c>
      <c r="B15" s="20">
        <f>'1 - Parametri'!B39</f>
        <v/>
      </c>
      <c r="C15" s="16">
        <f>$B$5+B15</f>
        <v/>
      </c>
      <c r="D15" s="16">
        <f>C15*(1-$B$8)</f>
        <v/>
      </c>
      <c r="E15" s="21">
        <f>$B$9*D15</f>
        <v/>
      </c>
    </row>
    <row r="16">
      <c r="A16" s="8">
        <f>"4 - Stress geopol. "&amp;SUBSTITUTE(ROUND('1 - Parametri'!B40*100,1)&amp;"",".",",")&amp;"%"</f>
        <v/>
      </c>
      <c r="B16" s="20">
        <f>'1 - Parametri'!B40</f>
        <v/>
      </c>
      <c r="C16" s="16">
        <f>$B$5+B16</f>
        <v/>
      </c>
      <c r="D16" s="16">
        <f>C16*(1-$B$8)</f>
        <v/>
      </c>
      <c r="E16" s="21">
        <f>$B$9*D16</f>
        <v/>
      </c>
    </row>
    <row r="18">
      <c r="A18" s="7">
        <f>"Rendimento totale finale "&amp;'1 - Parametri'!B6&amp;" anni (netto, con premio "&amp;SUBSTITUTE(ROUND('1 - Parametri'!B7*100,1)&amp;"",".",",")&amp;"%)"</f>
        <v/>
      </c>
    </row>
    <row r="19">
      <c r="A19" s="22" t="inlineStr">
        <is>
          <t>Scenario</t>
        </is>
      </c>
      <c r="B19" s="22">
        <f>"Cedole nette tot "&amp;$B$6&amp;"y"</f>
        <v/>
      </c>
      <c r="C19" s="22" t="inlineStr">
        <is>
          <t>Premio netto fedelta'</t>
        </is>
      </c>
      <c r="D19" s="22" t="inlineStr">
        <is>
          <t>Tot. netto incassato</t>
        </is>
      </c>
      <c r="E19" s="22" t="inlineStr">
        <is>
          <t>IRR nom netto annuo (lineare)</t>
        </is>
      </c>
      <c r="F19" s="22" t="inlineStr">
        <is>
          <t>IRR reale netto</t>
        </is>
      </c>
    </row>
    <row r="20">
      <c r="A20" s="8">
        <f>"1 - Disinflazione "&amp;SUBSTITUTE(ROUND('1 - Parametri'!B37*100,1)&amp;"",".",",")&amp;"%"</f>
        <v/>
      </c>
      <c r="B20" s="21">
        <f>E13*$B$6</f>
        <v/>
      </c>
      <c r="C20" s="21">
        <f>$B$9*$B$7*(1-$B$8)</f>
        <v/>
      </c>
      <c r="D20" s="21">
        <f>B20+C20</f>
        <v/>
      </c>
      <c r="E20" s="16">
        <f>ROUND(($B$5+$B$7/$B$6+B13)*(1-$B$8),6)</f>
        <v/>
      </c>
      <c r="F20" s="16">
        <f>E20-B13</f>
        <v/>
      </c>
    </row>
    <row r="21">
      <c r="A21" s="8">
        <f>"2 - Base BCE "&amp;SUBSTITUTE(ROUND('1 - Parametri'!B38*100,1)&amp;"",".",",")&amp;"%"</f>
        <v/>
      </c>
      <c r="B21" s="21">
        <f>E14*$B$6</f>
        <v/>
      </c>
      <c r="C21" s="21">
        <f>$B$9*$B$7*(1-$B$8)</f>
        <v/>
      </c>
      <c r="D21" s="21">
        <f>B21+C21</f>
        <v/>
      </c>
      <c r="E21" s="16">
        <f>ROUND(($B$5+$B$7/$B$6+B14)*(1-$B$8),6)</f>
        <v/>
      </c>
      <c r="F21" s="16">
        <f>E21-B14</f>
        <v/>
      </c>
    </row>
    <row r="22">
      <c r="A22" s="8">
        <f>"3 - Persistente "&amp;SUBSTITUTE(ROUND('1 - Parametri'!B39*100,1)&amp;"",".",",")&amp;"%"</f>
        <v/>
      </c>
      <c r="B22" s="21">
        <f>E15*$B$6</f>
        <v/>
      </c>
      <c r="C22" s="21">
        <f>$B$9*$B$7*(1-$B$8)</f>
        <v/>
      </c>
      <c r="D22" s="21">
        <f>B22+C22</f>
        <v/>
      </c>
      <c r="E22" s="16">
        <f>ROUND(($B$5+$B$7/$B$6+B15)*(1-$B$8),6)</f>
        <v/>
      </c>
      <c r="F22" s="16">
        <f>E22-B15</f>
        <v/>
      </c>
    </row>
    <row r="23">
      <c r="A23" s="8">
        <f>"4 - Stress geopol. "&amp;SUBSTITUTE(ROUND('1 - Parametri'!B40*100,1)&amp;"",".",",")&amp;"%"</f>
        <v/>
      </c>
      <c r="B23" s="21">
        <f>E16*$B$6</f>
        <v/>
      </c>
      <c r="C23" s="21">
        <f>$B$9*$B$7*(1-$B$8)</f>
        <v/>
      </c>
      <c r="D23" s="21">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20">
        <f>'1 - Parametri'!B8</f>
        <v/>
      </c>
    </row>
    <row r="8">
      <c r="A8" s="8" t="inlineStr">
        <is>
          <t>Capitale investito (EUR)</t>
        </is>
      </c>
      <c r="B8" s="21">
        <f>'1 - Parametri'!B43</f>
        <v/>
      </c>
    </row>
    <row r="10">
      <c r="A10" s="7" t="inlineStr">
        <is>
          <t>Meccanismo classico: cedola reale + capitale rivalutato</t>
        </is>
      </c>
    </row>
    <row r="11">
      <c r="A11" s="22" t="inlineStr">
        <is>
          <t>Scenario inflazione</t>
        </is>
      </c>
      <c r="B11" s="22">
        <f>"FOI cumulata "&amp;$B$6&amp;"y"</f>
        <v/>
      </c>
      <c r="C11" s="22" t="inlineStr">
        <is>
          <t>Capitale rivalutato</t>
        </is>
      </c>
      <c r="D11" s="22">
        <f>"Cedole nette "&amp;$B$6&amp;"y (su cap. rivalut.)"</f>
        <v/>
      </c>
      <c r="E11" s="22">
        <f>"Tot. netto "&amp;$B$6&amp;"y (cedole + rivalut.)"</f>
        <v/>
      </c>
    </row>
    <row r="12">
      <c r="A12" s="8">
        <f>"1 - Disinflazione "&amp;SUBSTITUTE(ROUND('1 - Parametri'!B37*100,1)&amp;"",".",",")&amp;"%"</f>
        <v/>
      </c>
      <c r="B12" s="20">
        <f>'1 - Parametri'!B37</f>
        <v/>
      </c>
      <c r="C12" s="21">
        <f>$B$8*(1+B12)^$B$6</f>
        <v/>
      </c>
      <c r="D12" s="21">
        <f>$B$5*$B$8*((1+B12)^$B$6-1)/B12*(1-$B$7)</f>
        <v/>
      </c>
      <c r="E12" s="21">
        <f>(C12-$B$8)*(1-$B$7)+D12</f>
        <v/>
      </c>
    </row>
    <row r="13">
      <c r="A13" s="8">
        <f>"2 - Base BCE "&amp;SUBSTITUTE(ROUND('1 - Parametri'!B38*100,1)&amp;"",".",",")&amp;"%"</f>
        <v/>
      </c>
      <c r="B13" s="20">
        <f>'1 - Parametri'!B38</f>
        <v/>
      </c>
      <c r="C13" s="21">
        <f>$B$8*(1+B13)^$B$6</f>
        <v/>
      </c>
      <c r="D13" s="21">
        <f>$B$5*$B$8*((1+B13)^$B$6-1)/B13*(1-$B$7)</f>
        <v/>
      </c>
      <c r="E13" s="21">
        <f>(C13-$B$8)*(1-$B$7)+D13</f>
        <v/>
      </c>
    </row>
    <row r="14">
      <c r="A14" s="8">
        <f>"3 - Persistente "&amp;SUBSTITUTE(ROUND('1 - Parametri'!B39*100,1)&amp;"",".",",")&amp;"%"</f>
        <v/>
      </c>
      <c r="B14" s="20">
        <f>'1 - Parametri'!B39</f>
        <v/>
      </c>
      <c r="C14" s="21">
        <f>$B$8*(1+B14)^$B$6</f>
        <v/>
      </c>
      <c r="D14" s="21">
        <f>$B$5*$B$8*((1+B14)^$B$6-1)/B14*(1-$B$7)</f>
        <v/>
      </c>
      <c r="E14" s="21">
        <f>(C14-$B$8)*(1-$B$7)+D14</f>
        <v/>
      </c>
    </row>
    <row r="15">
      <c r="A15" s="8">
        <f>"4 - Stress geopol. "&amp;SUBSTITUTE(ROUND('1 - Parametri'!B40*100,1)&amp;"",".",",")&amp;"%"</f>
        <v/>
      </c>
      <c r="B15" s="20">
        <f>'1 - Parametri'!B40</f>
        <v/>
      </c>
      <c r="C15" s="21">
        <f>$B$8*(1+B15)^$B$6</f>
        <v/>
      </c>
      <c r="D15" s="21">
        <f>$B$5*$B$8*((1+B15)^$B$6-1)/B15*(1-$B$7)</f>
        <v/>
      </c>
      <c r="E15" s="21">
        <f>(C15-$B$8)*(1-$B$7)+D15</f>
        <v/>
      </c>
    </row>
    <row r="17">
      <c r="A17" s="7" t="inlineStr">
        <is>
          <t>IRR netto annuo a confronto</t>
        </is>
      </c>
    </row>
    <row r="18">
      <c r="A18" s="22" t="inlineStr">
        <is>
          <t>Scenario</t>
        </is>
      </c>
      <c r="B18" s="22">
        <f>"Tot. netto "&amp;$B$6&amp;"y"</f>
        <v/>
      </c>
      <c r="C18" s="22" t="inlineStr">
        <is>
          <t>IRR netto annuo</t>
        </is>
      </c>
    </row>
    <row r="19">
      <c r="A19" s="8">
        <f>"1 - Disinflazione "&amp;SUBSTITUTE(ROUND('1 - Parametri'!B37*100,1)&amp;"",".",",")&amp;"%"</f>
        <v/>
      </c>
      <c r="B19" s="21">
        <f>E12</f>
        <v/>
      </c>
      <c r="C19" s="16">
        <f>((E12+$B$8)/$B$8)^(1/$B$6)-1</f>
        <v/>
      </c>
    </row>
    <row r="20">
      <c r="A20" s="8">
        <f>"2 - Base BCE "&amp;SUBSTITUTE(ROUND('1 - Parametri'!B38*100,1)&amp;"",".",",")&amp;"%"</f>
        <v/>
      </c>
      <c r="B20" s="21">
        <f>E13</f>
        <v/>
      </c>
      <c r="C20" s="16">
        <f>((E13+$B$8)/$B$8)^(1/$B$6)-1</f>
        <v/>
      </c>
    </row>
    <row r="21">
      <c r="A21" s="8">
        <f>"3 - Persistente "&amp;SUBSTITUTE(ROUND('1 - Parametri'!B39*100,1)&amp;"",".",",")&amp;"%"</f>
        <v/>
      </c>
      <c r="B21" s="21">
        <f>E14</f>
        <v/>
      </c>
      <c r="C21" s="16">
        <f>((E14+$B$8)/$B$8)^(1/$B$6)-1</f>
        <v/>
      </c>
    </row>
    <row r="22">
      <c r="A22" s="8">
        <f>"4 - Stress geopol. "&amp;SUBSTITUTE(ROUND('1 - Parametri'!B40*100,1)&amp;"",".",",")&amp;"%"</f>
        <v/>
      </c>
      <c r="B22" s="21">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9">
        <f>'1 - Parametri'!B19</f>
        <v/>
      </c>
    </row>
    <row r="10">
      <c r="A10" s="8" t="inlineStr">
        <is>
          <t>Tassazione</t>
        </is>
      </c>
      <c r="B10" s="20">
        <f>'1 - Parametri'!B8</f>
        <v/>
      </c>
    </row>
    <row r="11">
      <c r="A11" s="8" t="inlineStr">
        <is>
          <t>Capitale investito</t>
        </is>
      </c>
      <c r="B11" s="21">
        <f>'1 - Parametri'!B43</f>
        <v/>
      </c>
    </row>
    <row r="13">
      <c r="A13" s="7" t="inlineStr">
        <is>
          <t>Cedole nette per fase step-up</t>
        </is>
      </c>
    </row>
    <row r="14">
      <c r="A14" s="22" t="inlineStr">
        <is>
          <t>Fase</t>
        </is>
      </c>
      <c r="B14" s="22" t="inlineStr">
        <is>
          <t>Cedola lorda annua</t>
        </is>
      </c>
      <c r="C14" s="22" t="inlineStr">
        <is>
          <t>Cedola netta annua</t>
        </is>
      </c>
      <c r="D14" s="22" t="inlineStr">
        <is>
          <t>Importo netto x anno</t>
        </is>
      </c>
      <c r="E14" s="22" t="inlineStr">
        <is>
          <t>Importo netto x fase (2y)</t>
        </is>
      </c>
    </row>
    <row r="15">
      <c r="A15" s="8">
        <f>"Anni 1-2 ("&amp;SUBSTITUTE(ROUND(B5*100,2)&amp;"",".",",")&amp;"%)"</f>
        <v/>
      </c>
      <c r="B15" s="16">
        <f>B5</f>
        <v/>
      </c>
      <c r="C15" s="23">
        <f>B5*(1-$B$10)</f>
        <v/>
      </c>
      <c r="D15" s="21">
        <f>$B$11*C15</f>
        <v/>
      </c>
      <c r="E15" s="21">
        <f>D15*2</f>
        <v/>
      </c>
    </row>
    <row r="16">
      <c r="A16" s="8">
        <f>"Anni 3-4 ("&amp;SUBSTITUTE(ROUND(B6*100,2)&amp;"",".",",")&amp;"%)"</f>
        <v/>
      </c>
      <c r="B16" s="16">
        <f>B6</f>
        <v/>
      </c>
      <c r="C16" s="23">
        <f>B6*(1-$B$10)</f>
        <v/>
      </c>
      <c r="D16" s="21">
        <f>$B$11*C16</f>
        <v/>
      </c>
      <c r="E16" s="21">
        <f>D16*2</f>
        <v/>
      </c>
    </row>
    <row r="17">
      <c r="A17" s="8">
        <f>"Anni 5-6 ("&amp;SUBSTITUTE(ROUND(B7*100,2)&amp;"",".",",")&amp;"%)"</f>
        <v/>
      </c>
      <c r="B17" s="16">
        <f>B7</f>
        <v/>
      </c>
      <c r="C17" s="23">
        <f>B7*(1-$B$10)</f>
        <v/>
      </c>
      <c r="D17" s="21">
        <f>$B$11*C17</f>
        <v/>
      </c>
      <c r="E17" s="21">
        <f>D17*2</f>
        <v/>
      </c>
    </row>
    <row r="19">
      <c r="A19" s="7">
        <f>"Rendimento totale netto "&amp;B9&amp;" anni"</f>
        <v/>
      </c>
    </row>
    <row r="20">
      <c r="A20" s="8">
        <f>"Tot. cedole nette "&amp;B9&amp;"y"</f>
        <v/>
      </c>
      <c r="B20" s="21">
        <f>E15+E16+E17</f>
        <v/>
      </c>
    </row>
    <row r="21">
      <c r="A21" s="8" t="inlineStr">
        <is>
          <t>Premio fedelta' netto</t>
        </is>
      </c>
      <c r="B21" s="21">
        <f>B11*B8*(1-B10)</f>
        <v/>
      </c>
    </row>
    <row r="22">
      <c r="A22" s="8">
        <f>"Tot. netto "&amp;B9&amp;"y"</f>
        <v/>
      </c>
      <c r="B22" s="21">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4">
        <f>'1 - Parametri'!B64</f>
        <v/>
      </c>
    </row>
    <row r="30">
      <c r="A30" s="8" t="inlineStr">
        <is>
          <t>Anni residui (scad. 10/03/2032)</t>
        </is>
      </c>
      <c r="B30" s="24">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(B31*100+(100-B29)/B30)/((100+B29)/2)+'1 - Parametri'!B78</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2" t="inlineStr">
        <is>
          <t>Scenario inflazione</t>
        </is>
      </c>
      <c r="B37" s="22" t="inlineStr">
        <is>
          <t>Infl. FOI media</t>
        </is>
      </c>
      <c r="C37" s="22" t="inlineStr">
        <is>
          <t>IRR reale netto (YTM netto - FOI)</t>
        </is>
      </c>
    </row>
    <row r="38">
      <c r="A38" s="8">
        <f>"1 - Disinflazione "&amp;SUBSTITUTE(ROUND('1 - Parametri'!B37*100,1)&amp;"",".",",")&amp;"%"</f>
        <v/>
      </c>
      <c r="B38" s="20">
        <f>'1 - Parametri'!B37</f>
        <v/>
      </c>
      <c r="C38" s="16">
        <f>$B$33-B38</f>
        <v/>
      </c>
    </row>
    <row r="39">
      <c r="A39" s="8">
        <f>"2 - Base BCE "&amp;SUBSTITUTE(ROUND('1 - Parametri'!B38*100,1)&amp;"",".",",")&amp;"%"</f>
        <v/>
      </c>
      <c r="B39" s="20">
        <f>'1 - Parametri'!B38</f>
        <v/>
      </c>
      <c r="C39" s="16">
        <f>$B$33-B39</f>
        <v/>
      </c>
    </row>
    <row r="40">
      <c r="A40" s="8">
        <f>"3 - Persistente "&amp;SUBSTITUTE(ROUND('1 - Parametri'!B39*100,1)&amp;"",".",",")&amp;"%"</f>
        <v/>
      </c>
      <c r="B40" s="20">
        <f>'1 - Parametri'!B39</f>
        <v/>
      </c>
      <c r="C40" s="16">
        <f>$B$33-B40</f>
        <v/>
      </c>
    </row>
    <row r="41">
      <c r="A41" s="8">
        <f>"4 - Stress geopol. "&amp;SUBSTITUTE(ROUND('1 - Parametri'!B40*100,1)&amp;"",".",",")&amp;"%"</f>
        <v/>
      </c>
      <c r="B41" s="20">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9">
        <f>'1 - Parametri'!B27</f>
        <v/>
      </c>
    </row>
    <row r="11">
      <c r="A11" s="8" t="inlineStr">
        <is>
          <t>Tassazione</t>
        </is>
      </c>
      <c r="B11" s="20">
        <f>'1 - Parametri'!B8</f>
        <v/>
      </c>
    </row>
    <row r="12">
      <c r="A12" s="8" t="inlineStr">
        <is>
          <t>Capitale</t>
        </is>
      </c>
      <c r="B12" s="21">
        <f>'1 - Parametri'!B43</f>
        <v/>
      </c>
    </row>
    <row r="14">
      <c r="A14" s="7" t="inlineStr">
        <is>
          <t>Scenari di PIL nominale e premio fedelta'</t>
        </is>
      </c>
    </row>
    <row r="15">
      <c r="A15" s="22" t="inlineStr">
        <is>
          <t>Scenario PIL nominale medio</t>
        </is>
      </c>
      <c r="B15" s="22" t="inlineStr">
        <is>
          <t>PIL nom. medio</t>
        </is>
      </c>
      <c r="C15" s="22" t="inlineStr">
        <is>
          <t>Premio fed. atteso</t>
        </is>
      </c>
      <c r="D15" s="22">
        <f>"Cedole nette "&amp;$B$10&amp;"y"</f>
        <v/>
      </c>
      <c r="E15" s="22">
        <f>"Tot. netto "&amp;$B$10&amp;"y"</f>
        <v/>
      </c>
      <c r="F15" s="22" t="inlineStr">
        <is>
          <t>IRR nom netto annuo (lineare)</t>
        </is>
      </c>
    </row>
    <row r="16">
      <c r="A16" s="8">
        <f>"Bassa (PIL "&amp;SUBSTITUTE(ROUND(B16*100,1)&amp;"",".",",")&amp;"%)"</f>
        <v/>
      </c>
      <c r="B16" s="12" t="n">
        <v>0.015</v>
      </c>
      <c r="C16" s="16">
        <f>MAX($B$8,MIN($B$9,0.4*B16))</f>
        <v/>
      </c>
      <c r="D16" s="21">
        <f>$B$12*(4*$B$5+4*$B$6+4*$B$7)*(1-$B$11)</f>
        <v/>
      </c>
      <c r="E16" s="21">
        <f>D16+$B$12*C16*(1-$B$11)</f>
        <v/>
      </c>
      <c r="F16" s="16">
        <f>E16/$B$12/$B$10</f>
        <v/>
      </c>
    </row>
    <row r="17">
      <c r="A17" s="8">
        <f>"Base (PIL "&amp;SUBSTITUTE(ROUND(B17*100,1)&amp;"",".",",")&amp;"%)"</f>
        <v/>
      </c>
      <c r="B17" s="12" t="n">
        <v>0.03</v>
      </c>
      <c r="C17" s="16">
        <f>MAX($B$8,MIN($B$9,0.4*B17))</f>
        <v/>
      </c>
      <c r="D17" s="21">
        <f>$B$12*(4*$B$5+4*$B$6+4*$B$7)*(1-$B$11)</f>
        <v/>
      </c>
      <c r="E17" s="21">
        <f>D17+$B$12*C17*(1-$B$11)</f>
        <v/>
      </c>
      <c r="F17" s="16">
        <f>E17/$B$12/$B$10</f>
        <v/>
      </c>
    </row>
    <row r="18">
      <c r="A18" s="8">
        <f>"Alta (PIL "&amp;SUBSTITUTE(ROUND(B18*100,1)&amp;"",".",",")&amp;"%)"</f>
        <v/>
      </c>
      <c r="B18" s="12" t="n">
        <v>0.045</v>
      </c>
      <c r="C18" s="16">
        <f>MAX($B$8,MIN($B$9,0.4*B18))</f>
        <v/>
      </c>
      <c r="D18" s="21">
        <f>$B$12*(4*$B$5+4*$B$6+4*$B$7)*(1-$B$11)</f>
        <v/>
      </c>
      <c r="E18" s="21">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4">
        <f>'1 - Parametri'!B66</f>
        <v/>
      </c>
    </row>
    <row r="25">
      <c r="A25" s="8" t="inlineStr">
        <is>
          <t>Anni residui (scad. 16/11/2033)</t>
        </is>
      </c>
      <c r="B25" s="24">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(B26*100+(100-B24)/B25)/((100+B24)/2)+'1 - Parametri'!B79</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2" t="inlineStr">
        <is>
          <t>Scenario inflazione</t>
        </is>
      </c>
      <c r="B32" s="22" t="inlineStr">
        <is>
          <t>Infl. FOI media</t>
        </is>
      </c>
      <c r="C32" s="22" t="inlineStr">
        <is>
          <t>IRR reale netto (YTM netto - FOI)</t>
        </is>
      </c>
    </row>
    <row r="33">
      <c r="A33" s="8">
        <f>"1 - Disinflazione "&amp;SUBSTITUTE(ROUND('1 - Parametri'!B37*100,1)&amp;"",".",",")&amp;"%"</f>
        <v/>
      </c>
      <c r="B33" s="20">
        <f>'1 - Parametri'!B37</f>
        <v/>
      </c>
      <c r="C33" s="16">
        <f>$B$28-B33</f>
        <v/>
      </c>
    </row>
    <row r="34">
      <c r="A34" s="8">
        <f>"2 - Base BCE "&amp;SUBSTITUTE(ROUND('1 - Parametri'!B38*100,1)&amp;"",".",",")&amp;"%"</f>
        <v/>
      </c>
      <c r="B34" s="20">
        <f>'1 - Parametri'!B38</f>
        <v/>
      </c>
      <c r="C34" s="16">
        <f>$B$28-B34</f>
        <v/>
      </c>
    </row>
    <row r="35">
      <c r="A35" s="8">
        <f>"3 - Persistente "&amp;SUBSTITUTE(ROUND('1 - Parametri'!B39*100,1)&amp;"",".",",")&amp;"%"</f>
        <v/>
      </c>
      <c r="B35" s="20">
        <f>'1 - Parametri'!B39</f>
        <v/>
      </c>
      <c r="C35" s="16">
        <f>$B$28-B35</f>
        <v/>
      </c>
    </row>
    <row r="36">
      <c r="A36" s="8">
        <f>"4 - Stress geopol. "&amp;SUBSTITUTE(ROUND('1 - Parametri'!B40*100,1)&amp;"",".",",")&amp;"%"</f>
        <v/>
      </c>
      <c r="B36" s="20">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2" t="inlineStr">
        <is>
          <t>Scadenza</t>
        </is>
      </c>
      <c r="B5" s="22" t="inlineStr">
        <is>
          <t>Rendimento lordo</t>
        </is>
      </c>
      <c r="C5" s="22" t="inlineStr">
        <is>
          <t>Cedola netta annua</t>
        </is>
      </c>
      <c r="D5" s="22" t="inlineStr">
        <is>
          <t>Tot. cedole nette a scad.</t>
        </is>
      </c>
      <c r="E5" s="22" t="inlineStr">
        <is>
          <t>Cedola netta annua EUR</t>
        </is>
      </c>
    </row>
    <row r="6">
      <c r="A6" s="8" t="inlineStr">
        <is>
          <t>Tassazione titoli di Stato applicata</t>
        </is>
      </c>
      <c r="B6" s="20">
        <f>'1 - Parametri'!B8</f>
        <v/>
      </c>
    </row>
    <row r="7">
      <c r="A7" s="8" t="inlineStr">
        <is>
          <t>Capitale (default Parametri)</t>
        </is>
      </c>
      <c r="B7" s="21">
        <f>'1 - Parametri'!B43</f>
        <v/>
      </c>
    </row>
    <row r="8">
      <c r="B8" s="22" t="inlineStr">
        <is>
          <t>Rendim. lordo (curva)</t>
        </is>
      </c>
    </row>
    <row r="9">
      <c r="A9" s="8" t="inlineStr">
        <is>
          <t>2 anni (feb 2028)</t>
        </is>
      </c>
      <c r="B9" s="16">
        <f>'1 - Parametri'!B30</f>
        <v/>
      </c>
      <c r="C9" s="23">
        <f>B9*(1-$B$6)</f>
        <v/>
      </c>
      <c r="D9" s="21">
        <f>$B$7*C9*2</f>
        <v/>
      </c>
      <c r="E9" s="21">
        <f>$B$7*C9</f>
        <v/>
      </c>
    </row>
    <row r="10">
      <c r="A10" s="8" t="inlineStr">
        <is>
          <t>3 anni (mar 2029)</t>
        </is>
      </c>
      <c r="B10" s="16">
        <f>'1 - Parametri'!B31</f>
        <v/>
      </c>
      <c r="C10" s="23">
        <f>B10*(1-$B$6)</f>
        <v/>
      </c>
      <c r="D10" s="21">
        <f>$B$7*C10*3</f>
        <v/>
      </c>
      <c r="E10" s="21">
        <f>$B$7*C10</f>
        <v/>
      </c>
    </row>
    <row r="11">
      <c r="A11" s="8" t="inlineStr">
        <is>
          <t>5 anni (stima)</t>
        </is>
      </c>
      <c r="B11" s="16">
        <f>'1 - Parametri'!B32</f>
        <v/>
      </c>
      <c r="C11" s="23">
        <f>B11*(1-$B$6)</f>
        <v/>
      </c>
      <c r="D11" s="21">
        <f>$B$7*C11*5</f>
        <v/>
      </c>
      <c r="E11" s="21">
        <f>$B$7*C11</f>
        <v/>
      </c>
    </row>
    <row r="12">
      <c r="A12" s="8" t="inlineStr">
        <is>
          <t>7 anni (mar 2033)</t>
        </is>
      </c>
      <c r="B12" s="16">
        <f>'1 - Parametri'!B33</f>
        <v/>
      </c>
      <c r="C12" s="23">
        <f>B12*(1-$B$6)</f>
        <v/>
      </c>
      <c r="D12" s="21">
        <f>$B$7*C12*7</f>
        <v/>
      </c>
      <c r="E12" s="21">
        <f>$B$7*C12</f>
        <v/>
      </c>
    </row>
    <row r="13">
      <c r="A13" s="8" t="inlineStr">
        <is>
          <t>10 anni (feb 2036)</t>
        </is>
      </c>
      <c r="B13" s="16">
        <f>'1 - Parametri'!B34</f>
        <v/>
      </c>
      <c r="C13" s="23">
        <f>B13*(1-$B$6)</f>
        <v/>
      </c>
      <c r="D13" s="21">
        <f>$B$7*C13*10</f>
        <v/>
      </c>
      <c r="E13" s="21">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2" t="inlineStr">
        <is>
          <t>Strumento</t>
        </is>
      </c>
      <c r="B5" s="22">
        <f>"Infl. "&amp;SUBSTITUTE(ROUND('1 - Parametri'!B37*100,1)&amp;"",".",",")&amp;"%"</f>
        <v/>
      </c>
      <c r="C5" s="22">
        <f>"Infl. "&amp;SUBSTITUTE(ROUND('1 - Parametri'!B38*100,1)&amp;"",".",",")&amp;"%"</f>
        <v/>
      </c>
      <c r="D5" s="22">
        <f>"Infl. "&amp;SUBSTITUTE(ROUND('1 - Parametri'!B39*100,1)&amp;"",".",",")&amp;"%"</f>
        <v/>
      </c>
      <c r="E5" s="22">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2" t="inlineStr">
        <is>
          <t>Avversario</t>
        </is>
      </c>
      <c r="B5" s="22" t="inlineStr">
        <is>
          <t>Rendimento lordo</t>
        </is>
      </c>
      <c r="C5" s="22" t="inlineStr">
        <is>
          <t>Rend. netto (dopo tasse)</t>
        </is>
      </c>
      <c r="D5" s="22" t="inlineStr">
        <is>
          <t>Soglia infl. break-even (lorda)</t>
        </is>
      </c>
      <c r="E5" s="22" t="inlineStr">
        <is>
          <t>Verdetto</t>
        </is>
      </c>
    </row>
    <row r="6">
      <c r="A6" s="8" t="inlineStr">
        <is>
          <t>BTP nominale 2y</t>
        </is>
      </c>
      <c r="B6" s="16">
        <f>'1 - Parametri'!B30</f>
        <v/>
      </c>
      <c r="C6" s="16">
        <f>B6*(1-'1 - Parametri'!B8)</f>
        <v/>
      </c>
      <c r="D6" s="16">
        <f>B6-('1 - Parametri'!B5+'1 - Parametri'!B7/'1 - Parametri'!B6)</f>
        <v/>
      </c>
      <c r="E6" s="25">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5">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5">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5">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5">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5">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5">
        <f>IF(D12&lt;=0,"Si vince SEMPRE",IF(D12&gt;='1 - Parametri'!B40,"Si perde quasi sempre","Si vince se FOI &gt; "&amp;SUBSTITUTE(ROUND(D12*100,2)&amp;"",".",",")&amp;"%"))</f>
        <v/>
      </c>
    </row>
    <row r="14">
      <c r="A14" s="7" t="inlineStr">
        <is>
          <t>BTP Italia classico: confronto diverso (capitale rivalutato, no break-even classico)</t>
        </is>
      </c>
    </row>
    <row r="15">
      <c r="A15" s="22" t="inlineStr">
        <is>
          <t>Avversario</t>
        </is>
      </c>
      <c r="B15" s="22" t="inlineStr">
        <is>
          <t>YTM reale NETTO (MOT)</t>
        </is>
      </c>
      <c r="C15" s="22" t="inlineStr">
        <is>
          <t>Sì reale netto</t>
        </is>
      </c>
      <c r="D15" s="22" t="inlineStr">
        <is>
          <t>Vantaggio Sì (pp)</t>
        </is>
      </c>
      <c r="E15" s="22"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5">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5">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5">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2" t="inlineStr">
        <is>
          <t>Profilo</t>
        </is>
      </c>
      <c r="B5" s="22" t="inlineStr">
        <is>
          <t>BTP Italia Si</t>
        </is>
      </c>
      <c r="C5" s="22" t="inlineStr">
        <is>
          <t>BTP Italia clas.</t>
        </is>
      </c>
      <c r="D5" s="22" t="inlineStr">
        <is>
          <t>BTP Valore</t>
        </is>
      </c>
      <c r="E5" s="22" t="inlineStr">
        <is>
          <t>BTP nominale 5y</t>
        </is>
      </c>
      <c r="F5" s="22" t="inlineStr">
        <is>
          <t>BTP nominale 10y</t>
        </is>
      </c>
    </row>
    <row r="6">
      <c r="A6" s="8" t="inlineStr">
        <is>
          <t>Giovane 25-34</t>
        </is>
      </c>
      <c r="B6" s="26" t="n">
        <v>0.2</v>
      </c>
      <c r="C6" s="26" t="n">
        <v>0.1</v>
      </c>
      <c r="D6" s="26" t="n">
        <v>0.2</v>
      </c>
      <c r="E6" s="26" t="n">
        <v>0.3</v>
      </c>
      <c r="F6" s="26" t="n">
        <v>0.2</v>
      </c>
    </row>
    <row r="7">
      <c r="A7" s="8" t="inlineStr">
        <is>
          <t>Mezza età 35-49</t>
        </is>
      </c>
      <c r="B7" s="26" t="n">
        <v>0.25</v>
      </c>
      <c r="C7" s="26" t="n">
        <v>0.15</v>
      </c>
      <c r="D7" s="26" t="n">
        <v>0.2</v>
      </c>
      <c r="E7" s="26" t="n">
        <v>0.25</v>
      </c>
      <c r="F7" s="26" t="n">
        <v>0.15</v>
      </c>
    </row>
    <row r="8">
      <c r="A8" s="8" t="inlineStr">
        <is>
          <t>Over 50 pre-FIRE</t>
        </is>
      </c>
      <c r="B8" s="26" t="n">
        <v>0.3</v>
      </c>
      <c r="C8" s="26" t="n">
        <v>0.3</v>
      </c>
      <c r="D8" s="26" t="n">
        <v>0.2</v>
      </c>
      <c r="E8" s="26" t="n">
        <v>0.15</v>
      </c>
      <c r="F8" s="26" t="n">
        <v>0.05</v>
      </c>
    </row>
    <row r="9">
      <c r="A9" s="8" t="inlineStr">
        <is>
          <t>FIRE in decumulo</t>
        </is>
      </c>
      <c r="B9" s="26" t="n">
        <v>0.25</v>
      </c>
      <c r="C9" s="26" t="n">
        <v>0.35</v>
      </c>
      <c r="D9" s="26" t="n">
        <v>0.15</v>
      </c>
      <c r="E9" s="26" t="n">
        <v>0.15</v>
      </c>
      <c r="F9" s="26"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7" t="n">
        <v>0.33</v>
      </c>
    </row>
    <row r="10">
      <c r="A10" s="7" t="inlineStr">
        <is>
          <t>Rendimento REALE netto atteso per strumento</t>
        </is>
      </c>
    </row>
    <row r="11">
      <c r="A11" s="22" t="inlineStr">
        <is>
          <t>Strumento</t>
        </is>
      </c>
      <c r="B11" s="22" t="inlineStr">
        <is>
          <t>Rend. reale annuo</t>
        </is>
      </c>
      <c r="C11" s="22" t="inlineStr">
        <is>
          <t>Idoneo al tuo orizzonte</t>
        </is>
      </c>
    </row>
    <row r="12">
      <c r="A12" s="8" t="inlineStr">
        <is>
          <t>BTP Italia Si</t>
        </is>
      </c>
      <c r="B12" s="16">
        <f>('1 - Parametri'!B5+'1 - Parametri'!B7/'1 - Parametri'!B6)*(1-'1 - Parametri'!B8)-'1 - Parametri'!B8*B7</f>
        <v/>
      </c>
      <c r="C12" s="25">
        <f>IF(B6&gt;=5,"SI","NO - troppo lungo")</f>
        <v/>
      </c>
    </row>
    <row r="13">
      <c r="A13" s="8" t="inlineStr">
        <is>
          <t>BTP Italia clas. (YTM MOT)</t>
        </is>
      </c>
      <c r="B13" s="16">
        <f>'1 - Parametri'!B56*(1-'1 - Parametri'!B8)-'1 - Parametri'!B8*B7</f>
        <v/>
      </c>
      <c r="C13" s="25">
        <f>IF(B6&gt;=5,"SI","NO - troppo lungo")</f>
        <v/>
      </c>
    </row>
    <row r="14">
      <c r="A14" s="8" t="inlineStr">
        <is>
          <t>BTP Valore (YTM MOT)</t>
        </is>
      </c>
      <c r="B14" s="16">
        <f>'4 - BTP Valore'!B32*(1-'1 - Parametri'!B8)-B7</f>
        <v/>
      </c>
      <c r="C14" s="25">
        <f>IF(B6&gt;=6,"SI","NO - troppo lungo")</f>
        <v/>
      </c>
    </row>
    <row r="15">
      <c r="A15" s="8" t="inlineStr">
        <is>
          <t>BTP nominale 5y</t>
        </is>
      </c>
      <c r="B15" s="16">
        <f>'1 - Parametri'!B32*(1-'1 - Parametri'!B8)-B7</f>
        <v/>
      </c>
      <c r="C15" s="25">
        <f>IF(B6&gt;=5,"SI","NO - troppo lungo")</f>
        <v/>
      </c>
    </row>
    <row r="16">
      <c r="A16" s="8" t="inlineStr">
        <is>
          <t>BTP nominale 10y</t>
        </is>
      </c>
      <c r="B16" s="16">
        <f>'1 - Parametri'!B34*(1-'1 - Parametri'!B8)-B7</f>
        <v/>
      </c>
      <c r="C16" s="25">
        <f>IF(B6&gt;=10,"SI","NO - troppo lungo")</f>
        <v/>
      </c>
    </row>
    <row r="18">
      <c r="A18" s="7" t="inlineStr">
        <is>
          <t>Raccomandazione automatica (strumento con rendimento reale max)</t>
        </is>
      </c>
    </row>
    <row r="19">
      <c r="A19" s="8" t="inlineStr">
        <is>
          <t>Miglior strumento</t>
        </is>
      </c>
      <c r="B19" s="25">
        <f>INDEX(A12:A16,MATCH(MAX(B12:B16),B12:B16,0))</f>
        <v/>
      </c>
    </row>
    <row r="20">
      <c r="A20" s="8" t="inlineStr">
        <is>
          <t>Rendimento reale atteso annuo</t>
        </is>
      </c>
      <c r="B20" s="16">
        <f>MAX(B12:B16)</f>
        <v/>
      </c>
    </row>
    <row r="21">
      <c r="A21" s="8" t="inlineStr">
        <is>
          <t>Valore finale (con cap. + reale)</t>
        </is>
      </c>
      <c r="B21" s="21">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13" customWidth="1" min="2" max="2"/>
    <col width="15" customWidth="1" min="3" max="3"/>
    <col width="14" customWidth="1" min="4" max="4"/>
    <col width="15" customWidth="1" min="5" max="5"/>
    <col width="16" customWidth="1" min="6" max="6"/>
    <col width="16" customWidth="1" min="7" max="7"/>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20">
        <f>'1 - Parametri'!B8</f>
        <v/>
      </c>
    </row>
    <row r="8">
      <c r="A8" s="8" t="inlineStr">
        <is>
          <t>Capitale investito (EUR)</t>
        </is>
      </c>
      <c r="B8" s="21">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2" t="inlineStr">
        <is>
          <t>Stacco</t>
        </is>
      </c>
      <c r="B12" s="22" t="inlineStr">
        <is>
          <t>Data</t>
        </is>
      </c>
      <c r="C12" s="22" t="inlineStr">
        <is>
          <t>Cedola lorda</t>
        </is>
      </c>
      <c r="D12" s="22" t="inlineStr">
        <is>
          <t>Imposta</t>
        </is>
      </c>
      <c r="E12" s="22" t="inlineStr">
        <is>
          <t>Cedola netta</t>
        </is>
      </c>
      <c r="F12" s="22" t="inlineStr">
        <is>
          <t>Cumulato netto</t>
        </is>
      </c>
      <c r="G12" s="22" t="inlineStr">
        <is>
          <t>Flusso di cassa</t>
        </is>
      </c>
    </row>
    <row r="13">
      <c r="A13" s="8" t="inlineStr">
        <is>
          <t>1/10</t>
        </is>
      </c>
      <c r="B13" s="30" t="n">
        <v>46371</v>
      </c>
      <c r="C13" s="29">
        <f>($B$5+$B$9)/2*$B$8</f>
        <v/>
      </c>
      <c r="D13" s="29">
        <f>C13*$B$7</f>
        <v/>
      </c>
      <c r="E13" s="29">
        <f>C13-D13</f>
        <v/>
      </c>
      <c r="F13" s="29">
        <f>E13</f>
        <v/>
      </c>
      <c r="G13" s="29">
        <f>E13</f>
        <v/>
      </c>
    </row>
    <row r="14">
      <c r="A14" s="8" t="inlineStr">
        <is>
          <t>2/10</t>
        </is>
      </c>
      <c r="B14" s="30" t="n">
        <v>46553</v>
      </c>
      <c r="C14" s="29">
        <f>($B$5+$B$9)/2*$B$8</f>
        <v/>
      </c>
      <c r="D14" s="29">
        <f>C14*$B$7</f>
        <v/>
      </c>
      <c r="E14" s="29">
        <f>C14-D14</f>
        <v/>
      </c>
      <c r="F14" s="29">
        <f>F13+E14</f>
        <v/>
      </c>
      <c r="G14" s="29">
        <f>E14</f>
        <v/>
      </c>
    </row>
    <row r="15">
      <c r="A15" s="8" t="inlineStr">
        <is>
          <t>3/10</t>
        </is>
      </c>
      <c r="B15" s="30" t="n">
        <v>46736</v>
      </c>
      <c r="C15" s="29">
        <f>($B$5+$B$9)/2*$B$8</f>
        <v/>
      </c>
      <c r="D15" s="29">
        <f>C15*$B$7</f>
        <v/>
      </c>
      <c r="E15" s="29">
        <f>C15-D15</f>
        <v/>
      </c>
      <c r="F15" s="29">
        <f>F14+E15</f>
        <v/>
      </c>
      <c r="G15" s="29">
        <f>E15</f>
        <v/>
      </c>
    </row>
    <row r="16">
      <c r="A16" s="8" t="inlineStr">
        <is>
          <t>4/10</t>
        </is>
      </c>
      <c r="B16" s="30" t="n">
        <v>46919</v>
      </c>
      <c r="C16" s="29">
        <f>($B$5+$B$9)/2*$B$8</f>
        <v/>
      </c>
      <c r="D16" s="29">
        <f>C16*$B$7</f>
        <v/>
      </c>
      <c r="E16" s="29">
        <f>C16-D16</f>
        <v/>
      </c>
      <c r="F16" s="29">
        <f>F15+E16</f>
        <v/>
      </c>
      <c r="G16" s="29">
        <f>E16</f>
        <v/>
      </c>
    </row>
    <row r="17">
      <c r="A17" s="8" t="inlineStr">
        <is>
          <t>5/10</t>
        </is>
      </c>
      <c r="B17" s="30" t="n">
        <v>47102</v>
      </c>
      <c r="C17" s="29">
        <f>($B$5+$B$9)/2*$B$8</f>
        <v/>
      </c>
      <c r="D17" s="29">
        <f>C17*$B$7</f>
        <v/>
      </c>
      <c r="E17" s="29">
        <f>C17-D17</f>
        <v/>
      </c>
      <c r="F17" s="29">
        <f>F16+E17</f>
        <v/>
      </c>
      <c r="G17" s="29">
        <f>E17</f>
        <v/>
      </c>
    </row>
    <row r="18">
      <c r="A18" s="8" t="inlineStr">
        <is>
          <t>6/10</t>
        </is>
      </c>
      <c r="B18" s="30" t="n">
        <v>47284</v>
      </c>
      <c r="C18" s="29">
        <f>($B$5+$B$9)/2*$B$8</f>
        <v/>
      </c>
      <c r="D18" s="29">
        <f>C18*$B$7</f>
        <v/>
      </c>
      <c r="E18" s="29">
        <f>C18-D18</f>
        <v/>
      </c>
      <c r="F18" s="29">
        <f>F17+E18</f>
        <v/>
      </c>
      <c r="G18" s="29">
        <f>E18</f>
        <v/>
      </c>
    </row>
    <row r="19">
      <c r="A19" s="8" t="inlineStr">
        <is>
          <t>7/10</t>
        </is>
      </c>
      <c r="B19" s="30" t="n">
        <v>47467</v>
      </c>
      <c r="C19" s="29">
        <f>($B$5+$B$9)/2*$B$8</f>
        <v/>
      </c>
      <c r="D19" s="29">
        <f>C19*$B$7</f>
        <v/>
      </c>
      <c r="E19" s="29">
        <f>C19-D19</f>
        <v/>
      </c>
      <c r="F19" s="29">
        <f>F18+E19</f>
        <v/>
      </c>
      <c r="G19" s="29">
        <f>E19</f>
        <v/>
      </c>
    </row>
    <row r="20">
      <c r="A20" s="8" t="inlineStr">
        <is>
          <t>8/10</t>
        </is>
      </c>
      <c r="B20" s="30" t="n">
        <v>47649</v>
      </c>
      <c r="C20" s="29">
        <f>($B$5+$B$9)/2*$B$8</f>
        <v/>
      </c>
      <c r="D20" s="29">
        <f>C20*$B$7</f>
        <v/>
      </c>
      <c r="E20" s="29">
        <f>C20-D20</f>
        <v/>
      </c>
      <c r="F20" s="29">
        <f>F19+E20</f>
        <v/>
      </c>
      <c r="G20" s="29">
        <f>E20</f>
        <v/>
      </c>
    </row>
    <row r="21">
      <c r="A21" s="8" t="inlineStr">
        <is>
          <t>9/10</t>
        </is>
      </c>
      <c r="B21" s="30" t="n">
        <v>47832</v>
      </c>
      <c r="C21" s="29">
        <f>($B$5+$B$9)/2*$B$8</f>
        <v/>
      </c>
      <c r="D21" s="29">
        <f>C21*$B$7</f>
        <v/>
      </c>
      <c r="E21" s="29">
        <f>C21-D21</f>
        <v/>
      </c>
      <c r="F21" s="29">
        <f>F20+E21</f>
        <v/>
      </c>
      <c r="G21" s="29">
        <f>E21</f>
        <v/>
      </c>
    </row>
    <row r="22">
      <c r="A22" s="8" t="inlineStr">
        <is>
          <t>10/10</t>
        </is>
      </c>
      <c r="B22" s="30" t="n">
        <v>48014</v>
      </c>
      <c r="C22" s="29">
        <f>($B$5+$B$9)/2*$B$8</f>
        <v/>
      </c>
      <c r="D22" s="29">
        <f>C22*$B$7</f>
        <v/>
      </c>
      <c r="E22" s="29">
        <f>C22-D22</f>
        <v/>
      </c>
      <c r="F22" s="29">
        <f>F21+E22</f>
        <v/>
      </c>
      <c r="G22" s="29">
        <f>E22</f>
        <v/>
      </c>
    </row>
    <row r="23">
      <c r="A23" s="8" t="inlineStr">
        <is>
          <t>Premio</t>
        </is>
      </c>
      <c r="B23" s="30" t="n">
        <v>48014</v>
      </c>
      <c r="C23" s="29">
        <f>$B$8*$B$6</f>
        <v/>
      </c>
      <c r="D23" s="29">
        <f>C23*$B$7</f>
        <v/>
      </c>
      <c r="E23" s="29">
        <f>C23-D23</f>
        <v/>
      </c>
      <c r="F23" s="29">
        <f>F22+E23</f>
        <v/>
      </c>
      <c r="G23" s="29">
        <f>E23</f>
        <v/>
      </c>
    </row>
    <row r="24">
      <c r="A24" s="8" t="inlineStr">
        <is>
          <t>Acquisto</t>
        </is>
      </c>
      <c r="B24" s="30" t="n">
        <v>46192</v>
      </c>
      <c r="G24" s="29">
        <f>-$B$8</f>
        <v/>
      </c>
    </row>
    <row r="25">
      <c r="A25" s="8" t="inlineStr">
        <is>
          <t>Rimborso</t>
        </is>
      </c>
      <c r="B25" s="30" t="n">
        <v>48014</v>
      </c>
      <c r="G25" s="29">
        <f>$B$8</f>
        <v/>
      </c>
    </row>
    <row r="26">
      <c r="A26" s="8" t="inlineStr">
        <is>
          <t>TOTALE NETTO 5 ANNI (cedole + premio)</t>
        </is>
      </c>
      <c r="F26" s="29">
        <f>F23</f>
        <v/>
      </c>
    </row>
    <row r="28">
      <c r="A28" s="7" t="inlineStr">
        <is>
          <t>IRR dai flussi di cassa</t>
        </is>
      </c>
    </row>
    <row r="29">
      <c r="A29" s="8" t="inlineStr">
        <is>
          <t>IRR nominale netto EFFETTIVO (XIRR composto sui flussi)</t>
        </is>
      </c>
      <c r="F29" s="16">
        <f>XIRR(G13:G25,B13:B25)</f>
        <v/>
      </c>
    </row>
    <row r="30">
      <c r="A30" s="8" t="inlineStr">
        <is>
          <t>IRR nominale netto LINEARE (convenzione fogli 2-7)</t>
        </is>
      </c>
      <c r="F30" s="16">
        <f>ROUND(($B$5+$B$6/'1 - Parametri'!B6+$B$9)*(1-$B$7),6)</f>
        <v/>
      </c>
    </row>
    <row r="31">
      <c r="A31" s="8" t="inlineStr">
        <is>
          <t>IRR REALE netto effettivo (XIRR - FOI media)</t>
        </is>
      </c>
      <c r="F31" s="16">
        <f>F29-$B$9</f>
        <v/>
      </c>
    </row>
    <row r="33">
      <c r="A33" s="7" t="inlineStr">
        <is>
          <t>Note metodologiche</t>
        </is>
      </c>
    </row>
    <row r="34" ht="90" customHeight="1">
      <c r="A34" s="10" t="inlineStr">
        <is>
          <t>Date indicative: godimento giugno 2026, cedole semestrali dicembre/giugno (15 del mese convenzionale; acquisto = chiusura collocamento 19/06/2026). Il FOI media e' un'ipotesi di scenario: le cedole effettive varieranno semestre per semestre con l'inflazione FOI rilevata da ISTAT. Il premio fedelta' spetta solo a chi sottoscrive in collocamento e tiene fino a scadenza. XIRR = rendimento composto effettivo sui flussi datati; differisce di pochi centesimi dall'IRR lineare divulgativo usato negli altri fogli (che non compone i reinvestimenti).</t>
        </is>
      </c>
    </row>
  </sheetData>
  <mergeCells count="8">
    <mergeCell ref="C9:G9"/>
    <mergeCell ref="A1:G1"/>
    <mergeCell ref="A34:G34"/>
    <mergeCell ref="A4:G4"/>
    <mergeCell ref="A2:G2"/>
    <mergeCell ref="A33:G33"/>
    <mergeCell ref="A11:G11"/>
    <mergeCell ref="A28:G2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8" defaultRowHeight="15"/>
  <cols>
    <col width="46" customWidth="1" min="1" max="1"/>
    <col width="16" customWidth="1" min="2" max="2"/>
    <col width="34" customWidth="1" min="3" max="3"/>
  </cols>
  <sheetData>
    <row r="1" ht="25" customHeight="1">
      <c r="A1" s="1" t="inlineStr">
        <is>
          <t>Switch: conviene vendere un vecchio BTP Italia per il nuovo Si?</t>
        </is>
      </c>
    </row>
    <row r="2" ht="32" customHeight="1">
      <c r="A2" s="2" t="inlineStr">
        <is>
          <t>Strumento informativo / divulgativo. NON è consulenza finanziaria. I valori sono indicativi al 2026 e vanno verificati col tuo consulente.</t>
        </is>
      </c>
    </row>
    <row r="4">
      <c r="A4" s="7" t="inlineStr">
        <is>
          <t>Il tuo vecchio BTP Italia (quello che valuti di vendere)</t>
        </is>
      </c>
    </row>
    <row r="5">
      <c r="A5" s="8" t="inlineStr">
        <is>
          <t>Nominale posseduto (EUR)</t>
        </is>
      </c>
      <c r="B5" s="13" t="n">
        <v>10000</v>
      </c>
    </row>
    <row r="6">
      <c r="A6" s="8" t="inlineStr">
        <is>
          <t>Prezzo MOT attuale (su 100)</t>
        </is>
      </c>
      <c r="B6" s="14" t="n">
        <v>101.4</v>
      </c>
    </row>
    <row r="7">
      <c r="A7" s="8" t="inlineStr">
        <is>
          <t>Tasso reale del vecchio (% annuo)</t>
        </is>
      </c>
      <c r="B7" s="9" t="n">
        <v>0.0185</v>
      </c>
    </row>
    <row r="8">
      <c r="A8" s="8" t="inlineStr">
        <is>
          <t>Anni residui alla scadenza</t>
        </is>
      </c>
      <c r="B8" s="11" t="n">
        <v>6</v>
      </c>
    </row>
    <row r="10">
      <c r="A10" s="7" t="inlineStr">
        <is>
          <t>Il nuovo BTP Italia Si (in emissione, a 100)</t>
        </is>
      </c>
    </row>
    <row r="11">
      <c r="A11" s="8" t="inlineStr">
        <is>
          <t>Tasso reale</t>
        </is>
      </c>
      <c r="B11" s="16">
        <f>'1 - Parametri'!B5</f>
        <v/>
      </c>
    </row>
    <row r="12">
      <c r="A12" s="8" t="inlineStr">
        <is>
          <t>Premio fedelta' (a scadenza)</t>
        </is>
      </c>
      <c r="B12" s="16">
        <f>'1 - Parametri'!B7</f>
        <v/>
      </c>
    </row>
    <row r="13">
      <c r="A13" s="8" t="inlineStr">
        <is>
          <t>Durata (anni)</t>
        </is>
      </c>
      <c r="B13" s="19">
        <f>'1 - Parametri'!B6</f>
        <v/>
      </c>
    </row>
    <row r="14">
      <c r="A14" s="8" t="inlineStr">
        <is>
          <t>Rendimento reale annuo (comprato a 100)</t>
        </is>
      </c>
      <c r="B14" s="16">
        <f>B11+B12/B13</f>
        <v/>
      </c>
    </row>
    <row r="16">
      <c r="A16" s="7" t="inlineStr">
        <is>
          <t>Confronto: rendimento reale annuo DA OGGI</t>
        </is>
      </c>
    </row>
    <row r="17">
      <c r="A17" s="8" t="inlineStr">
        <is>
          <t>Vecchio, tenuto a scadenza (sul prezzo attuale)</t>
        </is>
      </c>
      <c r="B17" s="16">
        <f>(B7*100+(100-B6)/B8)/B6</f>
        <v/>
      </c>
    </row>
    <row r="18">
      <c r="A18" s="8" t="inlineStr">
        <is>
          <t>Nuovo Si (comprato a 100)</t>
        </is>
      </c>
      <c r="B18" s="16">
        <f>B14</f>
        <v/>
      </c>
    </row>
    <row r="19">
      <c r="A19" s="8" t="inlineStr">
        <is>
          <t>Differenza annua (Si - vecchio)</t>
        </is>
      </c>
      <c r="B19" s="31">
        <f>B18-B17</f>
        <v/>
      </c>
    </row>
    <row r="20">
      <c r="A20" s="8" t="inlineStr">
        <is>
          <t>Vantaggio stimato dello switch (su 5 anni)</t>
        </is>
      </c>
      <c r="B20" s="32">
        <f>B19*B13*(B5*B6/100)</f>
        <v/>
      </c>
    </row>
    <row r="22">
      <c r="A22" s="7" t="inlineStr">
        <is>
          <t>Verdetto</t>
        </is>
      </c>
    </row>
    <row r="23">
      <c r="A23" s="8" t="inlineStr">
        <is>
          <t>Conviene lo switch?</t>
        </is>
      </c>
      <c r="B23" s="25">
        <f>IF(B18&gt;B17,"SI - valuta lo switch","NO - tieni il vecchio")</f>
        <v/>
      </c>
    </row>
    <row r="24">
      <c r="A24" s="8" t="inlineStr">
        <is>
          <t>Prezzo di indifferenza del vecchio</t>
        </is>
      </c>
      <c r="B24" s="24">
        <f>(B7*100+100/B8)/(B18+1/B8)</f>
        <v/>
      </c>
    </row>
    <row r="26" ht="45" customHeight="1">
      <c r="A26" s="10" t="inlineStr">
        <is>
          <t>Logica: confronta il rendimento reale annuo che otterresti DA OGGI tenendo il vecchio (penalizzato se quota sopra 100, perche' a scadenza torna a 100) contro il Si comprato a 100. Se il vecchio quota SOPRA il prezzo di indifferenza, lo switch inizia ad avere senso.</t>
        </is>
      </c>
    </row>
    <row r="29" ht="60" customHeight="1">
      <c r="A29" s="10" t="inlineStr">
        <is>
          <t>Attenzione: vendendo il vecchio perdi il rateo/rivalutazione gia' maturati e il suo premio fedelta'; paghi spread ed esecuzione. Per piccoli importi il vantaggio e' spesso di pochi euro. Stima semplificata (rendimento 'semplice', cedole non reinvestite). NON e' consulenza finanziaria.</t>
        </is>
      </c>
    </row>
    <row r="32">
      <c r="A32" s="7" t="inlineStr">
        <is>
          <t>Dati grafico break-even (prezzo del vecchio -&gt; rendimento reale)</t>
        </is>
      </c>
    </row>
    <row r="33">
      <c r="A33" s="22" t="inlineStr">
        <is>
          <t>Prezzo vecchio</t>
        </is>
      </c>
      <c r="B33" s="22" t="inlineStr">
        <is>
          <t>Vecchio (rend. reale)</t>
        </is>
      </c>
      <c r="C33" s="22" t="inlineStr">
        <is>
          <t>Nuovo Si (rend. reale)</t>
        </is>
      </c>
    </row>
    <row r="34">
      <c r="A34" s="11" t="n">
        <v>98</v>
      </c>
      <c r="B34" s="16">
        <f>(B$7*100+(100-A34)/B$8)/A34</f>
        <v/>
      </c>
      <c r="C34" s="16">
        <f>B$14</f>
        <v/>
      </c>
    </row>
    <row r="35">
      <c r="A35" s="11" t="n">
        <v>99</v>
      </c>
      <c r="B35" s="16">
        <f>(B$7*100+(100-A35)/B$8)/A35</f>
        <v/>
      </c>
      <c r="C35" s="16">
        <f>B$14</f>
        <v/>
      </c>
    </row>
    <row r="36">
      <c r="A36" s="11" t="n">
        <v>100</v>
      </c>
      <c r="B36" s="16">
        <f>(B$7*100+(100-A36)/B$8)/A36</f>
        <v/>
      </c>
      <c r="C36" s="16">
        <f>B$14</f>
        <v/>
      </c>
    </row>
    <row r="37">
      <c r="A37" s="11" t="n">
        <v>101</v>
      </c>
      <c r="B37" s="16">
        <f>(B$7*100+(100-A37)/B$8)/A37</f>
        <v/>
      </c>
      <c r="C37" s="16">
        <f>B$14</f>
        <v/>
      </c>
    </row>
    <row r="38">
      <c r="A38" s="11" t="n">
        <v>102</v>
      </c>
      <c r="B38" s="16">
        <f>(B$7*100+(100-A38)/B$8)/A38</f>
        <v/>
      </c>
      <c r="C38" s="16">
        <f>B$14</f>
        <v/>
      </c>
    </row>
    <row r="39">
      <c r="A39" s="11" t="n">
        <v>103</v>
      </c>
      <c r="B39" s="16">
        <f>(B$7*100+(100-A39)/B$8)/A39</f>
        <v/>
      </c>
      <c r="C39" s="16">
        <f>B$14</f>
        <v/>
      </c>
    </row>
    <row r="40">
      <c r="A40" s="11" t="n">
        <v>104</v>
      </c>
      <c r="B40" s="16">
        <f>(B$7*100+(100-A40)/B$8)/A40</f>
        <v/>
      </c>
      <c r="C40" s="16">
        <f>B$14</f>
        <v/>
      </c>
    </row>
    <row r="41">
      <c r="A41" s="11" t="n">
        <v>105</v>
      </c>
      <c r="B41" s="16">
        <f>(B$7*100+(100-A41)/B$8)/A41</f>
        <v/>
      </c>
      <c r="C41" s="16">
        <f>B$14</f>
        <v/>
      </c>
    </row>
  </sheetData>
  <mergeCells count="9">
    <mergeCell ref="A10:C10"/>
    <mergeCell ref="A1:C1"/>
    <mergeCell ref="A16:C16"/>
    <mergeCell ref="A32:C32"/>
    <mergeCell ref="A22:C22"/>
    <mergeCell ref="A29:C29"/>
    <mergeCell ref="A4:C4"/>
    <mergeCell ref="A26:C26"/>
    <mergeCell ref="A2:C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2026-06-12T12:13:09Z</dcterms:created>
  <dcterms:modified xsi:type="dcterms:W3CDTF">2026-06-20T16:19:27Z</dcterms:modified>
</cp:coreProperties>
</file>