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1,6% (giu 2030)</t>
        </is>
      </c>
    </row>
    <row r="8" ht="22" customHeight="1">
      <c r="A8" s="4" t="inlineStr">
        <is>
          <t>4 - BTP Valore</t>
        </is>
      </c>
      <c r="B8" s="5" t="inlineStr">
        <is>
          <t>Step-up 2,60/3,20/3,80 + YTM a prezzo MOT 98,65</t>
        </is>
      </c>
    </row>
    <row r="9" ht="22" customHeight="1">
      <c r="A9" s="4" t="inlineStr">
        <is>
          <t>5 - BTP Futura</t>
        </is>
      </c>
      <c r="B9" s="5" t="inlineStr">
        <is>
          <t>Storico 4a emissione + YTM a prezzo MOT 86,15</t>
        </is>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marzo 2028 (IT0005532723, scad. 14/03/2028) tasso reale 2,0%; giugno 2030 (IT0005497000) tasso reale 1,6%</t>
        </is>
      </c>
    </row>
    <row r="25">
      <c r="A25" s="5" t="inlineStr">
        <is>
          <t>• MEF - BTP Valore marzo 2026 (IT0005696338) step-up DEFINITIVI 2,60/3,20/3,80% + premio 0,8%, scadenza 10 mar 2032</t>
        </is>
      </c>
    </row>
    <row r="26">
      <c r="A26" s="5" t="inlineStr">
        <is>
          <t>• MEF - BTP Futura 4a emissione nov 2021 (IT0005466351), 12 anni step-up DEFINITIVI 0,75/1,35/1,70% + doppio premio PIL (solo sottoscrittori originali), scadenza 16 nov 2033</t>
        </is>
      </c>
    </row>
    <row r="27">
      <c r="A27" s="5" t="inlineStr">
        <is>
          <t>• Borsa Italiana MOT - prezzi ufficiali 09/06/2026: mar 2028 101,97; giu 2030 101,92; Valore 98,65; Futura 86,15</t>
        </is>
      </c>
    </row>
    <row r="28">
      <c r="A28" s="5" t="inlineStr">
        <is>
          <t>• MEF Tesoro - Calendario aste BTP nominali maggio 2026 (asta 13 e 28 maggio)</t>
        </is>
      </c>
    </row>
    <row r="29">
      <c r="A29" s="5" t="inlineStr">
        <is>
          <t>• Banca d'Italia - Risultati aste BTP nominali 2026 (rendimenti curva 2y-10y)</t>
        </is>
      </c>
    </row>
    <row r="30">
      <c r="A30" s="5" t="inlineStr">
        <is>
          <t>• ISTAT - Indice FOI per famiglie operai e impiegati (escluso tabacchi) - meccanismo BTP Italia</t>
        </is>
      </c>
    </row>
    <row r="31">
      <c r="A31" s="5" t="inlineStr">
        <is>
          <t>• Eurostat - HICP eurozona per BTPi (non incluso in matrice; alternativa istituzionale)</t>
        </is>
      </c>
    </row>
    <row r="32">
      <c r="A32" s="5" t="inlineStr">
        <is>
          <t>• Borsa Italiana MOT - mercato secondario BTP retail (liquidita' supportata da Dealer MEF)</t>
        </is>
      </c>
    </row>
    <row r="34">
      <c r="A34"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60" customHeight="1">
      <c r="A11" s="8" t="inlineStr">
        <is>
          <t>BTP Italia mar 2028 - cedola reale annua</t>
        </is>
      </c>
      <c r="B11" s="9" t="n">
        <v>0.02</v>
      </c>
      <c r="D11" s="10" t="inlineStr">
        <is>
          <t>MEF IT0005532723, scadenza 14/03/2028: tasso reale 2,0% sul prospetto (rendimento per chi compra a 100). NB: il titolo e' MARZO 2028, la serie 'mag 2028' non esiste.</t>
        </is>
      </c>
    </row>
    <row r="12" ht="30" customHeight="1">
      <c r="A12" s="8" t="inlineStr">
        <is>
          <t>BTP Italia giu 2030 - cedola reale annua</t>
        </is>
      </c>
      <c r="B12" s="9" t="n">
        <v>0.016</v>
      </c>
      <c r="D12" s="10" t="inlineStr">
        <is>
          <t>MEF IT0005497000, scadenza 28/06/2030: tasso reale 1,6% sul prospetto</t>
        </is>
      </c>
    </row>
    <row r="14">
      <c r="A14" s="7" t="inlineStr">
        <is>
          <t>BTP Valore (7a emissione marzo 2026, ISIN IT0005696338, secondario)</t>
        </is>
      </c>
    </row>
    <row r="15" ht="15" customHeight="1">
      <c r="A15" s="8" t="inlineStr">
        <is>
          <t>Cedola step-up anni 1-2</t>
        </is>
      </c>
      <c r="B15" s="9" t="n">
        <v>0.026</v>
      </c>
      <c r="D15" s="10" t="inlineStr">
        <is>
          <t>MEF: 2,60% definitivo (cedole trimestrali)</t>
        </is>
      </c>
    </row>
    <row r="16" ht="30" customHeight="1">
      <c r="A16" s="8" t="inlineStr">
        <is>
          <t>Cedola step-up anni 3-4</t>
        </is>
      </c>
      <c r="B16" s="9" t="n">
        <v>0.032</v>
      </c>
      <c r="D16" s="10" t="inlineStr">
        <is>
          <t>MEF: 3,20% definitivo (il 2,80 era il minimo garantito pre-collocamento)</t>
        </is>
      </c>
    </row>
    <row r="17" ht="15" customHeight="1">
      <c r="A17" s="8" t="inlineStr">
        <is>
          <t>Cedola step-up anni 5-6</t>
        </is>
      </c>
      <c r="B17" s="9" t="n">
        <v>0.038</v>
      </c>
      <c r="D17" s="10" t="inlineStr">
        <is>
          <t>MEF: 3,80% (definitivo)</t>
        </is>
      </c>
    </row>
    <row r="18" ht="30" customHeight="1">
      <c r="A18" s="8" t="inlineStr">
        <is>
          <t>Premio fedelta'</t>
        </is>
      </c>
      <c r="B18" s="9" t="n">
        <v>0.008</v>
      </c>
      <c r="D18" s="10" t="inlineStr">
        <is>
          <t>MEF: 0,8% del capitale a scadenza (solo sottoscrittori in collocamento)</t>
        </is>
      </c>
    </row>
    <row r="19" ht="15" customHeight="1">
      <c r="A19" s="8" t="inlineStr">
        <is>
          <t>Durata (anni)</t>
        </is>
      </c>
      <c r="B19" s="11" t="n">
        <v>6</v>
      </c>
      <c r="D19" s="10" t="inlineStr">
        <is>
          <t>Scadenza 10 mar 2032</t>
        </is>
      </c>
    </row>
    <row r="21">
      <c r="A21" s="7" t="inlineStr">
        <is>
          <t>BTP Futura 4a emissione nov 2021 (sospeso, ISIN IT0005466351 sul MOT)</t>
        </is>
      </c>
    </row>
    <row r="22" ht="30" customHeight="1">
      <c r="A22" s="8" t="inlineStr">
        <is>
          <t>Cedola step-up anni 1-4</t>
        </is>
      </c>
      <c r="B22" s="9" t="n">
        <v>0.0075</v>
      </c>
      <c r="D22" s="10" t="inlineStr">
        <is>
          <t>MEF 4a emissione nov 2021, step DEFINITIVI: 0,75% (NON 0,35 = 2a emissione)</t>
        </is>
      </c>
    </row>
    <row r="23" ht="15" customHeight="1">
      <c r="A23" s="8" t="inlineStr">
        <is>
          <t>Cedola step-up anni 5-8</t>
        </is>
      </c>
      <c r="B23" s="9" t="n">
        <v>0.0135</v>
      </c>
      <c r="D23" s="10" t="inlineStr">
        <is>
          <t>MEF definitivo: 1,35% (anni 5-8)</t>
        </is>
      </c>
    </row>
    <row r="24" ht="15" customHeight="1">
      <c r="A24" s="8" t="inlineStr">
        <is>
          <t>Cedola step-up anni 9-12</t>
        </is>
      </c>
      <c r="B24" s="9" t="n">
        <v>0.017</v>
      </c>
      <c r="D24" s="10" t="inlineStr">
        <is>
          <t>MEF definitivo: 1,70% (anni 9-12)</t>
        </is>
      </c>
    </row>
    <row r="25" ht="30" customHeight="1">
      <c r="A25" s="8" t="inlineStr">
        <is>
          <t>Premio fedelta' min (PIL)</t>
        </is>
      </c>
      <c r="B25" s="9" t="n">
        <v>0.004</v>
      </c>
      <c r="D25" s="10" t="inlineStr">
        <is>
          <t>Floor 0,4% se PIL nominale basso (solo sottoscrittori originali)</t>
        </is>
      </c>
    </row>
    <row r="26" ht="30" customHeight="1">
      <c r="A26" s="8" t="inlineStr">
        <is>
          <t>Premio fedelta' max (PIL)</t>
        </is>
      </c>
      <c r="B26" s="9" t="n">
        <v>0.03</v>
      </c>
      <c r="D26" s="10" t="inlineStr">
        <is>
          <t>Cap 3,0% se PIL nominale alto (solo sottoscrittori originali)</t>
        </is>
      </c>
    </row>
    <row r="27" ht="30" customHeight="1">
      <c r="A27" s="8" t="inlineStr">
        <is>
          <t>Durata (anni)</t>
        </is>
      </c>
      <c r="B27" s="11" t="n">
        <v>12</v>
      </c>
      <c r="D27" s="10" t="inlineStr">
        <is>
          <t>4a emissione (4+4+4 step-up), scadenza 16/11/2033</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15" customHeight="1">
      <c r="A47" s="10" t="inlineStr">
        <is>
          <t>Quotazione ufficiale MOT 09/06/2026: 101,97 (100 = par). Aggiorna col valore corrente quando cambia il mercato.</t>
        </is>
      </c>
    </row>
    <row r="48">
      <c r="A48" s="8" t="inlineStr">
        <is>
          <t>Prezzo secondario BTP Italia giu 2030</t>
        </is>
      </c>
      <c r="B48" s="14" t="n">
        <v>101.92</v>
      </c>
      <c r="C48" s="8" t="inlineStr">
        <is>
          <t>Anni residui</t>
        </is>
      </c>
      <c r="D48" s="15" t="n">
        <v>4</v>
      </c>
    </row>
    <row r="49" ht="15" customHeight="1">
      <c r="A49" s="10" t="inlineStr">
        <is>
          <t>Quotazione ufficiale MOT 09/06/2026: 101,92. Aggiorna col valore corrente quando cambia il mercato.</t>
        </is>
      </c>
    </row>
    <row r="50">
      <c r="A50" s="8" t="inlineStr">
        <is>
          <t>YTM reale mar 2028 (per chi compra al MOT oggi)</t>
        </is>
      </c>
      <c r="B50" s="16">
        <f>(B11*100+(100-B46)/D46)/((100+B46)/2)</f>
        <v/>
      </c>
    </row>
    <row r="51" ht="15" customHeight="1">
      <c r="A51" s="10" t="inlineStr">
        <is>
          <t>Formula bond equiv. yield. Cedola 2,0% sul prospetto, ma a prezzo 101,97 con 1,8y residui → YTM reale ~0,9%.</t>
        </is>
      </c>
    </row>
    <row r="52">
      <c r="A52" s="8" t="inlineStr">
        <is>
          <t>YTM reale giu 2030 (per chi compra al MOT oggi)</t>
        </is>
      </c>
      <c r="B52" s="16">
        <f>(B12*100+(100-B48)/D48)/((100+B48)/2)</f>
        <v/>
      </c>
    </row>
    <row r="53" ht="15" customHeight="1">
      <c r="A53" s="10" t="inlineStr">
        <is>
          <t>Cedola 1,6% sul prospetto, a prezzo 101,92 con 4y residui → YTM reale ~1,1%.</t>
        </is>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30" customHeight="1">
      <c r="A65" s="10" t="inlineStr">
        <is>
          <t>Quotazione ufficiale MOT 09/06/2026: 98,65 (SOTTO la pari). Scadenza 10/03/2032. Il premio fedelta' 0,8% NON spetta a chi compra sul MOT.</t>
        </is>
      </c>
    </row>
    <row r="66">
      <c r="A66" s="8" t="inlineStr">
        <is>
          <t>Prezzo MOT BTP Futura nov 2033</t>
        </is>
      </c>
      <c r="B66" s="14" t="n">
        <v>86.15000000000001</v>
      </c>
      <c r="C66" s="8" t="inlineStr">
        <is>
          <t>Anni residui</t>
        </is>
      </c>
      <c r="D66" s="14" t="n">
        <v>7.4</v>
      </c>
    </row>
    <row r="67" ht="30" customHeight="1">
      <c r="A67" s="10" t="inlineStr">
        <is>
          <t>Quotazione ufficiale MOT 09/06/2026: 86,15 (forte sconto sotto par → YTM lordo ~3,65%). Scadenza 16/11/2033. Il doppio premio PIL NON spetta a chi compra sul MOT.</t>
        </is>
      </c>
    </row>
    <row r="69">
      <c r="A69" s="7" t="inlineStr">
        <is>
          <t>Anagrafica ISIN (Borsa Italiana MOT)</t>
        </is>
      </c>
    </row>
    <row r="70" ht="30" customHeight="1">
      <c r="A70" s="8" t="inlineStr">
        <is>
          <t>BTP Italia mar 2028</t>
        </is>
      </c>
      <c r="B70" s="17" t="inlineStr">
        <is>
          <t>IT0005532723</t>
        </is>
      </c>
      <c r="D70" s="10" t="inlineStr">
        <is>
          <t>Scadenza 14/03/2028 (il titolo e' MARZO 2028: la serie 'mag 2028' non esiste)</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t="inlineStr">
        <is>
          <t>1 - Disinflazione 1,0%</t>
        </is>
      </c>
      <c r="B13" s="19">
        <f>'1 - Parametri'!B37</f>
        <v/>
      </c>
      <c r="C13" s="16">
        <f>$B$5+B13</f>
        <v/>
      </c>
      <c r="D13" s="16">
        <f>C13*(1-$B$8)</f>
        <v/>
      </c>
      <c r="E13" s="20">
        <f>$B$9*D13</f>
        <v/>
      </c>
    </row>
    <row r="14">
      <c r="A14" s="8" t="inlineStr">
        <is>
          <t>2 - Base BCE 2,0%</t>
        </is>
      </c>
      <c r="B14" s="19">
        <f>'1 - Parametri'!B38</f>
        <v/>
      </c>
      <c r="C14" s="16">
        <f>$B$5+B14</f>
        <v/>
      </c>
      <c r="D14" s="16">
        <f>C14*(1-$B$8)</f>
        <v/>
      </c>
      <c r="E14" s="20">
        <f>$B$9*D14</f>
        <v/>
      </c>
    </row>
    <row r="15">
      <c r="A15" s="8" t="inlineStr">
        <is>
          <t>3 - Persistente 3,0%</t>
        </is>
      </c>
      <c r="B15" s="19">
        <f>'1 - Parametri'!B39</f>
        <v/>
      </c>
      <c r="C15" s="16">
        <f>$B$5+B15</f>
        <v/>
      </c>
      <c r="D15" s="16">
        <f>C15*(1-$B$8)</f>
        <v/>
      </c>
      <c r="E15" s="20">
        <f>$B$9*D15</f>
        <v/>
      </c>
    </row>
    <row r="16">
      <c r="A16" s="8" t="inlineStr">
        <is>
          <t>4 - Stress geopol. 4,5%</t>
        </is>
      </c>
      <c r="B16" s="19">
        <f>'1 - Parametri'!B40</f>
        <v/>
      </c>
      <c r="C16" s="16">
        <f>$B$5+B16</f>
        <v/>
      </c>
      <c r="D16" s="16">
        <f>C16*(1-$B$8)</f>
        <v/>
      </c>
      <c r="E16" s="20">
        <f>$B$9*D16</f>
        <v/>
      </c>
    </row>
    <row r="18">
      <c r="A18" s="7" t="inlineStr">
        <is>
          <t>Rendimento totale finale 5 anni (netto, con premio 0,6%)</t>
        </is>
      </c>
    </row>
    <row r="19">
      <c r="A19" s="21" t="inlineStr">
        <is>
          <t>Scenario</t>
        </is>
      </c>
      <c r="B19" s="21" t="inlineStr">
        <is>
          <t>Cedole nette tot 5y</t>
        </is>
      </c>
      <c r="C19" s="21" t="inlineStr">
        <is>
          <t>Premio netto fedelta'</t>
        </is>
      </c>
      <c r="D19" s="21" t="inlineStr">
        <is>
          <t>Tot. netto incassato</t>
        </is>
      </c>
      <c r="E19" s="21" t="inlineStr">
        <is>
          <t>IRR nom netto annuo (lineare)</t>
        </is>
      </c>
      <c r="F19" s="21" t="inlineStr">
        <is>
          <t>IRR reale netto</t>
        </is>
      </c>
    </row>
    <row r="20">
      <c r="A20" s="8" t="inlineStr">
        <is>
          <t>1 - Disinflazione 1,0%</t>
        </is>
      </c>
      <c r="B20" s="20">
        <f>E13*$B$6</f>
        <v/>
      </c>
      <c r="C20" s="20">
        <f>$B$9*$B$7*(1-$B$8)</f>
        <v/>
      </c>
      <c r="D20" s="20">
        <f>B20+C20</f>
        <v/>
      </c>
      <c r="E20" s="16">
        <f>ROUND(($B$5+$B$7/$B$6+B13)*(1-$B$8),6)</f>
        <v/>
      </c>
      <c r="F20" s="16">
        <f>E20-B13</f>
        <v/>
      </c>
    </row>
    <row r="21">
      <c r="A21" s="8" t="inlineStr">
        <is>
          <t>2 - Base BCE 2,0%</t>
        </is>
      </c>
      <c r="B21" s="20">
        <f>E14*$B$6</f>
        <v/>
      </c>
      <c r="C21" s="20">
        <f>$B$9*$B$7*(1-$B$8)</f>
        <v/>
      </c>
      <c r="D21" s="20">
        <f>B21+C21</f>
        <v/>
      </c>
      <c r="E21" s="16">
        <f>ROUND(($B$5+$B$7/$B$6+B14)*(1-$B$8),6)</f>
        <v/>
      </c>
      <c r="F21" s="16">
        <f>E21-B14</f>
        <v/>
      </c>
    </row>
    <row r="22">
      <c r="A22" s="8" t="inlineStr">
        <is>
          <t>3 - Persistente 3,0%</t>
        </is>
      </c>
      <c r="B22" s="20">
        <f>E15*$B$6</f>
        <v/>
      </c>
      <c r="C22" s="20">
        <f>$B$9*$B$7*(1-$B$8)</f>
        <v/>
      </c>
      <c r="D22" s="20">
        <f>B22+C22</f>
        <v/>
      </c>
      <c r="E22" s="16">
        <f>ROUND(($B$5+$B$7/$B$6+B15)*(1-$B$8),6)</f>
        <v/>
      </c>
      <c r="F22" s="16">
        <f>E22-B15</f>
        <v/>
      </c>
    </row>
    <row r="23">
      <c r="A23" s="8" t="inlineStr">
        <is>
          <t>4 - Stress geopol. 4,5%</t>
        </is>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t="inlineStr">
        <is>
          <t>FOI cumulata 5y</t>
        </is>
      </c>
      <c r="C11" s="21" t="inlineStr">
        <is>
          <t>Capitale rivalutato</t>
        </is>
      </c>
      <c r="D11" s="21" t="inlineStr">
        <is>
          <t>Cedole nette 5y (su cap. rivalut.)</t>
        </is>
      </c>
      <c r="E11" s="21" t="inlineStr">
        <is>
          <t>Tot. netto 5y (cedole + rivalut.)</t>
        </is>
      </c>
    </row>
    <row r="12">
      <c r="A12" s="8" t="inlineStr">
        <is>
          <t>1 - Disinflazione 1,0%</t>
        </is>
      </c>
      <c r="B12" s="19">
        <f>'1 - Parametri'!B37</f>
        <v/>
      </c>
      <c r="C12" s="20">
        <f>$B$8*(1+B12)^$B$6</f>
        <v/>
      </c>
      <c r="D12" s="20">
        <f>$B$5*$B$8*((1+B12)^$B$6-1)/B12*(1-$B$7)</f>
        <v/>
      </c>
      <c r="E12" s="20">
        <f>(C12-$B$8)*(1-$B$7)+D12</f>
        <v/>
      </c>
    </row>
    <row r="13">
      <c r="A13" s="8" t="inlineStr">
        <is>
          <t>2 - Base BCE 2,0%</t>
        </is>
      </c>
      <c r="B13" s="19">
        <f>'1 - Parametri'!B38</f>
        <v/>
      </c>
      <c r="C13" s="20">
        <f>$B$8*(1+B13)^$B$6</f>
        <v/>
      </c>
      <c r="D13" s="20">
        <f>$B$5*$B$8*((1+B13)^$B$6-1)/B13*(1-$B$7)</f>
        <v/>
      </c>
      <c r="E13" s="20">
        <f>(C13-$B$8)*(1-$B$7)+D13</f>
        <v/>
      </c>
    </row>
    <row r="14">
      <c r="A14" s="8" t="inlineStr">
        <is>
          <t>3 - Persistente 3,0%</t>
        </is>
      </c>
      <c r="B14" s="19">
        <f>'1 - Parametri'!B39</f>
        <v/>
      </c>
      <c r="C14" s="20">
        <f>$B$8*(1+B14)^$B$6</f>
        <v/>
      </c>
      <c r="D14" s="20">
        <f>$B$5*$B$8*((1+B14)^$B$6-1)/B14*(1-$B$7)</f>
        <v/>
      </c>
      <c r="E14" s="20">
        <f>(C14-$B$8)*(1-$B$7)+D14</f>
        <v/>
      </c>
    </row>
    <row r="15">
      <c r="A15" s="8" t="inlineStr">
        <is>
          <t>4 - Stress geopol. 4,5%</t>
        </is>
      </c>
      <c r="B15" s="19">
        <f>'1 - Parametri'!B40</f>
        <v/>
      </c>
      <c r="C15" s="20">
        <f>$B$8*(1+B15)^$B$6</f>
        <v/>
      </c>
      <c r="D15" s="20">
        <f>$B$5*$B$8*((1+B15)^$B$6-1)/B15*(1-$B$7)</f>
        <v/>
      </c>
      <c r="E15" s="20">
        <f>(C15-$B$8)*(1-$B$7)+D15</f>
        <v/>
      </c>
    </row>
    <row r="17">
      <c r="A17" s="7" t="inlineStr">
        <is>
          <t>IRR netto annuo a confronto</t>
        </is>
      </c>
    </row>
    <row r="18">
      <c r="A18" s="21" t="inlineStr">
        <is>
          <t>Scenario</t>
        </is>
      </c>
      <c r="B18" s="21" t="inlineStr">
        <is>
          <t>Tot. netto 5y</t>
        </is>
      </c>
      <c r="C18" s="21" t="inlineStr">
        <is>
          <t>IRR netto annuo</t>
        </is>
      </c>
    </row>
    <row r="19">
      <c r="A19" s="8" t="inlineStr">
        <is>
          <t>1 - Disinflazione 1,0%</t>
        </is>
      </c>
      <c r="B19" s="20">
        <f>E12</f>
        <v/>
      </c>
      <c r="C19" s="16">
        <f>((E12+$B$8)/$B$8)^(1/$B$6)-1</f>
        <v/>
      </c>
    </row>
    <row r="20">
      <c r="A20" s="8" t="inlineStr">
        <is>
          <t>2 - Base BCE 2,0%</t>
        </is>
      </c>
      <c r="B20" s="20">
        <f>E13</f>
        <v/>
      </c>
      <c r="C20" s="16">
        <f>((E13+$B$8)/$B$8)^(1/$B$6)-1</f>
        <v/>
      </c>
    </row>
    <row r="21">
      <c r="A21" s="8" t="inlineStr">
        <is>
          <t>3 - Persistente 3,0%</t>
        </is>
      </c>
      <c r="B21" s="20">
        <f>E14</f>
        <v/>
      </c>
      <c r="C21" s="16">
        <f>((E14+$B$8)/$B$8)^(1/$B$6)-1</f>
        <v/>
      </c>
    </row>
    <row r="22">
      <c r="A22" s="8" t="inlineStr">
        <is>
          <t>4 - Stress geopol. 4,5%</t>
        </is>
      </c>
      <c r="B22" s="20">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t="inlineStr">
        <is>
          <t>Anni 1-2 (2,60%)</t>
        </is>
      </c>
      <c r="B15" s="16">
        <f>B5</f>
        <v/>
      </c>
      <c r="C15" s="22">
        <f>B5*(1-$B$10)</f>
        <v/>
      </c>
      <c r="D15" s="20">
        <f>$B$11*C15</f>
        <v/>
      </c>
      <c r="E15" s="20">
        <f>D15*2</f>
        <v/>
      </c>
    </row>
    <row r="16">
      <c r="A16" s="8" t="inlineStr">
        <is>
          <t>Anni 3-4 (3,20%)</t>
        </is>
      </c>
      <c r="B16" s="16">
        <f>B6</f>
        <v/>
      </c>
      <c r="C16" s="22">
        <f>B6*(1-$B$10)</f>
        <v/>
      </c>
      <c r="D16" s="20">
        <f>$B$11*C16</f>
        <v/>
      </c>
      <c r="E16" s="20">
        <f>D16*2</f>
        <v/>
      </c>
    </row>
    <row r="17">
      <c r="A17" s="8" t="inlineStr">
        <is>
          <t>Anni 5-6 (3,80%)</t>
        </is>
      </c>
      <c r="B17" s="16">
        <f>B7</f>
        <v/>
      </c>
      <c r="C17" s="22">
        <f>B7*(1-$B$10)</f>
        <v/>
      </c>
      <c r="D17" s="20">
        <f>$B$11*C17</f>
        <v/>
      </c>
      <c r="E17" s="20">
        <f>D17*2</f>
        <v/>
      </c>
    </row>
    <row r="19">
      <c r="A19" s="7" t="inlineStr">
        <is>
          <t>Rendimento totale netto 6 anni</t>
        </is>
      </c>
    </row>
    <row r="20">
      <c r="A20" s="8" t="inlineStr">
        <is>
          <t>Tot. cedole nette 6y</t>
        </is>
      </c>
      <c r="B20" s="20">
        <f>E15+E16+E17</f>
        <v/>
      </c>
    </row>
    <row r="21">
      <c r="A21" s="8" t="inlineStr">
        <is>
          <t>Premio fedelta' netto</t>
        </is>
      </c>
      <c r="B21" s="20">
        <f>B11*B8*(1-B10)</f>
        <v/>
      </c>
    </row>
    <row r="22">
      <c r="A22" s="8" t="inlineStr">
        <is>
          <t>Tot. netto 6y</t>
        </is>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t="inlineStr">
        <is>
          <t>Comprato OGGI sul MOT - YTM a prezzo 98,65 (sotto la pari)</t>
        </is>
      </c>
    </row>
    <row r="29">
      <c r="A29" s="8" t="inlineStr">
        <is>
          <t>Prezzo MOT (uff. 09/06/2026)</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t="inlineStr">
        <is>
          <t>YTM netto (tassazione 12,5%)</t>
        </is>
      </c>
      <c r="B33" s="16">
        <f>B32*(1-B10)</f>
        <v/>
      </c>
    </row>
    <row r="34" ht="60" customHeight="1">
      <c r="A34" s="10" t="inlineStr">
        <is>
          <t>Comprato OGGI SOTTO la pari (98,65): il mercato sconta tassi saliti dopo il collocamento, quindi il YTM lordo (~3,48%) e' SUPERIORE alla media delle cedole (~3,23% sugli anni residui). ATTENZIONE: il premio fedelta' 0,8% NON spetta a chi compra sul MOT (solo sottoscrittori in collocamento), percio' il YTM qui sopra NON lo include.</t>
        </is>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t="inlineStr">
        <is>
          <t>1 - Disinflazione 1,0%</t>
        </is>
      </c>
      <c r="B38" s="19">
        <f>'1 - Parametri'!B37</f>
        <v/>
      </c>
      <c r="C38" s="16">
        <f>$B$33-B38</f>
        <v/>
      </c>
    </row>
    <row r="39">
      <c r="A39" s="8" t="inlineStr">
        <is>
          <t>2 - Base BCE 2,0%</t>
        </is>
      </c>
      <c r="B39" s="19">
        <f>'1 - Parametri'!B38</f>
        <v/>
      </c>
      <c r="C39" s="16">
        <f>$B$33-B39</f>
        <v/>
      </c>
    </row>
    <row r="40">
      <c r="A40" s="8" t="inlineStr">
        <is>
          <t>3 - Persistente 3,0%</t>
        </is>
      </c>
      <c r="B40" s="19">
        <f>'1 - Parametri'!B39</f>
        <v/>
      </c>
      <c r="C40" s="16">
        <f>$B$33-B40</f>
        <v/>
      </c>
    </row>
    <row r="41">
      <c r="A41" s="8" t="inlineStr">
        <is>
          <t>4 - Stress geopol. 4,5%</t>
        </is>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t="inlineStr">
        <is>
          <t>Cedole nette 12y</t>
        </is>
      </c>
      <c r="E15" s="21" t="inlineStr">
        <is>
          <t>Tot. netto 12y</t>
        </is>
      </c>
      <c r="F15" s="21" t="inlineStr">
        <is>
          <t>IRR nom netto annuo (lineare)</t>
        </is>
      </c>
    </row>
    <row r="16">
      <c r="A16" s="8" t="inlineStr">
        <is>
          <t>Bassa (PIL 1,5%)</t>
        </is>
      </c>
      <c r="B16" s="12" t="n">
        <v>0.015</v>
      </c>
      <c r="C16" s="16">
        <f>MAX($B$8,MIN($B$9,0.4*B16))</f>
        <v/>
      </c>
      <c r="D16" s="20">
        <f>$B$12*(4*$B$5+4*$B$6+4*$B$7)*(1-$B$11)</f>
        <v/>
      </c>
      <c r="E16" s="20">
        <f>D16+$B$12*C16*(1-$B$11)</f>
        <v/>
      </c>
      <c r="F16" s="16">
        <f>E16/$B$12/$B$10</f>
        <v/>
      </c>
    </row>
    <row r="17">
      <c r="A17" s="8" t="inlineStr">
        <is>
          <t>Base (PIL 3,0%)</t>
        </is>
      </c>
      <c r="B17" s="12" t="n">
        <v>0.03</v>
      </c>
      <c r="C17" s="16">
        <f>MAX($B$8,MIN($B$9,0.4*B17))</f>
        <v/>
      </c>
      <c r="D17" s="20">
        <f>$B$12*(4*$B$5+4*$B$6+4*$B$7)*(1-$B$11)</f>
        <v/>
      </c>
      <c r="E17" s="20">
        <f>D17+$B$12*C17*(1-$B$11)</f>
        <v/>
      </c>
      <c r="F17" s="16">
        <f>E17/$B$12/$B$10</f>
        <v/>
      </c>
    </row>
    <row r="18">
      <c r="A18" s="8" t="inlineStr">
        <is>
          <t>Alta (PIL 4,5%)</t>
        </is>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45" customHeight="1">
      <c r="A21" s="10" t="inlineStr">
        <is>
          <t>La tabella sopra RICOSTRUISCE il collocamento nov 2021 (chi sottoscrisse a 100 con premio PIL). Struttura step-up 4+4+4 anni DEFINITIVA 4a emissione (1-4: 0,75%, 5-8: 1,35%, 9-12: 1,70%). Per chi compra OGGI vale la sezione qui sotto: prezzo MOT 86,15 e NIENTE premio PIL.</t>
        </is>
      </c>
    </row>
    <row r="23">
      <c r="A23" s="7" t="inlineStr">
        <is>
          <t>Comprato OGGI sul MOT - prezzo 86,15 → YTM lordo ~3,65%</t>
        </is>
      </c>
    </row>
    <row r="24">
      <c r="A24" s="8" t="inlineStr">
        <is>
          <t>Prezzo MOT (uff. 09/06/2026)</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t="inlineStr">
        <is>
          <t>YTM netto (tassazione 12,5%)</t>
        </is>
      </c>
      <c r="B28" s="16">
        <f>B27*(1-B11)</f>
        <v/>
      </c>
    </row>
    <row r="29" ht="45" customHeight="1">
      <c r="A29" s="10" t="inlineStr">
        <is>
          <t>Il forte sconto sotto par (86,15) compensa le cedole basse: quasi tutto il rendimento arriva dal capital gain a scadenza (100-86,15 su 7,4 anni). ATTENZIONE: il doppio premio PIL spetta SOLO ai sottoscrittori originali del nov 2021, NON a chi compra sul MOT — il YTM qui sopra correttamente lo esclude.</t>
        </is>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t="inlineStr">
        <is>
          <t>1 - Disinflazione 1,0%</t>
        </is>
      </c>
      <c r="B33" s="19">
        <f>'1 - Parametri'!B37</f>
        <v/>
      </c>
      <c r="C33" s="16">
        <f>$B$28-B33</f>
        <v/>
      </c>
    </row>
    <row r="34">
      <c r="A34" s="8" t="inlineStr">
        <is>
          <t>2 - Base BCE 2,0%</t>
        </is>
      </c>
      <c r="B34" s="19">
        <f>'1 - Parametri'!B38</f>
        <v/>
      </c>
      <c r="C34" s="16">
        <f>$B$28-B34</f>
        <v/>
      </c>
    </row>
    <row r="35">
      <c r="A35" s="8" t="inlineStr">
        <is>
          <t>3 - Persistente 3,0%</t>
        </is>
      </c>
      <c r="B35" s="19">
        <f>'1 - Parametri'!B39</f>
        <v/>
      </c>
      <c r="C35" s="16">
        <f>$B$28-B35</f>
        <v/>
      </c>
    </row>
    <row r="36">
      <c r="A36" s="8" t="inlineStr">
        <is>
          <t>4 - Stress geopol. 4,5%</t>
        </is>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12,5%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t="inlineStr">
        <is>
          <t>Infl. 1,0%</t>
        </is>
      </c>
      <c r="C5" s="21" t="inlineStr">
        <is>
          <t>Infl. 2,0%</t>
        </is>
      </c>
      <c r="D5" s="21" t="inlineStr">
        <is>
          <t>Infl. 3,0%</t>
        </is>
      </c>
      <c r="E5" s="21" t="inlineStr">
        <is>
          <t>Infl. 4,5%</t>
        </is>
      </c>
    </row>
    <row r="6">
      <c r="A6" s="8" t="inlineStr">
        <is>
          <t>BTP Italia Si (1,2% + FOI)</t>
        </is>
      </c>
      <c r="B6" s="16">
        <f>ROUND(('1 - Parametri'!B5+('1 - Parametri'!B7)/5+'1 - Parametri'!B37)*(1-'1 - Parametri'!B8)-'1 - Parametri'!B37,6)</f>
        <v/>
      </c>
      <c r="C6" s="16">
        <f>ROUND(('1 - Parametri'!B5+('1 - Parametri'!B7)/5+'1 - Parametri'!B38)*(1-'1 - Parametri'!B8)-'1 - Parametri'!B38,6)</f>
        <v/>
      </c>
      <c r="D6" s="16">
        <f>ROUND(('1 - Parametri'!B5+('1 - Parametri'!B7)/5+'1 - Parametri'!B39)*(1-'1 - Parametri'!B8)-'1 - Parametri'!B39,6)</f>
        <v/>
      </c>
      <c r="E6" s="16">
        <f>ROUND(('1 - Parametri'!B5+('1 - Parametri'!B7)/5+'1 -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(YTM lordo MOT ~3,48%)</t>
        </is>
      </c>
      <c r="B8" s="16">
        <f>'4 - BTP Valore'!$B$32*(1-'1 - Parametri'!B8)-'1 - Parametri'!B37</f>
        <v/>
      </c>
      <c r="C8" s="16">
        <f>'4 - BTP Valore'!$B$32*(1-'1 - Parametri'!B8)-'1 - Parametri'!B38</f>
        <v/>
      </c>
      <c r="D8" s="16">
        <f>'4 - BTP Valore'!$B$32*(1-'1 - Parametri'!B8)-'1 - Parametri'!B39</f>
        <v/>
      </c>
      <c r="E8" s="16">
        <f>'4 - BTP Valore'!$B$32*(1-'1 - Parametri'!B8)-'1 - Parametri'!B40</f>
        <v/>
      </c>
    </row>
    <row r="9">
      <c r="A9" s="8" t="inlineStr">
        <is>
          <t>BTP Futura (YTM lordo MOT ~3,65%)</t>
        </is>
      </c>
      <c r="B9" s="16">
        <f>'5 - BTP Futura'!$B$27*(1-'1 - Parametri'!B8)-'1 - Parametri'!B37</f>
        <v/>
      </c>
      <c r="C9" s="16">
        <f>'5 - BTP Futura'!$B$27*(1-'1 - Parametri'!B8)-'1 - Parametri'!B38</f>
        <v/>
      </c>
      <c r="D9" s="16">
        <f>'5 - BTP Futura'!$B$27*(1-'1 - Parametri'!B8)-'1 - Parametri'!B39</f>
        <v/>
      </c>
      <c r="E9" s="16">
        <f>'5 - BTP Futura'!$B$27*(1-'1 - Parametri'!B8)-'1 - Parametri'!B40</f>
        <v/>
      </c>
    </row>
    <row r="10">
      <c r="A10" s="8" t="inlineStr">
        <is>
          <t>BTP nominale 5y (2,90% lordo)</t>
        </is>
      </c>
      <c r="B10" s="16">
        <f>'1 - Parametri'!B32*(1-'1 - Parametri'!B8)-'1 - Parametri'!B37</f>
        <v/>
      </c>
      <c r="C10" s="16">
        <f>'1 - Parametri'!B32*(1-'1 - Parametri'!B8)-'1 - Parametri'!B38</f>
        <v/>
      </c>
      <c r="D10" s="16">
        <f>'1 - Parametri'!B32*(1-'1 - Parametri'!B8)-'1 - Parametri'!B39</f>
        <v/>
      </c>
      <c r="E10" s="16">
        <f>'1 - Parametri'!B32*(1-'1 - Parametri'!B8)-'1 - Parametri'!B40</f>
        <v/>
      </c>
    </row>
    <row r="11">
      <c r="A11" s="8" t="inlineStr">
        <is>
          <t>BTP nominale 10y (3,45% lordo)</t>
        </is>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60" customHeight="1">
      <c r="A14" s="10" t="inlineStr">
        <is>
          <t>BTP Italia Si vince in scenari di inflazione media-alta perche' il tasso fisso e' REALE. BTP Italia classico in inflazione alta ha vantaggio capitale rivalutato. Valore e Futura: YTM da prezzo MOT (comprati OGGI, senza premi fedelta'/PIL), cedola nominale fissa → vincono solo con inflazione bassa. Nominali: vincono solo in disinflazione.</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(1-12,5%)</t>
        </is>
      </c>
      <c r="D5" s="21" t="inlineStr">
        <is>
          <t>Soglia infl. break-even (lorda)</t>
        </is>
      </c>
      <c r="E5" s="21" t="inlineStr">
        <is>
          <t>Verdetto</t>
        </is>
      </c>
    </row>
    <row r="6">
      <c r="A6" s="8" t="inlineStr">
        <is>
          <t>BTP nominale 2y</t>
        </is>
      </c>
      <c r="B6" s="16">
        <f>'1 - Parametri'!B30</f>
        <v/>
      </c>
      <c r="C6" s="16">
        <f>B6*(1-'1 - Parametri'!B8)</f>
        <v/>
      </c>
      <c r="D6" s="16">
        <f>B6-('1 - Parametri'!B5+('1 - Parametri'!B7)/5)</f>
        <v/>
      </c>
      <c r="E6" s="24">
        <f>IF(D6&lt;=0,"Si vince SEMPRE",IF(D6&gt;=0.045,"Si perde quasi sempre","Si vince se FOI &gt; "&amp;ROUND(D6*100,2)&amp;"%"))</f>
        <v/>
      </c>
    </row>
    <row r="7">
      <c r="A7" s="8" t="inlineStr">
        <is>
          <t>BTP nominale 3y</t>
        </is>
      </c>
      <c r="B7" s="16">
        <f>'1 - Parametri'!B31</f>
        <v/>
      </c>
      <c r="C7" s="16">
        <f>B7*(1-'1 - Parametri'!B8)</f>
        <v/>
      </c>
      <c r="D7" s="16">
        <f>B7-('1 - Parametri'!B5+('1 - Parametri'!B7)/5)</f>
        <v/>
      </c>
      <c r="E7" s="24">
        <f>IF(D7&lt;=0,"Si vince SEMPRE",IF(D7&gt;=0.045,"Si perde quasi sempre","Si vince se FOI &gt; "&amp;ROUND(D7*100,2)&amp;"%"))</f>
        <v/>
      </c>
    </row>
    <row r="8">
      <c r="A8" s="8" t="inlineStr">
        <is>
          <t>BTP nominale 5y</t>
        </is>
      </c>
      <c r="B8" s="16">
        <f>'1 - Parametri'!B32</f>
        <v/>
      </c>
      <c r="C8" s="16">
        <f>B8*(1-'1 - Parametri'!B8)</f>
        <v/>
      </c>
      <c r="D8" s="16">
        <f>B8-('1 - Parametri'!B5+('1 - Parametri'!B7)/5)</f>
        <v/>
      </c>
      <c r="E8" s="24">
        <f>IF(D8&lt;=0,"Si vince SEMPRE",IF(D8&gt;=0.045,"Si perde quasi sempre","Si vince se FOI &gt; "&amp;ROUND(D8*100,2)&amp;"%"))</f>
        <v/>
      </c>
    </row>
    <row r="9">
      <c r="A9" s="8" t="inlineStr">
        <is>
          <t>BTP nominale 7y</t>
        </is>
      </c>
      <c r="B9" s="16">
        <f>'1 - Parametri'!B33</f>
        <v/>
      </c>
      <c r="C9" s="16">
        <f>B9*(1-'1 - Parametri'!B8)</f>
        <v/>
      </c>
      <c r="D9" s="16">
        <f>B9-('1 - Parametri'!B5+('1 - Parametri'!B7)/5)</f>
        <v/>
      </c>
      <c r="E9" s="24">
        <f>IF(D9&lt;=0,"Si vince SEMPRE",IF(D9&gt;=0.045,"Si perde quasi sempre","Si vince se FOI &gt; "&amp;ROUND(D9*100,2)&amp;"%"))</f>
        <v/>
      </c>
    </row>
    <row r="10">
      <c r="A10" s="8" t="inlineStr">
        <is>
          <t>BTP nominale 10y</t>
        </is>
      </c>
      <c r="B10" s="16">
        <f>'1 - Parametri'!B34</f>
        <v/>
      </c>
      <c r="C10" s="16">
        <f>B10*(1-'1 - Parametri'!B8)</f>
        <v/>
      </c>
      <c r="D10" s="16">
        <f>B10-('1 - Parametri'!B5+('1 - Parametri'!B7)/5)</f>
        <v/>
      </c>
      <c r="E10" s="24">
        <f>IF(D10&lt;=0,"Si vince SEMPRE",IF(D10&gt;=0.045,"Si perde quasi sempre","Si vince se FOI &gt; "&amp;ROUND(D10*100,2)&amp;"%"))</f>
        <v/>
      </c>
    </row>
    <row r="11">
      <c r="A11" s="8" t="inlineStr">
        <is>
          <t>BTP Valore (YTM lordo MOT 98,65)</t>
        </is>
      </c>
      <c r="B11" s="16">
        <f>'4 - BTP Valore'!B32</f>
        <v/>
      </c>
      <c r="C11" s="16">
        <f>B11*(1-'1 - Parametri'!B8)</f>
        <v/>
      </c>
      <c r="D11" s="16">
        <f>B11-('1 - Parametri'!B5+('1 - Parametri'!B7)/5)</f>
        <v/>
      </c>
      <c r="E11" s="24">
        <f>IF(D11&lt;=0,"Si vince SEMPRE",IF(D11&gt;=0.045,"Si perde quasi sempre","Si vince se FOI &gt; "&amp;ROUND(D11*100,2)&amp;"%"))</f>
        <v/>
      </c>
    </row>
    <row r="12">
      <c r="A12" s="8" t="inlineStr">
        <is>
          <t>BTP Futura (YTM lordo MOT 86,15)</t>
        </is>
      </c>
      <c r="B12" s="16">
        <f>'5 - BTP Futura'!B27</f>
        <v/>
      </c>
      <c r="C12" s="16">
        <f>B12*(1-'1 - Parametri'!B8)</f>
        <v/>
      </c>
      <c r="D12" s="16">
        <f>B12-('1 - Parametri'!B5+('1 - Parametri'!B7)/5)</f>
        <v/>
      </c>
      <c r="E12" s="24">
        <f>IF(D12&lt;=0,"Si vince SEMPRE",IF(D12&gt;=0.045,"Si perde quasi sempre","Si vince se FOI &gt; "&amp;ROUND(D12*100,2)&amp;"%"))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mag 2028 (YTM REALE da prezzo MOT)</t>
        </is>
      </c>
      <c r="B16" s="16">
        <f>'1 - Parametri'!B50*(1-'1 - Parametri'!B8)</f>
        <v/>
      </c>
      <c r="C16" s="16">
        <f>('1 - Parametri'!B5+'1 - Parametri'!B7/5)*(1-'1 -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Parametri'!B7/5)*(1-'1 -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Parametri'!B7/5)*(1-'1 - Parametri'!B8)</f>
        <v/>
      </c>
      <c r="D18" s="16">
        <f>C18-B18</f>
        <v/>
      </c>
      <c r="E18" s="24">
        <f>IF(D18&gt;=0,"Sì vince (vantaggio "&amp;ROUND(D18*100,2)&amp;"pp)","Classico vince (gap "&amp;ROUND(-D18*100,2)&amp;"pp)")</f>
        <v/>
      </c>
    </row>
    <row r="19" ht="60" customHeight="1">
      <c r="A19" s="10" t="inlineStr">
        <is>
          <t>ATTENZIONE: usato YTM REALE EFFETTIVO calcolato dal prezzo MOT (non cedola del prospetto). Se sul secondario il classico quota SOPRA par, il YTM reale si abbassa, specie per scadenze brevi. Esempio coi prezzi uff. 09/06/2026: mar 2028 a 101,97 → YTM reale ~0,9%; giu 2030 a 101,92 → ~1,1%. Vai al foglio Parametri righe 46-56 per modificare i prezzi MOT.</t>
        </is>
      </c>
    </row>
    <row r="21" ht="45" customHeight="1">
      <c r="A21" s="10" t="inlineStr">
        <is>
          <t>BTP Futura comprato OGGI sul MOT a 86,15 (forte sconto sotto par): YTM lordo ~3,65% nonostante le cedole step-up basse (0,75/1,35/1,70). Soglia break-even FOI ~2,3%: sotto, il Futura vince; sopra, vince il Sì. Il doppio premio PIL NON spetta a chi compra sul MOT (solo sottoscrittori originali nov 2021).</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Parametri'!B7/5)*(1-'1 -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2026-06-10T17:10:52Z</dcterms:created>
  <dcterms:modified xsi:type="dcterms:W3CDTF">2026-06-10T17:50:44Z</dcterms:modified>
</cp:coreProperties>
</file>