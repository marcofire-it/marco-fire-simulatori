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540" windowWidth="27495" windowHeight="13995"/>
  </bookViews>
  <sheets>
    <sheet name="0 - Indice" sheetId="1" r:id="rId1"/>
    <sheet name="1 - Caso e ipotesi" sheetId="2" r:id="rId2"/>
    <sheet name="2 - Rendimenti netti" sheetId="3" r:id="rId3"/>
    <sheet name="3 - Scenario" sheetId="4" r:id="rId4"/>
    <sheet name="4 - Risultati" sheetId="5" r:id="rId5"/>
    <sheet name="5 - Motore" sheetId="6" r:id="rId6"/>
  </sheets>
  <calcPr calcId="144525"/>
</workbook>
</file>

<file path=xl/calcChain.xml><?xml version="1.0" encoding="utf-8"?>
<calcChain xmlns="http://schemas.openxmlformats.org/spreadsheetml/2006/main">
  <c r="M127" i="6" l="1"/>
  <c r="C127" i="6"/>
  <c r="E127" i="6" s="1"/>
  <c r="E123" i="6"/>
  <c r="B127" i="6" s="1"/>
  <c r="D123" i="6"/>
  <c r="C123" i="6"/>
  <c r="B123" i="6"/>
  <c r="M69" i="6"/>
  <c r="C69" i="6"/>
  <c r="E65" i="6"/>
  <c r="B95" i="6" s="1"/>
  <c r="D65" i="6"/>
  <c r="C65" i="6"/>
  <c r="B65" i="6"/>
  <c r="B57" i="6"/>
  <c r="B56" i="6"/>
  <c r="B54" i="6"/>
  <c r="B51" i="6"/>
  <c r="B42" i="6"/>
  <c r="B40" i="6"/>
  <c r="B36" i="6"/>
  <c r="B35" i="6"/>
  <c r="B29" i="6"/>
  <c r="B25" i="6"/>
  <c r="B24" i="6"/>
  <c r="B23" i="6"/>
  <c r="B22" i="6"/>
  <c r="B21" i="6"/>
  <c r="B17" i="6"/>
  <c r="B16" i="6"/>
  <c r="B13" i="6"/>
  <c r="M11" i="6"/>
  <c r="C11" i="6"/>
  <c r="E11" i="6" s="1"/>
  <c r="E7" i="6"/>
  <c r="B33" i="6" s="1"/>
  <c r="D7" i="6"/>
  <c r="C7" i="6"/>
  <c r="B7" i="6"/>
  <c r="D26" i="5"/>
  <c r="D25" i="5"/>
  <c r="D24" i="5"/>
  <c r="D23" i="5"/>
  <c r="D22" i="5"/>
  <c r="D21" i="5"/>
  <c r="D20" i="5"/>
  <c r="B16" i="5"/>
  <c r="B55" i="4"/>
  <c r="B54" i="4"/>
  <c r="C54" i="4" s="1"/>
  <c r="B53" i="4"/>
  <c r="B52" i="4"/>
  <c r="B51" i="4"/>
  <c r="B50" i="4"/>
  <c r="B49" i="4"/>
  <c r="B48" i="4"/>
  <c r="B47" i="4"/>
  <c r="B46" i="4"/>
  <c r="B45" i="4"/>
  <c r="B44" i="4"/>
  <c r="D44" i="4" s="1"/>
  <c r="B43" i="4"/>
  <c r="B42" i="4"/>
  <c r="B41" i="4"/>
  <c r="B40" i="4"/>
  <c r="B39" i="4"/>
  <c r="B38" i="4"/>
  <c r="B37" i="4"/>
  <c r="B36" i="4"/>
  <c r="D36" i="4" s="1"/>
  <c r="B35" i="4"/>
  <c r="D35" i="4" s="1"/>
  <c r="B34" i="4"/>
  <c r="B33" i="4"/>
  <c r="B32" i="4"/>
  <c r="D32" i="4" s="1"/>
  <c r="B31" i="4"/>
  <c r="D31" i="4" s="1"/>
  <c r="B30" i="4"/>
  <c r="D30" i="4" s="1"/>
  <c r="B29" i="4"/>
  <c r="B28" i="4"/>
  <c r="D28" i="4" s="1"/>
  <c r="B27" i="4"/>
  <c r="D27" i="4" s="1"/>
  <c r="B26" i="4"/>
  <c r="D26" i="4" s="1"/>
  <c r="B25" i="4"/>
  <c r="D25" i="4" s="1"/>
  <c r="B24" i="4"/>
  <c r="D24" i="4" s="1"/>
  <c r="B23" i="4"/>
  <c r="B22" i="4"/>
  <c r="D22" i="4" s="1"/>
  <c r="B21" i="4"/>
  <c r="B20" i="4"/>
  <c r="D20" i="4" s="1"/>
  <c r="B19" i="4"/>
  <c r="B18" i="4"/>
  <c r="D18" i="4" s="1"/>
  <c r="B17" i="4"/>
  <c r="B16" i="4"/>
  <c r="D16" i="4" s="1"/>
  <c r="B15" i="4"/>
  <c r="B14" i="4"/>
  <c r="B13" i="4"/>
  <c r="B12" i="4"/>
  <c r="B11" i="4"/>
  <c r="B10" i="4"/>
  <c r="D10" i="4" s="1"/>
  <c r="B9" i="4"/>
  <c r="D9" i="4" s="1"/>
  <c r="B8" i="4"/>
  <c r="B7" i="4"/>
  <c r="B6" i="4"/>
  <c r="D6" i="4" s="1"/>
  <c r="C40" i="3"/>
  <c r="B40" i="3"/>
  <c r="C38" i="3"/>
  <c r="B38" i="3"/>
  <c r="B36" i="3"/>
  <c r="C35" i="3"/>
  <c r="B35" i="3"/>
  <c r="B37" i="3" s="1"/>
  <c r="B30" i="3"/>
  <c r="D6" i="3" s="1"/>
  <c r="E25" i="3"/>
  <c r="E24" i="3"/>
  <c r="E23" i="3"/>
  <c r="E22" i="3"/>
  <c r="C22" i="3"/>
  <c r="B22" i="3"/>
  <c r="E21" i="3"/>
  <c r="E20" i="3"/>
  <c r="D20" i="3"/>
  <c r="D19" i="3" s="1"/>
  <c r="D21" i="3" s="1"/>
  <c r="C20" i="3"/>
  <c r="B20" i="3"/>
  <c r="E19" i="3"/>
  <c r="E26" i="3" s="1"/>
  <c r="E27" i="3" s="1"/>
  <c r="C19" i="3"/>
  <c r="C21" i="3" s="1"/>
  <c r="B19" i="3"/>
  <c r="B21" i="3" s="1"/>
  <c r="E14" i="3"/>
  <c r="E12" i="3"/>
  <c r="E11" i="3"/>
  <c r="E10" i="3"/>
  <c r="E9" i="3"/>
  <c r="C9" i="3"/>
  <c r="B9" i="3"/>
  <c r="E8" i="3"/>
  <c r="E7" i="3"/>
  <c r="D7" i="3"/>
  <c r="C7" i="3"/>
  <c r="B7" i="3"/>
  <c r="E6" i="3"/>
  <c r="E13" i="3" s="1"/>
  <c r="C6" i="3"/>
  <c r="C8" i="3" s="1"/>
  <c r="B6" i="3"/>
  <c r="B32" i="2"/>
  <c r="D9" i="3" s="1"/>
  <c r="B21" i="2"/>
  <c r="D16" i="2"/>
  <c r="C16" i="2"/>
  <c r="B16" i="2"/>
  <c r="B9" i="2"/>
  <c r="B37" i="6" l="1"/>
  <c r="B46" i="6"/>
  <c r="B39" i="3"/>
  <c r="B41" i="3" s="1"/>
  <c r="D22" i="3"/>
  <c r="D23" i="3" s="1"/>
  <c r="B14" i="6"/>
  <c r="B48" i="6"/>
  <c r="B15" i="6"/>
  <c r="B50" i="6"/>
  <c r="B69" i="6"/>
  <c r="B74" i="6"/>
  <c r="B77" i="6"/>
  <c r="B118" i="6"/>
  <c r="B98" i="6"/>
  <c r="B70" i="6"/>
  <c r="B111" i="6"/>
  <c r="B75" i="6"/>
  <c r="B79" i="6"/>
  <c r="B103" i="6"/>
  <c r="B109" i="6"/>
  <c r="B83" i="6"/>
  <c r="B71" i="6"/>
  <c r="B85" i="6"/>
  <c r="B30" i="6"/>
  <c r="B60" i="6"/>
  <c r="B86" i="6"/>
  <c r="B101" i="6"/>
  <c r="B23" i="3"/>
  <c r="B25" i="3" s="1"/>
  <c r="B31" i="6"/>
  <c r="B91" i="6"/>
  <c r="C23" i="3"/>
  <c r="C25" i="3" s="1"/>
  <c r="B32" i="6"/>
  <c r="B92" i="6"/>
  <c r="F127" i="6"/>
  <c r="G127" i="6" s="1"/>
  <c r="B107" i="6"/>
  <c r="B115" i="6"/>
  <c r="B117" i="6"/>
  <c r="B8" i="3"/>
  <c r="B10" i="3" s="1"/>
  <c r="D11" i="6"/>
  <c r="C11" i="3"/>
  <c r="C10" i="3"/>
  <c r="G50" i="4"/>
  <c r="Q50" i="4" s="1"/>
  <c r="F50" i="4"/>
  <c r="D50" i="4"/>
  <c r="E50" i="4"/>
  <c r="C50" i="4"/>
  <c r="G33" i="4"/>
  <c r="Q33" i="4" s="1"/>
  <c r="F33" i="4"/>
  <c r="E33" i="4"/>
  <c r="C33" i="4"/>
  <c r="G19" i="4"/>
  <c r="Q19" i="4" s="1"/>
  <c r="F19" i="4"/>
  <c r="E19" i="4"/>
  <c r="C19" i="4"/>
  <c r="D33" i="4"/>
  <c r="G11" i="4"/>
  <c r="Q11" i="4" s="1"/>
  <c r="F11" i="4"/>
  <c r="E11" i="4"/>
  <c r="C11" i="4"/>
  <c r="G7" i="4"/>
  <c r="Q7" i="4" s="1"/>
  <c r="F7" i="4"/>
  <c r="E7" i="4"/>
  <c r="G45" i="4"/>
  <c r="Q45" i="4" s="1"/>
  <c r="F45" i="4"/>
  <c r="E45" i="4"/>
  <c r="D45" i="4"/>
  <c r="C45" i="4"/>
  <c r="G21" i="4"/>
  <c r="Q21" i="4" s="1"/>
  <c r="F21" i="4"/>
  <c r="E21" i="4"/>
  <c r="C21" i="4"/>
  <c r="G43" i="4"/>
  <c r="Q43" i="4" s="1"/>
  <c r="F43" i="4"/>
  <c r="D43" i="4"/>
  <c r="E43" i="4"/>
  <c r="C43" i="4"/>
  <c r="G53" i="4"/>
  <c r="Q53" i="4" s="1"/>
  <c r="D53" i="4"/>
  <c r="F53" i="4"/>
  <c r="E53" i="4"/>
  <c r="C53" i="4"/>
  <c r="C24" i="3"/>
  <c r="G17" i="4"/>
  <c r="Q17" i="4" s="1"/>
  <c r="F17" i="4"/>
  <c r="E17" i="4"/>
  <c r="C17" i="4"/>
  <c r="D19" i="4"/>
  <c r="H19" i="4" s="1"/>
  <c r="K19" i="4" s="1"/>
  <c r="N19" i="4" s="1"/>
  <c r="G38" i="4"/>
  <c r="Q38" i="4" s="1"/>
  <c r="F38" i="4"/>
  <c r="E38" i="4"/>
  <c r="C38" i="4"/>
  <c r="D38" i="4"/>
  <c r="H38" i="4" s="1"/>
  <c r="K38" i="4" s="1"/>
  <c r="N38" i="4" s="1"/>
  <c r="G51" i="4"/>
  <c r="Q51" i="4" s="1"/>
  <c r="F51" i="4"/>
  <c r="E51" i="4"/>
  <c r="D51" i="4"/>
  <c r="C51" i="4"/>
  <c r="G29" i="4"/>
  <c r="Q29" i="4" s="1"/>
  <c r="F29" i="4"/>
  <c r="E29" i="4"/>
  <c r="C29" i="4"/>
  <c r="D7" i="4"/>
  <c r="G36" i="4"/>
  <c r="Q36" i="4" s="1"/>
  <c r="F36" i="4"/>
  <c r="E36" i="4"/>
  <c r="C36" i="4"/>
  <c r="H36" i="4" s="1"/>
  <c r="K36" i="4" s="1"/>
  <c r="N36" i="4" s="1"/>
  <c r="G40" i="4"/>
  <c r="Q40" i="4" s="1"/>
  <c r="F40" i="4"/>
  <c r="E40" i="4"/>
  <c r="D40" i="4"/>
  <c r="C40" i="4"/>
  <c r="G23" i="4"/>
  <c r="Q23" i="4" s="1"/>
  <c r="F23" i="4"/>
  <c r="E23" i="4"/>
  <c r="C23" i="4"/>
  <c r="D17" i="4"/>
  <c r="G41" i="4"/>
  <c r="Q41" i="4" s="1"/>
  <c r="F41" i="4"/>
  <c r="E41" i="4"/>
  <c r="C41" i="4"/>
  <c r="G46" i="4"/>
  <c r="Q46" i="4" s="1"/>
  <c r="F46" i="4"/>
  <c r="E46" i="4"/>
  <c r="D46" i="4"/>
  <c r="C46" i="4"/>
  <c r="G35" i="4"/>
  <c r="Q35" i="4" s="1"/>
  <c r="F35" i="4"/>
  <c r="E35" i="4"/>
  <c r="C35" i="4"/>
  <c r="H35" i="4" s="1"/>
  <c r="K35" i="4" s="1"/>
  <c r="N35" i="4" s="1"/>
  <c r="B24" i="3"/>
  <c r="G15" i="4"/>
  <c r="Q15" i="4" s="1"/>
  <c r="F15" i="4"/>
  <c r="E15" i="4"/>
  <c r="C15" i="4"/>
  <c r="D15" i="4"/>
  <c r="H15" i="4" s="1"/>
  <c r="K15" i="4" s="1"/>
  <c r="N15" i="4" s="1"/>
  <c r="D29" i="4"/>
  <c r="D8" i="3"/>
  <c r="D10" i="3" s="1"/>
  <c r="G6" i="4"/>
  <c r="Q6" i="4" s="1"/>
  <c r="F6" i="4"/>
  <c r="E6" i="4"/>
  <c r="G34" i="4"/>
  <c r="Q34" i="4" s="1"/>
  <c r="F34" i="4"/>
  <c r="E34" i="4"/>
  <c r="C34" i="4"/>
  <c r="D41" i="4"/>
  <c r="G27" i="4"/>
  <c r="Q27" i="4" s="1"/>
  <c r="F27" i="4"/>
  <c r="E27" i="4"/>
  <c r="C27" i="4"/>
  <c r="H27" i="4" s="1"/>
  <c r="K27" i="4" s="1"/>
  <c r="N27" i="4" s="1"/>
  <c r="D21" i="4"/>
  <c r="C6" i="4"/>
  <c r="H6" i="4" s="1"/>
  <c r="K6" i="4" s="1"/>
  <c r="N6" i="4" s="1"/>
  <c r="D34" i="4"/>
  <c r="G49" i="4"/>
  <c r="Q49" i="4" s="1"/>
  <c r="F49" i="4"/>
  <c r="E49" i="4"/>
  <c r="D49" i="4"/>
  <c r="C49" i="4"/>
  <c r="G25" i="4"/>
  <c r="Q25" i="4" s="1"/>
  <c r="F25" i="4"/>
  <c r="E25" i="4"/>
  <c r="C25" i="4"/>
  <c r="H25" i="4" s="1"/>
  <c r="K25" i="4" s="1"/>
  <c r="N25" i="4" s="1"/>
  <c r="D23" i="4"/>
  <c r="G8" i="4"/>
  <c r="Q8" i="4" s="1"/>
  <c r="F8" i="4"/>
  <c r="E8" i="4"/>
  <c r="C8" i="4"/>
  <c r="G12" i="4"/>
  <c r="Q12" i="4" s="1"/>
  <c r="F12" i="4"/>
  <c r="E12" i="4"/>
  <c r="C12" i="4"/>
  <c r="G14" i="4"/>
  <c r="Q14" i="4" s="1"/>
  <c r="F14" i="4"/>
  <c r="E14" i="4"/>
  <c r="C14" i="4"/>
  <c r="G16" i="4"/>
  <c r="Q16" i="4" s="1"/>
  <c r="F16" i="4"/>
  <c r="E16" i="4"/>
  <c r="C16" i="4"/>
  <c r="H16" i="4" s="1"/>
  <c r="K16" i="4" s="1"/>
  <c r="N16" i="4" s="1"/>
  <c r="G18" i="4"/>
  <c r="Q18" i="4" s="1"/>
  <c r="F18" i="4"/>
  <c r="E18" i="4"/>
  <c r="C18" i="4"/>
  <c r="H18" i="4" s="1"/>
  <c r="K18" i="4" s="1"/>
  <c r="N18" i="4" s="1"/>
  <c r="G20" i="4"/>
  <c r="Q20" i="4" s="1"/>
  <c r="F20" i="4"/>
  <c r="E20" i="4"/>
  <c r="C20" i="4"/>
  <c r="H20" i="4" s="1"/>
  <c r="K20" i="4" s="1"/>
  <c r="N20" i="4" s="1"/>
  <c r="G22" i="4"/>
  <c r="Q22" i="4" s="1"/>
  <c r="F22" i="4"/>
  <c r="E22" i="4"/>
  <c r="C22" i="4"/>
  <c r="H22" i="4" s="1"/>
  <c r="K22" i="4" s="1"/>
  <c r="N22" i="4" s="1"/>
  <c r="G24" i="4"/>
  <c r="Q24" i="4" s="1"/>
  <c r="F24" i="4"/>
  <c r="E24" i="4"/>
  <c r="C24" i="4"/>
  <c r="H24" i="4" s="1"/>
  <c r="K24" i="4" s="1"/>
  <c r="N24" i="4" s="1"/>
  <c r="G26" i="4"/>
  <c r="Q26" i="4" s="1"/>
  <c r="F26" i="4"/>
  <c r="E26" i="4"/>
  <c r="C26" i="4"/>
  <c r="H26" i="4" s="1"/>
  <c r="K26" i="4" s="1"/>
  <c r="N26" i="4" s="1"/>
  <c r="G28" i="4"/>
  <c r="Q28" i="4" s="1"/>
  <c r="F28" i="4"/>
  <c r="E28" i="4"/>
  <c r="C28" i="4"/>
  <c r="G30" i="4"/>
  <c r="Q30" i="4" s="1"/>
  <c r="F30" i="4"/>
  <c r="E30" i="4"/>
  <c r="C30" i="4"/>
  <c r="H30" i="4" s="1"/>
  <c r="K30" i="4" s="1"/>
  <c r="N30" i="4" s="1"/>
  <c r="G32" i="4"/>
  <c r="Q32" i="4" s="1"/>
  <c r="F32" i="4"/>
  <c r="E32" i="4"/>
  <c r="C32" i="4"/>
  <c r="H32" i="4" s="1"/>
  <c r="K32" i="4" s="1"/>
  <c r="N32" i="4" s="1"/>
  <c r="G44" i="4"/>
  <c r="Q44" i="4" s="1"/>
  <c r="F44" i="4"/>
  <c r="E44" i="4"/>
  <c r="C44" i="4"/>
  <c r="H44" i="4" s="1"/>
  <c r="K44" i="4" s="1"/>
  <c r="N44" i="4" s="1"/>
  <c r="G13" i="4"/>
  <c r="Q13" i="4" s="1"/>
  <c r="F13" i="4"/>
  <c r="E13" i="4"/>
  <c r="C13" i="4"/>
  <c r="D13" i="4"/>
  <c r="H28" i="4"/>
  <c r="K28" i="4" s="1"/>
  <c r="N28" i="4" s="1"/>
  <c r="G39" i="4"/>
  <c r="Q39" i="4" s="1"/>
  <c r="F39" i="4"/>
  <c r="D39" i="4"/>
  <c r="E39" i="4"/>
  <c r="C39" i="4"/>
  <c r="D52" i="4"/>
  <c r="G52" i="4"/>
  <c r="Q52" i="4" s="1"/>
  <c r="F52" i="4"/>
  <c r="E52" i="4"/>
  <c r="C52" i="4"/>
  <c r="C55" i="4"/>
  <c r="G55" i="4"/>
  <c r="Q55" i="4" s="1"/>
  <c r="F55" i="4"/>
  <c r="J55" i="4" s="1"/>
  <c r="M55" i="4" s="1"/>
  <c r="P55" i="4" s="1"/>
  <c r="E55" i="4"/>
  <c r="I55" i="4" s="1"/>
  <c r="L55" i="4" s="1"/>
  <c r="O55" i="4" s="1"/>
  <c r="D55" i="4"/>
  <c r="H55" i="4" s="1"/>
  <c r="K55" i="4" s="1"/>
  <c r="N55" i="4" s="1"/>
  <c r="G31" i="4"/>
  <c r="Q31" i="4" s="1"/>
  <c r="F31" i="4"/>
  <c r="E31" i="4"/>
  <c r="C31" i="4"/>
  <c r="H31" i="4" s="1"/>
  <c r="K31" i="4" s="1"/>
  <c r="N31" i="4" s="1"/>
  <c r="D11" i="4"/>
  <c r="D14" i="4"/>
  <c r="G9" i="4"/>
  <c r="Q9" i="4" s="1"/>
  <c r="F9" i="4"/>
  <c r="E9" i="4"/>
  <c r="C9" i="4"/>
  <c r="H9" i="4" s="1"/>
  <c r="K9" i="4" s="1"/>
  <c r="N9" i="4" s="1"/>
  <c r="G10" i="4"/>
  <c r="Q10" i="4" s="1"/>
  <c r="F10" i="4"/>
  <c r="E10" i="4"/>
  <c r="C10" i="4"/>
  <c r="H10" i="4" s="1"/>
  <c r="K10" i="4" s="1"/>
  <c r="N10" i="4" s="1"/>
  <c r="D8" i="4"/>
  <c r="D12" i="4"/>
  <c r="G37" i="4"/>
  <c r="Q37" i="4" s="1"/>
  <c r="F37" i="4"/>
  <c r="E37" i="4"/>
  <c r="C37" i="4"/>
  <c r="G47" i="4"/>
  <c r="Q47" i="4" s="1"/>
  <c r="F47" i="4"/>
  <c r="D47" i="4"/>
  <c r="E47" i="4"/>
  <c r="C47" i="4"/>
  <c r="C7" i="4"/>
  <c r="G48" i="4"/>
  <c r="Q48" i="4" s="1"/>
  <c r="F48" i="4"/>
  <c r="E48" i="4"/>
  <c r="D48" i="4"/>
  <c r="C48" i="4"/>
  <c r="D37" i="4"/>
  <c r="G42" i="4"/>
  <c r="Q42" i="4" s="1"/>
  <c r="F42" i="4"/>
  <c r="E42" i="4"/>
  <c r="D42" i="4"/>
  <c r="C42" i="4"/>
  <c r="D54" i="4"/>
  <c r="H54" i="4" s="1"/>
  <c r="K54" i="4" s="1"/>
  <c r="N54" i="4" s="1"/>
  <c r="D127" i="6"/>
  <c r="K127" i="6"/>
  <c r="N127" i="6"/>
  <c r="L127" i="6" s="1"/>
  <c r="F54" i="4"/>
  <c r="J54" i="4" s="1"/>
  <c r="M54" i="4" s="1"/>
  <c r="P54" i="4" s="1"/>
  <c r="G54" i="4"/>
  <c r="Q54" i="4" s="1"/>
  <c r="C70" i="6"/>
  <c r="E69" i="6"/>
  <c r="D69" i="6"/>
  <c r="C36" i="3"/>
  <c r="C37" i="3" s="1"/>
  <c r="E54" i="4"/>
  <c r="I54" i="4" s="1"/>
  <c r="L54" i="4" s="1"/>
  <c r="O54" i="4" s="1"/>
  <c r="B39" i="6"/>
  <c r="B59" i="6"/>
  <c r="B53" i="6"/>
  <c r="B45" i="6"/>
  <c r="B44" i="6"/>
  <c r="B12" i="6"/>
  <c r="B20" i="6"/>
  <c r="B28" i="6"/>
  <c r="B41" i="6"/>
  <c r="B47" i="6"/>
  <c r="C12" i="6"/>
  <c r="C13" i="6" s="1"/>
  <c r="D13" i="6" s="1"/>
  <c r="B11" i="6"/>
  <c r="F11" i="6" s="1"/>
  <c r="G11" i="6" s="1"/>
  <c r="B19" i="6"/>
  <c r="B27" i="6"/>
  <c r="B38" i="6"/>
  <c r="B58" i="6"/>
  <c r="B34" i="6"/>
  <c r="B52" i="6"/>
  <c r="B18" i="6"/>
  <c r="B26" i="6"/>
  <c r="B43" i="6"/>
  <c r="B49" i="6"/>
  <c r="B55" i="6"/>
  <c r="B94" i="6"/>
  <c r="B100" i="6"/>
  <c r="B106" i="6"/>
  <c r="B76" i="6"/>
  <c r="B82" i="6"/>
  <c r="B102" i="6"/>
  <c r="B108" i="6"/>
  <c r="B114" i="6"/>
  <c r="B72" i="6"/>
  <c r="B87" i="6"/>
  <c r="B93" i="6"/>
  <c r="B99" i="6"/>
  <c r="B112" i="6"/>
  <c r="B104" i="6"/>
  <c r="B96" i="6"/>
  <c r="B88" i="6"/>
  <c r="B80" i="6"/>
  <c r="B113" i="6"/>
  <c r="B105" i="6"/>
  <c r="B97" i="6"/>
  <c r="B89" i="6"/>
  <c r="B81" i="6"/>
  <c r="B73" i="6"/>
  <c r="B78" i="6"/>
  <c r="B84" i="6"/>
  <c r="B90" i="6"/>
  <c r="B110" i="6"/>
  <c r="B116" i="6"/>
  <c r="D24" i="3" l="1"/>
  <c r="D25" i="3"/>
  <c r="H17" i="4"/>
  <c r="K17" i="4" s="1"/>
  <c r="N17" i="4" s="1"/>
  <c r="J17" i="4"/>
  <c r="M17" i="4" s="1"/>
  <c r="P17" i="4" s="1"/>
  <c r="J19" i="4"/>
  <c r="M19" i="4" s="1"/>
  <c r="P19" i="4" s="1"/>
  <c r="I41" i="4"/>
  <c r="L41" i="4" s="1"/>
  <c r="O41" i="4" s="1"/>
  <c r="H21" i="4"/>
  <c r="K21" i="4" s="1"/>
  <c r="N21" i="4" s="1"/>
  <c r="H142" i="6" s="1"/>
  <c r="H37" i="4"/>
  <c r="K37" i="4" s="1"/>
  <c r="N37" i="4" s="1"/>
  <c r="H158" i="6" s="1"/>
  <c r="H11" i="4"/>
  <c r="K11" i="4" s="1"/>
  <c r="N11" i="4" s="1"/>
  <c r="J52" i="4"/>
  <c r="M52" i="4" s="1"/>
  <c r="P52" i="4" s="1"/>
  <c r="H117" i="6"/>
  <c r="H14" i="4"/>
  <c r="K14" i="4" s="1"/>
  <c r="N14" i="4" s="1"/>
  <c r="H52" i="4"/>
  <c r="K52" i="4" s="1"/>
  <c r="N52" i="4" s="1"/>
  <c r="I37" i="4"/>
  <c r="L37" i="4" s="1"/>
  <c r="O37" i="4" s="1"/>
  <c r="H42" i="6" s="1"/>
  <c r="J37" i="4"/>
  <c r="M37" i="4" s="1"/>
  <c r="P37" i="4" s="1"/>
  <c r="F69" i="6"/>
  <c r="G69" i="6" s="1"/>
  <c r="N69" i="6" s="1"/>
  <c r="L69" i="6" s="1"/>
  <c r="H12" i="4"/>
  <c r="K12" i="4" s="1"/>
  <c r="N12" i="4" s="1"/>
  <c r="H23" i="4"/>
  <c r="K23" i="4" s="1"/>
  <c r="N23" i="4" s="1"/>
  <c r="I53" i="4"/>
  <c r="L53" i="4" s="1"/>
  <c r="O53" i="4" s="1"/>
  <c r="J34" i="4"/>
  <c r="M34" i="4" s="1"/>
  <c r="P34" i="4" s="1"/>
  <c r="H45" i="4"/>
  <c r="K45" i="4" s="1"/>
  <c r="N45" i="4" s="1"/>
  <c r="C26" i="3"/>
  <c r="C27" i="3" s="1"/>
  <c r="I23" i="4"/>
  <c r="L23" i="4" s="1"/>
  <c r="O23" i="4" s="1"/>
  <c r="H175" i="6"/>
  <c r="H53" i="4"/>
  <c r="K53" i="4" s="1"/>
  <c r="N53" i="4" s="1"/>
  <c r="H58" i="6" s="1"/>
  <c r="I9" i="4"/>
  <c r="L9" i="4" s="1"/>
  <c r="O9" i="4" s="1"/>
  <c r="H72" i="6" s="1"/>
  <c r="I51" i="4"/>
  <c r="L51" i="4" s="1"/>
  <c r="O51" i="4" s="1"/>
  <c r="H56" i="6" s="1"/>
  <c r="I47" i="4"/>
  <c r="L47" i="4" s="1"/>
  <c r="O47" i="4" s="1"/>
  <c r="I38" i="4"/>
  <c r="L38" i="4" s="1"/>
  <c r="O38" i="4" s="1"/>
  <c r="H159" i="6" s="1"/>
  <c r="H43" i="4"/>
  <c r="K43" i="4" s="1"/>
  <c r="N43" i="4" s="1"/>
  <c r="I11" i="4"/>
  <c r="L11" i="4" s="1"/>
  <c r="O11" i="4" s="1"/>
  <c r="J13" i="4"/>
  <c r="M13" i="4" s="1"/>
  <c r="P13" i="4" s="1"/>
  <c r="I28" i="4"/>
  <c r="L28" i="4" s="1"/>
  <c r="O28" i="4" s="1"/>
  <c r="I20" i="4"/>
  <c r="L20" i="4" s="1"/>
  <c r="O20" i="4" s="1"/>
  <c r="I12" i="4"/>
  <c r="L12" i="4" s="1"/>
  <c r="O12" i="4" s="1"/>
  <c r="J38" i="4"/>
  <c r="M38" i="4" s="1"/>
  <c r="P38" i="4" s="1"/>
  <c r="J43" i="4"/>
  <c r="M43" i="4" s="1"/>
  <c r="P43" i="4" s="1"/>
  <c r="J11" i="4"/>
  <c r="M11" i="4" s="1"/>
  <c r="P11" i="4" s="1"/>
  <c r="H16" i="6" s="1"/>
  <c r="I29" i="4"/>
  <c r="L29" i="4" s="1"/>
  <c r="O29" i="4" s="1"/>
  <c r="J31" i="4"/>
  <c r="M31" i="4" s="1"/>
  <c r="P31" i="4" s="1"/>
  <c r="H51" i="4"/>
  <c r="K51" i="4" s="1"/>
  <c r="N51" i="4" s="1"/>
  <c r="J51" i="4"/>
  <c r="M51" i="4" s="1"/>
  <c r="P51" i="4" s="1"/>
  <c r="D26" i="3"/>
  <c r="D27" i="3" s="1"/>
  <c r="J28" i="4"/>
  <c r="M28" i="4" s="1"/>
  <c r="P28" i="4" s="1"/>
  <c r="H33" i="6" s="1"/>
  <c r="J20" i="4"/>
  <c r="M20" i="4" s="1"/>
  <c r="P20" i="4" s="1"/>
  <c r="H25" i="6" s="1"/>
  <c r="J12" i="4"/>
  <c r="M12" i="4" s="1"/>
  <c r="P12" i="4" s="1"/>
  <c r="H75" i="6" s="1"/>
  <c r="H34" i="4"/>
  <c r="K34" i="4" s="1"/>
  <c r="N34" i="4" s="1"/>
  <c r="H29" i="4"/>
  <c r="K29" i="4" s="1"/>
  <c r="N29" i="4" s="1"/>
  <c r="J36" i="4"/>
  <c r="M36" i="4" s="1"/>
  <c r="P36" i="4" s="1"/>
  <c r="I31" i="4"/>
  <c r="L31" i="4" s="1"/>
  <c r="O31" i="4" s="1"/>
  <c r="I34" i="4"/>
  <c r="L34" i="4" s="1"/>
  <c r="O34" i="4" s="1"/>
  <c r="H176" i="6"/>
  <c r="H33" i="4"/>
  <c r="K33" i="4" s="1"/>
  <c r="N33" i="4" s="1"/>
  <c r="B11" i="3"/>
  <c r="B26" i="3"/>
  <c r="B27" i="3" s="1"/>
  <c r="J53" i="4"/>
  <c r="M53" i="4" s="1"/>
  <c r="P53" i="4" s="1"/>
  <c r="H59" i="6"/>
  <c r="J41" i="4"/>
  <c r="M41" i="4" s="1"/>
  <c r="P41" i="4" s="1"/>
  <c r="H7" i="4"/>
  <c r="K7" i="4" s="1"/>
  <c r="N7" i="4" s="1"/>
  <c r="E70" i="6"/>
  <c r="F70" i="6" s="1"/>
  <c r="G70" i="6" s="1"/>
  <c r="N70" i="6" s="1"/>
  <c r="D70" i="6"/>
  <c r="C71" i="6"/>
  <c r="E13" i="6"/>
  <c r="F13" i="6" s="1"/>
  <c r="G13" i="6" s="1"/>
  <c r="N13" i="6" s="1"/>
  <c r="C14" i="6"/>
  <c r="E12" i="6"/>
  <c r="F12" i="6" s="1"/>
  <c r="G12" i="6" s="1"/>
  <c r="N12" i="6" s="1"/>
  <c r="D12" i="6"/>
  <c r="D12" i="3"/>
  <c r="D11" i="3"/>
  <c r="D13" i="3" s="1"/>
  <c r="D14" i="3" s="1"/>
  <c r="I36" i="4"/>
  <c r="L36" i="4" s="1"/>
  <c r="O36" i="4" s="1"/>
  <c r="H41" i="6" s="1"/>
  <c r="I44" i="4"/>
  <c r="L44" i="4" s="1"/>
  <c r="O44" i="4" s="1"/>
  <c r="H165" i="6" s="1"/>
  <c r="I15" i="4"/>
  <c r="L15" i="4" s="1"/>
  <c r="O15" i="4" s="1"/>
  <c r="I21" i="4"/>
  <c r="L21" i="4" s="1"/>
  <c r="O21" i="4" s="1"/>
  <c r="H26" i="6" s="1"/>
  <c r="C128" i="6"/>
  <c r="E128" i="6" s="1"/>
  <c r="I26" i="4"/>
  <c r="L26" i="4" s="1"/>
  <c r="O26" i="4" s="1"/>
  <c r="I18" i="4"/>
  <c r="L18" i="4" s="1"/>
  <c r="O18" i="4" s="1"/>
  <c r="H23" i="6" s="1"/>
  <c r="I8" i="4"/>
  <c r="L8" i="4" s="1"/>
  <c r="O8" i="4" s="1"/>
  <c r="H118" i="6"/>
  <c r="H48" i="4"/>
  <c r="K48" i="4" s="1"/>
  <c r="N48" i="4" s="1"/>
  <c r="H8" i="4"/>
  <c r="K8" i="4" s="1"/>
  <c r="N8" i="4" s="1"/>
  <c r="I39" i="4"/>
  <c r="L39" i="4" s="1"/>
  <c r="O39" i="4" s="1"/>
  <c r="J44" i="4"/>
  <c r="M44" i="4" s="1"/>
  <c r="P44" i="4" s="1"/>
  <c r="J26" i="4"/>
  <c r="M26" i="4" s="1"/>
  <c r="P26" i="4" s="1"/>
  <c r="H31" i="6" s="1"/>
  <c r="J18" i="4"/>
  <c r="M18" i="4" s="1"/>
  <c r="P18" i="4" s="1"/>
  <c r="H139" i="6" s="1"/>
  <c r="J8" i="4"/>
  <c r="M8" i="4" s="1"/>
  <c r="P8" i="4" s="1"/>
  <c r="I27" i="4"/>
  <c r="L27" i="4" s="1"/>
  <c r="O27" i="4" s="1"/>
  <c r="H90" i="6" s="1"/>
  <c r="J15" i="4"/>
  <c r="M15" i="4" s="1"/>
  <c r="P15" i="4" s="1"/>
  <c r="I17" i="4"/>
  <c r="L17" i="4" s="1"/>
  <c r="O17" i="4" s="1"/>
  <c r="H80" i="6" s="1"/>
  <c r="J21" i="4"/>
  <c r="M21" i="4" s="1"/>
  <c r="P21" i="4" s="1"/>
  <c r="I19" i="4"/>
  <c r="L19" i="4" s="1"/>
  <c r="O19" i="4" s="1"/>
  <c r="I48" i="4"/>
  <c r="L48" i="4" s="1"/>
  <c r="O48" i="4" s="1"/>
  <c r="J27" i="4"/>
  <c r="M27" i="4" s="1"/>
  <c r="P27" i="4" s="1"/>
  <c r="H39" i="4"/>
  <c r="K39" i="4" s="1"/>
  <c r="N39" i="4" s="1"/>
  <c r="J48" i="4"/>
  <c r="M48" i="4" s="1"/>
  <c r="P48" i="4" s="1"/>
  <c r="I10" i="4"/>
  <c r="L10" i="4" s="1"/>
  <c r="O10" i="4" s="1"/>
  <c r="J39" i="4"/>
  <c r="M39" i="4" s="1"/>
  <c r="P39" i="4" s="1"/>
  <c r="J29" i="4"/>
  <c r="M29" i="4" s="1"/>
  <c r="P29" i="4" s="1"/>
  <c r="H92" i="6" s="1"/>
  <c r="B12" i="3"/>
  <c r="B13" i="3" s="1"/>
  <c r="C12" i="3"/>
  <c r="C13" i="3" s="1"/>
  <c r="C14" i="3" s="1"/>
  <c r="I32" i="4"/>
  <c r="L32" i="4" s="1"/>
  <c r="O32" i="4" s="1"/>
  <c r="I16" i="4"/>
  <c r="L16" i="4" s="1"/>
  <c r="O16" i="4" s="1"/>
  <c r="H39" i="6"/>
  <c r="J10" i="4"/>
  <c r="M10" i="4" s="1"/>
  <c r="P10" i="4" s="1"/>
  <c r="I24" i="4"/>
  <c r="L24" i="4" s="1"/>
  <c r="O24" i="4" s="1"/>
  <c r="H41" i="4"/>
  <c r="K41" i="4" s="1"/>
  <c r="N41" i="4" s="1"/>
  <c r="H60" i="6"/>
  <c r="J32" i="4"/>
  <c r="M32" i="4" s="1"/>
  <c r="P32" i="4" s="1"/>
  <c r="J24" i="4"/>
  <c r="M24" i="4" s="1"/>
  <c r="P24" i="4" s="1"/>
  <c r="J16" i="4"/>
  <c r="M16" i="4" s="1"/>
  <c r="P16" i="4" s="1"/>
  <c r="I25" i="4"/>
  <c r="L25" i="4" s="1"/>
  <c r="O25" i="4" s="1"/>
  <c r="I35" i="4"/>
  <c r="L35" i="4" s="1"/>
  <c r="O35" i="4" s="1"/>
  <c r="J23" i="4"/>
  <c r="M23" i="4" s="1"/>
  <c r="P23" i="4" s="1"/>
  <c r="I45" i="4"/>
  <c r="L45" i="4" s="1"/>
  <c r="O45" i="4" s="1"/>
  <c r="I33" i="4"/>
  <c r="L33" i="4" s="1"/>
  <c r="O33" i="4" s="1"/>
  <c r="J25" i="4"/>
  <c r="M25" i="4" s="1"/>
  <c r="P25" i="4" s="1"/>
  <c r="J35" i="4"/>
  <c r="M35" i="4" s="1"/>
  <c r="P35" i="4" s="1"/>
  <c r="J45" i="4"/>
  <c r="M45" i="4" s="1"/>
  <c r="P45" i="4" s="1"/>
  <c r="J33" i="4"/>
  <c r="M33" i="4" s="1"/>
  <c r="P33" i="4" s="1"/>
  <c r="H47" i="4"/>
  <c r="K47" i="4" s="1"/>
  <c r="N47" i="4" s="1"/>
  <c r="J9" i="4"/>
  <c r="M9" i="4" s="1"/>
  <c r="P9" i="4" s="1"/>
  <c r="I30" i="4"/>
  <c r="L30" i="4" s="1"/>
  <c r="O30" i="4" s="1"/>
  <c r="I22" i="4"/>
  <c r="L22" i="4" s="1"/>
  <c r="O22" i="4" s="1"/>
  <c r="I14" i="4"/>
  <c r="L14" i="4" s="1"/>
  <c r="O14" i="4" s="1"/>
  <c r="H40" i="4"/>
  <c r="K40" i="4" s="1"/>
  <c r="N40" i="4" s="1"/>
  <c r="I7" i="4"/>
  <c r="L7" i="4" s="1"/>
  <c r="O7" i="4" s="1"/>
  <c r="H42" i="4"/>
  <c r="K42" i="4" s="1"/>
  <c r="N42" i="4" s="1"/>
  <c r="C39" i="3"/>
  <c r="C41" i="3" s="1"/>
  <c r="I42" i="4"/>
  <c r="L42" i="4" s="1"/>
  <c r="O42" i="4" s="1"/>
  <c r="J47" i="4"/>
  <c r="M47" i="4" s="1"/>
  <c r="P47" i="4" s="1"/>
  <c r="H13" i="4"/>
  <c r="K13" i="4" s="1"/>
  <c r="N13" i="4" s="1"/>
  <c r="J30" i="4"/>
  <c r="M30" i="4" s="1"/>
  <c r="P30" i="4" s="1"/>
  <c r="J22" i="4"/>
  <c r="M22" i="4" s="1"/>
  <c r="P22" i="4" s="1"/>
  <c r="J14" i="4"/>
  <c r="M14" i="4" s="1"/>
  <c r="P14" i="4" s="1"/>
  <c r="H135" i="6" s="1"/>
  <c r="H49" i="4"/>
  <c r="K49" i="4" s="1"/>
  <c r="N49" i="4" s="1"/>
  <c r="I6" i="4"/>
  <c r="L6" i="4" s="1"/>
  <c r="O6" i="4" s="1"/>
  <c r="H46" i="4"/>
  <c r="K46" i="4" s="1"/>
  <c r="N46" i="4" s="1"/>
  <c r="I40" i="4"/>
  <c r="L40" i="4" s="1"/>
  <c r="O40" i="4" s="1"/>
  <c r="J7" i="4"/>
  <c r="M7" i="4" s="1"/>
  <c r="P7" i="4" s="1"/>
  <c r="I50" i="4"/>
  <c r="L50" i="4" s="1"/>
  <c r="O50" i="4" s="1"/>
  <c r="J42" i="4"/>
  <c r="M42" i="4" s="1"/>
  <c r="P42" i="4" s="1"/>
  <c r="I49" i="4"/>
  <c r="L49" i="4" s="1"/>
  <c r="O49" i="4" s="1"/>
  <c r="J6" i="4"/>
  <c r="M6" i="4" s="1"/>
  <c r="P6" i="4" s="1"/>
  <c r="I46" i="4"/>
  <c r="L46" i="4" s="1"/>
  <c r="O46" i="4" s="1"/>
  <c r="J40" i="4"/>
  <c r="M40" i="4" s="1"/>
  <c r="P40" i="4" s="1"/>
  <c r="H50" i="4"/>
  <c r="K50" i="4" s="1"/>
  <c r="N50" i="4" s="1"/>
  <c r="K11" i="6"/>
  <c r="N11" i="6"/>
  <c r="L11" i="6" s="1"/>
  <c r="H24" i="6"/>
  <c r="K69" i="6"/>
  <c r="I52" i="4"/>
  <c r="L52" i="4" s="1"/>
  <c r="O52" i="4" s="1"/>
  <c r="I13" i="4"/>
  <c r="L13" i="4" s="1"/>
  <c r="O13" i="4" s="1"/>
  <c r="J49" i="4"/>
  <c r="M49" i="4" s="1"/>
  <c r="P49" i="4" s="1"/>
  <c r="J46" i="4"/>
  <c r="M46" i="4" s="1"/>
  <c r="P46" i="4" s="1"/>
  <c r="I43" i="4"/>
  <c r="L43" i="4" s="1"/>
  <c r="O43" i="4" s="1"/>
  <c r="J50" i="4"/>
  <c r="M50" i="4" s="1"/>
  <c r="P50" i="4" s="1"/>
  <c r="H84" i="6" l="1"/>
  <c r="H17" i="6"/>
  <c r="H114" i="6"/>
  <c r="H150" i="6"/>
  <c r="H100" i="6"/>
  <c r="H37" i="6"/>
  <c r="H133" i="6"/>
  <c r="H70" i="6"/>
  <c r="H83" i="6"/>
  <c r="H141" i="6"/>
  <c r="H98" i="6"/>
  <c r="H146" i="6"/>
  <c r="H154" i="6"/>
  <c r="H14" i="6"/>
  <c r="H137" i="6"/>
  <c r="H152" i="6"/>
  <c r="H85" i="6"/>
  <c r="H151" i="6"/>
  <c r="H57" i="6"/>
  <c r="H11" i="6"/>
  <c r="I11" i="6" s="1"/>
  <c r="J11" i="6" s="1"/>
  <c r="B33" i="5"/>
  <c r="B47" i="5" s="1"/>
  <c r="D47" i="5" s="1"/>
  <c r="H79" i="6"/>
  <c r="H27" i="6"/>
  <c r="H99" i="6"/>
  <c r="H130" i="6"/>
  <c r="C33" i="5"/>
  <c r="C66" i="5" s="1"/>
  <c r="E66" i="5" s="1"/>
  <c r="H89" i="6"/>
  <c r="H149" i="6"/>
  <c r="H155" i="6"/>
  <c r="H132" i="6"/>
  <c r="I70" i="6"/>
  <c r="H74" i="6"/>
  <c r="H36" i="6"/>
  <c r="H172" i="6"/>
  <c r="H147" i="6"/>
  <c r="H81" i="6"/>
  <c r="H94" i="6"/>
  <c r="H97" i="6"/>
  <c r="H32" i="6"/>
  <c r="H96" i="6"/>
  <c r="H101" i="6"/>
  <c r="H34" i="6"/>
  <c r="H116" i="6"/>
  <c r="H174" i="6"/>
  <c r="H145" i="6"/>
  <c r="H43" i="6"/>
  <c r="H38" i="6"/>
  <c r="H48" i="6"/>
  <c r="H19" i="6"/>
  <c r="H86" i="6"/>
  <c r="H136" i="6"/>
  <c r="H91" i="6"/>
  <c r="C32" i="5"/>
  <c r="B32" i="5"/>
  <c r="B70" i="5" s="1"/>
  <c r="D70" i="5" s="1"/>
  <c r="B14" i="3"/>
  <c r="H50" i="6"/>
  <c r="H166" i="6"/>
  <c r="H108" i="6"/>
  <c r="H12" i="6"/>
  <c r="H93" i="6"/>
  <c r="H88" i="6"/>
  <c r="H128" i="6"/>
  <c r="H30" i="6"/>
  <c r="O11" i="6"/>
  <c r="M12" i="6" s="1"/>
  <c r="L12" i="6" s="1"/>
  <c r="H131" i="6"/>
  <c r="E71" i="6"/>
  <c r="D71" i="6"/>
  <c r="C72" i="6"/>
  <c r="H157" i="6"/>
  <c r="H77" i="6"/>
  <c r="H53" i="6"/>
  <c r="H111" i="6"/>
  <c r="H169" i="6"/>
  <c r="H107" i="6"/>
  <c r="H49" i="6"/>
  <c r="H95" i="6"/>
  <c r="H55" i="6"/>
  <c r="H113" i="6"/>
  <c r="H171" i="6"/>
  <c r="H45" i="6"/>
  <c r="H161" i="6"/>
  <c r="H103" i="6"/>
  <c r="H20" i="6"/>
  <c r="H40" i="6"/>
  <c r="H153" i="6"/>
  <c r="H29" i="6"/>
  <c r="H78" i="6"/>
  <c r="H156" i="6"/>
  <c r="B79" i="5"/>
  <c r="D79" i="5" s="1"/>
  <c r="B75" i="5"/>
  <c r="D75" i="5" s="1"/>
  <c r="B71" i="5"/>
  <c r="D71" i="5" s="1"/>
  <c r="B67" i="5"/>
  <c r="D67" i="5" s="1"/>
  <c r="B63" i="5"/>
  <c r="D63" i="5" s="1"/>
  <c r="B59" i="5"/>
  <c r="D59" i="5" s="1"/>
  <c r="B55" i="5"/>
  <c r="D55" i="5" s="1"/>
  <c r="B51" i="5"/>
  <c r="D51" i="5" s="1"/>
  <c r="B26" i="5"/>
  <c r="B77" i="5"/>
  <c r="D77" i="5" s="1"/>
  <c r="B73" i="5"/>
  <c r="D73" i="5" s="1"/>
  <c r="B69" i="5"/>
  <c r="D69" i="5" s="1"/>
  <c r="B65" i="5"/>
  <c r="D65" i="5" s="1"/>
  <c r="B61" i="5"/>
  <c r="D61" i="5" s="1"/>
  <c r="B57" i="5"/>
  <c r="D57" i="5" s="1"/>
  <c r="B53" i="5"/>
  <c r="D53" i="5" s="1"/>
  <c r="B49" i="5"/>
  <c r="D49" i="5" s="1"/>
  <c r="B45" i="5"/>
  <c r="D45" i="5" s="1"/>
  <c r="B41" i="5"/>
  <c r="D41" i="5" s="1"/>
  <c r="B25" i="5"/>
  <c r="B62" i="5"/>
  <c r="D62" i="5" s="1"/>
  <c r="B54" i="5"/>
  <c r="D54" i="5" s="1"/>
  <c r="B46" i="5"/>
  <c r="D46" i="5" s="1"/>
  <c r="B20" i="5"/>
  <c r="B68" i="5"/>
  <c r="D68" i="5" s="1"/>
  <c r="B60" i="5"/>
  <c r="D60" i="5" s="1"/>
  <c r="B52" i="5"/>
  <c r="D52" i="5" s="1"/>
  <c r="B44" i="5"/>
  <c r="D44" i="5" s="1"/>
  <c r="B76" i="5"/>
  <c r="D76" i="5" s="1"/>
  <c r="B24" i="5"/>
  <c r="B66" i="5"/>
  <c r="D66" i="5" s="1"/>
  <c r="B58" i="5"/>
  <c r="D58" i="5" s="1"/>
  <c r="B50" i="5"/>
  <c r="D50" i="5" s="1"/>
  <c r="B72" i="5"/>
  <c r="D72" i="5" s="1"/>
  <c r="B64" i="5"/>
  <c r="D64" i="5" s="1"/>
  <c r="B56" i="5"/>
  <c r="D56" i="5" s="1"/>
  <c r="B48" i="5"/>
  <c r="D48" i="5" s="1"/>
  <c r="B40" i="5"/>
  <c r="D40" i="5" s="1"/>
  <c r="H18" i="6"/>
  <c r="H134" i="6"/>
  <c r="H76" i="6"/>
  <c r="I12" i="6"/>
  <c r="J12" i="6" s="1"/>
  <c r="E14" i="6"/>
  <c r="C15" i="6"/>
  <c r="D14" i="6"/>
  <c r="H102" i="6"/>
  <c r="H160" i="6"/>
  <c r="H44" i="6"/>
  <c r="H21" i="6"/>
  <c r="C67" i="5"/>
  <c r="E67" i="5" s="1"/>
  <c r="C63" i="5"/>
  <c r="E63" i="5" s="1"/>
  <c r="C59" i="5"/>
  <c r="E59" i="5" s="1"/>
  <c r="C55" i="5"/>
  <c r="E55" i="5" s="1"/>
  <c r="C51" i="5"/>
  <c r="E51" i="5" s="1"/>
  <c r="C47" i="5"/>
  <c r="E47" i="5" s="1"/>
  <c r="C43" i="5"/>
  <c r="E43" i="5" s="1"/>
  <c r="C78" i="5"/>
  <c r="E78" i="5" s="1"/>
  <c r="C74" i="5"/>
  <c r="E74" i="5" s="1"/>
  <c r="C70" i="5"/>
  <c r="E70" i="5" s="1"/>
  <c r="C42" i="5"/>
  <c r="E42" i="5" s="1"/>
  <c r="C21" i="5"/>
  <c r="C80" i="5"/>
  <c r="E80" i="5" s="1"/>
  <c r="C20" i="5"/>
  <c r="C26" i="5"/>
  <c r="C69" i="5"/>
  <c r="E69" i="5" s="1"/>
  <c r="C61" i="5"/>
  <c r="E61" i="5" s="1"/>
  <c r="C53" i="5"/>
  <c r="E53" i="5" s="1"/>
  <c r="C45" i="5"/>
  <c r="E45" i="5" s="1"/>
  <c r="C77" i="5"/>
  <c r="E77" i="5" s="1"/>
  <c r="C24" i="5"/>
  <c r="C23" i="5"/>
  <c r="C72" i="5"/>
  <c r="E72" i="5" s="1"/>
  <c r="C64" i="5"/>
  <c r="E64" i="5" s="1"/>
  <c r="C56" i="5"/>
  <c r="E56" i="5" s="1"/>
  <c r="C48" i="5"/>
  <c r="E48" i="5" s="1"/>
  <c r="C40" i="5"/>
  <c r="E40" i="5" s="1"/>
  <c r="C41" i="5"/>
  <c r="E41" i="5" s="1"/>
  <c r="C57" i="5"/>
  <c r="E57" i="5" s="1"/>
  <c r="C65" i="5"/>
  <c r="E65" i="5" s="1"/>
  <c r="H73" i="6"/>
  <c r="K12" i="6"/>
  <c r="H115" i="6"/>
  <c r="H28" i="6"/>
  <c r="H35" i="6"/>
  <c r="H138" i="6"/>
  <c r="H22" i="6"/>
  <c r="H106" i="6"/>
  <c r="H148" i="6"/>
  <c r="I13" i="6"/>
  <c r="H15" i="6"/>
  <c r="H173" i="6"/>
  <c r="H143" i="6"/>
  <c r="H51" i="6"/>
  <c r="H167" i="6"/>
  <c r="H109" i="6"/>
  <c r="H164" i="6"/>
  <c r="H87" i="6"/>
  <c r="H71" i="6"/>
  <c r="H129" i="6"/>
  <c r="H13" i="6"/>
  <c r="H140" i="6"/>
  <c r="H82" i="6"/>
  <c r="H144" i="6"/>
  <c r="H127" i="6"/>
  <c r="I127" i="6" s="1"/>
  <c r="H69" i="6"/>
  <c r="I69" i="6" s="1"/>
  <c r="J69" i="6" s="1"/>
  <c r="H168" i="6"/>
  <c r="H110" i="6"/>
  <c r="H52" i="6"/>
  <c r="H112" i="6"/>
  <c r="H54" i="6"/>
  <c r="H170" i="6"/>
  <c r="H163" i="6"/>
  <c r="H105" i="6"/>
  <c r="H47" i="6"/>
  <c r="H104" i="6"/>
  <c r="H46" i="6"/>
  <c r="H162" i="6"/>
  <c r="C71" i="5" l="1"/>
  <c r="E71" i="5" s="1"/>
  <c r="C76" i="5"/>
  <c r="E76" i="5" s="1"/>
  <c r="C46" i="5"/>
  <c r="E46" i="5" s="1"/>
  <c r="B74" i="5"/>
  <c r="D74" i="5" s="1"/>
  <c r="C44" i="5"/>
  <c r="E44" i="5" s="1"/>
  <c r="C28" i="5" s="1"/>
  <c r="C50" i="5"/>
  <c r="E50" i="5" s="1"/>
  <c r="C75" i="5"/>
  <c r="E75" i="5" s="1"/>
  <c r="C52" i="5"/>
  <c r="E52" i="5" s="1"/>
  <c r="C79" i="5"/>
  <c r="E79" i="5" s="1"/>
  <c r="C60" i="5"/>
  <c r="E60" i="5" s="1"/>
  <c r="B78" i="5"/>
  <c r="D78" i="5" s="1"/>
  <c r="B43" i="5"/>
  <c r="D43" i="5" s="1"/>
  <c r="C54" i="5"/>
  <c r="E54" i="5" s="1"/>
  <c r="C49" i="5"/>
  <c r="E49" i="5" s="1"/>
  <c r="C58" i="5"/>
  <c r="E58" i="5" s="1"/>
  <c r="B22" i="5"/>
  <c r="C73" i="5"/>
  <c r="E73" i="5" s="1"/>
  <c r="C68" i="5"/>
  <c r="E68" i="5" s="1"/>
  <c r="C62" i="5"/>
  <c r="E62" i="5" s="1"/>
  <c r="B23" i="5"/>
  <c r="B80" i="5"/>
  <c r="D80" i="5" s="1"/>
  <c r="C22" i="5"/>
  <c r="C25" i="5"/>
  <c r="B42" i="5"/>
  <c r="D42" i="5" s="1"/>
  <c r="B28" i="5" s="1"/>
  <c r="B21" i="5"/>
  <c r="J70" i="6"/>
  <c r="J71" i="6" s="1"/>
  <c r="J13" i="6"/>
  <c r="O12" i="6"/>
  <c r="M13" i="6" s="1"/>
  <c r="L13" i="6"/>
  <c r="E15" i="6"/>
  <c r="D15" i="6"/>
  <c r="C16" i="6"/>
  <c r="F14" i="6"/>
  <c r="G14" i="6" s="1"/>
  <c r="N14" i="6" s="1"/>
  <c r="I14" i="6"/>
  <c r="O69" i="6"/>
  <c r="M70" i="6" s="1"/>
  <c r="L70" i="6" s="1"/>
  <c r="K70" i="6"/>
  <c r="K13" i="6"/>
  <c r="K14" i="6" s="1"/>
  <c r="E72" i="6"/>
  <c r="D72" i="6"/>
  <c r="C73" i="6"/>
  <c r="J127" i="6"/>
  <c r="B128" i="6"/>
  <c r="O127" i="6"/>
  <c r="M128" i="6" s="1"/>
  <c r="F71" i="6"/>
  <c r="G71" i="6" s="1"/>
  <c r="N71" i="6" s="1"/>
  <c r="I71" i="6"/>
  <c r="K71" i="6" l="1"/>
  <c r="J14" i="6"/>
  <c r="F72" i="6"/>
  <c r="G72" i="6" s="1"/>
  <c r="N72" i="6" s="1"/>
  <c r="I72" i="6"/>
  <c r="J72" i="6" s="1"/>
  <c r="K72" i="6"/>
  <c r="O70" i="6"/>
  <c r="M71" i="6" s="1"/>
  <c r="L71" i="6" s="1"/>
  <c r="E16" i="6"/>
  <c r="C17" i="6"/>
  <c r="D16" i="6"/>
  <c r="F15" i="6"/>
  <c r="G15" i="6" s="1"/>
  <c r="N15" i="6" s="1"/>
  <c r="I15" i="6"/>
  <c r="J15" i="6" s="1"/>
  <c r="D128" i="6"/>
  <c r="C129" i="6" s="1"/>
  <c r="E129" i="6" s="1"/>
  <c r="I128" i="6"/>
  <c r="B129" i="6" s="1"/>
  <c r="F128" i="6"/>
  <c r="G128" i="6" s="1"/>
  <c r="E73" i="6"/>
  <c r="C74" i="6"/>
  <c r="D73" i="6"/>
  <c r="O13" i="6"/>
  <c r="M14" i="6" s="1"/>
  <c r="L14" i="6" s="1"/>
  <c r="J128" i="6" l="1"/>
  <c r="O71" i="6"/>
  <c r="M72" i="6" s="1"/>
  <c r="L72" i="6"/>
  <c r="O14" i="6"/>
  <c r="M15" i="6" s="1"/>
  <c r="L15" i="6" s="1"/>
  <c r="F16" i="6"/>
  <c r="G16" i="6" s="1"/>
  <c r="N16" i="6" s="1"/>
  <c r="I16" i="6"/>
  <c r="J16" i="6" s="1"/>
  <c r="E74" i="6"/>
  <c r="C75" i="6"/>
  <c r="D74" i="6"/>
  <c r="F129" i="6"/>
  <c r="G129" i="6" s="1"/>
  <c r="N129" i="6" s="1"/>
  <c r="I129" i="6"/>
  <c r="B130" i="6" s="1"/>
  <c r="E17" i="6"/>
  <c r="D17" i="6"/>
  <c r="C18" i="6"/>
  <c r="F73" i="6"/>
  <c r="G73" i="6" s="1"/>
  <c r="N73" i="6" s="1"/>
  <c r="I73" i="6"/>
  <c r="J73" i="6" s="1"/>
  <c r="K15" i="6"/>
  <c r="N128" i="6"/>
  <c r="L128" i="6" s="1"/>
  <c r="K128" i="6"/>
  <c r="D129" i="6"/>
  <c r="C130" i="6" s="1"/>
  <c r="E130" i="6" s="1"/>
  <c r="J129" i="6" l="1"/>
  <c r="K73" i="6"/>
  <c r="O15" i="6"/>
  <c r="M16" i="6" s="1"/>
  <c r="L16" i="6" s="1"/>
  <c r="F130" i="6"/>
  <c r="G130" i="6" s="1"/>
  <c r="N130" i="6" s="1"/>
  <c r="I130" i="6"/>
  <c r="B131" i="6" s="1"/>
  <c r="E75" i="6"/>
  <c r="D75" i="6"/>
  <c r="C76" i="6"/>
  <c r="E18" i="6"/>
  <c r="D18" i="6"/>
  <c r="C19" i="6"/>
  <c r="O72" i="6"/>
  <c r="M73" i="6" s="1"/>
  <c r="L73" i="6" s="1"/>
  <c r="O128" i="6"/>
  <c r="M129" i="6" s="1"/>
  <c r="L129" i="6" s="1"/>
  <c r="F74" i="6"/>
  <c r="G74" i="6" s="1"/>
  <c r="N74" i="6" s="1"/>
  <c r="I74" i="6"/>
  <c r="J74" i="6" s="1"/>
  <c r="K129" i="6"/>
  <c r="K16" i="6"/>
  <c r="F17" i="6"/>
  <c r="G17" i="6" s="1"/>
  <c r="N17" i="6" s="1"/>
  <c r="I17" i="6"/>
  <c r="J17" i="6" s="1"/>
  <c r="D130" i="6"/>
  <c r="C131" i="6" s="1"/>
  <c r="E131" i="6" s="1"/>
  <c r="K74" i="6" l="1"/>
  <c r="K130" i="6"/>
  <c r="O16" i="6"/>
  <c r="M17" i="6" s="1"/>
  <c r="L17" i="6" s="1"/>
  <c r="E19" i="6"/>
  <c r="C20" i="6"/>
  <c r="D19" i="6"/>
  <c r="K17" i="6"/>
  <c r="J130" i="6"/>
  <c r="J131" i="6" s="1"/>
  <c r="K131" i="6"/>
  <c r="E76" i="6"/>
  <c r="C77" i="6"/>
  <c r="D76" i="6"/>
  <c r="D131" i="6"/>
  <c r="C132" i="6" s="1"/>
  <c r="E132" i="6" s="1"/>
  <c r="F18" i="6"/>
  <c r="G18" i="6" s="1"/>
  <c r="N18" i="6" s="1"/>
  <c r="I18" i="6"/>
  <c r="J18" i="6" s="1"/>
  <c r="F75" i="6"/>
  <c r="G75" i="6" s="1"/>
  <c r="N75" i="6" s="1"/>
  <c r="I75" i="6"/>
  <c r="J75" i="6" s="1"/>
  <c r="F131" i="6"/>
  <c r="G131" i="6" s="1"/>
  <c r="N131" i="6" s="1"/>
  <c r="I131" i="6"/>
  <c r="B132" i="6" s="1"/>
  <c r="O129" i="6"/>
  <c r="M130" i="6" s="1"/>
  <c r="L130" i="6" s="1"/>
  <c r="O73" i="6"/>
  <c r="M74" i="6" s="1"/>
  <c r="L74" i="6" s="1"/>
  <c r="K18" i="6" l="1"/>
  <c r="K75" i="6"/>
  <c r="O130" i="6"/>
  <c r="M131" i="6" s="1"/>
  <c r="L131" i="6"/>
  <c r="O74" i="6"/>
  <c r="M75" i="6" s="1"/>
  <c r="L75" i="6"/>
  <c r="O17" i="6"/>
  <c r="M18" i="6" s="1"/>
  <c r="L18" i="6"/>
  <c r="F132" i="6"/>
  <c r="G132" i="6" s="1"/>
  <c r="N132" i="6" s="1"/>
  <c r="I132" i="6"/>
  <c r="B133" i="6" s="1"/>
  <c r="D132" i="6"/>
  <c r="C133" i="6" s="1"/>
  <c r="E133" i="6" s="1"/>
  <c r="F76" i="6"/>
  <c r="G76" i="6" s="1"/>
  <c r="N76" i="6" s="1"/>
  <c r="I76" i="6"/>
  <c r="J76" i="6" s="1"/>
  <c r="C78" i="6"/>
  <c r="E77" i="6"/>
  <c r="D77" i="6"/>
  <c r="E20" i="6"/>
  <c r="C21" i="6"/>
  <c r="D20" i="6"/>
  <c r="F19" i="6"/>
  <c r="G19" i="6" s="1"/>
  <c r="N19" i="6" s="1"/>
  <c r="I19" i="6"/>
  <c r="J19" i="6" s="1"/>
  <c r="D133" i="6" l="1"/>
  <c r="C134" i="6" s="1"/>
  <c r="E134" i="6" s="1"/>
  <c r="F133" i="6"/>
  <c r="G133" i="6" s="1"/>
  <c r="N133" i="6" s="1"/>
  <c r="I133" i="6"/>
  <c r="B134" i="6" s="1"/>
  <c r="D134" i="6" s="1"/>
  <c r="C135" i="6" s="1"/>
  <c r="E135" i="6" s="1"/>
  <c r="C79" i="6"/>
  <c r="E78" i="6"/>
  <c r="D78" i="6"/>
  <c r="K76" i="6"/>
  <c r="K132" i="6"/>
  <c r="K133" i="6" s="1"/>
  <c r="F77" i="6"/>
  <c r="G77" i="6" s="1"/>
  <c r="N77" i="6" s="1"/>
  <c r="I77" i="6"/>
  <c r="J77" i="6" s="1"/>
  <c r="O18" i="6"/>
  <c r="M19" i="6" s="1"/>
  <c r="L19" i="6" s="1"/>
  <c r="O75" i="6"/>
  <c r="M76" i="6" s="1"/>
  <c r="L76" i="6" s="1"/>
  <c r="E21" i="6"/>
  <c r="C22" i="6"/>
  <c r="D21" i="6"/>
  <c r="F20" i="6"/>
  <c r="G20" i="6" s="1"/>
  <c r="N20" i="6" s="1"/>
  <c r="I20" i="6"/>
  <c r="J20" i="6" s="1"/>
  <c r="J132" i="6"/>
  <c r="K19" i="6"/>
  <c r="O131" i="6"/>
  <c r="M132" i="6" s="1"/>
  <c r="L132" i="6" s="1"/>
  <c r="K20" i="6" l="1"/>
  <c r="O19" i="6"/>
  <c r="M20" i="6" s="1"/>
  <c r="L20" i="6" s="1"/>
  <c r="O132" i="6"/>
  <c r="M133" i="6" s="1"/>
  <c r="L133" i="6" s="1"/>
  <c r="O76" i="6"/>
  <c r="M77" i="6" s="1"/>
  <c r="L77" i="6" s="1"/>
  <c r="K77" i="6"/>
  <c r="F78" i="6"/>
  <c r="G78" i="6" s="1"/>
  <c r="N78" i="6" s="1"/>
  <c r="I78" i="6"/>
  <c r="J78" i="6" s="1"/>
  <c r="I134" i="6"/>
  <c r="B135" i="6" s="1"/>
  <c r="D135" i="6" s="1"/>
  <c r="C136" i="6" s="1"/>
  <c r="E136" i="6" s="1"/>
  <c r="F134" i="6"/>
  <c r="G134" i="6" s="1"/>
  <c r="N134" i="6" s="1"/>
  <c r="J133" i="6"/>
  <c r="E79" i="6"/>
  <c r="C80" i="6"/>
  <c r="D79" i="6"/>
  <c r="E22" i="6"/>
  <c r="C23" i="6"/>
  <c r="D22" i="6"/>
  <c r="F21" i="6"/>
  <c r="G21" i="6" s="1"/>
  <c r="N21" i="6" s="1"/>
  <c r="I21" i="6"/>
  <c r="J21" i="6" s="1"/>
  <c r="F135" i="6" l="1"/>
  <c r="G135" i="6" s="1"/>
  <c r="N135" i="6" s="1"/>
  <c r="K134" i="6"/>
  <c r="J134" i="6"/>
  <c r="I135" i="6"/>
  <c r="B136" i="6" s="1"/>
  <c r="D136" i="6" s="1"/>
  <c r="C137" i="6" s="1"/>
  <c r="E137" i="6" s="1"/>
  <c r="O133" i="6"/>
  <c r="M134" i="6" s="1"/>
  <c r="L134" i="6"/>
  <c r="O77" i="6"/>
  <c r="M78" i="6" s="1"/>
  <c r="L78" i="6" s="1"/>
  <c r="O20" i="6"/>
  <c r="K135" i="6"/>
  <c r="K136" i="6" s="1"/>
  <c r="E23" i="6"/>
  <c r="D23" i="6"/>
  <c r="C24" i="6"/>
  <c r="F22" i="6"/>
  <c r="G22" i="6" s="1"/>
  <c r="N22" i="6" s="1"/>
  <c r="I22" i="6"/>
  <c r="J22" i="6" s="1"/>
  <c r="E80" i="6"/>
  <c r="D80" i="6"/>
  <c r="C81" i="6"/>
  <c r="K21" i="6"/>
  <c r="K78" i="6"/>
  <c r="F79" i="6"/>
  <c r="G79" i="6" s="1"/>
  <c r="N79" i="6" s="1"/>
  <c r="I79" i="6"/>
  <c r="J79" i="6" s="1"/>
  <c r="F136" i="6"/>
  <c r="G136" i="6" s="1"/>
  <c r="N136" i="6" s="1"/>
  <c r="I136" i="6"/>
  <c r="B137" i="6" s="1"/>
  <c r="D137" i="6" s="1"/>
  <c r="C138" i="6" s="1"/>
  <c r="E138" i="6" s="1"/>
  <c r="J135" i="6" l="1"/>
  <c r="O78" i="6"/>
  <c r="F23" i="6"/>
  <c r="G23" i="6" s="1"/>
  <c r="N23" i="6" s="1"/>
  <c r="I23" i="6"/>
  <c r="J23" i="6" s="1"/>
  <c r="I137" i="6"/>
  <c r="B138" i="6" s="1"/>
  <c r="D138" i="6" s="1"/>
  <c r="C139" i="6" s="1"/>
  <c r="E139" i="6" s="1"/>
  <c r="F137" i="6"/>
  <c r="G137" i="6" s="1"/>
  <c r="N137" i="6" s="1"/>
  <c r="K79" i="6"/>
  <c r="E24" i="6"/>
  <c r="D24" i="6"/>
  <c r="C25" i="6"/>
  <c r="E81" i="6"/>
  <c r="D81" i="6"/>
  <c r="C82" i="6"/>
  <c r="F80" i="6"/>
  <c r="G80" i="6" s="1"/>
  <c r="N80" i="6" s="1"/>
  <c r="I80" i="6"/>
  <c r="J80" i="6" s="1"/>
  <c r="B11" i="5"/>
  <c r="M21" i="6"/>
  <c r="L21" i="6" s="1"/>
  <c r="K22" i="6"/>
  <c r="J136" i="6"/>
  <c r="O134" i="6"/>
  <c r="M135" i="6" s="1"/>
  <c r="L135" i="6" s="1"/>
  <c r="K80" i="6" l="1"/>
  <c r="K23" i="6"/>
  <c r="F138" i="6"/>
  <c r="G138" i="6" s="1"/>
  <c r="N138" i="6" s="1"/>
  <c r="I138" i="6"/>
  <c r="B139" i="6" s="1"/>
  <c r="D139" i="6" s="1"/>
  <c r="C140" i="6" s="1"/>
  <c r="E140" i="6" s="1"/>
  <c r="J137" i="6"/>
  <c r="O135" i="6"/>
  <c r="M136" i="6" s="1"/>
  <c r="L136" i="6" s="1"/>
  <c r="E82" i="6"/>
  <c r="C83" i="6"/>
  <c r="D82" i="6"/>
  <c r="F81" i="6"/>
  <c r="G81" i="6" s="1"/>
  <c r="N81" i="6" s="1"/>
  <c r="I81" i="6"/>
  <c r="J81" i="6" s="1"/>
  <c r="F24" i="6"/>
  <c r="G24" i="6" s="1"/>
  <c r="N24" i="6" s="1"/>
  <c r="I24" i="6"/>
  <c r="J24" i="6" s="1"/>
  <c r="J138" i="6"/>
  <c r="J139" i="6" s="1"/>
  <c r="E25" i="6"/>
  <c r="D25" i="6"/>
  <c r="C26" i="6"/>
  <c r="I139" i="6"/>
  <c r="B140" i="6" s="1"/>
  <c r="D140" i="6" s="1"/>
  <c r="C141" i="6" s="1"/>
  <c r="E141" i="6" s="1"/>
  <c r="O21" i="6"/>
  <c r="M22" i="6" s="1"/>
  <c r="L22" i="6"/>
  <c r="K137" i="6"/>
  <c r="K138" i="6" s="1"/>
  <c r="M79" i="6"/>
  <c r="L79" i="6" s="1"/>
  <c r="C11" i="5"/>
  <c r="F140" i="6" l="1"/>
  <c r="G140" i="6" s="1"/>
  <c r="N140" i="6" s="1"/>
  <c r="F139" i="6"/>
  <c r="G139" i="6" s="1"/>
  <c r="N139" i="6" s="1"/>
  <c r="K24" i="6"/>
  <c r="O136" i="6"/>
  <c r="E26" i="6"/>
  <c r="D26" i="6"/>
  <c r="C27" i="6"/>
  <c r="F25" i="6"/>
  <c r="G25" i="6" s="1"/>
  <c r="N25" i="6" s="1"/>
  <c r="I25" i="6"/>
  <c r="J25" i="6" s="1"/>
  <c r="O79" i="6"/>
  <c r="M80" i="6" s="1"/>
  <c r="L80" i="6" s="1"/>
  <c r="O22" i="6"/>
  <c r="M23" i="6" s="1"/>
  <c r="L23" i="6" s="1"/>
  <c r="D83" i="6"/>
  <c r="E83" i="6"/>
  <c r="C84" i="6"/>
  <c r="F82" i="6"/>
  <c r="G82" i="6" s="1"/>
  <c r="N82" i="6" s="1"/>
  <c r="I82" i="6"/>
  <c r="J82" i="6" s="1"/>
  <c r="K81" i="6"/>
  <c r="K82" i="6" s="1"/>
  <c r="I140" i="6"/>
  <c r="B141" i="6" s="1"/>
  <c r="D141" i="6" s="1"/>
  <c r="C142" i="6" s="1"/>
  <c r="E142" i="6" s="1"/>
  <c r="K139" i="6" l="1"/>
  <c r="K140" i="6" s="1"/>
  <c r="O23" i="6"/>
  <c r="M24" i="6" s="1"/>
  <c r="L24" i="6" s="1"/>
  <c r="O80" i="6"/>
  <c r="M81" i="6" s="1"/>
  <c r="L81" i="6"/>
  <c r="E27" i="6"/>
  <c r="C28" i="6"/>
  <c r="D27" i="6"/>
  <c r="J140" i="6"/>
  <c r="F26" i="6"/>
  <c r="G26" i="6" s="1"/>
  <c r="N26" i="6" s="1"/>
  <c r="I26" i="6"/>
  <c r="J26" i="6" s="1"/>
  <c r="K83" i="6"/>
  <c r="I141" i="6"/>
  <c r="B142" i="6" s="1"/>
  <c r="D142" i="6" s="1"/>
  <c r="C143" i="6" s="1"/>
  <c r="E143" i="6" s="1"/>
  <c r="E84" i="6"/>
  <c r="D84" i="6"/>
  <c r="C85" i="6"/>
  <c r="K25" i="6"/>
  <c r="F141" i="6"/>
  <c r="G141" i="6" s="1"/>
  <c r="N141" i="6" s="1"/>
  <c r="F83" i="6"/>
  <c r="G83" i="6" s="1"/>
  <c r="N83" i="6" s="1"/>
  <c r="I83" i="6"/>
  <c r="J83" i="6" s="1"/>
  <c r="M137" i="6"/>
  <c r="L137" i="6" s="1"/>
  <c r="D11" i="5"/>
  <c r="F142" i="6" l="1"/>
  <c r="G142" i="6" s="1"/>
  <c r="N142" i="6" s="1"/>
  <c r="J141" i="6"/>
  <c r="I142" i="6"/>
  <c r="B143" i="6" s="1"/>
  <c r="D143" i="6" s="1"/>
  <c r="C144" i="6" s="1"/>
  <c r="E144" i="6" s="1"/>
  <c r="O24" i="6"/>
  <c r="M25" i="6" s="1"/>
  <c r="L25" i="6" s="1"/>
  <c r="E28" i="6"/>
  <c r="C29" i="6"/>
  <c r="D28" i="6"/>
  <c r="E85" i="6"/>
  <c r="C86" i="6"/>
  <c r="D85" i="6"/>
  <c r="F27" i="6"/>
  <c r="G27" i="6" s="1"/>
  <c r="N27" i="6" s="1"/>
  <c r="I27" i="6"/>
  <c r="J27" i="6" s="1"/>
  <c r="O81" i="6"/>
  <c r="M82" i="6" s="1"/>
  <c r="L82" i="6" s="1"/>
  <c r="F84" i="6"/>
  <c r="G84" i="6" s="1"/>
  <c r="N84" i="6" s="1"/>
  <c r="I84" i="6"/>
  <c r="J84" i="6" s="1"/>
  <c r="O137" i="6"/>
  <c r="M138" i="6" s="1"/>
  <c r="L138" i="6" s="1"/>
  <c r="K141" i="6"/>
  <c r="K142" i="6" s="1"/>
  <c r="K26" i="6"/>
  <c r="F143" i="6"/>
  <c r="G143" i="6" s="1"/>
  <c r="N143" i="6" s="1"/>
  <c r="I143" i="6"/>
  <c r="B144" i="6" s="1"/>
  <c r="D144" i="6" s="1"/>
  <c r="C145" i="6" s="1"/>
  <c r="E145" i="6" s="1"/>
  <c r="K84" i="6" l="1"/>
  <c r="J142" i="6"/>
  <c r="O138" i="6"/>
  <c r="M139" i="6" s="1"/>
  <c r="L139" i="6" s="1"/>
  <c r="O82" i="6"/>
  <c r="M83" i="6" s="1"/>
  <c r="L83" i="6" s="1"/>
  <c r="O25" i="6"/>
  <c r="M26" i="6" s="1"/>
  <c r="L26" i="6" s="1"/>
  <c r="F85" i="6"/>
  <c r="G85" i="6" s="1"/>
  <c r="N85" i="6" s="1"/>
  <c r="I85" i="6"/>
  <c r="J85" i="6" s="1"/>
  <c r="K143" i="6"/>
  <c r="K85" i="6"/>
  <c r="C87" i="6"/>
  <c r="E86" i="6"/>
  <c r="D86" i="6"/>
  <c r="J143" i="6"/>
  <c r="J144" i="6" s="1"/>
  <c r="K27" i="6"/>
  <c r="F144" i="6"/>
  <c r="G144" i="6" s="1"/>
  <c r="N144" i="6" s="1"/>
  <c r="E29" i="6"/>
  <c r="C30" i="6"/>
  <c r="D29" i="6"/>
  <c r="I144" i="6"/>
  <c r="B145" i="6" s="1"/>
  <c r="D145" i="6" s="1"/>
  <c r="C146" i="6" s="1"/>
  <c r="E146" i="6" s="1"/>
  <c r="F28" i="6"/>
  <c r="G28" i="6" s="1"/>
  <c r="N28" i="6" s="1"/>
  <c r="I28" i="6"/>
  <c r="J28" i="6" s="1"/>
  <c r="K144" i="6" l="1"/>
  <c r="O26" i="6"/>
  <c r="M27" i="6" s="1"/>
  <c r="L27" i="6"/>
  <c r="O83" i="6"/>
  <c r="M84" i="6" s="1"/>
  <c r="L84" i="6" s="1"/>
  <c r="O139" i="6"/>
  <c r="M140" i="6" s="1"/>
  <c r="L140" i="6" s="1"/>
  <c r="E87" i="6"/>
  <c r="C88" i="6"/>
  <c r="D87" i="6"/>
  <c r="F145" i="6"/>
  <c r="G145" i="6" s="1"/>
  <c r="N145" i="6" s="1"/>
  <c r="E30" i="6"/>
  <c r="D30" i="6"/>
  <c r="C31" i="6"/>
  <c r="F29" i="6"/>
  <c r="G29" i="6" s="1"/>
  <c r="N29" i="6" s="1"/>
  <c r="I29" i="6"/>
  <c r="J29" i="6" s="1"/>
  <c r="F86" i="6"/>
  <c r="G86" i="6" s="1"/>
  <c r="N86" i="6" s="1"/>
  <c r="I86" i="6"/>
  <c r="J86" i="6" s="1"/>
  <c r="I145" i="6"/>
  <c r="B146" i="6" s="1"/>
  <c r="D146" i="6" s="1"/>
  <c r="C147" i="6" s="1"/>
  <c r="E147" i="6" s="1"/>
  <c r="K28" i="6"/>
  <c r="K86" i="6" l="1"/>
  <c r="K29" i="6"/>
  <c r="O140" i="6"/>
  <c r="M141" i="6" s="1"/>
  <c r="L141" i="6"/>
  <c r="O84" i="6"/>
  <c r="M85" i="6" s="1"/>
  <c r="L85" i="6" s="1"/>
  <c r="J145" i="6"/>
  <c r="F146" i="6"/>
  <c r="G146" i="6" s="1"/>
  <c r="N146" i="6" s="1"/>
  <c r="I146" i="6"/>
  <c r="B147" i="6" s="1"/>
  <c r="D147" i="6" s="1"/>
  <c r="C148" i="6" s="1"/>
  <c r="E148" i="6" s="1"/>
  <c r="O27" i="6"/>
  <c r="M28" i="6" s="1"/>
  <c r="L28" i="6"/>
  <c r="K30" i="6"/>
  <c r="E88" i="6"/>
  <c r="D88" i="6"/>
  <c r="C89" i="6"/>
  <c r="F87" i="6"/>
  <c r="G87" i="6" s="1"/>
  <c r="N87" i="6" s="1"/>
  <c r="I87" i="6"/>
  <c r="J87" i="6" s="1"/>
  <c r="K145" i="6"/>
  <c r="E31" i="6"/>
  <c r="C32" i="6"/>
  <c r="D31" i="6"/>
  <c r="F30" i="6"/>
  <c r="G30" i="6" s="1"/>
  <c r="N30" i="6" s="1"/>
  <c r="I30" i="6"/>
  <c r="J30" i="6" s="1"/>
  <c r="K87" i="6" l="1"/>
  <c r="O85" i="6"/>
  <c r="M86" i="6" s="1"/>
  <c r="L86" i="6" s="1"/>
  <c r="F88" i="6"/>
  <c r="G88" i="6" s="1"/>
  <c r="N88" i="6" s="1"/>
  <c r="I88" i="6"/>
  <c r="J88" i="6" s="1"/>
  <c r="O28" i="6"/>
  <c r="M29" i="6" s="1"/>
  <c r="L29" i="6" s="1"/>
  <c r="I147" i="6"/>
  <c r="B148" i="6" s="1"/>
  <c r="D148" i="6" s="1"/>
  <c r="C149" i="6" s="1"/>
  <c r="E149" i="6" s="1"/>
  <c r="F147" i="6"/>
  <c r="G147" i="6" s="1"/>
  <c r="N147" i="6" s="1"/>
  <c r="E32" i="6"/>
  <c r="C33" i="6"/>
  <c r="D32" i="6"/>
  <c r="J146" i="6"/>
  <c r="F31" i="6"/>
  <c r="G31" i="6" s="1"/>
  <c r="N31" i="6" s="1"/>
  <c r="I31" i="6"/>
  <c r="J31" i="6" s="1"/>
  <c r="K146" i="6"/>
  <c r="O141" i="6"/>
  <c r="M142" i="6" s="1"/>
  <c r="L142" i="6" s="1"/>
  <c r="E89" i="6"/>
  <c r="C90" i="6"/>
  <c r="D89" i="6"/>
  <c r="K31" i="6" l="1"/>
  <c r="O142" i="6"/>
  <c r="M143" i="6" s="1"/>
  <c r="L143" i="6" s="1"/>
  <c r="O29" i="6"/>
  <c r="M30" i="6" s="1"/>
  <c r="L30" i="6" s="1"/>
  <c r="O86" i="6"/>
  <c r="M87" i="6" s="1"/>
  <c r="L87" i="6"/>
  <c r="I148" i="6"/>
  <c r="B149" i="6" s="1"/>
  <c r="D149" i="6" s="1"/>
  <c r="C150" i="6" s="1"/>
  <c r="E150" i="6" s="1"/>
  <c r="D33" i="6"/>
  <c r="E33" i="6"/>
  <c r="C34" i="6"/>
  <c r="F148" i="6"/>
  <c r="G148" i="6" s="1"/>
  <c r="N148" i="6" s="1"/>
  <c r="K147" i="6"/>
  <c r="F32" i="6"/>
  <c r="G32" i="6" s="1"/>
  <c r="N32" i="6" s="1"/>
  <c r="I32" i="6"/>
  <c r="J32" i="6" s="1"/>
  <c r="E90" i="6"/>
  <c r="D90" i="6"/>
  <c r="C91" i="6"/>
  <c r="J147" i="6"/>
  <c r="F89" i="6"/>
  <c r="G89" i="6" s="1"/>
  <c r="N89" i="6" s="1"/>
  <c r="I89" i="6"/>
  <c r="J89" i="6" s="1"/>
  <c r="K88" i="6"/>
  <c r="K89" i="6" s="1"/>
  <c r="O30" i="6" l="1"/>
  <c r="O143" i="6"/>
  <c r="M144" i="6" s="1"/>
  <c r="L144" i="6" s="1"/>
  <c r="K148" i="6"/>
  <c r="E34" i="6"/>
  <c r="C35" i="6"/>
  <c r="D34" i="6"/>
  <c r="O87" i="6"/>
  <c r="M88" i="6" s="1"/>
  <c r="L88" i="6"/>
  <c r="K32" i="6"/>
  <c r="K90" i="6"/>
  <c r="I149" i="6"/>
  <c r="B150" i="6" s="1"/>
  <c r="D150" i="6" s="1"/>
  <c r="C151" i="6" s="1"/>
  <c r="E151" i="6" s="1"/>
  <c r="F33" i="6"/>
  <c r="G33" i="6" s="1"/>
  <c r="N33" i="6" s="1"/>
  <c r="I33" i="6"/>
  <c r="J33" i="6" s="1"/>
  <c r="F149" i="6"/>
  <c r="G149" i="6" s="1"/>
  <c r="N149" i="6" s="1"/>
  <c r="J148" i="6"/>
  <c r="E91" i="6"/>
  <c r="C92" i="6"/>
  <c r="D91" i="6"/>
  <c r="F90" i="6"/>
  <c r="G90" i="6" s="1"/>
  <c r="N90" i="6" s="1"/>
  <c r="I90" i="6"/>
  <c r="J90" i="6" s="1"/>
  <c r="K33" i="6" l="1"/>
  <c r="K149" i="6"/>
  <c r="O144" i="6"/>
  <c r="M145" i="6" s="1"/>
  <c r="L145" i="6" s="1"/>
  <c r="F150" i="6"/>
  <c r="G150" i="6" s="1"/>
  <c r="N150" i="6" s="1"/>
  <c r="F34" i="6"/>
  <c r="G34" i="6" s="1"/>
  <c r="N34" i="6" s="1"/>
  <c r="I34" i="6"/>
  <c r="J34" i="6" s="1"/>
  <c r="O88" i="6"/>
  <c r="E35" i="6"/>
  <c r="D35" i="6"/>
  <c r="C36" i="6"/>
  <c r="I150" i="6"/>
  <c r="B151" i="6" s="1"/>
  <c r="D151" i="6" s="1"/>
  <c r="C152" i="6" s="1"/>
  <c r="E152" i="6" s="1"/>
  <c r="C93" i="6"/>
  <c r="E92" i="6"/>
  <c r="D92" i="6"/>
  <c r="F91" i="6"/>
  <c r="G91" i="6" s="1"/>
  <c r="N91" i="6" s="1"/>
  <c r="I91" i="6"/>
  <c r="J91" i="6" s="1"/>
  <c r="J149" i="6"/>
  <c r="M31" i="6"/>
  <c r="L31" i="6" s="1"/>
  <c r="B12" i="5"/>
  <c r="F151" i="6" l="1"/>
  <c r="G151" i="6" s="1"/>
  <c r="N151" i="6" s="1"/>
  <c r="J150" i="6"/>
  <c r="I151" i="6"/>
  <c r="B152" i="6" s="1"/>
  <c r="D152" i="6" s="1"/>
  <c r="C153" i="6" s="1"/>
  <c r="E153" i="6" s="1"/>
  <c r="O145" i="6"/>
  <c r="M146" i="6" s="1"/>
  <c r="L146" i="6"/>
  <c r="F35" i="6"/>
  <c r="G35" i="6" s="1"/>
  <c r="N35" i="6" s="1"/>
  <c r="I35" i="6"/>
  <c r="J35" i="6" s="1"/>
  <c r="M89" i="6"/>
  <c r="L89" i="6" s="1"/>
  <c r="C12" i="5"/>
  <c r="K34" i="6"/>
  <c r="K35" i="6" s="1"/>
  <c r="K91" i="6"/>
  <c r="E36" i="6"/>
  <c r="C37" i="6"/>
  <c r="D36" i="6"/>
  <c r="J151" i="6"/>
  <c r="J152" i="6" s="1"/>
  <c r="F92" i="6"/>
  <c r="G92" i="6" s="1"/>
  <c r="N92" i="6" s="1"/>
  <c r="I92" i="6"/>
  <c r="J92" i="6" s="1"/>
  <c r="O31" i="6"/>
  <c r="M32" i="6" s="1"/>
  <c r="L32" i="6" s="1"/>
  <c r="E93" i="6"/>
  <c r="C94" i="6"/>
  <c r="D93" i="6"/>
  <c r="K150" i="6"/>
  <c r="K151" i="6" s="1"/>
  <c r="F152" i="6"/>
  <c r="G152" i="6" s="1"/>
  <c r="N152" i="6" s="1"/>
  <c r="I152" i="6"/>
  <c r="B153" i="6" s="1"/>
  <c r="D153" i="6" s="1"/>
  <c r="C154" i="6" s="1"/>
  <c r="E154" i="6" s="1"/>
  <c r="K92" i="6" l="1"/>
  <c r="O32" i="6"/>
  <c r="M33" i="6" s="1"/>
  <c r="L33" i="6"/>
  <c r="E94" i="6"/>
  <c r="C95" i="6"/>
  <c r="D94" i="6"/>
  <c r="O89" i="6"/>
  <c r="M90" i="6" s="1"/>
  <c r="L90" i="6" s="1"/>
  <c r="E37" i="6"/>
  <c r="D37" i="6"/>
  <c r="C38" i="6"/>
  <c r="F153" i="6"/>
  <c r="G153" i="6" s="1"/>
  <c r="N153" i="6" s="1"/>
  <c r="I153" i="6"/>
  <c r="B154" i="6" s="1"/>
  <c r="D154" i="6" s="1"/>
  <c r="C155" i="6" s="1"/>
  <c r="E155" i="6" s="1"/>
  <c r="F36" i="6"/>
  <c r="G36" i="6" s="1"/>
  <c r="N36" i="6" s="1"/>
  <c r="I36" i="6"/>
  <c r="J36" i="6" s="1"/>
  <c r="K152" i="6"/>
  <c r="F93" i="6"/>
  <c r="G93" i="6" s="1"/>
  <c r="N93" i="6" s="1"/>
  <c r="I93" i="6"/>
  <c r="J93" i="6" s="1"/>
  <c r="O146" i="6"/>
  <c r="J153" i="6" l="1"/>
  <c r="I154" i="6"/>
  <c r="B155" i="6" s="1"/>
  <c r="D155" i="6" s="1"/>
  <c r="C156" i="6" s="1"/>
  <c r="E156" i="6" s="1"/>
  <c r="F154" i="6"/>
  <c r="G154" i="6" s="1"/>
  <c r="N154" i="6" s="1"/>
  <c r="K153" i="6"/>
  <c r="K154" i="6" s="1"/>
  <c r="O90" i="6"/>
  <c r="M91" i="6" s="1"/>
  <c r="L91" i="6" s="1"/>
  <c r="E38" i="6"/>
  <c r="C39" i="6"/>
  <c r="D38" i="6"/>
  <c r="J154" i="6"/>
  <c r="F94" i="6"/>
  <c r="G94" i="6" s="1"/>
  <c r="N94" i="6" s="1"/>
  <c r="I94" i="6"/>
  <c r="J94" i="6" s="1"/>
  <c r="K93" i="6"/>
  <c r="K94" i="6" s="1"/>
  <c r="F37" i="6"/>
  <c r="G37" i="6" s="1"/>
  <c r="N37" i="6" s="1"/>
  <c r="I37" i="6"/>
  <c r="J37" i="6" s="1"/>
  <c r="M147" i="6"/>
  <c r="L147" i="6" s="1"/>
  <c r="D12" i="5"/>
  <c r="K36" i="6"/>
  <c r="O33" i="6"/>
  <c r="M34" i="6" s="1"/>
  <c r="L34" i="6" s="1"/>
  <c r="E95" i="6"/>
  <c r="D95" i="6"/>
  <c r="C96" i="6"/>
  <c r="F155" i="6"/>
  <c r="G155" i="6" s="1"/>
  <c r="N155" i="6" s="1"/>
  <c r="I155" i="6"/>
  <c r="B156" i="6" s="1"/>
  <c r="D156" i="6" s="1"/>
  <c r="C157" i="6" s="1"/>
  <c r="E157" i="6" s="1"/>
  <c r="O34" i="6" l="1"/>
  <c r="M35" i="6" s="1"/>
  <c r="L35" i="6"/>
  <c r="O91" i="6"/>
  <c r="M92" i="6" s="1"/>
  <c r="L92" i="6" s="1"/>
  <c r="O147" i="6"/>
  <c r="M148" i="6" s="1"/>
  <c r="L148" i="6" s="1"/>
  <c r="F156" i="6"/>
  <c r="G156" i="6" s="1"/>
  <c r="N156" i="6" s="1"/>
  <c r="J155" i="6"/>
  <c r="K37" i="6"/>
  <c r="I156" i="6"/>
  <c r="B157" i="6" s="1"/>
  <c r="D157" i="6" s="1"/>
  <c r="C158" i="6" s="1"/>
  <c r="E158" i="6" s="1"/>
  <c r="F95" i="6"/>
  <c r="G95" i="6" s="1"/>
  <c r="N95" i="6" s="1"/>
  <c r="I95" i="6"/>
  <c r="J95" i="6" s="1"/>
  <c r="F38" i="6"/>
  <c r="G38" i="6" s="1"/>
  <c r="N38" i="6" s="1"/>
  <c r="I38" i="6"/>
  <c r="J38" i="6" s="1"/>
  <c r="K155" i="6"/>
  <c r="E96" i="6"/>
  <c r="D96" i="6"/>
  <c r="C97" i="6"/>
  <c r="E39" i="6"/>
  <c r="C40" i="6"/>
  <c r="D39" i="6"/>
  <c r="K38" i="6" l="1"/>
  <c r="O148" i="6"/>
  <c r="M149" i="6" s="1"/>
  <c r="L149" i="6" s="1"/>
  <c r="O92" i="6"/>
  <c r="M93" i="6" s="1"/>
  <c r="L93" i="6" s="1"/>
  <c r="K95" i="6"/>
  <c r="J156" i="6"/>
  <c r="F157" i="6"/>
  <c r="G157" i="6" s="1"/>
  <c r="N157" i="6" s="1"/>
  <c r="I157" i="6"/>
  <c r="B158" i="6" s="1"/>
  <c r="D158" i="6" s="1"/>
  <c r="C159" i="6" s="1"/>
  <c r="E159" i="6" s="1"/>
  <c r="E40" i="6"/>
  <c r="D40" i="6"/>
  <c r="C41" i="6"/>
  <c r="F39" i="6"/>
  <c r="G39" i="6" s="1"/>
  <c r="N39" i="6" s="1"/>
  <c r="I39" i="6"/>
  <c r="J39" i="6" s="1"/>
  <c r="E97" i="6"/>
  <c r="C98" i="6"/>
  <c r="D97" i="6"/>
  <c r="F96" i="6"/>
  <c r="G96" i="6" s="1"/>
  <c r="N96" i="6" s="1"/>
  <c r="I96" i="6"/>
  <c r="J96" i="6" s="1"/>
  <c r="K156" i="6"/>
  <c r="O35" i="6"/>
  <c r="M36" i="6" s="1"/>
  <c r="L36" i="6" s="1"/>
  <c r="K96" i="6" l="1"/>
  <c r="K39" i="6"/>
  <c r="O149" i="6"/>
  <c r="M150" i="6" s="1"/>
  <c r="L150" i="6" s="1"/>
  <c r="O93" i="6"/>
  <c r="M94" i="6" s="1"/>
  <c r="L94" i="6" s="1"/>
  <c r="E41" i="6"/>
  <c r="D41" i="6"/>
  <c r="C42" i="6"/>
  <c r="O36" i="6"/>
  <c r="M37" i="6" s="1"/>
  <c r="L37" i="6" s="1"/>
  <c r="J157" i="6"/>
  <c r="F40" i="6"/>
  <c r="G40" i="6" s="1"/>
  <c r="N40" i="6" s="1"/>
  <c r="I40" i="6"/>
  <c r="J40" i="6" s="1"/>
  <c r="K157" i="6"/>
  <c r="I158" i="6"/>
  <c r="B159" i="6" s="1"/>
  <c r="D159" i="6" s="1"/>
  <c r="C160" i="6" s="1"/>
  <c r="E160" i="6" s="1"/>
  <c r="F158" i="6"/>
  <c r="G158" i="6" s="1"/>
  <c r="N158" i="6" s="1"/>
  <c r="E98" i="6"/>
  <c r="C99" i="6"/>
  <c r="D98" i="6"/>
  <c r="F97" i="6"/>
  <c r="G97" i="6" s="1"/>
  <c r="N97" i="6" s="1"/>
  <c r="I97" i="6"/>
  <c r="J97" i="6" s="1"/>
  <c r="K158" i="6" l="1"/>
  <c r="J158" i="6"/>
  <c r="O94" i="6"/>
  <c r="M95" i="6" s="1"/>
  <c r="L95" i="6" s="1"/>
  <c r="O37" i="6"/>
  <c r="M38" i="6" s="1"/>
  <c r="L38" i="6"/>
  <c r="K40" i="6"/>
  <c r="F41" i="6"/>
  <c r="G41" i="6" s="1"/>
  <c r="N41" i="6" s="1"/>
  <c r="I41" i="6"/>
  <c r="J41" i="6" s="1"/>
  <c r="F98" i="6"/>
  <c r="G98" i="6" s="1"/>
  <c r="N98" i="6" s="1"/>
  <c r="I98" i="6"/>
  <c r="J98" i="6" s="1"/>
  <c r="E42" i="6"/>
  <c r="D42" i="6"/>
  <c r="C43" i="6"/>
  <c r="K97" i="6"/>
  <c r="C100" i="6"/>
  <c r="E99" i="6"/>
  <c r="D99" i="6"/>
  <c r="O150" i="6"/>
  <c r="M151" i="6" s="1"/>
  <c r="L151" i="6" s="1"/>
  <c r="I159" i="6"/>
  <c r="B160" i="6" s="1"/>
  <c r="D160" i="6" s="1"/>
  <c r="C161" i="6" s="1"/>
  <c r="E161" i="6" s="1"/>
  <c r="F159" i="6"/>
  <c r="G159" i="6" s="1"/>
  <c r="N159" i="6" s="1"/>
  <c r="O151" i="6" l="1"/>
  <c r="M152" i="6" s="1"/>
  <c r="L152" i="6" s="1"/>
  <c r="O95" i="6"/>
  <c r="M96" i="6" s="1"/>
  <c r="L96" i="6"/>
  <c r="J159" i="6"/>
  <c r="J160" i="6" s="1"/>
  <c r="E43" i="6"/>
  <c r="D43" i="6"/>
  <c r="C44" i="6"/>
  <c r="F42" i="6"/>
  <c r="G42" i="6" s="1"/>
  <c r="N42" i="6" s="1"/>
  <c r="I42" i="6"/>
  <c r="J42" i="6" s="1"/>
  <c r="K159" i="6"/>
  <c r="K160" i="6" s="1"/>
  <c r="K41" i="6"/>
  <c r="K42" i="6" s="1"/>
  <c r="E100" i="6"/>
  <c r="C101" i="6"/>
  <c r="D100" i="6"/>
  <c r="O38" i="6"/>
  <c r="M39" i="6" s="1"/>
  <c r="L39" i="6" s="1"/>
  <c r="K98" i="6"/>
  <c r="I160" i="6"/>
  <c r="B161" i="6" s="1"/>
  <c r="D161" i="6" s="1"/>
  <c r="C162" i="6" s="1"/>
  <c r="E162" i="6" s="1"/>
  <c r="I161" i="6"/>
  <c r="B162" i="6" s="1"/>
  <c r="D162" i="6" s="1"/>
  <c r="C163" i="6" s="1"/>
  <c r="E163" i="6" s="1"/>
  <c r="F99" i="6"/>
  <c r="G99" i="6" s="1"/>
  <c r="N99" i="6" s="1"/>
  <c r="I99" i="6"/>
  <c r="J99" i="6" s="1"/>
  <c r="F160" i="6"/>
  <c r="G160" i="6" s="1"/>
  <c r="N160" i="6" s="1"/>
  <c r="O39" i="6" l="1"/>
  <c r="M40" i="6" s="1"/>
  <c r="L40" i="6"/>
  <c r="O152" i="6"/>
  <c r="M153" i="6" s="1"/>
  <c r="L153" i="6"/>
  <c r="F100" i="6"/>
  <c r="G100" i="6" s="1"/>
  <c r="N100" i="6" s="1"/>
  <c r="I100" i="6"/>
  <c r="J100" i="6" s="1"/>
  <c r="F161" i="6"/>
  <c r="G161" i="6" s="1"/>
  <c r="N161" i="6" s="1"/>
  <c r="J161" i="6"/>
  <c r="J162" i="6" s="1"/>
  <c r="F43" i="6"/>
  <c r="G43" i="6" s="1"/>
  <c r="N43" i="6" s="1"/>
  <c r="I43" i="6"/>
  <c r="J43" i="6" s="1"/>
  <c r="O96" i="6"/>
  <c r="M97" i="6" s="1"/>
  <c r="L97" i="6" s="1"/>
  <c r="E101" i="6"/>
  <c r="D101" i="6"/>
  <c r="C102" i="6"/>
  <c r="E44" i="6"/>
  <c r="D44" i="6"/>
  <c r="C45" i="6"/>
  <c r="F162" i="6"/>
  <c r="G162" i="6" s="1"/>
  <c r="N162" i="6" s="1"/>
  <c r="I162" i="6"/>
  <c r="B163" i="6" s="1"/>
  <c r="D163" i="6" s="1"/>
  <c r="C164" i="6" s="1"/>
  <c r="E164" i="6" s="1"/>
  <c r="K99" i="6"/>
  <c r="K100" i="6" l="1"/>
  <c r="O97" i="6"/>
  <c r="M98" i="6" s="1"/>
  <c r="L98" i="6"/>
  <c r="K161" i="6"/>
  <c r="K162" i="6" s="1"/>
  <c r="E45" i="6"/>
  <c r="C46" i="6"/>
  <c r="D45" i="6"/>
  <c r="F44" i="6"/>
  <c r="G44" i="6" s="1"/>
  <c r="N44" i="6" s="1"/>
  <c r="I44" i="6"/>
  <c r="J44" i="6" s="1"/>
  <c r="I163" i="6"/>
  <c r="B164" i="6" s="1"/>
  <c r="D164" i="6" s="1"/>
  <c r="C165" i="6" s="1"/>
  <c r="E165" i="6" s="1"/>
  <c r="F163" i="6"/>
  <c r="G163" i="6" s="1"/>
  <c r="N163" i="6" s="1"/>
  <c r="K43" i="6"/>
  <c r="O153" i="6"/>
  <c r="M154" i="6" s="1"/>
  <c r="L154" i="6"/>
  <c r="E102" i="6"/>
  <c r="C103" i="6"/>
  <c r="D102" i="6"/>
  <c r="F101" i="6"/>
  <c r="G101" i="6" s="1"/>
  <c r="N101" i="6" s="1"/>
  <c r="I101" i="6"/>
  <c r="J101" i="6" s="1"/>
  <c r="O40" i="6"/>
  <c r="F164" i="6" l="1"/>
  <c r="G164" i="6" s="1"/>
  <c r="N164" i="6" s="1"/>
  <c r="K163" i="6"/>
  <c r="K164" i="6" s="1"/>
  <c r="I164" i="6"/>
  <c r="B165" i="6" s="1"/>
  <c r="D165" i="6" s="1"/>
  <c r="C166" i="6" s="1"/>
  <c r="E166" i="6" s="1"/>
  <c r="F102" i="6"/>
  <c r="G102" i="6" s="1"/>
  <c r="N102" i="6" s="1"/>
  <c r="I102" i="6"/>
  <c r="J102" i="6" s="1"/>
  <c r="M41" i="6"/>
  <c r="L41" i="6" s="1"/>
  <c r="B13" i="5"/>
  <c r="O154" i="6"/>
  <c r="M155" i="6" s="1"/>
  <c r="L155" i="6" s="1"/>
  <c r="F45" i="6"/>
  <c r="G45" i="6" s="1"/>
  <c r="N45" i="6" s="1"/>
  <c r="I45" i="6"/>
  <c r="J45" i="6" s="1"/>
  <c r="E103" i="6"/>
  <c r="C104" i="6"/>
  <c r="D103" i="6"/>
  <c r="O98" i="6"/>
  <c r="J163" i="6"/>
  <c r="E46" i="6"/>
  <c r="D46" i="6"/>
  <c r="C47" i="6"/>
  <c r="K101" i="6"/>
  <c r="K44" i="6"/>
  <c r="O155" i="6" l="1"/>
  <c r="M156" i="6" s="1"/>
  <c r="L156" i="6" s="1"/>
  <c r="K45" i="6"/>
  <c r="K102" i="6"/>
  <c r="F46" i="6"/>
  <c r="G46" i="6" s="1"/>
  <c r="N46" i="6" s="1"/>
  <c r="I46" i="6"/>
  <c r="J46" i="6" s="1"/>
  <c r="J164" i="6"/>
  <c r="F103" i="6"/>
  <c r="G103" i="6" s="1"/>
  <c r="N103" i="6" s="1"/>
  <c r="I103" i="6"/>
  <c r="J103" i="6" s="1"/>
  <c r="O41" i="6"/>
  <c r="M42" i="6" s="1"/>
  <c r="L42" i="6" s="1"/>
  <c r="E47" i="6"/>
  <c r="D47" i="6"/>
  <c r="C48" i="6"/>
  <c r="I165" i="6"/>
  <c r="B166" i="6" s="1"/>
  <c r="D166" i="6" s="1"/>
  <c r="C167" i="6" s="1"/>
  <c r="E167" i="6" s="1"/>
  <c r="F165" i="6"/>
  <c r="G165" i="6" s="1"/>
  <c r="N165" i="6" s="1"/>
  <c r="M99" i="6"/>
  <c r="L99" i="6" s="1"/>
  <c r="C13" i="5"/>
  <c r="E104" i="6"/>
  <c r="D104" i="6"/>
  <c r="C105" i="6"/>
  <c r="J165" i="6" l="1"/>
  <c r="I166" i="6"/>
  <c r="B167" i="6" s="1"/>
  <c r="D167" i="6" s="1"/>
  <c r="C168" i="6" s="1"/>
  <c r="E168" i="6" s="1"/>
  <c r="F166" i="6"/>
  <c r="G166" i="6" s="1"/>
  <c r="N166" i="6" s="1"/>
  <c r="O42" i="6"/>
  <c r="M43" i="6" s="1"/>
  <c r="L43" i="6" s="1"/>
  <c r="O156" i="6"/>
  <c r="J166" i="6"/>
  <c r="F104" i="6"/>
  <c r="G104" i="6" s="1"/>
  <c r="N104" i="6" s="1"/>
  <c r="I104" i="6"/>
  <c r="J104" i="6" s="1"/>
  <c r="F47" i="6"/>
  <c r="G47" i="6" s="1"/>
  <c r="N47" i="6" s="1"/>
  <c r="I47" i="6"/>
  <c r="J47" i="6" s="1"/>
  <c r="E105" i="6"/>
  <c r="C106" i="6"/>
  <c r="D105" i="6"/>
  <c r="K103" i="6"/>
  <c r="K104" i="6" s="1"/>
  <c r="O99" i="6"/>
  <c r="M100" i="6" s="1"/>
  <c r="L100" i="6" s="1"/>
  <c r="K46" i="6"/>
  <c r="K165" i="6"/>
  <c r="F167" i="6"/>
  <c r="G167" i="6" s="1"/>
  <c r="N167" i="6" s="1"/>
  <c r="I167" i="6"/>
  <c r="B168" i="6" s="1"/>
  <c r="D168" i="6" s="1"/>
  <c r="C169" i="6" s="1"/>
  <c r="E169" i="6" s="1"/>
  <c r="E48" i="6"/>
  <c r="D48" i="6"/>
  <c r="C49" i="6"/>
  <c r="K166" i="6" l="1"/>
  <c r="B124" i="6" s="1"/>
  <c r="D6" i="5" s="1"/>
  <c r="O100" i="6"/>
  <c r="M101" i="6" s="1"/>
  <c r="L101" i="6" s="1"/>
  <c r="E106" i="6"/>
  <c r="C107" i="6"/>
  <c r="D106" i="6"/>
  <c r="E49" i="6"/>
  <c r="D49" i="6"/>
  <c r="C50" i="6"/>
  <c r="K167" i="6"/>
  <c r="F105" i="6"/>
  <c r="G105" i="6" s="1"/>
  <c r="N105" i="6" s="1"/>
  <c r="I105" i="6"/>
  <c r="J105" i="6" s="1"/>
  <c r="F48" i="6"/>
  <c r="G48" i="6" s="1"/>
  <c r="N48" i="6" s="1"/>
  <c r="I48" i="6"/>
  <c r="J48" i="6" s="1"/>
  <c r="F168" i="6"/>
  <c r="G168" i="6" s="1"/>
  <c r="N168" i="6" s="1"/>
  <c r="D15" i="5"/>
  <c r="D8" i="5"/>
  <c r="D7" i="5"/>
  <c r="I168" i="6"/>
  <c r="B169" i="6" s="1"/>
  <c r="D169" i="6" s="1"/>
  <c r="C170" i="6" s="1"/>
  <c r="E170" i="6" s="1"/>
  <c r="K47" i="6"/>
  <c r="J167" i="6"/>
  <c r="J168" i="6" s="1"/>
  <c r="M157" i="6"/>
  <c r="L157" i="6" s="1"/>
  <c r="D13" i="5"/>
  <c r="O43" i="6"/>
  <c r="M44" i="6" s="1"/>
  <c r="L44" i="6"/>
  <c r="K168" i="6" l="1"/>
  <c r="O101" i="6"/>
  <c r="M102" i="6" s="1"/>
  <c r="L102" i="6" s="1"/>
  <c r="F49" i="6"/>
  <c r="G49" i="6" s="1"/>
  <c r="N49" i="6" s="1"/>
  <c r="I49" i="6"/>
  <c r="J49" i="6" s="1"/>
  <c r="F169" i="6"/>
  <c r="G169" i="6" s="1"/>
  <c r="N169" i="6" s="1"/>
  <c r="O157" i="6"/>
  <c r="M158" i="6" s="1"/>
  <c r="L158" i="6" s="1"/>
  <c r="K48" i="6"/>
  <c r="K49" i="6" s="1"/>
  <c r="K105" i="6"/>
  <c r="E50" i="6"/>
  <c r="C51" i="6"/>
  <c r="D50" i="6"/>
  <c r="I169" i="6"/>
  <c r="B170" i="6" s="1"/>
  <c r="D170" i="6" s="1"/>
  <c r="C171" i="6" s="1"/>
  <c r="E171" i="6" s="1"/>
  <c r="E107" i="6"/>
  <c r="D107" i="6"/>
  <c r="C108" i="6"/>
  <c r="F106" i="6"/>
  <c r="G106" i="6" s="1"/>
  <c r="N106" i="6" s="1"/>
  <c r="I106" i="6"/>
  <c r="J106" i="6" s="1"/>
  <c r="O44" i="6"/>
  <c r="M45" i="6" s="1"/>
  <c r="L45" i="6" s="1"/>
  <c r="K106" i="6" l="1"/>
  <c r="I170" i="6"/>
  <c r="B171" i="6" s="1"/>
  <c r="D171" i="6" s="1"/>
  <c r="C172" i="6" s="1"/>
  <c r="E172" i="6" s="1"/>
  <c r="F170" i="6"/>
  <c r="G170" i="6" s="1"/>
  <c r="N170" i="6" s="1"/>
  <c r="J169" i="6"/>
  <c r="J170" i="6" s="1"/>
  <c r="O158" i="6"/>
  <c r="M159" i="6" s="1"/>
  <c r="L159" i="6" s="1"/>
  <c r="O45" i="6"/>
  <c r="M46" i="6" s="1"/>
  <c r="L46" i="6"/>
  <c r="O102" i="6"/>
  <c r="M103" i="6" s="1"/>
  <c r="L103" i="6" s="1"/>
  <c r="F50" i="6"/>
  <c r="G50" i="6" s="1"/>
  <c r="N50" i="6" s="1"/>
  <c r="I50" i="6"/>
  <c r="J50" i="6" s="1"/>
  <c r="K50" i="6"/>
  <c r="K107" i="6"/>
  <c r="E108" i="6"/>
  <c r="C109" i="6"/>
  <c r="D108" i="6"/>
  <c r="K169" i="6"/>
  <c r="K170" i="6" s="1"/>
  <c r="K171" i="6" s="1"/>
  <c r="F107" i="6"/>
  <c r="G107" i="6" s="1"/>
  <c r="N107" i="6" s="1"/>
  <c r="I107" i="6"/>
  <c r="J107" i="6" s="1"/>
  <c r="F171" i="6"/>
  <c r="G171" i="6" s="1"/>
  <c r="N171" i="6" s="1"/>
  <c r="I171" i="6"/>
  <c r="B172" i="6" s="1"/>
  <c r="D172" i="6" s="1"/>
  <c r="C173" i="6" s="1"/>
  <c r="E173" i="6" s="1"/>
  <c r="E51" i="6"/>
  <c r="D51" i="6"/>
  <c r="C52" i="6"/>
  <c r="O103" i="6" l="1"/>
  <c r="M104" i="6" s="1"/>
  <c r="L104" i="6" s="1"/>
  <c r="O159" i="6"/>
  <c r="M160" i="6" s="1"/>
  <c r="L160" i="6" s="1"/>
  <c r="E109" i="6"/>
  <c r="C110" i="6"/>
  <c r="D109" i="6"/>
  <c r="E52" i="6"/>
  <c r="D52" i="6"/>
  <c r="C53" i="6"/>
  <c r="F51" i="6"/>
  <c r="G51" i="6" s="1"/>
  <c r="N51" i="6" s="1"/>
  <c r="I51" i="6"/>
  <c r="J51" i="6" s="1"/>
  <c r="F108" i="6"/>
  <c r="G108" i="6" s="1"/>
  <c r="N108" i="6" s="1"/>
  <c r="I108" i="6"/>
  <c r="J108" i="6" s="1"/>
  <c r="J171" i="6"/>
  <c r="B8" i="6"/>
  <c r="B6" i="5" s="1"/>
  <c r="O46" i="6"/>
  <c r="M47" i="6" s="1"/>
  <c r="L47" i="6" s="1"/>
  <c r="I172" i="6"/>
  <c r="B173" i="6" s="1"/>
  <c r="D173" i="6" s="1"/>
  <c r="C174" i="6" s="1"/>
  <c r="E174" i="6" s="1"/>
  <c r="F172" i="6"/>
  <c r="G172" i="6" s="1"/>
  <c r="N172" i="6" s="1"/>
  <c r="K108" i="6" l="1"/>
  <c r="K51" i="6"/>
  <c r="O160" i="6"/>
  <c r="M161" i="6" s="1"/>
  <c r="L161" i="6" s="1"/>
  <c r="O47" i="6"/>
  <c r="M48" i="6" s="1"/>
  <c r="L48" i="6" s="1"/>
  <c r="O104" i="6"/>
  <c r="M105" i="6" s="1"/>
  <c r="L105" i="6" s="1"/>
  <c r="E53" i="6"/>
  <c r="D53" i="6"/>
  <c r="C54" i="6"/>
  <c r="F52" i="6"/>
  <c r="G52" i="6" s="1"/>
  <c r="N52" i="6" s="1"/>
  <c r="I52" i="6"/>
  <c r="J52" i="6" s="1"/>
  <c r="F109" i="6"/>
  <c r="G109" i="6" s="1"/>
  <c r="N109" i="6" s="1"/>
  <c r="I109" i="6"/>
  <c r="J109" i="6" s="1"/>
  <c r="K52" i="6"/>
  <c r="K172" i="6"/>
  <c r="F173" i="6"/>
  <c r="G173" i="6" s="1"/>
  <c r="N173" i="6" s="1"/>
  <c r="J172" i="6"/>
  <c r="I173" i="6"/>
  <c r="B174" i="6" s="1"/>
  <c r="D174" i="6" s="1"/>
  <c r="C175" i="6" s="1"/>
  <c r="E175" i="6" s="1"/>
  <c r="D110" i="6"/>
  <c r="E110" i="6"/>
  <c r="C111" i="6"/>
  <c r="B15" i="5"/>
  <c r="B8" i="5"/>
  <c r="B7" i="5"/>
  <c r="B66" i="6"/>
  <c r="C6" i="5" s="1"/>
  <c r="O105" i="6" l="1"/>
  <c r="M106" i="6" s="1"/>
  <c r="L106" i="6" s="1"/>
  <c r="O48" i="6"/>
  <c r="M49" i="6" s="1"/>
  <c r="L49" i="6" s="1"/>
  <c r="F53" i="6"/>
  <c r="G53" i="6" s="1"/>
  <c r="N53" i="6" s="1"/>
  <c r="I53" i="6"/>
  <c r="J53" i="6" s="1"/>
  <c r="C15" i="5"/>
  <c r="C8" i="5"/>
  <c r="C7" i="5"/>
  <c r="E54" i="6"/>
  <c r="D54" i="6"/>
  <c r="C55" i="6"/>
  <c r="E111" i="6"/>
  <c r="C112" i="6"/>
  <c r="D111" i="6"/>
  <c r="F110" i="6"/>
  <c r="G110" i="6" s="1"/>
  <c r="N110" i="6" s="1"/>
  <c r="I110" i="6"/>
  <c r="J110" i="6" s="1"/>
  <c r="J173" i="6"/>
  <c r="J174" i="6" s="1"/>
  <c r="I174" i="6"/>
  <c r="B175" i="6" s="1"/>
  <c r="D175" i="6" s="1"/>
  <c r="C176" i="6" s="1"/>
  <c r="E176" i="6" s="1"/>
  <c r="F174" i="6"/>
  <c r="G174" i="6" s="1"/>
  <c r="N174" i="6" s="1"/>
  <c r="O161" i="6"/>
  <c r="M162" i="6" s="1"/>
  <c r="L162" i="6" s="1"/>
  <c r="K109" i="6"/>
  <c r="K173" i="6"/>
  <c r="K174" i="6" s="1"/>
  <c r="K110" i="6" l="1"/>
  <c r="O162" i="6"/>
  <c r="M163" i="6" s="1"/>
  <c r="L163" i="6"/>
  <c r="O49" i="6"/>
  <c r="M50" i="6" s="1"/>
  <c r="L50" i="6" s="1"/>
  <c r="O106" i="6"/>
  <c r="M107" i="6" s="1"/>
  <c r="L107" i="6" s="1"/>
  <c r="E55" i="6"/>
  <c r="D55" i="6"/>
  <c r="C56" i="6"/>
  <c r="F54" i="6"/>
  <c r="G54" i="6" s="1"/>
  <c r="N54" i="6" s="1"/>
  <c r="I54" i="6"/>
  <c r="J54" i="6" s="1"/>
  <c r="F111" i="6"/>
  <c r="G111" i="6" s="1"/>
  <c r="N111" i="6" s="1"/>
  <c r="I111" i="6"/>
  <c r="J111" i="6" s="1"/>
  <c r="K53" i="6"/>
  <c r="I175" i="6"/>
  <c r="B176" i="6" s="1"/>
  <c r="D176" i="6" s="1"/>
  <c r="F175" i="6"/>
  <c r="G175" i="6" s="1"/>
  <c r="N175" i="6" s="1"/>
  <c r="E112" i="6"/>
  <c r="D112" i="6"/>
  <c r="C113" i="6"/>
  <c r="K175" i="6" l="1"/>
  <c r="O107" i="6"/>
  <c r="M108" i="6" s="1"/>
  <c r="L108" i="6" s="1"/>
  <c r="O50" i="6"/>
  <c r="E56" i="6"/>
  <c r="C57" i="6"/>
  <c r="D56" i="6"/>
  <c r="E113" i="6"/>
  <c r="D113" i="6"/>
  <c r="C114" i="6"/>
  <c r="F55" i="6"/>
  <c r="G55" i="6" s="1"/>
  <c r="N55" i="6" s="1"/>
  <c r="I55" i="6"/>
  <c r="J55" i="6" s="1"/>
  <c r="F112" i="6"/>
  <c r="G112" i="6" s="1"/>
  <c r="N112" i="6" s="1"/>
  <c r="I112" i="6"/>
  <c r="J112" i="6" s="1"/>
  <c r="K54" i="6"/>
  <c r="I176" i="6"/>
  <c r="O163" i="6"/>
  <c r="M164" i="6" s="1"/>
  <c r="L164" i="6" s="1"/>
  <c r="F176" i="6"/>
  <c r="G176" i="6" s="1"/>
  <c r="N176" i="6" s="1"/>
  <c r="J175" i="6"/>
  <c r="K111" i="6"/>
  <c r="J176" i="6" l="1"/>
  <c r="O164" i="6"/>
  <c r="M165" i="6" s="1"/>
  <c r="L165" i="6" s="1"/>
  <c r="J56" i="6"/>
  <c r="O108" i="6"/>
  <c r="K112" i="6"/>
  <c r="K176" i="6"/>
  <c r="E114" i="6"/>
  <c r="C115" i="6"/>
  <c r="D114" i="6"/>
  <c r="F113" i="6"/>
  <c r="G113" i="6" s="1"/>
  <c r="N113" i="6" s="1"/>
  <c r="I113" i="6"/>
  <c r="J113" i="6" s="1"/>
  <c r="E57" i="6"/>
  <c r="D57" i="6"/>
  <c r="C58" i="6"/>
  <c r="F56" i="6"/>
  <c r="G56" i="6" s="1"/>
  <c r="N56" i="6" s="1"/>
  <c r="I56" i="6"/>
  <c r="M51" i="6"/>
  <c r="L51" i="6" s="1"/>
  <c r="B14" i="5"/>
  <c r="K55" i="6"/>
  <c r="K113" i="6" l="1"/>
  <c r="K56" i="6"/>
  <c r="M109" i="6"/>
  <c r="L109" i="6" s="1"/>
  <c r="C14" i="5"/>
  <c r="E58" i="6"/>
  <c r="C59" i="6"/>
  <c r="D58" i="6"/>
  <c r="F57" i="6"/>
  <c r="G57" i="6" s="1"/>
  <c r="N57" i="6" s="1"/>
  <c r="I57" i="6"/>
  <c r="J57" i="6" s="1"/>
  <c r="F114" i="6"/>
  <c r="G114" i="6" s="1"/>
  <c r="N114" i="6" s="1"/>
  <c r="I114" i="6"/>
  <c r="J114" i="6" s="1"/>
  <c r="E115" i="6"/>
  <c r="C116" i="6"/>
  <c r="D115" i="6"/>
  <c r="O51" i="6"/>
  <c r="M52" i="6" s="1"/>
  <c r="L52" i="6" s="1"/>
  <c r="O165" i="6"/>
  <c r="M166" i="6" s="1"/>
  <c r="L166" i="6" s="1"/>
  <c r="O166" i="6" l="1"/>
  <c r="E116" i="6"/>
  <c r="D116" i="6"/>
  <c r="C117" i="6"/>
  <c r="K114" i="6"/>
  <c r="F115" i="6"/>
  <c r="G115" i="6" s="1"/>
  <c r="N115" i="6" s="1"/>
  <c r="I115" i="6"/>
  <c r="J115" i="6" s="1"/>
  <c r="E59" i="6"/>
  <c r="D59" i="6"/>
  <c r="C60" i="6"/>
  <c r="K57" i="6"/>
  <c r="F58" i="6"/>
  <c r="G58" i="6" s="1"/>
  <c r="N58" i="6" s="1"/>
  <c r="I58" i="6"/>
  <c r="J58" i="6" s="1"/>
  <c r="O52" i="6"/>
  <c r="M53" i="6" s="1"/>
  <c r="L53" i="6" s="1"/>
  <c r="O109" i="6"/>
  <c r="M110" i="6" s="1"/>
  <c r="L110" i="6" s="1"/>
  <c r="O110" i="6" l="1"/>
  <c r="M111" i="6" s="1"/>
  <c r="L111" i="6"/>
  <c r="O53" i="6"/>
  <c r="M54" i="6" s="1"/>
  <c r="L54" i="6" s="1"/>
  <c r="E60" i="6"/>
  <c r="D60" i="6"/>
  <c r="F59" i="6"/>
  <c r="G59" i="6" s="1"/>
  <c r="N59" i="6" s="1"/>
  <c r="I59" i="6"/>
  <c r="J59" i="6" s="1"/>
  <c r="E117" i="6"/>
  <c r="C118" i="6"/>
  <c r="D117" i="6"/>
  <c r="K58" i="6"/>
  <c r="K115" i="6"/>
  <c r="F116" i="6"/>
  <c r="G116" i="6" s="1"/>
  <c r="N116" i="6" s="1"/>
  <c r="I116" i="6"/>
  <c r="J116" i="6" s="1"/>
  <c r="M167" i="6"/>
  <c r="L167" i="6" s="1"/>
  <c r="D14" i="5"/>
  <c r="O54" i="6" l="1"/>
  <c r="M55" i="6" s="1"/>
  <c r="L55" i="6"/>
  <c r="K59" i="6"/>
  <c r="E118" i="6"/>
  <c r="D118" i="6"/>
  <c r="F117" i="6"/>
  <c r="G117" i="6" s="1"/>
  <c r="N117" i="6" s="1"/>
  <c r="I117" i="6"/>
  <c r="J117" i="6" s="1"/>
  <c r="F60" i="6"/>
  <c r="G60" i="6" s="1"/>
  <c r="N60" i="6" s="1"/>
  <c r="I60" i="6"/>
  <c r="J60" i="6" s="1"/>
  <c r="K116" i="6"/>
  <c r="K117" i="6" s="1"/>
  <c r="O167" i="6"/>
  <c r="M168" i="6" s="1"/>
  <c r="L168" i="6" s="1"/>
  <c r="O111" i="6"/>
  <c r="M112" i="6" s="1"/>
  <c r="L112" i="6" s="1"/>
  <c r="O112" i="6" l="1"/>
  <c r="M113" i="6" s="1"/>
  <c r="L113" i="6" s="1"/>
  <c r="O168" i="6"/>
  <c r="M169" i="6" s="1"/>
  <c r="L169" i="6"/>
  <c r="F118" i="6"/>
  <c r="G118" i="6" s="1"/>
  <c r="N118" i="6" s="1"/>
  <c r="I118" i="6"/>
  <c r="J118" i="6" s="1"/>
  <c r="K60" i="6"/>
  <c r="O55" i="6"/>
  <c r="M56" i="6" s="1"/>
  <c r="L56" i="6" s="1"/>
  <c r="O56" i="6" l="1"/>
  <c r="M57" i="6" s="1"/>
  <c r="L57" i="6" s="1"/>
  <c r="O113" i="6"/>
  <c r="M114" i="6" s="1"/>
  <c r="L114" i="6"/>
  <c r="K118" i="6"/>
  <c r="O169" i="6"/>
  <c r="M170" i="6" s="1"/>
  <c r="L170" i="6"/>
  <c r="O57" i="6" l="1"/>
  <c r="M58" i="6" s="1"/>
  <c r="L58" i="6" s="1"/>
  <c r="O170" i="6"/>
  <c r="M171" i="6" s="1"/>
  <c r="L171" i="6" s="1"/>
  <c r="O114" i="6"/>
  <c r="M115" i="6" s="1"/>
  <c r="L115" i="6" s="1"/>
  <c r="O115" i="6" l="1"/>
  <c r="M116" i="6" s="1"/>
  <c r="L116" i="6"/>
  <c r="O58" i="6"/>
  <c r="M59" i="6" s="1"/>
  <c r="L59" i="6"/>
  <c r="O171" i="6"/>
  <c r="M172" i="6" s="1"/>
  <c r="L172" i="6"/>
  <c r="O172" i="6" l="1"/>
  <c r="M173" i="6" s="1"/>
  <c r="L173" i="6" s="1"/>
  <c r="O59" i="6"/>
  <c r="M60" i="6" s="1"/>
  <c r="L60" i="6"/>
  <c r="O116" i="6"/>
  <c r="M117" i="6" s="1"/>
  <c r="L117" i="6" s="1"/>
  <c r="O117" i="6" l="1"/>
  <c r="M118" i="6" s="1"/>
  <c r="L118" i="6" s="1"/>
  <c r="O173" i="6"/>
  <c r="M174" i="6" s="1"/>
  <c r="L174" i="6"/>
  <c r="O60" i="6"/>
  <c r="B9" i="6"/>
  <c r="B9" i="5" s="1"/>
  <c r="B10" i="5" s="1"/>
  <c r="O118" i="6" l="1"/>
  <c r="B67" i="6"/>
  <c r="C9" i="5" s="1"/>
  <c r="C10" i="5" s="1"/>
  <c r="O174" i="6"/>
  <c r="M175" i="6" s="1"/>
  <c r="L175" i="6" s="1"/>
  <c r="O175" i="6" l="1"/>
  <c r="M176" i="6" s="1"/>
  <c r="L176" i="6" s="1"/>
  <c r="O176" i="6" l="1"/>
  <c r="B125" i="6"/>
  <c r="D9" i="5" s="1"/>
  <c r="D10" i="5" s="1"/>
</calcChain>
</file>

<file path=xl/sharedStrings.xml><?xml version="1.0" encoding="utf-8"?>
<sst xmlns="http://schemas.openxmlformats.org/spreadsheetml/2006/main" count="312" uniqueCount="203">
  <si>
    <t>Solo obbligazioni o sessanta quaranta? Il caso di Sergio (caso inventato e illustrativo)</t>
  </si>
  <si>
    <t>Caso inventato e illustrativo, non è consulenza e non è una previsione. Fotografia di ottobre 2026: tassi d'asta di fine settembre 2026, regole fiscali di oggi. Prima di decidere fai i conti sul tuo caso e parlane con professionisti abilitati.</t>
  </si>
  <si>
    <t>Indice</t>
  </si>
  <si>
    <t>0 - Indice</t>
  </si>
  <si>
    <t>Questo indice</t>
  </si>
  <si>
    <t>1 - Caso e ipotesi</t>
  </si>
  <si>
    <t>Il caso di Sergio e le ipotesi (celle gialle): capitale, spesa, pesi dei portafogli, fisco, tassi d'asta di fine settembre 2026, shock</t>
  </si>
  <si>
    <t>2 - Rendimenti netti</t>
  </si>
  <si>
    <t>Dal rendimento lordo al netto reale per classe: canone e tassi d'asta di fine settembre 2026</t>
  </si>
  <si>
    <t>3 - Scenario</t>
  </si>
  <si>
    <t>Anno per anno: rendimenti e fattori netti dello scenario scelto</t>
  </si>
  <si>
    <t>4 - Risultati</t>
  </si>
  <si>
    <t>Spesa massima, anni coperti, capitale, verdetto, anni di blocco dei tassi, grafico</t>
  </si>
  <si>
    <t>5 - Motore</t>
  </si>
  <si>
    <t>Motore del calcolo, tre portafogli (non modificare)</t>
  </si>
  <si>
    <t>Come usare</t>
  </si>
  <si>
    <t>1. Le celle GIALLE sono input — modificale coi tuoi numeri.</t>
  </si>
  <si>
    <t>2. Le celle VERDI sono output — si aggiornano automaticamente.</t>
  </si>
  <si>
    <t>3. Tutti i numeri di default sono al 2026 da fonti pubbliche.</t>
  </si>
  <si>
    <t>4. Niente codice nascosto: l'Excel è solo formule modificabili.</t>
  </si>
  <si>
    <t>Fonti dati</t>
  </si>
  <si>
    <t>• Aste dei titoli di Stato di fine settembre 2026: Ministero dell'economia e delle finanze (P)</t>
  </si>
  <si>
    <t>• Indice del rendimento alto in euro: serie pubblica, valore al 15/10/2026 (P)</t>
  </si>
  <si>
    <t>• Storia dei rendimenti reali: base dati internazionale di lungo periodo (Jordà-Schularick-Taylor) e serie pubbliche (P)</t>
  </si>
  <si>
    <t>• Tassi di default e recupero: statistiche pubblicate dall'agenzia di giudizio e dall'agenzia di rating per i titoli rischiosi (P)</t>
  </si>
  <si>
    <t>• Fisco di ottobre 2026: D.L. 66/2014 (12,5% e 26%), D.P.R. 642/1972 (bollo), D.Lgs. 117/2026 (P); 12,5%: D.Lgs. 239/1996 art. 2, vigente fino al 31/12/2026, poi D.Lgs. 33/2025 come modificato dal D.L. 200/2025</t>
  </si>
  <si>
    <t>• CALCOLI MIEI (E): il caso di Sergio, la scomposizione azioni/obbligazioni, gli scenari. Gradi: P = fonte primaria, E = stima o calcolo mio. Dati storici fino al 2020</t>
  </si>
  <si>
    <t>Aggiornamenti: github.com/marcofire-it/marco-fire-simulatori</t>
  </si>
  <si>
    <t>Note e limiti</t>
  </si>
  <si>
    <t>Caso inventato e illustrativo: non è un consiglio e non è una previsione. Prima di decidere, fai i conti sul tuo caso e parlane con professionisti abilitati.</t>
  </si>
  <si>
    <t>Come si usa: cambia le celle gialle del foglio 1 (pesi, scenario di shock, anni di blocco dei tassi) e leggi i risultati nel foglio 4.</t>
  </si>
  <si>
    <t>Limiti: motore deterministico; scomposizione azioni/obbligazioni nostra; fisco in fotografia di ottobre 2026; dati storici fino al 2020; indicizzati tassati come ipotesi.</t>
  </si>
  <si>
    <t>Il motore del calcolo è nel foglio 5: non modificare. Nessuna macro, solo formule.</t>
  </si>
  <si>
    <t>Il caso di Sergio</t>
  </si>
  <si>
    <t>Età attuale</t>
  </si>
  <si>
    <t>anni</t>
  </si>
  <si>
    <t>Capitale investito (X0)</t>
  </si>
  <si>
    <t>€</t>
  </si>
  <si>
    <t>Caso inventato di Sergio</t>
  </si>
  <si>
    <t>Spesa annua, euro di oggi</t>
  </si>
  <si>
    <t>Di cassa: l'affitto di 9.600 € è compreso</t>
  </si>
  <si>
    <t>Orizzonte (N, anni da 20 a 50)</t>
  </si>
  <si>
    <t>Numero intero da 20 a 50</t>
  </si>
  <si>
    <t>Prelievo iniziale</t>
  </si>
  <si>
    <t>del capitale</t>
  </si>
  <si>
    <t>Tre portafogli (pesi, normalizzati dal motore)</t>
  </si>
  <si>
    <t>Pesi</t>
  </si>
  <si>
    <t>A: solo obbligazioni</t>
  </si>
  <si>
    <t>A2: con alto rendimento</t>
  </si>
  <si>
    <t>B: 60/40 ribilanciato</t>
  </si>
  <si>
    <t>Titoli di Stato</t>
  </si>
  <si>
    <t>Indicizzati</t>
  </si>
  <si>
    <t>Alto rendimento</t>
  </si>
  <si>
    <t>Azioni</t>
  </si>
  <si>
    <t>Totale pesi (deve dare 100%)</t>
  </si>
  <si>
    <t>Ipotesi di canone (rendimenti reali lordi)</t>
  </si>
  <si>
    <t>Rendimento reale lordo di canone, azioni</t>
  </si>
  <si>
    <t>% l'anno</t>
  </si>
  <si>
    <t>Scomposizione nostra: la media 60/40 resta il 3,0%</t>
  </si>
  <si>
    <t>Rendimento reale lordo di canone, titoli di Stato</t>
  </si>
  <si>
    <t>Rendimento reale lordo di canone, indicizzati</t>
  </si>
  <si>
    <t>Controllo: media 60/40 (0,6 azioni + 0,4 obbligazioni)</t>
  </si>
  <si>
    <t>Inflazione di canone</t>
  </si>
  <si>
    <t>Fisco di ottobre 2026</t>
  </si>
  <si>
    <t>Aliquota su titoli di Stato e indicizzati</t>
  </si>
  <si>
    <t>%</t>
  </si>
  <si>
    <t>D.L. 66/2014</t>
  </si>
  <si>
    <t>Aliquota su alto rendimento e azioni</t>
  </si>
  <si>
    <t>Sul provento netto del fondo (dopo le perdite da default)</t>
  </si>
  <si>
    <t>Bollo annuo sul valore</t>
  </si>
  <si>
    <t>D.P.R. 642/1972</t>
  </si>
  <si>
    <t>Plusvalenza latente iniziale delle azioni</t>
  </si>
  <si>
    <t>Da 0% a 90%: usata solo se ci sono azioni</t>
  </si>
  <si>
    <t>Tasso di default annuo, alto rendimento</t>
  </si>
  <si>
    <t>Media storica per l'Europa, agenzia di giudizio</t>
  </si>
  <si>
    <t>Recupero medio dopo il default</t>
  </si>
  <si>
    <t>Media storica, titoli senior non garantiti</t>
  </si>
  <si>
    <t>Costo annuo del fondo (alto rendimento)</t>
  </si>
  <si>
    <t>Prima dei costi del fondo; provare 0,50%</t>
  </si>
  <si>
    <t>Perdita annua da default (tasso × (1 − recupero))</t>
  </si>
  <si>
    <t>Calcolata: non va scritta a mano</t>
  </si>
  <si>
    <t>Tassi d'asta di fine settembre 2026</t>
  </si>
  <si>
    <t>Titolo di Stato a 10 anni, nominale lordo</t>
  </si>
  <si>
    <t>Asta di fine settembre 2026, prezzo 95,76</t>
  </si>
  <si>
    <t>Indicizzato a 10 anni, reale lordo</t>
  </si>
  <si>
    <t>Asta del 24-25 settembre 2026</t>
  </si>
  <si>
    <t>Alto rendimento euro, rendimento effettivo</t>
  </si>
  <si>
    <t>Indice di mercato al 15 ottobre 2026</t>
  </si>
  <si>
    <t>Scenario</t>
  </si>
  <si>
    <t>Scenario di shock (0 nessuno, 1 Italia, 2 Stati Uniti, 3 mediana)</t>
  </si>
  <si>
    <t>0-3</t>
  </si>
  <si>
    <t>Shock = anni Settanta: inflazione alta, bond e azioni in calo</t>
  </si>
  <si>
    <t>Anno di inizio dello shock (t0)</t>
  </si>
  <si>
    <t>anno</t>
  </si>
  <si>
    <t>Da 1 a 40</t>
  </si>
  <si>
    <t>Durata dello shock</t>
  </si>
  <si>
    <t>Anni di tassi d'asta tenuti (K, 0 = canone)</t>
  </si>
  <si>
    <t>Da 0 a 40: 10 è il caso del video</t>
  </si>
  <si>
    <t>Inflazione alta</t>
  </si>
  <si>
    <t>Per quanti anni (0 = mai)</t>
  </si>
  <si>
    <t>Rendimento reale degli indicizzati durante lo shock</t>
  </si>
  <si>
    <t>Negli anni Settanta non esistevano</t>
  </si>
  <si>
    <t>Tabella degli shock (media geometrica 1970-79)</t>
  </si>
  <si>
    <t>Shock</t>
  </si>
  <si>
    <t>Inflazione</t>
  </si>
  <si>
    <t>Titoli di Stato, reale</t>
  </si>
  <si>
    <t>Azioni, reale</t>
  </si>
  <si>
    <t>Italia 1970-79</t>
  </si>
  <si>
    <t>Stati Uniti 1970-79</t>
  </si>
  <si>
    <t>Mediana 15 paesi 1970-79</t>
  </si>
  <si>
    <t>Rendimenti netti per classe: dal lordo al netto reale</t>
  </si>
  <si>
    <t>Canone (rendimenti di lungo periodo)</t>
  </si>
  <si>
    <t>Voce</t>
  </si>
  <si>
    <t>Titolo di Stato</t>
  </si>
  <si>
    <t>Indicizzato</t>
  </si>
  <si>
    <t>Rendimento reale lordo</t>
  </si>
  <si>
    <t>Nominale lordo (dopo costo del fondo)</t>
  </si>
  <si>
    <t>Perdita da default</t>
  </si>
  <si>
    <t>Nominale dopo default</t>
  </si>
  <si>
    <t>Imposta</t>
  </si>
  <si>
    <t>Bollo sul valore</t>
  </si>
  <si>
    <t>Fattore netto reale g</t>
  </si>
  <si>
    <t>Rendimento netto reale</t>
  </si>
  <si>
    <t>Tassi d'asta di fine settembre 2026 (anno 1, inflazione di canone)</t>
  </si>
  <si>
    <t>Premio reale alto rendimento sul titolo di Stato</t>
  </si>
  <si>
    <t>Misurato sul titolo di Stato di oggi: si somma al canone dei titoli di Stato (non è lo spread di mercato)</t>
  </si>
  <si>
    <t>Rendimenti di oggi in chiaro (punti percentuali; il bollo è arrotondato a 0,20)</t>
  </si>
  <si>
    <t>Titolo di Stato a 10 anni</t>
  </si>
  <si>
    <t>Rendimento lordo nominale</t>
  </si>
  <si>
    <t>Bollo (0,20 sul valore, arrotondato)</t>
  </si>
  <si>
    <t>Netto nominale</t>
  </si>
  <si>
    <t>Netto reale</t>
  </si>
  <si>
    <t>Ipotesi (I): la rivalutazione del capitale degli indicizzati è tassata al 12,5% come parte del guadagno; non è letta sul testo di legge.</t>
  </si>
  <si>
    <t>Il motore calcola il bollo sul valore del titolo (0,2092 punti sul 4,58%): qui è arrotondato a 0,20 per leggere i conti a mente. Per il fondo l'imposta è sul provento dopo i default. Il video usa il lordo annuo 4,583% (cedola semestrale): reale 1,78. L'imposta del fondo è 1,224, a schermo 1,23 perché la cascata torni.</t>
  </si>
  <si>
    <t>Scenario anno per anno: rendimenti lordi e fattori netti reali</t>
  </si>
  <si>
    <t>Cambia lo scenario nel foglio 1 (celle B38-B44): questo foglio si aggiorna e il motore (foglio 5) lo legge.</t>
  </si>
  <si>
    <t>t (anno)</t>
  </si>
  <si>
    <t>Shock (1 = sì)</t>
  </si>
  <si>
    <t>Reale lordo: titoli di Stato</t>
  </si>
  <si>
    <t>Reale lordo: indicizzati</t>
  </si>
  <si>
    <t>Reale lordo: alto rendimento</t>
  </si>
  <si>
    <t>Reale lordo: azioni</t>
  </si>
  <si>
    <t>Nominale lordo: titoli di Stato</t>
  </si>
  <si>
    <t>Nominale lordo: indicizzati</t>
  </si>
  <si>
    <t>Nominale lordo: alto rendimento</t>
  </si>
  <si>
    <t>Dopo default: titoli di Stato</t>
  </si>
  <si>
    <t>Dopo default: indicizzati</t>
  </si>
  <si>
    <t>Dopo default: alto rendimento</t>
  </si>
  <si>
    <t>g netto reale: titoli di Stato</t>
  </si>
  <si>
    <t>g netto reale: indicizzati</t>
  </si>
  <si>
    <t>g netto reale: alto rendimento</t>
  </si>
  <si>
    <t>g netto reale: azioni</t>
  </si>
  <si>
    <t>Risultati: quanto si può spendere in euro di oggi, netti</t>
  </si>
  <si>
    <t>Risultati con lo scenario scelto nel foglio 1</t>
  </si>
  <si>
    <t>Spesa massima su N anni (euro di oggi, netti)</t>
  </si>
  <si>
    <t>In percentuale del capitale</t>
  </si>
  <si>
    <t>Differenza con la spesa di Sergio</t>
  </si>
  <si>
    <t>Anni coperti con la spesa di Sergio</t>
  </si>
  <si>
    <t>Età finale</t>
  </si>
  <si>
    <t>Capitale a fine anno 10</t>
  </si>
  <si>
    <t>Capitale a fine anno 20</t>
  </si>
  <si>
    <t>Capitale a fine anno 30</t>
  </si>
  <si>
    <t>Capitale a fine anno N</t>
  </si>
  <si>
    <t>Verdetto</t>
  </si>
  <si>
    <t>Scenario attivo</t>
  </si>
  <si>
    <t>Anni di tassi d'asta tenuti: spesa massima su N anni (forma chiusa, senza azioni né shock)</t>
  </si>
  <si>
    <t>Anni di blocco (K)</t>
  </si>
  <si>
    <t>Anni di blocco effettivi</t>
  </si>
  <si>
    <t>Anni di blocco minimi per la spesa di Sergio</t>
  </si>
  <si>
    <t>Fattori di appoggio (dal foglio 2 e dai pesi del motore)</t>
  </si>
  <si>
    <t>Fattore netto reale annuo</t>
  </si>
  <si>
    <t>A</t>
  </si>
  <si>
    <t>A2</t>
  </si>
  <si>
    <t>Canone (Kc)</t>
  </si>
  <si>
    <t>Tassi d'asta di fine settembre (Ko)</t>
  </si>
  <si>
    <t>La forma chiusa vale solo senza azioni, senza shock e con inflazione di canone: per tutto il resto usa la tabella sopra e il foglio 5. Il confronto con lo shock si legge cambiando le celle B38 e B39 del foglio 1.</t>
  </si>
  <si>
    <t>Spesa massima per ogni anno di blocco da 0 a 40</t>
  </si>
  <si>
    <t>A regge la spesa (1 = sì)</t>
  </si>
  <si>
    <t>A2 regge la spesa (1 = sì)</t>
  </si>
  <si>
    <t>Motore del calcolo, non modificare</t>
  </si>
  <si>
    <t>Qui non c'è nulla da inserire. Il calcolo è lineare e senza iterazioni; scelte del modello: vendita pro-rata, ribilanciamento annuo con imposta sulla plusvalenza delle azioni vendute, base di costo che segue il valore, nessuna deducibilità delle minusvalenze, nessun costo di transazione, nessuna imposta di successione.</t>
  </si>
  <si>
    <t>Blocco A - Solo obbligazioni</t>
  </si>
  <si>
    <t>Pesi normalizzati</t>
  </si>
  <si>
    <t>Peso</t>
  </si>
  <si>
    <t>Spesa massima su N anni</t>
  </si>
  <si>
    <t>Anni coperti con la spesa del foglio 1</t>
  </si>
  <si>
    <t>t</t>
  </si>
  <si>
    <t>Peso azioni a inizio anno</t>
  </si>
  <si>
    <t>Base di costo / valore</t>
  </si>
  <si>
    <t>Base dopo il ribilanciamento</t>
  </si>
  <si>
    <t>Plusvalenza latente</t>
  </si>
  <si>
    <t>Imposta sulle vendite (theta)</t>
  </si>
  <si>
    <t>Vendita lorda per euro speso (a)</t>
  </si>
  <si>
    <t>Crescita titoli non azionari</t>
  </si>
  <si>
    <t>Crescita del portafoglio (K)</t>
  </si>
  <si>
    <t>P</t>
  </si>
  <si>
    <t>Q</t>
  </si>
  <si>
    <t>Regge (1 = sì)</t>
  </si>
  <si>
    <t>Capitale a inizio anno</t>
  </si>
  <si>
    <t>Vendita lorda dell'anno</t>
  </si>
  <si>
    <t>Capitale a fine anno</t>
  </si>
  <si>
    <t>Blocco A2 - Con alto rendimento</t>
  </si>
  <si>
    <t>Blocco B - Sessanta quaranta ribilanciato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</si>
</sst>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#,##0&quot; €&quot;"/>
    <numFmt numFmtId="165" formatCode="0.0%"/>
    <numFmt numFmtId="166" formatCode="0.000%"/>
    <numFmt numFmtId="167" formatCode="0.000000"/>
    <numFmt numFmtId="168" formatCode="0&quot; anni&quot;"/>
  </numFmts>
  <fonts count="8">
    <font>
      <sz val="11"/>
      <color theme="1"/>
      <name val="Calibri"/>
      <family val="2"/>
      <scheme val="minor"/>
    </font>
    <font>
      <b/>
      <sz val="16"/>
      <color rgb="FF1E40AF"/>
      <name val="Calibri"/>
    </font>
    <font>
      <i/>
      <sz val="10"/>
      <color rgb="FF991B1B"/>
      <name val="Calibri"/>
    </font>
    <font>
      <b/>
      <sz val="14"/>
      <name val="Calibri"/>
    </font>
    <font>
      <b/>
      <sz val="11"/>
      <name val="Calibri"/>
    </font>
    <font>
      <sz val="11"/>
      <name val="Calibri"/>
    </font>
    <font>
      <i/>
      <sz val="9"/>
      <color rgb="FF666666"/>
      <name val="Calibri"/>
    </font>
    <font>
      <b/>
      <sz val="13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EE2E2"/>
      </patternFill>
    </fill>
    <fill>
      <patternFill patternType="solid">
        <fgColor rgb="FF1E40AF"/>
      </patternFill>
    </fill>
    <fill>
      <patternFill patternType="solid">
        <fgColor rgb="FFFFF59D"/>
      </patternFill>
    </fill>
    <fill>
      <patternFill patternType="solid">
        <fgColor rgb="FFC8E6C9"/>
      </patternFill>
    </fill>
    <fill>
      <patternFill patternType="solid">
        <fgColor rgb="FFDBEAFE"/>
      </patternFill>
    </fill>
    <fill>
      <patternFill patternType="solid">
        <fgColor rgb="FFFFFBE0"/>
      </patternFill>
    </fill>
  </fills>
  <borders count="4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4" fillId="0" borderId="1" xfId="0" applyFont="1" applyBorder="1" applyAlignment="1">
      <alignment horizontal="left" vertical="center" wrapText="1"/>
    </xf>
    <xf numFmtId="1" fontId="5" fillId="4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 wrapText="1"/>
    </xf>
    <xf numFmtId="164" fontId="5" fillId="4" borderId="1" xfId="0" applyNumberFormat="1" applyFont="1" applyFill="1" applyBorder="1" applyAlignment="1">
      <alignment horizontal="right" vertical="center"/>
    </xf>
    <xf numFmtId="10" fontId="5" fillId="5" borderId="1" xfId="0" applyNumberFormat="1" applyFont="1" applyFill="1" applyBorder="1" applyAlignment="1">
      <alignment horizontal="right" vertical="center"/>
    </xf>
    <xf numFmtId="0" fontId="4" fillId="6" borderId="1" xfId="0" applyFont="1" applyFill="1" applyBorder="1" applyAlignment="1">
      <alignment horizontal="center" vertical="center" wrapText="1"/>
    </xf>
    <xf numFmtId="165" fontId="5" fillId="4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right" vertical="center"/>
    </xf>
    <xf numFmtId="10" fontId="5" fillId="4" borderId="1" xfId="0" applyNumberFormat="1" applyFont="1" applyFill="1" applyBorder="1" applyAlignment="1">
      <alignment horizontal="right" vertical="center"/>
    </xf>
    <xf numFmtId="166" fontId="5" fillId="4" borderId="1" xfId="0" applyNumberFormat="1" applyFont="1" applyFill="1" applyBorder="1" applyAlignment="1">
      <alignment horizontal="right" vertical="center"/>
    </xf>
    <xf numFmtId="166" fontId="5" fillId="5" borderId="1" xfId="0" applyNumberFormat="1" applyFont="1" applyFill="1" applyBorder="1" applyAlignment="1">
      <alignment horizontal="right" vertical="center"/>
    </xf>
    <xf numFmtId="49" fontId="5" fillId="5" borderId="1" xfId="0" applyNumberFormat="1" applyFont="1" applyFill="1" applyBorder="1" applyAlignment="1">
      <alignment horizontal="right" vertical="center"/>
    </xf>
    <xf numFmtId="167" fontId="5" fillId="5" borderId="1" xfId="0" applyNumberFormat="1" applyFont="1" applyFill="1" applyBorder="1" applyAlignment="1">
      <alignment horizontal="right" vertical="center"/>
    </xf>
    <xf numFmtId="0" fontId="0" fillId="0" borderId="1" xfId="0" applyBorder="1"/>
    <xf numFmtId="1" fontId="5" fillId="5" borderId="1" xfId="0" applyNumberFormat="1" applyFont="1" applyFill="1" applyBorder="1" applyAlignment="1">
      <alignment horizontal="right" vertical="center"/>
    </xf>
    <xf numFmtId="164" fontId="5" fillId="5" borderId="1" xfId="0" applyNumberFormat="1" applyFont="1" applyFill="1" applyBorder="1" applyAlignment="1">
      <alignment horizontal="right" vertical="center"/>
    </xf>
    <xf numFmtId="168" fontId="5" fillId="5" borderId="1" xfId="0" applyNumberFormat="1" applyFont="1" applyFill="1" applyBorder="1" applyAlignment="1">
      <alignment horizontal="right" vertical="center"/>
    </xf>
    <xf numFmtId="0" fontId="2" fillId="2" borderId="0" xfId="0" applyFont="1" applyFill="1" applyAlignment="1">
      <alignment horizontal="left" vertical="center" wrapText="1"/>
    </xf>
    <xf numFmtId="0" fontId="0" fillId="0" borderId="0" xfId="0"/>
    <xf numFmtId="0" fontId="1" fillId="0" borderId="0" xfId="0" applyFont="1"/>
    <xf numFmtId="0" fontId="7" fillId="3" borderId="0" xfId="0" applyFont="1" applyFill="1" applyAlignment="1">
      <alignment horizontal="center" vertical="center" wrapText="1"/>
    </xf>
    <xf numFmtId="0" fontId="6" fillId="7" borderId="0" xfId="0" applyFont="1" applyFill="1" applyAlignment="1">
      <alignment horizontal="left" vertical="center" wrapText="1"/>
    </xf>
    <xf numFmtId="49" fontId="5" fillId="5" borderId="1" xfId="0" applyNumberFormat="1" applyFont="1" applyFill="1" applyBorder="1" applyAlignment="1">
      <alignment horizontal="left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1">
    <dxf>
      <fill>
        <patternFill patternType="solid">
          <fgColor rgb="FFFECAC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it-IT"/>
  <c:roundedCorners val="1"/>
  <c:style val="2"/>
  <c:chart>
    <c:title>
      <c:tx>
        <c:rich>
          <a:bodyPr/>
          <a:lstStyle/>
          <a:p>
            <a:pPr>
              <a:defRPr/>
            </a:pPr>
            <a:r>
              <a:t>Capitale a fine anno (euro di oggi, netti)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A: solo obbligazioni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'5 - Motore'!$A$11:$A$60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'5 - Motore'!$O$11:$O$60</c:f>
              <c:numCache>
                <c:formatCode>#,##0" €"</c:formatCode>
                <c:ptCount val="50"/>
                <c:pt idx="0">
                  <c:v>1210372.8235294118</c:v>
                </c:pt>
                <c:pt idx="1">
                  <c:v>1180489.5491644868</c:v>
                </c:pt>
                <c:pt idx="2">
                  <c:v>1150347.9631900049</c:v>
                </c:pt>
                <c:pt idx="3">
                  <c:v>1119945.8327553482</c:v>
                </c:pt>
                <c:pt idx="4">
                  <c:v>1089280.9057090939</c:v>
                </c:pt>
                <c:pt idx="5">
                  <c:v>1058350.9104321788</c:v>
                </c:pt>
                <c:pt idx="6">
                  <c:v>1027153.5556696195</c:v>
                </c:pt>
                <c:pt idx="7">
                  <c:v>995686.53036077984</c:v>
                </c:pt>
                <c:pt idx="8">
                  <c:v>963947.50346817006</c:v>
                </c:pt>
                <c:pt idx="9">
                  <c:v>931934.12380476668</c:v>
                </c:pt>
                <c:pt idx="10">
                  <c:v>899644.01985983958</c:v>
                </c:pt>
                <c:pt idx="11">
                  <c:v>867074.7996232732</c:v>
                </c:pt>
                <c:pt idx="12">
                  <c:v>834224.05040836975</c:v>
                </c:pt>
                <c:pt idx="13">
                  <c:v>801089.33867312036</c:v>
                </c:pt>
                <c:pt idx="14">
                  <c:v>767668.20983993122</c:v>
                </c:pt>
                <c:pt idx="15">
                  <c:v>733958.18811379175</c:v>
                </c:pt>
                <c:pt idx="16">
                  <c:v>699956.77629887068</c:v>
                </c:pt>
                <c:pt idx="17">
                  <c:v>665661.4556135271</c:v>
                </c:pt>
                <c:pt idx="18">
                  <c:v>631069.68550372217</c:v>
                </c:pt>
                <c:pt idx="19">
                  <c:v>596178.90345481806</c:v>
                </c:pt>
                <c:pt idx="20">
                  <c:v>560986.5248017502</c:v>
                </c:pt>
                <c:pt idx="21">
                  <c:v>525489.94253755861</c:v>
                </c:pt>
                <c:pt idx="22">
                  <c:v>489686.52712026396</c:v>
                </c:pt>
                <c:pt idx="23">
                  <c:v>453573.62627807446</c:v>
                </c:pt>
                <c:pt idx="24">
                  <c:v>417148.56481290894</c:v>
                </c:pt>
                <c:pt idx="25">
                  <c:v>380408.64440222166</c:v>
                </c:pt>
                <c:pt idx="26">
                  <c:v>343351.14339911379</c:v>
                </c:pt>
                <c:pt idx="27">
                  <c:v>305973.31663071737</c:v>
                </c:pt>
                <c:pt idx="28">
                  <c:v>268272.39519483637</c:v>
                </c:pt>
                <c:pt idx="29">
                  <c:v>230245.58625482986</c:v>
                </c:pt>
                <c:pt idx="30">
                  <c:v>191890.07283272225</c:v>
                </c:pt>
                <c:pt idx="31">
                  <c:v>153203.01360052504</c:v>
                </c:pt>
                <c:pt idx="32">
                  <c:v>114181.54266975493</c:v>
                </c:pt>
                <c:pt idx="33">
                  <c:v>74822.76937913234</c:v>
                </c:pt>
                <c:pt idx="34">
                  <c:v>35123.778080444965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v>A2: con alto rendimento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'5 - Motore'!$A$11:$A$60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'5 - Motore'!$O$69:$O$118</c:f>
              <c:numCache>
                <c:formatCode>#,##0" €"</c:formatCode>
                <c:ptCount val="50"/>
                <c:pt idx="0">
                  <c:v>1209698.7624941177</c:v>
                </c:pt>
                <c:pt idx="1">
                  <c:v>1179152.6212333627</c:v>
                </c:pt>
                <c:pt idx="2">
                  <c:v>1148359.5968316079</c:v>
                </c:pt>
                <c:pt idx="3">
                  <c:v>1117317.6939047296</c:v>
                </c:pt>
                <c:pt idx="4">
                  <c:v>1086024.9009413067</c:v>
                </c:pt>
                <c:pt idx="5">
                  <c:v>1054479.1901722758</c:v>
                </c:pt>
                <c:pt idx="6">
                  <c:v>1022678.5174395307</c:v>
                </c:pt>
                <c:pt idx="7">
                  <c:v>990620.82206346223</c:v>
                </c:pt>
                <c:pt idx="8">
                  <c:v>958304.02670942608</c:v>
                </c:pt>
                <c:pt idx="9">
                  <c:v>925726.03725313174</c:v>
                </c:pt>
                <c:pt idx="10">
                  <c:v>892884.74264494365</c:v>
                </c:pt>
                <c:pt idx="11">
                  <c:v>859778.01477308536</c:v>
                </c:pt>
                <c:pt idx="12">
                  <c:v>826403.70832573832</c:v>
                </c:pt>
                <c:pt idx="13">
                  <c:v>792759.66065202572</c:v>
                </c:pt>
                <c:pt idx="14">
                  <c:v>758843.69162187295</c:v>
                </c:pt>
                <c:pt idx="15">
                  <c:v>724653.60348473582</c:v>
                </c:pt>
                <c:pt idx="16">
                  <c:v>690187.18072718615</c:v>
                </c:pt>
                <c:pt idx="17">
                  <c:v>655442.18992934702</c:v>
                </c:pt>
                <c:pt idx="18">
                  <c:v>620416.37962016743</c:v>
                </c:pt>
                <c:pt idx="19">
                  <c:v>585107.48013152718</c:v>
                </c:pt>
                <c:pt idx="20">
                  <c:v>549513.20345116279</c:v>
                </c:pt>
                <c:pt idx="21">
                  <c:v>513631.24307440442</c:v>
                </c:pt>
                <c:pt idx="22">
                  <c:v>477459.27385471482</c:v>
                </c:pt>
                <c:pt idx="23">
                  <c:v>440994.95185301994</c:v>
                </c:pt>
                <c:pt idx="24">
                  <c:v>404235.91418582213</c:v>
                </c:pt>
                <c:pt idx="25">
                  <c:v>367179.77887208562</c:v>
                </c:pt>
                <c:pt idx="26">
                  <c:v>329824.14467888424</c:v>
                </c:pt>
                <c:pt idx="27">
                  <c:v>292166.59096580202</c:v>
                </c:pt>
                <c:pt idx="28">
                  <c:v>254204.67752807593</c:v>
                </c:pt>
                <c:pt idx="29">
                  <c:v>215935.94443847085</c:v>
                </c:pt>
                <c:pt idx="30">
                  <c:v>177357.91188787672</c:v>
                </c:pt>
                <c:pt idx="31">
                  <c:v>138468.08002461711</c:v>
                </c:pt>
                <c:pt idx="32">
                  <c:v>99263.928792459235</c:v>
                </c:pt>
                <c:pt idx="33">
                  <c:v>59742.917767314546</c:v>
                </c:pt>
                <c:pt idx="34">
                  <c:v>19902.485992619615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v>B: 60/40 ribilanciato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'5 - Motore'!$A$11:$A$60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'5 - Motore'!$O$127:$O$176</c:f>
              <c:numCache>
                <c:formatCode>#,##0" €"</c:formatCode>
                <c:ptCount val="50"/>
                <c:pt idx="0">
                  <c:v>1231451.5294117648</c:v>
                </c:pt>
                <c:pt idx="1">
                  <c:v>1222198.3274439194</c:v>
                </c:pt>
                <c:pt idx="2">
                  <c:v>1212242.4685813833</c:v>
                </c:pt>
                <c:pt idx="3">
                  <c:v>1201585.8059655803</c:v>
                </c:pt>
                <c:pt idx="4">
                  <c:v>1190229.9243781553</c:v>
                </c:pt>
                <c:pt idx="5">
                  <c:v>1178176.0969501301</c:v>
                </c:pt>
                <c:pt idx="6">
                  <c:v>1165425.2455141814</c:v>
                </c:pt>
                <c:pt idx="7">
                  <c:v>1151977.9044866858</c:v>
                </c:pt>
                <c:pt idx="8">
                  <c:v>1137834.188140474</c:v>
                </c:pt>
                <c:pt idx="9">
                  <c:v>1122993.7611085812</c:v>
                </c:pt>
                <c:pt idx="10">
                  <c:v>1107455.8119433036</c:v>
                </c:pt>
                <c:pt idx="11">
                  <c:v>1091219.0295431807</c:v>
                </c:pt>
                <c:pt idx="12">
                  <c:v>1074281.582252671</c:v>
                </c:pt>
                <c:pt idx="13">
                  <c:v>1056641.099434867</c:v>
                </c:pt>
                <c:pt idx="14">
                  <c:v>1038294.6553161534</c:v>
                </c:pt>
                <c:pt idx="15">
                  <c:v>1019238.7549028456</c:v>
                </c:pt>
                <c:pt idx="16">
                  <c:v>999469.32177314966</c:v>
                </c:pt>
                <c:pt idx="17">
                  <c:v>978981.68755288038</c:v>
                </c:pt>
                <c:pt idx="18">
                  <c:v>957770.58288993349</c:v>
                </c:pt>
                <c:pt idx="19">
                  <c:v>935830.12975019158</c:v>
                </c:pt>
                <c:pt idx="20">
                  <c:v>913153.83486609336</c:v>
                </c:pt>
                <c:pt idx="21">
                  <c:v>889734.58417824737</c:v>
                </c:pt>
                <c:pt idx="22">
                  <c:v>865564.63812000398</c:v>
                </c:pt>
                <c:pt idx="23">
                  <c:v>840635.62760463951</c:v>
                </c:pt>
                <c:pt idx="24">
                  <c:v>814938.55058457586</c:v>
                </c:pt>
                <c:pt idx="25">
                  <c:v>788463.76906173315</c:v>
                </c:pt>
                <c:pt idx="26">
                  <c:v>761201.00643758278</c:v>
                </c:pt>
                <c:pt idx="27">
                  <c:v>733139.34510063729</c:v>
                </c:pt>
                <c:pt idx="28">
                  <c:v>704267.22415792698</c:v>
                </c:pt>
                <c:pt idx="29">
                  <c:v>674572.43722539651</c:v>
                </c:pt>
                <c:pt idx="30">
                  <c:v>644042.13020010444</c:v>
                </c:pt>
                <c:pt idx="31">
                  <c:v>612662.79894455557</c:v>
                </c:pt>
                <c:pt idx="32">
                  <c:v>580420.28682047979</c:v>
                </c:pt>
                <c:pt idx="33">
                  <c:v>547299.78201583331</c:v>
                </c:pt>
                <c:pt idx="34">
                  <c:v>513285.81461478909</c:v>
                </c:pt>
                <c:pt idx="35">
                  <c:v>478362.25336597732</c:v>
                </c:pt>
                <c:pt idx="36">
                  <c:v>442512.30210926523</c:v>
                </c:pt>
                <c:pt idx="37">
                  <c:v>405718.49582594889</c:v>
                </c:pt>
                <c:pt idx="38">
                  <c:v>367962.69628136989</c:v>
                </c:pt>
                <c:pt idx="39">
                  <c:v>329226.08723271062</c:v>
                </c:pt>
                <c:pt idx="40">
                  <c:v>289489.16917807382</c:v>
                </c:pt>
                <c:pt idx="41">
                  <c:v>248731.75362593989</c:v>
                </c:pt>
                <c:pt idx="42">
                  <c:v>206932.95686675192</c:v>
                </c:pt>
                <c:pt idx="43">
                  <c:v>164071.19323071666</c:v>
                </c:pt>
                <c:pt idx="44">
                  <c:v>120124.16781796122</c:v>
                </c:pt>
                <c:pt idx="45">
                  <c:v>75068.868688971052</c:v>
                </c:pt>
                <c:pt idx="46">
                  <c:v>28881.558504773937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5983232"/>
        <c:axId val="215985536"/>
      </c:lineChart>
      <c:catAx>
        <c:axId val="215983232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Anno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15985536"/>
        <c:crosses val="autoZero"/>
        <c:auto val="1"/>
        <c:lblAlgn val="ctr"/>
        <c:lblOffset val="100"/>
        <c:noMultiLvlLbl val="1"/>
      </c:catAx>
      <c:valAx>
        <c:axId val="215985536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Euro</a:t>
                </a:r>
              </a:p>
            </c:rich>
          </c:tx>
          <c:overlay val="1"/>
        </c:title>
        <c:numFmt formatCode="#,##0&quot; €&quot;" sourceLinked="1"/>
        <c:majorTickMark val="none"/>
        <c:minorTickMark val="none"/>
        <c:tickLblPos val="nextTo"/>
        <c:crossAx val="215983232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3</xdr:row>
      <xdr:rowOff>0</xdr:rowOff>
    </xdr:from>
    <xdr:ext cx="6480000" cy="324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Views>
    <sheetView tabSelected="1" workbookViewId="0">
      <selection sqref="A1:B1"/>
    </sheetView>
  </sheetViews>
  <sheetFormatPr defaultRowHeight="15"/>
  <cols>
    <col min="1" max="1" width="112" customWidth="1"/>
    <col min="2" max="2" width="110" customWidth="1"/>
  </cols>
  <sheetData>
    <row r="1" spans="1:2" ht="32.1" customHeight="1">
      <c r="A1" s="24" t="s">
        <v>0</v>
      </c>
      <c r="B1" s="23"/>
    </row>
    <row r="2" spans="1:2" ht="44.1" customHeight="1">
      <c r="A2" s="22" t="s">
        <v>1</v>
      </c>
      <c r="B2" s="23"/>
    </row>
    <row r="4" spans="1:2" ht="18.75">
      <c r="A4" s="1" t="s">
        <v>2</v>
      </c>
    </row>
    <row r="5" spans="1:2" ht="21.95" customHeight="1">
      <c r="A5" s="2" t="s">
        <v>3</v>
      </c>
      <c r="B5" s="3" t="s">
        <v>4</v>
      </c>
    </row>
    <row r="6" spans="1:2" ht="21.95" customHeight="1">
      <c r="A6" s="2" t="s">
        <v>5</v>
      </c>
      <c r="B6" s="3" t="s">
        <v>6</v>
      </c>
    </row>
    <row r="7" spans="1:2" ht="21.95" customHeight="1">
      <c r="A7" s="2" t="s">
        <v>7</v>
      </c>
      <c r="B7" s="3" t="s">
        <v>8</v>
      </c>
    </row>
    <row r="8" spans="1:2" ht="21.95" customHeight="1">
      <c r="A8" s="2" t="s">
        <v>9</v>
      </c>
      <c r="B8" s="3" t="s">
        <v>10</v>
      </c>
    </row>
    <row r="9" spans="1:2" ht="21.95" customHeight="1">
      <c r="A9" s="2" t="s">
        <v>11</v>
      </c>
      <c r="B9" s="3" t="s">
        <v>12</v>
      </c>
    </row>
    <row r="10" spans="1:2" ht="21.95" customHeight="1">
      <c r="A10" s="2" t="s">
        <v>13</v>
      </c>
      <c r="B10" s="3" t="s">
        <v>14</v>
      </c>
    </row>
    <row r="12" spans="1:2" ht="18.75">
      <c r="A12" s="1" t="s">
        <v>15</v>
      </c>
    </row>
    <row r="13" spans="1:2">
      <c r="A13" s="3" t="s">
        <v>16</v>
      </c>
    </row>
    <row r="14" spans="1:2">
      <c r="A14" s="3" t="s">
        <v>17</v>
      </c>
    </row>
    <row r="15" spans="1:2">
      <c r="A15" s="3" t="s">
        <v>18</v>
      </c>
    </row>
    <row r="16" spans="1:2">
      <c r="A16" s="3" t="s">
        <v>19</v>
      </c>
    </row>
    <row r="18" spans="1:1" ht="18.75">
      <c r="A18" s="1" t="s">
        <v>20</v>
      </c>
    </row>
    <row r="19" spans="1:1">
      <c r="A19" s="3" t="s">
        <v>21</v>
      </c>
    </row>
    <row r="20" spans="1:1">
      <c r="A20" s="3" t="s">
        <v>22</v>
      </c>
    </row>
    <row r="21" spans="1:1">
      <c r="A21" s="3" t="s">
        <v>23</v>
      </c>
    </row>
    <row r="22" spans="1:1">
      <c r="A22" s="3" t="s">
        <v>24</v>
      </c>
    </row>
    <row r="23" spans="1:1">
      <c r="A23" s="3" t="s">
        <v>25</v>
      </c>
    </row>
    <row r="24" spans="1:1">
      <c r="A24" s="3" t="s">
        <v>26</v>
      </c>
    </row>
    <row r="26" spans="1:1">
      <c r="A26" s="4" t="s">
        <v>27</v>
      </c>
    </row>
    <row r="27" spans="1:1">
      <c r="A27" s="2" t="s">
        <v>28</v>
      </c>
    </row>
    <row r="28" spans="1:1">
      <c r="A28" s="3" t="s">
        <v>29</v>
      </c>
    </row>
    <row r="29" spans="1:1">
      <c r="A29" s="3" t="s">
        <v>30</v>
      </c>
    </row>
    <row r="30" spans="1:1">
      <c r="A30" s="3" t="s">
        <v>31</v>
      </c>
    </row>
    <row r="31" spans="1:1">
      <c r="A31" s="3" t="s">
        <v>32</v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9"/>
  <sheetViews>
    <sheetView workbookViewId="0"/>
  </sheetViews>
  <sheetFormatPr defaultRowHeight="15"/>
  <cols>
    <col min="1" max="1" width="58" customWidth="1"/>
    <col min="2" max="2" width="23" customWidth="1"/>
    <col min="3" max="3" width="26" customWidth="1"/>
    <col min="4" max="4" width="62" customWidth="1"/>
  </cols>
  <sheetData>
    <row r="1" spans="1:4" ht="24.95" customHeight="1">
      <c r="A1" s="24" t="s">
        <v>0</v>
      </c>
      <c r="B1" s="23"/>
      <c r="C1" s="23"/>
      <c r="D1" s="23"/>
    </row>
    <row r="2" spans="1:4" ht="44.1" customHeight="1">
      <c r="A2" s="22" t="s">
        <v>1</v>
      </c>
      <c r="B2" s="23"/>
      <c r="C2" s="23"/>
      <c r="D2" s="23"/>
    </row>
    <row r="4" spans="1:4">
      <c r="A4" s="25" t="s">
        <v>33</v>
      </c>
      <c r="B4" s="23"/>
      <c r="C4" s="23"/>
      <c r="D4" s="23"/>
    </row>
    <row r="5" spans="1:4">
      <c r="A5" s="5" t="s">
        <v>34</v>
      </c>
      <c r="B5" s="6">
        <v>50</v>
      </c>
      <c r="C5" t="s">
        <v>35</v>
      </c>
      <c r="D5" s="7"/>
    </row>
    <row r="6" spans="1:4">
      <c r="A6" s="5" t="s">
        <v>36</v>
      </c>
      <c r="B6" s="8">
        <v>1240000</v>
      </c>
      <c r="C6" t="s">
        <v>37</v>
      </c>
      <c r="D6" s="7" t="s">
        <v>38</v>
      </c>
    </row>
    <row r="7" spans="1:4" ht="20.100000000000001" customHeight="1">
      <c r="A7" s="5" t="s">
        <v>39</v>
      </c>
      <c r="B7" s="8">
        <v>40000</v>
      </c>
      <c r="C7" t="s">
        <v>37</v>
      </c>
      <c r="D7" s="7" t="s">
        <v>40</v>
      </c>
    </row>
    <row r="8" spans="1:4">
      <c r="A8" s="5" t="s">
        <v>41</v>
      </c>
      <c r="B8" s="6">
        <v>40</v>
      </c>
      <c r="C8" t="s">
        <v>35</v>
      </c>
      <c r="D8" s="7" t="s">
        <v>42</v>
      </c>
    </row>
    <row r="9" spans="1:4">
      <c r="A9" s="5" t="s">
        <v>43</v>
      </c>
      <c r="B9" s="9">
        <f>B7/B6</f>
        <v>3.2258064516129031E-2</v>
      </c>
      <c r="C9" t="s">
        <v>44</v>
      </c>
    </row>
    <row r="10" spans="1:4">
      <c r="A10" s="25" t="s">
        <v>45</v>
      </c>
      <c r="B10" s="23"/>
      <c r="C10" s="23"/>
      <c r="D10" s="23"/>
    </row>
    <row r="11" spans="1:4">
      <c r="A11" s="10" t="s">
        <v>46</v>
      </c>
      <c r="B11" s="10" t="s">
        <v>47</v>
      </c>
      <c r="C11" s="10" t="s">
        <v>48</v>
      </c>
      <c r="D11" s="10" t="s">
        <v>49</v>
      </c>
    </row>
    <row r="12" spans="1:4">
      <c r="A12" s="5" t="s">
        <v>50</v>
      </c>
      <c r="B12" s="11">
        <v>0.6</v>
      </c>
      <c r="C12" s="11">
        <v>0.45</v>
      </c>
      <c r="D12" s="11">
        <v>0.24</v>
      </c>
    </row>
    <row r="13" spans="1:4">
      <c r="A13" s="5" t="s">
        <v>51</v>
      </c>
      <c r="B13" s="11">
        <v>0.4</v>
      </c>
      <c r="C13" s="11">
        <v>0.4</v>
      </c>
      <c r="D13" s="11">
        <v>0.16</v>
      </c>
    </row>
    <row r="14" spans="1:4">
      <c r="A14" s="5" t="s">
        <v>52</v>
      </c>
      <c r="B14" s="11">
        <v>0</v>
      </c>
      <c r="C14" s="11">
        <v>0.15</v>
      </c>
      <c r="D14" s="11">
        <v>0</v>
      </c>
    </row>
    <row r="15" spans="1:4">
      <c r="A15" s="5" t="s">
        <v>53</v>
      </c>
      <c r="B15" s="11">
        <v>0</v>
      </c>
      <c r="C15" s="11">
        <v>0</v>
      </c>
      <c r="D15" s="11">
        <v>0.6</v>
      </c>
    </row>
    <row r="16" spans="1:4">
      <c r="A16" s="5" t="s">
        <v>54</v>
      </c>
      <c r="B16" s="12">
        <f>SUM(B12:B15)</f>
        <v>1</v>
      </c>
      <c r="C16" s="12">
        <f>SUM(C12:C15)</f>
        <v>1</v>
      </c>
      <c r="D16" s="12">
        <f>SUM(D12:D15)</f>
        <v>1</v>
      </c>
    </row>
    <row r="17" spans="1:4">
      <c r="A17" s="25" t="s">
        <v>55</v>
      </c>
      <c r="B17" s="23"/>
      <c r="C17" s="23"/>
      <c r="D17" s="23"/>
    </row>
    <row r="18" spans="1:4">
      <c r="A18" s="5" t="s">
        <v>56</v>
      </c>
      <c r="B18" s="13">
        <v>0.04</v>
      </c>
      <c r="C18" t="s">
        <v>57</v>
      </c>
      <c r="D18" s="7" t="s">
        <v>58</v>
      </c>
    </row>
    <row r="19" spans="1:4">
      <c r="A19" s="5" t="s">
        <v>59</v>
      </c>
      <c r="B19" s="13">
        <v>1.4999999999999999E-2</v>
      </c>
      <c r="C19" t="s">
        <v>57</v>
      </c>
      <c r="D19" s="7"/>
    </row>
    <row r="20" spans="1:4">
      <c r="A20" s="5" t="s">
        <v>60</v>
      </c>
      <c r="B20" s="13">
        <v>1.4999999999999999E-2</v>
      </c>
      <c r="C20" t="s">
        <v>57</v>
      </c>
      <c r="D20" s="7"/>
    </row>
    <row r="21" spans="1:4">
      <c r="A21" s="5" t="s">
        <v>61</v>
      </c>
      <c r="B21" s="9">
        <f>0.6*B18+0.4*B19</f>
        <v>0.03</v>
      </c>
    </row>
    <row r="22" spans="1:4">
      <c r="A22" s="5" t="s">
        <v>62</v>
      </c>
      <c r="B22" s="13">
        <v>0.02</v>
      </c>
      <c r="C22" t="s">
        <v>57</v>
      </c>
      <c r="D22" s="7"/>
    </row>
    <row r="23" spans="1:4">
      <c r="A23" s="25" t="s">
        <v>63</v>
      </c>
      <c r="B23" s="23"/>
      <c r="C23" s="23"/>
      <c r="D23" s="23"/>
    </row>
    <row r="24" spans="1:4">
      <c r="A24" s="5" t="s">
        <v>64</v>
      </c>
      <c r="B24" s="11">
        <v>0.125</v>
      </c>
      <c r="C24" t="s">
        <v>65</v>
      </c>
      <c r="D24" s="7" t="s">
        <v>66</v>
      </c>
    </row>
    <row r="25" spans="1:4">
      <c r="A25" s="5" t="s">
        <v>67</v>
      </c>
      <c r="B25" s="11">
        <v>0.26</v>
      </c>
      <c r="C25" t="s">
        <v>65</v>
      </c>
      <c r="D25" s="7" t="s">
        <v>68</v>
      </c>
    </row>
    <row r="26" spans="1:4">
      <c r="A26" s="5" t="s">
        <v>69</v>
      </c>
      <c r="B26" s="13">
        <v>2E-3</v>
      </c>
      <c r="C26" t="s">
        <v>57</v>
      </c>
      <c r="D26" s="7" t="s">
        <v>70</v>
      </c>
    </row>
    <row r="27" spans="1:4">
      <c r="A27" s="5" t="s">
        <v>71</v>
      </c>
      <c r="B27" s="11">
        <v>0</v>
      </c>
      <c r="C27" t="s">
        <v>65</v>
      </c>
      <c r="D27" s="7" t="s">
        <v>72</v>
      </c>
    </row>
    <row r="28" spans="1:4">
      <c r="A28" s="25" t="s">
        <v>52</v>
      </c>
      <c r="B28" s="23"/>
      <c r="C28" s="23"/>
      <c r="D28" s="23"/>
    </row>
    <row r="29" spans="1:4">
      <c r="A29" s="5" t="s">
        <v>73</v>
      </c>
      <c r="B29" s="13">
        <v>2.9899999999999999E-2</v>
      </c>
      <c r="C29" t="s">
        <v>57</v>
      </c>
      <c r="D29" s="7" t="s">
        <v>74</v>
      </c>
    </row>
    <row r="30" spans="1:4">
      <c r="A30" s="5" t="s">
        <v>75</v>
      </c>
      <c r="B30" s="11">
        <v>0.38400000000000001</v>
      </c>
      <c r="C30" t="s">
        <v>65</v>
      </c>
      <c r="D30" s="7" t="s">
        <v>76</v>
      </c>
    </row>
    <row r="31" spans="1:4">
      <c r="A31" s="5" t="s">
        <v>77</v>
      </c>
      <c r="B31" s="13">
        <v>0</v>
      </c>
      <c r="C31" t="s">
        <v>57</v>
      </c>
      <c r="D31" s="7" t="s">
        <v>78</v>
      </c>
    </row>
    <row r="32" spans="1:4">
      <c r="A32" s="5" t="s">
        <v>79</v>
      </c>
      <c r="B32" s="9">
        <f>B29*(1-B30)</f>
        <v>1.8418399999999998E-2</v>
      </c>
      <c r="C32" t="s">
        <v>57</v>
      </c>
      <c r="D32" s="7" t="s">
        <v>80</v>
      </c>
    </row>
    <row r="33" spans="1:4">
      <c r="A33" s="25" t="s">
        <v>81</v>
      </c>
      <c r="B33" s="23"/>
      <c r="C33" s="23"/>
      <c r="D33" s="23"/>
    </row>
    <row r="34" spans="1:4">
      <c r="A34" s="5" t="s">
        <v>82</v>
      </c>
      <c r="B34" s="13">
        <v>4.58E-2</v>
      </c>
      <c r="C34" t="s">
        <v>57</v>
      </c>
      <c r="D34" s="7" t="s">
        <v>83</v>
      </c>
    </row>
    <row r="35" spans="1:4">
      <c r="A35" s="5" t="s">
        <v>84</v>
      </c>
      <c r="B35" s="13">
        <v>2.4199999999999999E-2</v>
      </c>
      <c r="C35" t="s">
        <v>57</v>
      </c>
      <c r="D35" s="7" t="s">
        <v>85</v>
      </c>
    </row>
    <row r="36" spans="1:4">
      <c r="A36" s="5" t="s">
        <v>86</v>
      </c>
      <c r="B36" s="13">
        <v>6.5500000000000003E-2</v>
      </c>
      <c r="C36" t="s">
        <v>57</v>
      </c>
      <c r="D36" s="7" t="s">
        <v>87</v>
      </c>
    </row>
    <row r="37" spans="1:4">
      <c r="A37" s="25" t="s">
        <v>88</v>
      </c>
      <c r="B37" s="23"/>
      <c r="C37" s="23"/>
      <c r="D37" s="23"/>
    </row>
    <row r="38" spans="1:4">
      <c r="A38" s="5" t="s">
        <v>89</v>
      </c>
      <c r="B38" s="6">
        <v>0</v>
      </c>
      <c r="C38" t="s">
        <v>90</v>
      </c>
      <c r="D38" s="7" t="s">
        <v>91</v>
      </c>
    </row>
    <row r="39" spans="1:4">
      <c r="A39" s="5" t="s">
        <v>92</v>
      </c>
      <c r="B39" s="6">
        <v>1</v>
      </c>
      <c r="C39" t="s">
        <v>93</v>
      </c>
      <c r="D39" s="7" t="s">
        <v>94</v>
      </c>
    </row>
    <row r="40" spans="1:4">
      <c r="A40" s="5" t="s">
        <v>95</v>
      </c>
      <c r="B40" s="6">
        <v>10</v>
      </c>
      <c r="C40" t="s">
        <v>35</v>
      </c>
      <c r="D40" s="7"/>
    </row>
    <row r="41" spans="1:4">
      <c r="A41" s="5" t="s">
        <v>96</v>
      </c>
      <c r="B41" s="6">
        <v>0</v>
      </c>
      <c r="C41" t="s">
        <v>35</v>
      </c>
      <c r="D41" s="7" t="s">
        <v>97</v>
      </c>
    </row>
    <row r="42" spans="1:4">
      <c r="A42" s="5" t="s">
        <v>98</v>
      </c>
      <c r="B42" s="13">
        <v>0.04</v>
      </c>
      <c r="C42" t="s">
        <v>57</v>
      </c>
      <c r="D42" s="7"/>
    </row>
    <row r="43" spans="1:4">
      <c r="A43" s="5" t="s">
        <v>99</v>
      </c>
      <c r="B43" s="6">
        <v>0</v>
      </c>
      <c r="C43" t="s">
        <v>35</v>
      </c>
      <c r="D43" s="7"/>
    </row>
    <row r="44" spans="1:4">
      <c r="A44" s="5" t="s">
        <v>100</v>
      </c>
      <c r="B44" s="13">
        <v>0</v>
      </c>
      <c r="C44" t="s">
        <v>57</v>
      </c>
      <c r="D44" s="7" t="s">
        <v>101</v>
      </c>
    </row>
    <row r="45" spans="1:4">
      <c r="A45" s="25" t="s">
        <v>102</v>
      </c>
      <c r="B45" s="23"/>
      <c r="C45" s="23"/>
      <c r="D45" s="23"/>
    </row>
    <row r="46" spans="1:4">
      <c r="A46" s="10" t="s">
        <v>103</v>
      </c>
      <c r="B46" s="10" t="s">
        <v>104</v>
      </c>
      <c r="C46" s="10" t="s">
        <v>105</v>
      </c>
      <c r="D46" s="10" t="s">
        <v>106</v>
      </c>
    </row>
    <row r="47" spans="1:4">
      <c r="A47" s="5" t="s">
        <v>107</v>
      </c>
      <c r="B47" s="14">
        <v>0.1220604528139722</v>
      </c>
      <c r="C47" s="14">
        <v>-6.1581083769856493E-2</v>
      </c>
      <c r="D47" s="14">
        <v>-0.14029177669804521</v>
      </c>
    </row>
    <row r="48" spans="1:4">
      <c r="A48" s="5" t="s">
        <v>108</v>
      </c>
      <c r="B48" s="14">
        <v>6.8907682981103058E-2</v>
      </c>
      <c r="C48" s="14">
        <v>-1.365124736316781E-2</v>
      </c>
      <c r="D48" s="14">
        <v>-8.9543921822852202E-3</v>
      </c>
    </row>
    <row r="49" spans="1:4">
      <c r="A49" s="5" t="s">
        <v>109</v>
      </c>
      <c r="B49" s="14">
        <v>8.9423558593773267E-2</v>
      </c>
      <c r="C49" s="14">
        <v>-2.4695999273223409E-2</v>
      </c>
      <c r="D49" s="14">
        <v>-1.7901628937053271E-2</v>
      </c>
    </row>
  </sheetData>
  <mergeCells count="10">
    <mergeCell ref="A1:D1"/>
    <mergeCell ref="A17:D17"/>
    <mergeCell ref="A23:D23"/>
    <mergeCell ref="A37:D37"/>
    <mergeCell ref="A45:D45"/>
    <mergeCell ref="A4:D4"/>
    <mergeCell ref="A2:D2"/>
    <mergeCell ref="A33:D33"/>
    <mergeCell ref="A10:D10"/>
    <mergeCell ref="A28:D28"/>
  </mergeCells>
  <conditionalFormatting sqref="B16:D16">
    <cfRule type="cellIs" dxfId="0" priority="1" operator="notBetween">
      <formula>0.9999</formula>
      <formula>1.0001</formula>
    </cfRule>
  </conditionalFormatting>
  <dataValidations count="5">
    <dataValidation type="whole" showErrorMessage="1" errorTitle="Valore non valido" error="Controlla l'intervallo ammesso." sqref="B8">
      <formula1>20</formula1>
      <formula2>50</formula2>
    </dataValidation>
    <dataValidation type="list" showErrorMessage="1" errorTitle="Valore non valido" error="Controlla l'intervallo ammesso." sqref="B38">
      <formula1>"0,1,2,3"</formula1>
    </dataValidation>
    <dataValidation type="whole" showErrorMessage="1" errorTitle="Valore non valido" error="Controlla l'intervallo ammesso." sqref="B39">
      <formula1>1</formula1>
      <formula2>40</formula2>
    </dataValidation>
    <dataValidation type="whole" showErrorMessage="1" errorTitle="Valore non valido" error="Controlla l'intervallo ammesso." sqref="B41">
      <formula1>0</formula1>
      <formula2>40</formula2>
    </dataValidation>
    <dataValidation type="decimal" showErrorMessage="1" errorTitle="Valore non valido" error="Controlla l'intervallo ammesso." sqref="B27">
      <formula1>0</formula1>
      <formula2>0.9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4"/>
  <sheetViews>
    <sheetView workbookViewId="0"/>
  </sheetViews>
  <sheetFormatPr defaultRowHeight="15"/>
  <cols>
    <col min="1" max="1" width="46" customWidth="1"/>
    <col min="2" max="3" width="27" customWidth="1"/>
    <col min="4" max="4" width="18" customWidth="1"/>
    <col min="5" max="5" width="17" customWidth="1"/>
  </cols>
  <sheetData>
    <row r="1" spans="1:5" ht="24.95" customHeight="1">
      <c r="A1" s="24" t="s">
        <v>110</v>
      </c>
      <c r="B1" s="23"/>
      <c r="C1" s="23"/>
      <c r="D1" s="23"/>
      <c r="E1" s="23"/>
    </row>
    <row r="2" spans="1:5" ht="44.1" customHeight="1">
      <c r="A2" s="22" t="s">
        <v>1</v>
      </c>
      <c r="B2" s="23"/>
      <c r="C2" s="23"/>
      <c r="D2" s="23"/>
      <c r="E2" s="23"/>
    </row>
    <row r="4" spans="1:5">
      <c r="A4" s="25" t="s">
        <v>111</v>
      </c>
      <c r="B4" s="23"/>
      <c r="C4" s="23"/>
      <c r="D4" s="23"/>
      <c r="E4" s="23"/>
    </row>
    <row r="5" spans="1:5">
      <c r="A5" s="10" t="s">
        <v>112</v>
      </c>
      <c r="B5" s="10" t="s">
        <v>113</v>
      </c>
      <c r="C5" s="10" t="s">
        <v>114</v>
      </c>
      <c r="D5" s="10" t="s">
        <v>52</v>
      </c>
      <c r="E5" s="10" t="s">
        <v>53</v>
      </c>
    </row>
    <row r="6" spans="1:5">
      <c r="A6" s="5" t="s">
        <v>115</v>
      </c>
      <c r="B6" s="15">
        <f>'1 - Caso e ipotesi'!B19</f>
        <v>1.4999999999999999E-2</v>
      </c>
      <c r="C6" s="15">
        <f>'1 - Caso e ipotesi'!B20</f>
        <v>1.4999999999999999E-2</v>
      </c>
      <c r="D6" s="15">
        <f>'1 - Caso e ipotesi'!B19+$B$30</f>
        <v>3.4313725490196054E-2</v>
      </c>
      <c r="E6" s="15">
        <f>'1 - Caso e ipotesi'!B18</f>
        <v>0.04</v>
      </c>
    </row>
    <row r="7" spans="1:5">
      <c r="A7" s="5" t="s">
        <v>104</v>
      </c>
      <c r="B7" s="9">
        <f>'1 - Caso e ipotesi'!$B$22</f>
        <v>0.02</v>
      </c>
      <c r="C7" s="9">
        <f>'1 - Caso e ipotesi'!$B$22</f>
        <v>0.02</v>
      </c>
      <c r="D7" s="9">
        <f>'1 - Caso e ipotesi'!$B$22</f>
        <v>0.02</v>
      </c>
      <c r="E7" s="9">
        <f>'1 - Caso e ipotesi'!$B$22</f>
        <v>0.02</v>
      </c>
    </row>
    <row r="8" spans="1:5">
      <c r="A8" s="5" t="s">
        <v>116</v>
      </c>
      <c r="B8" s="15">
        <f>(1+B6)*(1+B7)-1</f>
        <v>3.5299999999999887E-2</v>
      </c>
      <c r="C8" s="15">
        <f>(1+C6)*(1+C7)-1</f>
        <v>3.5299999999999887E-2</v>
      </c>
      <c r="D8" s="15">
        <f>(1+D6)*(1+D7)-1-'1 - Caso e ipotesi'!$B$31</f>
        <v>5.4999999999999938E-2</v>
      </c>
      <c r="E8" s="16" t="str">
        <f>"—"</f>
        <v>—</v>
      </c>
    </row>
    <row r="9" spans="1:5">
      <c r="A9" s="5" t="s">
        <v>117</v>
      </c>
      <c r="B9" s="15">
        <f>0</f>
        <v>0</v>
      </c>
      <c r="C9" s="15">
        <f>0</f>
        <v>0</v>
      </c>
      <c r="D9" s="15">
        <f>'1 - Caso e ipotesi'!$B$32</f>
        <v>1.8418399999999998E-2</v>
      </c>
      <c r="E9" s="16" t="str">
        <f>"—"</f>
        <v>—</v>
      </c>
    </row>
    <row r="10" spans="1:5">
      <c r="A10" s="5" t="s">
        <v>118</v>
      </c>
      <c r="B10" s="15">
        <f>B8-B9</f>
        <v>3.5299999999999887E-2</v>
      </c>
      <c r="C10" s="15">
        <f>C8-C9</f>
        <v>3.5299999999999887E-2</v>
      </c>
      <c r="D10" s="15">
        <f>D8-D9</f>
        <v>3.6581599999999936E-2</v>
      </c>
      <c r="E10" s="16" t="str">
        <f>"—"</f>
        <v>—</v>
      </c>
    </row>
    <row r="11" spans="1:5">
      <c r="A11" s="5" t="s">
        <v>119</v>
      </c>
      <c r="B11" s="15">
        <f>'1 - Caso e ipotesi'!$B$24*MAX(B8,0)</f>
        <v>4.4124999999999859E-3</v>
      </c>
      <c r="C11" s="15">
        <f>'1 - Caso e ipotesi'!$B$24*MAX(C8,0)</f>
        <v>4.4124999999999859E-3</v>
      </c>
      <c r="D11" s="15">
        <f>'1 - Caso e ipotesi'!$B$25*MAX(D10,0)</f>
        <v>9.5112159999999838E-3</v>
      </c>
      <c r="E11" s="16" t="str">
        <f>"—"</f>
        <v>—</v>
      </c>
    </row>
    <row r="12" spans="1:5">
      <c r="A12" s="5" t="s">
        <v>120</v>
      </c>
      <c r="B12" s="15">
        <f>'1 - Caso e ipotesi'!$B$26*(1+B10)</f>
        <v>2.0705999999999997E-3</v>
      </c>
      <c r="C12" s="15">
        <f>'1 - Caso e ipotesi'!$B$26*(1+C10)</f>
        <v>2.0705999999999997E-3</v>
      </c>
      <c r="D12" s="15">
        <f>'1 - Caso e ipotesi'!$B$26*(1+D10)</f>
        <v>2.0731631999999999E-3</v>
      </c>
      <c r="E12" s="16" t="str">
        <f>"—"</f>
        <v>—</v>
      </c>
    </row>
    <row r="13" spans="1:5">
      <c r="A13" s="5" t="s">
        <v>121</v>
      </c>
      <c r="B13" s="17">
        <f>((1+B10)-B11-B12)/(1+B7)</f>
        <v>1.0086440196078432</v>
      </c>
      <c r="C13" s="17">
        <f>((1+C10)-C11-C12)/(1+C7)</f>
        <v>1.0086440196078432</v>
      </c>
      <c r="D13" s="17">
        <f>((1+D10)-D11-D12)/(1+D7)</f>
        <v>1.0048992360784315</v>
      </c>
      <c r="E13" s="17">
        <f>(1+E6)*(1-'1 - Caso e ipotesi'!$B$26)</f>
        <v>1.03792</v>
      </c>
    </row>
    <row r="14" spans="1:5">
      <c r="A14" s="5" t="s">
        <v>122</v>
      </c>
      <c r="B14" s="9">
        <f>B13-1</f>
        <v>8.644019607843223E-3</v>
      </c>
      <c r="C14" s="9">
        <f>C13-1</f>
        <v>8.644019607843223E-3</v>
      </c>
      <c r="D14" s="9">
        <f>D13-1</f>
        <v>4.899236078431457E-3</v>
      </c>
      <c r="E14" s="9">
        <f>E13-1</f>
        <v>3.7919999999999954E-2</v>
      </c>
    </row>
    <row r="17" spans="1:5">
      <c r="A17" s="25" t="s">
        <v>123</v>
      </c>
      <c r="B17" s="23"/>
      <c r="C17" s="23"/>
      <c r="D17" s="23"/>
      <c r="E17" s="23"/>
    </row>
    <row r="18" spans="1:5">
      <c r="A18" s="10" t="s">
        <v>112</v>
      </c>
      <c r="B18" s="10" t="s">
        <v>113</v>
      </c>
      <c r="C18" s="10" t="s">
        <v>114</v>
      </c>
      <c r="D18" s="10" t="s">
        <v>52</v>
      </c>
      <c r="E18" s="10" t="s">
        <v>53</v>
      </c>
    </row>
    <row r="19" spans="1:5">
      <c r="A19" s="5" t="s">
        <v>115</v>
      </c>
      <c r="B19" s="15">
        <f>(1+'1 - Caso e ipotesi'!B34)/(1+B20)-1</f>
        <v>2.5294117647058911E-2</v>
      </c>
      <c r="C19" s="15">
        <f>'1 - Caso e ipotesi'!B35</f>
        <v>2.4199999999999999E-2</v>
      </c>
      <c r="D19" s="15">
        <f>(1+'1 - Caso e ipotesi'!B36)/(1+D20)-1</f>
        <v>4.4607843137254966E-2</v>
      </c>
      <c r="E19" s="15">
        <f>'1 - Caso e ipotesi'!B18</f>
        <v>0.04</v>
      </c>
    </row>
    <row r="20" spans="1:5">
      <c r="A20" s="5" t="s">
        <v>104</v>
      </c>
      <c r="B20" s="9">
        <f>'1 - Caso e ipotesi'!$B$22</f>
        <v>0.02</v>
      </c>
      <c r="C20" s="9">
        <f>'1 - Caso e ipotesi'!$B$22</f>
        <v>0.02</v>
      </c>
      <c r="D20" s="9">
        <f>'1 - Caso e ipotesi'!$B$22</f>
        <v>0.02</v>
      </c>
      <c r="E20" s="9">
        <f>'1 - Caso e ipotesi'!$B$22</f>
        <v>0.02</v>
      </c>
    </row>
    <row r="21" spans="1:5">
      <c r="A21" s="5" t="s">
        <v>116</v>
      </c>
      <c r="B21" s="15">
        <f>(1+B19)*(1+B20)-1</f>
        <v>4.5800000000000063E-2</v>
      </c>
      <c r="C21" s="15">
        <f>(1+C19)*(1+C20)-1</f>
        <v>4.4683999999999946E-2</v>
      </c>
      <c r="D21" s="15">
        <f>(1+D19)*(1+D20)-1-'1 - Caso e ipotesi'!$B$31</f>
        <v>6.5500000000000114E-2</v>
      </c>
      <c r="E21" s="16" t="str">
        <f>"—"</f>
        <v>—</v>
      </c>
    </row>
    <row r="22" spans="1:5">
      <c r="A22" s="5" t="s">
        <v>117</v>
      </c>
      <c r="B22" s="15">
        <f>0</f>
        <v>0</v>
      </c>
      <c r="C22" s="15">
        <f>0</f>
        <v>0</v>
      </c>
      <c r="D22" s="15">
        <f>'1 - Caso e ipotesi'!$B$32</f>
        <v>1.8418399999999998E-2</v>
      </c>
      <c r="E22" s="16" t="str">
        <f>"—"</f>
        <v>—</v>
      </c>
    </row>
    <row r="23" spans="1:5">
      <c r="A23" s="5" t="s">
        <v>118</v>
      </c>
      <c r="B23" s="15">
        <f>B21-B22</f>
        <v>4.5800000000000063E-2</v>
      </c>
      <c r="C23" s="15">
        <f>C21-C22</f>
        <v>4.4683999999999946E-2</v>
      </c>
      <c r="D23" s="15">
        <f>D21-D22</f>
        <v>4.7081600000000112E-2</v>
      </c>
      <c r="E23" s="16" t="str">
        <f>"—"</f>
        <v>—</v>
      </c>
    </row>
    <row r="24" spans="1:5">
      <c r="A24" s="5" t="s">
        <v>119</v>
      </c>
      <c r="B24" s="15">
        <f>'1 - Caso e ipotesi'!$B$24*MAX(B21,0)</f>
        <v>5.7250000000000079E-3</v>
      </c>
      <c r="C24" s="15">
        <f>'1 - Caso e ipotesi'!$B$24*MAX(C21,0)</f>
        <v>5.5854999999999932E-3</v>
      </c>
      <c r="D24" s="15">
        <f>'1 - Caso e ipotesi'!$B$25*MAX(D23,0)</f>
        <v>1.224121600000003E-2</v>
      </c>
      <c r="E24" s="16" t="str">
        <f>"—"</f>
        <v>—</v>
      </c>
    </row>
    <row r="25" spans="1:5">
      <c r="A25" s="5" t="s">
        <v>120</v>
      </c>
      <c r="B25" s="15">
        <f>'1 - Caso e ipotesi'!$B$26*(1+B23)</f>
        <v>2.0916000000000003E-3</v>
      </c>
      <c r="C25" s="15">
        <f>'1 - Caso e ipotesi'!$B$26*(1+C23)</f>
        <v>2.0893679999999999E-3</v>
      </c>
      <c r="D25" s="15">
        <f>'1 - Caso e ipotesi'!$B$26*(1+D23)</f>
        <v>2.0941632000000001E-3</v>
      </c>
      <c r="E25" s="16" t="str">
        <f>"—"</f>
        <v>—</v>
      </c>
    </row>
    <row r="26" spans="1:5">
      <c r="A26" s="5" t="s">
        <v>121</v>
      </c>
      <c r="B26" s="17">
        <f>((1+B23)-B24-B25)/(1+B20)</f>
        <v>1.0176307843137256</v>
      </c>
      <c r="C26" s="17">
        <f>((1+C23)-C24-C25)/(1+C20)</f>
        <v>1.016675619607843</v>
      </c>
      <c r="D26" s="17">
        <f>((1+D23)-D24-D25)/(1+D20)</f>
        <v>1.0124962949019607</v>
      </c>
      <c r="E26" s="17">
        <f>(1+E19)*(1-'1 - Caso e ipotesi'!$B$26)</f>
        <v>1.03792</v>
      </c>
    </row>
    <row r="27" spans="1:5">
      <c r="A27" s="5" t="s">
        <v>122</v>
      </c>
      <c r="B27" s="9">
        <f>B26-1</f>
        <v>1.7630784313725556E-2</v>
      </c>
      <c r="C27" s="9">
        <f>C26-1</f>
        <v>1.6675619607843029E-2</v>
      </c>
      <c r="D27" s="9">
        <f>D26-1</f>
        <v>1.2496294901960692E-2</v>
      </c>
      <c r="E27" s="9">
        <f>E26-1</f>
        <v>3.7919999999999954E-2</v>
      </c>
    </row>
    <row r="30" spans="1:5" ht="36">
      <c r="A30" s="5" t="s">
        <v>124</v>
      </c>
      <c r="B30" s="15">
        <f>((1+'1 - Caso e ipotesi'!B36)/(1+'1 - Caso e ipotesi'!B22)-1)-((1+'1 - Caso e ipotesi'!B34)/(1+'1 - Caso e ipotesi'!B22)-1)</f>
        <v>1.9313725490196054E-2</v>
      </c>
      <c r="C30" s="7" t="s">
        <v>125</v>
      </c>
    </row>
    <row r="33" spans="1:5">
      <c r="A33" s="25" t="s">
        <v>126</v>
      </c>
      <c r="B33" s="23"/>
      <c r="C33" s="23"/>
      <c r="D33" s="23"/>
      <c r="E33" s="23"/>
    </row>
    <row r="34" spans="1:5">
      <c r="A34" s="10" t="s">
        <v>112</v>
      </c>
      <c r="B34" s="10" t="s">
        <v>127</v>
      </c>
      <c r="C34" s="10" t="s">
        <v>52</v>
      </c>
    </row>
    <row r="35" spans="1:5">
      <c r="A35" s="5" t="s">
        <v>128</v>
      </c>
      <c r="B35" s="9">
        <f>'1 - Caso e ipotesi'!B34</f>
        <v>4.58E-2</v>
      </c>
      <c r="C35" s="9">
        <f>'1 - Caso e ipotesi'!B36</f>
        <v>6.5500000000000003E-2</v>
      </c>
    </row>
    <row r="36" spans="1:5">
      <c r="A36" s="5" t="s">
        <v>117</v>
      </c>
      <c r="B36" s="9">
        <f>0</f>
        <v>0</v>
      </c>
      <c r="C36" s="9">
        <f>-'1 - Caso e ipotesi'!B32</f>
        <v>-1.8418399999999998E-2</v>
      </c>
    </row>
    <row r="37" spans="1:5">
      <c r="A37" s="5" t="s">
        <v>119</v>
      </c>
      <c r="B37" s="9">
        <f>-'1 - Caso e ipotesi'!B24*B35</f>
        <v>-5.7250000000000001E-3</v>
      </c>
      <c r="C37" s="9">
        <f>-'1 - Caso e ipotesi'!B25*(C35+C36)</f>
        <v>-1.2241216000000001E-2</v>
      </c>
    </row>
    <row r="38" spans="1:5">
      <c r="A38" s="5" t="s">
        <v>129</v>
      </c>
      <c r="B38" s="9">
        <f>-'1 - Caso e ipotesi'!B26</f>
        <v>-2E-3</v>
      </c>
      <c r="C38" s="9">
        <f>-'1 - Caso e ipotesi'!B26</f>
        <v>-2E-3</v>
      </c>
    </row>
    <row r="39" spans="1:5">
      <c r="A39" s="5" t="s">
        <v>130</v>
      </c>
      <c r="B39" s="9">
        <f>SUM(B35:B38)</f>
        <v>3.8074999999999998E-2</v>
      </c>
      <c r="C39" s="9">
        <f>SUM(C35:C38)</f>
        <v>3.2840384E-2</v>
      </c>
    </row>
    <row r="40" spans="1:5">
      <c r="A40" s="5" t="s">
        <v>104</v>
      </c>
      <c r="B40" s="9">
        <f>'1 - Caso e ipotesi'!B22</f>
        <v>0.02</v>
      </c>
      <c r="C40" s="9">
        <f>'1 - Caso e ipotesi'!B22</f>
        <v>0.02</v>
      </c>
    </row>
    <row r="41" spans="1:5">
      <c r="A41" s="5" t="s">
        <v>131</v>
      </c>
      <c r="B41" s="9">
        <f>(1+B39)/(1+B40)-1</f>
        <v>1.772058823529421E-2</v>
      </c>
      <c r="C41" s="9">
        <f>(1+C39)/(1+C40)-1</f>
        <v>1.2588611764705826E-2</v>
      </c>
    </row>
    <row r="43" spans="1:5" ht="27.95" customHeight="1">
      <c r="A43" s="26" t="s">
        <v>132</v>
      </c>
      <c r="B43" s="23"/>
      <c r="C43" s="23"/>
      <c r="D43" s="23"/>
      <c r="E43" s="23"/>
    </row>
    <row r="44" spans="1:5" ht="39.950000000000003" customHeight="1">
      <c r="A44" s="26" t="s">
        <v>133</v>
      </c>
      <c r="B44" s="23"/>
      <c r="C44" s="23"/>
      <c r="D44" s="23"/>
      <c r="E44" s="23"/>
    </row>
  </sheetData>
  <mergeCells count="7">
    <mergeCell ref="A44:E44"/>
    <mergeCell ref="A17:E17"/>
    <mergeCell ref="A4:E4"/>
    <mergeCell ref="A43:E43"/>
    <mergeCell ref="A2:E2"/>
    <mergeCell ref="A33:E33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5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/>
  <cols>
    <col min="1" max="1" width="10" customWidth="1"/>
    <col min="2" max="17" width="16" customWidth="1"/>
  </cols>
  <sheetData>
    <row r="1" spans="1:17" ht="24.95" customHeight="1">
      <c r="A1" s="24" t="s">
        <v>134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</row>
    <row r="2" spans="1:17" ht="44.1" customHeight="1">
      <c r="A2" s="22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</row>
    <row r="3" spans="1:17">
      <c r="A3" s="26" t="s">
        <v>135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</row>
    <row r="5" spans="1:17" ht="48" customHeight="1">
      <c r="A5" s="10" t="s">
        <v>136</v>
      </c>
      <c r="B5" s="10" t="s">
        <v>137</v>
      </c>
      <c r="C5" s="10" t="s">
        <v>104</v>
      </c>
      <c r="D5" s="10" t="s">
        <v>138</v>
      </c>
      <c r="E5" s="10" t="s">
        <v>139</v>
      </c>
      <c r="F5" s="10" t="s">
        <v>140</v>
      </c>
      <c r="G5" s="10" t="s">
        <v>141</v>
      </c>
      <c r="H5" s="10" t="s">
        <v>142</v>
      </c>
      <c r="I5" s="10" t="s">
        <v>143</v>
      </c>
      <c r="J5" s="10" t="s">
        <v>144</v>
      </c>
      <c r="K5" s="10" t="s">
        <v>145</v>
      </c>
      <c r="L5" s="10" t="s">
        <v>146</v>
      </c>
      <c r="M5" s="10" t="s">
        <v>147</v>
      </c>
      <c r="N5" s="10" t="s">
        <v>148</v>
      </c>
      <c r="O5" s="10" t="s">
        <v>149</v>
      </c>
      <c r="P5" s="10" t="s">
        <v>150</v>
      </c>
      <c r="Q5" s="10" t="s">
        <v>151</v>
      </c>
    </row>
    <row r="6" spans="1:17">
      <c r="A6" s="18">
        <v>1</v>
      </c>
      <c r="B6" s="19">
        <f>IF(AND('1 - Caso e ipotesi'!$B$38&gt;0,A6&gt;='1 - Caso e ipotesi'!$B$39,A6&lt;'1 - Caso e ipotesi'!$B$39+'1 - Caso e ipotesi'!$B$40),1,0)</f>
        <v>0</v>
      </c>
      <c r="C6" s="15">
        <f>IF(B6=1,INDEX('1 - Caso e ipotesi'!$B$47:$B$49,'1 - Caso e ipotesi'!$B$38),IF(A6&lt;='1 - Caso e ipotesi'!$B$43,'1 - Caso e ipotesi'!$B$42,'1 - Caso e ipotesi'!$B$22))</f>
        <v>0.02</v>
      </c>
      <c r="D6" s="15">
        <f>IF(B6=1,INDEX('1 - Caso e ipotesi'!$C$47:$C$49,'1 - Caso e ipotesi'!$B$38),IF(A6&lt;='1 - Caso e ipotesi'!$B$41,(1+'1 - Caso e ipotesi'!$B$34)/(1+C6)-1,'1 - Caso e ipotesi'!$B$19))</f>
        <v>1.4999999999999999E-2</v>
      </c>
      <c r="E6" s="15">
        <f>IF(B6=1,'1 - Caso e ipotesi'!$B$44,IF(A6&lt;='1 - Caso e ipotesi'!$B$41,'1 - Caso e ipotesi'!$B$35,'1 - Caso e ipotesi'!$B$20))</f>
        <v>1.4999999999999999E-2</v>
      </c>
      <c r="F6" s="15">
        <f>IF(B6=1,INDEX('1 - Caso e ipotesi'!$C$47:$C$49,'1 - Caso e ipotesi'!$B$38)+'2 - Rendimenti netti'!$B$30,IF(A6&lt;='1 - Caso e ipotesi'!$B$41,(1+'1 - Caso e ipotesi'!$B$36)/(1+C6)-1,'1 - Caso e ipotesi'!$B$19+'2 - Rendimenti netti'!$B$30))</f>
        <v>3.4313725490196054E-2</v>
      </c>
      <c r="G6" s="15">
        <f>IF(B6=1,INDEX('1 - Caso e ipotesi'!$D$47:$D$49,'1 - Caso e ipotesi'!$B$38),'1 - Caso e ipotesi'!$B$18)</f>
        <v>0.04</v>
      </c>
      <c r="H6" s="15">
        <f t="shared" ref="H6:H37" si="0">(1+D6)*(1+C6)-1</f>
        <v>3.5299999999999887E-2</v>
      </c>
      <c r="I6" s="15">
        <f t="shared" ref="I6:I37" si="1">(1+E6)*(1+C6)-1</f>
        <v>3.5299999999999887E-2</v>
      </c>
      <c r="J6" s="15">
        <f>(1+F6)*(1+C6)-1-'1 - Caso e ipotesi'!$B$31</f>
        <v>5.4999999999999938E-2</v>
      </c>
      <c r="K6" s="15">
        <f t="shared" ref="K6:K37" si="2">H6</f>
        <v>3.5299999999999887E-2</v>
      </c>
      <c r="L6" s="15">
        <f t="shared" ref="L6:L37" si="3">I6</f>
        <v>3.5299999999999887E-2</v>
      </c>
      <c r="M6" s="15">
        <f>J6-'1 - Caso e ipotesi'!$B$32</f>
        <v>3.6581599999999936E-2</v>
      </c>
      <c r="N6" s="17">
        <f>((1+K6)-'1 - Caso e ipotesi'!$B$24*MAX(H6,0)-'1 - Caso e ipotesi'!$B$26*(1+K6))/(1+C6)</f>
        <v>1.0086440196078432</v>
      </c>
      <c r="O6" s="17">
        <f>((1+L6)-'1 - Caso e ipotesi'!$B$24*MAX(I6,0)-'1 - Caso e ipotesi'!$B$26*(1+L6))/(1+C6)</f>
        <v>1.0086440196078432</v>
      </c>
      <c r="P6" s="17">
        <f>((1+M6)-'1 - Caso e ipotesi'!$B$25*MAX(M6,0)-'1 - Caso e ipotesi'!$B$26*(1+M6))/(1+C6)</f>
        <v>1.0048992360784315</v>
      </c>
      <c r="Q6" s="17">
        <f>(1+G6)*(1-'1 - Caso e ipotesi'!$B$26)</f>
        <v>1.03792</v>
      </c>
    </row>
    <row r="7" spans="1:17">
      <c r="A7" s="18">
        <v>2</v>
      </c>
      <c r="B7" s="19">
        <f>IF(AND('1 - Caso e ipotesi'!$B$38&gt;0,A7&gt;='1 - Caso e ipotesi'!$B$39,A7&lt;'1 - Caso e ipotesi'!$B$39+'1 - Caso e ipotesi'!$B$40),1,0)</f>
        <v>0</v>
      </c>
      <c r="C7" s="15">
        <f>IF(B7=1,INDEX('1 - Caso e ipotesi'!$B$47:$B$49,'1 - Caso e ipotesi'!$B$38),IF(A7&lt;='1 - Caso e ipotesi'!$B$43,'1 - Caso e ipotesi'!$B$42,'1 - Caso e ipotesi'!$B$22))</f>
        <v>0.02</v>
      </c>
      <c r="D7" s="15">
        <f>IF(B7=1,INDEX('1 - Caso e ipotesi'!$C$47:$C$49,'1 - Caso e ipotesi'!$B$38),IF(A7&lt;='1 - Caso e ipotesi'!$B$41,(1+'1 - Caso e ipotesi'!$B$34)/(1+C7)-1,'1 - Caso e ipotesi'!$B$19))</f>
        <v>1.4999999999999999E-2</v>
      </c>
      <c r="E7" s="15">
        <f>IF(B7=1,'1 - Caso e ipotesi'!$B$44,IF(A7&lt;='1 - Caso e ipotesi'!$B$41,'1 - Caso e ipotesi'!$B$35,'1 - Caso e ipotesi'!$B$20))</f>
        <v>1.4999999999999999E-2</v>
      </c>
      <c r="F7" s="15">
        <f>IF(B7=1,INDEX('1 - Caso e ipotesi'!$C$47:$C$49,'1 - Caso e ipotesi'!$B$38)+'2 - Rendimenti netti'!$B$30,IF(A7&lt;='1 - Caso e ipotesi'!$B$41,(1+'1 - Caso e ipotesi'!$B$36)/(1+C7)-1,'1 - Caso e ipotesi'!$B$19+'2 - Rendimenti netti'!$B$30))</f>
        <v>3.4313725490196054E-2</v>
      </c>
      <c r="G7" s="15">
        <f>IF(B7=1,INDEX('1 - Caso e ipotesi'!$D$47:$D$49,'1 - Caso e ipotesi'!$B$38),'1 - Caso e ipotesi'!$B$18)</f>
        <v>0.04</v>
      </c>
      <c r="H7" s="15">
        <f t="shared" si="0"/>
        <v>3.5299999999999887E-2</v>
      </c>
      <c r="I7" s="15">
        <f t="shared" si="1"/>
        <v>3.5299999999999887E-2</v>
      </c>
      <c r="J7" s="15">
        <f>(1+F7)*(1+C7)-1-'1 - Caso e ipotesi'!$B$31</f>
        <v>5.4999999999999938E-2</v>
      </c>
      <c r="K7" s="15">
        <f t="shared" si="2"/>
        <v>3.5299999999999887E-2</v>
      </c>
      <c r="L7" s="15">
        <f t="shared" si="3"/>
        <v>3.5299999999999887E-2</v>
      </c>
      <c r="M7" s="15">
        <f>J7-'1 - Caso e ipotesi'!$B$32</f>
        <v>3.6581599999999936E-2</v>
      </c>
      <c r="N7" s="17">
        <f>((1+K7)-'1 - Caso e ipotesi'!$B$24*MAX(H7,0)-'1 - Caso e ipotesi'!$B$26*(1+K7))/(1+C7)</f>
        <v>1.0086440196078432</v>
      </c>
      <c r="O7" s="17">
        <f>((1+L7)-'1 - Caso e ipotesi'!$B$24*MAX(I7,0)-'1 - Caso e ipotesi'!$B$26*(1+L7))/(1+C7)</f>
        <v>1.0086440196078432</v>
      </c>
      <c r="P7" s="17">
        <f>((1+M7)-'1 - Caso e ipotesi'!$B$25*MAX(M7,0)-'1 - Caso e ipotesi'!$B$26*(1+M7))/(1+C7)</f>
        <v>1.0048992360784315</v>
      </c>
      <c r="Q7" s="17">
        <f>(1+G7)*(1-'1 - Caso e ipotesi'!$B$26)</f>
        <v>1.03792</v>
      </c>
    </row>
    <row r="8" spans="1:17">
      <c r="A8" s="18">
        <v>3</v>
      </c>
      <c r="B8" s="19">
        <f>IF(AND('1 - Caso e ipotesi'!$B$38&gt;0,A8&gt;='1 - Caso e ipotesi'!$B$39,A8&lt;'1 - Caso e ipotesi'!$B$39+'1 - Caso e ipotesi'!$B$40),1,0)</f>
        <v>0</v>
      </c>
      <c r="C8" s="15">
        <f>IF(B8=1,INDEX('1 - Caso e ipotesi'!$B$47:$B$49,'1 - Caso e ipotesi'!$B$38),IF(A8&lt;='1 - Caso e ipotesi'!$B$43,'1 - Caso e ipotesi'!$B$42,'1 - Caso e ipotesi'!$B$22))</f>
        <v>0.02</v>
      </c>
      <c r="D8" s="15">
        <f>IF(B8=1,INDEX('1 - Caso e ipotesi'!$C$47:$C$49,'1 - Caso e ipotesi'!$B$38),IF(A8&lt;='1 - Caso e ipotesi'!$B$41,(1+'1 - Caso e ipotesi'!$B$34)/(1+C8)-1,'1 - Caso e ipotesi'!$B$19))</f>
        <v>1.4999999999999999E-2</v>
      </c>
      <c r="E8" s="15">
        <f>IF(B8=1,'1 - Caso e ipotesi'!$B$44,IF(A8&lt;='1 - Caso e ipotesi'!$B$41,'1 - Caso e ipotesi'!$B$35,'1 - Caso e ipotesi'!$B$20))</f>
        <v>1.4999999999999999E-2</v>
      </c>
      <c r="F8" s="15">
        <f>IF(B8=1,INDEX('1 - Caso e ipotesi'!$C$47:$C$49,'1 - Caso e ipotesi'!$B$38)+'2 - Rendimenti netti'!$B$30,IF(A8&lt;='1 - Caso e ipotesi'!$B$41,(1+'1 - Caso e ipotesi'!$B$36)/(1+C8)-1,'1 - Caso e ipotesi'!$B$19+'2 - Rendimenti netti'!$B$30))</f>
        <v>3.4313725490196054E-2</v>
      </c>
      <c r="G8" s="15">
        <f>IF(B8=1,INDEX('1 - Caso e ipotesi'!$D$47:$D$49,'1 - Caso e ipotesi'!$B$38),'1 - Caso e ipotesi'!$B$18)</f>
        <v>0.04</v>
      </c>
      <c r="H8" s="15">
        <f t="shared" si="0"/>
        <v>3.5299999999999887E-2</v>
      </c>
      <c r="I8" s="15">
        <f t="shared" si="1"/>
        <v>3.5299999999999887E-2</v>
      </c>
      <c r="J8" s="15">
        <f>(1+F8)*(1+C8)-1-'1 - Caso e ipotesi'!$B$31</f>
        <v>5.4999999999999938E-2</v>
      </c>
      <c r="K8" s="15">
        <f t="shared" si="2"/>
        <v>3.5299999999999887E-2</v>
      </c>
      <c r="L8" s="15">
        <f t="shared" si="3"/>
        <v>3.5299999999999887E-2</v>
      </c>
      <c r="M8" s="15">
        <f>J8-'1 - Caso e ipotesi'!$B$32</f>
        <v>3.6581599999999936E-2</v>
      </c>
      <c r="N8" s="17">
        <f>((1+K8)-'1 - Caso e ipotesi'!$B$24*MAX(H8,0)-'1 - Caso e ipotesi'!$B$26*(1+K8))/(1+C8)</f>
        <v>1.0086440196078432</v>
      </c>
      <c r="O8" s="17">
        <f>((1+L8)-'1 - Caso e ipotesi'!$B$24*MAX(I8,0)-'1 - Caso e ipotesi'!$B$26*(1+L8))/(1+C8)</f>
        <v>1.0086440196078432</v>
      </c>
      <c r="P8" s="17">
        <f>((1+M8)-'1 - Caso e ipotesi'!$B$25*MAX(M8,0)-'1 - Caso e ipotesi'!$B$26*(1+M8))/(1+C8)</f>
        <v>1.0048992360784315</v>
      </c>
      <c r="Q8" s="17">
        <f>(1+G8)*(1-'1 - Caso e ipotesi'!$B$26)</f>
        <v>1.03792</v>
      </c>
    </row>
    <row r="9" spans="1:17">
      <c r="A9" s="18">
        <v>4</v>
      </c>
      <c r="B9" s="19">
        <f>IF(AND('1 - Caso e ipotesi'!$B$38&gt;0,A9&gt;='1 - Caso e ipotesi'!$B$39,A9&lt;'1 - Caso e ipotesi'!$B$39+'1 - Caso e ipotesi'!$B$40),1,0)</f>
        <v>0</v>
      </c>
      <c r="C9" s="15">
        <f>IF(B9=1,INDEX('1 - Caso e ipotesi'!$B$47:$B$49,'1 - Caso e ipotesi'!$B$38),IF(A9&lt;='1 - Caso e ipotesi'!$B$43,'1 - Caso e ipotesi'!$B$42,'1 - Caso e ipotesi'!$B$22))</f>
        <v>0.02</v>
      </c>
      <c r="D9" s="15">
        <f>IF(B9=1,INDEX('1 - Caso e ipotesi'!$C$47:$C$49,'1 - Caso e ipotesi'!$B$38),IF(A9&lt;='1 - Caso e ipotesi'!$B$41,(1+'1 - Caso e ipotesi'!$B$34)/(1+C9)-1,'1 - Caso e ipotesi'!$B$19))</f>
        <v>1.4999999999999999E-2</v>
      </c>
      <c r="E9" s="15">
        <f>IF(B9=1,'1 - Caso e ipotesi'!$B$44,IF(A9&lt;='1 - Caso e ipotesi'!$B$41,'1 - Caso e ipotesi'!$B$35,'1 - Caso e ipotesi'!$B$20))</f>
        <v>1.4999999999999999E-2</v>
      </c>
      <c r="F9" s="15">
        <f>IF(B9=1,INDEX('1 - Caso e ipotesi'!$C$47:$C$49,'1 - Caso e ipotesi'!$B$38)+'2 - Rendimenti netti'!$B$30,IF(A9&lt;='1 - Caso e ipotesi'!$B$41,(1+'1 - Caso e ipotesi'!$B$36)/(1+C9)-1,'1 - Caso e ipotesi'!$B$19+'2 - Rendimenti netti'!$B$30))</f>
        <v>3.4313725490196054E-2</v>
      </c>
      <c r="G9" s="15">
        <f>IF(B9=1,INDEX('1 - Caso e ipotesi'!$D$47:$D$49,'1 - Caso e ipotesi'!$B$38),'1 - Caso e ipotesi'!$B$18)</f>
        <v>0.04</v>
      </c>
      <c r="H9" s="15">
        <f t="shared" si="0"/>
        <v>3.5299999999999887E-2</v>
      </c>
      <c r="I9" s="15">
        <f t="shared" si="1"/>
        <v>3.5299999999999887E-2</v>
      </c>
      <c r="J9" s="15">
        <f>(1+F9)*(1+C9)-1-'1 - Caso e ipotesi'!$B$31</f>
        <v>5.4999999999999938E-2</v>
      </c>
      <c r="K9" s="15">
        <f t="shared" si="2"/>
        <v>3.5299999999999887E-2</v>
      </c>
      <c r="L9" s="15">
        <f t="shared" si="3"/>
        <v>3.5299999999999887E-2</v>
      </c>
      <c r="M9" s="15">
        <f>J9-'1 - Caso e ipotesi'!$B$32</f>
        <v>3.6581599999999936E-2</v>
      </c>
      <c r="N9" s="17">
        <f>((1+K9)-'1 - Caso e ipotesi'!$B$24*MAX(H9,0)-'1 - Caso e ipotesi'!$B$26*(1+K9))/(1+C9)</f>
        <v>1.0086440196078432</v>
      </c>
      <c r="O9" s="17">
        <f>((1+L9)-'1 - Caso e ipotesi'!$B$24*MAX(I9,0)-'1 - Caso e ipotesi'!$B$26*(1+L9))/(1+C9)</f>
        <v>1.0086440196078432</v>
      </c>
      <c r="P9" s="17">
        <f>((1+M9)-'1 - Caso e ipotesi'!$B$25*MAX(M9,0)-'1 - Caso e ipotesi'!$B$26*(1+M9))/(1+C9)</f>
        <v>1.0048992360784315</v>
      </c>
      <c r="Q9" s="17">
        <f>(1+G9)*(1-'1 - Caso e ipotesi'!$B$26)</f>
        <v>1.03792</v>
      </c>
    </row>
    <row r="10" spans="1:17">
      <c r="A10" s="18">
        <v>5</v>
      </c>
      <c r="B10" s="19">
        <f>IF(AND('1 - Caso e ipotesi'!$B$38&gt;0,A10&gt;='1 - Caso e ipotesi'!$B$39,A10&lt;'1 - Caso e ipotesi'!$B$39+'1 - Caso e ipotesi'!$B$40),1,0)</f>
        <v>0</v>
      </c>
      <c r="C10" s="15">
        <f>IF(B10=1,INDEX('1 - Caso e ipotesi'!$B$47:$B$49,'1 - Caso e ipotesi'!$B$38),IF(A10&lt;='1 - Caso e ipotesi'!$B$43,'1 - Caso e ipotesi'!$B$42,'1 - Caso e ipotesi'!$B$22))</f>
        <v>0.02</v>
      </c>
      <c r="D10" s="15">
        <f>IF(B10=1,INDEX('1 - Caso e ipotesi'!$C$47:$C$49,'1 - Caso e ipotesi'!$B$38),IF(A10&lt;='1 - Caso e ipotesi'!$B$41,(1+'1 - Caso e ipotesi'!$B$34)/(1+C10)-1,'1 - Caso e ipotesi'!$B$19))</f>
        <v>1.4999999999999999E-2</v>
      </c>
      <c r="E10" s="15">
        <f>IF(B10=1,'1 - Caso e ipotesi'!$B$44,IF(A10&lt;='1 - Caso e ipotesi'!$B$41,'1 - Caso e ipotesi'!$B$35,'1 - Caso e ipotesi'!$B$20))</f>
        <v>1.4999999999999999E-2</v>
      </c>
      <c r="F10" s="15">
        <f>IF(B10=1,INDEX('1 - Caso e ipotesi'!$C$47:$C$49,'1 - Caso e ipotesi'!$B$38)+'2 - Rendimenti netti'!$B$30,IF(A10&lt;='1 - Caso e ipotesi'!$B$41,(1+'1 - Caso e ipotesi'!$B$36)/(1+C10)-1,'1 - Caso e ipotesi'!$B$19+'2 - Rendimenti netti'!$B$30))</f>
        <v>3.4313725490196054E-2</v>
      </c>
      <c r="G10" s="15">
        <f>IF(B10=1,INDEX('1 - Caso e ipotesi'!$D$47:$D$49,'1 - Caso e ipotesi'!$B$38),'1 - Caso e ipotesi'!$B$18)</f>
        <v>0.04</v>
      </c>
      <c r="H10" s="15">
        <f t="shared" si="0"/>
        <v>3.5299999999999887E-2</v>
      </c>
      <c r="I10" s="15">
        <f t="shared" si="1"/>
        <v>3.5299999999999887E-2</v>
      </c>
      <c r="J10" s="15">
        <f>(1+F10)*(1+C10)-1-'1 - Caso e ipotesi'!$B$31</f>
        <v>5.4999999999999938E-2</v>
      </c>
      <c r="K10" s="15">
        <f t="shared" si="2"/>
        <v>3.5299999999999887E-2</v>
      </c>
      <c r="L10" s="15">
        <f t="shared" si="3"/>
        <v>3.5299999999999887E-2</v>
      </c>
      <c r="M10" s="15">
        <f>J10-'1 - Caso e ipotesi'!$B$32</f>
        <v>3.6581599999999936E-2</v>
      </c>
      <c r="N10" s="17">
        <f>((1+K10)-'1 - Caso e ipotesi'!$B$24*MAX(H10,0)-'1 - Caso e ipotesi'!$B$26*(1+K10))/(1+C10)</f>
        <v>1.0086440196078432</v>
      </c>
      <c r="O10" s="17">
        <f>((1+L10)-'1 - Caso e ipotesi'!$B$24*MAX(I10,0)-'1 - Caso e ipotesi'!$B$26*(1+L10))/(1+C10)</f>
        <v>1.0086440196078432</v>
      </c>
      <c r="P10" s="17">
        <f>((1+M10)-'1 - Caso e ipotesi'!$B$25*MAX(M10,0)-'1 - Caso e ipotesi'!$B$26*(1+M10))/(1+C10)</f>
        <v>1.0048992360784315</v>
      </c>
      <c r="Q10" s="17">
        <f>(1+G10)*(1-'1 - Caso e ipotesi'!$B$26)</f>
        <v>1.03792</v>
      </c>
    </row>
    <row r="11" spans="1:17">
      <c r="A11" s="18">
        <v>6</v>
      </c>
      <c r="B11" s="19">
        <f>IF(AND('1 - Caso e ipotesi'!$B$38&gt;0,A11&gt;='1 - Caso e ipotesi'!$B$39,A11&lt;'1 - Caso e ipotesi'!$B$39+'1 - Caso e ipotesi'!$B$40),1,0)</f>
        <v>0</v>
      </c>
      <c r="C11" s="15">
        <f>IF(B11=1,INDEX('1 - Caso e ipotesi'!$B$47:$B$49,'1 - Caso e ipotesi'!$B$38),IF(A11&lt;='1 - Caso e ipotesi'!$B$43,'1 - Caso e ipotesi'!$B$42,'1 - Caso e ipotesi'!$B$22))</f>
        <v>0.02</v>
      </c>
      <c r="D11" s="15">
        <f>IF(B11=1,INDEX('1 - Caso e ipotesi'!$C$47:$C$49,'1 - Caso e ipotesi'!$B$38),IF(A11&lt;='1 - Caso e ipotesi'!$B$41,(1+'1 - Caso e ipotesi'!$B$34)/(1+C11)-1,'1 - Caso e ipotesi'!$B$19))</f>
        <v>1.4999999999999999E-2</v>
      </c>
      <c r="E11" s="15">
        <f>IF(B11=1,'1 - Caso e ipotesi'!$B$44,IF(A11&lt;='1 - Caso e ipotesi'!$B$41,'1 - Caso e ipotesi'!$B$35,'1 - Caso e ipotesi'!$B$20))</f>
        <v>1.4999999999999999E-2</v>
      </c>
      <c r="F11" s="15">
        <f>IF(B11=1,INDEX('1 - Caso e ipotesi'!$C$47:$C$49,'1 - Caso e ipotesi'!$B$38)+'2 - Rendimenti netti'!$B$30,IF(A11&lt;='1 - Caso e ipotesi'!$B$41,(1+'1 - Caso e ipotesi'!$B$36)/(1+C11)-1,'1 - Caso e ipotesi'!$B$19+'2 - Rendimenti netti'!$B$30))</f>
        <v>3.4313725490196054E-2</v>
      </c>
      <c r="G11" s="15">
        <f>IF(B11=1,INDEX('1 - Caso e ipotesi'!$D$47:$D$49,'1 - Caso e ipotesi'!$B$38),'1 - Caso e ipotesi'!$B$18)</f>
        <v>0.04</v>
      </c>
      <c r="H11" s="15">
        <f t="shared" si="0"/>
        <v>3.5299999999999887E-2</v>
      </c>
      <c r="I11" s="15">
        <f t="shared" si="1"/>
        <v>3.5299999999999887E-2</v>
      </c>
      <c r="J11" s="15">
        <f>(1+F11)*(1+C11)-1-'1 - Caso e ipotesi'!$B$31</f>
        <v>5.4999999999999938E-2</v>
      </c>
      <c r="K11" s="15">
        <f t="shared" si="2"/>
        <v>3.5299999999999887E-2</v>
      </c>
      <c r="L11" s="15">
        <f t="shared" si="3"/>
        <v>3.5299999999999887E-2</v>
      </c>
      <c r="M11" s="15">
        <f>J11-'1 - Caso e ipotesi'!$B$32</f>
        <v>3.6581599999999936E-2</v>
      </c>
      <c r="N11" s="17">
        <f>((1+K11)-'1 - Caso e ipotesi'!$B$24*MAX(H11,0)-'1 - Caso e ipotesi'!$B$26*(1+K11))/(1+C11)</f>
        <v>1.0086440196078432</v>
      </c>
      <c r="O11" s="17">
        <f>((1+L11)-'1 - Caso e ipotesi'!$B$24*MAX(I11,0)-'1 - Caso e ipotesi'!$B$26*(1+L11))/(1+C11)</f>
        <v>1.0086440196078432</v>
      </c>
      <c r="P11" s="17">
        <f>((1+M11)-'1 - Caso e ipotesi'!$B$25*MAX(M11,0)-'1 - Caso e ipotesi'!$B$26*(1+M11))/(1+C11)</f>
        <v>1.0048992360784315</v>
      </c>
      <c r="Q11" s="17">
        <f>(1+G11)*(1-'1 - Caso e ipotesi'!$B$26)</f>
        <v>1.03792</v>
      </c>
    </row>
    <row r="12" spans="1:17">
      <c r="A12" s="18">
        <v>7</v>
      </c>
      <c r="B12" s="19">
        <f>IF(AND('1 - Caso e ipotesi'!$B$38&gt;0,A12&gt;='1 - Caso e ipotesi'!$B$39,A12&lt;'1 - Caso e ipotesi'!$B$39+'1 - Caso e ipotesi'!$B$40),1,0)</f>
        <v>0</v>
      </c>
      <c r="C12" s="15">
        <f>IF(B12=1,INDEX('1 - Caso e ipotesi'!$B$47:$B$49,'1 - Caso e ipotesi'!$B$38),IF(A12&lt;='1 - Caso e ipotesi'!$B$43,'1 - Caso e ipotesi'!$B$42,'1 - Caso e ipotesi'!$B$22))</f>
        <v>0.02</v>
      </c>
      <c r="D12" s="15">
        <f>IF(B12=1,INDEX('1 - Caso e ipotesi'!$C$47:$C$49,'1 - Caso e ipotesi'!$B$38),IF(A12&lt;='1 - Caso e ipotesi'!$B$41,(1+'1 - Caso e ipotesi'!$B$34)/(1+C12)-1,'1 - Caso e ipotesi'!$B$19))</f>
        <v>1.4999999999999999E-2</v>
      </c>
      <c r="E12" s="15">
        <f>IF(B12=1,'1 - Caso e ipotesi'!$B$44,IF(A12&lt;='1 - Caso e ipotesi'!$B$41,'1 - Caso e ipotesi'!$B$35,'1 - Caso e ipotesi'!$B$20))</f>
        <v>1.4999999999999999E-2</v>
      </c>
      <c r="F12" s="15">
        <f>IF(B12=1,INDEX('1 - Caso e ipotesi'!$C$47:$C$49,'1 - Caso e ipotesi'!$B$38)+'2 - Rendimenti netti'!$B$30,IF(A12&lt;='1 - Caso e ipotesi'!$B$41,(1+'1 - Caso e ipotesi'!$B$36)/(1+C12)-1,'1 - Caso e ipotesi'!$B$19+'2 - Rendimenti netti'!$B$30))</f>
        <v>3.4313725490196054E-2</v>
      </c>
      <c r="G12" s="15">
        <f>IF(B12=1,INDEX('1 - Caso e ipotesi'!$D$47:$D$49,'1 - Caso e ipotesi'!$B$38),'1 - Caso e ipotesi'!$B$18)</f>
        <v>0.04</v>
      </c>
      <c r="H12" s="15">
        <f t="shared" si="0"/>
        <v>3.5299999999999887E-2</v>
      </c>
      <c r="I12" s="15">
        <f t="shared" si="1"/>
        <v>3.5299999999999887E-2</v>
      </c>
      <c r="J12" s="15">
        <f>(1+F12)*(1+C12)-1-'1 - Caso e ipotesi'!$B$31</f>
        <v>5.4999999999999938E-2</v>
      </c>
      <c r="K12" s="15">
        <f t="shared" si="2"/>
        <v>3.5299999999999887E-2</v>
      </c>
      <c r="L12" s="15">
        <f t="shared" si="3"/>
        <v>3.5299999999999887E-2</v>
      </c>
      <c r="M12" s="15">
        <f>J12-'1 - Caso e ipotesi'!$B$32</f>
        <v>3.6581599999999936E-2</v>
      </c>
      <c r="N12" s="17">
        <f>((1+K12)-'1 - Caso e ipotesi'!$B$24*MAX(H12,0)-'1 - Caso e ipotesi'!$B$26*(1+K12))/(1+C12)</f>
        <v>1.0086440196078432</v>
      </c>
      <c r="O12" s="17">
        <f>((1+L12)-'1 - Caso e ipotesi'!$B$24*MAX(I12,0)-'1 - Caso e ipotesi'!$B$26*(1+L12))/(1+C12)</f>
        <v>1.0086440196078432</v>
      </c>
      <c r="P12" s="17">
        <f>((1+M12)-'1 - Caso e ipotesi'!$B$25*MAX(M12,0)-'1 - Caso e ipotesi'!$B$26*(1+M12))/(1+C12)</f>
        <v>1.0048992360784315</v>
      </c>
      <c r="Q12" s="17">
        <f>(1+G12)*(1-'1 - Caso e ipotesi'!$B$26)</f>
        <v>1.03792</v>
      </c>
    </row>
    <row r="13" spans="1:17">
      <c r="A13" s="18">
        <v>8</v>
      </c>
      <c r="B13" s="19">
        <f>IF(AND('1 - Caso e ipotesi'!$B$38&gt;0,A13&gt;='1 - Caso e ipotesi'!$B$39,A13&lt;'1 - Caso e ipotesi'!$B$39+'1 - Caso e ipotesi'!$B$40),1,0)</f>
        <v>0</v>
      </c>
      <c r="C13" s="15">
        <f>IF(B13=1,INDEX('1 - Caso e ipotesi'!$B$47:$B$49,'1 - Caso e ipotesi'!$B$38),IF(A13&lt;='1 - Caso e ipotesi'!$B$43,'1 - Caso e ipotesi'!$B$42,'1 - Caso e ipotesi'!$B$22))</f>
        <v>0.02</v>
      </c>
      <c r="D13" s="15">
        <f>IF(B13=1,INDEX('1 - Caso e ipotesi'!$C$47:$C$49,'1 - Caso e ipotesi'!$B$38),IF(A13&lt;='1 - Caso e ipotesi'!$B$41,(1+'1 - Caso e ipotesi'!$B$34)/(1+C13)-1,'1 - Caso e ipotesi'!$B$19))</f>
        <v>1.4999999999999999E-2</v>
      </c>
      <c r="E13" s="15">
        <f>IF(B13=1,'1 - Caso e ipotesi'!$B$44,IF(A13&lt;='1 - Caso e ipotesi'!$B$41,'1 - Caso e ipotesi'!$B$35,'1 - Caso e ipotesi'!$B$20))</f>
        <v>1.4999999999999999E-2</v>
      </c>
      <c r="F13" s="15">
        <f>IF(B13=1,INDEX('1 - Caso e ipotesi'!$C$47:$C$49,'1 - Caso e ipotesi'!$B$38)+'2 - Rendimenti netti'!$B$30,IF(A13&lt;='1 - Caso e ipotesi'!$B$41,(1+'1 - Caso e ipotesi'!$B$36)/(1+C13)-1,'1 - Caso e ipotesi'!$B$19+'2 - Rendimenti netti'!$B$30))</f>
        <v>3.4313725490196054E-2</v>
      </c>
      <c r="G13" s="15">
        <f>IF(B13=1,INDEX('1 - Caso e ipotesi'!$D$47:$D$49,'1 - Caso e ipotesi'!$B$38),'1 - Caso e ipotesi'!$B$18)</f>
        <v>0.04</v>
      </c>
      <c r="H13" s="15">
        <f t="shared" si="0"/>
        <v>3.5299999999999887E-2</v>
      </c>
      <c r="I13" s="15">
        <f t="shared" si="1"/>
        <v>3.5299999999999887E-2</v>
      </c>
      <c r="J13" s="15">
        <f>(1+F13)*(1+C13)-1-'1 - Caso e ipotesi'!$B$31</f>
        <v>5.4999999999999938E-2</v>
      </c>
      <c r="K13" s="15">
        <f t="shared" si="2"/>
        <v>3.5299999999999887E-2</v>
      </c>
      <c r="L13" s="15">
        <f t="shared" si="3"/>
        <v>3.5299999999999887E-2</v>
      </c>
      <c r="M13" s="15">
        <f>J13-'1 - Caso e ipotesi'!$B$32</f>
        <v>3.6581599999999936E-2</v>
      </c>
      <c r="N13" s="17">
        <f>((1+K13)-'1 - Caso e ipotesi'!$B$24*MAX(H13,0)-'1 - Caso e ipotesi'!$B$26*(1+K13))/(1+C13)</f>
        <v>1.0086440196078432</v>
      </c>
      <c r="O13" s="17">
        <f>((1+L13)-'1 - Caso e ipotesi'!$B$24*MAX(I13,0)-'1 - Caso e ipotesi'!$B$26*(1+L13))/(1+C13)</f>
        <v>1.0086440196078432</v>
      </c>
      <c r="P13" s="17">
        <f>((1+M13)-'1 - Caso e ipotesi'!$B$25*MAX(M13,0)-'1 - Caso e ipotesi'!$B$26*(1+M13))/(1+C13)</f>
        <v>1.0048992360784315</v>
      </c>
      <c r="Q13" s="17">
        <f>(1+G13)*(1-'1 - Caso e ipotesi'!$B$26)</f>
        <v>1.03792</v>
      </c>
    </row>
    <row r="14" spans="1:17">
      <c r="A14" s="18">
        <v>9</v>
      </c>
      <c r="B14" s="19">
        <f>IF(AND('1 - Caso e ipotesi'!$B$38&gt;0,A14&gt;='1 - Caso e ipotesi'!$B$39,A14&lt;'1 - Caso e ipotesi'!$B$39+'1 - Caso e ipotesi'!$B$40),1,0)</f>
        <v>0</v>
      </c>
      <c r="C14" s="15">
        <f>IF(B14=1,INDEX('1 - Caso e ipotesi'!$B$47:$B$49,'1 - Caso e ipotesi'!$B$38),IF(A14&lt;='1 - Caso e ipotesi'!$B$43,'1 - Caso e ipotesi'!$B$42,'1 - Caso e ipotesi'!$B$22))</f>
        <v>0.02</v>
      </c>
      <c r="D14" s="15">
        <f>IF(B14=1,INDEX('1 - Caso e ipotesi'!$C$47:$C$49,'1 - Caso e ipotesi'!$B$38),IF(A14&lt;='1 - Caso e ipotesi'!$B$41,(1+'1 - Caso e ipotesi'!$B$34)/(1+C14)-1,'1 - Caso e ipotesi'!$B$19))</f>
        <v>1.4999999999999999E-2</v>
      </c>
      <c r="E14" s="15">
        <f>IF(B14=1,'1 - Caso e ipotesi'!$B$44,IF(A14&lt;='1 - Caso e ipotesi'!$B$41,'1 - Caso e ipotesi'!$B$35,'1 - Caso e ipotesi'!$B$20))</f>
        <v>1.4999999999999999E-2</v>
      </c>
      <c r="F14" s="15">
        <f>IF(B14=1,INDEX('1 - Caso e ipotesi'!$C$47:$C$49,'1 - Caso e ipotesi'!$B$38)+'2 - Rendimenti netti'!$B$30,IF(A14&lt;='1 - Caso e ipotesi'!$B$41,(1+'1 - Caso e ipotesi'!$B$36)/(1+C14)-1,'1 - Caso e ipotesi'!$B$19+'2 - Rendimenti netti'!$B$30))</f>
        <v>3.4313725490196054E-2</v>
      </c>
      <c r="G14" s="15">
        <f>IF(B14=1,INDEX('1 - Caso e ipotesi'!$D$47:$D$49,'1 - Caso e ipotesi'!$B$38),'1 - Caso e ipotesi'!$B$18)</f>
        <v>0.04</v>
      </c>
      <c r="H14" s="15">
        <f t="shared" si="0"/>
        <v>3.5299999999999887E-2</v>
      </c>
      <c r="I14" s="15">
        <f t="shared" si="1"/>
        <v>3.5299999999999887E-2</v>
      </c>
      <c r="J14" s="15">
        <f>(1+F14)*(1+C14)-1-'1 - Caso e ipotesi'!$B$31</f>
        <v>5.4999999999999938E-2</v>
      </c>
      <c r="K14" s="15">
        <f t="shared" si="2"/>
        <v>3.5299999999999887E-2</v>
      </c>
      <c r="L14" s="15">
        <f t="shared" si="3"/>
        <v>3.5299999999999887E-2</v>
      </c>
      <c r="M14" s="15">
        <f>J14-'1 - Caso e ipotesi'!$B$32</f>
        <v>3.6581599999999936E-2</v>
      </c>
      <c r="N14" s="17">
        <f>((1+K14)-'1 - Caso e ipotesi'!$B$24*MAX(H14,0)-'1 - Caso e ipotesi'!$B$26*(1+K14))/(1+C14)</f>
        <v>1.0086440196078432</v>
      </c>
      <c r="O14" s="17">
        <f>((1+L14)-'1 - Caso e ipotesi'!$B$24*MAX(I14,0)-'1 - Caso e ipotesi'!$B$26*(1+L14))/(1+C14)</f>
        <v>1.0086440196078432</v>
      </c>
      <c r="P14" s="17">
        <f>((1+M14)-'1 - Caso e ipotesi'!$B$25*MAX(M14,0)-'1 - Caso e ipotesi'!$B$26*(1+M14))/(1+C14)</f>
        <v>1.0048992360784315</v>
      </c>
      <c r="Q14" s="17">
        <f>(1+G14)*(1-'1 - Caso e ipotesi'!$B$26)</f>
        <v>1.03792</v>
      </c>
    </row>
    <row r="15" spans="1:17">
      <c r="A15" s="18">
        <v>10</v>
      </c>
      <c r="B15" s="19">
        <f>IF(AND('1 - Caso e ipotesi'!$B$38&gt;0,A15&gt;='1 - Caso e ipotesi'!$B$39,A15&lt;'1 - Caso e ipotesi'!$B$39+'1 - Caso e ipotesi'!$B$40),1,0)</f>
        <v>0</v>
      </c>
      <c r="C15" s="15">
        <f>IF(B15=1,INDEX('1 - Caso e ipotesi'!$B$47:$B$49,'1 - Caso e ipotesi'!$B$38),IF(A15&lt;='1 - Caso e ipotesi'!$B$43,'1 - Caso e ipotesi'!$B$42,'1 - Caso e ipotesi'!$B$22))</f>
        <v>0.02</v>
      </c>
      <c r="D15" s="15">
        <f>IF(B15=1,INDEX('1 - Caso e ipotesi'!$C$47:$C$49,'1 - Caso e ipotesi'!$B$38),IF(A15&lt;='1 - Caso e ipotesi'!$B$41,(1+'1 - Caso e ipotesi'!$B$34)/(1+C15)-1,'1 - Caso e ipotesi'!$B$19))</f>
        <v>1.4999999999999999E-2</v>
      </c>
      <c r="E15" s="15">
        <f>IF(B15=1,'1 - Caso e ipotesi'!$B$44,IF(A15&lt;='1 - Caso e ipotesi'!$B$41,'1 - Caso e ipotesi'!$B$35,'1 - Caso e ipotesi'!$B$20))</f>
        <v>1.4999999999999999E-2</v>
      </c>
      <c r="F15" s="15">
        <f>IF(B15=1,INDEX('1 - Caso e ipotesi'!$C$47:$C$49,'1 - Caso e ipotesi'!$B$38)+'2 - Rendimenti netti'!$B$30,IF(A15&lt;='1 - Caso e ipotesi'!$B$41,(1+'1 - Caso e ipotesi'!$B$36)/(1+C15)-1,'1 - Caso e ipotesi'!$B$19+'2 - Rendimenti netti'!$B$30))</f>
        <v>3.4313725490196054E-2</v>
      </c>
      <c r="G15" s="15">
        <f>IF(B15=1,INDEX('1 - Caso e ipotesi'!$D$47:$D$49,'1 - Caso e ipotesi'!$B$38),'1 - Caso e ipotesi'!$B$18)</f>
        <v>0.04</v>
      </c>
      <c r="H15" s="15">
        <f t="shared" si="0"/>
        <v>3.5299999999999887E-2</v>
      </c>
      <c r="I15" s="15">
        <f t="shared" si="1"/>
        <v>3.5299999999999887E-2</v>
      </c>
      <c r="J15" s="15">
        <f>(1+F15)*(1+C15)-1-'1 - Caso e ipotesi'!$B$31</f>
        <v>5.4999999999999938E-2</v>
      </c>
      <c r="K15" s="15">
        <f t="shared" si="2"/>
        <v>3.5299999999999887E-2</v>
      </c>
      <c r="L15" s="15">
        <f t="shared" si="3"/>
        <v>3.5299999999999887E-2</v>
      </c>
      <c r="M15" s="15">
        <f>J15-'1 - Caso e ipotesi'!$B$32</f>
        <v>3.6581599999999936E-2</v>
      </c>
      <c r="N15" s="17">
        <f>((1+K15)-'1 - Caso e ipotesi'!$B$24*MAX(H15,0)-'1 - Caso e ipotesi'!$B$26*(1+K15))/(1+C15)</f>
        <v>1.0086440196078432</v>
      </c>
      <c r="O15" s="17">
        <f>((1+L15)-'1 - Caso e ipotesi'!$B$24*MAX(I15,0)-'1 - Caso e ipotesi'!$B$26*(1+L15))/(1+C15)</f>
        <v>1.0086440196078432</v>
      </c>
      <c r="P15" s="17">
        <f>((1+M15)-'1 - Caso e ipotesi'!$B$25*MAX(M15,0)-'1 - Caso e ipotesi'!$B$26*(1+M15))/(1+C15)</f>
        <v>1.0048992360784315</v>
      </c>
      <c r="Q15" s="17">
        <f>(1+G15)*(1-'1 - Caso e ipotesi'!$B$26)</f>
        <v>1.03792</v>
      </c>
    </row>
    <row r="16" spans="1:17">
      <c r="A16" s="18">
        <v>11</v>
      </c>
      <c r="B16" s="19">
        <f>IF(AND('1 - Caso e ipotesi'!$B$38&gt;0,A16&gt;='1 - Caso e ipotesi'!$B$39,A16&lt;'1 - Caso e ipotesi'!$B$39+'1 - Caso e ipotesi'!$B$40),1,0)</f>
        <v>0</v>
      </c>
      <c r="C16" s="15">
        <f>IF(B16=1,INDEX('1 - Caso e ipotesi'!$B$47:$B$49,'1 - Caso e ipotesi'!$B$38),IF(A16&lt;='1 - Caso e ipotesi'!$B$43,'1 - Caso e ipotesi'!$B$42,'1 - Caso e ipotesi'!$B$22))</f>
        <v>0.02</v>
      </c>
      <c r="D16" s="15">
        <f>IF(B16=1,INDEX('1 - Caso e ipotesi'!$C$47:$C$49,'1 - Caso e ipotesi'!$B$38),IF(A16&lt;='1 - Caso e ipotesi'!$B$41,(1+'1 - Caso e ipotesi'!$B$34)/(1+C16)-1,'1 - Caso e ipotesi'!$B$19))</f>
        <v>1.4999999999999999E-2</v>
      </c>
      <c r="E16" s="15">
        <f>IF(B16=1,'1 - Caso e ipotesi'!$B$44,IF(A16&lt;='1 - Caso e ipotesi'!$B$41,'1 - Caso e ipotesi'!$B$35,'1 - Caso e ipotesi'!$B$20))</f>
        <v>1.4999999999999999E-2</v>
      </c>
      <c r="F16" s="15">
        <f>IF(B16=1,INDEX('1 - Caso e ipotesi'!$C$47:$C$49,'1 - Caso e ipotesi'!$B$38)+'2 - Rendimenti netti'!$B$30,IF(A16&lt;='1 - Caso e ipotesi'!$B$41,(1+'1 - Caso e ipotesi'!$B$36)/(1+C16)-1,'1 - Caso e ipotesi'!$B$19+'2 - Rendimenti netti'!$B$30))</f>
        <v>3.4313725490196054E-2</v>
      </c>
      <c r="G16" s="15">
        <f>IF(B16=1,INDEX('1 - Caso e ipotesi'!$D$47:$D$49,'1 - Caso e ipotesi'!$B$38),'1 - Caso e ipotesi'!$B$18)</f>
        <v>0.04</v>
      </c>
      <c r="H16" s="15">
        <f t="shared" si="0"/>
        <v>3.5299999999999887E-2</v>
      </c>
      <c r="I16" s="15">
        <f t="shared" si="1"/>
        <v>3.5299999999999887E-2</v>
      </c>
      <c r="J16" s="15">
        <f>(1+F16)*(1+C16)-1-'1 - Caso e ipotesi'!$B$31</f>
        <v>5.4999999999999938E-2</v>
      </c>
      <c r="K16" s="15">
        <f t="shared" si="2"/>
        <v>3.5299999999999887E-2</v>
      </c>
      <c r="L16" s="15">
        <f t="shared" si="3"/>
        <v>3.5299999999999887E-2</v>
      </c>
      <c r="M16" s="15">
        <f>J16-'1 - Caso e ipotesi'!$B$32</f>
        <v>3.6581599999999936E-2</v>
      </c>
      <c r="N16" s="17">
        <f>((1+K16)-'1 - Caso e ipotesi'!$B$24*MAX(H16,0)-'1 - Caso e ipotesi'!$B$26*(1+K16))/(1+C16)</f>
        <v>1.0086440196078432</v>
      </c>
      <c r="O16" s="17">
        <f>((1+L16)-'1 - Caso e ipotesi'!$B$24*MAX(I16,0)-'1 - Caso e ipotesi'!$B$26*(1+L16))/(1+C16)</f>
        <v>1.0086440196078432</v>
      </c>
      <c r="P16" s="17">
        <f>((1+M16)-'1 - Caso e ipotesi'!$B$25*MAX(M16,0)-'1 - Caso e ipotesi'!$B$26*(1+M16))/(1+C16)</f>
        <v>1.0048992360784315</v>
      </c>
      <c r="Q16" s="17">
        <f>(1+G16)*(1-'1 - Caso e ipotesi'!$B$26)</f>
        <v>1.03792</v>
      </c>
    </row>
    <row r="17" spans="1:17">
      <c r="A17" s="18">
        <v>12</v>
      </c>
      <c r="B17" s="19">
        <f>IF(AND('1 - Caso e ipotesi'!$B$38&gt;0,A17&gt;='1 - Caso e ipotesi'!$B$39,A17&lt;'1 - Caso e ipotesi'!$B$39+'1 - Caso e ipotesi'!$B$40),1,0)</f>
        <v>0</v>
      </c>
      <c r="C17" s="15">
        <f>IF(B17=1,INDEX('1 - Caso e ipotesi'!$B$47:$B$49,'1 - Caso e ipotesi'!$B$38),IF(A17&lt;='1 - Caso e ipotesi'!$B$43,'1 - Caso e ipotesi'!$B$42,'1 - Caso e ipotesi'!$B$22))</f>
        <v>0.02</v>
      </c>
      <c r="D17" s="15">
        <f>IF(B17=1,INDEX('1 - Caso e ipotesi'!$C$47:$C$49,'1 - Caso e ipotesi'!$B$38),IF(A17&lt;='1 - Caso e ipotesi'!$B$41,(1+'1 - Caso e ipotesi'!$B$34)/(1+C17)-1,'1 - Caso e ipotesi'!$B$19))</f>
        <v>1.4999999999999999E-2</v>
      </c>
      <c r="E17" s="15">
        <f>IF(B17=1,'1 - Caso e ipotesi'!$B$44,IF(A17&lt;='1 - Caso e ipotesi'!$B$41,'1 - Caso e ipotesi'!$B$35,'1 - Caso e ipotesi'!$B$20))</f>
        <v>1.4999999999999999E-2</v>
      </c>
      <c r="F17" s="15">
        <f>IF(B17=1,INDEX('1 - Caso e ipotesi'!$C$47:$C$49,'1 - Caso e ipotesi'!$B$38)+'2 - Rendimenti netti'!$B$30,IF(A17&lt;='1 - Caso e ipotesi'!$B$41,(1+'1 - Caso e ipotesi'!$B$36)/(1+C17)-1,'1 - Caso e ipotesi'!$B$19+'2 - Rendimenti netti'!$B$30))</f>
        <v>3.4313725490196054E-2</v>
      </c>
      <c r="G17" s="15">
        <f>IF(B17=1,INDEX('1 - Caso e ipotesi'!$D$47:$D$49,'1 - Caso e ipotesi'!$B$38),'1 - Caso e ipotesi'!$B$18)</f>
        <v>0.04</v>
      </c>
      <c r="H17" s="15">
        <f t="shared" si="0"/>
        <v>3.5299999999999887E-2</v>
      </c>
      <c r="I17" s="15">
        <f t="shared" si="1"/>
        <v>3.5299999999999887E-2</v>
      </c>
      <c r="J17" s="15">
        <f>(1+F17)*(1+C17)-1-'1 - Caso e ipotesi'!$B$31</f>
        <v>5.4999999999999938E-2</v>
      </c>
      <c r="K17" s="15">
        <f t="shared" si="2"/>
        <v>3.5299999999999887E-2</v>
      </c>
      <c r="L17" s="15">
        <f t="shared" si="3"/>
        <v>3.5299999999999887E-2</v>
      </c>
      <c r="M17" s="15">
        <f>J17-'1 - Caso e ipotesi'!$B$32</f>
        <v>3.6581599999999936E-2</v>
      </c>
      <c r="N17" s="17">
        <f>((1+K17)-'1 - Caso e ipotesi'!$B$24*MAX(H17,0)-'1 - Caso e ipotesi'!$B$26*(1+K17))/(1+C17)</f>
        <v>1.0086440196078432</v>
      </c>
      <c r="O17" s="17">
        <f>((1+L17)-'1 - Caso e ipotesi'!$B$24*MAX(I17,0)-'1 - Caso e ipotesi'!$B$26*(1+L17))/(1+C17)</f>
        <v>1.0086440196078432</v>
      </c>
      <c r="P17" s="17">
        <f>((1+M17)-'1 - Caso e ipotesi'!$B$25*MAX(M17,0)-'1 - Caso e ipotesi'!$B$26*(1+M17))/(1+C17)</f>
        <v>1.0048992360784315</v>
      </c>
      <c r="Q17" s="17">
        <f>(1+G17)*(1-'1 - Caso e ipotesi'!$B$26)</f>
        <v>1.03792</v>
      </c>
    </row>
    <row r="18" spans="1:17">
      <c r="A18" s="18">
        <v>13</v>
      </c>
      <c r="B18" s="19">
        <f>IF(AND('1 - Caso e ipotesi'!$B$38&gt;0,A18&gt;='1 - Caso e ipotesi'!$B$39,A18&lt;'1 - Caso e ipotesi'!$B$39+'1 - Caso e ipotesi'!$B$40),1,0)</f>
        <v>0</v>
      </c>
      <c r="C18" s="15">
        <f>IF(B18=1,INDEX('1 - Caso e ipotesi'!$B$47:$B$49,'1 - Caso e ipotesi'!$B$38),IF(A18&lt;='1 - Caso e ipotesi'!$B$43,'1 - Caso e ipotesi'!$B$42,'1 - Caso e ipotesi'!$B$22))</f>
        <v>0.02</v>
      </c>
      <c r="D18" s="15">
        <f>IF(B18=1,INDEX('1 - Caso e ipotesi'!$C$47:$C$49,'1 - Caso e ipotesi'!$B$38),IF(A18&lt;='1 - Caso e ipotesi'!$B$41,(1+'1 - Caso e ipotesi'!$B$34)/(1+C18)-1,'1 - Caso e ipotesi'!$B$19))</f>
        <v>1.4999999999999999E-2</v>
      </c>
      <c r="E18" s="15">
        <f>IF(B18=1,'1 - Caso e ipotesi'!$B$44,IF(A18&lt;='1 - Caso e ipotesi'!$B$41,'1 - Caso e ipotesi'!$B$35,'1 - Caso e ipotesi'!$B$20))</f>
        <v>1.4999999999999999E-2</v>
      </c>
      <c r="F18" s="15">
        <f>IF(B18=1,INDEX('1 - Caso e ipotesi'!$C$47:$C$49,'1 - Caso e ipotesi'!$B$38)+'2 - Rendimenti netti'!$B$30,IF(A18&lt;='1 - Caso e ipotesi'!$B$41,(1+'1 - Caso e ipotesi'!$B$36)/(1+C18)-1,'1 - Caso e ipotesi'!$B$19+'2 - Rendimenti netti'!$B$30))</f>
        <v>3.4313725490196054E-2</v>
      </c>
      <c r="G18" s="15">
        <f>IF(B18=1,INDEX('1 - Caso e ipotesi'!$D$47:$D$49,'1 - Caso e ipotesi'!$B$38),'1 - Caso e ipotesi'!$B$18)</f>
        <v>0.04</v>
      </c>
      <c r="H18" s="15">
        <f t="shared" si="0"/>
        <v>3.5299999999999887E-2</v>
      </c>
      <c r="I18" s="15">
        <f t="shared" si="1"/>
        <v>3.5299999999999887E-2</v>
      </c>
      <c r="J18" s="15">
        <f>(1+F18)*(1+C18)-1-'1 - Caso e ipotesi'!$B$31</f>
        <v>5.4999999999999938E-2</v>
      </c>
      <c r="K18" s="15">
        <f t="shared" si="2"/>
        <v>3.5299999999999887E-2</v>
      </c>
      <c r="L18" s="15">
        <f t="shared" si="3"/>
        <v>3.5299999999999887E-2</v>
      </c>
      <c r="M18" s="15">
        <f>J18-'1 - Caso e ipotesi'!$B$32</f>
        <v>3.6581599999999936E-2</v>
      </c>
      <c r="N18" s="17">
        <f>((1+K18)-'1 - Caso e ipotesi'!$B$24*MAX(H18,0)-'1 - Caso e ipotesi'!$B$26*(1+K18))/(1+C18)</f>
        <v>1.0086440196078432</v>
      </c>
      <c r="O18" s="17">
        <f>((1+L18)-'1 - Caso e ipotesi'!$B$24*MAX(I18,0)-'1 - Caso e ipotesi'!$B$26*(1+L18))/(1+C18)</f>
        <v>1.0086440196078432</v>
      </c>
      <c r="P18" s="17">
        <f>((1+M18)-'1 - Caso e ipotesi'!$B$25*MAX(M18,0)-'1 - Caso e ipotesi'!$B$26*(1+M18))/(1+C18)</f>
        <v>1.0048992360784315</v>
      </c>
      <c r="Q18" s="17">
        <f>(1+G18)*(1-'1 - Caso e ipotesi'!$B$26)</f>
        <v>1.03792</v>
      </c>
    </row>
    <row r="19" spans="1:17">
      <c r="A19" s="18">
        <v>14</v>
      </c>
      <c r="B19" s="19">
        <f>IF(AND('1 - Caso e ipotesi'!$B$38&gt;0,A19&gt;='1 - Caso e ipotesi'!$B$39,A19&lt;'1 - Caso e ipotesi'!$B$39+'1 - Caso e ipotesi'!$B$40),1,0)</f>
        <v>0</v>
      </c>
      <c r="C19" s="15">
        <f>IF(B19=1,INDEX('1 - Caso e ipotesi'!$B$47:$B$49,'1 - Caso e ipotesi'!$B$38),IF(A19&lt;='1 - Caso e ipotesi'!$B$43,'1 - Caso e ipotesi'!$B$42,'1 - Caso e ipotesi'!$B$22))</f>
        <v>0.02</v>
      </c>
      <c r="D19" s="15">
        <f>IF(B19=1,INDEX('1 - Caso e ipotesi'!$C$47:$C$49,'1 - Caso e ipotesi'!$B$38),IF(A19&lt;='1 - Caso e ipotesi'!$B$41,(1+'1 - Caso e ipotesi'!$B$34)/(1+C19)-1,'1 - Caso e ipotesi'!$B$19))</f>
        <v>1.4999999999999999E-2</v>
      </c>
      <c r="E19" s="15">
        <f>IF(B19=1,'1 - Caso e ipotesi'!$B$44,IF(A19&lt;='1 - Caso e ipotesi'!$B$41,'1 - Caso e ipotesi'!$B$35,'1 - Caso e ipotesi'!$B$20))</f>
        <v>1.4999999999999999E-2</v>
      </c>
      <c r="F19" s="15">
        <f>IF(B19=1,INDEX('1 - Caso e ipotesi'!$C$47:$C$49,'1 - Caso e ipotesi'!$B$38)+'2 - Rendimenti netti'!$B$30,IF(A19&lt;='1 - Caso e ipotesi'!$B$41,(1+'1 - Caso e ipotesi'!$B$36)/(1+C19)-1,'1 - Caso e ipotesi'!$B$19+'2 - Rendimenti netti'!$B$30))</f>
        <v>3.4313725490196054E-2</v>
      </c>
      <c r="G19" s="15">
        <f>IF(B19=1,INDEX('1 - Caso e ipotesi'!$D$47:$D$49,'1 - Caso e ipotesi'!$B$38),'1 - Caso e ipotesi'!$B$18)</f>
        <v>0.04</v>
      </c>
      <c r="H19" s="15">
        <f t="shared" si="0"/>
        <v>3.5299999999999887E-2</v>
      </c>
      <c r="I19" s="15">
        <f t="shared" si="1"/>
        <v>3.5299999999999887E-2</v>
      </c>
      <c r="J19" s="15">
        <f>(1+F19)*(1+C19)-1-'1 - Caso e ipotesi'!$B$31</f>
        <v>5.4999999999999938E-2</v>
      </c>
      <c r="K19" s="15">
        <f t="shared" si="2"/>
        <v>3.5299999999999887E-2</v>
      </c>
      <c r="L19" s="15">
        <f t="shared" si="3"/>
        <v>3.5299999999999887E-2</v>
      </c>
      <c r="M19" s="15">
        <f>J19-'1 - Caso e ipotesi'!$B$32</f>
        <v>3.6581599999999936E-2</v>
      </c>
      <c r="N19" s="17">
        <f>((1+K19)-'1 - Caso e ipotesi'!$B$24*MAX(H19,0)-'1 - Caso e ipotesi'!$B$26*(1+K19))/(1+C19)</f>
        <v>1.0086440196078432</v>
      </c>
      <c r="O19" s="17">
        <f>((1+L19)-'1 - Caso e ipotesi'!$B$24*MAX(I19,0)-'1 - Caso e ipotesi'!$B$26*(1+L19))/(1+C19)</f>
        <v>1.0086440196078432</v>
      </c>
      <c r="P19" s="17">
        <f>((1+M19)-'1 - Caso e ipotesi'!$B$25*MAX(M19,0)-'1 - Caso e ipotesi'!$B$26*(1+M19))/(1+C19)</f>
        <v>1.0048992360784315</v>
      </c>
      <c r="Q19" s="17">
        <f>(1+G19)*(1-'1 - Caso e ipotesi'!$B$26)</f>
        <v>1.03792</v>
      </c>
    </row>
    <row r="20" spans="1:17">
      <c r="A20" s="18">
        <v>15</v>
      </c>
      <c r="B20" s="19">
        <f>IF(AND('1 - Caso e ipotesi'!$B$38&gt;0,A20&gt;='1 - Caso e ipotesi'!$B$39,A20&lt;'1 - Caso e ipotesi'!$B$39+'1 - Caso e ipotesi'!$B$40),1,0)</f>
        <v>0</v>
      </c>
      <c r="C20" s="15">
        <f>IF(B20=1,INDEX('1 - Caso e ipotesi'!$B$47:$B$49,'1 - Caso e ipotesi'!$B$38),IF(A20&lt;='1 - Caso e ipotesi'!$B$43,'1 - Caso e ipotesi'!$B$42,'1 - Caso e ipotesi'!$B$22))</f>
        <v>0.02</v>
      </c>
      <c r="D20" s="15">
        <f>IF(B20=1,INDEX('1 - Caso e ipotesi'!$C$47:$C$49,'1 - Caso e ipotesi'!$B$38),IF(A20&lt;='1 - Caso e ipotesi'!$B$41,(1+'1 - Caso e ipotesi'!$B$34)/(1+C20)-1,'1 - Caso e ipotesi'!$B$19))</f>
        <v>1.4999999999999999E-2</v>
      </c>
      <c r="E20" s="15">
        <f>IF(B20=1,'1 - Caso e ipotesi'!$B$44,IF(A20&lt;='1 - Caso e ipotesi'!$B$41,'1 - Caso e ipotesi'!$B$35,'1 - Caso e ipotesi'!$B$20))</f>
        <v>1.4999999999999999E-2</v>
      </c>
      <c r="F20" s="15">
        <f>IF(B20=1,INDEX('1 - Caso e ipotesi'!$C$47:$C$49,'1 - Caso e ipotesi'!$B$38)+'2 - Rendimenti netti'!$B$30,IF(A20&lt;='1 - Caso e ipotesi'!$B$41,(1+'1 - Caso e ipotesi'!$B$36)/(1+C20)-1,'1 - Caso e ipotesi'!$B$19+'2 - Rendimenti netti'!$B$30))</f>
        <v>3.4313725490196054E-2</v>
      </c>
      <c r="G20" s="15">
        <f>IF(B20=1,INDEX('1 - Caso e ipotesi'!$D$47:$D$49,'1 - Caso e ipotesi'!$B$38),'1 - Caso e ipotesi'!$B$18)</f>
        <v>0.04</v>
      </c>
      <c r="H20" s="15">
        <f t="shared" si="0"/>
        <v>3.5299999999999887E-2</v>
      </c>
      <c r="I20" s="15">
        <f t="shared" si="1"/>
        <v>3.5299999999999887E-2</v>
      </c>
      <c r="J20" s="15">
        <f>(1+F20)*(1+C20)-1-'1 - Caso e ipotesi'!$B$31</f>
        <v>5.4999999999999938E-2</v>
      </c>
      <c r="K20" s="15">
        <f t="shared" si="2"/>
        <v>3.5299999999999887E-2</v>
      </c>
      <c r="L20" s="15">
        <f t="shared" si="3"/>
        <v>3.5299999999999887E-2</v>
      </c>
      <c r="M20" s="15">
        <f>J20-'1 - Caso e ipotesi'!$B$32</f>
        <v>3.6581599999999936E-2</v>
      </c>
      <c r="N20" s="17">
        <f>((1+K20)-'1 - Caso e ipotesi'!$B$24*MAX(H20,0)-'1 - Caso e ipotesi'!$B$26*(1+K20))/(1+C20)</f>
        <v>1.0086440196078432</v>
      </c>
      <c r="O20" s="17">
        <f>((1+L20)-'1 - Caso e ipotesi'!$B$24*MAX(I20,0)-'1 - Caso e ipotesi'!$B$26*(1+L20))/(1+C20)</f>
        <v>1.0086440196078432</v>
      </c>
      <c r="P20" s="17">
        <f>((1+M20)-'1 - Caso e ipotesi'!$B$25*MAX(M20,0)-'1 - Caso e ipotesi'!$B$26*(1+M20))/(1+C20)</f>
        <v>1.0048992360784315</v>
      </c>
      <c r="Q20" s="17">
        <f>(1+G20)*(1-'1 - Caso e ipotesi'!$B$26)</f>
        <v>1.03792</v>
      </c>
    </row>
    <row r="21" spans="1:17">
      <c r="A21" s="18">
        <v>16</v>
      </c>
      <c r="B21" s="19">
        <f>IF(AND('1 - Caso e ipotesi'!$B$38&gt;0,A21&gt;='1 - Caso e ipotesi'!$B$39,A21&lt;'1 - Caso e ipotesi'!$B$39+'1 - Caso e ipotesi'!$B$40),1,0)</f>
        <v>0</v>
      </c>
      <c r="C21" s="15">
        <f>IF(B21=1,INDEX('1 - Caso e ipotesi'!$B$47:$B$49,'1 - Caso e ipotesi'!$B$38),IF(A21&lt;='1 - Caso e ipotesi'!$B$43,'1 - Caso e ipotesi'!$B$42,'1 - Caso e ipotesi'!$B$22))</f>
        <v>0.02</v>
      </c>
      <c r="D21" s="15">
        <f>IF(B21=1,INDEX('1 - Caso e ipotesi'!$C$47:$C$49,'1 - Caso e ipotesi'!$B$38),IF(A21&lt;='1 - Caso e ipotesi'!$B$41,(1+'1 - Caso e ipotesi'!$B$34)/(1+C21)-1,'1 - Caso e ipotesi'!$B$19))</f>
        <v>1.4999999999999999E-2</v>
      </c>
      <c r="E21" s="15">
        <f>IF(B21=1,'1 - Caso e ipotesi'!$B$44,IF(A21&lt;='1 - Caso e ipotesi'!$B$41,'1 - Caso e ipotesi'!$B$35,'1 - Caso e ipotesi'!$B$20))</f>
        <v>1.4999999999999999E-2</v>
      </c>
      <c r="F21" s="15">
        <f>IF(B21=1,INDEX('1 - Caso e ipotesi'!$C$47:$C$49,'1 - Caso e ipotesi'!$B$38)+'2 - Rendimenti netti'!$B$30,IF(A21&lt;='1 - Caso e ipotesi'!$B$41,(1+'1 - Caso e ipotesi'!$B$36)/(1+C21)-1,'1 - Caso e ipotesi'!$B$19+'2 - Rendimenti netti'!$B$30))</f>
        <v>3.4313725490196054E-2</v>
      </c>
      <c r="G21" s="15">
        <f>IF(B21=1,INDEX('1 - Caso e ipotesi'!$D$47:$D$49,'1 - Caso e ipotesi'!$B$38),'1 - Caso e ipotesi'!$B$18)</f>
        <v>0.04</v>
      </c>
      <c r="H21" s="15">
        <f t="shared" si="0"/>
        <v>3.5299999999999887E-2</v>
      </c>
      <c r="I21" s="15">
        <f t="shared" si="1"/>
        <v>3.5299999999999887E-2</v>
      </c>
      <c r="J21" s="15">
        <f>(1+F21)*(1+C21)-1-'1 - Caso e ipotesi'!$B$31</f>
        <v>5.4999999999999938E-2</v>
      </c>
      <c r="K21" s="15">
        <f t="shared" si="2"/>
        <v>3.5299999999999887E-2</v>
      </c>
      <c r="L21" s="15">
        <f t="shared" si="3"/>
        <v>3.5299999999999887E-2</v>
      </c>
      <c r="M21" s="15">
        <f>J21-'1 - Caso e ipotesi'!$B$32</f>
        <v>3.6581599999999936E-2</v>
      </c>
      <c r="N21" s="17">
        <f>((1+K21)-'1 - Caso e ipotesi'!$B$24*MAX(H21,0)-'1 - Caso e ipotesi'!$B$26*(1+K21))/(1+C21)</f>
        <v>1.0086440196078432</v>
      </c>
      <c r="O21" s="17">
        <f>((1+L21)-'1 - Caso e ipotesi'!$B$24*MAX(I21,0)-'1 - Caso e ipotesi'!$B$26*(1+L21))/(1+C21)</f>
        <v>1.0086440196078432</v>
      </c>
      <c r="P21" s="17">
        <f>((1+M21)-'1 - Caso e ipotesi'!$B$25*MAX(M21,0)-'1 - Caso e ipotesi'!$B$26*(1+M21))/(1+C21)</f>
        <v>1.0048992360784315</v>
      </c>
      <c r="Q21" s="17">
        <f>(1+G21)*(1-'1 - Caso e ipotesi'!$B$26)</f>
        <v>1.03792</v>
      </c>
    </row>
    <row r="22" spans="1:17">
      <c r="A22" s="18">
        <v>17</v>
      </c>
      <c r="B22" s="19">
        <f>IF(AND('1 - Caso e ipotesi'!$B$38&gt;0,A22&gt;='1 - Caso e ipotesi'!$B$39,A22&lt;'1 - Caso e ipotesi'!$B$39+'1 - Caso e ipotesi'!$B$40),1,0)</f>
        <v>0</v>
      </c>
      <c r="C22" s="15">
        <f>IF(B22=1,INDEX('1 - Caso e ipotesi'!$B$47:$B$49,'1 - Caso e ipotesi'!$B$38),IF(A22&lt;='1 - Caso e ipotesi'!$B$43,'1 - Caso e ipotesi'!$B$42,'1 - Caso e ipotesi'!$B$22))</f>
        <v>0.02</v>
      </c>
      <c r="D22" s="15">
        <f>IF(B22=1,INDEX('1 - Caso e ipotesi'!$C$47:$C$49,'1 - Caso e ipotesi'!$B$38),IF(A22&lt;='1 - Caso e ipotesi'!$B$41,(1+'1 - Caso e ipotesi'!$B$34)/(1+C22)-1,'1 - Caso e ipotesi'!$B$19))</f>
        <v>1.4999999999999999E-2</v>
      </c>
      <c r="E22" s="15">
        <f>IF(B22=1,'1 - Caso e ipotesi'!$B$44,IF(A22&lt;='1 - Caso e ipotesi'!$B$41,'1 - Caso e ipotesi'!$B$35,'1 - Caso e ipotesi'!$B$20))</f>
        <v>1.4999999999999999E-2</v>
      </c>
      <c r="F22" s="15">
        <f>IF(B22=1,INDEX('1 - Caso e ipotesi'!$C$47:$C$49,'1 - Caso e ipotesi'!$B$38)+'2 - Rendimenti netti'!$B$30,IF(A22&lt;='1 - Caso e ipotesi'!$B$41,(1+'1 - Caso e ipotesi'!$B$36)/(1+C22)-1,'1 - Caso e ipotesi'!$B$19+'2 - Rendimenti netti'!$B$30))</f>
        <v>3.4313725490196054E-2</v>
      </c>
      <c r="G22" s="15">
        <f>IF(B22=1,INDEX('1 - Caso e ipotesi'!$D$47:$D$49,'1 - Caso e ipotesi'!$B$38),'1 - Caso e ipotesi'!$B$18)</f>
        <v>0.04</v>
      </c>
      <c r="H22" s="15">
        <f t="shared" si="0"/>
        <v>3.5299999999999887E-2</v>
      </c>
      <c r="I22" s="15">
        <f t="shared" si="1"/>
        <v>3.5299999999999887E-2</v>
      </c>
      <c r="J22" s="15">
        <f>(1+F22)*(1+C22)-1-'1 - Caso e ipotesi'!$B$31</f>
        <v>5.4999999999999938E-2</v>
      </c>
      <c r="K22" s="15">
        <f t="shared" si="2"/>
        <v>3.5299999999999887E-2</v>
      </c>
      <c r="L22" s="15">
        <f t="shared" si="3"/>
        <v>3.5299999999999887E-2</v>
      </c>
      <c r="M22" s="15">
        <f>J22-'1 - Caso e ipotesi'!$B$32</f>
        <v>3.6581599999999936E-2</v>
      </c>
      <c r="N22" s="17">
        <f>((1+K22)-'1 - Caso e ipotesi'!$B$24*MAX(H22,0)-'1 - Caso e ipotesi'!$B$26*(1+K22))/(1+C22)</f>
        <v>1.0086440196078432</v>
      </c>
      <c r="O22" s="17">
        <f>((1+L22)-'1 - Caso e ipotesi'!$B$24*MAX(I22,0)-'1 - Caso e ipotesi'!$B$26*(1+L22))/(1+C22)</f>
        <v>1.0086440196078432</v>
      </c>
      <c r="P22" s="17">
        <f>((1+M22)-'1 - Caso e ipotesi'!$B$25*MAX(M22,0)-'1 - Caso e ipotesi'!$B$26*(1+M22))/(1+C22)</f>
        <v>1.0048992360784315</v>
      </c>
      <c r="Q22" s="17">
        <f>(1+G22)*(1-'1 - Caso e ipotesi'!$B$26)</f>
        <v>1.03792</v>
      </c>
    </row>
    <row r="23" spans="1:17">
      <c r="A23" s="18">
        <v>18</v>
      </c>
      <c r="B23" s="19">
        <f>IF(AND('1 - Caso e ipotesi'!$B$38&gt;0,A23&gt;='1 - Caso e ipotesi'!$B$39,A23&lt;'1 - Caso e ipotesi'!$B$39+'1 - Caso e ipotesi'!$B$40),1,0)</f>
        <v>0</v>
      </c>
      <c r="C23" s="15">
        <f>IF(B23=1,INDEX('1 - Caso e ipotesi'!$B$47:$B$49,'1 - Caso e ipotesi'!$B$38),IF(A23&lt;='1 - Caso e ipotesi'!$B$43,'1 - Caso e ipotesi'!$B$42,'1 - Caso e ipotesi'!$B$22))</f>
        <v>0.02</v>
      </c>
      <c r="D23" s="15">
        <f>IF(B23=1,INDEX('1 - Caso e ipotesi'!$C$47:$C$49,'1 - Caso e ipotesi'!$B$38),IF(A23&lt;='1 - Caso e ipotesi'!$B$41,(1+'1 - Caso e ipotesi'!$B$34)/(1+C23)-1,'1 - Caso e ipotesi'!$B$19))</f>
        <v>1.4999999999999999E-2</v>
      </c>
      <c r="E23" s="15">
        <f>IF(B23=1,'1 - Caso e ipotesi'!$B$44,IF(A23&lt;='1 - Caso e ipotesi'!$B$41,'1 - Caso e ipotesi'!$B$35,'1 - Caso e ipotesi'!$B$20))</f>
        <v>1.4999999999999999E-2</v>
      </c>
      <c r="F23" s="15">
        <f>IF(B23=1,INDEX('1 - Caso e ipotesi'!$C$47:$C$49,'1 - Caso e ipotesi'!$B$38)+'2 - Rendimenti netti'!$B$30,IF(A23&lt;='1 - Caso e ipotesi'!$B$41,(1+'1 - Caso e ipotesi'!$B$36)/(1+C23)-1,'1 - Caso e ipotesi'!$B$19+'2 - Rendimenti netti'!$B$30))</f>
        <v>3.4313725490196054E-2</v>
      </c>
      <c r="G23" s="15">
        <f>IF(B23=1,INDEX('1 - Caso e ipotesi'!$D$47:$D$49,'1 - Caso e ipotesi'!$B$38),'1 - Caso e ipotesi'!$B$18)</f>
        <v>0.04</v>
      </c>
      <c r="H23" s="15">
        <f t="shared" si="0"/>
        <v>3.5299999999999887E-2</v>
      </c>
      <c r="I23" s="15">
        <f t="shared" si="1"/>
        <v>3.5299999999999887E-2</v>
      </c>
      <c r="J23" s="15">
        <f>(1+F23)*(1+C23)-1-'1 - Caso e ipotesi'!$B$31</f>
        <v>5.4999999999999938E-2</v>
      </c>
      <c r="K23" s="15">
        <f t="shared" si="2"/>
        <v>3.5299999999999887E-2</v>
      </c>
      <c r="L23" s="15">
        <f t="shared" si="3"/>
        <v>3.5299999999999887E-2</v>
      </c>
      <c r="M23" s="15">
        <f>J23-'1 - Caso e ipotesi'!$B$32</f>
        <v>3.6581599999999936E-2</v>
      </c>
      <c r="N23" s="17">
        <f>((1+K23)-'1 - Caso e ipotesi'!$B$24*MAX(H23,0)-'1 - Caso e ipotesi'!$B$26*(1+K23))/(1+C23)</f>
        <v>1.0086440196078432</v>
      </c>
      <c r="O23" s="17">
        <f>((1+L23)-'1 - Caso e ipotesi'!$B$24*MAX(I23,0)-'1 - Caso e ipotesi'!$B$26*(1+L23))/(1+C23)</f>
        <v>1.0086440196078432</v>
      </c>
      <c r="P23" s="17">
        <f>((1+M23)-'1 - Caso e ipotesi'!$B$25*MAX(M23,0)-'1 - Caso e ipotesi'!$B$26*(1+M23))/(1+C23)</f>
        <v>1.0048992360784315</v>
      </c>
      <c r="Q23" s="17">
        <f>(1+G23)*(1-'1 - Caso e ipotesi'!$B$26)</f>
        <v>1.03792</v>
      </c>
    </row>
    <row r="24" spans="1:17">
      <c r="A24" s="18">
        <v>19</v>
      </c>
      <c r="B24" s="19">
        <f>IF(AND('1 - Caso e ipotesi'!$B$38&gt;0,A24&gt;='1 - Caso e ipotesi'!$B$39,A24&lt;'1 - Caso e ipotesi'!$B$39+'1 - Caso e ipotesi'!$B$40),1,0)</f>
        <v>0</v>
      </c>
      <c r="C24" s="15">
        <f>IF(B24=1,INDEX('1 - Caso e ipotesi'!$B$47:$B$49,'1 - Caso e ipotesi'!$B$38),IF(A24&lt;='1 - Caso e ipotesi'!$B$43,'1 - Caso e ipotesi'!$B$42,'1 - Caso e ipotesi'!$B$22))</f>
        <v>0.02</v>
      </c>
      <c r="D24" s="15">
        <f>IF(B24=1,INDEX('1 - Caso e ipotesi'!$C$47:$C$49,'1 - Caso e ipotesi'!$B$38),IF(A24&lt;='1 - Caso e ipotesi'!$B$41,(1+'1 - Caso e ipotesi'!$B$34)/(1+C24)-1,'1 - Caso e ipotesi'!$B$19))</f>
        <v>1.4999999999999999E-2</v>
      </c>
      <c r="E24" s="15">
        <f>IF(B24=1,'1 - Caso e ipotesi'!$B$44,IF(A24&lt;='1 - Caso e ipotesi'!$B$41,'1 - Caso e ipotesi'!$B$35,'1 - Caso e ipotesi'!$B$20))</f>
        <v>1.4999999999999999E-2</v>
      </c>
      <c r="F24" s="15">
        <f>IF(B24=1,INDEX('1 - Caso e ipotesi'!$C$47:$C$49,'1 - Caso e ipotesi'!$B$38)+'2 - Rendimenti netti'!$B$30,IF(A24&lt;='1 - Caso e ipotesi'!$B$41,(1+'1 - Caso e ipotesi'!$B$36)/(1+C24)-1,'1 - Caso e ipotesi'!$B$19+'2 - Rendimenti netti'!$B$30))</f>
        <v>3.4313725490196054E-2</v>
      </c>
      <c r="G24" s="15">
        <f>IF(B24=1,INDEX('1 - Caso e ipotesi'!$D$47:$D$49,'1 - Caso e ipotesi'!$B$38),'1 - Caso e ipotesi'!$B$18)</f>
        <v>0.04</v>
      </c>
      <c r="H24" s="15">
        <f t="shared" si="0"/>
        <v>3.5299999999999887E-2</v>
      </c>
      <c r="I24" s="15">
        <f t="shared" si="1"/>
        <v>3.5299999999999887E-2</v>
      </c>
      <c r="J24" s="15">
        <f>(1+F24)*(1+C24)-1-'1 - Caso e ipotesi'!$B$31</f>
        <v>5.4999999999999938E-2</v>
      </c>
      <c r="K24" s="15">
        <f t="shared" si="2"/>
        <v>3.5299999999999887E-2</v>
      </c>
      <c r="L24" s="15">
        <f t="shared" si="3"/>
        <v>3.5299999999999887E-2</v>
      </c>
      <c r="M24" s="15">
        <f>J24-'1 - Caso e ipotesi'!$B$32</f>
        <v>3.6581599999999936E-2</v>
      </c>
      <c r="N24" s="17">
        <f>((1+K24)-'1 - Caso e ipotesi'!$B$24*MAX(H24,0)-'1 - Caso e ipotesi'!$B$26*(1+K24))/(1+C24)</f>
        <v>1.0086440196078432</v>
      </c>
      <c r="O24" s="17">
        <f>((1+L24)-'1 - Caso e ipotesi'!$B$24*MAX(I24,0)-'1 - Caso e ipotesi'!$B$26*(1+L24))/(1+C24)</f>
        <v>1.0086440196078432</v>
      </c>
      <c r="P24" s="17">
        <f>((1+M24)-'1 - Caso e ipotesi'!$B$25*MAX(M24,0)-'1 - Caso e ipotesi'!$B$26*(1+M24))/(1+C24)</f>
        <v>1.0048992360784315</v>
      </c>
      <c r="Q24" s="17">
        <f>(1+G24)*(1-'1 - Caso e ipotesi'!$B$26)</f>
        <v>1.03792</v>
      </c>
    </row>
    <row r="25" spans="1:17">
      <c r="A25" s="18">
        <v>20</v>
      </c>
      <c r="B25" s="19">
        <f>IF(AND('1 - Caso e ipotesi'!$B$38&gt;0,A25&gt;='1 - Caso e ipotesi'!$B$39,A25&lt;'1 - Caso e ipotesi'!$B$39+'1 - Caso e ipotesi'!$B$40),1,0)</f>
        <v>0</v>
      </c>
      <c r="C25" s="15">
        <f>IF(B25=1,INDEX('1 - Caso e ipotesi'!$B$47:$B$49,'1 - Caso e ipotesi'!$B$38),IF(A25&lt;='1 - Caso e ipotesi'!$B$43,'1 - Caso e ipotesi'!$B$42,'1 - Caso e ipotesi'!$B$22))</f>
        <v>0.02</v>
      </c>
      <c r="D25" s="15">
        <f>IF(B25=1,INDEX('1 - Caso e ipotesi'!$C$47:$C$49,'1 - Caso e ipotesi'!$B$38),IF(A25&lt;='1 - Caso e ipotesi'!$B$41,(1+'1 - Caso e ipotesi'!$B$34)/(1+C25)-1,'1 - Caso e ipotesi'!$B$19))</f>
        <v>1.4999999999999999E-2</v>
      </c>
      <c r="E25" s="15">
        <f>IF(B25=1,'1 - Caso e ipotesi'!$B$44,IF(A25&lt;='1 - Caso e ipotesi'!$B$41,'1 - Caso e ipotesi'!$B$35,'1 - Caso e ipotesi'!$B$20))</f>
        <v>1.4999999999999999E-2</v>
      </c>
      <c r="F25" s="15">
        <f>IF(B25=1,INDEX('1 - Caso e ipotesi'!$C$47:$C$49,'1 - Caso e ipotesi'!$B$38)+'2 - Rendimenti netti'!$B$30,IF(A25&lt;='1 - Caso e ipotesi'!$B$41,(1+'1 - Caso e ipotesi'!$B$36)/(1+C25)-1,'1 - Caso e ipotesi'!$B$19+'2 - Rendimenti netti'!$B$30))</f>
        <v>3.4313725490196054E-2</v>
      </c>
      <c r="G25" s="15">
        <f>IF(B25=1,INDEX('1 - Caso e ipotesi'!$D$47:$D$49,'1 - Caso e ipotesi'!$B$38),'1 - Caso e ipotesi'!$B$18)</f>
        <v>0.04</v>
      </c>
      <c r="H25" s="15">
        <f t="shared" si="0"/>
        <v>3.5299999999999887E-2</v>
      </c>
      <c r="I25" s="15">
        <f t="shared" si="1"/>
        <v>3.5299999999999887E-2</v>
      </c>
      <c r="J25" s="15">
        <f>(1+F25)*(1+C25)-1-'1 - Caso e ipotesi'!$B$31</f>
        <v>5.4999999999999938E-2</v>
      </c>
      <c r="K25" s="15">
        <f t="shared" si="2"/>
        <v>3.5299999999999887E-2</v>
      </c>
      <c r="L25" s="15">
        <f t="shared" si="3"/>
        <v>3.5299999999999887E-2</v>
      </c>
      <c r="M25" s="15">
        <f>J25-'1 - Caso e ipotesi'!$B$32</f>
        <v>3.6581599999999936E-2</v>
      </c>
      <c r="N25" s="17">
        <f>((1+K25)-'1 - Caso e ipotesi'!$B$24*MAX(H25,0)-'1 - Caso e ipotesi'!$B$26*(1+K25))/(1+C25)</f>
        <v>1.0086440196078432</v>
      </c>
      <c r="O25" s="17">
        <f>((1+L25)-'1 - Caso e ipotesi'!$B$24*MAX(I25,0)-'1 - Caso e ipotesi'!$B$26*(1+L25))/(1+C25)</f>
        <v>1.0086440196078432</v>
      </c>
      <c r="P25" s="17">
        <f>((1+M25)-'1 - Caso e ipotesi'!$B$25*MAX(M25,0)-'1 - Caso e ipotesi'!$B$26*(1+M25))/(1+C25)</f>
        <v>1.0048992360784315</v>
      </c>
      <c r="Q25" s="17">
        <f>(1+G25)*(1-'1 - Caso e ipotesi'!$B$26)</f>
        <v>1.03792</v>
      </c>
    </row>
    <row r="26" spans="1:17">
      <c r="A26" s="18">
        <v>21</v>
      </c>
      <c r="B26" s="19">
        <f>IF(AND('1 - Caso e ipotesi'!$B$38&gt;0,A26&gt;='1 - Caso e ipotesi'!$B$39,A26&lt;'1 - Caso e ipotesi'!$B$39+'1 - Caso e ipotesi'!$B$40),1,0)</f>
        <v>0</v>
      </c>
      <c r="C26" s="15">
        <f>IF(B26=1,INDEX('1 - Caso e ipotesi'!$B$47:$B$49,'1 - Caso e ipotesi'!$B$38),IF(A26&lt;='1 - Caso e ipotesi'!$B$43,'1 - Caso e ipotesi'!$B$42,'1 - Caso e ipotesi'!$B$22))</f>
        <v>0.02</v>
      </c>
      <c r="D26" s="15">
        <f>IF(B26=1,INDEX('1 - Caso e ipotesi'!$C$47:$C$49,'1 - Caso e ipotesi'!$B$38),IF(A26&lt;='1 - Caso e ipotesi'!$B$41,(1+'1 - Caso e ipotesi'!$B$34)/(1+C26)-1,'1 - Caso e ipotesi'!$B$19))</f>
        <v>1.4999999999999999E-2</v>
      </c>
      <c r="E26" s="15">
        <f>IF(B26=1,'1 - Caso e ipotesi'!$B$44,IF(A26&lt;='1 - Caso e ipotesi'!$B$41,'1 - Caso e ipotesi'!$B$35,'1 - Caso e ipotesi'!$B$20))</f>
        <v>1.4999999999999999E-2</v>
      </c>
      <c r="F26" s="15">
        <f>IF(B26=1,INDEX('1 - Caso e ipotesi'!$C$47:$C$49,'1 - Caso e ipotesi'!$B$38)+'2 - Rendimenti netti'!$B$30,IF(A26&lt;='1 - Caso e ipotesi'!$B$41,(1+'1 - Caso e ipotesi'!$B$36)/(1+C26)-1,'1 - Caso e ipotesi'!$B$19+'2 - Rendimenti netti'!$B$30))</f>
        <v>3.4313725490196054E-2</v>
      </c>
      <c r="G26" s="15">
        <f>IF(B26=1,INDEX('1 - Caso e ipotesi'!$D$47:$D$49,'1 - Caso e ipotesi'!$B$38),'1 - Caso e ipotesi'!$B$18)</f>
        <v>0.04</v>
      </c>
      <c r="H26" s="15">
        <f t="shared" si="0"/>
        <v>3.5299999999999887E-2</v>
      </c>
      <c r="I26" s="15">
        <f t="shared" si="1"/>
        <v>3.5299999999999887E-2</v>
      </c>
      <c r="J26" s="15">
        <f>(1+F26)*(1+C26)-1-'1 - Caso e ipotesi'!$B$31</f>
        <v>5.4999999999999938E-2</v>
      </c>
      <c r="K26" s="15">
        <f t="shared" si="2"/>
        <v>3.5299999999999887E-2</v>
      </c>
      <c r="L26" s="15">
        <f t="shared" si="3"/>
        <v>3.5299999999999887E-2</v>
      </c>
      <c r="M26" s="15">
        <f>J26-'1 - Caso e ipotesi'!$B$32</f>
        <v>3.6581599999999936E-2</v>
      </c>
      <c r="N26" s="17">
        <f>((1+K26)-'1 - Caso e ipotesi'!$B$24*MAX(H26,0)-'1 - Caso e ipotesi'!$B$26*(1+K26))/(1+C26)</f>
        <v>1.0086440196078432</v>
      </c>
      <c r="O26" s="17">
        <f>((1+L26)-'1 - Caso e ipotesi'!$B$24*MAX(I26,0)-'1 - Caso e ipotesi'!$B$26*(1+L26))/(1+C26)</f>
        <v>1.0086440196078432</v>
      </c>
      <c r="P26" s="17">
        <f>((1+M26)-'1 - Caso e ipotesi'!$B$25*MAX(M26,0)-'1 - Caso e ipotesi'!$B$26*(1+M26))/(1+C26)</f>
        <v>1.0048992360784315</v>
      </c>
      <c r="Q26" s="17">
        <f>(1+G26)*(1-'1 - Caso e ipotesi'!$B$26)</f>
        <v>1.03792</v>
      </c>
    </row>
    <row r="27" spans="1:17">
      <c r="A27" s="18">
        <v>22</v>
      </c>
      <c r="B27" s="19">
        <f>IF(AND('1 - Caso e ipotesi'!$B$38&gt;0,A27&gt;='1 - Caso e ipotesi'!$B$39,A27&lt;'1 - Caso e ipotesi'!$B$39+'1 - Caso e ipotesi'!$B$40),1,0)</f>
        <v>0</v>
      </c>
      <c r="C27" s="15">
        <f>IF(B27=1,INDEX('1 - Caso e ipotesi'!$B$47:$B$49,'1 - Caso e ipotesi'!$B$38),IF(A27&lt;='1 - Caso e ipotesi'!$B$43,'1 - Caso e ipotesi'!$B$42,'1 - Caso e ipotesi'!$B$22))</f>
        <v>0.02</v>
      </c>
      <c r="D27" s="15">
        <f>IF(B27=1,INDEX('1 - Caso e ipotesi'!$C$47:$C$49,'1 - Caso e ipotesi'!$B$38),IF(A27&lt;='1 - Caso e ipotesi'!$B$41,(1+'1 - Caso e ipotesi'!$B$34)/(1+C27)-1,'1 - Caso e ipotesi'!$B$19))</f>
        <v>1.4999999999999999E-2</v>
      </c>
      <c r="E27" s="15">
        <f>IF(B27=1,'1 - Caso e ipotesi'!$B$44,IF(A27&lt;='1 - Caso e ipotesi'!$B$41,'1 - Caso e ipotesi'!$B$35,'1 - Caso e ipotesi'!$B$20))</f>
        <v>1.4999999999999999E-2</v>
      </c>
      <c r="F27" s="15">
        <f>IF(B27=1,INDEX('1 - Caso e ipotesi'!$C$47:$C$49,'1 - Caso e ipotesi'!$B$38)+'2 - Rendimenti netti'!$B$30,IF(A27&lt;='1 - Caso e ipotesi'!$B$41,(1+'1 - Caso e ipotesi'!$B$36)/(1+C27)-1,'1 - Caso e ipotesi'!$B$19+'2 - Rendimenti netti'!$B$30))</f>
        <v>3.4313725490196054E-2</v>
      </c>
      <c r="G27" s="15">
        <f>IF(B27=1,INDEX('1 - Caso e ipotesi'!$D$47:$D$49,'1 - Caso e ipotesi'!$B$38),'1 - Caso e ipotesi'!$B$18)</f>
        <v>0.04</v>
      </c>
      <c r="H27" s="15">
        <f t="shared" si="0"/>
        <v>3.5299999999999887E-2</v>
      </c>
      <c r="I27" s="15">
        <f t="shared" si="1"/>
        <v>3.5299999999999887E-2</v>
      </c>
      <c r="J27" s="15">
        <f>(1+F27)*(1+C27)-1-'1 - Caso e ipotesi'!$B$31</f>
        <v>5.4999999999999938E-2</v>
      </c>
      <c r="K27" s="15">
        <f t="shared" si="2"/>
        <v>3.5299999999999887E-2</v>
      </c>
      <c r="L27" s="15">
        <f t="shared" si="3"/>
        <v>3.5299999999999887E-2</v>
      </c>
      <c r="M27" s="15">
        <f>J27-'1 - Caso e ipotesi'!$B$32</f>
        <v>3.6581599999999936E-2</v>
      </c>
      <c r="N27" s="17">
        <f>((1+K27)-'1 - Caso e ipotesi'!$B$24*MAX(H27,0)-'1 - Caso e ipotesi'!$B$26*(1+K27))/(1+C27)</f>
        <v>1.0086440196078432</v>
      </c>
      <c r="O27" s="17">
        <f>((1+L27)-'1 - Caso e ipotesi'!$B$24*MAX(I27,0)-'1 - Caso e ipotesi'!$B$26*(1+L27))/(1+C27)</f>
        <v>1.0086440196078432</v>
      </c>
      <c r="P27" s="17">
        <f>((1+M27)-'1 - Caso e ipotesi'!$B$25*MAX(M27,0)-'1 - Caso e ipotesi'!$B$26*(1+M27))/(1+C27)</f>
        <v>1.0048992360784315</v>
      </c>
      <c r="Q27" s="17">
        <f>(1+G27)*(1-'1 - Caso e ipotesi'!$B$26)</f>
        <v>1.03792</v>
      </c>
    </row>
    <row r="28" spans="1:17">
      <c r="A28" s="18">
        <v>23</v>
      </c>
      <c r="B28" s="19">
        <f>IF(AND('1 - Caso e ipotesi'!$B$38&gt;0,A28&gt;='1 - Caso e ipotesi'!$B$39,A28&lt;'1 - Caso e ipotesi'!$B$39+'1 - Caso e ipotesi'!$B$40),1,0)</f>
        <v>0</v>
      </c>
      <c r="C28" s="15">
        <f>IF(B28=1,INDEX('1 - Caso e ipotesi'!$B$47:$B$49,'1 - Caso e ipotesi'!$B$38),IF(A28&lt;='1 - Caso e ipotesi'!$B$43,'1 - Caso e ipotesi'!$B$42,'1 - Caso e ipotesi'!$B$22))</f>
        <v>0.02</v>
      </c>
      <c r="D28" s="15">
        <f>IF(B28=1,INDEX('1 - Caso e ipotesi'!$C$47:$C$49,'1 - Caso e ipotesi'!$B$38),IF(A28&lt;='1 - Caso e ipotesi'!$B$41,(1+'1 - Caso e ipotesi'!$B$34)/(1+C28)-1,'1 - Caso e ipotesi'!$B$19))</f>
        <v>1.4999999999999999E-2</v>
      </c>
      <c r="E28" s="15">
        <f>IF(B28=1,'1 - Caso e ipotesi'!$B$44,IF(A28&lt;='1 - Caso e ipotesi'!$B$41,'1 - Caso e ipotesi'!$B$35,'1 - Caso e ipotesi'!$B$20))</f>
        <v>1.4999999999999999E-2</v>
      </c>
      <c r="F28" s="15">
        <f>IF(B28=1,INDEX('1 - Caso e ipotesi'!$C$47:$C$49,'1 - Caso e ipotesi'!$B$38)+'2 - Rendimenti netti'!$B$30,IF(A28&lt;='1 - Caso e ipotesi'!$B$41,(1+'1 - Caso e ipotesi'!$B$36)/(1+C28)-1,'1 - Caso e ipotesi'!$B$19+'2 - Rendimenti netti'!$B$30))</f>
        <v>3.4313725490196054E-2</v>
      </c>
      <c r="G28" s="15">
        <f>IF(B28=1,INDEX('1 - Caso e ipotesi'!$D$47:$D$49,'1 - Caso e ipotesi'!$B$38),'1 - Caso e ipotesi'!$B$18)</f>
        <v>0.04</v>
      </c>
      <c r="H28" s="15">
        <f t="shared" si="0"/>
        <v>3.5299999999999887E-2</v>
      </c>
      <c r="I28" s="15">
        <f t="shared" si="1"/>
        <v>3.5299999999999887E-2</v>
      </c>
      <c r="J28" s="15">
        <f>(1+F28)*(1+C28)-1-'1 - Caso e ipotesi'!$B$31</f>
        <v>5.4999999999999938E-2</v>
      </c>
      <c r="K28" s="15">
        <f t="shared" si="2"/>
        <v>3.5299999999999887E-2</v>
      </c>
      <c r="L28" s="15">
        <f t="shared" si="3"/>
        <v>3.5299999999999887E-2</v>
      </c>
      <c r="M28" s="15">
        <f>J28-'1 - Caso e ipotesi'!$B$32</f>
        <v>3.6581599999999936E-2</v>
      </c>
      <c r="N28" s="17">
        <f>((1+K28)-'1 - Caso e ipotesi'!$B$24*MAX(H28,0)-'1 - Caso e ipotesi'!$B$26*(1+K28))/(1+C28)</f>
        <v>1.0086440196078432</v>
      </c>
      <c r="O28" s="17">
        <f>((1+L28)-'1 - Caso e ipotesi'!$B$24*MAX(I28,0)-'1 - Caso e ipotesi'!$B$26*(1+L28))/(1+C28)</f>
        <v>1.0086440196078432</v>
      </c>
      <c r="P28" s="17">
        <f>((1+M28)-'1 - Caso e ipotesi'!$B$25*MAX(M28,0)-'1 - Caso e ipotesi'!$B$26*(1+M28))/(1+C28)</f>
        <v>1.0048992360784315</v>
      </c>
      <c r="Q28" s="17">
        <f>(1+G28)*(1-'1 - Caso e ipotesi'!$B$26)</f>
        <v>1.03792</v>
      </c>
    </row>
    <row r="29" spans="1:17">
      <c r="A29" s="18">
        <v>24</v>
      </c>
      <c r="B29" s="19">
        <f>IF(AND('1 - Caso e ipotesi'!$B$38&gt;0,A29&gt;='1 - Caso e ipotesi'!$B$39,A29&lt;'1 - Caso e ipotesi'!$B$39+'1 - Caso e ipotesi'!$B$40),1,0)</f>
        <v>0</v>
      </c>
      <c r="C29" s="15">
        <f>IF(B29=1,INDEX('1 - Caso e ipotesi'!$B$47:$B$49,'1 - Caso e ipotesi'!$B$38),IF(A29&lt;='1 - Caso e ipotesi'!$B$43,'1 - Caso e ipotesi'!$B$42,'1 - Caso e ipotesi'!$B$22))</f>
        <v>0.02</v>
      </c>
      <c r="D29" s="15">
        <f>IF(B29=1,INDEX('1 - Caso e ipotesi'!$C$47:$C$49,'1 - Caso e ipotesi'!$B$38),IF(A29&lt;='1 - Caso e ipotesi'!$B$41,(1+'1 - Caso e ipotesi'!$B$34)/(1+C29)-1,'1 - Caso e ipotesi'!$B$19))</f>
        <v>1.4999999999999999E-2</v>
      </c>
      <c r="E29" s="15">
        <f>IF(B29=1,'1 - Caso e ipotesi'!$B$44,IF(A29&lt;='1 - Caso e ipotesi'!$B$41,'1 - Caso e ipotesi'!$B$35,'1 - Caso e ipotesi'!$B$20))</f>
        <v>1.4999999999999999E-2</v>
      </c>
      <c r="F29" s="15">
        <f>IF(B29=1,INDEX('1 - Caso e ipotesi'!$C$47:$C$49,'1 - Caso e ipotesi'!$B$38)+'2 - Rendimenti netti'!$B$30,IF(A29&lt;='1 - Caso e ipotesi'!$B$41,(1+'1 - Caso e ipotesi'!$B$36)/(1+C29)-1,'1 - Caso e ipotesi'!$B$19+'2 - Rendimenti netti'!$B$30))</f>
        <v>3.4313725490196054E-2</v>
      </c>
      <c r="G29" s="15">
        <f>IF(B29=1,INDEX('1 - Caso e ipotesi'!$D$47:$D$49,'1 - Caso e ipotesi'!$B$38),'1 - Caso e ipotesi'!$B$18)</f>
        <v>0.04</v>
      </c>
      <c r="H29" s="15">
        <f t="shared" si="0"/>
        <v>3.5299999999999887E-2</v>
      </c>
      <c r="I29" s="15">
        <f t="shared" si="1"/>
        <v>3.5299999999999887E-2</v>
      </c>
      <c r="J29" s="15">
        <f>(1+F29)*(1+C29)-1-'1 - Caso e ipotesi'!$B$31</f>
        <v>5.4999999999999938E-2</v>
      </c>
      <c r="K29" s="15">
        <f t="shared" si="2"/>
        <v>3.5299999999999887E-2</v>
      </c>
      <c r="L29" s="15">
        <f t="shared" si="3"/>
        <v>3.5299999999999887E-2</v>
      </c>
      <c r="M29" s="15">
        <f>J29-'1 - Caso e ipotesi'!$B$32</f>
        <v>3.6581599999999936E-2</v>
      </c>
      <c r="N29" s="17">
        <f>((1+K29)-'1 - Caso e ipotesi'!$B$24*MAX(H29,0)-'1 - Caso e ipotesi'!$B$26*(1+K29))/(1+C29)</f>
        <v>1.0086440196078432</v>
      </c>
      <c r="O29" s="17">
        <f>((1+L29)-'1 - Caso e ipotesi'!$B$24*MAX(I29,0)-'1 - Caso e ipotesi'!$B$26*(1+L29))/(1+C29)</f>
        <v>1.0086440196078432</v>
      </c>
      <c r="P29" s="17">
        <f>((1+M29)-'1 - Caso e ipotesi'!$B$25*MAX(M29,0)-'1 - Caso e ipotesi'!$B$26*(1+M29))/(1+C29)</f>
        <v>1.0048992360784315</v>
      </c>
      <c r="Q29" s="17">
        <f>(1+G29)*(1-'1 - Caso e ipotesi'!$B$26)</f>
        <v>1.03792</v>
      </c>
    </row>
    <row r="30" spans="1:17">
      <c r="A30" s="18">
        <v>25</v>
      </c>
      <c r="B30" s="19">
        <f>IF(AND('1 - Caso e ipotesi'!$B$38&gt;0,A30&gt;='1 - Caso e ipotesi'!$B$39,A30&lt;'1 - Caso e ipotesi'!$B$39+'1 - Caso e ipotesi'!$B$40),1,0)</f>
        <v>0</v>
      </c>
      <c r="C30" s="15">
        <f>IF(B30=1,INDEX('1 - Caso e ipotesi'!$B$47:$B$49,'1 - Caso e ipotesi'!$B$38),IF(A30&lt;='1 - Caso e ipotesi'!$B$43,'1 - Caso e ipotesi'!$B$42,'1 - Caso e ipotesi'!$B$22))</f>
        <v>0.02</v>
      </c>
      <c r="D30" s="15">
        <f>IF(B30=1,INDEX('1 - Caso e ipotesi'!$C$47:$C$49,'1 - Caso e ipotesi'!$B$38),IF(A30&lt;='1 - Caso e ipotesi'!$B$41,(1+'1 - Caso e ipotesi'!$B$34)/(1+C30)-1,'1 - Caso e ipotesi'!$B$19))</f>
        <v>1.4999999999999999E-2</v>
      </c>
      <c r="E30" s="15">
        <f>IF(B30=1,'1 - Caso e ipotesi'!$B$44,IF(A30&lt;='1 - Caso e ipotesi'!$B$41,'1 - Caso e ipotesi'!$B$35,'1 - Caso e ipotesi'!$B$20))</f>
        <v>1.4999999999999999E-2</v>
      </c>
      <c r="F30" s="15">
        <f>IF(B30=1,INDEX('1 - Caso e ipotesi'!$C$47:$C$49,'1 - Caso e ipotesi'!$B$38)+'2 - Rendimenti netti'!$B$30,IF(A30&lt;='1 - Caso e ipotesi'!$B$41,(1+'1 - Caso e ipotesi'!$B$36)/(1+C30)-1,'1 - Caso e ipotesi'!$B$19+'2 - Rendimenti netti'!$B$30))</f>
        <v>3.4313725490196054E-2</v>
      </c>
      <c r="G30" s="15">
        <f>IF(B30=1,INDEX('1 - Caso e ipotesi'!$D$47:$D$49,'1 - Caso e ipotesi'!$B$38),'1 - Caso e ipotesi'!$B$18)</f>
        <v>0.04</v>
      </c>
      <c r="H30" s="15">
        <f t="shared" si="0"/>
        <v>3.5299999999999887E-2</v>
      </c>
      <c r="I30" s="15">
        <f t="shared" si="1"/>
        <v>3.5299999999999887E-2</v>
      </c>
      <c r="J30" s="15">
        <f>(1+F30)*(1+C30)-1-'1 - Caso e ipotesi'!$B$31</f>
        <v>5.4999999999999938E-2</v>
      </c>
      <c r="K30" s="15">
        <f t="shared" si="2"/>
        <v>3.5299999999999887E-2</v>
      </c>
      <c r="L30" s="15">
        <f t="shared" si="3"/>
        <v>3.5299999999999887E-2</v>
      </c>
      <c r="M30" s="15">
        <f>J30-'1 - Caso e ipotesi'!$B$32</f>
        <v>3.6581599999999936E-2</v>
      </c>
      <c r="N30" s="17">
        <f>((1+K30)-'1 - Caso e ipotesi'!$B$24*MAX(H30,0)-'1 - Caso e ipotesi'!$B$26*(1+K30))/(1+C30)</f>
        <v>1.0086440196078432</v>
      </c>
      <c r="O30" s="17">
        <f>((1+L30)-'1 - Caso e ipotesi'!$B$24*MAX(I30,0)-'1 - Caso e ipotesi'!$B$26*(1+L30))/(1+C30)</f>
        <v>1.0086440196078432</v>
      </c>
      <c r="P30" s="17">
        <f>((1+M30)-'1 - Caso e ipotesi'!$B$25*MAX(M30,0)-'1 - Caso e ipotesi'!$B$26*(1+M30))/(1+C30)</f>
        <v>1.0048992360784315</v>
      </c>
      <c r="Q30" s="17">
        <f>(1+G30)*(1-'1 - Caso e ipotesi'!$B$26)</f>
        <v>1.03792</v>
      </c>
    </row>
    <row r="31" spans="1:17">
      <c r="A31" s="18">
        <v>26</v>
      </c>
      <c r="B31" s="19">
        <f>IF(AND('1 - Caso e ipotesi'!$B$38&gt;0,A31&gt;='1 - Caso e ipotesi'!$B$39,A31&lt;'1 - Caso e ipotesi'!$B$39+'1 - Caso e ipotesi'!$B$40),1,0)</f>
        <v>0</v>
      </c>
      <c r="C31" s="15">
        <f>IF(B31=1,INDEX('1 - Caso e ipotesi'!$B$47:$B$49,'1 - Caso e ipotesi'!$B$38),IF(A31&lt;='1 - Caso e ipotesi'!$B$43,'1 - Caso e ipotesi'!$B$42,'1 - Caso e ipotesi'!$B$22))</f>
        <v>0.02</v>
      </c>
      <c r="D31" s="15">
        <f>IF(B31=1,INDEX('1 - Caso e ipotesi'!$C$47:$C$49,'1 - Caso e ipotesi'!$B$38),IF(A31&lt;='1 - Caso e ipotesi'!$B$41,(1+'1 - Caso e ipotesi'!$B$34)/(1+C31)-1,'1 - Caso e ipotesi'!$B$19))</f>
        <v>1.4999999999999999E-2</v>
      </c>
      <c r="E31" s="15">
        <f>IF(B31=1,'1 - Caso e ipotesi'!$B$44,IF(A31&lt;='1 - Caso e ipotesi'!$B$41,'1 - Caso e ipotesi'!$B$35,'1 - Caso e ipotesi'!$B$20))</f>
        <v>1.4999999999999999E-2</v>
      </c>
      <c r="F31" s="15">
        <f>IF(B31=1,INDEX('1 - Caso e ipotesi'!$C$47:$C$49,'1 - Caso e ipotesi'!$B$38)+'2 - Rendimenti netti'!$B$30,IF(A31&lt;='1 - Caso e ipotesi'!$B$41,(1+'1 - Caso e ipotesi'!$B$36)/(1+C31)-1,'1 - Caso e ipotesi'!$B$19+'2 - Rendimenti netti'!$B$30))</f>
        <v>3.4313725490196054E-2</v>
      </c>
      <c r="G31" s="15">
        <f>IF(B31=1,INDEX('1 - Caso e ipotesi'!$D$47:$D$49,'1 - Caso e ipotesi'!$B$38),'1 - Caso e ipotesi'!$B$18)</f>
        <v>0.04</v>
      </c>
      <c r="H31" s="15">
        <f t="shared" si="0"/>
        <v>3.5299999999999887E-2</v>
      </c>
      <c r="I31" s="15">
        <f t="shared" si="1"/>
        <v>3.5299999999999887E-2</v>
      </c>
      <c r="J31" s="15">
        <f>(1+F31)*(1+C31)-1-'1 - Caso e ipotesi'!$B$31</f>
        <v>5.4999999999999938E-2</v>
      </c>
      <c r="K31" s="15">
        <f t="shared" si="2"/>
        <v>3.5299999999999887E-2</v>
      </c>
      <c r="L31" s="15">
        <f t="shared" si="3"/>
        <v>3.5299999999999887E-2</v>
      </c>
      <c r="M31" s="15">
        <f>J31-'1 - Caso e ipotesi'!$B$32</f>
        <v>3.6581599999999936E-2</v>
      </c>
      <c r="N31" s="17">
        <f>((1+K31)-'1 - Caso e ipotesi'!$B$24*MAX(H31,0)-'1 - Caso e ipotesi'!$B$26*(1+K31))/(1+C31)</f>
        <v>1.0086440196078432</v>
      </c>
      <c r="O31" s="17">
        <f>((1+L31)-'1 - Caso e ipotesi'!$B$24*MAX(I31,0)-'1 - Caso e ipotesi'!$B$26*(1+L31))/(1+C31)</f>
        <v>1.0086440196078432</v>
      </c>
      <c r="P31" s="17">
        <f>((1+M31)-'1 - Caso e ipotesi'!$B$25*MAX(M31,0)-'1 - Caso e ipotesi'!$B$26*(1+M31))/(1+C31)</f>
        <v>1.0048992360784315</v>
      </c>
      <c r="Q31" s="17">
        <f>(1+G31)*(1-'1 - Caso e ipotesi'!$B$26)</f>
        <v>1.03792</v>
      </c>
    </row>
    <row r="32" spans="1:17">
      <c r="A32" s="18">
        <v>27</v>
      </c>
      <c r="B32" s="19">
        <f>IF(AND('1 - Caso e ipotesi'!$B$38&gt;0,A32&gt;='1 - Caso e ipotesi'!$B$39,A32&lt;'1 - Caso e ipotesi'!$B$39+'1 - Caso e ipotesi'!$B$40),1,0)</f>
        <v>0</v>
      </c>
      <c r="C32" s="15">
        <f>IF(B32=1,INDEX('1 - Caso e ipotesi'!$B$47:$B$49,'1 - Caso e ipotesi'!$B$38),IF(A32&lt;='1 - Caso e ipotesi'!$B$43,'1 - Caso e ipotesi'!$B$42,'1 - Caso e ipotesi'!$B$22))</f>
        <v>0.02</v>
      </c>
      <c r="D32" s="15">
        <f>IF(B32=1,INDEX('1 - Caso e ipotesi'!$C$47:$C$49,'1 - Caso e ipotesi'!$B$38),IF(A32&lt;='1 - Caso e ipotesi'!$B$41,(1+'1 - Caso e ipotesi'!$B$34)/(1+C32)-1,'1 - Caso e ipotesi'!$B$19))</f>
        <v>1.4999999999999999E-2</v>
      </c>
      <c r="E32" s="15">
        <f>IF(B32=1,'1 - Caso e ipotesi'!$B$44,IF(A32&lt;='1 - Caso e ipotesi'!$B$41,'1 - Caso e ipotesi'!$B$35,'1 - Caso e ipotesi'!$B$20))</f>
        <v>1.4999999999999999E-2</v>
      </c>
      <c r="F32" s="15">
        <f>IF(B32=1,INDEX('1 - Caso e ipotesi'!$C$47:$C$49,'1 - Caso e ipotesi'!$B$38)+'2 - Rendimenti netti'!$B$30,IF(A32&lt;='1 - Caso e ipotesi'!$B$41,(1+'1 - Caso e ipotesi'!$B$36)/(1+C32)-1,'1 - Caso e ipotesi'!$B$19+'2 - Rendimenti netti'!$B$30))</f>
        <v>3.4313725490196054E-2</v>
      </c>
      <c r="G32" s="15">
        <f>IF(B32=1,INDEX('1 - Caso e ipotesi'!$D$47:$D$49,'1 - Caso e ipotesi'!$B$38),'1 - Caso e ipotesi'!$B$18)</f>
        <v>0.04</v>
      </c>
      <c r="H32" s="15">
        <f t="shared" si="0"/>
        <v>3.5299999999999887E-2</v>
      </c>
      <c r="I32" s="15">
        <f t="shared" si="1"/>
        <v>3.5299999999999887E-2</v>
      </c>
      <c r="J32" s="15">
        <f>(1+F32)*(1+C32)-1-'1 - Caso e ipotesi'!$B$31</f>
        <v>5.4999999999999938E-2</v>
      </c>
      <c r="K32" s="15">
        <f t="shared" si="2"/>
        <v>3.5299999999999887E-2</v>
      </c>
      <c r="L32" s="15">
        <f t="shared" si="3"/>
        <v>3.5299999999999887E-2</v>
      </c>
      <c r="M32" s="15">
        <f>J32-'1 - Caso e ipotesi'!$B$32</f>
        <v>3.6581599999999936E-2</v>
      </c>
      <c r="N32" s="17">
        <f>((1+K32)-'1 - Caso e ipotesi'!$B$24*MAX(H32,0)-'1 - Caso e ipotesi'!$B$26*(1+K32))/(1+C32)</f>
        <v>1.0086440196078432</v>
      </c>
      <c r="O32" s="17">
        <f>((1+L32)-'1 - Caso e ipotesi'!$B$24*MAX(I32,0)-'1 - Caso e ipotesi'!$B$26*(1+L32))/(1+C32)</f>
        <v>1.0086440196078432</v>
      </c>
      <c r="P32" s="17">
        <f>((1+M32)-'1 - Caso e ipotesi'!$B$25*MAX(M32,0)-'1 - Caso e ipotesi'!$B$26*(1+M32))/(1+C32)</f>
        <v>1.0048992360784315</v>
      </c>
      <c r="Q32" s="17">
        <f>(1+G32)*(1-'1 - Caso e ipotesi'!$B$26)</f>
        <v>1.03792</v>
      </c>
    </row>
    <row r="33" spans="1:17">
      <c r="A33" s="18">
        <v>28</v>
      </c>
      <c r="B33" s="19">
        <f>IF(AND('1 - Caso e ipotesi'!$B$38&gt;0,A33&gt;='1 - Caso e ipotesi'!$B$39,A33&lt;'1 - Caso e ipotesi'!$B$39+'1 - Caso e ipotesi'!$B$40),1,0)</f>
        <v>0</v>
      </c>
      <c r="C33" s="15">
        <f>IF(B33=1,INDEX('1 - Caso e ipotesi'!$B$47:$B$49,'1 - Caso e ipotesi'!$B$38),IF(A33&lt;='1 - Caso e ipotesi'!$B$43,'1 - Caso e ipotesi'!$B$42,'1 - Caso e ipotesi'!$B$22))</f>
        <v>0.02</v>
      </c>
      <c r="D33" s="15">
        <f>IF(B33=1,INDEX('1 - Caso e ipotesi'!$C$47:$C$49,'1 - Caso e ipotesi'!$B$38),IF(A33&lt;='1 - Caso e ipotesi'!$B$41,(1+'1 - Caso e ipotesi'!$B$34)/(1+C33)-1,'1 - Caso e ipotesi'!$B$19))</f>
        <v>1.4999999999999999E-2</v>
      </c>
      <c r="E33" s="15">
        <f>IF(B33=1,'1 - Caso e ipotesi'!$B$44,IF(A33&lt;='1 - Caso e ipotesi'!$B$41,'1 - Caso e ipotesi'!$B$35,'1 - Caso e ipotesi'!$B$20))</f>
        <v>1.4999999999999999E-2</v>
      </c>
      <c r="F33" s="15">
        <f>IF(B33=1,INDEX('1 - Caso e ipotesi'!$C$47:$C$49,'1 - Caso e ipotesi'!$B$38)+'2 - Rendimenti netti'!$B$30,IF(A33&lt;='1 - Caso e ipotesi'!$B$41,(1+'1 - Caso e ipotesi'!$B$36)/(1+C33)-1,'1 - Caso e ipotesi'!$B$19+'2 - Rendimenti netti'!$B$30))</f>
        <v>3.4313725490196054E-2</v>
      </c>
      <c r="G33" s="15">
        <f>IF(B33=1,INDEX('1 - Caso e ipotesi'!$D$47:$D$49,'1 - Caso e ipotesi'!$B$38),'1 - Caso e ipotesi'!$B$18)</f>
        <v>0.04</v>
      </c>
      <c r="H33" s="15">
        <f t="shared" si="0"/>
        <v>3.5299999999999887E-2</v>
      </c>
      <c r="I33" s="15">
        <f t="shared" si="1"/>
        <v>3.5299999999999887E-2</v>
      </c>
      <c r="J33" s="15">
        <f>(1+F33)*(1+C33)-1-'1 - Caso e ipotesi'!$B$31</f>
        <v>5.4999999999999938E-2</v>
      </c>
      <c r="K33" s="15">
        <f t="shared" si="2"/>
        <v>3.5299999999999887E-2</v>
      </c>
      <c r="L33" s="15">
        <f t="shared" si="3"/>
        <v>3.5299999999999887E-2</v>
      </c>
      <c r="M33" s="15">
        <f>J33-'1 - Caso e ipotesi'!$B$32</f>
        <v>3.6581599999999936E-2</v>
      </c>
      <c r="N33" s="17">
        <f>((1+K33)-'1 - Caso e ipotesi'!$B$24*MAX(H33,0)-'1 - Caso e ipotesi'!$B$26*(1+K33))/(1+C33)</f>
        <v>1.0086440196078432</v>
      </c>
      <c r="O33" s="17">
        <f>((1+L33)-'1 - Caso e ipotesi'!$B$24*MAX(I33,0)-'1 - Caso e ipotesi'!$B$26*(1+L33))/(1+C33)</f>
        <v>1.0086440196078432</v>
      </c>
      <c r="P33" s="17">
        <f>((1+M33)-'1 - Caso e ipotesi'!$B$25*MAX(M33,0)-'1 - Caso e ipotesi'!$B$26*(1+M33))/(1+C33)</f>
        <v>1.0048992360784315</v>
      </c>
      <c r="Q33" s="17">
        <f>(1+G33)*(1-'1 - Caso e ipotesi'!$B$26)</f>
        <v>1.03792</v>
      </c>
    </row>
    <row r="34" spans="1:17">
      <c r="A34" s="18">
        <v>29</v>
      </c>
      <c r="B34" s="19">
        <f>IF(AND('1 - Caso e ipotesi'!$B$38&gt;0,A34&gt;='1 - Caso e ipotesi'!$B$39,A34&lt;'1 - Caso e ipotesi'!$B$39+'1 - Caso e ipotesi'!$B$40),1,0)</f>
        <v>0</v>
      </c>
      <c r="C34" s="15">
        <f>IF(B34=1,INDEX('1 - Caso e ipotesi'!$B$47:$B$49,'1 - Caso e ipotesi'!$B$38),IF(A34&lt;='1 - Caso e ipotesi'!$B$43,'1 - Caso e ipotesi'!$B$42,'1 - Caso e ipotesi'!$B$22))</f>
        <v>0.02</v>
      </c>
      <c r="D34" s="15">
        <f>IF(B34=1,INDEX('1 - Caso e ipotesi'!$C$47:$C$49,'1 - Caso e ipotesi'!$B$38),IF(A34&lt;='1 - Caso e ipotesi'!$B$41,(1+'1 - Caso e ipotesi'!$B$34)/(1+C34)-1,'1 - Caso e ipotesi'!$B$19))</f>
        <v>1.4999999999999999E-2</v>
      </c>
      <c r="E34" s="15">
        <f>IF(B34=1,'1 - Caso e ipotesi'!$B$44,IF(A34&lt;='1 - Caso e ipotesi'!$B$41,'1 - Caso e ipotesi'!$B$35,'1 - Caso e ipotesi'!$B$20))</f>
        <v>1.4999999999999999E-2</v>
      </c>
      <c r="F34" s="15">
        <f>IF(B34=1,INDEX('1 - Caso e ipotesi'!$C$47:$C$49,'1 - Caso e ipotesi'!$B$38)+'2 - Rendimenti netti'!$B$30,IF(A34&lt;='1 - Caso e ipotesi'!$B$41,(1+'1 - Caso e ipotesi'!$B$36)/(1+C34)-1,'1 - Caso e ipotesi'!$B$19+'2 - Rendimenti netti'!$B$30))</f>
        <v>3.4313725490196054E-2</v>
      </c>
      <c r="G34" s="15">
        <f>IF(B34=1,INDEX('1 - Caso e ipotesi'!$D$47:$D$49,'1 - Caso e ipotesi'!$B$38),'1 - Caso e ipotesi'!$B$18)</f>
        <v>0.04</v>
      </c>
      <c r="H34" s="15">
        <f t="shared" si="0"/>
        <v>3.5299999999999887E-2</v>
      </c>
      <c r="I34" s="15">
        <f t="shared" si="1"/>
        <v>3.5299999999999887E-2</v>
      </c>
      <c r="J34" s="15">
        <f>(1+F34)*(1+C34)-1-'1 - Caso e ipotesi'!$B$31</f>
        <v>5.4999999999999938E-2</v>
      </c>
      <c r="K34" s="15">
        <f t="shared" si="2"/>
        <v>3.5299999999999887E-2</v>
      </c>
      <c r="L34" s="15">
        <f t="shared" si="3"/>
        <v>3.5299999999999887E-2</v>
      </c>
      <c r="M34" s="15">
        <f>J34-'1 - Caso e ipotesi'!$B$32</f>
        <v>3.6581599999999936E-2</v>
      </c>
      <c r="N34" s="17">
        <f>((1+K34)-'1 - Caso e ipotesi'!$B$24*MAX(H34,0)-'1 - Caso e ipotesi'!$B$26*(1+K34))/(1+C34)</f>
        <v>1.0086440196078432</v>
      </c>
      <c r="O34" s="17">
        <f>((1+L34)-'1 - Caso e ipotesi'!$B$24*MAX(I34,0)-'1 - Caso e ipotesi'!$B$26*(1+L34))/(1+C34)</f>
        <v>1.0086440196078432</v>
      </c>
      <c r="P34" s="17">
        <f>((1+M34)-'1 - Caso e ipotesi'!$B$25*MAX(M34,0)-'1 - Caso e ipotesi'!$B$26*(1+M34))/(1+C34)</f>
        <v>1.0048992360784315</v>
      </c>
      <c r="Q34" s="17">
        <f>(1+G34)*(1-'1 - Caso e ipotesi'!$B$26)</f>
        <v>1.03792</v>
      </c>
    </row>
    <row r="35" spans="1:17">
      <c r="A35" s="18">
        <v>30</v>
      </c>
      <c r="B35" s="19">
        <f>IF(AND('1 - Caso e ipotesi'!$B$38&gt;0,A35&gt;='1 - Caso e ipotesi'!$B$39,A35&lt;'1 - Caso e ipotesi'!$B$39+'1 - Caso e ipotesi'!$B$40),1,0)</f>
        <v>0</v>
      </c>
      <c r="C35" s="15">
        <f>IF(B35=1,INDEX('1 - Caso e ipotesi'!$B$47:$B$49,'1 - Caso e ipotesi'!$B$38),IF(A35&lt;='1 - Caso e ipotesi'!$B$43,'1 - Caso e ipotesi'!$B$42,'1 - Caso e ipotesi'!$B$22))</f>
        <v>0.02</v>
      </c>
      <c r="D35" s="15">
        <f>IF(B35=1,INDEX('1 - Caso e ipotesi'!$C$47:$C$49,'1 - Caso e ipotesi'!$B$38),IF(A35&lt;='1 - Caso e ipotesi'!$B$41,(1+'1 - Caso e ipotesi'!$B$34)/(1+C35)-1,'1 - Caso e ipotesi'!$B$19))</f>
        <v>1.4999999999999999E-2</v>
      </c>
      <c r="E35" s="15">
        <f>IF(B35=1,'1 - Caso e ipotesi'!$B$44,IF(A35&lt;='1 - Caso e ipotesi'!$B$41,'1 - Caso e ipotesi'!$B$35,'1 - Caso e ipotesi'!$B$20))</f>
        <v>1.4999999999999999E-2</v>
      </c>
      <c r="F35" s="15">
        <f>IF(B35=1,INDEX('1 - Caso e ipotesi'!$C$47:$C$49,'1 - Caso e ipotesi'!$B$38)+'2 - Rendimenti netti'!$B$30,IF(A35&lt;='1 - Caso e ipotesi'!$B$41,(1+'1 - Caso e ipotesi'!$B$36)/(1+C35)-1,'1 - Caso e ipotesi'!$B$19+'2 - Rendimenti netti'!$B$30))</f>
        <v>3.4313725490196054E-2</v>
      </c>
      <c r="G35" s="15">
        <f>IF(B35=1,INDEX('1 - Caso e ipotesi'!$D$47:$D$49,'1 - Caso e ipotesi'!$B$38),'1 - Caso e ipotesi'!$B$18)</f>
        <v>0.04</v>
      </c>
      <c r="H35" s="15">
        <f t="shared" si="0"/>
        <v>3.5299999999999887E-2</v>
      </c>
      <c r="I35" s="15">
        <f t="shared" si="1"/>
        <v>3.5299999999999887E-2</v>
      </c>
      <c r="J35" s="15">
        <f>(1+F35)*(1+C35)-1-'1 - Caso e ipotesi'!$B$31</f>
        <v>5.4999999999999938E-2</v>
      </c>
      <c r="K35" s="15">
        <f t="shared" si="2"/>
        <v>3.5299999999999887E-2</v>
      </c>
      <c r="L35" s="15">
        <f t="shared" si="3"/>
        <v>3.5299999999999887E-2</v>
      </c>
      <c r="M35" s="15">
        <f>J35-'1 - Caso e ipotesi'!$B$32</f>
        <v>3.6581599999999936E-2</v>
      </c>
      <c r="N35" s="17">
        <f>((1+K35)-'1 - Caso e ipotesi'!$B$24*MAX(H35,0)-'1 - Caso e ipotesi'!$B$26*(1+K35))/(1+C35)</f>
        <v>1.0086440196078432</v>
      </c>
      <c r="O35" s="17">
        <f>((1+L35)-'1 - Caso e ipotesi'!$B$24*MAX(I35,0)-'1 - Caso e ipotesi'!$B$26*(1+L35))/(1+C35)</f>
        <v>1.0086440196078432</v>
      </c>
      <c r="P35" s="17">
        <f>((1+M35)-'1 - Caso e ipotesi'!$B$25*MAX(M35,0)-'1 - Caso e ipotesi'!$B$26*(1+M35))/(1+C35)</f>
        <v>1.0048992360784315</v>
      </c>
      <c r="Q35" s="17">
        <f>(1+G35)*(1-'1 - Caso e ipotesi'!$B$26)</f>
        <v>1.03792</v>
      </c>
    </row>
    <row r="36" spans="1:17">
      <c r="A36" s="18">
        <v>31</v>
      </c>
      <c r="B36" s="19">
        <f>IF(AND('1 - Caso e ipotesi'!$B$38&gt;0,A36&gt;='1 - Caso e ipotesi'!$B$39,A36&lt;'1 - Caso e ipotesi'!$B$39+'1 - Caso e ipotesi'!$B$40),1,0)</f>
        <v>0</v>
      </c>
      <c r="C36" s="15">
        <f>IF(B36=1,INDEX('1 - Caso e ipotesi'!$B$47:$B$49,'1 - Caso e ipotesi'!$B$38),IF(A36&lt;='1 - Caso e ipotesi'!$B$43,'1 - Caso e ipotesi'!$B$42,'1 - Caso e ipotesi'!$B$22))</f>
        <v>0.02</v>
      </c>
      <c r="D36" s="15">
        <f>IF(B36=1,INDEX('1 - Caso e ipotesi'!$C$47:$C$49,'1 - Caso e ipotesi'!$B$38),IF(A36&lt;='1 - Caso e ipotesi'!$B$41,(1+'1 - Caso e ipotesi'!$B$34)/(1+C36)-1,'1 - Caso e ipotesi'!$B$19))</f>
        <v>1.4999999999999999E-2</v>
      </c>
      <c r="E36" s="15">
        <f>IF(B36=1,'1 - Caso e ipotesi'!$B$44,IF(A36&lt;='1 - Caso e ipotesi'!$B$41,'1 - Caso e ipotesi'!$B$35,'1 - Caso e ipotesi'!$B$20))</f>
        <v>1.4999999999999999E-2</v>
      </c>
      <c r="F36" s="15">
        <f>IF(B36=1,INDEX('1 - Caso e ipotesi'!$C$47:$C$49,'1 - Caso e ipotesi'!$B$38)+'2 - Rendimenti netti'!$B$30,IF(A36&lt;='1 - Caso e ipotesi'!$B$41,(1+'1 - Caso e ipotesi'!$B$36)/(1+C36)-1,'1 - Caso e ipotesi'!$B$19+'2 - Rendimenti netti'!$B$30))</f>
        <v>3.4313725490196054E-2</v>
      </c>
      <c r="G36" s="15">
        <f>IF(B36=1,INDEX('1 - Caso e ipotesi'!$D$47:$D$49,'1 - Caso e ipotesi'!$B$38),'1 - Caso e ipotesi'!$B$18)</f>
        <v>0.04</v>
      </c>
      <c r="H36" s="15">
        <f t="shared" si="0"/>
        <v>3.5299999999999887E-2</v>
      </c>
      <c r="I36" s="15">
        <f t="shared" si="1"/>
        <v>3.5299999999999887E-2</v>
      </c>
      <c r="J36" s="15">
        <f>(1+F36)*(1+C36)-1-'1 - Caso e ipotesi'!$B$31</f>
        <v>5.4999999999999938E-2</v>
      </c>
      <c r="K36" s="15">
        <f t="shared" si="2"/>
        <v>3.5299999999999887E-2</v>
      </c>
      <c r="L36" s="15">
        <f t="shared" si="3"/>
        <v>3.5299999999999887E-2</v>
      </c>
      <c r="M36" s="15">
        <f>J36-'1 - Caso e ipotesi'!$B$32</f>
        <v>3.6581599999999936E-2</v>
      </c>
      <c r="N36" s="17">
        <f>((1+K36)-'1 - Caso e ipotesi'!$B$24*MAX(H36,0)-'1 - Caso e ipotesi'!$B$26*(1+K36))/(1+C36)</f>
        <v>1.0086440196078432</v>
      </c>
      <c r="O36" s="17">
        <f>((1+L36)-'1 - Caso e ipotesi'!$B$24*MAX(I36,0)-'1 - Caso e ipotesi'!$B$26*(1+L36))/(1+C36)</f>
        <v>1.0086440196078432</v>
      </c>
      <c r="P36" s="17">
        <f>((1+M36)-'1 - Caso e ipotesi'!$B$25*MAX(M36,0)-'1 - Caso e ipotesi'!$B$26*(1+M36))/(1+C36)</f>
        <v>1.0048992360784315</v>
      </c>
      <c r="Q36" s="17">
        <f>(1+G36)*(1-'1 - Caso e ipotesi'!$B$26)</f>
        <v>1.03792</v>
      </c>
    </row>
    <row r="37" spans="1:17">
      <c r="A37" s="18">
        <v>32</v>
      </c>
      <c r="B37" s="19">
        <f>IF(AND('1 - Caso e ipotesi'!$B$38&gt;0,A37&gt;='1 - Caso e ipotesi'!$B$39,A37&lt;'1 - Caso e ipotesi'!$B$39+'1 - Caso e ipotesi'!$B$40),1,0)</f>
        <v>0</v>
      </c>
      <c r="C37" s="15">
        <f>IF(B37=1,INDEX('1 - Caso e ipotesi'!$B$47:$B$49,'1 - Caso e ipotesi'!$B$38),IF(A37&lt;='1 - Caso e ipotesi'!$B$43,'1 - Caso e ipotesi'!$B$42,'1 - Caso e ipotesi'!$B$22))</f>
        <v>0.02</v>
      </c>
      <c r="D37" s="15">
        <f>IF(B37=1,INDEX('1 - Caso e ipotesi'!$C$47:$C$49,'1 - Caso e ipotesi'!$B$38),IF(A37&lt;='1 - Caso e ipotesi'!$B$41,(1+'1 - Caso e ipotesi'!$B$34)/(1+C37)-1,'1 - Caso e ipotesi'!$B$19))</f>
        <v>1.4999999999999999E-2</v>
      </c>
      <c r="E37" s="15">
        <f>IF(B37=1,'1 - Caso e ipotesi'!$B$44,IF(A37&lt;='1 - Caso e ipotesi'!$B$41,'1 - Caso e ipotesi'!$B$35,'1 - Caso e ipotesi'!$B$20))</f>
        <v>1.4999999999999999E-2</v>
      </c>
      <c r="F37" s="15">
        <f>IF(B37=1,INDEX('1 - Caso e ipotesi'!$C$47:$C$49,'1 - Caso e ipotesi'!$B$38)+'2 - Rendimenti netti'!$B$30,IF(A37&lt;='1 - Caso e ipotesi'!$B$41,(1+'1 - Caso e ipotesi'!$B$36)/(1+C37)-1,'1 - Caso e ipotesi'!$B$19+'2 - Rendimenti netti'!$B$30))</f>
        <v>3.4313725490196054E-2</v>
      </c>
      <c r="G37" s="15">
        <f>IF(B37=1,INDEX('1 - Caso e ipotesi'!$D$47:$D$49,'1 - Caso e ipotesi'!$B$38),'1 - Caso e ipotesi'!$B$18)</f>
        <v>0.04</v>
      </c>
      <c r="H37" s="15">
        <f t="shared" si="0"/>
        <v>3.5299999999999887E-2</v>
      </c>
      <c r="I37" s="15">
        <f t="shared" si="1"/>
        <v>3.5299999999999887E-2</v>
      </c>
      <c r="J37" s="15">
        <f>(1+F37)*(1+C37)-1-'1 - Caso e ipotesi'!$B$31</f>
        <v>5.4999999999999938E-2</v>
      </c>
      <c r="K37" s="15">
        <f t="shared" si="2"/>
        <v>3.5299999999999887E-2</v>
      </c>
      <c r="L37" s="15">
        <f t="shared" si="3"/>
        <v>3.5299999999999887E-2</v>
      </c>
      <c r="M37" s="15">
        <f>J37-'1 - Caso e ipotesi'!$B$32</f>
        <v>3.6581599999999936E-2</v>
      </c>
      <c r="N37" s="17">
        <f>((1+K37)-'1 - Caso e ipotesi'!$B$24*MAX(H37,0)-'1 - Caso e ipotesi'!$B$26*(1+K37))/(1+C37)</f>
        <v>1.0086440196078432</v>
      </c>
      <c r="O37" s="17">
        <f>((1+L37)-'1 - Caso e ipotesi'!$B$24*MAX(I37,0)-'1 - Caso e ipotesi'!$B$26*(1+L37))/(1+C37)</f>
        <v>1.0086440196078432</v>
      </c>
      <c r="P37" s="17">
        <f>((1+M37)-'1 - Caso e ipotesi'!$B$25*MAX(M37,0)-'1 - Caso e ipotesi'!$B$26*(1+M37))/(1+C37)</f>
        <v>1.0048992360784315</v>
      </c>
      <c r="Q37" s="17">
        <f>(1+G37)*(1-'1 - Caso e ipotesi'!$B$26)</f>
        <v>1.03792</v>
      </c>
    </row>
    <row r="38" spans="1:17">
      <c r="A38" s="18">
        <v>33</v>
      </c>
      <c r="B38" s="19">
        <f>IF(AND('1 - Caso e ipotesi'!$B$38&gt;0,A38&gt;='1 - Caso e ipotesi'!$B$39,A38&lt;'1 - Caso e ipotesi'!$B$39+'1 - Caso e ipotesi'!$B$40),1,0)</f>
        <v>0</v>
      </c>
      <c r="C38" s="15">
        <f>IF(B38=1,INDEX('1 - Caso e ipotesi'!$B$47:$B$49,'1 - Caso e ipotesi'!$B$38),IF(A38&lt;='1 - Caso e ipotesi'!$B$43,'1 - Caso e ipotesi'!$B$42,'1 - Caso e ipotesi'!$B$22))</f>
        <v>0.02</v>
      </c>
      <c r="D38" s="15">
        <f>IF(B38=1,INDEX('1 - Caso e ipotesi'!$C$47:$C$49,'1 - Caso e ipotesi'!$B$38),IF(A38&lt;='1 - Caso e ipotesi'!$B$41,(1+'1 - Caso e ipotesi'!$B$34)/(1+C38)-1,'1 - Caso e ipotesi'!$B$19))</f>
        <v>1.4999999999999999E-2</v>
      </c>
      <c r="E38" s="15">
        <f>IF(B38=1,'1 - Caso e ipotesi'!$B$44,IF(A38&lt;='1 - Caso e ipotesi'!$B$41,'1 - Caso e ipotesi'!$B$35,'1 - Caso e ipotesi'!$B$20))</f>
        <v>1.4999999999999999E-2</v>
      </c>
      <c r="F38" s="15">
        <f>IF(B38=1,INDEX('1 - Caso e ipotesi'!$C$47:$C$49,'1 - Caso e ipotesi'!$B$38)+'2 - Rendimenti netti'!$B$30,IF(A38&lt;='1 - Caso e ipotesi'!$B$41,(1+'1 - Caso e ipotesi'!$B$36)/(1+C38)-1,'1 - Caso e ipotesi'!$B$19+'2 - Rendimenti netti'!$B$30))</f>
        <v>3.4313725490196054E-2</v>
      </c>
      <c r="G38" s="15">
        <f>IF(B38=1,INDEX('1 - Caso e ipotesi'!$D$47:$D$49,'1 - Caso e ipotesi'!$B$38),'1 - Caso e ipotesi'!$B$18)</f>
        <v>0.04</v>
      </c>
      <c r="H38" s="15">
        <f t="shared" ref="H38:H55" si="4">(1+D38)*(1+C38)-1</f>
        <v>3.5299999999999887E-2</v>
      </c>
      <c r="I38" s="15">
        <f t="shared" ref="I38:I55" si="5">(1+E38)*(1+C38)-1</f>
        <v>3.5299999999999887E-2</v>
      </c>
      <c r="J38" s="15">
        <f>(1+F38)*(1+C38)-1-'1 - Caso e ipotesi'!$B$31</f>
        <v>5.4999999999999938E-2</v>
      </c>
      <c r="K38" s="15">
        <f t="shared" ref="K38:K55" si="6">H38</f>
        <v>3.5299999999999887E-2</v>
      </c>
      <c r="L38" s="15">
        <f t="shared" ref="L38:L55" si="7">I38</f>
        <v>3.5299999999999887E-2</v>
      </c>
      <c r="M38" s="15">
        <f>J38-'1 - Caso e ipotesi'!$B$32</f>
        <v>3.6581599999999936E-2</v>
      </c>
      <c r="N38" s="17">
        <f>((1+K38)-'1 - Caso e ipotesi'!$B$24*MAX(H38,0)-'1 - Caso e ipotesi'!$B$26*(1+K38))/(1+C38)</f>
        <v>1.0086440196078432</v>
      </c>
      <c r="O38" s="17">
        <f>((1+L38)-'1 - Caso e ipotesi'!$B$24*MAX(I38,0)-'1 - Caso e ipotesi'!$B$26*(1+L38))/(1+C38)</f>
        <v>1.0086440196078432</v>
      </c>
      <c r="P38" s="17">
        <f>((1+M38)-'1 - Caso e ipotesi'!$B$25*MAX(M38,0)-'1 - Caso e ipotesi'!$B$26*(1+M38))/(1+C38)</f>
        <v>1.0048992360784315</v>
      </c>
      <c r="Q38" s="17">
        <f>(1+G38)*(1-'1 - Caso e ipotesi'!$B$26)</f>
        <v>1.03792</v>
      </c>
    </row>
    <row r="39" spans="1:17">
      <c r="A39" s="18">
        <v>34</v>
      </c>
      <c r="B39" s="19">
        <f>IF(AND('1 - Caso e ipotesi'!$B$38&gt;0,A39&gt;='1 - Caso e ipotesi'!$B$39,A39&lt;'1 - Caso e ipotesi'!$B$39+'1 - Caso e ipotesi'!$B$40),1,0)</f>
        <v>0</v>
      </c>
      <c r="C39" s="15">
        <f>IF(B39=1,INDEX('1 - Caso e ipotesi'!$B$47:$B$49,'1 - Caso e ipotesi'!$B$38),IF(A39&lt;='1 - Caso e ipotesi'!$B$43,'1 - Caso e ipotesi'!$B$42,'1 - Caso e ipotesi'!$B$22))</f>
        <v>0.02</v>
      </c>
      <c r="D39" s="15">
        <f>IF(B39=1,INDEX('1 - Caso e ipotesi'!$C$47:$C$49,'1 - Caso e ipotesi'!$B$38),IF(A39&lt;='1 - Caso e ipotesi'!$B$41,(1+'1 - Caso e ipotesi'!$B$34)/(1+C39)-1,'1 - Caso e ipotesi'!$B$19))</f>
        <v>1.4999999999999999E-2</v>
      </c>
      <c r="E39" s="15">
        <f>IF(B39=1,'1 - Caso e ipotesi'!$B$44,IF(A39&lt;='1 - Caso e ipotesi'!$B$41,'1 - Caso e ipotesi'!$B$35,'1 - Caso e ipotesi'!$B$20))</f>
        <v>1.4999999999999999E-2</v>
      </c>
      <c r="F39" s="15">
        <f>IF(B39=1,INDEX('1 - Caso e ipotesi'!$C$47:$C$49,'1 - Caso e ipotesi'!$B$38)+'2 - Rendimenti netti'!$B$30,IF(A39&lt;='1 - Caso e ipotesi'!$B$41,(1+'1 - Caso e ipotesi'!$B$36)/(1+C39)-1,'1 - Caso e ipotesi'!$B$19+'2 - Rendimenti netti'!$B$30))</f>
        <v>3.4313725490196054E-2</v>
      </c>
      <c r="G39" s="15">
        <f>IF(B39=1,INDEX('1 - Caso e ipotesi'!$D$47:$D$49,'1 - Caso e ipotesi'!$B$38),'1 - Caso e ipotesi'!$B$18)</f>
        <v>0.04</v>
      </c>
      <c r="H39" s="15">
        <f t="shared" si="4"/>
        <v>3.5299999999999887E-2</v>
      </c>
      <c r="I39" s="15">
        <f t="shared" si="5"/>
        <v>3.5299999999999887E-2</v>
      </c>
      <c r="J39" s="15">
        <f>(1+F39)*(1+C39)-1-'1 - Caso e ipotesi'!$B$31</f>
        <v>5.4999999999999938E-2</v>
      </c>
      <c r="K39" s="15">
        <f t="shared" si="6"/>
        <v>3.5299999999999887E-2</v>
      </c>
      <c r="L39" s="15">
        <f t="shared" si="7"/>
        <v>3.5299999999999887E-2</v>
      </c>
      <c r="M39" s="15">
        <f>J39-'1 - Caso e ipotesi'!$B$32</f>
        <v>3.6581599999999936E-2</v>
      </c>
      <c r="N39" s="17">
        <f>((1+K39)-'1 - Caso e ipotesi'!$B$24*MAX(H39,0)-'1 - Caso e ipotesi'!$B$26*(1+K39))/(1+C39)</f>
        <v>1.0086440196078432</v>
      </c>
      <c r="O39" s="17">
        <f>((1+L39)-'1 - Caso e ipotesi'!$B$24*MAX(I39,0)-'1 - Caso e ipotesi'!$B$26*(1+L39))/(1+C39)</f>
        <v>1.0086440196078432</v>
      </c>
      <c r="P39" s="17">
        <f>((1+M39)-'1 - Caso e ipotesi'!$B$25*MAX(M39,0)-'1 - Caso e ipotesi'!$B$26*(1+M39))/(1+C39)</f>
        <v>1.0048992360784315</v>
      </c>
      <c r="Q39" s="17">
        <f>(1+G39)*(1-'1 - Caso e ipotesi'!$B$26)</f>
        <v>1.03792</v>
      </c>
    </row>
    <row r="40" spans="1:17">
      <c r="A40" s="18">
        <v>35</v>
      </c>
      <c r="B40" s="19">
        <f>IF(AND('1 - Caso e ipotesi'!$B$38&gt;0,A40&gt;='1 - Caso e ipotesi'!$B$39,A40&lt;'1 - Caso e ipotesi'!$B$39+'1 - Caso e ipotesi'!$B$40),1,0)</f>
        <v>0</v>
      </c>
      <c r="C40" s="15">
        <f>IF(B40=1,INDEX('1 - Caso e ipotesi'!$B$47:$B$49,'1 - Caso e ipotesi'!$B$38),IF(A40&lt;='1 - Caso e ipotesi'!$B$43,'1 - Caso e ipotesi'!$B$42,'1 - Caso e ipotesi'!$B$22))</f>
        <v>0.02</v>
      </c>
      <c r="D40" s="15">
        <f>IF(B40=1,INDEX('1 - Caso e ipotesi'!$C$47:$C$49,'1 - Caso e ipotesi'!$B$38),IF(A40&lt;='1 - Caso e ipotesi'!$B$41,(1+'1 - Caso e ipotesi'!$B$34)/(1+C40)-1,'1 - Caso e ipotesi'!$B$19))</f>
        <v>1.4999999999999999E-2</v>
      </c>
      <c r="E40" s="15">
        <f>IF(B40=1,'1 - Caso e ipotesi'!$B$44,IF(A40&lt;='1 - Caso e ipotesi'!$B$41,'1 - Caso e ipotesi'!$B$35,'1 - Caso e ipotesi'!$B$20))</f>
        <v>1.4999999999999999E-2</v>
      </c>
      <c r="F40" s="15">
        <f>IF(B40=1,INDEX('1 - Caso e ipotesi'!$C$47:$C$49,'1 - Caso e ipotesi'!$B$38)+'2 - Rendimenti netti'!$B$30,IF(A40&lt;='1 - Caso e ipotesi'!$B$41,(1+'1 - Caso e ipotesi'!$B$36)/(1+C40)-1,'1 - Caso e ipotesi'!$B$19+'2 - Rendimenti netti'!$B$30))</f>
        <v>3.4313725490196054E-2</v>
      </c>
      <c r="G40" s="15">
        <f>IF(B40=1,INDEX('1 - Caso e ipotesi'!$D$47:$D$49,'1 - Caso e ipotesi'!$B$38),'1 - Caso e ipotesi'!$B$18)</f>
        <v>0.04</v>
      </c>
      <c r="H40" s="15">
        <f t="shared" si="4"/>
        <v>3.5299999999999887E-2</v>
      </c>
      <c r="I40" s="15">
        <f t="shared" si="5"/>
        <v>3.5299999999999887E-2</v>
      </c>
      <c r="J40" s="15">
        <f>(1+F40)*(1+C40)-1-'1 - Caso e ipotesi'!$B$31</f>
        <v>5.4999999999999938E-2</v>
      </c>
      <c r="K40" s="15">
        <f t="shared" si="6"/>
        <v>3.5299999999999887E-2</v>
      </c>
      <c r="L40" s="15">
        <f t="shared" si="7"/>
        <v>3.5299999999999887E-2</v>
      </c>
      <c r="M40" s="15">
        <f>J40-'1 - Caso e ipotesi'!$B$32</f>
        <v>3.6581599999999936E-2</v>
      </c>
      <c r="N40" s="17">
        <f>((1+K40)-'1 - Caso e ipotesi'!$B$24*MAX(H40,0)-'1 - Caso e ipotesi'!$B$26*(1+K40))/(1+C40)</f>
        <v>1.0086440196078432</v>
      </c>
      <c r="O40" s="17">
        <f>((1+L40)-'1 - Caso e ipotesi'!$B$24*MAX(I40,0)-'1 - Caso e ipotesi'!$B$26*(1+L40))/(1+C40)</f>
        <v>1.0086440196078432</v>
      </c>
      <c r="P40" s="17">
        <f>((1+M40)-'1 - Caso e ipotesi'!$B$25*MAX(M40,0)-'1 - Caso e ipotesi'!$B$26*(1+M40))/(1+C40)</f>
        <v>1.0048992360784315</v>
      </c>
      <c r="Q40" s="17">
        <f>(1+G40)*(1-'1 - Caso e ipotesi'!$B$26)</f>
        <v>1.03792</v>
      </c>
    </row>
    <row r="41" spans="1:17">
      <c r="A41" s="18">
        <v>36</v>
      </c>
      <c r="B41" s="19">
        <f>IF(AND('1 - Caso e ipotesi'!$B$38&gt;0,A41&gt;='1 - Caso e ipotesi'!$B$39,A41&lt;'1 - Caso e ipotesi'!$B$39+'1 - Caso e ipotesi'!$B$40),1,0)</f>
        <v>0</v>
      </c>
      <c r="C41" s="15">
        <f>IF(B41=1,INDEX('1 - Caso e ipotesi'!$B$47:$B$49,'1 - Caso e ipotesi'!$B$38),IF(A41&lt;='1 - Caso e ipotesi'!$B$43,'1 - Caso e ipotesi'!$B$42,'1 - Caso e ipotesi'!$B$22))</f>
        <v>0.02</v>
      </c>
      <c r="D41" s="15">
        <f>IF(B41=1,INDEX('1 - Caso e ipotesi'!$C$47:$C$49,'1 - Caso e ipotesi'!$B$38),IF(A41&lt;='1 - Caso e ipotesi'!$B$41,(1+'1 - Caso e ipotesi'!$B$34)/(1+C41)-1,'1 - Caso e ipotesi'!$B$19))</f>
        <v>1.4999999999999999E-2</v>
      </c>
      <c r="E41" s="15">
        <f>IF(B41=1,'1 - Caso e ipotesi'!$B$44,IF(A41&lt;='1 - Caso e ipotesi'!$B$41,'1 - Caso e ipotesi'!$B$35,'1 - Caso e ipotesi'!$B$20))</f>
        <v>1.4999999999999999E-2</v>
      </c>
      <c r="F41" s="15">
        <f>IF(B41=1,INDEX('1 - Caso e ipotesi'!$C$47:$C$49,'1 - Caso e ipotesi'!$B$38)+'2 - Rendimenti netti'!$B$30,IF(A41&lt;='1 - Caso e ipotesi'!$B$41,(1+'1 - Caso e ipotesi'!$B$36)/(1+C41)-1,'1 - Caso e ipotesi'!$B$19+'2 - Rendimenti netti'!$B$30))</f>
        <v>3.4313725490196054E-2</v>
      </c>
      <c r="G41" s="15">
        <f>IF(B41=1,INDEX('1 - Caso e ipotesi'!$D$47:$D$49,'1 - Caso e ipotesi'!$B$38),'1 - Caso e ipotesi'!$B$18)</f>
        <v>0.04</v>
      </c>
      <c r="H41" s="15">
        <f t="shared" si="4"/>
        <v>3.5299999999999887E-2</v>
      </c>
      <c r="I41" s="15">
        <f t="shared" si="5"/>
        <v>3.5299999999999887E-2</v>
      </c>
      <c r="J41" s="15">
        <f>(1+F41)*(1+C41)-1-'1 - Caso e ipotesi'!$B$31</f>
        <v>5.4999999999999938E-2</v>
      </c>
      <c r="K41" s="15">
        <f t="shared" si="6"/>
        <v>3.5299999999999887E-2</v>
      </c>
      <c r="L41" s="15">
        <f t="shared" si="7"/>
        <v>3.5299999999999887E-2</v>
      </c>
      <c r="M41" s="15">
        <f>J41-'1 - Caso e ipotesi'!$B$32</f>
        <v>3.6581599999999936E-2</v>
      </c>
      <c r="N41" s="17">
        <f>((1+K41)-'1 - Caso e ipotesi'!$B$24*MAX(H41,0)-'1 - Caso e ipotesi'!$B$26*(1+K41))/(1+C41)</f>
        <v>1.0086440196078432</v>
      </c>
      <c r="O41" s="17">
        <f>((1+L41)-'1 - Caso e ipotesi'!$B$24*MAX(I41,0)-'1 - Caso e ipotesi'!$B$26*(1+L41))/(1+C41)</f>
        <v>1.0086440196078432</v>
      </c>
      <c r="P41" s="17">
        <f>((1+M41)-'1 - Caso e ipotesi'!$B$25*MAX(M41,0)-'1 - Caso e ipotesi'!$B$26*(1+M41))/(1+C41)</f>
        <v>1.0048992360784315</v>
      </c>
      <c r="Q41" s="17">
        <f>(1+G41)*(1-'1 - Caso e ipotesi'!$B$26)</f>
        <v>1.03792</v>
      </c>
    </row>
    <row r="42" spans="1:17">
      <c r="A42" s="18">
        <v>37</v>
      </c>
      <c r="B42" s="19">
        <f>IF(AND('1 - Caso e ipotesi'!$B$38&gt;0,A42&gt;='1 - Caso e ipotesi'!$B$39,A42&lt;'1 - Caso e ipotesi'!$B$39+'1 - Caso e ipotesi'!$B$40),1,0)</f>
        <v>0</v>
      </c>
      <c r="C42" s="15">
        <f>IF(B42=1,INDEX('1 - Caso e ipotesi'!$B$47:$B$49,'1 - Caso e ipotesi'!$B$38),IF(A42&lt;='1 - Caso e ipotesi'!$B$43,'1 - Caso e ipotesi'!$B$42,'1 - Caso e ipotesi'!$B$22))</f>
        <v>0.02</v>
      </c>
      <c r="D42" s="15">
        <f>IF(B42=1,INDEX('1 - Caso e ipotesi'!$C$47:$C$49,'1 - Caso e ipotesi'!$B$38),IF(A42&lt;='1 - Caso e ipotesi'!$B$41,(1+'1 - Caso e ipotesi'!$B$34)/(1+C42)-1,'1 - Caso e ipotesi'!$B$19))</f>
        <v>1.4999999999999999E-2</v>
      </c>
      <c r="E42" s="15">
        <f>IF(B42=1,'1 - Caso e ipotesi'!$B$44,IF(A42&lt;='1 - Caso e ipotesi'!$B$41,'1 - Caso e ipotesi'!$B$35,'1 - Caso e ipotesi'!$B$20))</f>
        <v>1.4999999999999999E-2</v>
      </c>
      <c r="F42" s="15">
        <f>IF(B42=1,INDEX('1 - Caso e ipotesi'!$C$47:$C$49,'1 - Caso e ipotesi'!$B$38)+'2 - Rendimenti netti'!$B$30,IF(A42&lt;='1 - Caso e ipotesi'!$B$41,(1+'1 - Caso e ipotesi'!$B$36)/(1+C42)-1,'1 - Caso e ipotesi'!$B$19+'2 - Rendimenti netti'!$B$30))</f>
        <v>3.4313725490196054E-2</v>
      </c>
      <c r="G42" s="15">
        <f>IF(B42=1,INDEX('1 - Caso e ipotesi'!$D$47:$D$49,'1 - Caso e ipotesi'!$B$38),'1 - Caso e ipotesi'!$B$18)</f>
        <v>0.04</v>
      </c>
      <c r="H42" s="15">
        <f t="shared" si="4"/>
        <v>3.5299999999999887E-2</v>
      </c>
      <c r="I42" s="15">
        <f t="shared" si="5"/>
        <v>3.5299999999999887E-2</v>
      </c>
      <c r="J42" s="15">
        <f>(1+F42)*(1+C42)-1-'1 - Caso e ipotesi'!$B$31</f>
        <v>5.4999999999999938E-2</v>
      </c>
      <c r="K42" s="15">
        <f t="shared" si="6"/>
        <v>3.5299999999999887E-2</v>
      </c>
      <c r="L42" s="15">
        <f t="shared" si="7"/>
        <v>3.5299999999999887E-2</v>
      </c>
      <c r="M42" s="15">
        <f>J42-'1 - Caso e ipotesi'!$B$32</f>
        <v>3.6581599999999936E-2</v>
      </c>
      <c r="N42" s="17">
        <f>((1+K42)-'1 - Caso e ipotesi'!$B$24*MAX(H42,0)-'1 - Caso e ipotesi'!$B$26*(1+K42))/(1+C42)</f>
        <v>1.0086440196078432</v>
      </c>
      <c r="O42" s="17">
        <f>((1+L42)-'1 - Caso e ipotesi'!$B$24*MAX(I42,0)-'1 - Caso e ipotesi'!$B$26*(1+L42))/(1+C42)</f>
        <v>1.0086440196078432</v>
      </c>
      <c r="P42" s="17">
        <f>((1+M42)-'1 - Caso e ipotesi'!$B$25*MAX(M42,0)-'1 - Caso e ipotesi'!$B$26*(1+M42))/(1+C42)</f>
        <v>1.0048992360784315</v>
      </c>
      <c r="Q42" s="17">
        <f>(1+G42)*(1-'1 - Caso e ipotesi'!$B$26)</f>
        <v>1.03792</v>
      </c>
    </row>
    <row r="43" spans="1:17">
      <c r="A43" s="18">
        <v>38</v>
      </c>
      <c r="B43" s="19">
        <f>IF(AND('1 - Caso e ipotesi'!$B$38&gt;0,A43&gt;='1 - Caso e ipotesi'!$B$39,A43&lt;'1 - Caso e ipotesi'!$B$39+'1 - Caso e ipotesi'!$B$40),1,0)</f>
        <v>0</v>
      </c>
      <c r="C43" s="15">
        <f>IF(B43=1,INDEX('1 - Caso e ipotesi'!$B$47:$B$49,'1 - Caso e ipotesi'!$B$38),IF(A43&lt;='1 - Caso e ipotesi'!$B$43,'1 - Caso e ipotesi'!$B$42,'1 - Caso e ipotesi'!$B$22))</f>
        <v>0.02</v>
      </c>
      <c r="D43" s="15">
        <f>IF(B43=1,INDEX('1 - Caso e ipotesi'!$C$47:$C$49,'1 - Caso e ipotesi'!$B$38),IF(A43&lt;='1 - Caso e ipotesi'!$B$41,(1+'1 - Caso e ipotesi'!$B$34)/(1+C43)-1,'1 - Caso e ipotesi'!$B$19))</f>
        <v>1.4999999999999999E-2</v>
      </c>
      <c r="E43" s="15">
        <f>IF(B43=1,'1 - Caso e ipotesi'!$B$44,IF(A43&lt;='1 - Caso e ipotesi'!$B$41,'1 - Caso e ipotesi'!$B$35,'1 - Caso e ipotesi'!$B$20))</f>
        <v>1.4999999999999999E-2</v>
      </c>
      <c r="F43" s="15">
        <f>IF(B43=1,INDEX('1 - Caso e ipotesi'!$C$47:$C$49,'1 - Caso e ipotesi'!$B$38)+'2 - Rendimenti netti'!$B$30,IF(A43&lt;='1 - Caso e ipotesi'!$B$41,(1+'1 - Caso e ipotesi'!$B$36)/(1+C43)-1,'1 - Caso e ipotesi'!$B$19+'2 - Rendimenti netti'!$B$30))</f>
        <v>3.4313725490196054E-2</v>
      </c>
      <c r="G43" s="15">
        <f>IF(B43=1,INDEX('1 - Caso e ipotesi'!$D$47:$D$49,'1 - Caso e ipotesi'!$B$38),'1 - Caso e ipotesi'!$B$18)</f>
        <v>0.04</v>
      </c>
      <c r="H43" s="15">
        <f t="shared" si="4"/>
        <v>3.5299999999999887E-2</v>
      </c>
      <c r="I43" s="15">
        <f t="shared" si="5"/>
        <v>3.5299999999999887E-2</v>
      </c>
      <c r="J43" s="15">
        <f>(1+F43)*(1+C43)-1-'1 - Caso e ipotesi'!$B$31</f>
        <v>5.4999999999999938E-2</v>
      </c>
      <c r="K43" s="15">
        <f t="shared" si="6"/>
        <v>3.5299999999999887E-2</v>
      </c>
      <c r="L43" s="15">
        <f t="shared" si="7"/>
        <v>3.5299999999999887E-2</v>
      </c>
      <c r="M43" s="15">
        <f>J43-'1 - Caso e ipotesi'!$B$32</f>
        <v>3.6581599999999936E-2</v>
      </c>
      <c r="N43" s="17">
        <f>((1+K43)-'1 - Caso e ipotesi'!$B$24*MAX(H43,0)-'1 - Caso e ipotesi'!$B$26*(1+K43))/(1+C43)</f>
        <v>1.0086440196078432</v>
      </c>
      <c r="O43" s="17">
        <f>((1+L43)-'1 - Caso e ipotesi'!$B$24*MAX(I43,0)-'1 - Caso e ipotesi'!$B$26*(1+L43))/(1+C43)</f>
        <v>1.0086440196078432</v>
      </c>
      <c r="P43" s="17">
        <f>((1+M43)-'1 - Caso e ipotesi'!$B$25*MAX(M43,0)-'1 - Caso e ipotesi'!$B$26*(1+M43))/(1+C43)</f>
        <v>1.0048992360784315</v>
      </c>
      <c r="Q43" s="17">
        <f>(1+G43)*(1-'1 - Caso e ipotesi'!$B$26)</f>
        <v>1.03792</v>
      </c>
    </row>
    <row r="44" spans="1:17">
      <c r="A44" s="18">
        <v>39</v>
      </c>
      <c r="B44" s="19">
        <f>IF(AND('1 - Caso e ipotesi'!$B$38&gt;0,A44&gt;='1 - Caso e ipotesi'!$B$39,A44&lt;'1 - Caso e ipotesi'!$B$39+'1 - Caso e ipotesi'!$B$40),1,0)</f>
        <v>0</v>
      </c>
      <c r="C44" s="15">
        <f>IF(B44=1,INDEX('1 - Caso e ipotesi'!$B$47:$B$49,'1 - Caso e ipotesi'!$B$38),IF(A44&lt;='1 - Caso e ipotesi'!$B$43,'1 - Caso e ipotesi'!$B$42,'1 - Caso e ipotesi'!$B$22))</f>
        <v>0.02</v>
      </c>
      <c r="D44" s="15">
        <f>IF(B44=1,INDEX('1 - Caso e ipotesi'!$C$47:$C$49,'1 - Caso e ipotesi'!$B$38),IF(A44&lt;='1 - Caso e ipotesi'!$B$41,(1+'1 - Caso e ipotesi'!$B$34)/(1+C44)-1,'1 - Caso e ipotesi'!$B$19))</f>
        <v>1.4999999999999999E-2</v>
      </c>
      <c r="E44" s="15">
        <f>IF(B44=1,'1 - Caso e ipotesi'!$B$44,IF(A44&lt;='1 - Caso e ipotesi'!$B$41,'1 - Caso e ipotesi'!$B$35,'1 - Caso e ipotesi'!$B$20))</f>
        <v>1.4999999999999999E-2</v>
      </c>
      <c r="F44" s="15">
        <f>IF(B44=1,INDEX('1 - Caso e ipotesi'!$C$47:$C$49,'1 - Caso e ipotesi'!$B$38)+'2 - Rendimenti netti'!$B$30,IF(A44&lt;='1 - Caso e ipotesi'!$B$41,(1+'1 - Caso e ipotesi'!$B$36)/(1+C44)-1,'1 - Caso e ipotesi'!$B$19+'2 - Rendimenti netti'!$B$30))</f>
        <v>3.4313725490196054E-2</v>
      </c>
      <c r="G44" s="15">
        <f>IF(B44=1,INDEX('1 - Caso e ipotesi'!$D$47:$D$49,'1 - Caso e ipotesi'!$B$38),'1 - Caso e ipotesi'!$B$18)</f>
        <v>0.04</v>
      </c>
      <c r="H44" s="15">
        <f t="shared" si="4"/>
        <v>3.5299999999999887E-2</v>
      </c>
      <c r="I44" s="15">
        <f t="shared" si="5"/>
        <v>3.5299999999999887E-2</v>
      </c>
      <c r="J44" s="15">
        <f>(1+F44)*(1+C44)-1-'1 - Caso e ipotesi'!$B$31</f>
        <v>5.4999999999999938E-2</v>
      </c>
      <c r="K44" s="15">
        <f t="shared" si="6"/>
        <v>3.5299999999999887E-2</v>
      </c>
      <c r="L44" s="15">
        <f t="shared" si="7"/>
        <v>3.5299999999999887E-2</v>
      </c>
      <c r="M44" s="15">
        <f>J44-'1 - Caso e ipotesi'!$B$32</f>
        <v>3.6581599999999936E-2</v>
      </c>
      <c r="N44" s="17">
        <f>((1+K44)-'1 - Caso e ipotesi'!$B$24*MAX(H44,0)-'1 - Caso e ipotesi'!$B$26*(1+K44))/(1+C44)</f>
        <v>1.0086440196078432</v>
      </c>
      <c r="O44" s="17">
        <f>((1+L44)-'1 - Caso e ipotesi'!$B$24*MAX(I44,0)-'1 - Caso e ipotesi'!$B$26*(1+L44))/(1+C44)</f>
        <v>1.0086440196078432</v>
      </c>
      <c r="P44" s="17">
        <f>((1+M44)-'1 - Caso e ipotesi'!$B$25*MAX(M44,0)-'1 - Caso e ipotesi'!$B$26*(1+M44))/(1+C44)</f>
        <v>1.0048992360784315</v>
      </c>
      <c r="Q44" s="17">
        <f>(1+G44)*(1-'1 - Caso e ipotesi'!$B$26)</f>
        <v>1.03792</v>
      </c>
    </row>
    <row r="45" spans="1:17">
      <c r="A45" s="18">
        <v>40</v>
      </c>
      <c r="B45" s="19">
        <f>IF(AND('1 - Caso e ipotesi'!$B$38&gt;0,A45&gt;='1 - Caso e ipotesi'!$B$39,A45&lt;'1 - Caso e ipotesi'!$B$39+'1 - Caso e ipotesi'!$B$40),1,0)</f>
        <v>0</v>
      </c>
      <c r="C45" s="15">
        <f>IF(B45=1,INDEX('1 - Caso e ipotesi'!$B$47:$B$49,'1 - Caso e ipotesi'!$B$38),IF(A45&lt;='1 - Caso e ipotesi'!$B$43,'1 - Caso e ipotesi'!$B$42,'1 - Caso e ipotesi'!$B$22))</f>
        <v>0.02</v>
      </c>
      <c r="D45" s="15">
        <f>IF(B45=1,INDEX('1 - Caso e ipotesi'!$C$47:$C$49,'1 - Caso e ipotesi'!$B$38),IF(A45&lt;='1 - Caso e ipotesi'!$B$41,(1+'1 - Caso e ipotesi'!$B$34)/(1+C45)-1,'1 - Caso e ipotesi'!$B$19))</f>
        <v>1.4999999999999999E-2</v>
      </c>
      <c r="E45" s="15">
        <f>IF(B45=1,'1 - Caso e ipotesi'!$B$44,IF(A45&lt;='1 - Caso e ipotesi'!$B$41,'1 - Caso e ipotesi'!$B$35,'1 - Caso e ipotesi'!$B$20))</f>
        <v>1.4999999999999999E-2</v>
      </c>
      <c r="F45" s="15">
        <f>IF(B45=1,INDEX('1 - Caso e ipotesi'!$C$47:$C$49,'1 - Caso e ipotesi'!$B$38)+'2 - Rendimenti netti'!$B$30,IF(A45&lt;='1 - Caso e ipotesi'!$B$41,(1+'1 - Caso e ipotesi'!$B$36)/(1+C45)-1,'1 - Caso e ipotesi'!$B$19+'2 - Rendimenti netti'!$B$30))</f>
        <v>3.4313725490196054E-2</v>
      </c>
      <c r="G45" s="15">
        <f>IF(B45=1,INDEX('1 - Caso e ipotesi'!$D$47:$D$49,'1 - Caso e ipotesi'!$B$38),'1 - Caso e ipotesi'!$B$18)</f>
        <v>0.04</v>
      </c>
      <c r="H45" s="15">
        <f t="shared" si="4"/>
        <v>3.5299999999999887E-2</v>
      </c>
      <c r="I45" s="15">
        <f t="shared" si="5"/>
        <v>3.5299999999999887E-2</v>
      </c>
      <c r="J45" s="15">
        <f>(1+F45)*(1+C45)-1-'1 - Caso e ipotesi'!$B$31</f>
        <v>5.4999999999999938E-2</v>
      </c>
      <c r="K45" s="15">
        <f t="shared" si="6"/>
        <v>3.5299999999999887E-2</v>
      </c>
      <c r="L45" s="15">
        <f t="shared" si="7"/>
        <v>3.5299999999999887E-2</v>
      </c>
      <c r="M45" s="15">
        <f>J45-'1 - Caso e ipotesi'!$B$32</f>
        <v>3.6581599999999936E-2</v>
      </c>
      <c r="N45" s="17">
        <f>((1+K45)-'1 - Caso e ipotesi'!$B$24*MAX(H45,0)-'1 - Caso e ipotesi'!$B$26*(1+K45))/(1+C45)</f>
        <v>1.0086440196078432</v>
      </c>
      <c r="O45" s="17">
        <f>((1+L45)-'1 - Caso e ipotesi'!$B$24*MAX(I45,0)-'1 - Caso e ipotesi'!$B$26*(1+L45))/(1+C45)</f>
        <v>1.0086440196078432</v>
      </c>
      <c r="P45" s="17">
        <f>((1+M45)-'1 - Caso e ipotesi'!$B$25*MAX(M45,0)-'1 - Caso e ipotesi'!$B$26*(1+M45))/(1+C45)</f>
        <v>1.0048992360784315</v>
      </c>
      <c r="Q45" s="17">
        <f>(1+G45)*(1-'1 - Caso e ipotesi'!$B$26)</f>
        <v>1.03792</v>
      </c>
    </row>
    <row r="46" spans="1:17">
      <c r="A46" s="18">
        <v>41</v>
      </c>
      <c r="B46" s="19">
        <f>IF(AND('1 - Caso e ipotesi'!$B$38&gt;0,A46&gt;='1 - Caso e ipotesi'!$B$39,A46&lt;'1 - Caso e ipotesi'!$B$39+'1 - Caso e ipotesi'!$B$40),1,0)</f>
        <v>0</v>
      </c>
      <c r="C46" s="15">
        <f>IF(B46=1,INDEX('1 - Caso e ipotesi'!$B$47:$B$49,'1 - Caso e ipotesi'!$B$38),IF(A46&lt;='1 - Caso e ipotesi'!$B$43,'1 - Caso e ipotesi'!$B$42,'1 - Caso e ipotesi'!$B$22))</f>
        <v>0.02</v>
      </c>
      <c r="D46" s="15">
        <f>IF(B46=1,INDEX('1 - Caso e ipotesi'!$C$47:$C$49,'1 - Caso e ipotesi'!$B$38),IF(A46&lt;='1 - Caso e ipotesi'!$B$41,(1+'1 - Caso e ipotesi'!$B$34)/(1+C46)-1,'1 - Caso e ipotesi'!$B$19))</f>
        <v>1.4999999999999999E-2</v>
      </c>
      <c r="E46" s="15">
        <f>IF(B46=1,'1 - Caso e ipotesi'!$B$44,IF(A46&lt;='1 - Caso e ipotesi'!$B$41,'1 - Caso e ipotesi'!$B$35,'1 - Caso e ipotesi'!$B$20))</f>
        <v>1.4999999999999999E-2</v>
      </c>
      <c r="F46" s="15">
        <f>IF(B46=1,INDEX('1 - Caso e ipotesi'!$C$47:$C$49,'1 - Caso e ipotesi'!$B$38)+'2 - Rendimenti netti'!$B$30,IF(A46&lt;='1 - Caso e ipotesi'!$B$41,(1+'1 - Caso e ipotesi'!$B$36)/(1+C46)-1,'1 - Caso e ipotesi'!$B$19+'2 - Rendimenti netti'!$B$30))</f>
        <v>3.4313725490196054E-2</v>
      </c>
      <c r="G46" s="15">
        <f>IF(B46=1,INDEX('1 - Caso e ipotesi'!$D$47:$D$49,'1 - Caso e ipotesi'!$B$38),'1 - Caso e ipotesi'!$B$18)</f>
        <v>0.04</v>
      </c>
      <c r="H46" s="15">
        <f t="shared" si="4"/>
        <v>3.5299999999999887E-2</v>
      </c>
      <c r="I46" s="15">
        <f t="shared" si="5"/>
        <v>3.5299999999999887E-2</v>
      </c>
      <c r="J46" s="15">
        <f>(1+F46)*(1+C46)-1-'1 - Caso e ipotesi'!$B$31</f>
        <v>5.4999999999999938E-2</v>
      </c>
      <c r="K46" s="15">
        <f t="shared" si="6"/>
        <v>3.5299999999999887E-2</v>
      </c>
      <c r="L46" s="15">
        <f t="shared" si="7"/>
        <v>3.5299999999999887E-2</v>
      </c>
      <c r="M46" s="15">
        <f>J46-'1 - Caso e ipotesi'!$B$32</f>
        <v>3.6581599999999936E-2</v>
      </c>
      <c r="N46" s="17">
        <f>((1+K46)-'1 - Caso e ipotesi'!$B$24*MAX(H46,0)-'1 - Caso e ipotesi'!$B$26*(1+K46))/(1+C46)</f>
        <v>1.0086440196078432</v>
      </c>
      <c r="O46" s="17">
        <f>((1+L46)-'1 - Caso e ipotesi'!$B$24*MAX(I46,0)-'1 - Caso e ipotesi'!$B$26*(1+L46))/(1+C46)</f>
        <v>1.0086440196078432</v>
      </c>
      <c r="P46" s="17">
        <f>((1+M46)-'1 - Caso e ipotesi'!$B$25*MAX(M46,0)-'1 - Caso e ipotesi'!$B$26*(1+M46))/(1+C46)</f>
        <v>1.0048992360784315</v>
      </c>
      <c r="Q46" s="17">
        <f>(1+G46)*(1-'1 - Caso e ipotesi'!$B$26)</f>
        <v>1.03792</v>
      </c>
    </row>
    <row r="47" spans="1:17">
      <c r="A47" s="18">
        <v>42</v>
      </c>
      <c r="B47" s="19">
        <f>IF(AND('1 - Caso e ipotesi'!$B$38&gt;0,A47&gt;='1 - Caso e ipotesi'!$B$39,A47&lt;'1 - Caso e ipotesi'!$B$39+'1 - Caso e ipotesi'!$B$40),1,0)</f>
        <v>0</v>
      </c>
      <c r="C47" s="15">
        <f>IF(B47=1,INDEX('1 - Caso e ipotesi'!$B$47:$B$49,'1 - Caso e ipotesi'!$B$38),IF(A47&lt;='1 - Caso e ipotesi'!$B$43,'1 - Caso e ipotesi'!$B$42,'1 - Caso e ipotesi'!$B$22))</f>
        <v>0.02</v>
      </c>
      <c r="D47" s="15">
        <f>IF(B47=1,INDEX('1 - Caso e ipotesi'!$C$47:$C$49,'1 - Caso e ipotesi'!$B$38),IF(A47&lt;='1 - Caso e ipotesi'!$B$41,(1+'1 - Caso e ipotesi'!$B$34)/(1+C47)-1,'1 - Caso e ipotesi'!$B$19))</f>
        <v>1.4999999999999999E-2</v>
      </c>
      <c r="E47" s="15">
        <f>IF(B47=1,'1 - Caso e ipotesi'!$B$44,IF(A47&lt;='1 - Caso e ipotesi'!$B$41,'1 - Caso e ipotesi'!$B$35,'1 - Caso e ipotesi'!$B$20))</f>
        <v>1.4999999999999999E-2</v>
      </c>
      <c r="F47" s="15">
        <f>IF(B47=1,INDEX('1 - Caso e ipotesi'!$C$47:$C$49,'1 - Caso e ipotesi'!$B$38)+'2 - Rendimenti netti'!$B$30,IF(A47&lt;='1 - Caso e ipotesi'!$B$41,(1+'1 - Caso e ipotesi'!$B$36)/(1+C47)-1,'1 - Caso e ipotesi'!$B$19+'2 - Rendimenti netti'!$B$30))</f>
        <v>3.4313725490196054E-2</v>
      </c>
      <c r="G47" s="15">
        <f>IF(B47=1,INDEX('1 - Caso e ipotesi'!$D$47:$D$49,'1 - Caso e ipotesi'!$B$38),'1 - Caso e ipotesi'!$B$18)</f>
        <v>0.04</v>
      </c>
      <c r="H47" s="15">
        <f t="shared" si="4"/>
        <v>3.5299999999999887E-2</v>
      </c>
      <c r="I47" s="15">
        <f t="shared" si="5"/>
        <v>3.5299999999999887E-2</v>
      </c>
      <c r="J47" s="15">
        <f>(1+F47)*(1+C47)-1-'1 - Caso e ipotesi'!$B$31</f>
        <v>5.4999999999999938E-2</v>
      </c>
      <c r="K47" s="15">
        <f t="shared" si="6"/>
        <v>3.5299999999999887E-2</v>
      </c>
      <c r="L47" s="15">
        <f t="shared" si="7"/>
        <v>3.5299999999999887E-2</v>
      </c>
      <c r="M47" s="15">
        <f>J47-'1 - Caso e ipotesi'!$B$32</f>
        <v>3.6581599999999936E-2</v>
      </c>
      <c r="N47" s="17">
        <f>((1+K47)-'1 - Caso e ipotesi'!$B$24*MAX(H47,0)-'1 - Caso e ipotesi'!$B$26*(1+K47))/(1+C47)</f>
        <v>1.0086440196078432</v>
      </c>
      <c r="O47" s="17">
        <f>((1+L47)-'1 - Caso e ipotesi'!$B$24*MAX(I47,0)-'1 - Caso e ipotesi'!$B$26*(1+L47))/(1+C47)</f>
        <v>1.0086440196078432</v>
      </c>
      <c r="P47" s="17">
        <f>((1+M47)-'1 - Caso e ipotesi'!$B$25*MAX(M47,0)-'1 - Caso e ipotesi'!$B$26*(1+M47))/(1+C47)</f>
        <v>1.0048992360784315</v>
      </c>
      <c r="Q47" s="17">
        <f>(1+G47)*(1-'1 - Caso e ipotesi'!$B$26)</f>
        <v>1.03792</v>
      </c>
    </row>
    <row r="48" spans="1:17">
      <c r="A48" s="18">
        <v>43</v>
      </c>
      <c r="B48" s="19">
        <f>IF(AND('1 - Caso e ipotesi'!$B$38&gt;0,A48&gt;='1 - Caso e ipotesi'!$B$39,A48&lt;'1 - Caso e ipotesi'!$B$39+'1 - Caso e ipotesi'!$B$40),1,0)</f>
        <v>0</v>
      </c>
      <c r="C48" s="15">
        <f>IF(B48=1,INDEX('1 - Caso e ipotesi'!$B$47:$B$49,'1 - Caso e ipotesi'!$B$38),IF(A48&lt;='1 - Caso e ipotesi'!$B$43,'1 - Caso e ipotesi'!$B$42,'1 - Caso e ipotesi'!$B$22))</f>
        <v>0.02</v>
      </c>
      <c r="D48" s="15">
        <f>IF(B48=1,INDEX('1 - Caso e ipotesi'!$C$47:$C$49,'1 - Caso e ipotesi'!$B$38),IF(A48&lt;='1 - Caso e ipotesi'!$B$41,(1+'1 - Caso e ipotesi'!$B$34)/(1+C48)-1,'1 - Caso e ipotesi'!$B$19))</f>
        <v>1.4999999999999999E-2</v>
      </c>
      <c r="E48" s="15">
        <f>IF(B48=1,'1 - Caso e ipotesi'!$B$44,IF(A48&lt;='1 - Caso e ipotesi'!$B$41,'1 - Caso e ipotesi'!$B$35,'1 - Caso e ipotesi'!$B$20))</f>
        <v>1.4999999999999999E-2</v>
      </c>
      <c r="F48" s="15">
        <f>IF(B48=1,INDEX('1 - Caso e ipotesi'!$C$47:$C$49,'1 - Caso e ipotesi'!$B$38)+'2 - Rendimenti netti'!$B$30,IF(A48&lt;='1 - Caso e ipotesi'!$B$41,(1+'1 - Caso e ipotesi'!$B$36)/(1+C48)-1,'1 - Caso e ipotesi'!$B$19+'2 - Rendimenti netti'!$B$30))</f>
        <v>3.4313725490196054E-2</v>
      </c>
      <c r="G48" s="15">
        <f>IF(B48=1,INDEX('1 - Caso e ipotesi'!$D$47:$D$49,'1 - Caso e ipotesi'!$B$38),'1 - Caso e ipotesi'!$B$18)</f>
        <v>0.04</v>
      </c>
      <c r="H48" s="15">
        <f t="shared" si="4"/>
        <v>3.5299999999999887E-2</v>
      </c>
      <c r="I48" s="15">
        <f t="shared" si="5"/>
        <v>3.5299999999999887E-2</v>
      </c>
      <c r="J48" s="15">
        <f>(1+F48)*(1+C48)-1-'1 - Caso e ipotesi'!$B$31</f>
        <v>5.4999999999999938E-2</v>
      </c>
      <c r="K48" s="15">
        <f t="shared" si="6"/>
        <v>3.5299999999999887E-2</v>
      </c>
      <c r="L48" s="15">
        <f t="shared" si="7"/>
        <v>3.5299999999999887E-2</v>
      </c>
      <c r="M48" s="15">
        <f>J48-'1 - Caso e ipotesi'!$B$32</f>
        <v>3.6581599999999936E-2</v>
      </c>
      <c r="N48" s="17">
        <f>((1+K48)-'1 - Caso e ipotesi'!$B$24*MAX(H48,0)-'1 - Caso e ipotesi'!$B$26*(1+K48))/(1+C48)</f>
        <v>1.0086440196078432</v>
      </c>
      <c r="O48" s="17">
        <f>((1+L48)-'1 - Caso e ipotesi'!$B$24*MAX(I48,0)-'1 - Caso e ipotesi'!$B$26*(1+L48))/(1+C48)</f>
        <v>1.0086440196078432</v>
      </c>
      <c r="P48" s="17">
        <f>((1+M48)-'1 - Caso e ipotesi'!$B$25*MAX(M48,0)-'1 - Caso e ipotesi'!$B$26*(1+M48))/(1+C48)</f>
        <v>1.0048992360784315</v>
      </c>
      <c r="Q48" s="17">
        <f>(1+G48)*(1-'1 - Caso e ipotesi'!$B$26)</f>
        <v>1.03792</v>
      </c>
    </row>
    <row r="49" spans="1:17">
      <c r="A49" s="18">
        <v>44</v>
      </c>
      <c r="B49" s="19">
        <f>IF(AND('1 - Caso e ipotesi'!$B$38&gt;0,A49&gt;='1 - Caso e ipotesi'!$B$39,A49&lt;'1 - Caso e ipotesi'!$B$39+'1 - Caso e ipotesi'!$B$40),1,0)</f>
        <v>0</v>
      </c>
      <c r="C49" s="15">
        <f>IF(B49=1,INDEX('1 - Caso e ipotesi'!$B$47:$B$49,'1 - Caso e ipotesi'!$B$38),IF(A49&lt;='1 - Caso e ipotesi'!$B$43,'1 - Caso e ipotesi'!$B$42,'1 - Caso e ipotesi'!$B$22))</f>
        <v>0.02</v>
      </c>
      <c r="D49" s="15">
        <f>IF(B49=1,INDEX('1 - Caso e ipotesi'!$C$47:$C$49,'1 - Caso e ipotesi'!$B$38),IF(A49&lt;='1 - Caso e ipotesi'!$B$41,(1+'1 - Caso e ipotesi'!$B$34)/(1+C49)-1,'1 - Caso e ipotesi'!$B$19))</f>
        <v>1.4999999999999999E-2</v>
      </c>
      <c r="E49" s="15">
        <f>IF(B49=1,'1 - Caso e ipotesi'!$B$44,IF(A49&lt;='1 - Caso e ipotesi'!$B$41,'1 - Caso e ipotesi'!$B$35,'1 - Caso e ipotesi'!$B$20))</f>
        <v>1.4999999999999999E-2</v>
      </c>
      <c r="F49" s="15">
        <f>IF(B49=1,INDEX('1 - Caso e ipotesi'!$C$47:$C$49,'1 - Caso e ipotesi'!$B$38)+'2 - Rendimenti netti'!$B$30,IF(A49&lt;='1 - Caso e ipotesi'!$B$41,(1+'1 - Caso e ipotesi'!$B$36)/(1+C49)-1,'1 - Caso e ipotesi'!$B$19+'2 - Rendimenti netti'!$B$30))</f>
        <v>3.4313725490196054E-2</v>
      </c>
      <c r="G49" s="15">
        <f>IF(B49=1,INDEX('1 - Caso e ipotesi'!$D$47:$D$49,'1 - Caso e ipotesi'!$B$38),'1 - Caso e ipotesi'!$B$18)</f>
        <v>0.04</v>
      </c>
      <c r="H49" s="15">
        <f t="shared" si="4"/>
        <v>3.5299999999999887E-2</v>
      </c>
      <c r="I49" s="15">
        <f t="shared" si="5"/>
        <v>3.5299999999999887E-2</v>
      </c>
      <c r="J49" s="15">
        <f>(1+F49)*(1+C49)-1-'1 - Caso e ipotesi'!$B$31</f>
        <v>5.4999999999999938E-2</v>
      </c>
      <c r="K49" s="15">
        <f t="shared" si="6"/>
        <v>3.5299999999999887E-2</v>
      </c>
      <c r="L49" s="15">
        <f t="shared" si="7"/>
        <v>3.5299999999999887E-2</v>
      </c>
      <c r="M49" s="15">
        <f>J49-'1 - Caso e ipotesi'!$B$32</f>
        <v>3.6581599999999936E-2</v>
      </c>
      <c r="N49" s="17">
        <f>((1+K49)-'1 - Caso e ipotesi'!$B$24*MAX(H49,0)-'1 - Caso e ipotesi'!$B$26*(1+K49))/(1+C49)</f>
        <v>1.0086440196078432</v>
      </c>
      <c r="O49" s="17">
        <f>((1+L49)-'1 - Caso e ipotesi'!$B$24*MAX(I49,0)-'1 - Caso e ipotesi'!$B$26*(1+L49))/(1+C49)</f>
        <v>1.0086440196078432</v>
      </c>
      <c r="P49" s="17">
        <f>((1+M49)-'1 - Caso e ipotesi'!$B$25*MAX(M49,0)-'1 - Caso e ipotesi'!$B$26*(1+M49))/(1+C49)</f>
        <v>1.0048992360784315</v>
      </c>
      <c r="Q49" s="17">
        <f>(1+G49)*(1-'1 - Caso e ipotesi'!$B$26)</f>
        <v>1.03792</v>
      </c>
    </row>
    <row r="50" spans="1:17">
      <c r="A50" s="18">
        <v>45</v>
      </c>
      <c r="B50" s="19">
        <f>IF(AND('1 - Caso e ipotesi'!$B$38&gt;0,A50&gt;='1 - Caso e ipotesi'!$B$39,A50&lt;'1 - Caso e ipotesi'!$B$39+'1 - Caso e ipotesi'!$B$40),1,0)</f>
        <v>0</v>
      </c>
      <c r="C50" s="15">
        <f>IF(B50=1,INDEX('1 - Caso e ipotesi'!$B$47:$B$49,'1 - Caso e ipotesi'!$B$38),IF(A50&lt;='1 - Caso e ipotesi'!$B$43,'1 - Caso e ipotesi'!$B$42,'1 - Caso e ipotesi'!$B$22))</f>
        <v>0.02</v>
      </c>
      <c r="D50" s="15">
        <f>IF(B50=1,INDEX('1 - Caso e ipotesi'!$C$47:$C$49,'1 - Caso e ipotesi'!$B$38),IF(A50&lt;='1 - Caso e ipotesi'!$B$41,(1+'1 - Caso e ipotesi'!$B$34)/(1+C50)-1,'1 - Caso e ipotesi'!$B$19))</f>
        <v>1.4999999999999999E-2</v>
      </c>
      <c r="E50" s="15">
        <f>IF(B50=1,'1 - Caso e ipotesi'!$B$44,IF(A50&lt;='1 - Caso e ipotesi'!$B$41,'1 - Caso e ipotesi'!$B$35,'1 - Caso e ipotesi'!$B$20))</f>
        <v>1.4999999999999999E-2</v>
      </c>
      <c r="F50" s="15">
        <f>IF(B50=1,INDEX('1 - Caso e ipotesi'!$C$47:$C$49,'1 - Caso e ipotesi'!$B$38)+'2 - Rendimenti netti'!$B$30,IF(A50&lt;='1 - Caso e ipotesi'!$B$41,(1+'1 - Caso e ipotesi'!$B$36)/(1+C50)-1,'1 - Caso e ipotesi'!$B$19+'2 - Rendimenti netti'!$B$30))</f>
        <v>3.4313725490196054E-2</v>
      </c>
      <c r="G50" s="15">
        <f>IF(B50=1,INDEX('1 - Caso e ipotesi'!$D$47:$D$49,'1 - Caso e ipotesi'!$B$38),'1 - Caso e ipotesi'!$B$18)</f>
        <v>0.04</v>
      </c>
      <c r="H50" s="15">
        <f t="shared" si="4"/>
        <v>3.5299999999999887E-2</v>
      </c>
      <c r="I50" s="15">
        <f t="shared" si="5"/>
        <v>3.5299999999999887E-2</v>
      </c>
      <c r="J50" s="15">
        <f>(1+F50)*(1+C50)-1-'1 - Caso e ipotesi'!$B$31</f>
        <v>5.4999999999999938E-2</v>
      </c>
      <c r="K50" s="15">
        <f t="shared" si="6"/>
        <v>3.5299999999999887E-2</v>
      </c>
      <c r="L50" s="15">
        <f t="shared" si="7"/>
        <v>3.5299999999999887E-2</v>
      </c>
      <c r="M50" s="15">
        <f>J50-'1 - Caso e ipotesi'!$B$32</f>
        <v>3.6581599999999936E-2</v>
      </c>
      <c r="N50" s="17">
        <f>((1+K50)-'1 - Caso e ipotesi'!$B$24*MAX(H50,0)-'1 - Caso e ipotesi'!$B$26*(1+K50))/(1+C50)</f>
        <v>1.0086440196078432</v>
      </c>
      <c r="O50" s="17">
        <f>((1+L50)-'1 - Caso e ipotesi'!$B$24*MAX(I50,0)-'1 - Caso e ipotesi'!$B$26*(1+L50))/(1+C50)</f>
        <v>1.0086440196078432</v>
      </c>
      <c r="P50" s="17">
        <f>((1+M50)-'1 - Caso e ipotesi'!$B$25*MAX(M50,0)-'1 - Caso e ipotesi'!$B$26*(1+M50))/(1+C50)</f>
        <v>1.0048992360784315</v>
      </c>
      <c r="Q50" s="17">
        <f>(1+G50)*(1-'1 - Caso e ipotesi'!$B$26)</f>
        <v>1.03792</v>
      </c>
    </row>
    <row r="51" spans="1:17">
      <c r="A51" s="18">
        <v>46</v>
      </c>
      <c r="B51" s="19">
        <f>IF(AND('1 - Caso e ipotesi'!$B$38&gt;0,A51&gt;='1 - Caso e ipotesi'!$B$39,A51&lt;'1 - Caso e ipotesi'!$B$39+'1 - Caso e ipotesi'!$B$40),1,0)</f>
        <v>0</v>
      </c>
      <c r="C51" s="15">
        <f>IF(B51=1,INDEX('1 - Caso e ipotesi'!$B$47:$B$49,'1 - Caso e ipotesi'!$B$38),IF(A51&lt;='1 - Caso e ipotesi'!$B$43,'1 - Caso e ipotesi'!$B$42,'1 - Caso e ipotesi'!$B$22))</f>
        <v>0.02</v>
      </c>
      <c r="D51" s="15">
        <f>IF(B51=1,INDEX('1 - Caso e ipotesi'!$C$47:$C$49,'1 - Caso e ipotesi'!$B$38),IF(A51&lt;='1 - Caso e ipotesi'!$B$41,(1+'1 - Caso e ipotesi'!$B$34)/(1+C51)-1,'1 - Caso e ipotesi'!$B$19))</f>
        <v>1.4999999999999999E-2</v>
      </c>
      <c r="E51" s="15">
        <f>IF(B51=1,'1 - Caso e ipotesi'!$B$44,IF(A51&lt;='1 - Caso e ipotesi'!$B$41,'1 - Caso e ipotesi'!$B$35,'1 - Caso e ipotesi'!$B$20))</f>
        <v>1.4999999999999999E-2</v>
      </c>
      <c r="F51" s="15">
        <f>IF(B51=1,INDEX('1 - Caso e ipotesi'!$C$47:$C$49,'1 - Caso e ipotesi'!$B$38)+'2 - Rendimenti netti'!$B$30,IF(A51&lt;='1 - Caso e ipotesi'!$B$41,(1+'1 - Caso e ipotesi'!$B$36)/(1+C51)-1,'1 - Caso e ipotesi'!$B$19+'2 - Rendimenti netti'!$B$30))</f>
        <v>3.4313725490196054E-2</v>
      </c>
      <c r="G51" s="15">
        <f>IF(B51=1,INDEX('1 - Caso e ipotesi'!$D$47:$D$49,'1 - Caso e ipotesi'!$B$38),'1 - Caso e ipotesi'!$B$18)</f>
        <v>0.04</v>
      </c>
      <c r="H51" s="15">
        <f t="shared" si="4"/>
        <v>3.5299999999999887E-2</v>
      </c>
      <c r="I51" s="15">
        <f t="shared" si="5"/>
        <v>3.5299999999999887E-2</v>
      </c>
      <c r="J51" s="15">
        <f>(1+F51)*(1+C51)-1-'1 - Caso e ipotesi'!$B$31</f>
        <v>5.4999999999999938E-2</v>
      </c>
      <c r="K51" s="15">
        <f t="shared" si="6"/>
        <v>3.5299999999999887E-2</v>
      </c>
      <c r="L51" s="15">
        <f t="shared" si="7"/>
        <v>3.5299999999999887E-2</v>
      </c>
      <c r="M51" s="15">
        <f>J51-'1 - Caso e ipotesi'!$B$32</f>
        <v>3.6581599999999936E-2</v>
      </c>
      <c r="N51" s="17">
        <f>((1+K51)-'1 - Caso e ipotesi'!$B$24*MAX(H51,0)-'1 - Caso e ipotesi'!$B$26*(1+K51))/(1+C51)</f>
        <v>1.0086440196078432</v>
      </c>
      <c r="O51" s="17">
        <f>((1+L51)-'1 - Caso e ipotesi'!$B$24*MAX(I51,0)-'1 - Caso e ipotesi'!$B$26*(1+L51))/(1+C51)</f>
        <v>1.0086440196078432</v>
      </c>
      <c r="P51" s="17">
        <f>((1+M51)-'1 - Caso e ipotesi'!$B$25*MAX(M51,0)-'1 - Caso e ipotesi'!$B$26*(1+M51))/(1+C51)</f>
        <v>1.0048992360784315</v>
      </c>
      <c r="Q51" s="17">
        <f>(1+G51)*(1-'1 - Caso e ipotesi'!$B$26)</f>
        <v>1.03792</v>
      </c>
    </row>
    <row r="52" spans="1:17">
      <c r="A52" s="18">
        <v>47</v>
      </c>
      <c r="B52" s="19">
        <f>IF(AND('1 - Caso e ipotesi'!$B$38&gt;0,A52&gt;='1 - Caso e ipotesi'!$B$39,A52&lt;'1 - Caso e ipotesi'!$B$39+'1 - Caso e ipotesi'!$B$40),1,0)</f>
        <v>0</v>
      </c>
      <c r="C52" s="15">
        <f>IF(B52=1,INDEX('1 - Caso e ipotesi'!$B$47:$B$49,'1 - Caso e ipotesi'!$B$38),IF(A52&lt;='1 - Caso e ipotesi'!$B$43,'1 - Caso e ipotesi'!$B$42,'1 - Caso e ipotesi'!$B$22))</f>
        <v>0.02</v>
      </c>
      <c r="D52" s="15">
        <f>IF(B52=1,INDEX('1 - Caso e ipotesi'!$C$47:$C$49,'1 - Caso e ipotesi'!$B$38),IF(A52&lt;='1 - Caso e ipotesi'!$B$41,(1+'1 - Caso e ipotesi'!$B$34)/(1+C52)-1,'1 - Caso e ipotesi'!$B$19))</f>
        <v>1.4999999999999999E-2</v>
      </c>
      <c r="E52" s="15">
        <f>IF(B52=1,'1 - Caso e ipotesi'!$B$44,IF(A52&lt;='1 - Caso e ipotesi'!$B$41,'1 - Caso e ipotesi'!$B$35,'1 - Caso e ipotesi'!$B$20))</f>
        <v>1.4999999999999999E-2</v>
      </c>
      <c r="F52" s="15">
        <f>IF(B52=1,INDEX('1 - Caso e ipotesi'!$C$47:$C$49,'1 - Caso e ipotesi'!$B$38)+'2 - Rendimenti netti'!$B$30,IF(A52&lt;='1 - Caso e ipotesi'!$B$41,(1+'1 - Caso e ipotesi'!$B$36)/(1+C52)-1,'1 - Caso e ipotesi'!$B$19+'2 - Rendimenti netti'!$B$30))</f>
        <v>3.4313725490196054E-2</v>
      </c>
      <c r="G52" s="15">
        <f>IF(B52=1,INDEX('1 - Caso e ipotesi'!$D$47:$D$49,'1 - Caso e ipotesi'!$B$38),'1 - Caso e ipotesi'!$B$18)</f>
        <v>0.04</v>
      </c>
      <c r="H52" s="15">
        <f t="shared" si="4"/>
        <v>3.5299999999999887E-2</v>
      </c>
      <c r="I52" s="15">
        <f t="shared" si="5"/>
        <v>3.5299999999999887E-2</v>
      </c>
      <c r="J52" s="15">
        <f>(1+F52)*(1+C52)-1-'1 - Caso e ipotesi'!$B$31</f>
        <v>5.4999999999999938E-2</v>
      </c>
      <c r="K52" s="15">
        <f t="shared" si="6"/>
        <v>3.5299999999999887E-2</v>
      </c>
      <c r="L52" s="15">
        <f t="shared" si="7"/>
        <v>3.5299999999999887E-2</v>
      </c>
      <c r="M52" s="15">
        <f>J52-'1 - Caso e ipotesi'!$B$32</f>
        <v>3.6581599999999936E-2</v>
      </c>
      <c r="N52" s="17">
        <f>((1+K52)-'1 - Caso e ipotesi'!$B$24*MAX(H52,0)-'1 - Caso e ipotesi'!$B$26*(1+K52))/(1+C52)</f>
        <v>1.0086440196078432</v>
      </c>
      <c r="O52" s="17">
        <f>((1+L52)-'1 - Caso e ipotesi'!$B$24*MAX(I52,0)-'1 - Caso e ipotesi'!$B$26*(1+L52))/(1+C52)</f>
        <v>1.0086440196078432</v>
      </c>
      <c r="P52" s="17">
        <f>((1+M52)-'1 - Caso e ipotesi'!$B$25*MAX(M52,0)-'1 - Caso e ipotesi'!$B$26*(1+M52))/(1+C52)</f>
        <v>1.0048992360784315</v>
      </c>
      <c r="Q52" s="17">
        <f>(1+G52)*(1-'1 - Caso e ipotesi'!$B$26)</f>
        <v>1.03792</v>
      </c>
    </row>
    <row r="53" spans="1:17">
      <c r="A53" s="18">
        <v>48</v>
      </c>
      <c r="B53" s="19">
        <f>IF(AND('1 - Caso e ipotesi'!$B$38&gt;0,A53&gt;='1 - Caso e ipotesi'!$B$39,A53&lt;'1 - Caso e ipotesi'!$B$39+'1 - Caso e ipotesi'!$B$40),1,0)</f>
        <v>0</v>
      </c>
      <c r="C53" s="15">
        <f>IF(B53=1,INDEX('1 - Caso e ipotesi'!$B$47:$B$49,'1 - Caso e ipotesi'!$B$38),IF(A53&lt;='1 - Caso e ipotesi'!$B$43,'1 - Caso e ipotesi'!$B$42,'1 - Caso e ipotesi'!$B$22))</f>
        <v>0.02</v>
      </c>
      <c r="D53" s="15">
        <f>IF(B53=1,INDEX('1 - Caso e ipotesi'!$C$47:$C$49,'1 - Caso e ipotesi'!$B$38),IF(A53&lt;='1 - Caso e ipotesi'!$B$41,(1+'1 - Caso e ipotesi'!$B$34)/(1+C53)-1,'1 - Caso e ipotesi'!$B$19))</f>
        <v>1.4999999999999999E-2</v>
      </c>
      <c r="E53" s="15">
        <f>IF(B53=1,'1 - Caso e ipotesi'!$B$44,IF(A53&lt;='1 - Caso e ipotesi'!$B$41,'1 - Caso e ipotesi'!$B$35,'1 - Caso e ipotesi'!$B$20))</f>
        <v>1.4999999999999999E-2</v>
      </c>
      <c r="F53" s="15">
        <f>IF(B53=1,INDEX('1 - Caso e ipotesi'!$C$47:$C$49,'1 - Caso e ipotesi'!$B$38)+'2 - Rendimenti netti'!$B$30,IF(A53&lt;='1 - Caso e ipotesi'!$B$41,(1+'1 - Caso e ipotesi'!$B$36)/(1+C53)-1,'1 - Caso e ipotesi'!$B$19+'2 - Rendimenti netti'!$B$30))</f>
        <v>3.4313725490196054E-2</v>
      </c>
      <c r="G53" s="15">
        <f>IF(B53=1,INDEX('1 - Caso e ipotesi'!$D$47:$D$49,'1 - Caso e ipotesi'!$B$38),'1 - Caso e ipotesi'!$B$18)</f>
        <v>0.04</v>
      </c>
      <c r="H53" s="15">
        <f t="shared" si="4"/>
        <v>3.5299999999999887E-2</v>
      </c>
      <c r="I53" s="15">
        <f t="shared" si="5"/>
        <v>3.5299999999999887E-2</v>
      </c>
      <c r="J53" s="15">
        <f>(1+F53)*(1+C53)-1-'1 - Caso e ipotesi'!$B$31</f>
        <v>5.4999999999999938E-2</v>
      </c>
      <c r="K53" s="15">
        <f t="shared" si="6"/>
        <v>3.5299999999999887E-2</v>
      </c>
      <c r="L53" s="15">
        <f t="shared" si="7"/>
        <v>3.5299999999999887E-2</v>
      </c>
      <c r="M53" s="15">
        <f>J53-'1 - Caso e ipotesi'!$B$32</f>
        <v>3.6581599999999936E-2</v>
      </c>
      <c r="N53" s="17">
        <f>((1+K53)-'1 - Caso e ipotesi'!$B$24*MAX(H53,0)-'1 - Caso e ipotesi'!$B$26*(1+K53))/(1+C53)</f>
        <v>1.0086440196078432</v>
      </c>
      <c r="O53" s="17">
        <f>((1+L53)-'1 - Caso e ipotesi'!$B$24*MAX(I53,0)-'1 - Caso e ipotesi'!$B$26*(1+L53))/(1+C53)</f>
        <v>1.0086440196078432</v>
      </c>
      <c r="P53" s="17">
        <f>((1+M53)-'1 - Caso e ipotesi'!$B$25*MAX(M53,0)-'1 - Caso e ipotesi'!$B$26*(1+M53))/(1+C53)</f>
        <v>1.0048992360784315</v>
      </c>
      <c r="Q53" s="17">
        <f>(1+G53)*(1-'1 - Caso e ipotesi'!$B$26)</f>
        <v>1.03792</v>
      </c>
    </row>
    <row r="54" spans="1:17">
      <c r="A54" s="18">
        <v>49</v>
      </c>
      <c r="B54" s="19">
        <f>IF(AND('1 - Caso e ipotesi'!$B$38&gt;0,A54&gt;='1 - Caso e ipotesi'!$B$39,A54&lt;'1 - Caso e ipotesi'!$B$39+'1 - Caso e ipotesi'!$B$40),1,0)</f>
        <v>0</v>
      </c>
      <c r="C54" s="15">
        <f>IF(B54=1,INDEX('1 - Caso e ipotesi'!$B$47:$B$49,'1 - Caso e ipotesi'!$B$38),IF(A54&lt;='1 - Caso e ipotesi'!$B$43,'1 - Caso e ipotesi'!$B$42,'1 - Caso e ipotesi'!$B$22))</f>
        <v>0.02</v>
      </c>
      <c r="D54" s="15">
        <f>IF(B54=1,INDEX('1 - Caso e ipotesi'!$C$47:$C$49,'1 - Caso e ipotesi'!$B$38),IF(A54&lt;='1 - Caso e ipotesi'!$B$41,(1+'1 - Caso e ipotesi'!$B$34)/(1+C54)-1,'1 - Caso e ipotesi'!$B$19))</f>
        <v>1.4999999999999999E-2</v>
      </c>
      <c r="E54" s="15">
        <f>IF(B54=1,'1 - Caso e ipotesi'!$B$44,IF(A54&lt;='1 - Caso e ipotesi'!$B$41,'1 - Caso e ipotesi'!$B$35,'1 - Caso e ipotesi'!$B$20))</f>
        <v>1.4999999999999999E-2</v>
      </c>
      <c r="F54" s="15">
        <f>IF(B54=1,INDEX('1 - Caso e ipotesi'!$C$47:$C$49,'1 - Caso e ipotesi'!$B$38)+'2 - Rendimenti netti'!$B$30,IF(A54&lt;='1 - Caso e ipotesi'!$B$41,(1+'1 - Caso e ipotesi'!$B$36)/(1+C54)-1,'1 - Caso e ipotesi'!$B$19+'2 - Rendimenti netti'!$B$30))</f>
        <v>3.4313725490196054E-2</v>
      </c>
      <c r="G54" s="15">
        <f>IF(B54=1,INDEX('1 - Caso e ipotesi'!$D$47:$D$49,'1 - Caso e ipotesi'!$B$38),'1 - Caso e ipotesi'!$B$18)</f>
        <v>0.04</v>
      </c>
      <c r="H54" s="15">
        <f t="shared" si="4"/>
        <v>3.5299999999999887E-2</v>
      </c>
      <c r="I54" s="15">
        <f t="shared" si="5"/>
        <v>3.5299999999999887E-2</v>
      </c>
      <c r="J54" s="15">
        <f>(1+F54)*(1+C54)-1-'1 - Caso e ipotesi'!$B$31</f>
        <v>5.4999999999999938E-2</v>
      </c>
      <c r="K54" s="15">
        <f t="shared" si="6"/>
        <v>3.5299999999999887E-2</v>
      </c>
      <c r="L54" s="15">
        <f t="shared" si="7"/>
        <v>3.5299999999999887E-2</v>
      </c>
      <c r="M54" s="15">
        <f>J54-'1 - Caso e ipotesi'!$B$32</f>
        <v>3.6581599999999936E-2</v>
      </c>
      <c r="N54" s="17">
        <f>((1+K54)-'1 - Caso e ipotesi'!$B$24*MAX(H54,0)-'1 - Caso e ipotesi'!$B$26*(1+K54))/(1+C54)</f>
        <v>1.0086440196078432</v>
      </c>
      <c r="O54" s="17">
        <f>((1+L54)-'1 - Caso e ipotesi'!$B$24*MAX(I54,0)-'1 - Caso e ipotesi'!$B$26*(1+L54))/(1+C54)</f>
        <v>1.0086440196078432</v>
      </c>
      <c r="P54" s="17">
        <f>((1+M54)-'1 - Caso e ipotesi'!$B$25*MAX(M54,0)-'1 - Caso e ipotesi'!$B$26*(1+M54))/(1+C54)</f>
        <v>1.0048992360784315</v>
      </c>
      <c r="Q54" s="17">
        <f>(1+G54)*(1-'1 - Caso e ipotesi'!$B$26)</f>
        <v>1.03792</v>
      </c>
    </row>
    <row r="55" spans="1:17">
      <c r="A55" s="18">
        <v>50</v>
      </c>
      <c r="B55" s="19">
        <f>IF(AND('1 - Caso e ipotesi'!$B$38&gt;0,A55&gt;='1 - Caso e ipotesi'!$B$39,A55&lt;'1 - Caso e ipotesi'!$B$39+'1 - Caso e ipotesi'!$B$40),1,0)</f>
        <v>0</v>
      </c>
      <c r="C55" s="15">
        <f>IF(B55=1,INDEX('1 - Caso e ipotesi'!$B$47:$B$49,'1 - Caso e ipotesi'!$B$38),IF(A55&lt;='1 - Caso e ipotesi'!$B$43,'1 - Caso e ipotesi'!$B$42,'1 - Caso e ipotesi'!$B$22))</f>
        <v>0.02</v>
      </c>
      <c r="D55" s="15">
        <f>IF(B55=1,INDEX('1 - Caso e ipotesi'!$C$47:$C$49,'1 - Caso e ipotesi'!$B$38),IF(A55&lt;='1 - Caso e ipotesi'!$B$41,(1+'1 - Caso e ipotesi'!$B$34)/(1+C55)-1,'1 - Caso e ipotesi'!$B$19))</f>
        <v>1.4999999999999999E-2</v>
      </c>
      <c r="E55" s="15">
        <f>IF(B55=1,'1 - Caso e ipotesi'!$B$44,IF(A55&lt;='1 - Caso e ipotesi'!$B$41,'1 - Caso e ipotesi'!$B$35,'1 - Caso e ipotesi'!$B$20))</f>
        <v>1.4999999999999999E-2</v>
      </c>
      <c r="F55" s="15">
        <f>IF(B55=1,INDEX('1 - Caso e ipotesi'!$C$47:$C$49,'1 - Caso e ipotesi'!$B$38)+'2 - Rendimenti netti'!$B$30,IF(A55&lt;='1 - Caso e ipotesi'!$B$41,(1+'1 - Caso e ipotesi'!$B$36)/(1+C55)-1,'1 - Caso e ipotesi'!$B$19+'2 - Rendimenti netti'!$B$30))</f>
        <v>3.4313725490196054E-2</v>
      </c>
      <c r="G55" s="15">
        <f>IF(B55=1,INDEX('1 - Caso e ipotesi'!$D$47:$D$49,'1 - Caso e ipotesi'!$B$38),'1 - Caso e ipotesi'!$B$18)</f>
        <v>0.04</v>
      </c>
      <c r="H55" s="15">
        <f t="shared" si="4"/>
        <v>3.5299999999999887E-2</v>
      </c>
      <c r="I55" s="15">
        <f t="shared" si="5"/>
        <v>3.5299999999999887E-2</v>
      </c>
      <c r="J55" s="15">
        <f>(1+F55)*(1+C55)-1-'1 - Caso e ipotesi'!$B$31</f>
        <v>5.4999999999999938E-2</v>
      </c>
      <c r="K55" s="15">
        <f t="shared" si="6"/>
        <v>3.5299999999999887E-2</v>
      </c>
      <c r="L55" s="15">
        <f t="shared" si="7"/>
        <v>3.5299999999999887E-2</v>
      </c>
      <c r="M55" s="15">
        <f>J55-'1 - Caso e ipotesi'!$B$32</f>
        <v>3.6581599999999936E-2</v>
      </c>
      <c r="N55" s="17">
        <f>((1+K55)-'1 - Caso e ipotesi'!$B$24*MAX(H55,0)-'1 - Caso e ipotesi'!$B$26*(1+K55))/(1+C55)</f>
        <v>1.0086440196078432</v>
      </c>
      <c r="O55" s="17">
        <f>((1+L55)-'1 - Caso e ipotesi'!$B$24*MAX(I55,0)-'1 - Caso e ipotesi'!$B$26*(1+L55))/(1+C55)</f>
        <v>1.0086440196078432</v>
      </c>
      <c r="P55" s="17">
        <f>((1+M55)-'1 - Caso e ipotesi'!$B$25*MAX(M55,0)-'1 - Caso e ipotesi'!$B$26*(1+M55))/(1+C55)</f>
        <v>1.0048992360784315</v>
      </c>
      <c r="Q55" s="17">
        <f>(1+G55)*(1-'1 - Caso e ipotesi'!$B$26)</f>
        <v>1.03792</v>
      </c>
    </row>
  </sheetData>
  <mergeCells count="3">
    <mergeCell ref="A3:Q3"/>
    <mergeCell ref="A2:Q2"/>
    <mergeCell ref="A1:Q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0"/>
  <sheetViews>
    <sheetView workbookViewId="0"/>
  </sheetViews>
  <sheetFormatPr defaultRowHeight="15"/>
  <cols>
    <col min="1" max="1" width="46" customWidth="1"/>
    <col min="2" max="2" width="23" customWidth="1"/>
    <col min="3" max="3" width="26" customWidth="1"/>
    <col min="4" max="5" width="27" customWidth="1"/>
  </cols>
  <sheetData>
    <row r="1" spans="1:5" ht="24.95" customHeight="1">
      <c r="A1" s="24" t="s">
        <v>152</v>
      </c>
      <c r="B1" s="23"/>
      <c r="C1" s="23"/>
      <c r="D1" s="23"/>
      <c r="E1" s="23"/>
    </row>
    <row r="2" spans="1:5" ht="44.1" customHeight="1">
      <c r="A2" s="22" t="s">
        <v>1</v>
      </c>
      <c r="B2" s="23"/>
      <c r="C2" s="23"/>
      <c r="D2" s="23"/>
      <c r="E2" s="23"/>
    </row>
    <row r="4" spans="1:5">
      <c r="A4" s="25" t="s">
        <v>153</v>
      </c>
      <c r="B4" s="23"/>
      <c r="C4" s="23"/>
      <c r="D4" s="23"/>
    </row>
    <row r="5" spans="1:5">
      <c r="A5" s="10" t="s">
        <v>112</v>
      </c>
      <c r="B5" s="10" t="s">
        <v>47</v>
      </c>
      <c r="C5" s="10" t="s">
        <v>48</v>
      </c>
      <c r="D5" s="10" t="s">
        <v>49</v>
      </c>
    </row>
    <row r="6" spans="1:5">
      <c r="A6" s="5" t="s">
        <v>154</v>
      </c>
      <c r="B6" s="20">
        <f>'5 - Motore'!B8</f>
        <v>36484.614468889631</v>
      </c>
      <c r="C6" s="20">
        <f>'5 - Motore'!B66</f>
        <v>36112.716426917868</v>
      </c>
      <c r="D6" s="20">
        <f>'5 - Motore'!B124</f>
        <v>44386.962087073953</v>
      </c>
    </row>
    <row r="7" spans="1:5">
      <c r="A7" s="5" t="s">
        <v>155</v>
      </c>
      <c r="B7" s="9">
        <f>B6/'1 - Caso e ipotesi'!$B$6</f>
        <v>2.9423076184588413E-2</v>
      </c>
      <c r="C7" s="9">
        <f>C6/'1 - Caso e ipotesi'!$B$6</f>
        <v>2.9123158408804733E-2</v>
      </c>
      <c r="D7" s="9">
        <f>D6/'1 - Caso e ipotesi'!$B$6</f>
        <v>3.5795937166995126E-2</v>
      </c>
    </row>
    <row r="8" spans="1:5">
      <c r="A8" s="5" t="s">
        <v>156</v>
      </c>
      <c r="B8" s="20">
        <f>B6-'1 - Caso e ipotesi'!$B$7</f>
        <v>-3515.3855311103689</v>
      </c>
      <c r="C8" s="20">
        <f>C6-'1 - Caso e ipotesi'!$B$7</f>
        <v>-3887.2835730821316</v>
      </c>
      <c r="D8" s="20">
        <f>D6-'1 - Caso e ipotesi'!$B$7</f>
        <v>4386.9620870739527</v>
      </c>
    </row>
    <row r="9" spans="1:5">
      <c r="A9" s="5" t="s">
        <v>157</v>
      </c>
      <c r="B9" s="21">
        <f>'5 - Motore'!B9</f>
        <v>35</v>
      </c>
      <c r="C9" s="21">
        <f>'5 - Motore'!B67</f>
        <v>35</v>
      </c>
      <c r="D9" s="21">
        <f>'5 - Motore'!B125</f>
        <v>47</v>
      </c>
    </row>
    <row r="10" spans="1:5">
      <c r="A10" s="5" t="s">
        <v>158</v>
      </c>
      <c r="B10" s="21">
        <f>'1 - Caso e ipotesi'!$B$5+B9</f>
        <v>85</v>
      </c>
      <c r="C10" s="21">
        <f>'1 - Caso e ipotesi'!$B$5+C9</f>
        <v>85</v>
      </c>
      <c r="D10" s="21">
        <f>'1 - Caso e ipotesi'!$B$5+D9</f>
        <v>97</v>
      </c>
    </row>
    <row r="11" spans="1:5">
      <c r="A11" s="5" t="s">
        <v>159</v>
      </c>
      <c r="B11" s="20">
        <f>INDEX('5 - Motore'!O11:O60,10)</f>
        <v>931934.12380476668</v>
      </c>
      <c r="C11" s="20">
        <f>INDEX('5 - Motore'!O69:O118,10)</f>
        <v>925726.03725313174</v>
      </c>
      <c r="D11" s="20">
        <f>INDEX('5 - Motore'!O127:O176,10)</f>
        <v>1122993.7611085812</v>
      </c>
    </row>
    <row r="12" spans="1:5">
      <c r="A12" s="5" t="s">
        <v>160</v>
      </c>
      <c r="B12" s="20">
        <f>INDEX('5 - Motore'!O11:O60,20)</f>
        <v>596178.90345481806</v>
      </c>
      <c r="C12" s="20">
        <f>INDEX('5 - Motore'!O69:O118,20)</f>
        <v>585107.48013152718</v>
      </c>
      <c r="D12" s="20">
        <f>INDEX('5 - Motore'!O127:O176,20)</f>
        <v>935830.12975019158</v>
      </c>
    </row>
    <row r="13" spans="1:5">
      <c r="A13" s="5" t="s">
        <v>161</v>
      </c>
      <c r="B13" s="20">
        <f>INDEX('5 - Motore'!O11:O60,30)</f>
        <v>230245.58625482986</v>
      </c>
      <c r="C13" s="20">
        <f>INDEX('5 - Motore'!O69:O118,30)</f>
        <v>215935.94443847085</v>
      </c>
      <c r="D13" s="20">
        <f>INDEX('5 - Motore'!O127:O176,30)</f>
        <v>674572.43722539651</v>
      </c>
    </row>
    <row r="14" spans="1:5">
      <c r="A14" s="5" t="s">
        <v>162</v>
      </c>
      <c r="B14" s="20">
        <f>INDEX('5 - Motore'!O11:O60,'1 - Caso e ipotesi'!$B$8)</f>
        <v>0</v>
      </c>
      <c r="C14" s="20">
        <f>INDEX('5 - Motore'!O69:O118,'1 - Caso e ipotesi'!$B$8)</f>
        <v>0</v>
      </c>
      <c r="D14" s="20">
        <f>INDEX('5 - Motore'!O127:O176,'1 - Caso e ipotesi'!$B$8)</f>
        <v>329226.08723271062</v>
      </c>
    </row>
    <row r="15" spans="1:5">
      <c r="A15" s="5" t="s">
        <v>163</v>
      </c>
      <c r="B15" s="16" t="str">
        <f>IF(B6&gt;='1 - Caso e ipotesi'!$B$7,"regge","non regge")</f>
        <v>non regge</v>
      </c>
      <c r="C15" s="16" t="str">
        <f>IF(C6&gt;='1 - Caso e ipotesi'!$B$7,"regge","non regge")</f>
        <v>non regge</v>
      </c>
      <c r="D15" s="16" t="str">
        <f>IF(D6&gt;='1 - Caso e ipotesi'!$B$7,"regge","non regge")</f>
        <v>regge</v>
      </c>
    </row>
    <row r="16" spans="1:5">
      <c r="A16" s="5" t="s">
        <v>164</v>
      </c>
      <c r="B16" s="27" t="str">
        <f>IF('1 - Caso e ipotesi'!B38&gt;0,"Shock "&amp;CHOOSE('1 - Caso e ipotesi'!B38,"Italia 1970-79","Stati Uniti 1970-79","mediana 15 paesi")&amp;" dall'anno "&amp;'1 - Caso e ipotesi'!B39,IF('1 - Caso e ipotesi'!B41&gt;0,"Tassi d’asta di fine settembre 2026 tenuti per "&amp;'1 - Caso e ipotesi'!B41&amp;" anni, poi canone","Canone, nessuno shock"))</f>
        <v>Canone, nessuno shock</v>
      </c>
      <c r="C16" s="28"/>
      <c r="D16" s="29"/>
    </row>
    <row r="18" spans="1:4">
      <c r="A18" s="25" t="s">
        <v>165</v>
      </c>
      <c r="B18" s="23"/>
      <c r="C18" s="23"/>
      <c r="D18" s="23"/>
    </row>
    <row r="19" spans="1:4">
      <c r="A19" s="10" t="s">
        <v>166</v>
      </c>
      <c r="B19" s="10" t="s">
        <v>47</v>
      </c>
      <c r="C19" s="10" t="s">
        <v>48</v>
      </c>
      <c r="D19" s="10" t="s">
        <v>167</v>
      </c>
    </row>
    <row r="20" spans="1:4">
      <c r="A20" s="6">
        <v>0</v>
      </c>
      <c r="B20" s="20">
        <f>IF('5 - Motore'!$E$7&gt;0,"n.d.",'1 - Caso e ipotesi'!$B$6*$B$33^$D20*$B$32^('1 - Caso e ipotesi'!$B$8-1-$D20)/(($B$32^('1 - Caso e ipotesi'!$B$8-$D20)-1)/($B$32-1)+$B$32^('1 - Caso e ipotesi'!$B$8-1-$D20)*$B$33*($B$33^$D20-1)/($B$33-1)))</f>
        <v>36484.61446888966</v>
      </c>
      <c r="C20" s="20">
        <f>IF('5 - Motore'!$E$65&gt;0,"n.d.",'1 - Caso e ipotesi'!$B$6*$C$33^$D20*$C$32^('1 - Caso e ipotesi'!$B$8-1-$D20)/(($C$32^('1 - Caso e ipotesi'!$B$8-$D20)-1)/($C$32-1)+$C$32^('1 - Caso e ipotesi'!$B$8-1-$D20)*$C$33*($C$33^$D20-1)/($C$33-1)))</f>
        <v>36112.716426917774</v>
      </c>
      <c r="D20" s="19">
        <f>MIN(A20,'1 - Caso e ipotesi'!$B$8-1)</f>
        <v>0</v>
      </c>
    </row>
    <row r="21" spans="1:4">
      <c r="A21" s="6">
        <v>5</v>
      </c>
      <c r="B21" s="20">
        <f>IF('5 - Motore'!$E$7&gt;0,"n.d.",'1 - Caso e ipotesi'!$B$6*$B$33^$D21*$B$32^('1 - Caso e ipotesi'!$B$8-1-$D21)/(($B$32^('1 - Caso e ipotesi'!$B$8-$D21)-1)/($B$32-1)+$B$32^('1 - Caso e ipotesi'!$B$8-1-$D21)*$B$33*($B$33^$D21-1)/($B$33-1)))</f>
        <v>37924.84380752896</v>
      </c>
      <c r="C21" s="20">
        <f>IF('5 - Motore'!$E$65&gt;0,"n.d.",'1 - Caso e ipotesi'!$B$6*$C$33^$D21*$C$32^('1 - Caso e ipotesi'!$B$8-1-$D21)/(($C$32^('1 - Caso e ipotesi'!$B$8-$D21)-1)/($C$32-1)+$C$32^('1 - Caso e ipotesi'!$B$8-1-$D21)*$C$33*($C$33^$D21-1)/($C$33-1)))</f>
        <v>37505.350564121851</v>
      </c>
      <c r="D21" s="19">
        <f>MIN(A21,'1 - Caso e ipotesi'!$B$8-1)</f>
        <v>5</v>
      </c>
    </row>
    <row r="22" spans="1:4">
      <c r="A22" s="6">
        <v>10</v>
      </c>
      <c r="B22" s="20">
        <f>IF('5 - Motore'!$E$7&gt;0,"n.d.",'1 - Caso e ipotesi'!$B$6*$B$33^$D22*$B$32^('1 - Caso e ipotesi'!$B$8-1-$D22)/(($B$32^('1 - Caso e ipotesi'!$B$8-$D22)-1)/($B$32-1)+$B$32^('1 - Caso e ipotesi'!$B$8-1-$D22)*$B$33*($B$33^$D22-1)/($B$33-1)))</f>
        <v>39178.301155601242</v>
      </c>
      <c r="C22" s="20">
        <f>IF('5 - Motore'!$E$65&gt;0,"n.d.",'1 - Caso e ipotesi'!$B$6*$C$33^$D22*$C$32^('1 - Caso e ipotesi'!$B$8-1-$D22)/(($C$32^('1 - Caso e ipotesi'!$B$8-$D22)-1)/($C$32-1)+$C$32^('1 - Caso e ipotesi'!$B$8-1-$D22)*$C$33*($C$33^$D22-1)/($C$33-1)))</f>
        <v>38718.555064253946</v>
      </c>
      <c r="D22" s="19">
        <f>MIN(A22,'1 - Caso e ipotesi'!$B$8-1)</f>
        <v>10</v>
      </c>
    </row>
    <row r="23" spans="1:4">
      <c r="A23" s="6">
        <v>14</v>
      </c>
      <c r="B23" s="20">
        <f>IF('5 - Motore'!$E$7&gt;0,"n.d.",'1 - Caso e ipotesi'!$B$6*$B$33^$D23*$B$32^('1 - Caso e ipotesi'!$B$8-1-$D23)/(($B$32^('1 - Caso e ipotesi'!$B$8-$D23)-1)/($B$32-1)+$B$32^('1 - Caso e ipotesi'!$B$8-1-$D23)*$B$33*($B$33^$D23-1)/($B$33-1)))</f>
        <v>40036.158567017927</v>
      </c>
      <c r="C23" s="20">
        <f>IF('5 - Motore'!$E$65&gt;0,"n.d.",'1 - Caso e ipotesi'!$B$6*$C$33^$D23*$C$32^('1 - Caso e ipotesi'!$B$8-1-$D23)/(($C$32^('1 - Caso e ipotesi'!$B$8-$D23)-1)/($C$32-1)+$C$32^('1 - Caso e ipotesi'!$B$8-1-$D23)*$C$33*($C$33^$D23-1)/($C$33-1)))</f>
        <v>39549.838672145161</v>
      </c>
      <c r="D23" s="19">
        <f>MIN(A23,'1 - Caso e ipotesi'!$B$8-1)</f>
        <v>14</v>
      </c>
    </row>
    <row r="24" spans="1:4">
      <c r="A24" s="6">
        <v>15</v>
      </c>
      <c r="B24" s="20">
        <f>IF('5 - Motore'!$E$7&gt;0,"n.d.",'1 - Caso e ipotesi'!$B$6*$B$33^$D24*$B$32^('1 - Caso e ipotesi'!$B$8-1-$D24)/(($B$32^('1 - Caso e ipotesi'!$B$8-$D24)-1)/($B$32-1)+$B$32^('1 - Caso e ipotesi'!$B$8-1-$D24)*$B$33*($B$33^$D24-1)/($B$33-1)))</f>
        <v>40229.84118941817</v>
      </c>
      <c r="C24" s="20">
        <f>IF('5 - Motore'!$E$65&gt;0,"n.d.",'1 - Caso e ipotesi'!$B$6*$C$33^$D24*$C$32^('1 - Caso e ipotesi'!$B$8-1-$D24)/(($C$32^('1 - Caso e ipotesi'!$B$8-$D24)-1)/($C$32-1)+$C$32^('1 - Caso e ipotesi'!$B$8-1-$D24)*$C$33*($C$33^$D24-1)/($C$33-1)))</f>
        <v>39737.666842384948</v>
      </c>
      <c r="D24" s="19">
        <f>MIN(A24,'1 - Caso e ipotesi'!$B$8-1)</f>
        <v>15</v>
      </c>
    </row>
    <row r="25" spans="1:4">
      <c r="A25" s="6">
        <v>20</v>
      </c>
      <c r="B25" s="20">
        <f>IF('5 - Motore'!$E$7&gt;0,"n.d.",'1 - Caso e ipotesi'!$B$6*$B$33^$D25*$B$32^('1 - Caso e ipotesi'!$B$8-1-$D25)/(($B$32^('1 - Caso e ipotesi'!$B$8-$D25)-1)/($B$32-1)+$B$32^('1 - Caso e ipotesi'!$B$8-1-$D25)*$B$33*($B$33^$D25-1)/($B$33-1)))</f>
        <v>41071.930652324219</v>
      </c>
      <c r="C25" s="20">
        <f>IF('5 - Motore'!$E$65&gt;0,"n.d.",'1 - Caso e ipotesi'!$B$6*$C$33^$D25*$C$32^('1 - Caso e ipotesi'!$B$8-1-$D25)/(($C$32^('1 - Caso e ipotesi'!$B$8-$D25)-1)/($C$32-1)+$C$32^('1 - Caso e ipotesi'!$B$8-1-$D25)*$C$33*($C$33^$D25-1)/($C$33-1)))</f>
        <v>40555.11211288847</v>
      </c>
      <c r="D25" s="19">
        <f>MIN(A25,'1 - Caso e ipotesi'!$B$8-1)</f>
        <v>20</v>
      </c>
    </row>
    <row r="26" spans="1:4">
      <c r="A26" s="6">
        <v>40</v>
      </c>
      <c r="B26" s="20">
        <f>IF('5 - Motore'!$E$7&gt;0,"n.d.",'1 - Caso e ipotesi'!$B$6*$B$33^$D26*$B$32^('1 - Caso e ipotesi'!$B$8-1-$D26)/(($B$32^('1 - Caso e ipotesi'!$B$8-$D26)-1)/($B$32-1)+$B$32^('1 - Caso e ipotesi'!$B$8-1-$D26)*$B$33*($B$33^$D26-1)/($B$33-1)))</f>
        <v>42438.638925798987</v>
      </c>
      <c r="C26" s="20">
        <f>IF('5 - Motore'!$E$65&gt;0,"n.d.",'1 - Caso e ipotesi'!$B$6*$C$33^$D26*$C$32^('1 - Caso e ipotesi'!$B$8-1-$D26)/(($C$32^('1 - Caso e ipotesi'!$B$8-$D26)-1)/($C$32-1)+$C$32^('1 - Caso e ipotesi'!$B$8-1-$D26)*$C$33*($C$33^$D26-1)/($C$33-1)))</f>
        <v>41886.5678131928</v>
      </c>
      <c r="D26" s="19">
        <f>MIN(A26,'1 - Caso e ipotesi'!$B$8-1)</f>
        <v>39</v>
      </c>
    </row>
    <row r="28" spans="1:4">
      <c r="A28" s="5" t="s">
        <v>168</v>
      </c>
      <c r="B28" s="19">
        <f>IFERROR(MATCH(1,$D$40:$D$80,0)-1,"oltre 40")</f>
        <v>14</v>
      </c>
      <c r="C28" s="19">
        <f>IFERROR(MATCH(1,$E$40:$E$80,0)-1,"oltre 40")</f>
        <v>17</v>
      </c>
    </row>
    <row r="30" spans="1:4">
      <c r="A30" s="25" t="s">
        <v>169</v>
      </c>
      <c r="B30" s="23"/>
      <c r="C30" s="23"/>
      <c r="D30" s="23"/>
    </row>
    <row r="31" spans="1:4">
      <c r="A31" s="10" t="s">
        <v>170</v>
      </c>
      <c r="B31" s="10" t="s">
        <v>171</v>
      </c>
      <c r="C31" s="10" t="s">
        <v>172</v>
      </c>
    </row>
    <row r="32" spans="1:4">
      <c r="A32" s="5" t="s">
        <v>173</v>
      </c>
      <c r="B32" s="17">
        <f>SUMPRODUCT('5 - Motore'!$B$7:$D$7,'2 - Rendimenti netti'!$B$13:$D$13)/(1-'5 - Motore'!$E$7)</f>
        <v>1.0086440196078432</v>
      </c>
      <c r="C32" s="17">
        <f>SUMPRODUCT('5 - Motore'!$B$65:$D$65,'2 - Rendimenti netti'!$B$13:$D$13)/(1-'5 - Motore'!$E$65)</f>
        <v>1.0080823020784315</v>
      </c>
    </row>
    <row r="33" spans="1:5">
      <c r="A33" s="5" t="s">
        <v>174</v>
      </c>
      <c r="B33" s="17">
        <f>SUMPRODUCT('5 - Motore'!$B$7:$D$7,'2 - Rendimenti netti'!$B$26:$D$26)/(1-'5 - Motore'!$E$7)</f>
        <v>1.0172487184313725</v>
      </c>
      <c r="C33" s="17">
        <f>SUMPRODUCT('5 - Motore'!$B$65:$D$65,'2 - Rendimenti netti'!$B$26:$D$26)/(1-'5 - Motore'!$E$65)</f>
        <v>1.0164785450196079</v>
      </c>
    </row>
    <row r="34" spans="1:5" ht="39.950000000000003" customHeight="1">
      <c r="A34" s="26" t="s">
        <v>175</v>
      </c>
      <c r="B34" s="23"/>
      <c r="C34" s="23"/>
      <c r="D34" s="23"/>
    </row>
    <row r="37" spans="1:5">
      <c r="A37" s="25" t="s">
        <v>176</v>
      </c>
      <c r="B37" s="23"/>
      <c r="C37" s="23"/>
      <c r="D37" s="23"/>
      <c r="E37" s="23"/>
    </row>
    <row r="39" spans="1:5" ht="33.950000000000003" customHeight="1">
      <c r="A39" s="10" t="s">
        <v>166</v>
      </c>
      <c r="B39" s="10" t="s">
        <v>47</v>
      </c>
      <c r="C39" s="10" t="s">
        <v>48</v>
      </c>
      <c r="D39" s="10" t="s">
        <v>177</v>
      </c>
      <c r="E39" s="10" t="s">
        <v>178</v>
      </c>
    </row>
    <row r="40" spans="1:5">
      <c r="A40" s="18">
        <v>0</v>
      </c>
      <c r="B40" s="20">
        <f>IF('5 - Motore'!$E$7&gt;0,0,'1 - Caso e ipotesi'!$B$6*$B$33^MIN($A40,'1 - Caso e ipotesi'!$B$8-1)*$B$32^('1 - Caso e ipotesi'!$B$8-1-MIN($A40,'1 - Caso e ipotesi'!$B$8-1))/(($B$32^('1 - Caso e ipotesi'!$B$8-MIN($A40,'1 - Caso e ipotesi'!$B$8-1))-1)/($B$32-1)+$B$32^('1 - Caso e ipotesi'!$B$8-1-MIN($A40,'1 - Caso e ipotesi'!$B$8-1))*$B$33*($B$33^MIN($A40,'1 - Caso e ipotesi'!$B$8-1)-1)/($B$33-1)))</f>
        <v>36484.61446888966</v>
      </c>
      <c r="C40" s="20">
        <f>IF('5 - Motore'!$E$65&gt;0,0,'1 - Caso e ipotesi'!$B$6*$C$33^MIN($A40,'1 - Caso e ipotesi'!$B$8-1)*$C$32^('1 - Caso e ipotesi'!$B$8-1-MIN($A40,'1 - Caso e ipotesi'!$B$8-1))/(($C$32^('1 - Caso e ipotesi'!$B$8-MIN($A40,'1 - Caso e ipotesi'!$B$8-1))-1)/($C$32-1)+$C$32^('1 - Caso e ipotesi'!$B$8-1-MIN($A40,'1 - Caso e ipotesi'!$B$8-1))*$C$33*($C$33^MIN($A40,'1 - Caso e ipotesi'!$B$8-1)-1)/($C$33-1)))</f>
        <v>36112.716426917774</v>
      </c>
      <c r="D40" s="19">
        <f>IF(B40&gt;='1 - Caso e ipotesi'!$B$7,1,0)</f>
        <v>0</v>
      </c>
      <c r="E40" s="19">
        <f>IF(C40&gt;='1 - Caso e ipotesi'!$B$7,1,0)</f>
        <v>0</v>
      </c>
    </row>
    <row r="41" spans="1:5">
      <c r="A41" s="18">
        <v>1</v>
      </c>
      <c r="B41" s="20">
        <f>IF('5 - Motore'!$E$7&gt;0,0,'1 - Caso e ipotesi'!$B$6*$B$33^MIN($A41,'1 - Caso e ipotesi'!$B$8-1)*$B$32^('1 - Caso e ipotesi'!$B$8-1-MIN($A41,'1 - Caso e ipotesi'!$B$8-1))/(($B$32^('1 - Caso e ipotesi'!$B$8-MIN($A41,'1 - Caso e ipotesi'!$B$8-1))-1)/($B$32-1)+$B$32^('1 - Caso e ipotesi'!$B$8-1-MIN($A41,'1 - Caso e ipotesi'!$B$8-1))*$B$33*($B$33^MIN($A41,'1 - Caso e ipotesi'!$B$8-1)-1)/($B$33-1)))</f>
        <v>36786.629446915424</v>
      </c>
      <c r="C41" s="20">
        <f>IF('5 - Motore'!$E$65&gt;0,0,'1 - Caso e ipotesi'!$B$6*$C$33^MIN($A41,'1 - Caso e ipotesi'!$B$8-1)*$C$32^('1 - Caso e ipotesi'!$B$8-1-MIN($A41,'1 - Caso e ipotesi'!$B$8-1))/(($C$32^('1 - Caso e ipotesi'!$B$8-MIN($A41,'1 - Caso e ipotesi'!$B$8-1))-1)/($C$32-1)+$C$32^('1 - Caso e ipotesi'!$B$8-1-MIN($A41,'1 - Caso e ipotesi'!$B$8-1))*$C$33*($C$33^MIN($A41,'1 - Caso e ipotesi'!$B$8-1)-1)/($C$33-1)))</f>
        <v>36404.666086864163</v>
      </c>
      <c r="D41" s="19">
        <f>IF(B41&gt;='1 - Caso e ipotesi'!$B$7,1,0)</f>
        <v>0</v>
      </c>
      <c r="E41" s="19">
        <f>IF(C41&gt;='1 - Caso e ipotesi'!$B$7,1,0)</f>
        <v>0</v>
      </c>
    </row>
    <row r="42" spans="1:5">
      <c r="A42" s="18">
        <v>2</v>
      </c>
      <c r="B42" s="20">
        <f>IF('5 - Motore'!$E$7&gt;0,0,'1 - Caso e ipotesi'!$B$6*$B$33^MIN($A42,'1 - Caso e ipotesi'!$B$8-1)*$B$32^('1 - Caso e ipotesi'!$B$8-1-MIN($A42,'1 - Caso e ipotesi'!$B$8-1))/(($B$32^('1 - Caso e ipotesi'!$B$8-MIN($A42,'1 - Caso e ipotesi'!$B$8-1))-1)/($B$32-1)+$B$32^('1 - Caso e ipotesi'!$B$8-1-MIN($A42,'1 - Caso e ipotesi'!$B$8-1))*$B$33*($B$33^MIN($A42,'1 - Caso e ipotesi'!$B$8-1)-1)/($B$33-1)))</f>
        <v>37081.844032650479</v>
      </c>
      <c r="C42" s="20">
        <f>IF('5 - Motore'!$E$65&gt;0,0,'1 - Caso e ipotesi'!$B$6*$C$33^MIN($A42,'1 - Caso e ipotesi'!$B$8-1)*$C$32^('1 - Caso e ipotesi'!$B$8-1-MIN($A42,'1 - Caso e ipotesi'!$B$8-1))/(($C$32^('1 - Caso e ipotesi'!$B$8-MIN($A42,'1 - Caso e ipotesi'!$B$8-1))-1)/($C$32-1)+$C$32^('1 - Caso e ipotesi'!$B$8-1-MIN($A42,'1 - Caso e ipotesi'!$B$8-1))*$C$33*($C$33^MIN($A42,'1 - Caso e ipotesi'!$B$8-1)-1)/($C$33-1)))</f>
        <v>36690.079972408945</v>
      </c>
      <c r="D42" s="19">
        <f>IF(B42&gt;='1 - Caso e ipotesi'!$B$7,1,0)</f>
        <v>0</v>
      </c>
      <c r="E42" s="19">
        <f>IF(C42&gt;='1 - Caso e ipotesi'!$B$7,1,0)</f>
        <v>0</v>
      </c>
    </row>
    <row r="43" spans="1:5">
      <c r="A43" s="18">
        <v>3</v>
      </c>
      <c r="B43" s="20">
        <f>IF('5 - Motore'!$E$7&gt;0,0,'1 - Caso e ipotesi'!$B$6*$B$33^MIN($A43,'1 - Caso e ipotesi'!$B$8-1)*$B$32^('1 - Caso e ipotesi'!$B$8-1-MIN($A43,'1 - Caso e ipotesi'!$B$8-1))/(($B$32^('1 - Caso e ipotesi'!$B$8-MIN($A43,'1 - Caso e ipotesi'!$B$8-1))-1)/($B$32-1)+$B$32^('1 - Caso e ipotesi'!$B$8-1-MIN($A43,'1 - Caso e ipotesi'!$B$8-1))*$B$33*($B$33^MIN($A43,'1 - Caso e ipotesi'!$B$8-1)-1)/($B$33-1)))</f>
        <v>37370.068790443198</v>
      </c>
      <c r="C43" s="20">
        <f>IF('5 - Motore'!$E$65&gt;0,0,'1 - Caso e ipotesi'!$B$6*$C$33^MIN($A43,'1 - Caso e ipotesi'!$B$8-1)*$C$32^('1 - Caso e ipotesi'!$B$8-1-MIN($A43,'1 - Caso e ipotesi'!$B$8-1))/(($C$32^('1 - Caso e ipotesi'!$B$8-MIN($A43,'1 - Caso e ipotesi'!$B$8-1))-1)/($C$32-1)+$C$32^('1 - Caso e ipotesi'!$B$8-1-MIN($A43,'1 - Caso e ipotesi'!$B$8-1))*$C$33*($C$33^MIN($A43,'1 - Caso e ipotesi'!$B$8-1)-1)/($C$33-1)))</f>
        <v>36968.777574351261</v>
      </c>
      <c r="D43" s="19">
        <f>IF(B43&gt;='1 - Caso e ipotesi'!$B$7,1,0)</f>
        <v>0</v>
      </c>
      <c r="E43" s="19">
        <f>IF(C43&gt;='1 - Caso e ipotesi'!$B$7,1,0)</f>
        <v>0</v>
      </c>
    </row>
    <row r="44" spans="1:5">
      <c r="A44" s="18">
        <v>4</v>
      </c>
      <c r="B44" s="20">
        <f>IF('5 - Motore'!$E$7&gt;0,0,'1 - Caso e ipotesi'!$B$6*$B$33^MIN($A44,'1 - Caso e ipotesi'!$B$8-1)*$B$32^('1 - Caso e ipotesi'!$B$8-1-MIN($A44,'1 - Caso e ipotesi'!$B$8-1))/(($B$32^('1 - Caso e ipotesi'!$B$8-MIN($A44,'1 - Caso e ipotesi'!$B$8-1))-1)/($B$32-1)+$B$32^('1 - Caso e ipotesi'!$B$8-1-MIN($A44,'1 - Caso e ipotesi'!$B$8-1))*$B$33*($B$33^MIN($A44,'1 - Caso e ipotesi'!$B$8-1)-1)/($B$33-1)))</f>
        <v>37651.124753127937</v>
      </c>
      <c r="C44" s="20">
        <f>IF('5 - Motore'!$E$65&gt;0,0,'1 - Caso e ipotesi'!$B$6*$C$33^MIN($A44,'1 - Caso e ipotesi'!$B$8-1)*$C$32^('1 - Caso e ipotesi'!$B$8-1-MIN($A44,'1 - Caso e ipotesi'!$B$8-1))/(($C$32^('1 - Caso e ipotesi'!$B$8-MIN($A44,'1 - Caso e ipotesi'!$B$8-1))-1)/($C$32-1)+$C$32^('1 - Caso e ipotesi'!$B$8-1-MIN($A44,'1 - Caso e ipotesi'!$B$8-1))*$C$33*($C$33^MIN($A44,'1 - Caso e ipotesi'!$B$8-1)-1)/($C$33-1)))</f>
        <v>37240.588045376513</v>
      </c>
      <c r="D44" s="19">
        <f>IF(B44&gt;='1 - Caso e ipotesi'!$B$7,1,0)</f>
        <v>0</v>
      </c>
      <c r="E44" s="19">
        <f>IF(C44&gt;='1 - Caso e ipotesi'!$B$7,1,0)</f>
        <v>0</v>
      </c>
    </row>
    <row r="45" spans="1:5">
      <c r="A45" s="18">
        <v>5</v>
      </c>
      <c r="B45" s="20">
        <f>IF('5 - Motore'!$E$7&gt;0,0,'1 - Caso e ipotesi'!$B$6*$B$33^MIN($A45,'1 - Caso e ipotesi'!$B$8-1)*$B$32^('1 - Caso e ipotesi'!$B$8-1-MIN($A45,'1 - Caso e ipotesi'!$B$8-1))/(($B$32^('1 - Caso e ipotesi'!$B$8-MIN($A45,'1 - Caso e ipotesi'!$B$8-1))-1)/($B$32-1)+$B$32^('1 - Caso e ipotesi'!$B$8-1-MIN($A45,'1 - Caso e ipotesi'!$B$8-1))*$B$33*($B$33^MIN($A45,'1 - Caso e ipotesi'!$B$8-1)-1)/($B$33-1)))</f>
        <v>37924.84380752896</v>
      </c>
      <c r="C45" s="20">
        <f>IF('5 - Motore'!$E$65&gt;0,0,'1 - Caso e ipotesi'!$B$6*$C$33^MIN($A45,'1 - Caso e ipotesi'!$B$8-1)*$C$32^('1 - Caso e ipotesi'!$B$8-1-MIN($A45,'1 - Caso e ipotesi'!$B$8-1))/(($C$32^('1 - Caso e ipotesi'!$B$8-MIN($A45,'1 - Caso e ipotesi'!$B$8-1))-1)/($C$32-1)+$C$32^('1 - Caso e ipotesi'!$B$8-1-MIN($A45,'1 - Caso e ipotesi'!$B$8-1))*$C$33*($C$33^MIN($A45,'1 - Caso e ipotesi'!$B$8-1)-1)/($C$33-1)))</f>
        <v>37505.350564121851</v>
      </c>
      <c r="D45" s="19">
        <f>IF(B45&gt;='1 - Caso e ipotesi'!$B$7,1,0)</f>
        <v>0</v>
      </c>
      <c r="E45" s="19">
        <f>IF(C45&gt;='1 - Caso e ipotesi'!$B$7,1,0)</f>
        <v>0</v>
      </c>
    </row>
    <row r="46" spans="1:5">
      <c r="A46" s="18">
        <v>6</v>
      </c>
      <c r="B46" s="20">
        <f>IF('5 - Motore'!$E$7&gt;0,0,'1 - Caso e ipotesi'!$B$6*$B$33^MIN($A46,'1 - Caso e ipotesi'!$B$8-1)*$B$32^('1 - Caso e ipotesi'!$B$8-1-MIN($A46,'1 - Caso e ipotesi'!$B$8-1))/(($B$32^('1 - Caso e ipotesi'!$B$8-MIN($A46,'1 - Caso e ipotesi'!$B$8-1))-1)/($B$32-1)+$B$32^('1 - Caso e ipotesi'!$B$8-1-MIN($A46,'1 - Caso e ipotesi'!$B$8-1))*$B$33*($B$33^MIN($A46,'1 - Caso e ipotesi'!$B$8-1)-1)/($B$33-1)))</f>
        <v>38191.069039334245</v>
      </c>
      <c r="C46" s="20">
        <f>IF('5 - Motore'!$E$65&gt;0,0,'1 - Caso e ipotesi'!$B$6*$C$33^MIN($A46,'1 - Caso e ipotesi'!$B$8-1)*$C$32^('1 - Caso e ipotesi'!$B$8-1-MIN($A46,'1 - Caso e ipotesi'!$B$8-1))/(($C$32^('1 - Caso e ipotesi'!$B$8-MIN($A46,'1 - Caso e ipotesi'!$B$8-1))-1)/($C$32-1)+$C$32^('1 - Caso e ipotesi'!$B$8-1-MIN($A46,'1 - Caso e ipotesi'!$B$8-1))*$C$33*($C$33^MIN($A46,'1 - Caso e ipotesi'!$B$8-1)-1)/($C$33-1)))</f>
        <v>37762.914663063224</v>
      </c>
      <c r="D46" s="19">
        <f>IF(B46&gt;='1 - Caso e ipotesi'!$B$7,1,0)</f>
        <v>0</v>
      </c>
      <c r="E46" s="19">
        <f>IF(C46&gt;='1 - Caso e ipotesi'!$B$7,1,0)</f>
        <v>0</v>
      </c>
    </row>
    <row r="47" spans="1:5">
      <c r="A47" s="18">
        <v>7</v>
      </c>
      <c r="B47" s="20">
        <f>IF('5 - Motore'!$E$7&gt;0,0,'1 - Caso e ipotesi'!$B$6*$B$33^MIN($A47,'1 - Caso e ipotesi'!$B$8-1)*$B$32^('1 - Caso e ipotesi'!$B$8-1-MIN($A47,'1 - Caso e ipotesi'!$B$8-1))/(($B$32^('1 - Caso e ipotesi'!$B$8-MIN($A47,'1 - Caso e ipotesi'!$B$8-1))-1)/($B$32-1)+$B$32^('1 - Caso e ipotesi'!$B$8-1-MIN($A47,'1 - Caso e ipotesi'!$B$8-1))*$B$33*($B$33^MIN($A47,'1 - Caso e ipotesi'!$B$8-1)-1)/($B$33-1)))</f>
        <v>38449.65503590466</v>
      </c>
      <c r="C47" s="20">
        <f>IF('5 - Motore'!$E$65&gt;0,0,'1 - Caso e ipotesi'!$B$6*$C$33^MIN($A47,'1 - Caso e ipotesi'!$B$8-1)*$C$32^('1 - Caso e ipotesi'!$B$8-1-MIN($A47,'1 - Caso e ipotesi'!$B$8-1))/(($C$32^('1 - Caso e ipotesi'!$B$8-MIN($A47,'1 - Caso e ipotesi'!$B$8-1))-1)/($C$32-1)+$C$32^('1 - Caso e ipotesi'!$B$8-1-MIN($A47,'1 - Caso e ipotesi'!$B$8-1))*$C$33*($C$33^MIN($A47,'1 - Caso e ipotesi'!$B$8-1)-1)/($C$33-1)))</f>
        <v>38013.140518853179</v>
      </c>
      <c r="D47" s="19">
        <f>IF(B47&gt;='1 - Caso e ipotesi'!$B$7,1,0)</f>
        <v>0</v>
      </c>
      <c r="E47" s="19">
        <f>IF(C47&gt;='1 - Caso e ipotesi'!$B$7,1,0)</f>
        <v>0</v>
      </c>
    </row>
    <row r="48" spans="1:5">
      <c r="A48" s="18">
        <v>8</v>
      </c>
      <c r="B48" s="20">
        <f>IF('5 - Motore'!$E$7&gt;0,0,'1 - Caso e ipotesi'!$B$6*$B$33^MIN($A48,'1 - Caso e ipotesi'!$B$8-1)*$B$32^('1 - Caso e ipotesi'!$B$8-1-MIN($A48,'1 - Caso e ipotesi'!$B$8-1))/(($B$32^('1 - Caso e ipotesi'!$B$8-MIN($A48,'1 - Caso e ipotesi'!$B$8-1))-1)/($B$32-1)+$B$32^('1 - Caso e ipotesi'!$B$8-1-MIN($A48,'1 - Caso e ipotesi'!$B$8-1))*$B$33*($B$33^MIN($A48,'1 - Caso e ipotesi'!$B$8-1)-1)/($B$33-1)))</f>
        <v>38700.468145874722</v>
      </c>
      <c r="C48" s="20">
        <f>IF('5 - Motore'!$E$65&gt;0,0,'1 - Caso e ipotesi'!$B$6*$C$33^MIN($A48,'1 - Caso e ipotesi'!$B$8-1)*$C$32^('1 - Caso e ipotesi'!$B$8-1-MIN($A48,'1 - Caso e ipotesi'!$B$8-1))/(($C$32^('1 - Caso e ipotesi'!$B$8-MIN($A48,'1 - Caso e ipotesi'!$B$8-1))-1)/($C$32-1)+$C$32^('1 - Caso e ipotesi'!$B$8-1-MIN($A48,'1 - Caso e ipotesi'!$B$8-1))*$C$33*($C$33^MIN($A48,'1 - Caso e ipotesi'!$B$8-1)-1)/($C$33-1)))</f>
        <v>38255.899203990666</v>
      </c>
      <c r="D48" s="19">
        <f>IF(B48&gt;='1 - Caso e ipotesi'!$B$7,1,0)</f>
        <v>0</v>
      </c>
      <c r="E48" s="19">
        <f>IF(C48&gt;='1 - Caso e ipotesi'!$B$7,1,0)</f>
        <v>0</v>
      </c>
    </row>
    <row r="49" spans="1:5">
      <c r="A49" s="18">
        <v>9</v>
      </c>
      <c r="B49" s="20">
        <f>IF('5 - Motore'!$E$7&gt;0,0,'1 - Caso e ipotesi'!$B$6*$B$33^MIN($A49,'1 - Caso e ipotesi'!$B$8-1)*$B$32^('1 - Caso e ipotesi'!$B$8-1-MIN($A49,'1 - Caso e ipotesi'!$B$8-1))/(($B$32^('1 - Caso e ipotesi'!$B$8-MIN($A49,'1 - Caso e ipotesi'!$B$8-1))-1)/($B$32-1)+$B$32^('1 - Caso e ipotesi'!$B$8-1-MIN($A49,'1 - Caso e ipotesi'!$B$8-1))*$B$33*($B$33^MIN($A49,'1 - Caso e ipotesi'!$B$8-1)-1)/($B$33-1)))</f>
        <v>38943.386694699358</v>
      </c>
      <c r="C49" s="20">
        <f>IF('5 - Motore'!$E$65&gt;0,0,'1 - Caso e ipotesi'!$B$6*$C$33^MIN($A49,'1 - Caso e ipotesi'!$B$8-1)*$C$32^('1 - Caso e ipotesi'!$B$8-1-MIN($A49,'1 - Caso e ipotesi'!$B$8-1))/(($C$32^('1 - Caso e ipotesi'!$B$8-MIN($A49,'1 - Caso e ipotesi'!$B$8-1))-1)/($C$32-1)+$C$32^('1 - Caso e ipotesi'!$B$8-1-MIN($A49,'1 - Caso e ipotesi'!$B$8-1))*$C$33*($C$33^MIN($A49,'1 - Caso e ipotesi'!$B$8-1)-1)/($C$33-1)))</f>
        <v>38491.0728989618</v>
      </c>
      <c r="D49" s="19">
        <f>IF(B49&gt;='1 - Caso e ipotesi'!$B$7,1,0)</f>
        <v>0</v>
      </c>
      <c r="E49" s="19">
        <f>IF(C49&gt;='1 - Caso e ipotesi'!$B$7,1,0)</f>
        <v>0</v>
      </c>
    </row>
    <row r="50" spans="1:5">
      <c r="A50" s="18">
        <v>10</v>
      </c>
      <c r="B50" s="20">
        <f>IF('5 - Motore'!$E$7&gt;0,0,'1 - Caso e ipotesi'!$B$6*$B$33^MIN($A50,'1 - Caso e ipotesi'!$B$8-1)*$B$32^('1 - Caso e ipotesi'!$B$8-1-MIN($A50,'1 - Caso e ipotesi'!$B$8-1))/(($B$32^('1 - Caso e ipotesi'!$B$8-MIN($A50,'1 - Caso e ipotesi'!$B$8-1))-1)/($B$32-1)+$B$32^('1 - Caso e ipotesi'!$B$8-1-MIN($A50,'1 - Caso e ipotesi'!$B$8-1))*$B$33*($B$33^MIN($A50,'1 - Caso e ipotesi'!$B$8-1)-1)/($B$33-1)))</f>
        <v>39178.301155601242</v>
      </c>
      <c r="C50" s="20">
        <f>IF('5 - Motore'!$E$65&gt;0,0,'1 - Caso e ipotesi'!$B$6*$C$33^MIN($A50,'1 - Caso e ipotesi'!$B$8-1)*$C$32^('1 - Caso e ipotesi'!$B$8-1-MIN($A50,'1 - Caso e ipotesi'!$B$8-1))/(($C$32^('1 - Caso e ipotesi'!$B$8-MIN($A50,'1 - Caso e ipotesi'!$B$8-1))-1)/($C$32-1)+$C$32^('1 - Caso e ipotesi'!$B$8-1-MIN($A50,'1 - Caso e ipotesi'!$B$8-1))*$C$33*($C$33^MIN($A50,'1 - Caso e ipotesi'!$B$8-1)-1)/($C$33-1)))</f>
        <v>38718.555064253946</v>
      </c>
      <c r="D50" s="19">
        <f>IF(B50&gt;='1 - Caso e ipotesi'!$B$7,1,0)</f>
        <v>0</v>
      </c>
      <c r="E50" s="19">
        <f>IF(C50&gt;='1 - Caso e ipotesi'!$B$7,1,0)</f>
        <v>0</v>
      </c>
    </row>
    <row r="51" spans="1:5">
      <c r="A51" s="18">
        <v>11</v>
      </c>
      <c r="B51" s="20">
        <f>IF('5 - Motore'!$E$7&gt;0,0,'1 - Caso e ipotesi'!$B$6*$B$33^MIN($A51,'1 - Caso e ipotesi'!$B$8-1)*$B$32^('1 - Caso e ipotesi'!$B$8-1-MIN($A51,'1 - Caso e ipotesi'!$B$8-1))/(($B$32^('1 - Caso e ipotesi'!$B$8-MIN($A51,'1 - Caso e ipotesi'!$B$8-1))-1)/($B$32-1)+$B$32^('1 - Caso e ipotesi'!$B$8-1-MIN($A51,'1 - Caso e ipotesi'!$B$8-1))*$B$33*($B$33^MIN($A51,'1 - Caso e ipotesi'!$B$8-1)-1)/($B$33-1)))</f>
        <v>39405.114275674277</v>
      </c>
      <c r="C51" s="20">
        <f>IF('5 - Motore'!$E$65&gt;0,0,'1 - Caso e ipotesi'!$B$6*$C$33^MIN($A51,'1 - Caso e ipotesi'!$B$8-1)*$C$32^('1 - Caso e ipotesi'!$B$8-1-MIN($A51,'1 - Caso e ipotesi'!$B$8-1))/(($C$32^('1 - Caso e ipotesi'!$B$8-MIN($A51,'1 - Caso e ipotesi'!$B$8-1))-1)/($C$32-1)+$C$32^('1 - Caso e ipotesi'!$B$8-1-MIN($A51,'1 - Caso e ipotesi'!$B$8-1))*$C$33*($C$33^MIN($A51,'1 - Caso e ipotesi'!$B$8-1)-1)/($C$33-1)))</f>
        <v>38938.250571907818</v>
      </c>
      <c r="D51" s="19">
        <f>IF(B51&gt;='1 - Caso e ipotesi'!$B$7,1,0)</f>
        <v>0</v>
      </c>
      <c r="E51" s="19">
        <f>IF(C51&gt;='1 - Caso e ipotesi'!$B$7,1,0)</f>
        <v>0</v>
      </c>
    </row>
    <row r="52" spans="1:5">
      <c r="A52" s="18">
        <v>12</v>
      </c>
      <c r="B52" s="20">
        <f>IF('5 - Motore'!$E$7&gt;0,0,'1 - Caso e ipotesi'!$B$6*$B$33^MIN($A52,'1 - Caso e ipotesi'!$B$8-1)*$B$32^('1 - Caso e ipotesi'!$B$8-1-MIN($A52,'1 - Caso e ipotesi'!$B$8-1))/(($B$32^('1 - Caso e ipotesi'!$B$8-MIN($A52,'1 - Caso e ipotesi'!$B$8-1))-1)/($B$32-1)+$B$32^('1 - Caso e ipotesi'!$B$8-1-MIN($A52,'1 - Caso e ipotesi'!$B$8-1))*$B$33*($B$33^MIN($A52,'1 - Caso e ipotesi'!$B$8-1)-1)/($B$33-1)))</f>
        <v>39623.741157196877</v>
      </c>
      <c r="C52" s="20">
        <f>IF('5 - Motore'!$E$65&gt;0,0,'1 - Caso e ipotesi'!$B$6*$C$33^MIN($A52,'1 - Caso e ipotesi'!$B$8-1)*$C$32^('1 - Caso e ipotesi'!$B$8-1-MIN($A52,'1 - Caso e ipotesi'!$B$8-1))/(($C$32^('1 - Caso e ipotesi'!$B$8-MIN($A52,'1 - Caso e ipotesi'!$B$8-1))-1)/($C$32-1)+$C$32^('1 - Caso e ipotesi'!$B$8-1-MIN($A52,'1 - Caso e ipotesi'!$B$8-1))*$C$33*($C$33^MIN($A52,'1 - Caso e ipotesi'!$B$8-1)-1)/($C$33-1)))</f>
        <v>39150.07579653617</v>
      </c>
      <c r="D52" s="19">
        <f>IF(B52&gt;='1 - Caso e ipotesi'!$B$7,1,0)</f>
        <v>0</v>
      </c>
      <c r="E52" s="19">
        <f>IF(C52&gt;='1 - Caso e ipotesi'!$B$7,1,0)</f>
        <v>0</v>
      </c>
    </row>
    <row r="53" spans="1:5">
      <c r="A53" s="18">
        <v>13</v>
      </c>
      <c r="B53" s="20">
        <f>IF('5 - Motore'!$E$7&gt;0,0,'1 - Caso e ipotesi'!$B$6*$B$33^MIN($A53,'1 - Caso e ipotesi'!$B$8-1)*$B$32^('1 - Caso e ipotesi'!$B$8-1-MIN($A53,'1 - Caso e ipotesi'!$B$8-1))/(($B$32^('1 - Caso e ipotesi'!$B$8-MIN($A53,'1 - Caso e ipotesi'!$B$8-1))-1)/($B$32-1)+$B$32^('1 - Caso e ipotesi'!$B$8-1-MIN($A53,'1 - Caso e ipotesi'!$B$8-1))*$B$33*($B$33^MIN($A53,'1 - Caso e ipotesi'!$B$8-1)-1)/($B$33-1)))</f>
        <v>39834.109294500078</v>
      </c>
      <c r="C53" s="20">
        <f>IF('5 - Motore'!$E$65&gt;0,0,'1 - Caso e ipotesi'!$B$6*$C$33^MIN($A53,'1 - Caso e ipotesi'!$B$8-1)*$C$32^('1 - Caso e ipotesi'!$B$8-1-MIN($A53,'1 - Caso e ipotesi'!$B$8-1))/(($C$32^('1 - Caso e ipotesi'!$B$8-MIN($A53,'1 - Caso e ipotesi'!$B$8-1))-1)/($C$32-1)+$C$32^('1 - Caso e ipotesi'!$B$8-1-MIN($A53,'1 - Caso e ipotesi'!$B$8-1))*$C$33*($C$33^MIN($A53,'1 - Caso e ipotesi'!$B$8-1)-1)/($C$33-1)))</f>
        <v>39353.95866599508</v>
      </c>
      <c r="D53" s="19">
        <f>IF(B53&gt;='1 - Caso e ipotesi'!$B$7,1,0)</f>
        <v>0</v>
      </c>
      <c r="E53" s="19">
        <f>IF(C53&gt;='1 - Caso e ipotesi'!$B$7,1,0)</f>
        <v>0</v>
      </c>
    </row>
    <row r="54" spans="1:5">
      <c r="A54" s="18">
        <v>14</v>
      </c>
      <c r="B54" s="20">
        <f>IF('5 - Motore'!$E$7&gt;0,0,'1 - Caso e ipotesi'!$B$6*$B$33^MIN($A54,'1 - Caso e ipotesi'!$B$8-1)*$B$32^('1 - Caso e ipotesi'!$B$8-1-MIN($A54,'1 - Caso e ipotesi'!$B$8-1))/(($B$32^('1 - Caso e ipotesi'!$B$8-MIN($A54,'1 - Caso e ipotesi'!$B$8-1))-1)/($B$32-1)+$B$32^('1 - Caso e ipotesi'!$B$8-1-MIN($A54,'1 - Caso e ipotesi'!$B$8-1))*$B$33*($B$33^MIN($A54,'1 - Caso e ipotesi'!$B$8-1)-1)/($B$33-1)))</f>
        <v>40036.158567017927</v>
      </c>
      <c r="C54" s="20">
        <f>IF('5 - Motore'!$E$65&gt;0,0,'1 - Caso e ipotesi'!$B$6*$C$33^MIN($A54,'1 - Caso e ipotesi'!$B$8-1)*$C$32^('1 - Caso e ipotesi'!$B$8-1-MIN($A54,'1 - Caso e ipotesi'!$B$8-1))/(($C$32^('1 - Caso e ipotesi'!$B$8-MIN($A54,'1 - Caso e ipotesi'!$B$8-1))-1)/($C$32-1)+$C$32^('1 - Caso e ipotesi'!$B$8-1-MIN($A54,'1 - Caso e ipotesi'!$B$8-1))*$C$33*($C$33^MIN($A54,'1 - Caso e ipotesi'!$B$8-1)-1)/($C$33-1)))</f>
        <v>39549.838672145161</v>
      </c>
      <c r="D54" s="19">
        <f>IF(B54&gt;='1 - Caso e ipotesi'!$B$7,1,0)</f>
        <v>1</v>
      </c>
      <c r="E54" s="19">
        <f>IF(C54&gt;='1 - Caso e ipotesi'!$B$7,1,0)</f>
        <v>0</v>
      </c>
    </row>
    <row r="55" spans="1:5">
      <c r="A55" s="18">
        <v>15</v>
      </c>
      <c r="B55" s="20">
        <f>IF('5 - Motore'!$E$7&gt;0,0,'1 - Caso e ipotesi'!$B$6*$B$33^MIN($A55,'1 - Caso e ipotesi'!$B$8-1)*$B$32^('1 - Caso e ipotesi'!$B$8-1-MIN($A55,'1 - Caso e ipotesi'!$B$8-1))/(($B$32^('1 - Caso e ipotesi'!$B$8-MIN($A55,'1 - Caso e ipotesi'!$B$8-1))-1)/($B$32-1)+$B$32^('1 - Caso e ipotesi'!$B$8-1-MIN($A55,'1 - Caso e ipotesi'!$B$8-1))*$B$33*($B$33^MIN($A55,'1 - Caso e ipotesi'!$B$8-1)-1)/($B$33-1)))</f>
        <v>40229.84118941817</v>
      </c>
      <c r="C55" s="20">
        <f>IF('5 - Motore'!$E$65&gt;0,0,'1 - Caso e ipotesi'!$B$6*$C$33^MIN($A55,'1 - Caso e ipotesi'!$B$8-1)*$C$32^('1 - Caso e ipotesi'!$B$8-1-MIN($A55,'1 - Caso e ipotesi'!$B$8-1))/(($C$32^('1 - Caso e ipotesi'!$B$8-MIN($A55,'1 - Caso e ipotesi'!$B$8-1))-1)/($C$32-1)+$C$32^('1 - Caso e ipotesi'!$B$8-1-MIN($A55,'1 - Caso e ipotesi'!$B$8-1))*$C$33*($C$33^MIN($A55,'1 - Caso e ipotesi'!$B$8-1)-1)/($C$33-1)))</f>
        <v>39737.666842384948</v>
      </c>
      <c r="D55" s="19">
        <f>IF(B55&gt;='1 - Caso e ipotesi'!$B$7,1,0)</f>
        <v>1</v>
      </c>
      <c r="E55" s="19">
        <f>IF(C55&gt;='1 - Caso e ipotesi'!$B$7,1,0)</f>
        <v>0</v>
      </c>
    </row>
    <row r="56" spans="1:5">
      <c r="A56" s="18">
        <v>16</v>
      </c>
      <c r="B56" s="20">
        <f>IF('5 - Motore'!$E$7&gt;0,0,'1 - Caso e ipotesi'!$B$6*$B$33^MIN($A56,'1 - Caso e ipotesi'!$B$8-1)*$B$32^('1 - Caso e ipotesi'!$B$8-1-MIN($A56,'1 - Caso e ipotesi'!$B$8-1))/(($B$32^('1 - Caso e ipotesi'!$B$8-MIN($A56,'1 - Caso e ipotesi'!$B$8-1))-1)/($B$32-1)+$B$32^('1 - Caso e ipotesi'!$B$8-1-MIN($A56,'1 - Caso e ipotesi'!$B$8-1))*$B$33*($B$33^MIN($A56,'1 - Caso e ipotesi'!$B$8-1)-1)/($B$33-1)))</f>
        <v>40415.121619968115</v>
      </c>
      <c r="C56" s="20">
        <f>IF('5 - Motore'!$E$65&gt;0,0,'1 - Caso e ipotesi'!$B$6*$C$33^MIN($A56,'1 - Caso e ipotesi'!$B$8-1)*$C$32^('1 - Caso e ipotesi'!$B$8-1-MIN($A56,'1 - Caso e ipotesi'!$B$8-1))/(($C$32^('1 - Caso e ipotesi'!$B$8-MIN($A56,'1 - Caso e ipotesi'!$B$8-1))-1)/($C$32-1)+$C$32^('1 - Caso e ipotesi'!$B$8-1-MIN($A56,'1 - Caso e ipotesi'!$B$8-1))*$C$33*($C$33^MIN($A56,'1 - Caso e ipotesi'!$B$8-1)-1)/($C$33-1)))</f>
        <v>39917.405672866895</v>
      </c>
      <c r="D56" s="19">
        <f>IF(B56&gt;='1 - Caso e ipotesi'!$B$7,1,0)</f>
        <v>1</v>
      </c>
      <c r="E56" s="19">
        <f>IF(C56&gt;='1 - Caso e ipotesi'!$B$7,1,0)</f>
        <v>0</v>
      </c>
    </row>
    <row r="57" spans="1:5">
      <c r="A57" s="18">
        <v>17</v>
      </c>
      <c r="B57" s="20">
        <f>IF('5 - Motore'!$E$7&gt;0,0,'1 - Caso e ipotesi'!$B$6*$B$33^MIN($A57,'1 - Caso e ipotesi'!$B$8-1)*$B$32^('1 - Caso e ipotesi'!$B$8-1-MIN($A57,'1 - Caso e ipotesi'!$B$8-1))/(($B$32^('1 - Caso e ipotesi'!$B$8-MIN($A57,'1 - Caso e ipotesi'!$B$8-1))-1)/($B$32-1)+$B$32^('1 - Caso e ipotesi'!$B$8-1-MIN($A57,'1 - Caso e ipotesi'!$B$8-1))*$B$33*($B$33^MIN($A57,'1 - Caso e ipotesi'!$B$8-1)-1)/($B$33-1)))</f>
        <v>40591.976428530194</v>
      </c>
      <c r="C57" s="20">
        <f>IF('5 - Motore'!$E$65&gt;0,0,'1 - Caso e ipotesi'!$B$6*$C$33^MIN($A57,'1 - Caso e ipotesi'!$B$8-1)*$C$32^('1 - Caso e ipotesi'!$B$8-1-MIN($A57,'1 - Caso e ipotesi'!$B$8-1))/(($C$32^('1 - Caso e ipotesi'!$B$8-MIN($A57,'1 - Caso e ipotesi'!$B$8-1))-1)/($C$32-1)+$C$32^('1 - Caso e ipotesi'!$B$8-1-MIN($A57,'1 - Caso e ipotesi'!$B$8-1))*$C$33*($C$33^MIN($A57,'1 - Caso e ipotesi'!$B$8-1)-1)/($C$33-1)))</f>
        <v>40089.029024528725</v>
      </c>
      <c r="D57" s="19">
        <f>IF(B57&gt;='1 - Caso e ipotesi'!$B$7,1,0)</f>
        <v>1</v>
      </c>
      <c r="E57" s="19">
        <f>IF(C57&gt;='1 - Caso e ipotesi'!$B$7,1,0)</f>
        <v>1</v>
      </c>
    </row>
    <row r="58" spans="1:5">
      <c r="A58" s="18">
        <v>18</v>
      </c>
      <c r="B58" s="20">
        <f>IF('5 - Motore'!$E$7&gt;0,0,'1 - Caso e ipotesi'!$B$6*$B$33^MIN($A58,'1 - Caso e ipotesi'!$B$8-1)*$B$32^('1 - Caso e ipotesi'!$B$8-1-MIN($A58,'1 - Caso e ipotesi'!$B$8-1))/(($B$32^('1 - Caso e ipotesi'!$B$8-MIN($A58,'1 - Caso e ipotesi'!$B$8-1))-1)/($B$32-1)+$B$32^('1 - Caso e ipotesi'!$B$8-1-MIN($A58,'1 - Caso e ipotesi'!$B$8-1))*$B$33*($B$33^MIN($A58,'1 - Caso e ipotesi'!$B$8-1)-1)/($B$33-1)))</f>
        <v>40760.394125802457</v>
      </c>
      <c r="C58" s="20">
        <f>IF('5 - Motore'!$E$65&gt;0,0,'1 - Caso e ipotesi'!$B$6*$C$33^MIN($A58,'1 - Caso e ipotesi'!$B$8-1)*$C$32^('1 - Caso e ipotesi'!$B$8-1-MIN($A58,'1 - Caso e ipotesi'!$B$8-1))/(($C$32^('1 - Caso e ipotesi'!$B$8-MIN($A58,'1 - Caso e ipotesi'!$B$8-1))-1)/($C$32-1)+$C$32^('1 - Caso e ipotesi'!$B$8-1-MIN($A58,'1 - Caso e ipotesi'!$B$8-1))*$C$33*($C$33^MIN($A58,'1 - Caso e ipotesi'!$B$8-1)-1)/($C$33-1)))</f>
        <v>40252.521983272622</v>
      </c>
      <c r="D58" s="19">
        <f>IF(B58&gt;='1 - Caso e ipotesi'!$B$7,1,0)</f>
        <v>1</v>
      </c>
      <c r="E58" s="19">
        <f>IF(C58&gt;='1 - Caso e ipotesi'!$B$7,1,0)</f>
        <v>1</v>
      </c>
    </row>
    <row r="59" spans="1:5">
      <c r="A59" s="18">
        <v>19</v>
      </c>
      <c r="B59" s="20">
        <f>IF('5 - Motore'!$E$7&gt;0,0,'1 - Caso e ipotesi'!$B$6*$B$33^MIN($A59,'1 - Caso e ipotesi'!$B$8-1)*$B$32^('1 - Caso e ipotesi'!$B$8-1-MIN($A59,'1 - Caso e ipotesi'!$B$8-1))/(($B$32^('1 - Caso e ipotesi'!$B$8-MIN($A59,'1 - Caso e ipotesi'!$B$8-1))-1)/($B$32-1)+$B$32^('1 - Caso e ipotesi'!$B$8-1-MIN($A59,'1 - Caso e ipotesi'!$B$8-1))*$B$33*($B$33^MIN($A59,'1 - Caso e ipotesi'!$B$8-1)-1)/($B$33-1)))</f>
        <v>40920.37495562149</v>
      </c>
      <c r="C59" s="20">
        <f>IF('5 - Motore'!$E$65&gt;0,0,'1 - Caso e ipotesi'!$B$6*$C$33^MIN($A59,'1 - Caso e ipotesi'!$B$8-1)*$C$32^('1 - Caso e ipotesi'!$B$8-1-MIN($A59,'1 - Caso e ipotesi'!$B$8-1))/(($C$32^('1 - Caso e ipotesi'!$B$8-MIN($A59,'1 - Caso e ipotesi'!$B$8-1))-1)/($C$32-1)+$C$32^('1 - Caso e ipotesi'!$B$8-1-MIN($A59,'1 - Caso e ipotesi'!$B$8-1))*$C$33*($C$33^MIN($A59,'1 - Caso e ipotesi'!$B$8-1)-1)/($C$33-1)))</f>
        <v>40407.88068581382</v>
      </c>
      <c r="D59" s="19">
        <f>IF(B59&gt;='1 - Caso e ipotesi'!$B$7,1,0)</f>
        <v>1</v>
      </c>
      <c r="E59" s="19">
        <f>IF(C59&gt;='1 - Caso e ipotesi'!$B$7,1,0)</f>
        <v>1</v>
      </c>
    </row>
    <row r="60" spans="1:5">
      <c r="A60" s="18">
        <v>20</v>
      </c>
      <c r="B60" s="20">
        <f>IF('5 - Motore'!$E$7&gt;0,0,'1 - Caso e ipotesi'!$B$6*$B$33^MIN($A60,'1 - Caso e ipotesi'!$B$8-1)*$B$32^('1 - Caso e ipotesi'!$B$8-1-MIN($A60,'1 - Caso e ipotesi'!$B$8-1))/(($B$32^('1 - Caso e ipotesi'!$B$8-MIN($A60,'1 - Caso e ipotesi'!$B$8-1))-1)/($B$32-1)+$B$32^('1 - Caso e ipotesi'!$B$8-1-MIN($A60,'1 - Caso e ipotesi'!$B$8-1))*$B$33*($B$33^MIN($A60,'1 - Caso e ipotesi'!$B$8-1)-1)/($B$33-1)))</f>
        <v>41071.930652324219</v>
      </c>
      <c r="C60" s="20">
        <f>IF('5 - Motore'!$E$65&gt;0,0,'1 - Caso e ipotesi'!$B$6*$C$33^MIN($A60,'1 - Caso e ipotesi'!$B$8-1)*$C$32^('1 - Caso e ipotesi'!$B$8-1-MIN($A60,'1 - Caso e ipotesi'!$B$8-1))/(($C$32^('1 - Caso e ipotesi'!$B$8-MIN($A60,'1 - Caso e ipotesi'!$B$8-1))-1)/($C$32-1)+$C$32^('1 - Caso e ipotesi'!$B$8-1-MIN($A60,'1 - Caso e ipotesi'!$B$8-1))*$C$33*($C$33^MIN($A60,'1 - Caso e ipotesi'!$B$8-1)-1)/($C$33-1)))</f>
        <v>40555.11211288847</v>
      </c>
      <c r="D60" s="19">
        <f>IF(B60&gt;='1 - Caso e ipotesi'!$B$7,1,0)</f>
        <v>1</v>
      </c>
      <c r="E60" s="19">
        <f>IF(C60&gt;='1 - Caso e ipotesi'!$B$7,1,0)</f>
        <v>1</v>
      </c>
    </row>
    <row r="61" spans="1:5">
      <c r="A61" s="18">
        <v>21</v>
      </c>
      <c r="B61" s="20">
        <f>IF('5 - Motore'!$E$7&gt;0,0,'1 - Caso e ipotesi'!$B$6*$B$33^MIN($A61,'1 - Caso e ipotesi'!$B$8-1)*$B$32^('1 - Caso e ipotesi'!$B$8-1-MIN($A61,'1 - Caso e ipotesi'!$B$8-1))/(($B$32^('1 - Caso e ipotesi'!$B$8-MIN($A61,'1 - Caso e ipotesi'!$B$8-1))-1)/($B$32-1)+$B$32^('1 - Caso e ipotesi'!$B$8-1-MIN($A61,'1 - Caso e ipotesi'!$B$8-1))*$B$33*($B$33^MIN($A61,'1 - Caso e ipotesi'!$B$8-1)-1)/($B$33-1)))</f>
        <v>41215.084165322602</v>
      </c>
      <c r="C61" s="20">
        <f>IF('5 - Motore'!$E$65&gt;0,0,'1 - Caso e ipotesi'!$B$6*$C$33^MIN($A61,'1 - Caso e ipotesi'!$B$8-1)*$C$32^('1 - Caso e ipotesi'!$B$8-1-MIN($A61,'1 - Caso e ipotesi'!$B$8-1))/(($C$32^('1 - Caso e ipotesi'!$B$8-MIN($A61,'1 - Caso e ipotesi'!$B$8-1))-1)/($C$32-1)+$C$32^('1 - Caso e ipotesi'!$B$8-1-MIN($A61,'1 - Caso e ipotesi'!$B$8-1))*$C$33*($C$33^MIN($A61,'1 - Caso e ipotesi'!$B$8-1)-1)/($C$33-1)))</f>
        <v>40694.233851659817</v>
      </c>
      <c r="D61" s="19">
        <f>IF(B61&gt;='1 - Caso e ipotesi'!$B$7,1,0)</f>
        <v>1</v>
      </c>
      <c r="E61" s="19">
        <f>IF(C61&gt;='1 - Caso e ipotesi'!$B$7,1,0)</f>
        <v>1</v>
      </c>
    </row>
    <row r="62" spans="1:5">
      <c r="A62" s="18">
        <v>22</v>
      </c>
      <c r="B62" s="20">
        <f>IF('5 - Motore'!$E$7&gt;0,0,'1 - Caso e ipotesi'!$B$6*$B$33^MIN($A62,'1 - Caso e ipotesi'!$B$8-1)*$B$32^('1 - Caso e ipotesi'!$B$8-1-MIN($A62,'1 - Caso e ipotesi'!$B$8-1))/(($B$32^('1 - Caso e ipotesi'!$B$8-MIN($A62,'1 - Caso e ipotesi'!$B$8-1))-1)/($B$32-1)+$B$32^('1 - Caso e ipotesi'!$B$8-1-MIN($A62,'1 - Caso e ipotesi'!$B$8-1))*$B$33*($B$33^MIN($A62,'1 - Caso e ipotesi'!$B$8-1)-1)/($B$33-1)))</f>
        <v>41349.869353179063</v>
      </c>
      <c r="C62" s="20">
        <f>IF('5 - Motore'!$E$65&gt;0,0,'1 - Caso e ipotesi'!$B$6*$C$33^MIN($A62,'1 - Caso e ipotesi'!$B$8-1)*$C$32^('1 - Caso e ipotesi'!$B$8-1-MIN($A62,'1 - Caso e ipotesi'!$B$8-1))/(($C$32^('1 - Caso e ipotesi'!$B$8-MIN($A62,'1 - Caso e ipotesi'!$B$8-1))-1)/($C$32-1)+$C$32^('1 - Caso e ipotesi'!$B$8-1-MIN($A62,'1 - Caso e ipotesi'!$B$8-1))*$C$33*($C$33^MIN($A62,'1 - Caso e ipotesi'!$B$8-1)-1)/($C$33-1)))</f>
        <v>40825.273829293292</v>
      </c>
      <c r="D62" s="19">
        <f>IF(B62&gt;='1 - Caso e ipotesi'!$B$7,1,0)</f>
        <v>1</v>
      </c>
      <c r="E62" s="19">
        <f>IF(C62&gt;='1 - Caso e ipotesi'!$B$7,1,0)</f>
        <v>1</v>
      </c>
    </row>
    <row r="63" spans="1:5">
      <c r="A63" s="18">
        <v>23</v>
      </c>
      <c r="B63" s="20">
        <f>IF('5 - Motore'!$E$7&gt;0,0,'1 - Caso e ipotesi'!$B$6*$B$33^MIN($A63,'1 - Caso e ipotesi'!$B$8-1)*$B$32^('1 - Caso e ipotesi'!$B$8-1-MIN($A63,'1 - Caso e ipotesi'!$B$8-1))/(($B$32^('1 - Caso e ipotesi'!$B$8-MIN($A63,'1 - Caso e ipotesi'!$B$8-1))-1)/($B$32-1)+$B$32^('1 - Caso e ipotesi'!$B$8-1-MIN($A63,'1 - Caso e ipotesi'!$B$8-1))*$B$33*($B$33^MIN($A63,'1 - Caso e ipotesi'!$B$8-1)-1)/($B$33-1)))</f>
        <v>41476.330649581068</v>
      </c>
      <c r="C63" s="20">
        <f>IF('5 - Motore'!$E$65&gt;0,0,'1 - Caso e ipotesi'!$B$6*$C$33^MIN($A63,'1 - Caso e ipotesi'!$B$8-1)*$C$32^('1 - Caso e ipotesi'!$B$8-1-MIN($A63,'1 - Caso e ipotesi'!$B$8-1))/(($C$32^('1 - Caso e ipotesi'!$B$8-MIN($A63,'1 - Caso e ipotesi'!$B$8-1))-1)/($C$32-1)+$C$32^('1 - Caso e ipotesi'!$B$8-1-MIN($A63,'1 - Caso e ipotesi'!$B$8-1))*$C$33*($C$33^MIN($A63,'1 - Caso e ipotesi'!$B$8-1)-1)/($C$33-1)))</f>
        <v>40948.270019779877</v>
      </c>
      <c r="D63" s="19">
        <f>IF(B63&gt;='1 - Caso e ipotesi'!$B$7,1,0)</f>
        <v>1</v>
      </c>
      <c r="E63" s="19">
        <f>IF(C63&gt;='1 - Caso e ipotesi'!$B$7,1,0)</f>
        <v>1</v>
      </c>
    </row>
    <row r="64" spans="1:5">
      <c r="A64" s="18">
        <v>24</v>
      </c>
      <c r="B64" s="20">
        <f>IF('5 - Motore'!$E$7&gt;0,0,'1 - Caso e ipotesi'!$B$6*$B$33^MIN($A64,'1 - Caso e ipotesi'!$B$8-1)*$B$32^('1 - Caso e ipotesi'!$B$8-1-MIN($A64,'1 - Caso e ipotesi'!$B$8-1))/(($B$32^('1 - Caso e ipotesi'!$B$8-MIN($A64,'1 - Caso e ipotesi'!$B$8-1))-1)/($B$32-1)+$B$32^('1 - Caso e ipotesi'!$B$8-1-MIN($A64,'1 - Caso e ipotesi'!$B$8-1))*$B$33*($B$33^MIN($A64,'1 - Caso e ipotesi'!$B$8-1)-1)/($B$33-1)))</f>
        <v>41594.522703700073</v>
      </c>
      <c r="C64" s="20">
        <f>IF('5 - Motore'!$E$65&gt;0,0,'1 - Caso e ipotesi'!$B$6*$C$33^MIN($A64,'1 - Caso e ipotesi'!$B$8-1)*$C$32^('1 - Caso e ipotesi'!$B$8-1-MIN($A64,'1 - Caso e ipotesi'!$B$8-1))/(($C$32^('1 - Caso e ipotesi'!$B$8-MIN($A64,'1 - Caso e ipotesi'!$B$8-1))-1)/($C$32-1)+$C$32^('1 - Caso e ipotesi'!$B$8-1-MIN($A64,'1 - Caso e ipotesi'!$B$8-1))*$C$33*($C$33^MIN($A64,'1 - Caso e ipotesi'!$B$8-1)-1)/($C$33-1)))</f>
        <v>41063.270126177835</v>
      </c>
      <c r="D64" s="19">
        <f>IF(B64&gt;='1 - Caso e ipotesi'!$B$7,1,0)</f>
        <v>1</v>
      </c>
      <c r="E64" s="19">
        <f>IF(C64&gt;='1 - Caso e ipotesi'!$B$7,1,0)</f>
        <v>1</v>
      </c>
    </row>
    <row r="65" spans="1:5">
      <c r="A65" s="18">
        <v>25</v>
      </c>
      <c r="B65" s="20">
        <f>IF('5 - Motore'!$E$7&gt;0,0,'1 - Caso e ipotesi'!$B$6*$B$33^MIN($A65,'1 - Caso e ipotesi'!$B$8-1)*$B$32^('1 - Caso e ipotesi'!$B$8-1-MIN($A65,'1 - Caso e ipotesi'!$B$8-1))/(($B$32^('1 - Caso e ipotesi'!$B$8-MIN($A65,'1 - Caso e ipotesi'!$B$8-1))-1)/($B$32-1)+$B$32^('1 - Caso e ipotesi'!$B$8-1-MIN($A65,'1 - Caso e ipotesi'!$B$8-1))*$B$33*($B$33^MIN($A65,'1 - Caso e ipotesi'!$B$8-1)-1)/($B$33-1)))</f>
        <v>41704.509997483248</v>
      </c>
      <c r="C65" s="20">
        <f>IF('5 - Motore'!$E$65&gt;0,0,'1 - Caso e ipotesi'!$B$6*$C$33^MIN($A65,'1 - Caso e ipotesi'!$B$8-1)*$C$32^('1 - Caso e ipotesi'!$B$8-1-MIN($A65,'1 - Caso e ipotesi'!$B$8-1))/(($C$32^('1 - Caso e ipotesi'!$B$8-MIN($A65,'1 - Caso e ipotesi'!$B$8-1))-1)/($C$32-1)+$C$32^('1 - Caso e ipotesi'!$B$8-1-MIN($A65,'1 - Caso e ipotesi'!$B$8-1))*$C$33*($C$33^MIN($A65,'1 - Caso e ipotesi'!$B$8-1)-1)/($C$33-1)))</f>
        <v>41170.331240511383</v>
      </c>
      <c r="D65" s="19">
        <f>IF(B65&gt;='1 - Caso e ipotesi'!$B$7,1,0)</f>
        <v>1</v>
      </c>
      <c r="E65" s="19">
        <f>IF(C65&gt;='1 - Caso e ipotesi'!$B$7,1,0)</f>
        <v>1</v>
      </c>
    </row>
    <row r="66" spans="1:5">
      <c r="A66" s="18">
        <v>26</v>
      </c>
      <c r="B66" s="20">
        <f>IF('5 - Motore'!$E$7&gt;0,0,'1 - Caso e ipotesi'!$B$6*$B$33^MIN($A66,'1 - Caso e ipotesi'!$B$8-1)*$B$32^('1 - Caso e ipotesi'!$B$8-1-MIN($A66,'1 - Caso e ipotesi'!$B$8-1))/(($B$32^('1 - Caso e ipotesi'!$B$8-MIN($A66,'1 - Caso e ipotesi'!$B$8-1))-1)/($B$32-1)+$B$32^('1 - Caso e ipotesi'!$B$8-1-MIN($A66,'1 - Caso e ipotesi'!$B$8-1))*$B$33*($B$33^MIN($A66,'1 - Caso e ipotesi'!$B$8-1)-1)/($B$33-1)))</f>
        <v>41806.36644246705</v>
      </c>
      <c r="C66" s="20">
        <f>IF('5 - Motore'!$E$65&gt;0,0,'1 - Caso e ipotesi'!$B$6*$C$33^MIN($A66,'1 - Caso e ipotesi'!$B$8-1)*$C$32^('1 - Caso e ipotesi'!$B$8-1-MIN($A66,'1 - Caso e ipotesi'!$B$8-1))/(($C$32^('1 - Caso e ipotesi'!$B$8-MIN($A66,'1 - Caso e ipotesi'!$B$8-1))-1)/($C$32-1)+$C$32^('1 - Caso e ipotesi'!$B$8-1-MIN($A66,'1 - Caso e ipotesi'!$B$8-1))*$C$33*($C$33^MIN($A66,'1 - Caso e ipotesi'!$B$8-1)-1)/($C$33-1)))</f>
        <v>41269.519483614575</v>
      </c>
      <c r="D66" s="19">
        <f>IF(B66&gt;='1 - Caso e ipotesi'!$B$7,1,0)</f>
        <v>1</v>
      </c>
      <c r="E66" s="19">
        <f>IF(C66&gt;='1 - Caso e ipotesi'!$B$7,1,0)</f>
        <v>1</v>
      </c>
    </row>
    <row r="67" spans="1:5">
      <c r="A67" s="18">
        <v>27</v>
      </c>
      <c r="B67" s="20">
        <f>IF('5 - Motore'!$E$7&gt;0,0,'1 - Caso e ipotesi'!$B$6*$B$33^MIN($A67,'1 - Caso e ipotesi'!$B$8-1)*$B$32^('1 - Caso e ipotesi'!$B$8-1-MIN($A67,'1 - Caso e ipotesi'!$B$8-1))/(($B$32^('1 - Caso e ipotesi'!$B$8-MIN($A67,'1 - Caso e ipotesi'!$B$8-1))-1)/($B$32-1)+$B$32^('1 - Caso e ipotesi'!$B$8-1-MIN($A67,'1 - Caso e ipotesi'!$B$8-1))*$B$33*($B$33^MIN($A67,'1 - Caso e ipotesi'!$B$8-1)-1)/($B$33-1)))</f>
        <v>41900.174958719464</v>
      </c>
      <c r="C67" s="20">
        <f>IF('5 - Motore'!$E$65&gt;0,0,'1 - Caso e ipotesi'!$B$6*$C$33^MIN($A67,'1 - Caso e ipotesi'!$B$8-1)*$C$32^('1 - Caso e ipotesi'!$B$8-1-MIN($A67,'1 - Caso e ipotesi'!$B$8-1))/(($C$32^('1 - Caso e ipotesi'!$B$8-MIN($A67,'1 - Caso e ipotesi'!$B$8-1))-1)/($C$32-1)+$C$32^('1 - Caso e ipotesi'!$B$8-1-MIN($A67,'1 - Caso e ipotesi'!$B$8-1))*$C$33*($C$33^MIN($A67,'1 - Caso e ipotesi'!$B$8-1)-1)/($C$33-1)))</f>
        <v>41360.909627237226</v>
      </c>
      <c r="D67" s="19">
        <f>IF(B67&gt;='1 - Caso e ipotesi'!$B$7,1,0)</f>
        <v>1</v>
      </c>
      <c r="E67" s="19">
        <f>IF(C67&gt;='1 - Caso e ipotesi'!$B$7,1,0)</f>
        <v>1</v>
      </c>
    </row>
    <row r="68" spans="1:5">
      <c r="A68" s="18">
        <v>28</v>
      </c>
      <c r="B68" s="20">
        <f>IF('5 - Motore'!$E$7&gt;0,0,'1 - Caso e ipotesi'!$B$6*$B$33^MIN($A68,'1 - Caso e ipotesi'!$B$8-1)*$B$32^('1 - Caso e ipotesi'!$B$8-1-MIN($A68,'1 - Caso e ipotesi'!$B$8-1))/(($B$32^('1 - Caso e ipotesi'!$B$8-MIN($A68,'1 - Caso e ipotesi'!$B$8-1))-1)/($B$32-1)+$B$32^('1 - Caso e ipotesi'!$B$8-1-MIN($A68,'1 - Caso e ipotesi'!$B$8-1))*$B$33*($B$33^MIN($A68,'1 - Caso e ipotesi'!$B$8-1)-1)/($B$33-1)))</f>
        <v>41986.027038515458</v>
      </c>
      <c r="C68" s="20">
        <f>IF('5 - Motore'!$E$65&gt;0,0,'1 - Caso e ipotesi'!$B$6*$C$33^MIN($A68,'1 - Caso e ipotesi'!$B$8-1)*$C$32^('1 - Caso e ipotesi'!$B$8-1-MIN($A68,'1 - Caso e ipotesi'!$B$8-1))/(($C$32^('1 - Caso e ipotesi'!$B$8-MIN($A68,'1 - Caso e ipotesi'!$B$8-1))-1)/($C$32-1)+$C$32^('1 - Caso e ipotesi'!$B$8-1-MIN($A68,'1 - Caso e ipotesi'!$B$8-1))*$C$33*($C$33^MIN($A68,'1 - Caso e ipotesi'!$B$8-1)-1)/($C$33-1)))</f>
        <v>41444.584700741427</v>
      </c>
      <c r="D68" s="19">
        <f>IF(B68&gt;='1 - Caso e ipotesi'!$B$7,1,0)</f>
        <v>1</v>
      </c>
      <c r="E68" s="19">
        <f>IF(C68&gt;='1 - Caso e ipotesi'!$B$7,1,0)</f>
        <v>1</v>
      </c>
    </row>
    <row r="69" spans="1:5">
      <c r="A69" s="18">
        <v>29</v>
      </c>
      <c r="B69" s="20">
        <f>IF('5 - Motore'!$E$7&gt;0,0,'1 - Caso e ipotesi'!$B$6*$B$33^MIN($A69,'1 - Caso e ipotesi'!$B$8-1)*$B$32^('1 - Caso e ipotesi'!$B$8-1-MIN($A69,'1 - Caso e ipotesi'!$B$8-1))/(($B$32^('1 - Caso e ipotesi'!$B$8-MIN($A69,'1 - Caso e ipotesi'!$B$8-1))-1)/($B$32-1)+$B$32^('1 - Caso e ipotesi'!$B$8-1-MIN($A69,'1 - Caso e ipotesi'!$B$8-1))*$B$33*($B$33^MIN($A69,'1 - Caso e ipotesi'!$B$8-1)-1)/($B$33-1)))</f>
        <v>42064.022297326112</v>
      </c>
      <c r="C69" s="20">
        <f>IF('5 - Motore'!$E$65&gt;0,0,'1 - Caso e ipotesi'!$B$6*$C$33^MIN($A69,'1 - Caso e ipotesi'!$B$8-1)*$C$32^('1 - Caso e ipotesi'!$B$8-1-MIN($A69,'1 - Caso e ipotesi'!$B$8-1))/(($C$32^('1 - Caso e ipotesi'!$B$8-MIN($A69,'1 - Caso e ipotesi'!$B$8-1))-1)/($C$32-1)+$C$32^('1 - Caso e ipotesi'!$B$8-1-MIN($A69,'1 - Caso e ipotesi'!$B$8-1))*$C$33*($C$33^MIN($A69,'1 - Caso e ipotesi'!$B$8-1)-1)/($C$33-1)))</f>
        <v>41520.635584708129</v>
      </c>
      <c r="D69" s="19">
        <f>IF(B69&gt;='1 - Caso e ipotesi'!$B$7,1,0)</f>
        <v>1</v>
      </c>
      <c r="E69" s="19">
        <f>IF(C69&gt;='1 - Caso e ipotesi'!$B$7,1,0)</f>
        <v>1</v>
      </c>
    </row>
    <row r="70" spans="1:5">
      <c r="A70" s="18">
        <v>30</v>
      </c>
      <c r="B70" s="20">
        <f>IF('5 - Motore'!$E$7&gt;0,0,'1 - Caso e ipotesi'!$B$6*$B$33^MIN($A70,'1 - Caso e ipotesi'!$B$8-1)*$B$32^('1 - Caso e ipotesi'!$B$8-1-MIN($A70,'1 - Caso e ipotesi'!$B$8-1))/(($B$32^('1 - Caso e ipotesi'!$B$8-MIN($A70,'1 - Caso e ipotesi'!$B$8-1))-1)/($B$32-1)+$B$32^('1 - Caso e ipotesi'!$B$8-1-MIN($A70,'1 - Caso e ipotesi'!$B$8-1))*$B$33*($B$33^MIN($A70,'1 - Caso e ipotesi'!$B$8-1)-1)/($B$33-1)))</f>
        <v>42134.268014661015</v>
      </c>
      <c r="C70" s="20">
        <f>IF('5 - Motore'!$E$65&gt;0,0,'1 - Caso e ipotesi'!$B$6*$C$33^MIN($A70,'1 - Caso e ipotesi'!$B$8-1)*$C$32^('1 - Caso e ipotesi'!$B$8-1-MIN($A70,'1 - Caso e ipotesi'!$B$8-1))/(($C$32^('1 - Caso e ipotesi'!$B$8-MIN($A70,'1 - Caso e ipotesi'!$B$8-1))-1)/($C$32-1)+$C$32^('1 - Caso e ipotesi'!$B$8-1-MIN($A70,'1 - Caso e ipotesi'!$B$8-1))*$C$33*($C$33^MIN($A70,'1 - Caso e ipotesi'!$B$8-1)-1)/($C$33-1)))</f>
        <v>41589.160593749271</v>
      </c>
      <c r="D70" s="19">
        <f>IF(B70&gt;='1 - Caso e ipotesi'!$B$7,1,0)</f>
        <v>1</v>
      </c>
      <c r="E70" s="19">
        <f>IF(C70&gt;='1 - Caso e ipotesi'!$B$7,1,0)</f>
        <v>1</v>
      </c>
    </row>
    <row r="71" spans="1:5">
      <c r="A71" s="18">
        <v>31</v>
      </c>
      <c r="B71" s="20">
        <f>IF('5 - Motore'!$E$7&gt;0,0,'1 - Caso e ipotesi'!$B$6*$B$33^MIN($A71,'1 - Caso e ipotesi'!$B$8-1)*$B$32^('1 - Caso e ipotesi'!$B$8-1-MIN($A71,'1 - Caso e ipotesi'!$B$8-1))/(($B$32^('1 - Caso e ipotesi'!$B$8-MIN($A71,'1 - Caso e ipotesi'!$B$8-1))-1)/($B$32-1)+$B$32^('1 - Caso e ipotesi'!$B$8-1-MIN($A71,'1 - Caso e ipotesi'!$B$8-1))*$B$33*($B$33^MIN($A71,'1 - Caso e ipotesi'!$B$8-1)-1)/($B$33-1)))</f>
        <v>42196.878667243145</v>
      </c>
      <c r="C71" s="20">
        <f>IF('5 - Motore'!$E$65&gt;0,0,'1 - Caso e ipotesi'!$B$6*$C$33^MIN($A71,'1 - Caso e ipotesi'!$B$8-1)*$C$32^('1 - Caso e ipotesi'!$B$8-1-MIN($A71,'1 - Caso e ipotesi'!$B$8-1))/(($C$32^('1 - Caso e ipotesi'!$B$8-MIN($A71,'1 - Caso e ipotesi'!$B$8-1))-1)/($C$32-1)+$C$32^('1 - Caso e ipotesi'!$B$8-1-MIN($A71,'1 - Caso e ipotesi'!$B$8-1))*$C$33*($C$33^MIN($A71,'1 - Caso e ipotesi'!$B$8-1)-1)/($C$33-1)))</f>
        <v>41650.265050780457</v>
      </c>
      <c r="D71" s="19">
        <f>IF(B71&gt;='1 - Caso e ipotesi'!$B$7,1,0)</f>
        <v>1</v>
      </c>
      <c r="E71" s="19">
        <f>IF(C71&gt;='1 - Caso e ipotesi'!$B$7,1,0)</f>
        <v>1</v>
      </c>
    </row>
    <row r="72" spans="1:5">
      <c r="A72" s="18">
        <v>32</v>
      </c>
      <c r="B72" s="20">
        <f>IF('5 - Motore'!$E$7&gt;0,0,'1 - Caso e ipotesi'!$B$6*$B$33^MIN($A72,'1 - Caso e ipotesi'!$B$8-1)*$B$32^('1 - Caso e ipotesi'!$B$8-1-MIN($A72,'1 - Caso e ipotesi'!$B$8-1))/(($B$32^('1 - Caso e ipotesi'!$B$8-MIN($A72,'1 - Caso e ipotesi'!$B$8-1))-1)/($B$32-1)+$B$32^('1 - Caso e ipotesi'!$B$8-1-MIN($A72,'1 - Caso e ipotesi'!$B$8-1))*$B$33*($B$33^MIN($A72,'1 - Caso e ipotesi'!$B$8-1)-1)/($B$33-1)))</f>
        <v>42251.975456921951</v>
      </c>
      <c r="C72" s="20">
        <f>IF('5 - Motore'!$E$65&gt;0,0,'1 - Caso e ipotesi'!$B$6*$C$33^MIN($A72,'1 - Caso e ipotesi'!$B$8-1)*$C$32^('1 - Caso e ipotesi'!$B$8-1-MIN($A72,'1 - Caso e ipotesi'!$B$8-1))/(($C$32^('1 - Caso e ipotesi'!$B$8-MIN($A72,'1 - Caso e ipotesi'!$B$8-1))-1)/($C$32-1)+$C$32^('1 - Caso e ipotesi'!$B$8-1-MIN($A72,'1 - Caso e ipotesi'!$B$8-1))*$C$33*($C$33^MIN($A72,'1 - Caso e ipotesi'!$B$8-1)-1)/($C$33-1)))</f>
        <v>41704.060854952557</v>
      </c>
      <c r="D72" s="19">
        <f>IF(B72&gt;='1 - Caso e ipotesi'!$B$7,1,0)</f>
        <v>1</v>
      </c>
      <c r="E72" s="19">
        <f>IF(C72&gt;='1 - Caso e ipotesi'!$B$7,1,0)</f>
        <v>1</v>
      </c>
    </row>
    <row r="73" spans="1:5">
      <c r="A73" s="18">
        <v>33</v>
      </c>
      <c r="B73" s="20">
        <f>IF('5 - Motore'!$E$7&gt;0,0,'1 - Caso e ipotesi'!$B$6*$B$33^MIN($A73,'1 - Caso e ipotesi'!$B$8-1)*$B$32^('1 - Caso e ipotesi'!$B$8-1-MIN($A73,'1 - Caso e ipotesi'!$B$8-1))/(($B$32^('1 - Caso e ipotesi'!$B$8-MIN($A73,'1 - Caso e ipotesi'!$B$8-1))-1)/($B$32-1)+$B$32^('1 - Caso e ipotesi'!$B$8-1-MIN($A73,'1 - Caso e ipotesi'!$B$8-1))*$B$33*($B$33^MIN($A73,'1 - Caso e ipotesi'!$B$8-1)-1)/($B$33-1)))</f>
        <v>42299.685835640303</v>
      </c>
      <c r="C73" s="20">
        <f>IF('5 - Motore'!$E$65&gt;0,0,'1 - Caso e ipotesi'!$B$6*$C$33^MIN($A73,'1 - Caso e ipotesi'!$B$8-1)*$C$32^('1 - Caso e ipotesi'!$B$8-1-MIN($A73,'1 - Caso e ipotesi'!$B$8-1))/(($C$32^('1 - Caso e ipotesi'!$B$8-MIN($A73,'1 - Caso e ipotesi'!$B$8-1))-1)/($C$32-1)+$C$32^('1 - Caso e ipotesi'!$B$8-1-MIN($A73,'1 - Caso e ipotesi'!$B$8-1))*$C$33*($C$33^MIN($A73,'1 - Caso e ipotesi'!$B$8-1)-1)/($C$33-1)))</f>
        <v>41750.666045373691</v>
      </c>
      <c r="D73" s="19">
        <f>IF(B73&gt;='1 - Caso e ipotesi'!$B$7,1,0)</f>
        <v>1</v>
      </c>
      <c r="E73" s="19">
        <f>IF(C73&gt;='1 - Caso e ipotesi'!$B$7,1,0)</f>
        <v>1</v>
      </c>
    </row>
    <row r="74" spans="1:5">
      <c r="A74" s="18">
        <v>34</v>
      </c>
      <c r="B74" s="20">
        <f>IF('5 - Motore'!$E$7&gt;0,0,'1 - Caso e ipotesi'!$B$6*$B$33^MIN($A74,'1 - Caso e ipotesi'!$B$8-1)*$B$32^('1 - Caso e ipotesi'!$B$8-1-MIN($A74,'1 - Caso e ipotesi'!$B$8-1))/(($B$32^('1 - Caso e ipotesi'!$B$8-MIN($A74,'1 - Caso e ipotesi'!$B$8-1))-1)/($B$32-1)+$B$32^('1 - Caso e ipotesi'!$B$8-1-MIN($A74,'1 - Caso e ipotesi'!$B$8-1))*$B$33*($B$33^MIN($A74,'1 - Caso e ipotesi'!$B$8-1)-1)/($B$33-1)))</f>
        <v>42340.143029670093</v>
      </c>
      <c r="C74" s="20">
        <f>IF('5 - Motore'!$E$65&gt;0,0,'1 - Caso e ipotesi'!$B$6*$C$33^MIN($A74,'1 - Caso e ipotesi'!$B$8-1)*$C$32^('1 - Caso e ipotesi'!$B$8-1-MIN($A74,'1 - Caso e ipotesi'!$B$8-1))/(($C$32^('1 - Caso e ipotesi'!$B$8-MIN($A74,'1 - Caso e ipotesi'!$B$8-1))-1)/($C$32-1)+$C$32^('1 - Caso e ipotesi'!$B$8-1-MIN($A74,'1 - Caso e ipotesi'!$B$8-1))*$C$33*($C$33^MIN($A74,'1 - Caso e ipotesi'!$B$8-1)-1)/($C$33-1)))</f>
        <v>41790.204362670687</v>
      </c>
      <c r="D74" s="19">
        <f>IF(B74&gt;='1 - Caso e ipotesi'!$B$7,1,0)</f>
        <v>1</v>
      </c>
      <c r="E74" s="19">
        <f>IF(C74&gt;='1 - Caso e ipotesi'!$B$7,1,0)</f>
        <v>1</v>
      </c>
    </row>
    <row r="75" spans="1:5">
      <c r="A75" s="18">
        <v>35</v>
      </c>
      <c r="B75" s="20">
        <f>IF('5 - Motore'!$E$7&gt;0,0,'1 - Caso e ipotesi'!$B$6*$B$33^MIN($A75,'1 - Caso e ipotesi'!$B$8-1)*$B$32^('1 - Caso e ipotesi'!$B$8-1-MIN($A75,'1 - Caso e ipotesi'!$B$8-1))/(($B$32^('1 - Caso e ipotesi'!$B$8-MIN($A75,'1 - Caso e ipotesi'!$B$8-1))-1)/($B$32-1)+$B$32^('1 - Caso e ipotesi'!$B$8-1-MIN($A75,'1 - Caso e ipotesi'!$B$8-1))*$B$33*($B$33^MIN($A75,'1 - Caso e ipotesi'!$B$8-1)-1)/($B$33-1)))</f>
        <v>42373.485565219613</v>
      </c>
      <c r="C75" s="20">
        <f>IF('5 - Motore'!$E$65&gt;0,0,'1 - Caso e ipotesi'!$B$6*$C$33^MIN($A75,'1 - Caso e ipotesi'!$B$8-1)*$C$32^('1 - Caso e ipotesi'!$B$8-1-MIN($A75,'1 - Caso e ipotesi'!$B$8-1))/(($C$32^('1 - Caso e ipotesi'!$B$8-MIN($A75,'1 - Caso e ipotesi'!$B$8-1))-1)/($C$32-1)+$C$32^('1 - Caso e ipotesi'!$B$8-1-MIN($A75,'1 - Caso e ipotesi'!$B$8-1))*$C$33*($C$33^MIN($A75,'1 - Caso e ipotesi'!$B$8-1)-1)/($C$33-1)))</f>
        <v>41822.804810349306</v>
      </c>
      <c r="D75" s="19">
        <f>IF(B75&gt;='1 - Caso e ipotesi'!$B$7,1,0)</f>
        <v>1</v>
      </c>
      <c r="E75" s="19">
        <f>IF(C75&gt;='1 - Caso e ipotesi'!$B$7,1,0)</f>
        <v>1</v>
      </c>
    </row>
    <row r="76" spans="1:5">
      <c r="A76" s="18">
        <v>36</v>
      </c>
      <c r="B76" s="20">
        <f>IF('5 - Motore'!$E$7&gt;0,0,'1 - Caso e ipotesi'!$B$6*$B$33^MIN($A76,'1 - Caso e ipotesi'!$B$8-1)*$B$32^('1 - Caso e ipotesi'!$B$8-1-MIN($A76,'1 - Caso e ipotesi'!$B$8-1))/(($B$32^('1 - Caso e ipotesi'!$B$8-MIN($A76,'1 - Caso e ipotesi'!$B$8-1))-1)/($B$32-1)+$B$32^('1 - Caso e ipotesi'!$B$8-1-MIN($A76,'1 - Caso e ipotesi'!$B$8-1))*$B$33*($B$33^MIN($A76,'1 - Caso e ipotesi'!$B$8-1)-1)/($B$33-1)))</f>
        <v>42399.856797394299</v>
      </c>
      <c r="C76" s="20">
        <f>IF('5 - Motore'!$E$65&gt;0,0,'1 - Caso e ipotesi'!$B$6*$C$33^MIN($A76,'1 - Caso e ipotesi'!$B$8-1)*$C$32^('1 - Caso e ipotesi'!$B$8-1-MIN($A76,'1 - Caso e ipotesi'!$B$8-1))/(($C$32^('1 - Caso e ipotesi'!$B$8-MIN($A76,'1 - Caso e ipotesi'!$B$8-1))-1)/($C$32-1)+$C$32^('1 - Caso e ipotesi'!$B$8-1-MIN($A76,'1 - Caso e ipotesi'!$B$8-1))*$C$33*($C$33^MIN($A76,'1 - Caso e ipotesi'!$B$8-1)-1)/($C$33-1)))</f>
        <v>41848.601217812065</v>
      </c>
      <c r="D76" s="19">
        <f>IF(B76&gt;='1 - Caso e ipotesi'!$B$7,1,0)</f>
        <v>1</v>
      </c>
      <c r="E76" s="19">
        <f>IF(C76&gt;='1 - Caso e ipotesi'!$B$7,1,0)</f>
        <v>1</v>
      </c>
    </row>
    <row r="77" spans="1:5">
      <c r="A77" s="18">
        <v>37</v>
      </c>
      <c r="B77" s="20">
        <f>IF('5 - Motore'!$E$7&gt;0,0,'1 - Caso e ipotesi'!$B$6*$B$33^MIN($A77,'1 - Caso e ipotesi'!$B$8-1)*$B$32^('1 - Caso e ipotesi'!$B$8-1-MIN($A77,'1 - Caso e ipotesi'!$B$8-1))/(($B$32^('1 - Caso e ipotesi'!$B$8-MIN($A77,'1 - Caso e ipotesi'!$B$8-1))-1)/($B$32-1)+$B$32^('1 - Caso e ipotesi'!$B$8-1-MIN($A77,'1 - Caso e ipotesi'!$B$8-1))*$B$33*($B$33^MIN($A77,'1 - Caso e ipotesi'!$B$8-1)-1)/($B$33-1)))</f>
        <v>42419.404444365246</v>
      </c>
      <c r="C77" s="20">
        <f>IF('5 - Motore'!$E$65&gt;0,0,'1 - Caso e ipotesi'!$B$6*$C$33^MIN($A77,'1 - Caso e ipotesi'!$B$8-1)*$C$32^('1 - Caso e ipotesi'!$B$8-1-MIN($A77,'1 - Caso e ipotesi'!$B$8-1))/(($C$32^('1 - Caso e ipotesi'!$B$8-MIN($A77,'1 - Caso e ipotesi'!$B$8-1))-1)/($C$32-1)+$C$32^('1 - Caso e ipotesi'!$B$8-1-MIN($A77,'1 - Caso e ipotesi'!$B$8-1))*$C$33*($C$33^MIN($A77,'1 - Caso e ipotesi'!$B$8-1)-1)/($C$33-1)))</f>
        <v>41867.731806785072</v>
      </c>
      <c r="D77" s="19">
        <f>IF(B77&gt;='1 - Caso e ipotesi'!$B$7,1,0)</f>
        <v>1</v>
      </c>
      <c r="E77" s="19">
        <f>IF(C77&gt;='1 - Caso e ipotesi'!$B$7,1,0)</f>
        <v>1</v>
      </c>
    </row>
    <row r="78" spans="1:5">
      <c r="A78" s="18">
        <v>38</v>
      </c>
      <c r="B78" s="20">
        <f>IF('5 - Motore'!$E$7&gt;0,0,'1 - Caso e ipotesi'!$B$6*$B$33^MIN($A78,'1 - Caso e ipotesi'!$B$8-1)*$B$32^('1 - Caso e ipotesi'!$B$8-1-MIN($A78,'1 - Caso e ipotesi'!$B$8-1))/(($B$32^('1 - Caso e ipotesi'!$B$8-MIN($A78,'1 - Caso e ipotesi'!$B$8-1))-1)/($B$32-1)+$B$32^('1 - Caso e ipotesi'!$B$8-1-MIN($A78,'1 - Caso e ipotesi'!$B$8-1))*$B$33*($B$33^MIN($A78,'1 - Caso e ipotesi'!$B$8-1)-1)/($B$33-1)))</f>
        <v>42432.280128465805</v>
      </c>
      <c r="C78" s="20">
        <f>IF('5 - Motore'!$E$65&gt;0,0,'1 - Caso e ipotesi'!$B$6*$C$33^MIN($A78,'1 - Caso e ipotesi'!$B$8-1)*$C$32^('1 - Caso e ipotesi'!$B$8-1-MIN($A78,'1 - Caso e ipotesi'!$B$8-1))/(($C$32^('1 - Caso e ipotesi'!$B$8-MIN($A78,'1 - Caso e ipotesi'!$B$8-1))-1)/($C$32-1)+$C$32^('1 - Caso e ipotesi'!$B$8-1-MIN($A78,'1 - Caso e ipotesi'!$B$8-1))*$C$33*($C$33^MIN($A78,'1 - Caso e ipotesi'!$B$8-1)-1)/($C$33-1)))</f>
        <v>41880.338762791631</v>
      </c>
      <c r="D78" s="19">
        <f>IF(B78&gt;='1 - Caso e ipotesi'!$B$7,1,0)</f>
        <v>1</v>
      </c>
      <c r="E78" s="19">
        <f>IF(C78&gt;='1 - Caso e ipotesi'!$B$7,1,0)</f>
        <v>1</v>
      </c>
    </row>
    <row r="79" spans="1:5">
      <c r="A79" s="18">
        <v>39</v>
      </c>
      <c r="B79" s="20">
        <f>IF('5 - Motore'!$E$7&gt;0,0,'1 - Caso e ipotesi'!$B$6*$B$33^MIN($A79,'1 - Caso e ipotesi'!$B$8-1)*$B$32^('1 - Caso e ipotesi'!$B$8-1-MIN($A79,'1 - Caso e ipotesi'!$B$8-1))/(($B$32^('1 - Caso e ipotesi'!$B$8-MIN($A79,'1 - Caso e ipotesi'!$B$8-1))-1)/($B$32-1)+$B$32^('1 - Caso e ipotesi'!$B$8-1-MIN($A79,'1 - Caso e ipotesi'!$B$8-1))*$B$33*($B$33^MIN($A79,'1 - Caso e ipotesi'!$B$8-1)-1)/($B$33-1)))</f>
        <v>42438.638925798987</v>
      </c>
      <c r="C79" s="20">
        <f>IF('5 - Motore'!$E$65&gt;0,0,'1 - Caso e ipotesi'!$B$6*$C$33^MIN($A79,'1 - Caso e ipotesi'!$B$8-1)*$C$32^('1 - Caso e ipotesi'!$B$8-1-MIN($A79,'1 - Caso e ipotesi'!$B$8-1))/(($C$32^('1 - Caso e ipotesi'!$B$8-MIN($A79,'1 - Caso e ipotesi'!$B$8-1))-1)/($C$32-1)+$C$32^('1 - Caso e ipotesi'!$B$8-1-MIN($A79,'1 - Caso e ipotesi'!$B$8-1))*$C$33*($C$33^MIN($A79,'1 - Caso e ipotesi'!$B$8-1)-1)/($C$33-1)))</f>
        <v>41886.5678131928</v>
      </c>
      <c r="D79" s="19">
        <f>IF(B79&gt;='1 - Caso e ipotesi'!$B$7,1,0)</f>
        <v>1</v>
      </c>
      <c r="E79" s="19">
        <f>IF(C79&gt;='1 - Caso e ipotesi'!$B$7,1,0)</f>
        <v>1</v>
      </c>
    </row>
    <row r="80" spans="1:5">
      <c r="A80" s="18">
        <v>40</v>
      </c>
      <c r="B80" s="20">
        <f>IF('5 - Motore'!$E$7&gt;0,0,'1 - Caso e ipotesi'!$B$6*$B$33^MIN($A80,'1 - Caso e ipotesi'!$B$8-1)*$B$32^('1 - Caso e ipotesi'!$B$8-1-MIN($A80,'1 - Caso e ipotesi'!$B$8-1))/(($B$32^('1 - Caso e ipotesi'!$B$8-MIN($A80,'1 - Caso e ipotesi'!$B$8-1))-1)/($B$32-1)+$B$32^('1 - Caso e ipotesi'!$B$8-1-MIN($A80,'1 - Caso e ipotesi'!$B$8-1))*$B$33*($B$33^MIN($A80,'1 - Caso e ipotesi'!$B$8-1)-1)/($B$33-1)))</f>
        <v>42438.638925798987</v>
      </c>
      <c r="C80" s="20">
        <f>IF('5 - Motore'!$E$65&gt;0,0,'1 - Caso e ipotesi'!$B$6*$C$33^MIN($A80,'1 - Caso e ipotesi'!$B$8-1)*$C$32^('1 - Caso e ipotesi'!$B$8-1-MIN($A80,'1 - Caso e ipotesi'!$B$8-1))/(($C$32^('1 - Caso e ipotesi'!$B$8-MIN($A80,'1 - Caso e ipotesi'!$B$8-1))-1)/($C$32-1)+$C$32^('1 - Caso e ipotesi'!$B$8-1-MIN($A80,'1 - Caso e ipotesi'!$B$8-1))*$C$33*($C$33^MIN($A80,'1 - Caso e ipotesi'!$B$8-1)-1)/($C$33-1)))</f>
        <v>41886.5678131928</v>
      </c>
      <c r="D80" s="19">
        <f>IF(B80&gt;='1 - Caso e ipotesi'!$B$7,1,0)</f>
        <v>1</v>
      </c>
      <c r="E80" s="19">
        <f>IF(C80&gt;='1 - Caso e ipotesi'!$B$7,1,0)</f>
        <v>1</v>
      </c>
    </row>
  </sheetData>
  <mergeCells count="8">
    <mergeCell ref="A1:E1"/>
    <mergeCell ref="A37:E37"/>
    <mergeCell ref="B16:D16"/>
    <mergeCell ref="A18:D18"/>
    <mergeCell ref="A2:E2"/>
    <mergeCell ref="A34:D34"/>
    <mergeCell ref="A4:D4"/>
    <mergeCell ref="A30:D30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6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5"/>
  <cols>
    <col min="1" max="1" width="34" customWidth="1"/>
    <col min="2" max="9" width="22" customWidth="1"/>
    <col min="10" max="12" width="17" customWidth="1"/>
    <col min="13" max="15" width="22" customWidth="1"/>
  </cols>
  <sheetData>
    <row r="1" spans="1:15" ht="24.95" customHeight="1">
      <c r="A1" s="24" t="s">
        <v>179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</row>
    <row r="2" spans="1:15" ht="44.1" customHeight="1">
      <c r="A2" s="22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</row>
    <row r="3" spans="1:15" ht="44.1" customHeight="1">
      <c r="A3" s="26" t="s">
        <v>180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</row>
    <row r="5" spans="1:15">
      <c r="A5" s="25" t="s">
        <v>181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</row>
    <row r="6" spans="1:15">
      <c r="A6" s="10" t="s">
        <v>182</v>
      </c>
      <c r="B6" s="10" t="s">
        <v>50</v>
      </c>
      <c r="C6" s="10" t="s">
        <v>51</v>
      </c>
      <c r="D6" s="10" t="s">
        <v>52</v>
      </c>
      <c r="E6" s="10" t="s">
        <v>53</v>
      </c>
    </row>
    <row r="7" spans="1:15">
      <c r="A7" s="5" t="s">
        <v>183</v>
      </c>
      <c r="B7" s="9">
        <f>'1 - Caso e ipotesi'!B12/SUM('1 - Caso e ipotesi'!B$12:B$15)</f>
        <v>0.6</v>
      </c>
      <c r="C7" s="9">
        <f>'1 - Caso e ipotesi'!B13/SUM('1 - Caso e ipotesi'!B$12:B$15)</f>
        <v>0.4</v>
      </c>
      <c r="D7" s="9">
        <f>'1 - Caso e ipotesi'!B14/SUM('1 - Caso e ipotesi'!B$12:B$15)</f>
        <v>0</v>
      </c>
      <c r="E7" s="9">
        <f>'1 - Caso e ipotesi'!B15/SUM('1 - Caso e ipotesi'!B$12:B$15)</f>
        <v>0</v>
      </c>
    </row>
    <row r="8" spans="1:15">
      <c r="A8" s="5" t="s">
        <v>184</v>
      </c>
      <c r="B8" s="20">
        <f>'1 - Caso e ipotesi'!$B$6*INDEX(J11:J60,'1 - Caso e ipotesi'!$B$8-1)/INDEX(K11:K60,'1 - Caso e ipotesi'!$B$8)</f>
        <v>36484.614468889631</v>
      </c>
    </row>
    <row r="9" spans="1:15">
      <c r="A9" s="5" t="s">
        <v>185</v>
      </c>
      <c r="B9" s="19">
        <f>SUM(L11:L60)</f>
        <v>35</v>
      </c>
    </row>
    <row r="10" spans="1:15" ht="48" customHeight="1">
      <c r="A10" s="10" t="s">
        <v>186</v>
      </c>
      <c r="B10" s="10" t="s">
        <v>187</v>
      </c>
      <c r="C10" s="10" t="s">
        <v>188</v>
      </c>
      <c r="D10" s="10" t="s">
        <v>189</v>
      </c>
      <c r="E10" s="10" t="s">
        <v>190</v>
      </c>
      <c r="F10" s="10" t="s">
        <v>191</v>
      </c>
      <c r="G10" s="10" t="s">
        <v>192</v>
      </c>
      <c r="H10" s="10" t="s">
        <v>193</v>
      </c>
      <c r="I10" s="10" t="s">
        <v>194</v>
      </c>
      <c r="J10" s="10" t="s">
        <v>195</v>
      </c>
      <c r="K10" s="10" t="s">
        <v>196</v>
      </c>
      <c r="L10" s="10" t="s">
        <v>197</v>
      </c>
      <c r="M10" s="10" t="s">
        <v>198</v>
      </c>
      <c r="N10" s="10" t="s">
        <v>199</v>
      </c>
      <c r="O10" s="10" t="s">
        <v>200</v>
      </c>
    </row>
    <row r="11" spans="1:15">
      <c r="A11" s="18">
        <v>1</v>
      </c>
      <c r="B11" s="9">
        <f>$E$7</f>
        <v>0</v>
      </c>
      <c r="C11" s="17">
        <f>1-'1 - Caso e ipotesi'!$B$27</f>
        <v>1</v>
      </c>
      <c r="D11" s="17">
        <f t="shared" ref="D11:D42" si="0">IF($E$7&gt;0,IF(B11&gt;$E$7,C11,1-(1-C11)*B11/$E$7),C11)</f>
        <v>1</v>
      </c>
      <c r="E11" s="17">
        <f t="shared" ref="E11:E42" si="1">MAX(0,1-C11)</f>
        <v>0</v>
      </c>
      <c r="F11" s="17">
        <f>'1 - Caso e ipotesi'!$B$25*E11*B11</f>
        <v>0</v>
      </c>
      <c r="G11" s="17">
        <f t="shared" ref="G11:G42" si="2">1/(1-F11)</f>
        <v>1</v>
      </c>
      <c r="H11" s="17">
        <f>IF($E$7&lt;1,($B$7*'3 - Scenario'!N6+$C$7*'3 - Scenario'!O6+$D$7*'3 - Scenario'!P6)/(1-$E$7),0)</f>
        <v>1.0086440196078432</v>
      </c>
      <c r="I11" s="17">
        <f>$E$7*'3 - Scenario'!Q6+((1-$E$7)-'1 - Caso e ipotesi'!$B$25*E11*MAX(0,B11-$E$7))*H11</f>
        <v>1.0086440196078432</v>
      </c>
      <c r="J11" s="17">
        <f>I11</f>
        <v>1.0086440196078432</v>
      </c>
      <c r="K11" s="17">
        <f>G11</f>
        <v>1</v>
      </c>
      <c r="L11" s="19">
        <f>IF(M11-N11&gt;0,1,0)</f>
        <v>1</v>
      </c>
      <c r="M11" s="20">
        <f>'1 - Caso e ipotesi'!$B$6</f>
        <v>1240000</v>
      </c>
      <c r="N11" s="20">
        <f>'1 - Caso e ipotesi'!$B$7*G11</f>
        <v>40000</v>
      </c>
      <c r="O11" s="20">
        <f t="shared" ref="O11:O42" si="3">IF(L11=1,(M11-N11)*I11,0)</f>
        <v>1210372.8235294118</v>
      </c>
    </row>
    <row r="12" spans="1:15">
      <c r="A12" s="18">
        <v>2</v>
      </c>
      <c r="B12" s="9">
        <f>IF($E$7&gt;0,$E$7*'3 - Scenario'!Q6/I11,0)</f>
        <v>0</v>
      </c>
      <c r="C12" s="17">
        <f>IF($E$7&gt;0,D11/((1+'3 - Scenario'!C6)*'3 - Scenario'!Q6),C11)</f>
        <v>1</v>
      </c>
      <c r="D12" s="17">
        <f t="shared" si="0"/>
        <v>1</v>
      </c>
      <c r="E12" s="17">
        <f t="shared" si="1"/>
        <v>0</v>
      </c>
      <c r="F12" s="17">
        <f>'1 - Caso e ipotesi'!$B$25*E12*B12</f>
        <v>0</v>
      </c>
      <c r="G12" s="17">
        <f t="shared" si="2"/>
        <v>1</v>
      </c>
      <c r="H12" s="17">
        <f>IF($E$7&lt;1,($B$7*'3 - Scenario'!N7+$C$7*'3 - Scenario'!O7+$D$7*'3 - Scenario'!P7)/(1-$E$7),0)</f>
        <v>1.0086440196078432</v>
      </c>
      <c r="I12" s="17">
        <f>$E$7*'3 - Scenario'!Q7+((1-$E$7)-'1 - Caso e ipotesi'!$B$25*E12*MAX(0,B12-$E$7))*H12</f>
        <v>1.0086440196078432</v>
      </c>
      <c r="J12" s="17">
        <f t="shared" ref="J12:J43" si="4">J11*I12</f>
        <v>1.0173627582906672</v>
      </c>
      <c r="K12" s="17">
        <f t="shared" ref="K12:K43" si="5">K11*I11+G12</f>
        <v>2.0086440196078432</v>
      </c>
      <c r="L12" s="19">
        <f t="shared" ref="L12:L43" si="6">IF(AND(L11=1,M12-N12&gt;0),1,0)</f>
        <v>1</v>
      </c>
      <c r="M12" s="20">
        <f t="shared" ref="M12:M43" si="7">O11</f>
        <v>1210372.8235294118</v>
      </c>
      <c r="N12" s="20">
        <f>'1 - Caso e ipotesi'!$B$7*G12</f>
        <v>40000</v>
      </c>
      <c r="O12" s="20">
        <f t="shared" si="3"/>
        <v>1180489.5491644868</v>
      </c>
    </row>
    <row r="13" spans="1:15">
      <c r="A13" s="18">
        <v>3</v>
      </c>
      <c r="B13" s="9">
        <f>IF($E$7&gt;0,$E$7*'3 - Scenario'!Q7/I12,0)</f>
        <v>0</v>
      </c>
      <c r="C13" s="17">
        <f>IF($E$7&gt;0,D12/((1+'3 - Scenario'!C7)*'3 - Scenario'!Q7),C12)</f>
        <v>1</v>
      </c>
      <c r="D13" s="17">
        <f t="shared" si="0"/>
        <v>1</v>
      </c>
      <c r="E13" s="17">
        <f t="shared" si="1"/>
        <v>0</v>
      </c>
      <c r="F13" s="17">
        <f>'1 - Caso e ipotesi'!$B$25*E13*B13</f>
        <v>0</v>
      </c>
      <c r="G13" s="17">
        <f t="shared" si="2"/>
        <v>1</v>
      </c>
      <c r="H13" s="17">
        <f>IF($E$7&lt;1,($B$7*'3 - Scenario'!N8+$C$7*'3 - Scenario'!O8+$D$7*'3 - Scenario'!P8)/(1-$E$7),0)</f>
        <v>1.0086440196078432</v>
      </c>
      <c r="I13" s="17">
        <f>$E$7*'3 - Scenario'!Q8+((1-$E$7)-'1 - Caso e ipotesi'!$B$25*E13*MAX(0,B13-$E$7))*H13</f>
        <v>1.0086440196078432</v>
      </c>
      <c r="J13" s="17">
        <f t="shared" si="4"/>
        <v>1.0261568619216213</v>
      </c>
      <c r="K13" s="17">
        <f t="shared" si="5"/>
        <v>3.0260067778985102</v>
      </c>
      <c r="L13" s="19">
        <f t="shared" si="6"/>
        <v>1</v>
      </c>
      <c r="M13" s="20">
        <f t="shared" si="7"/>
        <v>1180489.5491644868</v>
      </c>
      <c r="N13" s="20">
        <f>'1 - Caso e ipotesi'!$B$7*G13</f>
        <v>40000</v>
      </c>
      <c r="O13" s="20">
        <f t="shared" si="3"/>
        <v>1150347.9631900049</v>
      </c>
    </row>
    <row r="14" spans="1:15">
      <c r="A14" s="18">
        <v>4</v>
      </c>
      <c r="B14" s="9">
        <f>IF($E$7&gt;0,$E$7*'3 - Scenario'!Q8/I13,0)</f>
        <v>0</v>
      </c>
      <c r="C14" s="17">
        <f>IF($E$7&gt;0,D13/((1+'3 - Scenario'!C8)*'3 - Scenario'!Q8),C13)</f>
        <v>1</v>
      </c>
      <c r="D14" s="17">
        <f t="shared" si="0"/>
        <v>1</v>
      </c>
      <c r="E14" s="17">
        <f t="shared" si="1"/>
        <v>0</v>
      </c>
      <c r="F14" s="17">
        <f>'1 - Caso e ipotesi'!$B$25*E14*B14</f>
        <v>0</v>
      </c>
      <c r="G14" s="17">
        <f t="shared" si="2"/>
        <v>1</v>
      </c>
      <c r="H14" s="17">
        <f>IF($E$7&lt;1,($B$7*'3 - Scenario'!N9+$C$7*'3 - Scenario'!O9+$D$7*'3 - Scenario'!P9)/(1-$E$7),0)</f>
        <v>1.0086440196078432</v>
      </c>
      <c r="I14" s="17">
        <f>$E$7*'3 - Scenario'!Q9+((1-$E$7)-'1 - Caso e ipotesi'!$B$25*E14*MAX(0,B14-$E$7))*H14</f>
        <v>1.0086440196078432</v>
      </c>
      <c r="J14" s="17">
        <f t="shared" si="4"/>
        <v>1.0350269819567945</v>
      </c>
      <c r="K14" s="17">
        <f t="shared" si="5"/>
        <v>4.0521636398201313</v>
      </c>
      <c r="L14" s="19">
        <f t="shared" si="6"/>
        <v>1</v>
      </c>
      <c r="M14" s="20">
        <f t="shared" si="7"/>
        <v>1150347.9631900049</v>
      </c>
      <c r="N14" s="20">
        <f>'1 - Caso e ipotesi'!$B$7*G14</f>
        <v>40000</v>
      </c>
      <c r="O14" s="20">
        <f t="shared" si="3"/>
        <v>1119945.8327553482</v>
      </c>
    </row>
    <row r="15" spans="1:15">
      <c r="A15" s="18">
        <v>5</v>
      </c>
      <c r="B15" s="9">
        <f>IF($E$7&gt;0,$E$7*'3 - Scenario'!Q9/I14,0)</f>
        <v>0</v>
      </c>
      <c r="C15" s="17">
        <f>IF($E$7&gt;0,D14/((1+'3 - Scenario'!C9)*'3 - Scenario'!Q9),C14)</f>
        <v>1</v>
      </c>
      <c r="D15" s="17">
        <f t="shared" si="0"/>
        <v>1</v>
      </c>
      <c r="E15" s="17">
        <f t="shared" si="1"/>
        <v>0</v>
      </c>
      <c r="F15" s="17">
        <f>'1 - Caso e ipotesi'!$B$25*E15*B15</f>
        <v>0</v>
      </c>
      <c r="G15" s="17">
        <f t="shared" si="2"/>
        <v>1</v>
      </c>
      <c r="H15" s="17">
        <f>IF($E$7&lt;1,($B$7*'3 - Scenario'!N10+$C$7*'3 - Scenario'!O10+$D$7*'3 - Scenario'!P10)/(1-$E$7),0)</f>
        <v>1.0086440196078432</v>
      </c>
      <c r="I15" s="17">
        <f>$E$7*'3 - Scenario'!Q10+((1-$E$7)-'1 - Caso e ipotesi'!$B$25*E15*MAX(0,B15-$E$7))*H15</f>
        <v>1.0086440196078432</v>
      </c>
      <c r="J15" s="17">
        <f t="shared" si="4"/>
        <v>1.0439737754834759</v>
      </c>
      <c r="K15" s="17">
        <f t="shared" si="5"/>
        <v>5.0871906217769256</v>
      </c>
      <c r="L15" s="19">
        <f t="shared" si="6"/>
        <v>1</v>
      </c>
      <c r="M15" s="20">
        <f t="shared" si="7"/>
        <v>1119945.8327553482</v>
      </c>
      <c r="N15" s="20">
        <f>'1 - Caso e ipotesi'!$B$7*G15</f>
        <v>40000</v>
      </c>
      <c r="O15" s="20">
        <f t="shared" si="3"/>
        <v>1089280.9057090939</v>
      </c>
    </row>
    <row r="16" spans="1:15">
      <c r="A16" s="18">
        <v>6</v>
      </c>
      <c r="B16" s="9">
        <f>IF($E$7&gt;0,$E$7*'3 - Scenario'!Q10/I15,0)</f>
        <v>0</v>
      </c>
      <c r="C16" s="17">
        <f>IF($E$7&gt;0,D15/((1+'3 - Scenario'!C10)*'3 - Scenario'!Q10),C15)</f>
        <v>1</v>
      </c>
      <c r="D16" s="17">
        <f t="shared" si="0"/>
        <v>1</v>
      </c>
      <c r="E16" s="17">
        <f t="shared" si="1"/>
        <v>0</v>
      </c>
      <c r="F16" s="17">
        <f>'1 - Caso e ipotesi'!$B$25*E16*B16</f>
        <v>0</v>
      </c>
      <c r="G16" s="17">
        <f t="shared" si="2"/>
        <v>1</v>
      </c>
      <c r="H16" s="17">
        <f>IF($E$7&lt;1,($B$7*'3 - Scenario'!N11+$C$7*'3 - Scenario'!O11+$D$7*'3 - Scenario'!P11)/(1-$E$7),0)</f>
        <v>1.0086440196078432</v>
      </c>
      <c r="I16" s="17">
        <f>$E$7*'3 - Scenario'!Q11+((1-$E$7)-'1 - Caso e ipotesi'!$B$25*E16*MAX(0,B16-$E$7))*H16</f>
        <v>1.0086440196078432</v>
      </c>
      <c r="J16" s="17">
        <f t="shared" si="4"/>
        <v>1.0529979052688292</v>
      </c>
      <c r="K16" s="17">
        <f t="shared" si="5"/>
        <v>6.1311643972604015</v>
      </c>
      <c r="L16" s="19">
        <f t="shared" si="6"/>
        <v>1</v>
      </c>
      <c r="M16" s="20">
        <f t="shared" si="7"/>
        <v>1089280.9057090939</v>
      </c>
      <c r="N16" s="20">
        <f>'1 - Caso e ipotesi'!$B$7*G16</f>
        <v>40000</v>
      </c>
      <c r="O16" s="20">
        <f t="shared" si="3"/>
        <v>1058350.9104321788</v>
      </c>
    </row>
    <row r="17" spans="1:15">
      <c r="A17" s="18">
        <v>7</v>
      </c>
      <c r="B17" s="9">
        <f>IF($E$7&gt;0,$E$7*'3 - Scenario'!Q11/I16,0)</f>
        <v>0</v>
      </c>
      <c r="C17" s="17">
        <f>IF($E$7&gt;0,D16/((1+'3 - Scenario'!C11)*'3 - Scenario'!Q11),C16)</f>
        <v>1</v>
      </c>
      <c r="D17" s="17">
        <f t="shared" si="0"/>
        <v>1</v>
      </c>
      <c r="E17" s="17">
        <f t="shared" si="1"/>
        <v>0</v>
      </c>
      <c r="F17" s="17">
        <f>'1 - Caso e ipotesi'!$B$25*E17*B17</f>
        <v>0</v>
      </c>
      <c r="G17" s="17">
        <f t="shared" si="2"/>
        <v>1</v>
      </c>
      <c r="H17" s="17">
        <f>IF($E$7&lt;1,($B$7*'3 - Scenario'!N12+$C$7*'3 - Scenario'!O12+$D$7*'3 - Scenario'!P12)/(1-$E$7),0)</f>
        <v>1.0086440196078432</v>
      </c>
      <c r="I17" s="17">
        <f>$E$7*'3 - Scenario'!Q12+((1-$E$7)-'1 - Caso e ipotesi'!$B$25*E17*MAX(0,B17-$E$7))*H17</f>
        <v>1.0086440196078432</v>
      </c>
      <c r="J17" s="17">
        <f t="shared" si="4"/>
        <v>1.0621000398089908</v>
      </c>
      <c r="K17" s="17">
        <f t="shared" si="5"/>
        <v>7.1841623025292307</v>
      </c>
      <c r="L17" s="19">
        <f t="shared" si="6"/>
        <v>1</v>
      </c>
      <c r="M17" s="20">
        <f t="shared" si="7"/>
        <v>1058350.9104321788</v>
      </c>
      <c r="N17" s="20">
        <f>'1 - Caso e ipotesi'!$B$7*G17</f>
        <v>40000</v>
      </c>
      <c r="O17" s="20">
        <f t="shared" si="3"/>
        <v>1027153.5556696195</v>
      </c>
    </row>
    <row r="18" spans="1:15">
      <c r="A18" s="18">
        <v>8</v>
      </c>
      <c r="B18" s="9">
        <f>IF($E$7&gt;0,$E$7*'3 - Scenario'!Q12/I17,0)</f>
        <v>0</v>
      </c>
      <c r="C18" s="17">
        <f>IF($E$7&gt;0,D17/((1+'3 - Scenario'!C12)*'3 - Scenario'!Q12),C17)</f>
        <v>1</v>
      </c>
      <c r="D18" s="17">
        <f t="shared" si="0"/>
        <v>1</v>
      </c>
      <c r="E18" s="17">
        <f t="shared" si="1"/>
        <v>0</v>
      </c>
      <c r="F18" s="17">
        <f>'1 - Caso e ipotesi'!$B$25*E18*B18</f>
        <v>0</v>
      </c>
      <c r="G18" s="17">
        <f t="shared" si="2"/>
        <v>1</v>
      </c>
      <c r="H18" s="17">
        <f>IF($E$7&lt;1,($B$7*'3 - Scenario'!N13+$C$7*'3 - Scenario'!O13+$D$7*'3 - Scenario'!P13)/(1-$E$7),0)</f>
        <v>1.0086440196078432</v>
      </c>
      <c r="I18" s="17">
        <f>$E$7*'3 - Scenario'!Q13+((1-$E$7)-'1 - Caso e ipotesi'!$B$25*E18*MAX(0,B18-$E$7))*H18</f>
        <v>1.0086440196078432</v>
      </c>
      <c r="J18" s="17">
        <f t="shared" si="4"/>
        <v>1.0712808533785907</v>
      </c>
      <c r="K18" s="17">
        <f t="shared" si="5"/>
        <v>8.2462623423382215</v>
      </c>
      <c r="L18" s="19">
        <f t="shared" si="6"/>
        <v>1</v>
      </c>
      <c r="M18" s="20">
        <f t="shared" si="7"/>
        <v>1027153.5556696195</v>
      </c>
      <c r="N18" s="20">
        <f>'1 - Caso e ipotesi'!$B$7*G18</f>
        <v>40000</v>
      </c>
      <c r="O18" s="20">
        <f t="shared" si="3"/>
        <v>995686.53036077984</v>
      </c>
    </row>
    <row r="19" spans="1:15">
      <c r="A19" s="18">
        <v>9</v>
      </c>
      <c r="B19" s="9">
        <f>IF($E$7&gt;0,$E$7*'3 - Scenario'!Q13/I18,0)</f>
        <v>0</v>
      </c>
      <c r="C19" s="17">
        <f>IF($E$7&gt;0,D18/((1+'3 - Scenario'!C13)*'3 - Scenario'!Q13),C18)</f>
        <v>1</v>
      </c>
      <c r="D19" s="17">
        <f t="shared" si="0"/>
        <v>1</v>
      </c>
      <c r="E19" s="17">
        <f t="shared" si="1"/>
        <v>0</v>
      </c>
      <c r="F19" s="17">
        <f>'1 - Caso e ipotesi'!$B$25*E19*B19</f>
        <v>0</v>
      </c>
      <c r="G19" s="17">
        <f t="shared" si="2"/>
        <v>1</v>
      </c>
      <c r="H19" s="17">
        <f>IF($E$7&lt;1,($B$7*'3 - Scenario'!N14+$C$7*'3 - Scenario'!O14+$D$7*'3 - Scenario'!P14)/(1-$E$7),0)</f>
        <v>1.0086440196078432</v>
      </c>
      <c r="I19" s="17">
        <f>$E$7*'3 - Scenario'!Q14+((1-$E$7)-'1 - Caso e ipotesi'!$B$25*E19*MAX(0,B19-$E$7))*H19</f>
        <v>1.0086440196078432</v>
      </c>
      <c r="J19" s="17">
        <f t="shared" si="4"/>
        <v>1.0805410260807022</v>
      </c>
      <c r="K19" s="17">
        <f t="shared" si="5"/>
        <v>9.3175431957168122</v>
      </c>
      <c r="L19" s="19">
        <f t="shared" si="6"/>
        <v>1</v>
      </c>
      <c r="M19" s="20">
        <f t="shared" si="7"/>
        <v>995686.53036077984</v>
      </c>
      <c r="N19" s="20">
        <f>'1 - Caso e ipotesi'!$B$7*G19</f>
        <v>40000</v>
      </c>
      <c r="O19" s="20">
        <f t="shared" si="3"/>
        <v>963947.50346817006</v>
      </c>
    </row>
    <row r="20" spans="1:15">
      <c r="A20" s="18">
        <v>10</v>
      </c>
      <c r="B20" s="9">
        <f>IF($E$7&gt;0,$E$7*'3 - Scenario'!Q14/I19,0)</f>
        <v>0</v>
      </c>
      <c r="C20" s="17">
        <f>IF($E$7&gt;0,D19/((1+'3 - Scenario'!C14)*'3 - Scenario'!Q14),C19)</f>
        <v>1</v>
      </c>
      <c r="D20" s="17">
        <f t="shared" si="0"/>
        <v>1</v>
      </c>
      <c r="E20" s="17">
        <f t="shared" si="1"/>
        <v>0</v>
      </c>
      <c r="F20" s="17">
        <f>'1 - Caso e ipotesi'!$B$25*E20*B20</f>
        <v>0</v>
      </c>
      <c r="G20" s="17">
        <f t="shared" si="2"/>
        <v>1</v>
      </c>
      <c r="H20" s="17">
        <f>IF($E$7&lt;1,($B$7*'3 - Scenario'!N15+$C$7*'3 - Scenario'!O15+$D$7*'3 - Scenario'!P15)/(1-$E$7),0)</f>
        <v>1.0086440196078432</v>
      </c>
      <c r="I20" s="17">
        <f>$E$7*'3 - Scenario'!Q15+((1-$E$7)-'1 - Caso e ipotesi'!$B$25*E20*MAX(0,B20-$E$7))*H20</f>
        <v>1.0086440196078432</v>
      </c>
      <c r="J20" s="17">
        <f t="shared" si="4"/>
        <v>1.089881243897223</v>
      </c>
      <c r="K20" s="17">
        <f t="shared" si="5"/>
        <v>10.398084221797514</v>
      </c>
      <c r="L20" s="19">
        <f t="shared" si="6"/>
        <v>1</v>
      </c>
      <c r="M20" s="20">
        <f t="shared" si="7"/>
        <v>963947.50346817006</v>
      </c>
      <c r="N20" s="20">
        <f>'1 - Caso e ipotesi'!$B$7*G20</f>
        <v>40000</v>
      </c>
      <c r="O20" s="20">
        <f t="shared" si="3"/>
        <v>931934.12380476668</v>
      </c>
    </row>
    <row r="21" spans="1:15">
      <c r="A21" s="18">
        <v>11</v>
      </c>
      <c r="B21" s="9">
        <f>IF($E$7&gt;0,$E$7*'3 - Scenario'!Q15/I20,0)</f>
        <v>0</v>
      </c>
      <c r="C21" s="17">
        <f>IF($E$7&gt;0,D20/((1+'3 - Scenario'!C15)*'3 - Scenario'!Q15),C20)</f>
        <v>1</v>
      </c>
      <c r="D21" s="17">
        <f t="shared" si="0"/>
        <v>1</v>
      </c>
      <c r="E21" s="17">
        <f t="shared" si="1"/>
        <v>0</v>
      </c>
      <c r="F21" s="17">
        <f>'1 - Caso e ipotesi'!$B$25*E21*B21</f>
        <v>0</v>
      </c>
      <c r="G21" s="17">
        <f t="shared" si="2"/>
        <v>1</v>
      </c>
      <c r="H21" s="17">
        <f>IF($E$7&lt;1,($B$7*'3 - Scenario'!N16+$C$7*'3 - Scenario'!O16+$D$7*'3 - Scenario'!P16)/(1-$E$7),0)</f>
        <v>1.0086440196078432</v>
      </c>
      <c r="I21" s="17">
        <f>$E$7*'3 - Scenario'!Q16+((1-$E$7)-'1 - Caso e ipotesi'!$B$25*E21*MAX(0,B21-$E$7))*H21</f>
        <v>1.0086440196078432</v>
      </c>
      <c r="J21" s="17">
        <f t="shared" si="4"/>
        <v>1.0993021987396911</v>
      </c>
      <c r="K21" s="17">
        <f t="shared" si="5"/>
        <v>11.487965465694737</v>
      </c>
      <c r="L21" s="19">
        <f t="shared" si="6"/>
        <v>1</v>
      </c>
      <c r="M21" s="20">
        <f t="shared" si="7"/>
        <v>931934.12380476668</v>
      </c>
      <c r="N21" s="20">
        <f>'1 - Caso e ipotesi'!$B$7*G21</f>
        <v>40000</v>
      </c>
      <c r="O21" s="20">
        <f t="shared" si="3"/>
        <v>899644.01985983958</v>
      </c>
    </row>
    <row r="22" spans="1:15">
      <c r="A22" s="18">
        <v>12</v>
      </c>
      <c r="B22" s="9">
        <f>IF($E$7&gt;0,$E$7*'3 - Scenario'!Q16/I21,0)</f>
        <v>0</v>
      </c>
      <c r="C22" s="17">
        <f>IF($E$7&gt;0,D21/((1+'3 - Scenario'!C16)*'3 - Scenario'!Q16),C21)</f>
        <v>1</v>
      </c>
      <c r="D22" s="17">
        <f t="shared" si="0"/>
        <v>1</v>
      </c>
      <c r="E22" s="17">
        <f t="shared" si="1"/>
        <v>0</v>
      </c>
      <c r="F22" s="17">
        <f>'1 - Caso e ipotesi'!$B$25*E22*B22</f>
        <v>0</v>
      </c>
      <c r="G22" s="17">
        <f t="shared" si="2"/>
        <v>1</v>
      </c>
      <c r="H22" s="17">
        <f>IF($E$7&lt;1,($B$7*'3 - Scenario'!N17+$C$7*'3 - Scenario'!O17+$D$7*'3 - Scenario'!P17)/(1-$E$7),0)</f>
        <v>1.0086440196078432</v>
      </c>
      <c r="I22" s="17">
        <f>$E$7*'3 - Scenario'!Q17+((1-$E$7)-'1 - Caso e ipotesi'!$B$25*E22*MAX(0,B22-$E$7))*H22</f>
        <v>1.0086440196078432</v>
      </c>
      <c r="J22" s="17">
        <f t="shared" si="4"/>
        <v>1.1088045885005422</v>
      </c>
      <c r="K22" s="17">
        <f t="shared" si="5"/>
        <v>12.587267664434428</v>
      </c>
      <c r="L22" s="19">
        <f t="shared" si="6"/>
        <v>1</v>
      </c>
      <c r="M22" s="20">
        <f t="shared" si="7"/>
        <v>899644.01985983958</v>
      </c>
      <c r="N22" s="20">
        <f>'1 - Caso e ipotesi'!$B$7*G22</f>
        <v>40000</v>
      </c>
      <c r="O22" s="20">
        <f t="shared" si="3"/>
        <v>867074.7996232732</v>
      </c>
    </row>
    <row r="23" spans="1:15">
      <c r="A23" s="18">
        <v>13</v>
      </c>
      <c r="B23" s="9">
        <f>IF($E$7&gt;0,$E$7*'3 - Scenario'!Q17/I22,0)</f>
        <v>0</v>
      </c>
      <c r="C23" s="17">
        <f>IF($E$7&gt;0,D22/((1+'3 - Scenario'!C17)*'3 - Scenario'!Q17),C22)</f>
        <v>1</v>
      </c>
      <c r="D23" s="17">
        <f t="shared" si="0"/>
        <v>1</v>
      </c>
      <c r="E23" s="17">
        <f t="shared" si="1"/>
        <v>0</v>
      </c>
      <c r="F23" s="17">
        <f>'1 - Caso e ipotesi'!$B$25*E23*B23</f>
        <v>0</v>
      </c>
      <c r="G23" s="17">
        <f t="shared" si="2"/>
        <v>1</v>
      </c>
      <c r="H23" s="17">
        <f>IF($E$7&lt;1,($B$7*'3 - Scenario'!N18+$C$7*'3 - Scenario'!O18+$D$7*'3 - Scenario'!P18)/(1-$E$7),0)</f>
        <v>1.0086440196078432</v>
      </c>
      <c r="I23" s="17">
        <f>$E$7*'3 - Scenario'!Q18+((1-$E$7)-'1 - Caso e ipotesi'!$B$25*E23*MAX(0,B23-$E$7))*H23</f>
        <v>1.0086440196078432</v>
      </c>
      <c r="J23" s="17">
        <f t="shared" si="4"/>
        <v>1.1183891171048075</v>
      </c>
      <c r="K23" s="17">
        <f t="shared" si="5"/>
        <v>13.69607225293497</v>
      </c>
      <c r="L23" s="19">
        <f t="shared" si="6"/>
        <v>1</v>
      </c>
      <c r="M23" s="20">
        <f t="shared" si="7"/>
        <v>867074.7996232732</v>
      </c>
      <c r="N23" s="20">
        <f>'1 - Caso e ipotesi'!$B$7*G23</f>
        <v>40000</v>
      </c>
      <c r="O23" s="20">
        <f t="shared" si="3"/>
        <v>834224.05040836975</v>
      </c>
    </row>
    <row r="24" spans="1:15">
      <c r="A24" s="18">
        <v>14</v>
      </c>
      <c r="B24" s="9">
        <f>IF($E$7&gt;0,$E$7*'3 - Scenario'!Q18/I23,0)</f>
        <v>0</v>
      </c>
      <c r="C24" s="17">
        <f>IF($E$7&gt;0,D23/((1+'3 - Scenario'!C18)*'3 - Scenario'!Q18),C23)</f>
        <v>1</v>
      </c>
      <c r="D24" s="17">
        <f t="shared" si="0"/>
        <v>1</v>
      </c>
      <c r="E24" s="17">
        <f t="shared" si="1"/>
        <v>0</v>
      </c>
      <c r="F24" s="17">
        <f>'1 - Caso e ipotesi'!$B$25*E24*B24</f>
        <v>0</v>
      </c>
      <c r="G24" s="17">
        <f t="shared" si="2"/>
        <v>1</v>
      </c>
      <c r="H24" s="17">
        <f>IF($E$7&lt;1,($B$7*'3 - Scenario'!N19+$C$7*'3 - Scenario'!O19+$D$7*'3 - Scenario'!P19)/(1-$E$7),0)</f>
        <v>1.0086440196078432</v>
      </c>
      <c r="I24" s="17">
        <f>$E$7*'3 - Scenario'!Q19+((1-$E$7)-'1 - Caso e ipotesi'!$B$25*E24*MAX(0,B24-$E$7))*H24</f>
        <v>1.0086440196078432</v>
      </c>
      <c r="J24" s="17">
        <f t="shared" si="4"/>
        <v>1.12805649456226</v>
      </c>
      <c r="K24" s="17">
        <f t="shared" si="5"/>
        <v>14.814461370039778</v>
      </c>
      <c r="L24" s="19">
        <f t="shared" si="6"/>
        <v>1</v>
      </c>
      <c r="M24" s="20">
        <f t="shared" si="7"/>
        <v>834224.05040836975</v>
      </c>
      <c r="N24" s="20">
        <f>'1 - Caso e ipotesi'!$B$7*G24</f>
        <v>40000</v>
      </c>
      <c r="O24" s="20">
        <f t="shared" si="3"/>
        <v>801089.33867312036</v>
      </c>
    </row>
    <row r="25" spans="1:15">
      <c r="A25" s="18">
        <v>15</v>
      </c>
      <c r="B25" s="9">
        <f>IF($E$7&gt;0,$E$7*'3 - Scenario'!Q19/I24,0)</f>
        <v>0</v>
      </c>
      <c r="C25" s="17">
        <f>IF($E$7&gt;0,D24/((1+'3 - Scenario'!C19)*'3 - Scenario'!Q19),C24)</f>
        <v>1</v>
      </c>
      <c r="D25" s="17">
        <f t="shared" si="0"/>
        <v>1</v>
      </c>
      <c r="E25" s="17">
        <f t="shared" si="1"/>
        <v>0</v>
      </c>
      <c r="F25" s="17">
        <f>'1 - Caso e ipotesi'!$B$25*E25*B25</f>
        <v>0</v>
      </c>
      <c r="G25" s="17">
        <f t="shared" si="2"/>
        <v>1</v>
      </c>
      <c r="H25" s="17">
        <f>IF($E$7&lt;1,($B$7*'3 - Scenario'!N20+$C$7*'3 - Scenario'!O20+$D$7*'3 - Scenario'!P20)/(1-$E$7),0)</f>
        <v>1.0086440196078432</v>
      </c>
      <c r="I25" s="17">
        <f>$E$7*'3 - Scenario'!Q20+((1-$E$7)-'1 - Caso e ipotesi'!$B$25*E25*MAX(0,B25-$E$7))*H25</f>
        <v>1.0086440196078432</v>
      </c>
      <c r="J25" s="17">
        <f t="shared" si="4"/>
        <v>1.1378074370200111</v>
      </c>
      <c r="K25" s="17">
        <f t="shared" si="5"/>
        <v>15.942517864602038</v>
      </c>
      <c r="L25" s="19">
        <f t="shared" si="6"/>
        <v>1</v>
      </c>
      <c r="M25" s="20">
        <f t="shared" si="7"/>
        <v>801089.33867312036</v>
      </c>
      <c r="N25" s="20">
        <f>'1 - Caso e ipotesi'!$B$7*G25</f>
        <v>40000</v>
      </c>
      <c r="O25" s="20">
        <f t="shared" si="3"/>
        <v>767668.20983993122</v>
      </c>
    </row>
    <row r="26" spans="1:15">
      <c r="A26" s="18">
        <v>16</v>
      </c>
      <c r="B26" s="9">
        <f>IF($E$7&gt;0,$E$7*'3 - Scenario'!Q20/I25,0)</f>
        <v>0</v>
      </c>
      <c r="C26" s="17">
        <f>IF($E$7&gt;0,D25/((1+'3 - Scenario'!C20)*'3 - Scenario'!Q20),C25)</f>
        <v>1</v>
      </c>
      <c r="D26" s="17">
        <f t="shared" si="0"/>
        <v>1</v>
      </c>
      <c r="E26" s="17">
        <f t="shared" si="1"/>
        <v>0</v>
      </c>
      <c r="F26" s="17">
        <f>'1 - Caso e ipotesi'!$B$25*E26*B26</f>
        <v>0</v>
      </c>
      <c r="G26" s="17">
        <f t="shared" si="2"/>
        <v>1</v>
      </c>
      <c r="H26" s="17">
        <f>IF($E$7&lt;1,($B$7*'3 - Scenario'!N21+$C$7*'3 - Scenario'!O21+$D$7*'3 - Scenario'!P21)/(1-$E$7),0)</f>
        <v>1.0086440196078432</v>
      </c>
      <c r="I26" s="17">
        <f>$E$7*'3 - Scenario'!Q21+((1-$E$7)-'1 - Caso e ipotesi'!$B$25*E26*MAX(0,B26-$E$7))*H26</f>
        <v>1.0086440196078432</v>
      </c>
      <c r="J26" s="17">
        <f t="shared" si="4"/>
        <v>1.1476426668155619</v>
      </c>
      <c r="K26" s="17">
        <f t="shared" si="5"/>
        <v>17.08032530162205</v>
      </c>
      <c r="L26" s="19">
        <f t="shared" si="6"/>
        <v>1</v>
      </c>
      <c r="M26" s="20">
        <f t="shared" si="7"/>
        <v>767668.20983993122</v>
      </c>
      <c r="N26" s="20">
        <f>'1 - Caso e ipotesi'!$B$7*G26</f>
        <v>40000</v>
      </c>
      <c r="O26" s="20">
        <f t="shared" si="3"/>
        <v>733958.18811379175</v>
      </c>
    </row>
    <row r="27" spans="1:15">
      <c r="A27" s="18">
        <v>17</v>
      </c>
      <c r="B27" s="9">
        <f>IF($E$7&gt;0,$E$7*'3 - Scenario'!Q21/I26,0)</f>
        <v>0</v>
      </c>
      <c r="C27" s="17">
        <f>IF($E$7&gt;0,D26/((1+'3 - Scenario'!C21)*'3 - Scenario'!Q21),C26)</f>
        <v>1</v>
      </c>
      <c r="D27" s="17">
        <f t="shared" si="0"/>
        <v>1</v>
      </c>
      <c r="E27" s="17">
        <f t="shared" si="1"/>
        <v>0</v>
      </c>
      <c r="F27" s="17">
        <f>'1 - Caso e ipotesi'!$B$25*E27*B27</f>
        <v>0</v>
      </c>
      <c r="G27" s="17">
        <f t="shared" si="2"/>
        <v>1</v>
      </c>
      <c r="H27" s="17">
        <f>IF($E$7&lt;1,($B$7*'3 - Scenario'!N22+$C$7*'3 - Scenario'!O22+$D$7*'3 - Scenario'!P22)/(1-$E$7),0)</f>
        <v>1.0086440196078432</v>
      </c>
      <c r="I27" s="17">
        <f>$E$7*'3 - Scenario'!Q22+((1-$E$7)-'1 - Caso e ipotesi'!$B$25*E27*MAX(0,B27-$E$7))*H27</f>
        <v>1.0086440196078432</v>
      </c>
      <c r="J27" s="17">
        <f t="shared" si="4"/>
        <v>1.1575629125303131</v>
      </c>
      <c r="K27" s="17">
        <f t="shared" si="5"/>
        <v>18.227967968437611</v>
      </c>
      <c r="L27" s="19">
        <f t="shared" si="6"/>
        <v>1</v>
      </c>
      <c r="M27" s="20">
        <f t="shared" si="7"/>
        <v>733958.18811379175</v>
      </c>
      <c r="N27" s="20">
        <f>'1 - Caso e ipotesi'!$B$7*G27</f>
        <v>40000</v>
      </c>
      <c r="O27" s="20">
        <f t="shared" si="3"/>
        <v>699956.77629887068</v>
      </c>
    </row>
    <row r="28" spans="1:15">
      <c r="A28" s="18">
        <v>18</v>
      </c>
      <c r="B28" s="9">
        <f>IF($E$7&gt;0,$E$7*'3 - Scenario'!Q22/I27,0)</f>
        <v>0</v>
      </c>
      <c r="C28" s="17">
        <f>IF($E$7&gt;0,D27/((1+'3 - Scenario'!C22)*'3 - Scenario'!Q22),C27)</f>
        <v>1</v>
      </c>
      <c r="D28" s="17">
        <f t="shared" si="0"/>
        <v>1</v>
      </c>
      <c r="E28" s="17">
        <f t="shared" si="1"/>
        <v>0</v>
      </c>
      <c r="F28" s="17">
        <f>'1 - Caso e ipotesi'!$B$25*E28*B28</f>
        <v>0</v>
      </c>
      <c r="G28" s="17">
        <f t="shared" si="2"/>
        <v>1</v>
      </c>
      <c r="H28" s="17">
        <f>IF($E$7&lt;1,($B$7*'3 - Scenario'!N23+$C$7*'3 - Scenario'!O23+$D$7*'3 - Scenario'!P23)/(1-$E$7),0)</f>
        <v>1.0086440196078432</v>
      </c>
      <c r="I28" s="17">
        <f>$E$7*'3 - Scenario'!Q23+((1-$E$7)-'1 - Caso e ipotesi'!$B$25*E28*MAX(0,B28-$E$7))*H28</f>
        <v>1.0086440196078432</v>
      </c>
      <c r="J28" s="17">
        <f t="shared" si="4"/>
        <v>1.1675689090435373</v>
      </c>
      <c r="K28" s="17">
        <f t="shared" si="5"/>
        <v>19.385530880967924</v>
      </c>
      <c r="L28" s="19">
        <f t="shared" si="6"/>
        <v>1</v>
      </c>
      <c r="M28" s="20">
        <f t="shared" si="7"/>
        <v>699956.77629887068</v>
      </c>
      <c r="N28" s="20">
        <f>'1 - Caso e ipotesi'!$B$7*G28</f>
        <v>40000</v>
      </c>
      <c r="O28" s="20">
        <f t="shared" si="3"/>
        <v>665661.4556135271</v>
      </c>
    </row>
    <row r="29" spans="1:15">
      <c r="A29" s="18">
        <v>19</v>
      </c>
      <c r="B29" s="9">
        <f>IF($E$7&gt;0,$E$7*'3 - Scenario'!Q23/I28,0)</f>
        <v>0</v>
      </c>
      <c r="C29" s="17">
        <f>IF($E$7&gt;0,D28/((1+'3 - Scenario'!C23)*'3 - Scenario'!Q23),C28)</f>
        <v>1</v>
      </c>
      <c r="D29" s="17">
        <f t="shared" si="0"/>
        <v>1</v>
      </c>
      <c r="E29" s="17">
        <f t="shared" si="1"/>
        <v>0</v>
      </c>
      <c r="F29" s="17">
        <f>'1 - Caso e ipotesi'!$B$25*E29*B29</f>
        <v>0</v>
      </c>
      <c r="G29" s="17">
        <f t="shared" si="2"/>
        <v>1</v>
      </c>
      <c r="H29" s="17">
        <f>IF($E$7&lt;1,($B$7*'3 - Scenario'!N24+$C$7*'3 - Scenario'!O24+$D$7*'3 - Scenario'!P24)/(1-$E$7),0)</f>
        <v>1.0086440196078432</v>
      </c>
      <c r="I29" s="17">
        <f>$E$7*'3 - Scenario'!Q24+((1-$E$7)-'1 - Caso e ipotesi'!$B$25*E29*MAX(0,B29-$E$7))*H29</f>
        <v>1.0086440196078432</v>
      </c>
      <c r="J29" s="17">
        <f t="shared" si="4"/>
        <v>1.1776613975868178</v>
      </c>
      <c r="K29" s="17">
        <f t="shared" si="5"/>
        <v>20.553099790011462</v>
      </c>
      <c r="L29" s="19">
        <f t="shared" si="6"/>
        <v>1</v>
      </c>
      <c r="M29" s="20">
        <f t="shared" si="7"/>
        <v>665661.4556135271</v>
      </c>
      <c r="N29" s="20">
        <f>'1 - Caso e ipotesi'!$B$7*G29</f>
        <v>40000</v>
      </c>
      <c r="O29" s="20">
        <f t="shared" si="3"/>
        <v>631069.68550372217</v>
      </c>
    </row>
    <row r="30" spans="1:15">
      <c r="A30" s="18">
        <v>20</v>
      </c>
      <c r="B30" s="9">
        <f>IF($E$7&gt;0,$E$7*'3 - Scenario'!Q24/I29,0)</f>
        <v>0</v>
      </c>
      <c r="C30" s="17">
        <f>IF($E$7&gt;0,D29/((1+'3 - Scenario'!C24)*'3 - Scenario'!Q24),C29)</f>
        <v>1</v>
      </c>
      <c r="D30" s="17">
        <f t="shared" si="0"/>
        <v>1</v>
      </c>
      <c r="E30" s="17">
        <f t="shared" si="1"/>
        <v>0</v>
      </c>
      <c r="F30" s="17">
        <f>'1 - Caso e ipotesi'!$B$25*E30*B30</f>
        <v>0</v>
      </c>
      <c r="G30" s="17">
        <f t="shared" si="2"/>
        <v>1</v>
      </c>
      <c r="H30" s="17">
        <f>IF($E$7&lt;1,($B$7*'3 - Scenario'!N25+$C$7*'3 - Scenario'!O25+$D$7*'3 - Scenario'!P25)/(1-$E$7),0)</f>
        <v>1.0086440196078432</v>
      </c>
      <c r="I30" s="17">
        <f>$E$7*'3 - Scenario'!Q25+((1-$E$7)-'1 - Caso e ipotesi'!$B$25*E30*MAX(0,B30-$E$7))*H30</f>
        <v>1.0086440196078432</v>
      </c>
      <c r="J30" s="17">
        <f t="shared" si="4"/>
        <v>1.1878411257989583</v>
      </c>
      <c r="K30" s="17">
        <f t="shared" si="5"/>
        <v>21.730761187598279</v>
      </c>
      <c r="L30" s="19">
        <f t="shared" si="6"/>
        <v>1</v>
      </c>
      <c r="M30" s="20">
        <f t="shared" si="7"/>
        <v>631069.68550372217</v>
      </c>
      <c r="N30" s="20">
        <f>'1 - Caso e ipotesi'!$B$7*G30</f>
        <v>40000</v>
      </c>
      <c r="O30" s="20">
        <f t="shared" si="3"/>
        <v>596178.90345481806</v>
      </c>
    </row>
    <row r="31" spans="1:15">
      <c r="A31" s="18">
        <v>21</v>
      </c>
      <c r="B31" s="9">
        <f>IF($E$7&gt;0,$E$7*'3 - Scenario'!Q25/I30,0)</f>
        <v>0</v>
      </c>
      <c r="C31" s="17">
        <f>IF($E$7&gt;0,D30/((1+'3 - Scenario'!C25)*'3 - Scenario'!Q25),C30)</f>
        <v>1</v>
      </c>
      <c r="D31" s="17">
        <f t="shared" si="0"/>
        <v>1</v>
      </c>
      <c r="E31" s="17">
        <f t="shared" si="1"/>
        <v>0</v>
      </c>
      <c r="F31" s="17">
        <f>'1 - Caso e ipotesi'!$B$25*E31*B31</f>
        <v>0</v>
      </c>
      <c r="G31" s="17">
        <f t="shared" si="2"/>
        <v>1</v>
      </c>
      <c r="H31" s="17">
        <f>IF($E$7&lt;1,($B$7*'3 - Scenario'!N26+$C$7*'3 - Scenario'!O26+$D$7*'3 - Scenario'!P26)/(1-$E$7),0)</f>
        <v>1.0086440196078432</v>
      </c>
      <c r="I31" s="17">
        <f>$E$7*'3 - Scenario'!Q26+((1-$E$7)-'1 - Caso e ipotesi'!$B$25*E31*MAX(0,B31-$E$7))*H31</f>
        <v>1.0086440196078432</v>
      </c>
      <c r="J31" s="17">
        <f t="shared" si="4"/>
        <v>1.1981088477813671</v>
      </c>
      <c r="K31" s="17">
        <f t="shared" si="5"/>
        <v>22.918602313397237</v>
      </c>
      <c r="L31" s="19">
        <f t="shared" si="6"/>
        <v>1</v>
      </c>
      <c r="M31" s="20">
        <f t="shared" si="7"/>
        <v>596178.90345481806</v>
      </c>
      <c r="N31" s="20">
        <f>'1 - Caso e ipotesi'!$B$7*G31</f>
        <v>40000</v>
      </c>
      <c r="O31" s="20">
        <f t="shared" si="3"/>
        <v>560986.5248017502</v>
      </c>
    </row>
    <row r="32" spans="1:15">
      <c r="A32" s="18">
        <v>22</v>
      </c>
      <c r="B32" s="9">
        <f>IF($E$7&gt;0,$E$7*'3 - Scenario'!Q26/I31,0)</f>
        <v>0</v>
      </c>
      <c r="C32" s="17">
        <f>IF($E$7&gt;0,D31/((1+'3 - Scenario'!C26)*'3 - Scenario'!Q26),C31)</f>
        <v>1</v>
      </c>
      <c r="D32" s="17">
        <f t="shared" si="0"/>
        <v>1</v>
      </c>
      <c r="E32" s="17">
        <f t="shared" si="1"/>
        <v>0</v>
      </c>
      <c r="F32" s="17">
        <f>'1 - Caso e ipotesi'!$B$25*E32*B32</f>
        <v>0</v>
      </c>
      <c r="G32" s="17">
        <f t="shared" si="2"/>
        <v>1</v>
      </c>
      <c r="H32" s="17">
        <f>IF($E$7&lt;1,($B$7*'3 - Scenario'!N27+$C$7*'3 - Scenario'!O27+$D$7*'3 - Scenario'!P27)/(1-$E$7),0)</f>
        <v>1.0086440196078432</v>
      </c>
      <c r="I32" s="17">
        <f>$E$7*'3 - Scenario'!Q27+((1-$E$7)-'1 - Caso e ipotesi'!$B$25*E32*MAX(0,B32-$E$7))*H32</f>
        <v>1.0086440196078432</v>
      </c>
      <c r="J32" s="17">
        <f t="shared" si="4"/>
        <v>1.2084653241539196</v>
      </c>
      <c r="K32" s="17">
        <f t="shared" si="5"/>
        <v>24.116711161178603</v>
      </c>
      <c r="L32" s="19">
        <f t="shared" si="6"/>
        <v>1</v>
      </c>
      <c r="M32" s="20">
        <f t="shared" si="7"/>
        <v>560986.5248017502</v>
      </c>
      <c r="N32" s="20">
        <f>'1 - Caso e ipotesi'!$B$7*G32</f>
        <v>40000</v>
      </c>
      <c r="O32" s="20">
        <f t="shared" si="3"/>
        <v>525489.94253755861</v>
      </c>
    </row>
    <row r="33" spans="1:15">
      <c r="A33" s="18">
        <v>23</v>
      </c>
      <c r="B33" s="9">
        <f>IF($E$7&gt;0,$E$7*'3 - Scenario'!Q27/I32,0)</f>
        <v>0</v>
      </c>
      <c r="C33" s="17">
        <f>IF($E$7&gt;0,D32/((1+'3 - Scenario'!C27)*'3 - Scenario'!Q27),C32)</f>
        <v>1</v>
      </c>
      <c r="D33" s="17">
        <f t="shared" si="0"/>
        <v>1</v>
      </c>
      <c r="E33" s="17">
        <f t="shared" si="1"/>
        <v>0</v>
      </c>
      <c r="F33" s="17">
        <f>'1 - Caso e ipotesi'!$B$25*E33*B33</f>
        <v>0</v>
      </c>
      <c r="G33" s="17">
        <f t="shared" si="2"/>
        <v>1</v>
      </c>
      <c r="H33" s="17">
        <f>IF($E$7&lt;1,($B$7*'3 - Scenario'!N28+$C$7*'3 - Scenario'!O28+$D$7*'3 - Scenario'!P28)/(1-$E$7),0)</f>
        <v>1.0086440196078432</v>
      </c>
      <c r="I33" s="17">
        <f>$E$7*'3 - Scenario'!Q28+((1-$E$7)-'1 - Caso e ipotesi'!$B$25*E33*MAX(0,B33-$E$7))*H33</f>
        <v>1.0086440196078432</v>
      </c>
      <c r="J33" s="17">
        <f t="shared" si="4"/>
        <v>1.2189113221113046</v>
      </c>
      <c r="K33" s="17">
        <f t="shared" si="5"/>
        <v>25.325176485332523</v>
      </c>
      <c r="L33" s="19">
        <f t="shared" si="6"/>
        <v>1</v>
      </c>
      <c r="M33" s="20">
        <f t="shared" si="7"/>
        <v>525489.94253755861</v>
      </c>
      <c r="N33" s="20">
        <f>'1 - Caso e ipotesi'!$B$7*G33</f>
        <v>40000</v>
      </c>
      <c r="O33" s="20">
        <f t="shared" si="3"/>
        <v>489686.52712026396</v>
      </c>
    </row>
    <row r="34" spans="1:15">
      <c r="A34" s="18">
        <v>24</v>
      </c>
      <c r="B34" s="9">
        <f>IF($E$7&gt;0,$E$7*'3 - Scenario'!Q28/I33,0)</f>
        <v>0</v>
      </c>
      <c r="C34" s="17">
        <f>IF($E$7&gt;0,D33/((1+'3 - Scenario'!C28)*'3 - Scenario'!Q28),C33)</f>
        <v>1</v>
      </c>
      <c r="D34" s="17">
        <f t="shared" si="0"/>
        <v>1</v>
      </c>
      <c r="E34" s="17">
        <f t="shared" si="1"/>
        <v>0</v>
      </c>
      <c r="F34" s="17">
        <f>'1 - Caso e ipotesi'!$B$25*E34*B34</f>
        <v>0</v>
      </c>
      <c r="G34" s="17">
        <f t="shared" si="2"/>
        <v>1</v>
      </c>
      <c r="H34" s="17">
        <f>IF($E$7&lt;1,($B$7*'3 - Scenario'!N29+$C$7*'3 - Scenario'!O29+$D$7*'3 - Scenario'!P29)/(1-$E$7),0)</f>
        <v>1.0086440196078432</v>
      </c>
      <c r="I34" s="17">
        <f>$E$7*'3 - Scenario'!Q29+((1-$E$7)-'1 - Caso e ipotesi'!$B$25*E34*MAX(0,B34-$E$7))*H34</f>
        <v>1.0086440196078432</v>
      </c>
      <c r="J34" s="17">
        <f t="shared" si="4"/>
        <v>1.2294476154798568</v>
      </c>
      <c r="K34" s="17">
        <f t="shared" si="5"/>
        <v>26.544087807443827</v>
      </c>
      <c r="L34" s="19">
        <f t="shared" si="6"/>
        <v>1</v>
      </c>
      <c r="M34" s="20">
        <f t="shared" si="7"/>
        <v>489686.52712026396</v>
      </c>
      <c r="N34" s="20">
        <f>'1 - Caso e ipotesi'!$B$7*G34</f>
        <v>40000</v>
      </c>
      <c r="O34" s="20">
        <f t="shared" si="3"/>
        <v>453573.62627807446</v>
      </c>
    </row>
    <row r="35" spans="1:15">
      <c r="A35" s="18">
        <v>25</v>
      </c>
      <c r="B35" s="9">
        <f>IF($E$7&gt;0,$E$7*'3 - Scenario'!Q29/I34,0)</f>
        <v>0</v>
      </c>
      <c r="C35" s="17">
        <f>IF($E$7&gt;0,D34/((1+'3 - Scenario'!C29)*'3 - Scenario'!Q29),C34)</f>
        <v>1</v>
      </c>
      <c r="D35" s="17">
        <f t="shared" si="0"/>
        <v>1</v>
      </c>
      <c r="E35" s="17">
        <f t="shared" si="1"/>
        <v>0</v>
      </c>
      <c r="F35" s="17">
        <f>'1 - Caso e ipotesi'!$B$25*E35*B35</f>
        <v>0</v>
      </c>
      <c r="G35" s="17">
        <f t="shared" si="2"/>
        <v>1</v>
      </c>
      <c r="H35" s="17">
        <f>IF($E$7&lt;1,($B$7*'3 - Scenario'!N30+$C$7*'3 - Scenario'!O30+$D$7*'3 - Scenario'!P30)/(1-$E$7),0)</f>
        <v>1.0086440196078432</v>
      </c>
      <c r="I35" s="17">
        <f>$E$7*'3 - Scenario'!Q30+((1-$E$7)-'1 - Caso e ipotesi'!$B$25*E35*MAX(0,B35-$E$7))*H35</f>
        <v>1.0086440196078432</v>
      </c>
      <c r="J35" s="17">
        <f t="shared" si="4"/>
        <v>1.2400749847748809</v>
      </c>
      <c r="K35" s="17">
        <f t="shared" si="5"/>
        <v>27.773535422923683</v>
      </c>
      <c r="L35" s="19">
        <f t="shared" si="6"/>
        <v>1</v>
      </c>
      <c r="M35" s="20">
        <f t="shared" si="7"/>
        <v>453573.62627807446</v>
      </c>
      <c r="N35" s="20">
        <f>'1 - Caso e ipotesi'!$B$7*G35</f>
        <v>40000</v>
      </c>
      <c r="O35" s="20">
        <f t="shared" si="3"/>
        <v>417148.56481290894</v>
      </c>
    </row>
    <row r="36" spans="1:15">
      <c r="A36" s="18">
        <v>26</v>
      </c>
      <c r="B36" s="9">
        <f>IF($E$7&gt;0,$E$7*'3 - Scenario'!Q30/I35,0)</f>
        <v>0</v>
      </c>
      <c r="C36" s="17">
        <f>IF($E$7&gt;0,D35/((1+'3 - Scenario'!C30)*'3 - Scenario'!Q30),C35)</f>
        <v>1</v>
      </c>
      <c r="D36" s="17">
        <f t="shared" si="0"/>
        <v>1</v>
      </c>
      <c r="E36" s="17">
        <f t="shared" si="1"/>
        <v>0</v>
      </c>
      <c r="F36" s="17">
        <f>'1 - Caso e ipotesi'!$B$25*E36*B36</f>
        <v>0</v>
      </c>
      <c r="G36" s="17">
        <f t="shared" si="2"/>
        <v>1</v>
      </c>
      <c r="H36" s="17">
        <f>IF($E$7&lt;1,($B$7*'3 - Scenario'!N31+$C$7*'3 - Scenario'!O31+$D$7*'3 - Scenario'!P31)/(1-$E$7),0)</f>
        <v>1.0086440196078432</v>
      </c>
      <c r="I36" s="17">
        <f>$E$7*'3 - Scenario'!Q31+((1-$E$7)-'1 - Caso e ipotesi'!$B$25*E36*MAX(0,B36-$E$7))*H36</f>
        <v>1.0086440196078432</v>
      </c>
      <c r="J36" s="17">
        <f t="shared" si="4"/>
        <v>1.2507942172584707</v>
      </c>
      <c r="K36" s="17">
        <f t="shared" si="5"/>
        <v>29.013610407698565</v>
      </c>
      <c r="L36" s="19">
        <f t="shared" si="6"/>
        <v>1</v>
      </c>
      <c r="M36" s="20">
        <f t="shared" si="7"/>
        <v>417148.56481290894</v>
      </c>
      <c r="N36" s="20">
        <f>'1 - Caso e ipotesi'!$B$7*G36</f>
        <v>40000</v>
      </c>
      <c r="O36" s="20">
        <f t="shared" si="3"/>
        <v>380408.64440222166</v>
      </c>
    </row>
    <row r="37" spans="1:15">
      <c r="A37" s="18">
        <v>27</v>
      </c>
      <c r="B37" s="9">
        <f>IF($E$7&gt;0,$E$7*'3 - Scenario'!Q31/I36,0)</f>
        <v>0</v>
      </c>
      <c r="C37" s="17">
        <f>IF($E$7&gt;0,D36/((1+'3 - Scenario'!C31)*'3 - Scenario'!Q31),C36)</f>
        <v>1</v>
      </c>
      <c r="D37" s="17">
        <f t="shared" si="0"/>
        <v>1</v>
      </c>
      <c r="E37" s="17">
        <f t="shared" si="1"/>
        <v>0</v>
      </c>
      <c r="F37" s="17">
        <f>'1 - Caso e ipotesi'!$B$25*E37*B37</f>
        <v>0</v>
      </c>
      <c r="G37" s="17">
        <f t="shared" si="2"/>
        <v>1</v>
      </c>
      <c r="H37" s="17">
        <f>IF($E$7&lt;1,($B$7*'3 - Scenario'!N32+$C$7*'3 - Scenario'!O32+$D$7*'3 - Scenario'!P32)/(1-$E$7),0)</f>
        <v>1.0086440196078432</v>
      </c>
      <c r="I37" s="17">
        <f>$E$7*'3 - Scenario'!Q32+((1-$E$7)-'1 - Caso e ipotesi'!$B$25*E37*MAX(0,B37-$E$7))*H37</f>
        <v>1.0086440196078432</v>
      </c>
      <c r="J37" s="17">
        <f t="shared" si="4"/>
        <v>1.2616061069978299</v>
      </c>
      <c r="K37" s="17">
        <f t="shared" si="5"/>
        <v>30.264404624957034</v>
      </c>
      <c r="L37" s="19">
        <f t="shared" si="6"/>
        <v>1</v>
      </c>
      <c r="M37" s="20">
        <f t="shared" si="7"/>
        <v>380408.64440222166</v>
      </c>
      <c r="N37" s="20">
        <f>'1 - Caso e ipotesi'!$B$7*G37</f>
        <v>40000</v>
      </c>
      <c r="O37" s="20">
        <f t="shared" si="3"/>
        <v>343351.14339911379</v>
      </c>
    </row>
    <row r="38" spans="1:15">
      <c r="A38" s="18">
        <v>28</v>
      </c>
      <c r="B38" s="9">
        <f>IF($E$7&gt;0,$E$7*'3 - Scenario'!Q32/I37,0)</f>
        <v>0</v>
      </c>
      <c r="C38" s="17">
        <f>IF($E$7&gt;0,D37/((1+'3 - Scenario'!C32)*'3 - Scenario'!Q32),C37)</f>
        <v>1</v>
      </c>
      <c r="D38" s="17">
        <f t="shared" si="0"/>
        <v>1</v>
      </c>
      <c r="E38" s="17">
        <f t="shared" si="1"/>
        <v>0</v>
      </c>
      <c r="F38" s="17">
        <f>'1 - Caso e ipotesi'!$B$25*E38*B38</f>
        <v>0</v>
      </c>
      <c r="G38" s="17">
        <f t="shared" si="2"/>
        <v>1</v>
      </c>
      <c r="H38" s="17">
        <f>IF($E$7&lt;1,($B$7*'3 - Scenario'!N33+$C$7*'3 - Scenario'!O33+$D$7*'3 - Scenario'!P33)/(1-$E$7),0)</f>
        <v>1.0086440196078432</v>
      </c>
      <c r="I38" s="17">
        <f>$E$7*'3 - Scenario'!Q33+((1-$E$7)-'1 - Caso e ipotesi'!$B$25*E38*MAX(0,B38-$E$7))*H38</f>
        <v>1.0086440196078432</v>
      </c>
      <c r="J38" s="17">
        <f t="shared" si="4"/>
        <v>1.2725114549240939</v>
      </c>
      <c r="K38" s="17">
        <f t="shared" si="5"/>
        <v>31.526010731954866</v>
      </c>
      <c r="L38" s="19">
        <f t="shared" si="6"/>
        <v>1</v>
      </c>
      <c r="M38" s="20">
        <f t="shared" si="7"/>
        <v>343351.14339911379</v>
      </c>
      <c r="N38" s="20">
        <f>'1 - Caso e ipotesi'!$B$7*G38</f>
        <v>40000</v>
      </c>
      <c r="O38" s="20">
        <f t="shared" si="3"/>
        <v>305973.31663071737</v>
      </c>
    </row>
    <row r="39" spans="1:15">
      <c r="A39" s="18">
        <v>29</v>
      </c>
      <c r="B39" s="9">
        <f>IF($E$7&gt;0,$E$7*'3 - Scenario'!Q33/I38,0)</f>
        <v>0</v>
      </c>
      <c r="C39" s="17">
        <f>IF($E$7&gt;0,D38/((1+'3 - Scenario'!C33)*'3 - Scenario'!Q33),C38)</f>
        <v>1</v>
      </c>
      <c r="D39" s="17">
        <f t="shared" si="0"/>
        <v>1</v>
      </c>
      <c r="E39" s="17">
        <f t="shared" si="1"/>
        <v>0</v>
      </c>
      <c r="F39" s="17">
        <f>'1 - Caso e ipotesi'!$B$25*E39*B39</f>
        <v>0</v>
      </c>
      <c r="G39" s="17">
        <f t="shared" si="2"/>
        <v>1</v>
      </c>
      <c r="H39" s="17">
        <f>IF($E$7&lt;1,($B$7*'3 - Scenario'!N34+$C$7*'3 - Scenario'!O34+$D$7*'3 - Scenario'!P34)/(1-$E$7),0)</f>
        <v>1.0086440196078432</v>
      </c>
      <c r="I39" s="17">
        <f>$E$7*'3 - Scenario'!Q34+((1-$E$7)-'1 - Caso e ipotesi'!$B$25*E39*MAX(0,B39-$E$7))*H39</f>
        <v>1.0086440196078432</v>
      </c>
      <c r="J39" s="17">
        <f t="shared" si="4"/>
        <v>1.2835110688916629</v>
      </c>
      <c r="K39" s="17">
        <f t="shared" si="5"/>
        <v>32.798522186878955</v>
      </c>
      <c r="L39" s="19">
        <f t="shared" si="6"/>
        <v>1</v>
      </c>
      <c r="M39" s="20">
        <f t="shared" si="7"/>
        <v>305973.31663071737</v>
      </c>
      <c r="N39" s="20">
        <f>'1 - Caso e ipotesi'!$B$7*G39</f>
        <v>40000</v>
      </c>
      <c r="O39" s="20">
        <f t="shared" si="3"/>
        <v>268272.39519483637</v>
      </c>
    </row>
    <row r="40" spans="1:15">
      <c r="A40" s="18">
        <v>30</v>
      </c>
      <c r="B40" s="9">
        <f>IF($E$7&gt;0,$E$7*'3 - Scenario'!Q34/I39,0)</f>
        <v>0</v>
      </c>
      <c r="C40" s="17">
        <f>IF($E$7&gt;0,D39/((1+'3 - Scenario'!C34)*'3 - Scenario'!Q34),C39)</f>
        <v>1</v>
      </c>
      <c r="D40" s="17">
        <f t="shared" si="0"/>
        <v>1</v>
      </c>
      <c r="E40" s="17">
        <f t="shared" si="1"/>
        <v>0</v>
      </c>
      <c r="F40" s="17">
        <f>'1 - Caso e ipotesi'!$B$25*E40*B40</f>
        <v>0</v>
      </c>
      <c r="G40" s="17">
        <f t="shared" si="2"/>
        <v>1</v>
      </c>
      <c r="H40" s="17">
        <f>IF($E$7&lt;1,($B$7*'3 - Scenario'!N35+$C$7*'3 - Scenario'!O35+$D$7*'3 - Scenario'!P35)/(1-$E$7),0)</f>
        <v>1.0086440196078432</v>
      </c>
      <c r="I40" s="17">
        <f>$E$7*'3 - Scenario'!Q35+((1-$E$7)-'1 - Caso e ipotesi'!$B$25*E40*MAX(0,B40-$E$7))*H40</f>
        <v>1.0086440196078432</v>
      </c>
      <c r="J40" s="17">
        <f t="shared" si="4"/>
        <v>1.2946057637380461</v>
      </c>
      <c r="K40" s="17">
        <f t="shared" si="5"/>
        <v>34.082033255770618</v>
      </c>
      <c r="L40" s="19">
        <f t="shared" si="6"/>
        <v>1</v>
      </c>
      <c r="M40" s="20">
        <f t="shared" si="7"/>
        <v>268272.39519483637</v>
      </c>
      <c r="N40" s="20">
        <f>'1 - Caso e ipotesi'!$B$7*G40</f>
        <v>40000</v>
      </c>
      <c r="O40" s="20">
        <f t="shared" si="3"/>
        <v>230245.58625482986</v>
      </c>
    </row>
    <row r="41" spans="1:15">
      <c r="A41" s="18">
        <v>31</v>
      </c>
      <c r="B41" s="9">
        <f>IF($E$7&gt;0,$E$7*'3 - Scenario'!Q35/I40,0)</f>
        <v>0</v>
      </c>
      <c r="C41" s="17">
        <f>IF($E$7&gt;0,D40/((1+'3 - Scenario'!C35)*'3 - Scenario'!Q35),C40)</f>
        <v>1</v>
      </c>
      <c r="D41" s="17">
        <f t="shared" si="0"/>
        <v>1</v>
      </c>
      <c r="E41" s="17">
        <f t="shared" si="1"/>
        <v>0</v>
      </c>
      <c r="F41" s="17">
        <f>'1 - Caso e ipotesi'!$B$25*E41*B41</f>
        <v>0</v>
      </c>
      <c r="G41" s="17">
        <f t="shared" si="2"/>
        <v>1</v>
      </c>
      <c r="H41" s="17">
        <f>IF($E$7&lt;1,($B$7*'3 - Scenario'!N36+$C$7*'3 - Scenario'!O36+$D$7*'3 - Scenario'!P36)/(1-$E$7),0)</f>
        <v>1.0086440196078432</v>
      </c>
      <c r="I41" s="17">
        <f>$E$7*'3 - Scenario'!Q36+((1-$E$7)-'1 - Caso e ipotesi'!$B$25*E41*MAX(0,B41-$E$7))*H41</f>
        <v>1.0086440196078432</v>
      </c>
      <c r="J41" s="17">
        <f t="shared" si="4"/>
        <v>1.3057963613442247</v>
      </c>
      <c r="K41" s="17">
        <f t="shared" si="5"/>
        <v>35.376639019508666</v>
      </c>
      <c r="L41" s="19">
        <f t="shared" si="6"/>
        <v>1</v>
      </c>
      <c r="M41" s="20">
        <f t="shared" si="7"/>
        <v>230245.58625482986</v>
      </c>
      <c r="N41" s="20">
        <f>'1 - Caso e ipotesi'!$B$7*G41</f>
        <v>40000</v>
      </c>
      <c r="O41" s="20">
        <f t="shared" si="3"/>
        <v>191890.07283272225</v>
      </c>
    </row>
    <row r="42" spans="1:15">
      <c r="A42" s="18">
        <v>32</v>
      </c>
      <c r="B42" s="9">
        <f>IF($E$7&gt;0,$E$7*'3 - Scenario'!Q36/I41,0)</f>
        <v>0</v>
      </c>
      <c r="C42" s="17">
        <f>IF($E$7&gt;0,D41/((1+'3 - Scenario'!C36)*'3 - Scenario'!Q36),C41)</f>
        <v>1</v>
      </c>
      <c r="D42" s="17">
        <f t="shared" si="0"/>
        <v>1</v>
      </c>
      <c r="E42" s="17">
        <f t="shared" si="1"/>
        <v>0</v>
      </c>
      <c r="F42" s="17">
        <f>'1 - Caso e ipotesi'!$B$25*E42*B42</f>
        <v>0</v>
      </c>
      <c r="G42" s="17">
        <f t="shared" si="2"/>
        <v>1</v>
      </c>
      <c r="H42" s="17">
        <f>IF($E$7&lt;1,($B$7*'3 - Scenario'!N37+$C$7*'3 - Scenario'!O37+$D$7*'3 - Scenario'!P37)/(1-$E$7),0)</f>
        <v>1.0086440196078432</v>
      </c>
      <c r="I42" s="17">
        <f>$E$7*'3 - Scenario'!Q37+((1-$E$7)-'1 - Caso e ipotesi'!$B$25*E42*MAX(0,B42-$E$7))*H42</f>
        <v>1.0086440196078432</v>
      </c>
      <c r="J42" s="17">
        <f t="shared" si="4"/>
        <v>1.3170836906955345</v>
      </c>
      <c r="K42" s="17">
        <f t="shared" si="5"/>
        <v>36.682435380852887</v>
      </c>
      <c r="L42" s="19">
        <f t="shared" si="6"/>
        <v>1</v>
      </c>
      <c r="M42" s="20">
        <f t="shared" si="7"/>
        <v>191890.07283272225</v>
      </c>
      <c r="N42" s="20">
        <f>'1 - Caso e ipotesi'!$B$7*G42</f>
        <v>40000</v>
      </c>
      <c r="O42" s="20">
        <f t="shared" si="3"/>
        <v>153203.01360052504</v>
      </c>
    </row>
    <row r="43" spans="1:15">
      <c r="A43" s="18">
        <v>33</v>
      </c>
      <c r="B43" s="9">
        <f>IF($E$7&gt;0,$E$7*'3 - Scenario'!Q37/I42,0)</f>
        <v>0</v>
      </c>
      <c r="C43" s="17">
        <f>IF($E$7&gt;0,D42/((1+'3 - Scenario'!C37)*'3 - Scenario'!Q37),C42)</f>
        <v>1</v>
      </c>
      <c r="D43" s="17">
        <f t="shared" ref="D43:D74" si="8">IF($E$7&gt;0,IF(B43&gt;$E$7,C43,1-(1-C43)*B43/$E$7),C43)</f>
        <v>1</v>
      </c>
      <c r="E43" s="17">
        <f t="shared" ref="E43:E60" si="9">MAX(0,1-C43)</f>
        <v>0</v>
      </c>
      <c r="F43" s="17">
        <f>'1 - Caso e ipotesi'!$B$25*E43*B43</f>
        <v>0</v>
      </c>
      <c r="G43" s="17">
        <f t="shared" ref="G43:G74" si="10">1/(1-F43)</f>
        <v>1</v>
      </c>
      <c r="H43" s="17">
        <f>IF($E$7&lt;1,($B$7*'3 - Scenario'!N38+$C$7*'3 - Scenario'!O38+$D$7*'3 - Scenario'!P38)/(1-$E$7),0)</f>
        <v>1.0086440196078432</v>
      </c>
      <c r="I43" s="17">
        <f>$E$7*'3 - Scenario'!Q38+((1-$E$7)-'1 - Caso e ipotesi'!$B$25*E43*MAX(0,B43-$E$7))*H43</f>
        <v>1.0086440196078432</v>
      </c>
      <c r="J43" s="17">
        <f t="shared" si="4"/>
        <v>1.3284685879430773</v>
      </c>
      <c r="K43" s="17">
        <f t="shared" si="5"/>
        <v>37.99951907154842</v>
      </c>
      <c r="L43" s="19">
        <f t="shared" si="6"/>
        <v>1</v>
      </c>
      <c r="M43" s="20">
        <f t="shared" si="7"/>
        <v>153203.01360052504</v>
      </c>
      <c r="N43" s="20">
        <f>'1 - Caso e ipotesi'!$B$7*G43</f>
        <v>40000</v>
      </c>
      <c r="O43" s="20">
        <f t="shared" ref="O43:O74" si="11">IF(L43=1,(M43-N43)*I43,0)</f>
        <v>114181.54266975493</v>
      </c>
    </row>
    <row r="44" spans="1:15">
      <c r="A44" s="18">
        <v>34</v>
      </c>
      <c r="B44" s="9">
        <f>IF($E$7&gt;0,$E$7*'3 - Scenario'!Q38/I43,0)</f>
        <v>0</v>
      </c>
      <c r="C44" s="17">
        <f>IF($E$7&gt;0,D43/((1+'3 - Scenario'!C38)*'3 - Scenario'!Q38),C43)</f>
        <v>1</v>
      </c>
      <c r="D44" s="17">
        <f t="shared" si="8"/>
        <v>1</v>
      </c>
      <c r="E44" s="17">
        <f t="shared" si="9"/>
        <v>0</v>
      </c>
      <c r="F44" s="17">
        <f>'1 - Caso e ipotesi'!$B$25*E44*B44</f>
        <v>0</v>
      </c>
      <c r="G44" s="17">
        <f t="shared" si="10"/>
        <v>1</v>
      </c>
      <c r="H44" s="17">
        <f>IF($E$7&lt;1,($B$7*'3 - Scenario'!N39+$C$7*'3 - Scenario'!O39+$D$7*'3 - Scenario'!P39)/(1-$E$7),0)</f>
        <v>1.0086440196078432</v>
      </c>
      <c r="I44" s="17">
        <f>$E$7*'3 - Scenario'!Q39+((1-$E$7)-'1 - Caso e ipotesi'!$B$25*E44*MAX(0,B44-$E$7))*H44</f>
        <v>1.0086440196078432</v>
      </c>
      <c r="J44" s="17">
        <f t="shared" ref="J44:J75" si="12">J43*I44</f>
        <v>1.3399518964656612</v>
      </c>
      <c r="K44" s="17">
        <f t="shared" ref="K44:K60" si="13">K43*I43+G44</f>
        <v>39.327987659491498</v>
      </c>
      <c r="L44" s="19">
        <f t="shared" ref="L44:L75" si="14">IF(AND(L43=1,M44-N44&gt;0),1,0)</f>
        <v>1</v>
      </c>
      <c r="M44" s="20">
        <f t="shared" ref="M44:M60" si="15">O43</f>
        <v>114181.54266975493</v>
      </c>
      <c r="N44" s="20">
        <f>'1 - Caso e ipotesi'!$B$7*G44</f>
        <v>40000</v>
      </c>
      <c r="O44" s="20">
        <f t="shared" si="11"/>
        <v>74822.76937913234</v>
      </c>
    </row>
    <row r="45" spans="1:15">
      <c r="A45" s="18">
        <v>35</v>
      </c>
      <c r="B45" s="9">
        <f>IF($E$7&gt;0,$E$7*'3 - Scenario'!Q39/I44,0)</f>
        <v>0</v>
      </c>
      <c r="C45" s="17">
        <f>IF($E$7&gt;0,D44/((1+'3 - Scenario'!C39)*'3 - Scenario'!Q39),C44)</f>
        <v>1</v>
      </c>
      <c r="D45" s="17">
        <f t="shared" si="8"/>
        <v>1</v>
      </c>
      <c r="E45" s="17">
        <f t="shared" si="9"/>
        <v>0</v>
      </c>
      <c r="F45" s="17">
        <f>'1 - Caso e ipotesi'!$B$25*E45*B45</f>
        <v>0</v>
      </c>
      <c r="G45" s="17">
        <f t="shared" si="10"/>
        <v>1</v>
      </c>
      <c r="H45" s="17">
        <f>IF($E$7&lt;1,($B$7*'3 - Scenario'!N40+$C$7*'3 - Scenario'!O40+$D$7*'3 - Scenario'!P40)/(1-$E$7),0)</f>
        <v>1.0086440196078432</v>
      </c>
      <c r="I45" s="17">
        <f>$E$7*'3 - Scenario'!Q40+((1-$E$7)-'1 - Caso e ipotesi'!$B$25*E45*MAX(0,B45-$E$7))*H45</f>
        <v>1.0086440196078432</v>
      </c>
      <c r="J45" s="17">
        <f t="shared" si="12"/>
        <v>1.3515344669322771</v>
      </c>
      <c r="K45" s="17">
        <f t="shared" si="13"/>
        <v>40.667939555957162</v>
      </c>
      <c r="L45" s="19">
        <f t="shared" si="14"/>
        <v>1</v>
      </c>
      <c r="M45" s="20">
        <f t="shared" si="15"/>
        <v>74822.76937913234</v>
      </c>
      <c r="N45" s="20">
        <f>'1 - Caso e ipotesi'!$B$7*G45</f>
        <v>40000</v>
      </c>
      <c r="O45" s="20">
        <f t="shared" si="11"/>
        <v>35123.778080444965</v>
      </c>
    </row>
    <row r="46" spans="1:15">
      <c r="A46" s="18">
        <v>36</v>
      </c>
      <c r="B46" s="9">
        <f>IF($E$7&gt;0,$E$7*'3 - Scenario'!Q40/I45,0)</f>
        <v>0</v>
      </c>
      <c r="C46" s="17">
        <f>IF($E$7&gt;0,D45/((1+'3 - Scenario'!C40)*'3 - Scenario'!Q40),C45)</f>
        <v>1</v>
      </c>
      <c r="D46" s="17">
        <f t="shared" si="8"/>
        <v>1</v>
      </c>
      <c r="E46" s="17">
        <f t="shared" si="9"/>
        <v>0</v>
      </c>
      <c r="F46" s="17">
        <f>'1 - Caso e ipotesi'!$B$25*E46*B46</f>
        <v>0</v>
      </c>
      <c r="G46" s="17">
        <f t="shared" si="10"/>
        <v>1</v>
      </c>
      <c r="H46" s="17">
        <f>IF($E$7&lt;1,($B$7*'3 - Scenario'!N41+$C$7*'3 - Scenario'!O41+$D$7*'3 - Scenario'!P41)/(1-$E$7),0)</f>
        <v>1.0086440196078432</v>
      </c>
      <c r="I46" s="17">
        <f>$E$7*'3 - Scenario'!Q41+((1-$E$7)-'1 - Caso e ipotesi'!$B$25*E46*MAX(0,B46-$E$7))*H46</f>
        <v>1.0086440196078432</v>
      </c>
      <c r="J46" s="17">
        <f t="shared" si="12"/>
        <v>1.3632171573651157</v>
      </c>
      <c r="K46" s="17">
        <f t="shared" si="13"/>
        <v>42.01947402288944</v>
      </c>
      <c r="L46" s="19">
        <f t="shared" si="14"/>
        <v>0</v>
      </c>
      <c r="M46" s="20">
        <f t="shared" si="15"/>
        <v>35123.778080444965</v>
      </c>
      <c r="N46" s="20">
        <f>'1 - Caso e ipotesi'!$B$7*G46</f>
        <v>40000</v>
      </c>
      <c r="O46" s="20">
        <f t="shared" si="11"/>
        <v>0</v>
      </c>
    </row>
    <row r="47" spans="1:15">
      <c r="A47" s="18">
        <v>37</v>
      </c>
      <c r="B47" s="9">
        <f>IF($E$7&gt;0,$E$7*'3 - Scenario'!Q41/I46,0)</f>
        <v>0</v>
      </c>
      <c r="C47" s="17">
        <f>IF($E$7&gt;0,D46/((1+'3 - Scenario'!C41)*'3 - Scenario'!Q41),C46)</f>
        <v>1</v>
      </c>
      <c r="D47" s="17">
        <f t="shared" si="8"/>
        <v>1</v>
      </c>
      <c r="E47" s="17">
        <f t="shared" si="9"/>
        <v>0</v>
      </c>
      <c r="F47" s="17">
        <f>'1 - Caso e ipotesi'!$B$25*E47*B47</f>
        <v>0</v>
      </c>
      <c r="G47" s="17">
        <f t="shared" si="10"/>
        <v>1</v>
      </c>
      <c r="H47" s="17">
        <f>IF($E$7&lt;1,($B$7*'3 - Scenario'!N42+$C$7*'3 - Scenario'!O42+$D$7*'3 - Scenario'!P42)/(1-$E$7),0)</f>
        <v>1.0086440196078432</v>
      </c>
      <c r="I47" s="17">
        <f>$E$7*'3 - Scenario'!Q42+((1-$E$7)-'1 - Caso e ipotesi'!$B$25*E47*MAX(0,B47-$E$7))*H47</f>
        <v>1.0086440196078432</v>
      </c>
      <c r="J47" s="17">
        <f t="shared" si="12"/>
        <v>1.375000833203128</v>
      </c>
      <c r="K47" s="17">
        <f t="shared" si="13"/>
        <v>43.382691180254554</v>
      </c>
      <c r="L47" s="19">
        <f t="shared" si="14"/>
        <v>0</v>
      </c>
      <c r="M47" s="20">
        <f t="shared" si="15"/>
        <v>0</v>
      </c>
      <c r="N47" s="20">
        <f>'1 - Caso e ipotesi'!$B$7*G47</f>
        <v>40000</v>
      </c>
      <c r="O47" s="20">
        <f t="shared" si="11"/>
        <v>0</v>
      </c>
    </row>
    <row r="48" spans="1:15">
      <c r="A48" s="18">
        <v>38</v>
      </c>
      <c r="B48" s="9">
        <f>IF($E$7&gt;0,$E$7*'3 - Scenario'!Q42/I47,0)</f>
        <v>0</v>
      </c>
      <c r="C48" s="17">
        <f>IF($E$7&gt;0,D47/((1+'3 - Scenario'!C42)*'3 - Scenario'!Q42),C47)</f>
        <v>1</v>
      </c>
      <c r="D48" s="17">
        <f t="shared" si="8"/>
        <v>1</v>
      </c>
      <c r="E48" s="17">
        <f t="shared" si="9"/>
        <v>0</v>
      </c>
      <c r="F48" s="17">
        <f>'1 - Caso e ipotesi'!$B$25*E48*B48</f>
        <v>0</v>
      </c>
      <c r="G48" s="17">
        <f t="shared" si="10"/>
        <v>1</v>
      </c>
      <c r="H48" s="17">
        <f>IF($E$7&lt;1,($B$7*'3 - Scenario'!N43+$C$7*'3 - Scenario'!O43+$D$7*'3 - Scenario'!P43)/(1-$E$7),0)</f>
        <v>1.0086440196078432</v>
      </c>
      <c r="I48" s="17">
        <f>$E$7*'3 - Scenario'!Q43+((1-$E$7)-'1 - Caso e ipotesi'!$B$25*E48*MAX(0,B48-$E$7))*H48</f>
        <v>1.0086440196078432</v>
      </c>
      <c r="J48" s="17">
        <f t="shared" si="12"/>
        <v>1.3868863673661367</v>
      </c>
      <c r="K48" s="17">
        <f t="shared" si="13"/>
        <v>44.757692013457678</v>
      </c>
      <c r="L48" s="19">
        <f t="shared" si="14"/>
        <v>0</v>
      </c>
      <c r="M48" s="20">
        <f t="shared" si="15"/>
        <v>0</v>
      </c>
      <c r="N48" s="20">
        <f>'1 - Caso e ipotesi'!$B$7*G48</f>
        <v>40000</v>
      </c>
      <c r="O48" s="20">
        <f t="shared" si="11"/>
        <v>0</v>
      </c>
    </row>
    <row r="49" spans="1:15">
      <c r="A49" s="18">
        <v>39</v>
      </c>
      <c r="B49" s="9">
        <f>IF($E$7&gt;0,$E$7*'3 - Scenario'!Q43/I48,0)</f>
        <v>0</v>
      </c>
      <c r="C49" s="17">
        <f>IF($E$7&gt;0,D48/((1+'3 - Scenario'!C43)*'3 - Scenario'!Q43),C48)</f>
        <v>1</v>
      </c>
      <c r="D49" s="17">
        <f t="shared" si="8"/>
        <v>1</v>
      </c>
      <c r="E49" s="17">
        <f t="shared" si="9"/>
        <v>0</v>
      </c>
      <c r="F49" s="17">
        <f>'1 - Caso e ipotesi'!$B$25*E49*B49</f>
        <v>0</v>
      </c>
      <c r="G49" s="17">
        <f t="shared" si="10"/>
        <v>1</v>
      </c>
      <c r="H49" s="17">
        <f>IF($E$7&lt;1,($B$7*'3 - Scenario'!N44+$C$7*'3 - Scenario'!O44+$D$7*'3 - Scenario'!P44)/(1-$E$7),0)</f>
        <v>1.0086440196078432</v>
      </c>
      <c r="I49" s="17">
        <f>$E$7*'3 - Scenario'!Q44+((1-$E$7)-'1 - Caso e ipotesi'!$B$25*E49*MAX(0,B49-$E$7))*H49</f>
        <v>1.0086440196078432</v>
      </c>
      <c r="J49" s="17">
        <f t="shared" si="12"/>
        <v>1.3988746403195</v>
      </c>
      <c r="K49" s="17">
        <f t="shared" si="13"/>
        <v>46.144578380823816</v>
      </c>
      <c r="L49" s="19">
        <f t="shared" si="14"/>
        <v>0</v>
      </c>
      <c r="M49" s="20">
        <f t="shared" si="15"/>
        <v>0</v>
      </c>
      <c r="N49" s="20">
        <f>'1 - Caso e ipotesi'!$B$7*G49</f>
        <v>40000</v>
      </c>
      <c r="O49" s="20">
        <f t="shared" si="11"/>
        <v>0</v>
      </c>
    </row>
    <row r="50" spans="1:15">
      <c r="A50" s="18">
        <v>40</v>
      </c>
      <c r="B50" s="9">
        <f>IF($E$7&gt;0,$E$7*'3 - Scenario'!Q44/I49,0)</f>
        <v>0</v>
      </c>
      <c r="C50" s="17">
        <f>IF($E$7&gt;0,D49/((1+'3 - Scenario'!C44)*'3 - Scenario'!Q44),C49)</f>
        <v>1</v>
      </c>
      <c r="D50" s="17">
        <f t="shared" si="8"/>
        <v>1</v>
      </c>
      <c r="E50" s="17">
        <f t="shared" si="9"/>
        <v>0</v>
      </c>
      <c r="F50" s="17">
        <f>'1 - Caso e ipotesi'!$B$25*E50*B50</f>
        <v>0</v>
      </c>
      <c r="G50" s="17">
        <f t="shared" si="10"/>
        <v>1</v>
      </c>
      <c r="H50" s="17">
        <f>IF($E$7&lt;1,($B$7*'3 - Scenario'!N45+$C$7*'3 - Scenario'!O45+$D$7*'3 - Scenario'!P45)/(1-$E$7),0)</f>
        <v>1.0086440196078432</v>
      </c>
      <c r="I50" s="17">
        <f>$E$7*'3 - Scenario'!Q45+((1-$E$7)-'1 - Caso e ipotesi'!$B$25*E50*MAX(0,B50-$E$7))*H50</f>
        <v>1.0086440196078432</v>
      </c>
      <c r="J50" s="17">
        <f t="shared" si="12"/>
        <v>1.4109665401393365</v>
      </c>
      <c r="K50" s="17">
        <f t="shared" si="13"/>
        <v>47.543453021143314</v>
      </c>
      <c r="L50" s="19">
        <f t="shared" si="14"/>
        <v>0</v>
      </c>
      <c r="M50" s="20">
        <f t="shared" si="15"/>
        <v>0</v>
      </c>
      <c r="N50" s="20">
        <f>'1 - Caso e ipotesi'!$B$7*G50</f>
        <v>40000</v>
      </c>
      <c r="O50" s="20">
        <f t="shared" si="11"/>
        <v>0</v>
      </c>
    </row>
    <row r="51" spans="1:15">
      <c r="A51" s="18">
        <v>41</v>
      </c>
      <c r="B51" s="9">
        <f>IF($E$7&gt;0,$E$7*'3 - Scenario'!Q45/I50,0)</f>
        <v>0</v>
      </c>
      <c r="C51" s="17">
        <f>IF($E$7&gt;0,D50/((1+'3 - Scenario'!C45)*'3 - Scenario'!Q45),C50)</f>
        <v>1</v>
      </c>
      <c r="D51" s="17">
        <f t="shared" si="8"/>
        <v>1</v>
      </c>
      <c r="E51" s="17">
        <f t="shared" si="9"/>
        <v>0</v>
      </c>
      <c r="F51" s="17">
        <f>'1 - Caso e ipotesi'!$B$25*E51*B51</f>
        <v>0</v>
      </c>
      <c r="G51" s="17">
        <f t="shared" si="10"/>
        <v>1</v>
      </c>
      <c r="H51" s="17">
        <f>IF($E$7&lt;1,($B$7*'3 - Scenario'!N46+$C$7*'3 - Scenario'!O46+$D$7*'3 - Scenario'!P46)/(1-$E$7),0)</f>
        <v>1.0086440196078432</v>
      </c>
      <c r="I51" s="17">
        <f>$E$7*'3 - Scenario'!Q46+((1-$E$7)-'1 - Caso e ipotesi'!$B$25*E51*MAX(0,B51-$E$7))*H51</f>
        <v>1.0086440196078432</v>
      </c>
      <c r="J51" s="17">
        <f t="shared" si="12"/>
        <v>1.4231629625783118</v>
      </c>
      <c r="K51" s="17">
        <f t="shared" si="13"/>
        <v>48.954419561282648</v>
      </c>
      <c r="L51" s="19">
        <f t="shared" si="14"/>
        <v>0</v>
      </c>
      <c r="M51" s="20">
        <f t="shared" si="15"/>
        <v>0</v>
      </c>
      <c r="N51" s="20">
        <f>'1 - Caso e ipotesi'!$B$7*G51</f>
        <v>40000</v>
      </c>
      <c r="O51" s="20">
        <f t="shared" si="11"/>
        <v>0</v>
      </c>
    </row>
    <row r="52" spans="1:15">
      <c r="A52" s="18">
        <v>42</v>
      </c>
      <c r="B52" s="9">
        <f>IF($E$7&gt;0,$E$7*'3 - Scenario'!Q46/I51,0)</f>
        <v>0</v>
      </c>
      <c r="C52" s="17">
        <f>IF($E$7&gt;0,D51/((1+'3 - Scenario'!C46)*'3 - Scenario'!Q46),C51)</f>
        <v>1</v>
      </c>
      <c r="D52" s="17">
        <f t="shared" si="8"/>
        <v>1</v>
      </c>
      <c r="E52" s="17">
        <f t="shared" si="9"/>
        <v>0</v>
      </c>
      <c r="F52" s="17">
        <f>'1 - Caso e ipotesi'!$B$25*E52*B52</f>
        <v>0</v>
      </c>
      <c r="G52" s="17">
        <f t="shared" si="10"/>
        <v>1</v>
      </c>
      <c r="H52" s="17">
        <f>IF($E$7&lt;1,($B$7*'3 - Scenario'!N47+$C$7*'3 - Scenario'!O47+$D$7*'3 - Scenario'!P47)/(1-$E$7),0)</f>
        <v>1.0086440196078432</v>
      </c>
      <c r="I52" s="17">
        <f>$E$7*'3 - Scenario'!Q47+((1-$E$7)-'1 - Caso e ipotesi'!$B$25*E52*MAX(0,B52-$E$7))*H52</f>
        <v>1.0086440196078432</v>
      </c>
      <c r="J52" s="17">
        <f t="shared" si="12"/>
        <v>1.435464811131995</v>
      </c>
      <c r="K52" s="17">
        <f t="shared" si="13"/>
        <v>50.377582523860958</v>
      </c>
      <c r="L52" s="19">
        <f t="shared" si="14"/>
        <v>0</v>
      </c>
      <c r="M52" s="20">
        <f t="shared" si="15"/>
        <v>0</v>
      </c>
      <c r="N52" s="20">
        <f>'1 - Caso e ipotesi'!$B$7*G52</f>
        <v>40000</v>
      </c>
      <c r="O52" s="20">
        <f t="shared" si="11"/>
        <v>0</v>
      </c>
    </row>
    <row r="53" spans="1:15">
      <c r="A53" s="18">
        <v>43</v>
      </c>
      <c r="B53" s="9">
        <f>IF($E$7&gt;0,$E$7*'3 - Scenario'!Q47/I52,0)</f>
        <v>0</v>
      </c>
      <c r="C53" s="17">
        <f>IF($E$7&gt;0,D52/((1+'3 - Scenario'!C47)*'3 - Scenario'!Q47),C52)</f>
        <v>1</v>
      </c>
      <c r="D53" s="17">
        <f t="shared" si="8"/>
        <v>1</v>
      </c>
      <c r="E53" s="17">
        <f t="shared" si="9"/>
        <v>0</v>
      </c>
      <c r="F53" s="17">
        <f>'1 - Caso e ipotesi'!$B$25*E53*B53</f>
        <v>0</v>
      </c>
      <c r="G53" s="17">
        <f t="shared" si="10"/>
        <v>1</v>
      </c>
      <c r="H53" s="17">
        <f>IF($E$7&lt;1,($B$7*'3 - Scenario'!N48+$C$7*'3 - Scenario'!O48+$D$7*'3 - Scenario'!P48)/(1-$E$7),0)</f>
        <v>1.0086440196078432</v>
      </c>
      <c r="I53" s="17">
        <f>$E$7*'3 - Scenario'!Q48+((1-$E$7)-'1 - Caso e ipotesi'!$B$25*E53*MAX(0,B53-$E$7))*H53</f>
        <v>1.0086440196078432</v>
      </c>
      <c r="J53" s="17">
        <f t="shared" si="12"/>
        <v>1.4478729971057889</v>
      </c>
      <c r="K53" s="17">
        <f t="shared" si="13"/>
        <v>51.813047334992952</v>
      </c>
      <c r="L53" s="19">
        <f t="shared" si="14"/>
        <v>0</v>
      </c>
      <c r="M53" s="20">
        <f t="shared" si="15"/>
        <v>0</v>
      </c>
      <c r="N53" s="20">
        <f>'1 - Caso e ipotesi'!$B$7*G53</f>
        <v>40000</v>
      </c>
      <c r="O53" s="20">
        <f t="shared" si="11"/>
        <v>0</v>
      </c>
    </row>
    <row r="54" spans="1:15">
      <c r="A54" s="18">
        <v>44</v>
      </c>
      <c r="B54" s="9">
        <f>IF($E$7&gt;0,$E$7*'3 - Scenario'!Q48/I53,0)</f>
        <v>0</v>
      </c>
      <c r="C54" s="17">
        <f>IF($E$7&gt;0,D53/((1+'3 - Scenario'!C48)*'3 - Scenario'!Q48),C53)</f>
        <v>1</v>
      </c>
      <c r="D54" s="17">
        <f t="shared" si="8"/>
        <v>1</v>
      </c>
      <c r="E54" s="17">
        <f t="shared" si="9"/>
        <v>0</v>
      </c>
      <c r="F54" s="17">
        <f>'1 - Caso e ipotesi'!$B$25*E54*B54</f>
        <v>0</v>
      </c>
      <c r="G54" s="17">
        <f t="shared" si="10"/>
        <v>1</v>
      </c>
      <c r="H54" s="17">
        <f>IF($E$7&lt;1,($B$7*'3 - Scenario'!N49+$C$7*'3 - Scenario'!O49+$D$7*'3 - Scenario'!P49)/(1-$E$7),0)</f>
        <v>1.0086440196078432</v>
      </c>
      <c r="I54" s="17">
        <f>$E$7*'3 - Scenario'!Q49+((1-$E$7)-'1 - Caso e ipotesi'!$B$25*E54*MAX(0,B54-$E$7))*H54</f>
        <v>1.0086440196078432</v>
      </c>
      <c r="J54" s="17">
        <f t="shared" si="12"/>
        <v>1.460388439682438</v>
      </c>
      <c r="K54" s="17">
        <f t="shared" si="13"/>
        <v>53.260920332098742</v>
      </c>
      <c r="L54" s="19">
        <f t="shared" si="14"/>
        <v>0</v>
      </c>
      <c r="M54" s="20">
        <f t="shared" si="15"/>
        <v>0</v>
      </c>
      <c r="N54" s="20">
        <f>'1 - Caso e ipotesi'!$B$7*G54</f>
        <v>40000</v>
      </c>
      <c r="O54" s="20">
        <f t="shared" si="11"/>
        <v>0</v>
      </c>
    </row>
    <row r="55" spans="1:15">
      <c r="A55" s="18">
        <v>45</v>
      </c>
      <c r="B55" s="9">
        <f>IF($E$7&gt;0,$E$7*'3 - Scenario'!Q49/I54,0)</f>
        <v>0</v>
      </c>
      <c r="C55" s="17">
        <f>IF($E$7&gt;0,D54/((1+'3 - Scenario'!C49)*'3 - Scenario'!Q49),C54)</f>
        <v>1</v>
      </c>
      <c r="D55" s="17">
        <f t="shared" si="8"/>
        <v>1</v>
      </c>
      <c r="E55" s="17">
        <f t="shared" si="9"/>
        <v>0</v>
      </c>
      <c r="F55" s="17">
        <f>'1 - Caso e ipotesi'!$B$25*E55*B55</f>
        <v>0</v>
      </c>
      <c r="G55" s="17">
        <f t="shared" si="10"/>
        <v>1</v>
      </c>
      <c r="H55" s="17">
        <f>IF($E$7&lt;1,($B$7*'3 - Scenario'!N50+$C$7*'3 - Scenario'!O50+$D$7*'3 - Scenario'!P50)/(1-$E$7),0)</f>
        <v>1.0086440196078432</v>
      </c>
      <c r="I55" s="17">
        <f>$E$7*'3 - Scenario'!Q50+((1-$E$7)-'1 - Caso e ipotesi'!$B$25*E55*MAX(0,B55-$E$7))*H55</f>
        <v>1.0086440196078432</v>
      </c>
      <c r="J55" s="17">
        <f t="shared" si="12"/>
        <v>1.4730120659901207</v>
      </c>
      <c r="K55" s="17">
        <f t="shared" si="13"/>
        <v>54.721308771781182</v>
      </c>
      <c r="L55" s="19">
        <f t="shared" si="14"/>
        <v>0</v>
      </c>
      <c r="M55" s="20">
        <f t="shared" si="15"/>
        <v>0</v>
      </c>
      <c r="N55" s="20">
        <f>'1 - Caso e ipotesi'!$B$7*G55</f>
        <v>40000</v>
      </c>
      <c r="O55" s="20">
        <f t="shared" si="11"/>
        <v>0</v>
      </c>
    </row>
    <row r="56" spans="1:15">
      <c r="A56" s="18">
        <v>46</v>
      </c>
      <c r="B56" s="9">
        <f>IF($E$7&gt;0,$E$7*'3 - Scenario'!Q50/I55,0)</f>
        <v>0</v>
      </c>
      <c r="C56" s="17">
        <f>IF($E$7&gt;0,D55/((1+'3 - Scenario'!C50)*'3 - Scenario'!Q50),C55)</f>
        <v>1</v>
      </c>
      <c r="D56" s="17">
        <f t="shared" si="8"/>
        <v>1</v>
      </c>
      <c r="E56" s="17">
        <f t="shared" si="9"/>
        <v>0</v>
      </c>
      <c r="F56" s="17">
        <f>'1 - Caso e ipotesi'!$B$25*E56*B56</f>
        <v>0</v>
      </c>
      <c r="G56" s="17">
        <f t="shared" si="10"/>
        <v>1</v>
      </c>
      <c r="H56" s="17">
        <f>IF($E$7&lt;1,($B$7*'3 - Scenario'!N51+$C$7*'3 - Scenario'!O51+$D$7*'3 - Scenario'!P51)/(1-$E$7),0)</f>
        <v>1.0086440196078432</v>
      </c>
      <c r="I56" s="17">
        <f>$E$7*'3 - Scenario'!Q51+((1-$E$7)-'1 - Caso e ipotesi'!$B$25*E56*MAX(0,B56-$E$7))*H56</f>
        <v>1.0086440196078432</v>
      </c>
      <c r="J56" s="17">
        <f t="shared" si="12"/>
        <v>1.4857448111711289</v>
      </c>
      <c r="K56" s="17">
        <f t="shared" si="13"/>
        <v>56.194320837771301</v>
      </c>
      <c r="L56" s="19">
        <f t="shared" si="14"/>
        <v>0</v>
      </c>
      <c r="M56" s="20">
        <f t="shared" si="15"/>
        <v>0</v>
      </c>
      <c r="N56" s="20">
        <f>'1 - Caso e ipotesi'!$B$7*G56</f>
        <v>40000</v>
      </c>
      <c r="O56" s="20">
        <f t="shared" si="11"/>
        <v>0</v>
      </c>
    </row>
    <row r="57" spans="1:15">
      <c r="A57" s="18">
        <v>47</v>
      </c>
      <c r="B57" s="9">
        <f>IF($E$7&gt;0,$E$7*'3 - Scenario'!Q51/I56,0)</f>
        <v>0</v>
      </c>
      <c r="C57" s="17">
        <f>IF($E$7&gt;0,D56/((1+'3 - Scenario'!C51)*'3 - Scenario'!Q51),C56)</f>
        <v>1</v>
      </c>
      <c r="D57" s="17">
        <f t="shared" si="8"/>
        <v>1</v>
      </c>
      <c r="E57" s="17">
        <f t="shared" si="9"/>
        <v>0</v>
      </c>
      <c r="F57" s="17">
        <f>'1 - Caso e ipotesi'!$B$25*E57*B57</f>
        <v>0</v>
      </c>
      <c r="G57" s="17">
        <f t="shared" si="10"/>
        <v>1</v>
      </c>
      <c r="H57" s="17">
        <f>IF($E$7&lt;1,($B$7*'3 - Scenario'!N52+$C$7*'3 - Scenario'!O52+$D$7*'3 - Scenario'!P52)/(1-$E$7),0)</f>
        <v>1.0086440196078432</v>
      </c>
      <c r="I57" s="17">
        <f>$E$7*'3 - Scenario'!Q52+((1-$E$7)-'1 - Caso e ipotesi'!$B$25*E57*MAX(0,B57-$E$7))*H57</f>
        <v>1.0086440196078432</v>
      </c>
      <c r="J57" s="17">
        <f t="shared" si="12"/>
        <v>1.4985876184511435</v>
      </c>
      <c r="K57" s="17">
        <f t="shared" si="13"/>
        <v>57.680065648942431</v>
      </c>
      <c r="L57" s="19">
        <f t="shared" si="14"/>
        <v>0</v>
      </c>
      <c r="M57" s="20">
        <f t="shared" si="15"/>
        <v>0</v>
      </c>
      <c r="N57" s="20">
        <f>'1 - Caso e ipotesi'!$B$7*G57</f>
        <v>40000</v>
      </c>
      <c r="O57" s="20">
        <f t="shared" si="11"/>
        <v>0</v>
      </c>
    </row>
    <row r="58" spans="1:15">
      <c r="A58" s="18">
        <v>48</v>
      </c>
      <c r="B58" s="9">
        <f>IF($E$7&gt;0,$E$7*'3 - Scenario'!Q52/I57,0)</f>
        <v>0</v>
      </c>
      <c r="C58" s="17">
        <f>IF($E$7&gt;0,D57/((1+'3 - Scenario'!C52)*'3 - Scenario'!Q52),C57)</f>
        <v>1</v>
      </c>
      <c r="D58" s="17">
        <f t="shared" si="8"/>
        <v>1</v>
      </c>
      <c r="E58" s="17">
        <f t="shared" si="9"/>
        <v>0</v>
      </c>
      <c r="F58" s="17">
        <f>'1 - Caso e ipotesi'!$B$25*E58*B58</f>
        <v>0</v>
      </c>
      <c r="G58" s="17">
        <f t="shared" si="10"/>
        <v>1</v>
      </c>
      <c r="H58" s="17">
        <f>IF($E$7&lt;1,($B$7*'3 - Scenario'!N53+$C$7*'3 - Scenario'!O53+$D$7*'3 - Scenario'!P53)/(1-$E$7),0)</f>
        <v>1.0086440196078432</v>
      </c>
      <c r="I58" s="17">
        <f>$E$7*'3 - Scenario'!Q53+((1-$E$7)-'1 - Caso e ipotesi'!$B$25*E58*MAX(0,B58-$E$7))*H58</f>
        <v>1.0086440196078432</v>
      </c>
      <c r="J58" s="17">
        <f t="shared" si="12"/>
        <v>1.5115414392091062</v>
      </c>
      <c r="K58" s="17">
        <f t="shared" si="13"/>
        <v>59.178653267393571</v>
      </c>
      <c r="L58" s="19">
        <f t="shared" si="14"/>
        <v>0</v>
      </c>
      <c r="M58" s="20">
        <f t="shared" si="15"/>
        <v>0</v>
      </c>
      <c r="N58" s="20">
        <f>'1 - Caso e ipotesi'!$B$7*G58</f>
        <v>40000</v>
      </c>
      <c r="O58" s="20">
        <f t="shared" si="11"/>
        <v>0</v>
      </c>
    </row>
    <row r="59" spans="1:15">
      <c r="A59" s="18">
        <v>49</v>
      </c>
      <c r="B59" s="9">
        <f>IF($E$7&gt;0,$E$7*'3 - Scenario'!Q53/I58,0)</f>
        <v>0</v>
      </c>
      <c r="C59" s="17">
        <f>IF($E$7&gt;0,D58/((1+'3 - Scenario'!C53)*'3 - Scenario'!Q53),C58)</f>
        <v>1</v>
      </c>
      <c r="D59" s="17">
        <f t="shared" si="8"/>
        <v>1</v>
      </c>
      <c r="E59" s="17">
        <f t="shared" si="9"/>
        <v>0</v>
      </c>
      <c r="F59" s="17">
        <f>'1 - Caso e ipotesi'!$B$25*E59*B59</f>
        <v>0</v>
      </c>
      <c r="G59" s="17">
        <f t="shared" si="10"/>
        <v>1</v>
      </c>
      <c r="H59" s="17">
        <f>IF($E$7&lt;1,($B$7*'3 - Scenario'!N54+$C$7*'3 - Scenario'!O54+$D$7*'3 - Scenario'!P54)/(1-$E$7),0)</f>
        <v>1.0086440196078432</v>
      </c>
      <c r="I59" s="17">
        <f>$E$7*'3 - Scenario'!Q54+((1-$E$7)-'1 - Caso e ipotesi'!$B$25*E59*MAX(0,B59-$E$7))*H59</f>
        <v>1.0086440196078432</v>
      </c>
      <c r="J59" s="17">
        <f t="shared" si="12"/>
        <v>1.5246072330476974</v>
      </c>
      <c r="K59" s="17">
        <f t="shared" si="13"/>
        <v>60.690194706602675</v>
      </c>
      <c r="L59" s="19">
        <f t="shared" si="14"/>
        <v>0</v>
      </c>
      <c r="M59" s="20">
        <f t="shared" si="15"/>
        <v>0</v>
      </c>
      <c r="N59" s="20">
        <f>'1 - Caso e ipotesi'!$B$7*G59</f>
        <v>40000</v>
      </c>
      <c r="O59" s="20">
        <f t="shared" si="11"/>
        <v>0</v>
      </c>
    </row>
    <row r="60" spans="1:15">
      <c r="A60" s="18">
        <v>50</v>
      </c>
      <c r="B60" s="9">
        <f>IF($E$7&gt;0,$E$7*'3 - Scenario'!Q54/I59,0)</f>
        <v>0</v>
      </c>
      <c r="C60" s="17">
        <f>IF($E$7&gt;0,D59/((1+'3 - Scenario'!C54)*'3 - Scenario'!Q54),C59)</f>
        <v>1</v>
      </c>
      <c r="D60" s="17">
        <f t="shared" si="8"/>
        <v>1</v>
      </c>
      <c r="E60" s="17">
        <f t="shared" si="9"/>
        <v>0</v>
      </c>
      <c r="F60" s="17">
        <f>'1 - Caso e ipotesi'!$B$25*E60*B60</f>
        <v>0</v>
      </c>
      <c r="G60" s="17">
        <f t="shared" si="10"/>
        <v>1</v>
      </c>
      <c r="H60" s="17">
        <f>IF($E$7&lt;1,($B$7*'3 - Scenario'!N55+$C$7*'3 - Scenario'!O55+$D$7*'3 - Scenario'!P55)/(1-$E$7),0)</f>
        <v>1.0086440196078432</v>
      </c>
      <c r="I60" s="17">
        <f>$E$7*'3 - Scenario'!Q55+((1-$E$7)-'1 - Caso e ipotesi'!$B$25*E60*MAX(0,B60-$E$7))*H60</f>
        <v>1.0086440196078432</v>
      </c>
      <c r="J60" s="17">
        <f t="shared" si="12"/>
        <v>1.5377859678644212</v>
      </c>
      <c r="K60" s="17">
        <f t="shared" si="13"/>
        <v>62.214801939650371</v>
      </c>
      <c r="L60" s="19">
        <f t="shared" si="14"/>
        <v>0</v>
      </c>
      <c r="M60" s="20">
        <f t="shared" si="15"/>
        <v>0</v>
      </c>
      <c r="N60" s="20">
        <f>'1 - Caso e ipotesi'!$B$7*G60</f>
        <v>40000</v>
      </c>
      <c r="O60" s="20">
        <f t="shared" si="11"/>
        <v>0</v>
      </c>
    </row>
    <row r="63" spans="1:15">
      <c r="A63" s="25" t="s">
        <v>201</v>
      </c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</row>
    <row r="64" spans="1:15">
      <c r="A64" s="10" t="s">
        <v>182</v>
      </c>
      <c r="B64" s="10" t="s">
        <v>50</v>
      </c>
      <c r="C64" s="10" t="s">
        <v>51</v>
      </c>
      <c r="D64" s="10" t="s">
        <v>52</v>
      </c>
      <c r="E64" s="10" t="s">
        <v>53</v>
      </c>
    </row>
    <row r="65" spans="1:15">
      <c r="A65" s="5" t="s">
        <v>183</v>
      </c>
      <c r="B65" s="9">
        <f>'1 - Caso e ipotesi'!C12/SUM('1 - Caso e ipotesi'!C$12:C$15)</f>
        <v>0.45</v>
      </c>
      <c r="C65" s="9">
        <f>'1 - Caso e ipotesi'!C13/SUM('1 - Caso e ipotesi'!C$12:C$15)</f>
        <v>0.4</v>
      </c>
      <c r="D65" s="9">
        <f>'1 - Caso e ipotesi'!C14/SUM('1 - Caso e ipotesi'!C$12:C$15)</f>
        <v>0.15</v>
      </c>
      <c r="E65" s="9">
        <f>'1 - Caso e ipotesi'!C15/SUM('1 - Caso e ipotesi'!C$12:C$15)</f>
        <v>0</v>
      </c>
    </row>
    <row r="66" spans="1:15">
      <c r="A66" s="5" t="s">
        <v>184</v>
      </c>
      <c r="B66" s="20">
        <f>'1 - Caso e ipotesi'!$B$6*INDEX(J69:J118,'1 - Caso e ipotesi'!$B$8-1)/INDEX(K69:K118,'1 - Caso e ipotesi'!$B$8)</f>
        <v>36112.716426917868</v>
      </c>
    </row>
    <row r="67" spans="1:15">
      <c r="A67" s="5" t="s">
        <v>185</v>
      </c>
      <c r="B67" s="19">
        <f>SUM(L69:L118)</f>
        <v>35</v>
      </c>
    </row>
    <row r="68" spans="1:15" ht="48" customHeight="1">
      <c r="A68" s="10" t="s">
        <v>186</v>
      </c>
      <c r="B68" s="10" t="s">
        <v>187</v>
      </c>
      <c r="C68" s="10" t="s">
        <v>188</v>
      </c>
      <c r="D68" s="10" t="s">
        <v>189</v>
      </c>
      <c r="E68" s="10" t="s">
        <v>190</v>
      </c>
      <c r="F68" s="10" t="s">
        <v>191</v>
      </c>
      <c r="G68" s="10" t="s">
        <v>192</v>
      </c>
      <c r="H68" s="10" t="s">
        <v>193</v>
      </c>
      <c r="I68" s="10" t="s">
        <v>194</v>
      </c>
      <c r="J68" s="10" t="s">
        <v>195</v>
      </c>
      <c r="K68" s="10" t="s">
        <v>196</v>
      </c>
      <c r="L68" s="10" t="s">
        <v>197</v>
      </c>
      <c r="M68" s="10" t="s">
        <v>198</v>
      </c>
      <c r="N68" s="10" t="s">
        <v>199</v>
      </c>
      <c r="O68" s="10" t="s">
        <v>200</v>
      </c>
    </row>
    <row r="69" spans="1:15">
      <c r="A69" s="18">
        <v>1</v>
      </c>
      <c r="B69" s="9">
        <f>$E$65</f>
        <v>0</v>
      </c>
      <c r="C69" s="17">
        <f>1-'1 - Caso e ipotesi'!$B$27</f>
        <v>1</v>
      </c>
      <c r="D69" s="17">
        <f t="shared" ref="D69:D100" si="16">IF($E$65&gt;0,IF(B69&gt;$E$65,C69,1-(1-C69)*B69/$E$65),C69)</f>
        <v>1</v>
      </c>
      <c r="E69" s="17">
        <f t="shared" ref="E69:E100" si="17">MAX(0,1-C69)</f>
        <v>0</v>
      </c>
      <c r="F69" s="17">
        <f>'1 - Caso e ipotesi'!$B$25*E69*B69</f>
        <v>0</v>
      </c>
      <c r="G69" s="17">
        <f t="shared" ref="G69:G100" si="18">1/(1-F69)</f>
        <v>1</v>
      </c>
      <c r="H69" s="17">
        <f>IF($E$65&lt;1,($B$65*'3 - Scenario'!N6+$C$65*'3 - Scenario'!O6+$D$65*'3 - Scenario'!P6)/(1-$E$65),0)</f>
        <v>1.0080823020784315</v>
      </c>
      <c r="I69" s="17">
        <f>$E$65*'3 - Scenario'!Q6+((1-$E$65)-'1 - Caso e ipotesi'!$B$25*E69*MAX(0,B69-$E$65))*H69</f>
        <v>1.0080823020784315</v>
      </c>
      <c r="J69" s="17">
        <f>I69</f>
        <v>1.0080823020784315</v>
      </c>
      <c r="K69" s="17">
        <f>G69</f>
        <v>1</v>
      </c>
      <c r="L69" s="19">
        <f>IF(M69-N69&gt;0,1,0)</f>
        <v>1</v>
      </c>
      <c r="M69" s="20">
        <f>'1 - Caso e ipotesi'!$B$6</f>
        <v>1240000</v>
      </c>
      <c r="N69" s="20">
        <f>'1 - Caso e ipotesi'!$B$7*G69</f>
        <v>40000</v>
      </c>
      <c r="O69" s="20">
        <f t="shared" ref="O69:O100" si="19">IF(L69=1,(M69-N69)*I69,0)</f>
        <v>1209698.7624941177</v>
      </c>
    </row>
    <row r="70" spans="1:15">
      <c r="A70" s="18">
        <v>2</v>
      </c>
      <c r="B70" s="9">
        <f>IF($E$65&gt;0,$E$65*'3 - Scenario'!Q6/I69,0)</f>
        <v>0</v>
      </c>
      <c r="C70" s="17">
        <f>IF($E$65&gt;0,D69/((1+'3 - Scenario'!C6)*'3 - Scenario'!Q6),C69)</f>
        <v>1</v>
      </c>
      <c r="D70" s="17">
        <f t="shared" si="16"/>
        <v>1</v>
      </c>
      <c r="E70" s="17">
        <f t="shared" si="17"/>
        <v>0</v>
      </c>
      <c r="F70" s="17">
        <f>'1 - Caso e ipotesi'!$B$25*E70*B70</f>
        <v>0</v>
      </c>
      <c r="G70" s="17">
        <f t="shared" si="18"/>
        <v>1</v>
      </c>
      <c r="H70" s="17">
        <f>IF($E$65&lt;1,($B$65*'3 - Scenario'!N7+$C$65*'3 - Scenario'!O7+$D$65*'3 - Scenario'!P7)/(1-$E$65),0)</f>
        <v>1.0080823020784315</v>
      </c>
      <c r="I70" s="17">
        <f>$E$65*'3 - Scenario'!Q7+((1-$E$65)-'1 - Caso e ipotesi'!$B$25*E70*MAX(0,B70-$E$65))*H70</f>
        <v>1.0080823020784315</v>
      </c>
      <c r="J70" s="17">
        <f t="shared" ref="J70:J101" si="20">J69*I70</f>
        <v>1.0162299277637501</v>
      </c>
      <c r="K70" s="17">
        <f t="shared" ref="K70:K101" si="21">K69*I69+G70</f>
        <v>2.0080823020784315</v>
      </c>
      <c r="L70" s="19">
        <f t="shared" ref="L70:L101" si="22">IF(AND(L69=1,M70-N70&gt;0),1,0)</f>
        <v>1</v>
      </c>
      <c r="M70" s="20">
        <f t="shared" ref="M70:M101" si="23">O69</f>
        <v>1209698.7624941177</v>
      </c>
      <c r="N70" s="20">
        <f>'1 - Caso e ipotesi'!$B$7*G70</f>
        <v>40000</v>
      </c>
      <c r="O70" s="20">
        <f t="shared" si="19"/>
        <v>1179152.6212333627</v>
      </c>
    </row>
    <row r="71" spans="1:15">
      <c r="A71" s="18">
        <v>3</v>
      </c>
      <c r="B71" s="9">
        <f>IF($E$65&gt;0,$E$65*'3 - Scenario'!Q7/I70,0)</f>
        <v>0</v>
      </c>
      <c r="C71" s="17">
        <f>IF($E$65&gt;0,D70/((1+'3 - Scenario'!C7)*'3 - Scenario'!Q7),C70)</f>
        <v>1</v>
      </c>
      <c r="D71" s="17">
        <f t="shared" si="16"/>
        <v>1</v>
      </c>
      <c r="E71" s="17">
        <f t="shared" si="17"/>
        <v>0</v>
      </c>
      <c r="F71" s="17">
        <f>'1 - Caso e ipotesi'!$B$25*E71*B71</f>
        <v>0</v>
      </c>
      <c r="G71" s="17">
        <f t="shared" si="18"/>
        <v>1</v>
      </c>
      <c r="H71" s="17">
        <f>IF($E$65&lt;1,($B$65*'3 - Scenario'!N8+$C$65*'3 - Scenario'!O8+$D$65*'3 - Scenario'!P8)/(1-$E$65),0)</f>
        <v>1.0080823020784315</v>
      </c>
      <c r="I71" s="17">
        <f>$E$65*'3 - Scenario'!Q8+((1-$E$65)-'1 - Caso e ipotesi'!$B$25*E71*MAX(0,B71-$E$65))*H71</f>
        <v>1.0080823020784315</v>
      </c>
      <c r="J71" s="17">
        <f t="shared" si="20"/>
        <v>1.0244434050210793</v>
      </c>
      <c r="K71" s="17">
        <f t="shared" si="21"/>
        <v>3.0243122298421814</v>
      </c>
      <c r="L71" s="19">
        <f t="shared" si="22"/>
        <v>1</v>
      </c>
      <c r="M71" s="20">
        <f t="shared" si="23"/>
        <v>1179152.6212333627</v>
      </c>
      <c r="N71" s="20">
        <f>'1 - Caso e ipotesi'!$B$7*G71</f>
        <v>40000</v>
      </c>
      <c r="O71" s="20">
        <f t="shared" si="19"/>
        <v>1148359.5968316079</v>
      </c>
    </row>
    <row r="72" spans="1:15">
      <c r="A72" s="18">
        <v>4</v>
      </c>
      <c r="B72" s="9">
        <f>IF($E$65&gt;0,$E$65*'3 - Scenario'!Q8/I71,0)</f>
        <v>0</v>
      </c>
      <c r="C72" s="17">
        <f>IF($E$65&gt;0,D71/((1+'3 - Scenario'!C8)*'3 - Scenario'!Q8),C71)</f>
        <v>1</v>
      </c>
      <c r="D72" s="17">
        <f t="shared" si="16"/>
        <v>1</v>
      </c>
      <c r="E72" s="17">
        <f t="shared" si="17"/>
        <v>0</v>
      </c>
      <c r="F72" s="17">
        <f>'1 - Caso e ipotesi'!$B$25*E72*B72</f>
        <v>0</v>
      </c>
      <c r="G72" s="17">
        <f t="shared" si="18"/>
        <v>1</v>
      </c>
      <c r="H72" s="17">
        <f>IF($E$65&lt;1,($B$65*'3 - Scenario'!N9+$C$65*'3 - Scenario'!O9+$D$65*'3 - Scenario'!P9)/(1-$E$65),0)</f>
        <v>1.0080823020784315</v>
      </c>
      <c r="I72" s="17">
        <f>$E$65*'3 - Scenario'!Q9+((1-$E$65)-'1 - Caso e ipotesi'!$B$25*E72*MAX(0,B72-$E$65))*H72</f>
        <v>1.0080823020784315</v>
      </c>
      <c r="J72" s="17">
        <f t="shared" si="20"/>
        <v>1.0327232660827166</v>
      </c>
      <c r="K72" s="17">
        <f t="shared" si="21"/>
        <v>4.0487556348632605</v>
      </c>
      <c r="L72" s="19">
        <f t="shared" si="22"/>
        <v>1</v>
      </c>
      <c r="M72" s="20">
        <f t="shared" si="23"/>
        <v>1148359.5968316079</v>
      </c>
      <c r="N72" s="20">
        <f>'1 - Caso e ipotesi'!$B$7*G72</f>
        <v>40000</v>
      </c>
      <c r="O72" s="20">
        <f t="shared" si="19"/>
        <v>1117317.6939047296</v>
      </c>
    </row>
    <row r="73" spans="1:15">
      <c r="A73" s="18">
        <v>5</v>
      </c>
      <c r="B73" s="9">
        <f>IF($E$65&gt;0,$E$65*'3 - Scenario'!Q9/I72,0)</f>
        <v>0</v>
      </c>
      <c r="C73" s="17">
        <f>IF($E$65&gt;0,D72/((1+'3 - Scenario'!C9)*'3 - Scenario'!Q9),C72)</f>
        <v>1</v>
      </c>
      <c r="D73" s="17">
        <f t="shared" si="16"/>
        <v>1</v>
      </c>
      <c r="E73" s="17">
        <f t="shared" si="17"/>
        <v>0</v>
      </c>
      <c r="F73" s="17">
        <f>'1 - Caso e ipotesi'!$B$25*E73*B73</f>
        <v>0</v>
      </c>
      <c r="G73" s="17">
        <f t="shared" si="18"/>
        <v>1</v>
      </c>
      <c r="H73" s="17">
        <f>IF($E$65&lt;1,($B$65*'3 - Scenario'!N10+$C$65*'3 - Scenario'!O10+$D$65*'3 - Scenario'!P10)/(1-$E$65),0)</f>
        <v>1.0080823020784315</v>
      </c>
      <c r="I73" s="17">
        <f>$E$65*'3 - Scenario'!Q10+((1-$E$65)-'1 - Caso e ipotesi'!$B$25*E73*MAX(0,B73-$E$65))*H73</f>
        <v>1.0080823020784315</v>
      </c>
      <c r="J73" s="17">
        <f t="shared" si="20"/>
        <v>1.0410700474826216</v>
      </c>
      <c r="K73" s="17">
        <f t="shared" si="21"/>
        <v>5.0814789009459771</v>
      </c>
      <c r="L73" s="19">
        <f t="shared" si="22"/>
        <v>1</v>
      </c>
      <c r="M73" s="20">
        <f t="shared" si="23"/>
        <v>1117317.6939047296</v>
      </c>
      <c r="N73" s="20">
        <f>'1 - Caso e ipotesi'!$B$7*G73</f>
        <v>40000</v>
      </c>
      <c r="O73" s="20">
        <f t="shared" si="19"/>
        <v>1086024.9009413067</v>
      </c>
    </row>
    <row r="74" spans="1:15">
      <c r="A74" s="18">
        <v>6</v>
      </c>
      <c r="B74" s="9">
        <f>IF($E$65&gt;0,$E$65*'3 - Scenario'!Q10/I73,0)</f>
        <v>0</v>
      </c>
      <c r="C74" s="17">
        <f>IF($E$65&gt;0,D73/((1+'3 - Scenario'!C10)*'3 - Scenario'!Q10),C73)</f>
        <v>1</v>
      </c>
      <c r="D74" s="17">
        <f t="shared" si="16"/>
        <v>1</v>
      </c>
      <c r="E74" s="17">
        <f t="shared" si="17"/>
        <v>0</v>
      </c>
      <c r="F74" s="17">
        <f>'1 - Caso e ipotesi'!$B$25*E74*B74</f>
        <v>0</v>
      </c>
      <c r="G74" s="17">
        <f t="shared" si="18"/>
        <v>1</v>
      </c>
      <c r="H74" s="17">
        <f>IF($E$65&lt;1,($B$65*'3 - Scenario'!N11+$C$65*'3 - Scenario'!O11+$D$65*'3 - Scenario'!P11)/(1-$E$65),0)</f>
        <v>1.0080823020784315</v>
      </c>
      <c r="I74" s="17">
        <f>$E$65*'3 - Scenario'!Q11+((1-$E$65)-'1 - Caso e ipotesi'!$B$25*E74*MAX(0,B74-$E$65))*H74</f>
        <v>1.0080823020784315</v>
      </c>
      <c r="J74" s="17">
        <f t="shared" si="20"/>
        <v>1.0494842900911832</v>
      </c>
      <c r="K74" s="17">
        <f t="shared" si="21"/>
        <v>6.1225489484285989</v>
      </c>
      <c r="L74" s="19">
        <f t="shared" si="22"/>
        <v>1</v>
      </c>
      <c r="M74" s="20">
        <f t="shared" si="23"/>
        <v>1086024.9009413067</v>
      </c>
      <c r="N74" s="20">
        <f>'1 - Caso e ipotesi'!$B$7*G74</f>
        <v>40000</v>
      </c>
      <c r="O74" s="20">
        <f t="shared" si="19"/>
        <v>1054479.1901722758</v>
      </c>
    </row>
    <row r="75" spans="1:15">
      <c r="A75" s="18">
        <v>7</v>
      </c>
      <c r="B75" s="9">
        <f>IF($E$65&gt;0,$E$65*'3 - Scenario'!Q11/I74,0)</f>
        <v>0</v>
      </c>
      <c r="C75" s="17">
        <f>IF($E$65&gt;0,D74/((1+'3 - Scenario'!C11)*'3 - Scenario'!Q11),C74)</f>
        <v>1</v>
      </c>
      <c r="D75" s="17">
        <f t="shared" si="16"/>
        <v>1</v>
      </c>
      <c r="E75" s="17">
        <f t="shared" si="17"/>
        <v>0</v>
      </c>
      <c r="F75" s="17">
        <f>'1 - Caso e ipotesi'!$B$25*E75*B75</f>
        <v>0</v>
      </c>
      <c r="G75" s="17">
        <f t="shared" si="18"/>
        <v>1</v>
      </c>
      <c r="H75" s="17">
        <f>IF($E$65&lt;1,($B$65*'3 - Scenario'!N12+$C$65*'3 - Scenario'!O12+$D$65*'3 - Scenario'!P12)/(1-$E$65),0)</f>
        <v>1.0080823020784315</v>
      </c>
      <c r="I75" s="17">
        <f>$E$65*'3 - Scenario'!Q12+((1-$E$65)-'1 - Caso e ipotesi'!$B$25*E75*MAX(0,B75-$E$65))*H75</f>
        <v>1.0080823020784315</v>
      </c>
      <c r="J75" s="17">
        <f t="shared" si="20"/>
        <v>1.0579665391502684</v>
      </c>
      <c r="K75" s="17">
        <f t="shared" si="21"/>
        <v>7.1720332385197825</v>
      </c>
      <c r="L75" s="19">
        <f t="shared" si="22"/>
        <v>1</v>
      </c>
      <c r="M75" s="20">
        <f t="shared" si="23"/>
        <v>1054479.1901722758</v>
      </c>
      <c r="N75" s="20">
        <f>'1 - Caso e ipotesi'!$B$7*G75</f>
        <v>40000</v>
      </c>
      <c r="O75" s="20">
        <f t="shared" si="19"/>
        <v>1022678.5174395307</v>
      </c>
    </row>
    <row r="76" spans="1:15">
      <c r="A76" s="18">
        <v>8</v>
      </c>
      <c r="B76" s="9">
        <f>IF($E$65&gt;0,$E$65*'3 - Scenario'!Q12/I75,0)</f>
        <v>0</v>
      </c>
      <c r="C76" s="17">
        <f>IF($E$65&gt;0,D75/((1+'3 - Scenario'!C12)*'3 - Scenario'!Q12),C75)</f>
        <v>1</v>
      </c>
      <c r="D76" s="17">
        <f t="shared" si="16"/>
        <v>1</v>
      </c>
      <c r="E76" s="17">
        <f t="shared" si="17"/>
        <v>0</v>
      </c>
      <c r="F76" s="17">
        <f>'1 - Caso e ipotesi'!$B$25*E76*B76</f>
        <v>0</v>
      </c>
      <c r="G76" s="17">
        <f t="shared" si="18"/>
        <v>1</v>
      </c>
      <c r="H76" s="17">
        <f>IF($E$65&lt;1,($B$65*'3 - Scenario'!N13+$C$65*'3 - Scenario'!O13+$D$65*'3 - Scenario'!P13)/(1-$E$65),0)</f>
        <v>1.0080823020784315</v>
      </c>
      <c r="I76" s="17">
        <f>$E$65*'3 - Scenario'!Q13+((1-$E$65)-'1 - Caso e ipotesi'!$B$25*E76*MAX(0,B76-$E$65))*H76</f>
        <v>1.0080823020784315</v>
      </c>
      <c r="J76" s="17">
        <f t="shared" si="20"/>
        <v>1.0665173443085536</v>
      </c>
      <c r="K76" s="17">
        <f t="shared" si="21"/>
        <v>8.2299997776700522</v>
      </c>
      <c r="L76" s="19">
        <f t="shared" si="22"/>
        <v>1</v>
      </c>
      <c r="M76" s="20">
        <f t="shared" si="23"/>
        <v>1022678.5174395307</v>
      </c>
      <c r="N76" s="20">
        <f>'1 - Caso e ipotesi'!$B$7*G76</f>
        <v>40000</v>
      </c>
      <c r="O76" s="20">
        <f t="shared" si="19"/>
        <v>990620.82206346223</v>
      </c>
    </row>
    <row r="77" spans="1:15">
      <c r="A77" s="18">
        <v>9</v>
      </c>
      <c r="B77" s="9">
        <f>IF($E$65&gt;0,$E$65*'3 - Scenario'!Q13/I76,0)</f>
        <v>0</v>
      </c>
      <c r="C77" s="17">
        <f>IF($E$65&gt;0,D76/((1+'3 - Scenario'!C13)*'3 - Scenario'!Q13),C76)</f>
        <v>1</v>
      </c>
      <c r="D77" s="17">
        <f t="shared" si="16"/>
        <v>1</v>
      </c>
      <c r="E77" s="17">
        <f t="shared" si="17"/>
        <v>0</v>
      </c>
      <c r="F77" s="17">
        <f>'1 - Caso e ipotesi'!$B$25*E77*B77</f>
        <v>0</v>
      </c>
      <c r="G77" s="17">
        <f t="shared" si="18"/>
        <v>1</v>
      </c>
      <c r="H77" s="17">
        <f>IF($E$65&lt;1,($B$65*'3 - Scenario'!N14+$C$65*'3 - Scenario'!O14+$D$65*'3 - Scenario'!P14)/(1-$E$65),0)</f>
        <v>1.0080823020784315</v>
      </c>
      <c r="I77" s="17">
        <f>$E$65*'3 - Scenario'!Q14+((1-$E$65)-'1 - Caso e ipotesi'!$B$25*E77*MAX(0,B77-$E$65))*H77</f>
        <v>1.0080823020784315</v>
      </c>
      <c r="J77" s="17">
        <f t="shared" si="20"/>
        <v>1.0751372596571418</v>
      </c>
      <c r="K77" s="17">
        <f t="shared" si="21"/>
        <v>9.2965171219786065</v>
      </c>
      <c r="L77" s="19">
        <f t="shared" si="22"/>
        <v>1</v>
      </c>
      <c r="M77" s="20">
        <f t="shared" si="23"/>
        <v>990620.82206346223</v>
      </c>
      <c r="N77" s="20">
        <f>'1 - Caso e ipotesi'!$B$7*G77</f>
        <v>40000</v>
      </c>
      <c r="O77" s="20">
        <f t="shared" si="19"/>
        <v>958304.02670942608</v>
      </c>
    </row>
    <row r="78" spans="1:15">
      <c r="A78" s="18">
        <v>10</v>
      </c>
      <c r="B78" s="9">
        <f>IF($E$65&gt;0,$E$65*'3 - Scenario'!Q14/I77,0)</f>
        <v>0</v>
      </c>
      <c r="C78" s="17">
        <f>IF($E$65&gt;0,D77/((1+'3 - Scenario'!C14)*'3 - Scenario'!Q14),C77)</f>
        <v>1</v>
      </c>
      <c r="D78" s="17">
        <f t="shared" si="16"/>
        <v>1</v>
      </c>
      <c r="E78" s="17">
        <f t="shared" si="17"/>
        <v>0</v>
      </c>
      <c r="F78" s="17">
        <f>'1 - Caso e ipotesi'!$B$25*E78*B78</f>
        <v>0</v>
      </c>
      <c r="G78" s="17">
        <f t="shared" si="18"/>
        <v>1</v>
      </c>
      <c r="H78" s="17">
        <f>IF($E$65&lt;1,($B$65*'3 - Scenario'!N15+$C$65*'3 - Scenario'!O15+$D$65*'3 - Scenario'!P15)/(1-$E$65),0)</f>
        <v>1.0080823020784315</v>
      </c>
      <c r="I78" s="17">
        <f>$E$65*'3 - Scenario'!Q15+((1-$E$65)-'1 - Caso e ipotesi'!$B$25*E78*MAX(0,B78-$E$65))*H78</f>
        <v>1.0080823020784315</v>
      </c>
      <c r="J78" s="17">
        <f t="shared" si="20"/>
        <v>1.0838268437654679</v>
      </c>
      <c r="K78" s="17">
        <f t="shared" si="21"/>
        <v>10.371654381635748</v>
      </c>
      <c r="L78" s="19">
        <f t="shared" si="22"/>
        <v>1</v>
      </c>
      <c r="M78" s="20">
        <f t="shared" si="23"/>
        <v>958304.02670942608</v>
      </c>
      <c r="N78" s="20">
        <f>'1 - Caso e ipotesi'!$B$7*G78</f>
        <v>40000</v>
      </c>
      <c r="O78" s="20">
        <f t="shared" si="19"/>
        <v>925726.03725313174</v>
      </c>
    </row>
    <row r="79" spans="1:15">
      <c r="A79" s="18">
        <v>11</v>
      </c>
      <c r="B79" s="9">
        <f>IF($E$65&gt;0,$E$65*'3 - Scenario'!Q15/I78,0)</f>
        <v>0</v>
      </c>
      <c r="C79" s="17">
        <f>IF($E$65&gt;0,D78/((1+'3 - Scenario'!C15)*'3 - Scenario'!Q15),C78)</f>
        <v>1</v>
      </c>
      <c r="D79" s="17">
        <f t="shared" si="16"/>
        <v>1</v>
      </c>
      <c r="E79" s="17">
        <f t="shared" si="17"/>
        <v>0</v>
      </c>
      <c r="F79" s="17">
        <f>'1 - Caso e ipotesi'!$B$25*E79*B79</f>
        <v>0</v>
      </c>
      <c r="G79" s="17">
        <f t="shared" si="18"/>
        <v>1</v>
      </c>
      <c r="H79" s="17">
        <f>IF($E$65&lt;1,($B$65*'3 - Scenario'!N16+$C$65*'3 - Scenario'!O16+$D$65*'3 - Scenario'!P16)/(1-$E$65),0)</f>
        <v>1.0080823020784315</v>
      </c>
      <c r="I79" s="17">
        <f>$E$65*'3 - Scenario'!Q16+((1-$E$65)-'1 - Caso e ipotesi'!$B$25*E79*MAX(0,B79-$E$65))*H79</f>
        <v>1.0080823020784315</v>
      </c>
      <c r="J79" s="17">
        <f t="shared" si="20"/>
        <v>1.0925866597174934</v>
      </c>
      <c r="K79" s="17">
        <f t="shared" si="21"/>
        <v>11.455481225401217</v>
      </c>
      <c r="L79" s="19">
        <f t="shared" si="22"/>
        <v>1</v>
      </c>
      <c r="M79" s="20">
        <f t="shared" si="23"/>
        <v>925726.03725313174</v>
      </c>
      <c r="N79" s="20">
        <f>'1 - Caso e ipotesi'!$B$7*G79</f>
        <v>40000</v>
      </c>
      <c r="O79" s="20">
        <f t="shared" si="19"/>
        <v>892884.74264494365</v>
      </c>
    </row>
    <row r="80" spans="1:15">
      <c r="A80" s="18">
        <v>12</v>
      </c>
      <c r="B80" s="9">
        <f>IF($E$65&gt;0,$E$65*'3 - Scenario'!Q16/I79,0)</f>
        <v>0</v>
      </c>
      <c r="C80" s="17">
        <f>IF($E$65&gt;0,D79/((1+'3 - Scenario'!C16)*'3 - Scenario'!Q16),C79)</f>
        <v>1</v>
      </c>
      <c r="D80" s="17">
        <f t="shared" si="16"/>
        <v>1</v>
      </c>
      <c r="E80" s="17">
        <f t="shared" si="17"/>
        <v>0</v>
      </c>
      <c r="F80" s="17">
        <f>'1 - Caso e ipotesi'!$B$25*E80*B80</f>
        <v>0</v>
      </c>
      <c r="G80" s="17">
        <f t="shared" si="18"/>
        <v>1</v>
      </c>
      <c r="H80" s="17">
        <f>IF($E$65&lt;1,($B$65*'3 - Scenario'!N17+$C$65*'3 - Scenario'!O17+$D$65*'3 - Scenario'!P17)/(1-$E$65),0)</f>
        <v>1.0080823020784315</v>
      </c>
      <c r="I80" s="17">
        <f>$E$65*'3 - Scenario'!Q17+((1-$E$65)-'1 - Caso e ipotesi'!$B$25*E80*MAX(0,B80-$E$65))*H80</f>
        <v>1.0080823020784315</v>
      </c>
      <c r="J80" s="17">
        <f t="shared" si="20"/>
        <v>1.1014172751481945</v>
      </c>
      <c r="K80" s="17">
        <f t="shared" si="21"/>
        <v>12.54806788511871</v>
      </c>
      <c r="L80" s="19">
        <f t="shared" si="22"/>
        <v>1</v>
      </c>
      <c r="M80" s="20">
        <f t="shared" si="23"/>
        <v>892884.74264494365</v>
      </c>
      <c r="N80" s="20">
        <f>'1 - Caso e ipotesi'!$B$7*G80</f>
        <v>40000</v>
      </c>
      <c r="O80" s="20">
        <f t="shared" si="19"/>
        <v>859778.01477308536</v>
      </c>
    </row>
    <row r="81" spans="1:15">
      <c r="A81" s="18">
        <v>13</v>
      </c>
      <c r="B81" s="9">
        <f>IF($E$65&gt;0,$E$65*'3 - Scenario'!Q17/I80,0)</f>
        <v>0</v>
      </c>
      <c r="C81" s="17">
        <f>IF($E$65&gt;0,D80/((1+'3 - Scenario'!C17)*'3 - Scenario'!Q17),C80)</f>
        <v>1</v>
      </c>
      <c r="D81" s="17">
        <f t="shared" si="16"/>
        <v>1</v>
      </c>
      <c r="E81" s="17">
        <f t="shared" si="17"/>
        <v>0</v>
      </c>
      <c r="F81" s="17">
        <f>'1 - Caso e ipotesi'!$B$25*E81*B81</f>
        <v>0</v>
      </c>
      <c r="G81" s="17">
        <f t="shared" si="18"/>
        <v>1</v>
      </c>
      <c r="H81" s="17">
        <f>IF($E$65&lt;1,($B$65*'3 - Scenario'!N18+$C$65*'3 - Scenario'!O18+$D$65*'3 - Scenario'!P18)/(1-$E$65),0)</f>
        <v>1.0080823020784315</v>
      </c>
      <c r="I81" s="17">
        <f>$E$65*'3 - Scenario'!Q18+((1-$E$65)-'1 - Caso e ipotesi'!$B$25*E81*MAX(0,B81-$E$65))*H81</f>
        <v>1.0080823020784315</v>
      </c>
      <c r="J81" s="17">
        <f t="shared" si="20"/>
        <v>1.1103192622803453</v>
      </c>
      <c r="K81" s="17">
        <f t="shared" si="21"/>
        <v>13.649485160266906</v>
      </c>
      <c r="L81" s="19">
        <f t="shared" si="22"/>
        <v>1</v>
      </c>
      <c r="M81" s="20">
        <f t="shared" si="23"/>
        <v>859778.01477308536</v>
      </c>
      <c r="N81" s="20">
        <f>'1 - Caso e ipotesi'!$B$7*G81</f>
        <v>40000</v>
      </c>
      <c r="O81" s="20">
        <f t="shared" si="19"/>
        <v>826403.70832573832</v>
      </c>
    </row>
    <row r="82" spans="1:15">
      <c r="A82" s="18">
        <v>14</v>
      </c>
      <c r="B82" s="9">
        <f>IF($E$65&gt;0,$E$65*'3 - Scenario'!Q18/I81,0)</f>
        <v>0</v>
      </c>
      <c r="C82" s="17">
        <f>IF($E$65&gt;0,D81/((1+'3 - Scenario'!C18)*'3 - Scenario'!Q18),C81)</f>
        <v>1</v>
      </c>
      <c r="D82" s="17">
        <f t="shared" si="16"/>
        <v>1</v>
      </c>
      <c r="E82" s="17">
        <f t="shared" si="17"/>
        <v>0</v>
      </c>
      <c r="F82" s="17">
        <f>'1 - Caso e ipotesi'!$B$25*E82*B82</f>
        <v>0</v>
      </c>
      <c r="G82" s="17">
        <f t="shared" si="18"/>
        <v>1</v>
      </c>
      <c r="H82" s="17">
        <f>IF($E$65&lt;1,($B$65*'3 - Scenario'!N19+$C$65*'3 - Scenario'!O19+$D$65*'3 - Scenario'!P19)/(1-$E$65),0)</f>
        <v>1.0080823020784315</v>
      </c>
      <c r="I82" s="17">
        <f>$E$65*'3 - Scenario'!Q19+((1-$E$65)-'1 - Caso e ipotesi'!$B$25*E82*MAX(0,B82-$E$65))*H82</f>
        <v>1.0080823020784315</v>
      </c>
      <c r="J82" s="17">
        <f t="shared" si="20"/>
        <v>1.1192931979615963</v>
      </c>
      <c r="K82" s="17">
        <f t="shared" si="21"/>
        <v>14.759804422547251</v>
      </c>
      <c r="L82" s="19">
        <f t="shared" si="22"/>
        <v>1</v>
      </c>
      <c r="M82" s="20">
        <f t="shared" si="23"/>
        <v>826403.70832573832</v>
      </c>
      <c r="N82" s="20">
        <f>'1 - Caso e ipotesi'!$B$7*G82</f>
        <v>40000</v>
      </c>
      <c r="O82" s="20">
        <f t="shared" si="19"/>
        <v>792759.66065202572</v>
      </c>
    </row>
    <row r="83" spans="1:15">
      <c r="A83" s="18">
        <v>15</v>
      </c>
      <c r="B83" s="9">
        <f>IF($E$65&gt;0,$E$65*'3 - Scenario'!Q19/I82,0)</f>
        <v>0</v>
      </c>
      <c r="C83" s="17">
        <f>IF($E$65&gt;0,D82/((1+'3 - Scenario'!C19)*'3 - Scenario'!Q19),C82)</f>
        <v>1</v>
      </c>
      <c r="D83" s="17">
        <f t="shared" si="16"/>
        <v>1</v>
      </c>
      <c r="E83" s="17">
        <f t="shared" si="17"/>
        <v>0</v>
      </c>
      <c r="F83" s="17">
        <f>'1 - Caso e ipotesi'!$B$25*E83*B83</f>
        <v>0</v>
      </c>
      <c r="G83" s="17">
        <f t="shared" si="18"/>
        <v>1</v>
      </c>
      <c r="H83" s="17">
        <f>IF($E$65&lt;1,($B$65*'3 - Scenario'!N20+$C$65*'3 - Scenario'!O20+$D$65*'3 - Scenario'!P20)/(1-$E$65),0)</f>
        <v>1.0080823020784315</v>
      </c>
      <c r="I83" s="17">
        <f>$E$65*'3 - Scenario'!Q20+((1-$E$65)-'1 - Caso e ipotesi'!$B$25*E83*MAX(0,B83-$E$65))*H83</f>
        <v>1.0080823020784315</v>
      </c>
      <c r="J83" s="17">
        <f t="shared" si="20"/>
        <v>1.1283396637018557</v>
      </c>
      <c r="K83" s="17">
        <f t="shared" si="21"/>
        <v>15.879097620508848</v>
      </c>
      <c r="L83" s="19">
        <f t="shared" si="22"/>
        <v>1</v>
      </c>
      <c r="M83" s="20">
        <f t="shared" si="23"/>
        <v>792759.66065202572</v>
      </c>
      <c r="N83" s="20">
        <f>'1 - Caso e ipotesi'!$B$7*G83</f>
        <v>40000</v>
      </c>
      <c r="O83" s="20">
        <f t="shared" si="19"/>
        <v>758843.69162187295</v>
      </c>
    </row>
    <row r="84" spans="1:15">
      <c r="A84" s="18">
        <v>16</v>
      </c>
      <c r="B84" s="9">
        <f>IF($E$65&gt;0,$E$65*'3 - Scenario'!Q20/I83,0)</f>
        <v>0</v>
      </c>
      <c r="C84" s="17">
        <f>IF($E$65&gt;0,D83/((1+'3 - Scenario'!C20)*'3 - Scenario'!Q20),C83)</f>
        <v>1</v>
      </c>
      <c r="D84" s="17">
        <f t="shared" si="16"/>
        <v>1</v>
      </c>
      <c r="E84" s="17">
        <f t="shared" si="17"/>
        <v>0</v>
      </c>
      <c r="F84" s="17">
        <f>'1 - Caso e ipotesi'!$B$25*E84*B84</f>
        <v>0</v>
      </c>
      <c r="G84" s="17">
        <f t="shared" si="18"/>
        <v>1</v>
      </c>
      <c r="H84" s="17">
        <f>IF($E$65&lt;1,($B$65*'3 - Scenario'!N21+$C$65*'3 - Scenario'!O21+$D$65*'3 - Scenario'!P21)/(1-$E$65),0)</f>
        <v>1.0080823020784315</v>
      </c>
      <c r="I84" s="17">
        <f>$E$65*'3 - Scenario'!Q21+((1-$E$65)-'1 - Caso e ipotesi'!$B$25*E84*MAX(0,B84-$E$65))*H84</f>
        <v>1.0080823020784315</v>
      </c>
      <c r="J84" s="17">
        <f t="shared" si="20"/>
        <v>1.13745924571097</v>
      </c>
      <c r="K84" s="17">
        <f t="shared" si="21"/>
        <v>17.007437284210702</v>
      </c>
      <c r="L84" s="19">
        <f t="shared" si="22"/>
        <v>1</v>
      </c>
      <c r="M84" s="20">
        <f t="shared" si="23"/>
        <v>758843.69162187295</v>
      </c>
      <c r="N84" s="20">
        <f>'1 - Caso e ipotesi'!$B$7*G84</f>
        <v>40000</v>
      </c>
      <c r="O84" s="20">
        <f t="shared" si="19"/>
        <v>724653.60348473582</v>
      </c>
    </row>
    <row r="85" spans="1:15">
      <c r="A85" s="18">
        <v>17</v>
      </c>
      <c r="B85" s="9">
        <f>IF($E$65&gt;0,$E$65*'3 - Scenario'!Q21/I84,0)</f>
        <v>0</v>
      </c>
      <c r="C85" s="17">
        <f>IF($E$65&gt;0,D84/((1+'3 - Scenario'!C21)*'3 - Scenario'!Q21),C84)</f>
        <v>1</v>
      </c>
      <c r="D85" s="17">
        <f t="shared" si="16"/>
        <v>1</v>
      </c>
      <c r="E85" s="17">
        <f t="shared" si="17"/>
        <v>0</v>
      </c>
      <c r="F85" s="17">
        <f>'1 - Caso e ipotesi'!$B$25*E85*B85</f>
        <v>0</v>
      </c>
      <c r="G85" s="17">
        <f t="shared" si="18"/>
        <v>1</v>
      </c>
      <c r="H85" s="17">
        <f>IF($E$65&lt;1,($B$65*'3 - Scenario'!N22+$C$65*'3 - Scenario'!O22+$D$65*'3 - Scenario'!P22)/(1-$E$65),0)</f>
        <v>1.0080823020784315</v>
      </c>
      <c r="I85" s="17">
        <f>$E$65*'3 - Scenario'!Q22+((1-$E$65)-'1 - Caso e ipotesi'!$B$25*E85*MAX(0,B85-$E$65))*H85</f>
        <v>1.0080823020784315</v>
      </c>
      <c r="J85" s="17">
        <f t="shared" si="20"/>
        <v>1.1466525349367109</v>
      </c>
      <c r="K85" s="17">
        <f t="shared" si="21"/>
        <v>18.144896529921674</v>
      </c>
      <c r="L85" s="19">
        <f t="shared" si="22"/>
        <v>1</v>
      </c>
      <c r="M85" s="20">
        <f t="shared" si="23"/>
        <v>724653.60348473582</v>
      </c>
      <c r="N85" s="20">
        <f>'1 - Caso e ipotesi'!$B$7*G85</f>
        <v>40000</v>
      </c>
      <c r="O85" s="20">
        <f t="shared" si="19"/>
        <v>690187.18072718615</v>
      </c>
    </row>
    <row r="86" spans="1:15">
      <c r="A86" s="18">
        <v>18</v>
      </c>
      <c r="B86" s="9">
        <f>IF($E$65&gt;0,$E$65*'3 - Scenario'!Q22/I85,0)</f>
        <v>0</v>
      </c>
      <c r="C86" s="17">
        <f>IF($E$65&gt;0,D85/((1+'3 - Scenario'!C22)*'3 - Scenario'!Q22),C85)</f>
        <v>1</v>
      </c>
      <c r="D86" s="17">
        <f t="shared" si="16"/>
        <v>1</v>
      </c>
      <c r="E86" s="17">
        <f t="shared" si="17"/>
        <v>0</v>
      </c>
      <c r="F86" s="17">
        <f>'1 - Caso e ipotesi'!$B$25*E86*B86</f>
        <v>0</v>
      </c>
      <c r="G86" s="17">
        <f t="shared" si="18"/>
        <v>1</v>
      </c>
      <c r="H86" s="17">
        <f>IF($E$65&lt;1,($B$65*'3 - Scenario'!N23+$C$65*'3 - Scenario'!O23+$D$65*'3 - Scenario'!P23)/(1-$E$65),0)</f>
        <v>1.0080823020784315</v>
      </c>
      <c r="I86" s="17">
        <f>$E$65*'3 - Scenario'!Q23+((1-$E$65)-'1 - Caso e ipotesi'!$B$25*E86*MAX(0,B86-$E$65))*H86</f>
        <v>1.0080823020784315</v>
      </c>
      <c r="J86" s="17">
        <f t="shared" si="20"/>
        <v>1.1559201271030688</v>
      </c>
      <c r="K86" s="17">
        <f t="shared" si="21"/>
        <v>19.291549064858383</v>
      </c>
      <c r="L86" s="19">
        <f t="shared" si="22"/>
        <v>1</v>
      </c>
      <c r="M86" s="20">
        <f t="shared" si="23"/>
        <v>690187.18072718615</v>
      </c>
      <c r="N86" s="20">
        <f>'1 - Caso e ipotesi'!$B$7*G86</f>
        <v>40000</v>
      </c>
      <c r="O86" s="20">
        <f t="shared" si="19"/>
        <v>655442.18992934702</v>
      </c>
    </row>
    <row r="87" spans="1:15">
      <c r="A87" s="18">
        <v>19</v>
      </c>
      <c r="B87" s="9">
        <f>IF($E$65&gt;0,$E$65*'3 - Scenario'!Q23/I86,0)</f>
        <v>0</v>
      </c>
      <c r="C87" s="17">
        <f>IF($E$65&gt;0,D86/((1+'3 - Scenario'!C23)*'3 - Scenario'!Q23),C86)</f>
        <v>1</v>
      </c>
      <c r="D87" s="17">
        <f t="shared" si="16"/>
        <v>1</v>
      </c>
      <c r="E87" s="17">
        <f t="shared" si="17"/>
        <v>0</v>
      </c>
      <c r="F87" s="17">
        <f>'1 - Caso e ipotesi'!$B$25*E87*B87</f>
        <v>0</v>
      </c>
      <c r="G87" s="17">
        <f t="shared" si="18"/>
        <v>1</v>
      </c>
      <c r="H87" s="17">
        <f>IF($E$65&lt;1,($B$65*'3 - Scenario'!N24+$C$65*'3 - Scenario'!O24+$D$65*'3 - Scenario'!P24)/(1-$E$65),0)</f>
        <v>1.0080823020784315</v>
      </c>
      <c r="I87" s="17">
        <f>$E$65*'3 - Scenario'!Q24+((1-$E$65)-'1 - Caso e ipotesi'!$B$25*E87*MAX(0,B87-$E$65))*H87</f>
        <v>1.0080823020784315</v>
      </c>
      <c r="J87" s="17">
        <f t="shared" si="20"/>
        <v>1.1652626227488547</v>
      </c>
      <c r="K87" s="17">
        <f t="shared" si="21"/>
        <v>20.447469191961453</v>
      </c>
      <c r="L87" s="19">
        <f t="shared" si="22"/>
        <v>1</v>
      </c>
      <c r="M87" s="20">
        <f t="shared" si="23"/>
        <v>655442.18992934702</v>
      </c>
      <c r="N87" s="20">
        <f>'1 - Caso e ipotesi'!$B$7*G87</f>
        <v>40000</v>
      </c>
      <c r="O87" s="20">
        <f t="shared" si="19"/>
        <v>620416.37962016743</v>
      </c>
    </row>
    <row r="88" spans="1:15">
      <c r="A88" s="18">
        <v>20</v>
      </c>
      <c r="B88" s="9">
        <f>IF($E$65&gt;0,$E$65*'3 - Scenario'!Q24/I87,0)</f>
        <v>0</v>
      </c>
      <c r="C88" s="17">
        <f>IF($E$65&gt;0,D87/((1+'3 - Scenario'!C24)*'3 - Scenario'!Q24),C87)</f>
        <v>1</v>
      </c>
      <c r="D88" s="17">
        <f t="shared" si="16"/>
        <v>1</v>
      </c>
      <c r="E88" s="17">
        <f t="shared" si="17"/>
        <v>0</v>
      </c>
      <c r="F88" s="17">
        <f>'1 - Caso e ipotesi'!$B$25*E88*B88</f>
        <v>0</v>
      </c>
      <c r="G88" s="17">
        <f t="shared" si="18"/>
        <v>1</v>
      </c>
      <c r="H88" s="17">
        <f>IF($E$65&lt;1,($B$65*'3 - Scenario'!N25+$C$65*'3 - Scenario'!O25+$D$65*'3 - Scenario'!P25)/(1-$E$65),0)</f>
        <v>1.0080823020784315</v>
      </c>
      <c r="I88" s="17">
        <f>$E$65*'3 - Scenario'!Q25+((1-$E$65)-'1 - Caso e ipotesi'!$B$25*E88*MAX(0,B88-$E$65))*H88</f>
        <v>1.0080823020784315</v>
      </c>
      <c r="J88" s="17">
        <f t="shared" si="20"/>
        <v>1.1746806272666164</v>
      </c>
      <c r="K88" s="17">
        <f t="shared" si="21"/>
        <v>21.612731814710308</v>
      </c>
      <c r="L88" s="19">
        <f t="shared" si="22"/>
        <v>1</v>
      </c>
      <c r="M88" s="20">
        <f t="shared" si="23"/>
        <v>620416.37962016743</v>
      </c>
      <c r="N88" s="20">
        <f>'1 - Caso e ipotesi'!$B$7*G88</f>
        <v>40000</v>
      </c>
      <c r="O88" s="20">
        <f t="shared" si="19"/>
        <v>585107.48013152718</v>
      </c>
    </row>
    <row r="89" spans="1:15">
      <c r="A89" s="18">
        <v>21</v>
      </c>
      <c r="B89" s="9">
        <f>IF($E$65&gt;0,$E$65*'3 - Scenario'!Q25/I88,0)</f>
        <v>0</v>
      </c>
      <c r="C89" s="17">
        <f>IF($E$65&gt;0,D88/((1+'3 - Scenario'!C25)*'3 - Scenario'!Q25),C88)</f>
        <v>1</v>
      </c>
      <c r="D89" s="17">
        <f t="shared" si="16"/>
        <v>1</v>
      </c>
      <c r="E89" s="17">
        <f t="shared" si="17"/>
        <v>0</v>
      </c>
      <c r="F89" s="17">
        <f>'1 - Caso e ipotesi'!$B$25*E89*B89</f>
        <v>0</v>
      </c>
      <c r="G89" s="17">
        <f t="shared" si="18"/>
        <v>1</v>
      </c>
      <c r="H89" s="17">
        <f>IF($E$65&lt;1,($B$65*'3 - Scenario'!N26+$C$65*'3 - Scenario'!O26+$D$65*'3 - Scenario'!P26)/(1-$E$65),0)</f>
        <v>1.0080823020784315</v>
      </c>
      <c r="I89" s="17">
        <f>$E$65*'3 - Scenario'!Q26+((1-$E$65)-'1 - Caso e ipotesi'!$B$25*E89*MAX(0,B89-$E$65))*H89</f>
        <v>1.0080823020784315</v>
      </c>
      <c r="J89" s="17">
        <f t="shared" si="20"/>
        <v>1.1841747509418665</v>
      </c>
      <c r="K89" s="17">
        <f t="shared" si="21"/>
        <v>22.787412441976926</v>
      </c>
      <c r="L89" s="19">
        <f t="shared" si="22"/>
        <v>1</v>
      </c>
      <c r="M89" s="20">
        <f t="shared" si="23"/>
        <v>585107.48013152718</v>
      </c>
      <c r="N89" s="20">
        <f>'1 - Caso e ipotesi'!$B$7*G89</f>
        <v>40000</v>
      </c>
      <c r="O89" s="20">
        <f t="shared" si="19"/>
        <v>549513.20345116279</v>
      </c>
    </row>
    <row r="90" spans="1:15">
      <c r="A90" s="18">
        <v>22</v>
      </c>
      <c r="B90" s="9">
        <f>IF($E$65&gt;0,$E$65*'3 - Scenario'!Q26/I89,0)</f>
        <v>0</v>
      </c>
      <c r="C90" s="17">
        <f>IF($E$65&gt;0,D89/((1+'3 - Scenario'!C26)*'3 - Scenario'!Q26),C89)</f>
        <v>1</v>
      </c>
      <c r="D90" s="17">
        <f t="shared" si="16"/>
        <v>1</v>
      </c>
      <c r="E90" s="17">
        <f t="shared" si="17"/>
        <v>0</v>
      </c>
      <c r="F90" s="17">
        <f>'1 - Caso e ipotesi'!$B$25*E90*B90</f>
        <v>0</v>
      </c>
      <c r="G90" s="17">
        <f t="shared" si="18"/>
        <v>1</v>
      </c>
      <c r="H90" s="17">
        <f>IF($E$65&lt;1,($B$65*'3 - Scenario'!N27+$C$65*'3 - Scenario'!O27+$D$65*'3 - Scenario'!P27)/(1-$E$65),0)</f>
        <v>1.0080823020784315</v>
      </c>
      <c r="I90" s="17">
        <f>$E$65*'3 - Scenario'!Q27+((1-$E$65)-'1 - Caso e ipotesi'!$B$25*E90*MAX(0,B90-$E$65))*H90</f>
        <v>1.0080823020784315</v>
      </c>
      <c r="J90" s="17">
        <f t="shared" si="20"/>
        <v>1.1937456089926302</v>
      </c>
      <c r="K90" s="17">
        <f t="shared" si="21"/>
        <v>23.971587192918793</v>
      </c>
      <c r="L90" s="19">
        <f t="shared" si="22"/>
        <v>1</v>
      </c>
      <c r="M90" s="20">
        <f t="shared" si="23"/>
        <v>549513.20345116279</v>
      </c>
      <c r="N90" s="20">
        <f>'1 - Caso e ipotesi'!$B$7*G90</f>
        <v>40000</v>
      </c>
      <c r="O90" s="20">
        <f t="shared" si="19"/>
        <v>513631.24307440442</v>
      </c>
    </row>
    <row r="91" spans="1:15">
      <c r="A91" s="18">
        <v>23</v>
      </c>
      <c r="B91" s="9">
        <f>IF($E$65&gt;0,$E$65*'3 - Scenario'!Q27/I90,0)</f>
        <v>0</v>
      </c>
      <c r="C91" s="17">
        <f>IF($E$65&gt;0,D90/((1+'3 - Scenario'!C27)*'3 - Scenario'!Q27),C90)</f>
        <v>1</v>
      </c>
      <c r="D91" s="17">
        <f t="shared" si="16"/>
        <v>1</v>
      </c>
      <c r="E91" s="17">
        <f t="shared" si="17"/>
        <v>0</v>
      </c>
      <c r="F91" s="17">
        <f>'1 - Caso e ipotesi'!$B$25*E91*B91</f>
        <v>0</v>
      </c>
      <c r="G91" s="17">
        <f t="shared" si="18"/>
        <v>1</v>
      </c>
      <c r="H91" s="17">
        <f>IF($E$65&lt;1,($B$65*'3 - Scenario'!N28+$C$65*'3 - Scenario'!O28+$D$65*'3 - Scenario'!P28)/(1-$E$65),0)</f>
        <v>1.0080823020784315</v>
      </c>
      <c r="I91" s="17">
        <f>$E$65*'3 - Scenario'!Q28+((1-$E$65)-'1 - Caso e ipotesi'!$B$25*E91*MAX(0,B91-$E$65))*H91</f>
        <v>1.0080823020784315</v>
      </c>
      <c r="J91" s="17">
        <f t="shared" si="20"/>
        <v>1.2033938216093099</v>
      </c>
      <c r="K91" s="17">
        <f t="shared" si="21"/>
        <v>25.165332801911422</v>
      </c>
      <c r="L91" s="19">
        <f t="shared" si="22"/>
        <v>1</v>
      </c>
      <c r="M91" s="20">
        <f t="shared" si="23"/>
        <v>513631.24307440442</v>
      </c>
      <c r="N91" s="20">
        <f>'1 - Caso e ipotesi'!$B$7*G91</f>
        <v>40000</v>
      </c>
      <c r="O91" s="20">
        <f t="shared" si="19"/>
        <v>477459.27385471482</v>
      </c>
    </row>
    <row r="92" spans="1:15">
      <c r="A92" s="18">
        <v>24</v>
      </c>
      <c r="B92" s="9">
        <f>IF($E$65&gt;0,$E$65*'3 - Scenario'!Q28/I91,0)</f>
        <v>0</v>
      </c>
      <c r="C92" s="17">
        <f>IF($E$65&gt;0,D91/((1+'3 - Scenario'!C28)*'3 - Scenario'!Q28),C91)</f>
        <v>1</v>
      </c>
      <c r="D92" s="17">
        <f t="shared" si="16"/>
        <v>1</v>
      </c>
      <c r="E92" s="17">
        <f t="shared" si="17"/>
        <v>0</v>
      </c>
      <c r="F92" s="17">
        <f>'1 - Caso e ipotesi'!$B$25*E92*B92</f>
        <v>0</v>
      </c>
      <c r="G92" s="17">
        <f t="shared" si="18"/>
        <v>1</v>
      </c>
      <c r="H92" s="17">
        <f>IF($E$65&lt;1,($B$65*'3 - Scenario'!N29+$C$65*'3 - Scenario'!O29+$D$65*'3 - Scenario'!P29)/(1-$E$65),0)</f>
        <v>1.0080823020784315</v>
      </c>
      <c r="I92" s="17">
        <f>$E$65*'3 - Scenario'!Q29+((1-$E$65)-'1 - Caso e ipotesi'!$B$25*E92*MAX(0,B92-$E$65))*H92</f>
        <v>1.0080823020784315</v>
      </c>
      <c r="J92" s="17">
        <f t="shared" si="20"/>
        <v>1.2131200139948743</v>
      </c>
      <c r="K92" s="17">
        <f t="shared" si="21"/>
        <v>26.368726623520732</v>
      </c>
      <c r="L92" s="19">
        <f t="shared" si="22"/>
        <v>1</v>
      </c>
      <c r="M92" s="20">
        <f t="shared" si="23"/>
        <v>477459.27385471482</v>
      </c>
      <c r="N92" s="20">
        <f>'1 - Caso e ipotesi'!$B$7*G92</f>
        <v>40000</v>
      </c>
      <c r="O92" s="20">
        <f t="shared" si="19"/>
        <v>440994.95185301994</v>
      </c>
    </row>
    <row r="93" spans="1:15">
      <c r="A93" s="18">
        <v>25</v>
      </c>
      <c r="B93" s="9">
        <f>IF($E$65&gt;0,$E$65*'3 - Scenario'!Q29/I92,0)</f>
        <v>0</v>
      </c>
      <c r="C93" s="17">
        <f>IF($E$65&gt;0,D92/((1+'3 - Scenario'!C29)*'3 - Scenario'!Q29),C92)</f>
        <v>1</v>
      </c>
      <c r="D93" s="17">
        <f t="shared" si="16"/>
        <v>1</v>
      </c>
      <c r="E93" s="17">
        <f t="shared" si="17"/>
        <v>0</v>
      </c>
      <c r="F93" s="17">
        <f>'1 - Caso e ipotesi'!$B$25*E93*B93</f>
        <v>0</v>
      </c>
      <c r="G93" s="17">
        <f t="shared" si="18"/>
        <v>1</v>
      </c>
      <c r="H93" s="17">
        <f>IF($E$65&lt;1,($B$65*'3 - Scenario'!N30+$C$65*'3 - Scenario'!O30+$D$65*'3 - Scenario'!P30)/(1-$E$65),0)</f>
        <v>1.0080823020784315</v>
      </c>
      <c r="I93" s="17">
        <f>$E$65*'3 - Scenario'!Q30+((1-$E$65)-'1 - Caso e ipotesi'!$B$25*E93*MAX(0,B93-$E$65))*H93</f>
        <v>1.0080823020784315</v>
      </c>
      <c r="J93" s="17">
        <f t="shared" si="20"/>
        <v>1.2229248164053721</v>
      </c>
      <c r="K93" s="17">
        <f t="shared" si="21"/>
        <v>27.581846637515607</v>
      </c>
      <c r="L93" s="19">
        <f t="shared" si="22"/>
        <v>1</v>
      </c>
      <c r="M93" s="20">
        <f t="shared" si="23"/>
        <v>440994.95185301994</v>
      </c>
      <c r="N93" s="20">
        <f>'1 - Caso e ipotesi'!$B$7*G93</f>
        <v>40000</v>
      </c>
      <c r="O93" s="20">
        <f t="shared" si="19"/>
        <v>404235.91418582213</v>
      </c>
    </row>
    <row r="94" spans="1:15">
      <c r="A94" s="18">
        <v>26</v>
      </c>
      <c r="B94" s="9">
        <f>IF($E$65&gt;0,$E$65*'3 - Scenario'!Q30/I93,0)</f>
        <v>0</v>
      </c>
      <c r="C94" s="17">
        <f>IF($E$65&gt;0,D93/((1+'3 - Scenario'!C30)*'3 - Scenario'!Q30),C93)</f>
        <v>1</v>
      </c>
      <c r="D94" s="17">
        <f t="shared" si="16"/>
        <v>1</v>
      </c>
      <c r="E94" s="17">
        <f t="shared" si="17"/>
        <v>0</v>
      </c>
      <c r="F94" s="17">
        <f>'1 - Caso e ipotesi'!$B$25*E94*B94</f>
        <v>0</v>
      </c>
      <c r="G94" s="17">
        <f t="shared" si="18"/>
        <v>1</v>
      </c>
      <c r="H94" s="17">
        <f>IF($E$65&lt;1,($B$65*'3 - Scenario'!N31+$C$65*'3 - Scenario'!O31+$D$65*'3 - Scenario'!P31)/(1-$E$65),0)</f>
        <v>1.0080823020784315</v>
      </c>
      <c r="I94" s="17">
        <f>$E$65*'3 - Scenario'!Q31+((1-$E$65)-'1 - Caso e ipotesi'!$B$25*E94*MAX(0,B94-$E$65))*H94</f>
        <v>1.0080823020784315</v>
      </c>
      <c r="J94" s="17">
        <f t="shared" si="20"/>
        <v>1.2328088641907706</v>
      </c>
      <c r="K94" s="17">
        <f t="shared" si="21"/>
        <v>28.804771453920978</v>
      </c>
      <c r="L94" s="19">
        <f t="shared" si="22"/>
        <v>1</v>
      </c>
      <c r="M94" s="20">
        <f t="shared" si="23"/>
        <v>404235.91418582213</v>
      </c>
      <c r="N94" s="20">
        <f>'1 - Caso e ipotesi'!$B$7*G94</f>
        <v>40000</v>
      </c>
      <c r="O94" s="20">
        <f t="shared" si="19"/>
        <v>367179.77887208562</v>
      </c>
    </row>
    <row r="95" spans="1:15">
      <c r="A95" s="18">
        <v>27</v>
      </c>
      <c r="B95" s="9">
        <f>IF($E$65&gt;0,$E$65*'3 - Scenario'!Q31/I94,0)</f>
        <v>0</v>
      </c>
      <c r="C95" s="17">
        <f>IF($E$65&gt;0,D94/((1+'3 - Scenario'!C31)*'3 - Scenario'!Q31),C94)</f>
        <v>1</v>
      </c>
      <c r="D95" s="17">
        <f t="shared" si="16"/>
        <v>1</v>
      </c>
      <c r="E95" s="17">
        <f t="shared" si="17"/>
        <v>0</v>
      </c>
      <c r="F95" s="17">
        <f>'1 - Caso e ipotesi'!$B$25*E95*B95</f>
        <v>0</v>
      </c>
      <c r="G95" s="17">
        <f t="shared" si="18"/>
        <v>1</v>
      </c>
      <c r="H95" s="17">
        <f>IF($E$65&lt;1,($B$65*'3 - Scenario'!N32+$C$65*'3 - Scenario'!O32+$D$65*'3 - Scenario'!P32)/(1-$E$65),0)</f>
        <v>1.0080823020784315</v>
      </c>
      <c r="I95" s="17">
        <f>$E$65*'3 - Scenario'!Q32+((1-$E$65)-'1 - Caso e ipotesi'!$B$25*E95*MAX(0,B95-$E$65))*H95</f>
        <v>1.0080823020784315</v>
      </c>
      <c r="J95" s="17">
        <f t="shared" si="20"/>
        <v>1.2427727978361285</v>
      </c>
      <c r="K95" s="17">
        <f t="shared" si="21"/>
        <v>30.037580318111747</v>
      </c>
      <c r="L95" s="19">
        <f t="shared" si="22"/>
        <v>1</v>
      </c>
      <c r="M95" s="20">
        <f t="shared" si="23"/>
        <v>367179.77887208562</v>
      </c>
      <c r="N95" s="20">
        <f>'1 - Caso e ipotesi'!$B$7*G95</f>
        <v>40000</v>
      </c>
      <c r="O95" s="20">
        <f t="shared" si="19"/>
        <v>329824.14467888424</v>
      </c>
    </row>
    <row r="96" spans="1:15">
      <c r="A96" s="18">
        <v>28</v>
      </c>
      <c r="B96" s="9">
        <f>IF($E$65&gt;0,$E$65*'3 - Scenario'!Q32/I95,0)</f>
        <v>0</v>
      </c>
      <c r="C96" s="17">
        <f>IF($E$65&gt;0,D95/((1+'3 - Scenario'!C32)*'3 - Scenario'!Q32),C95)</f>
        <v>1</v>
      </c>
      <c r="D96" s="17">
        <f t="shared" si="16"/>
        <v>1</v>
      </c>
      <c r="E96" s="17">
        <f t="shared" si="17"/>
        <v>0</v>
      </c>
      <c r="F96" s="17">
        <f>'1 - Caso e ipotesi'!$B$25*E96*B96</f>
        <v>0</v>
      </c>
      <c r="G96" s="17">
        <f t="shared" si="18"/>
        <v>1</v>
      </c>
      <c r="H96" s="17">
        <f>IF($E$65&lt;1,($B$65*'3 - Scenario'!N33+$C$65*'3 - Scenario'!O33+$D$65*'3 - Scenario'!P33)/(1-$E$65),0)</f>
        <v>1.0080823020784315</v>
      </c>
      <c r="I96" s="17">
        <f>$E$65*'3 - Scenario'!Q33+((1-$E$65)-'1 - Caso e ipotesi'!$B$25*E96*MAX(0,B96-$E$65))*H96</f>
        <v>1.0080823020784315</v>
      </c>
      <c r="J96" s="17">
        <f t="shared" si="20"/>
        <v>1.2528172630030976</v>
      </c>
      <c r="K96" s="17">
        <f t="shared" si="21"/>
        <v>31.280353115947875</v>
      </c>
      <c r="L96" s="19">
        <f t="shared" si="22"/>
        <v>1</v>
      </c>
      <c r="M96" s="20">
        <f t="shared" si="23"/>
        <v>329824.14467888424</v>
      </c>
      <c r="N96" s="20">
        <f>'1 - Caso e ipotesi'!$B$7*G96</f>
        <v>40000</v>
      </c>
      <c r="O96" s="20">
        <f t="shared" si="19"/>
        <v>292166.59096580202</v>
      </c>
    </row>
    <row r="97" spans="1:15">
      <c r="A97" s="18">
        <v>29</v>
      </c>
      <c r="B97" s="9">
        <f>IF($E$65&gt;0,$E$65*'3 - Scenario'!Q33/I96,0)</f>
        <v>0</v>
      </c>
      <c r="C97" s="17">
        <f>IF($E$65&gt;0,D96/((1+'3 - Scenario'!C33)*'3 - Scenario'!Q33),C96)</f>
        <v>1</v>
      </c>
      <c r="D97" s="17">
        <f t="shared" si="16"/>
        <v>1</v>
      </c>
      <c r="E97" s="17">
        <f t="shared" si="17"/>
        <v>0</v>
      </c>
      <c r="F97" s="17">
        <f>'1 - Caso e ipotesi'!$B$25*E97*B97</f>
        <v>0</v>
      </c>
      <c r="G97" s="17">
        <f t="shared" si="18"/>
        <v>1</v>
      </c>
      <c r="H97" s="17">
        <f>IF($E$65&lt;1,($B$65*'3 - Scenario'!N34+$C$65*'3 - Scenario'!O34+$D$65*'3 - Scenario'!P34)/(1-$E$65),0)</f>
        <v>1.0080823020784315</v>
      </c>
      <c r="I97" s="17">
        <f>$E$65*'3 - Scenario'!Q34+((1-$E$65)-'1 - Caso e ipotesi'!$B$25*E97*MAX(0,B97-$E$65))*H97</f>
        <v>1.0080823020784315</v>
      </c>
      <c r="J97" s="17">
        <f t="shared" si="20"/>
        <v>1.2629429105717624</v>
      </c>
      <c r="K97" s="17">
        <f t="shared" si="21"/>
        <v>32.53317037895097</v>
      </c>
      <c r="L97" s="19">
        <f t="shared" si="22"/>
        <v>1</v>
      </c>
      <c r="M97" s="20">
        <f t="shared" si="23"/>
        <v>292166.59096580202</v>
      </c>
      <c r="N97" s="20">
        <f>'1 - Caso e ipotesi'!$B$7*G97</f>
        <v>40000</v>
      </c>
      <c r="O97" s="20">
        <f t="shared" si="19"/>
        <v>254204.67752807593</v>
      </c>
    </row>
    <row r="98" spans="1:15">
      <c r="A98" s="18">
        <v>30</v>
      </c>
      <c r="B98" s="9">
        <f>IF($E$65&gt;0,$E$65*'3 - Scenario'!Q34/I97,0)</f>
        <v>0</v>
      </c>
      <c r="C98" s="17">
        <f>IF($E$65&gt;0,D97/((1+'3 - Scenario'!C34)*'3 - Scenario'!Q34),C97)</f>
        <v>1</v>
      </c>
      <c r="D98" s="17">
        <f t="shared" si="16"/>
        <v>1</v>
      </c>
      <c r="E98" s="17">
        <f t="shared" si="17"/>
        <v>0</v>
      </c>
      <c r="F98" s="17">
        <f>'1 - Caso e ipotesi'!$B$25*E98*B98</f>
        <v>0</v>
      </c>
      <c r="G98" s="17">
        <f t="shared" si="18"/>
        <v>1</v>
      </c>
      <c r="H98" s="17">
        <f>IF($E$65&lt;1,($B$65*'3 - Scenario'!N35+$C$65*'3 - Scenario'!O35+$D$65*'3 - Scenario'!P35)/(1-$E$65),0)</f>
        <v>1.0080823020784315</v>
      </c>
      <c r="I98" s="17">
        <f>$E$65*'3 - Scenario'!Q35+((1-$E$65)-'1 - Caso e ipotesi'!$B$25*E98*MAX(0,B98-$E$65))*H98</f>
        <v>1.0080823020784315</v>
      </c>
      <c r="J98" s="17">
        <f t="shared" si="20"/>
        <v>1.273150396682817</v>
      </c>
      <c r="K98" s="17">
        <f t="shared" si="21"/>
        <v>33.796113289522729</v>
      </c>
      <c r="L98" s="19">
        <f t="shared" si="22"/>
        <v>1</v>
      </c>
      <c r="M98" s="20">
        <f t="shared" si="23"/>
        <v>254204.67752807593</v>
      </c>
      <c r="N98" s="20">
        <f>'1 - Caso e ipotesi'!$B$7*G98</f>
        <v>40000</v>
      </c>
      <c r="O98" s="20">
        <f t="shared" si="19"/>
        <v>215935.94443847085</v>
      </c>
    </row>
    <row r="99" spans="1:15">
      <c r="A99" s="18">
        <v>31</v>
      </c>
      <c r="B99" s="9">
        <f>IF($E$65&gt;0,$E$65*'3 - Scenario'!Q35/I98,0)</f>
        <v>0</v>
      </c>
      <c r="C99" s="17">
        <f>IF($E$65&gt;0,D98/((1+'3 - Scenario'!C35)*'3 - Scenario'!Q35),C98)</f>
        <v>1</v>
      </c>
      <c r="D99" s="17">
        <f t="shared" si="16"/>
        <v>1</v>
      </c>
      <c r="E99" s="17">
        <f t="shared" si="17"/>
        <v>0</v>
      </c>
      <c r="F99" s="17">
        <f>'1 - Caso e ipotesi'!$B$25*E99*B99</f>
        <v>0</v>
      </c>
      <c r="G99" s="17">
        <f t="shared" si="18"/>
        <v>1</v>
      </c>
      <c r="H99" s="17">
        <f>IF($E$65&lt;1,($B$65*'3 - Scenario'!N36+$C$65*'3 - Scenario'!O36+$D$65*'3 - Scenario'!P36)/(1-$E$65),0)</f>
        <v>1.0080823020784315</v>
      </c>
      <c r="I99" s="17">
        <f>$E$65*'3 - Scenario'!Q36+((1-$E$65)-'1 - Caso e ipotesi'!$B$25*E99*MAX(0,B99-$E$65))*H99</f>
        <v>1.0080823020784315</v>
      </c>
      <c r="J99" s="17">
        <f t="shared" si="20"/>
        <v>1.2834403827800824</v>
      </c>
      <c r="K99" s="17">
        <f t="shared" si="21"/>
        <v>35.069263686205545</v>
      </c>
      <c r="L99" s="19">
        <f t="shared" si="22"/>
        <v>1</v>
      </c>
      <c r="M99" s="20">
        <f t="shared" si="23"/>
        <v>215935.94443847085</v>
      </c>
      <c r="N99" s="20">
        <f>'1 - Caso e ipotesi'!$B$7*G99</f>
        <v>40000</v>
      </c>
      <c r="O99" s="20">
        <f t="shared" si="19"/>
        <v>177357.91188787672</v>
      </c>
    </row>
    <row r="100" spans="1:15">
      <c r="A100" s="18">
        <v>32</v>
      </c>
      <c r="B100" s="9">
        <f>IF($E$65&gt;0,$E$65*'3 - Scenario'!Q36/I99,0)</f>
        <v>0</v>
      </c>
      <c r="C100" s="17">
        <f>IF($E$65&gt;0,D99/((1+'3 - Scenario'!C36)*'3 - Scenario'!Q36),C99)</f>
        <v>1</v>
      </c>
      <c r="D100" s="17">
        <f t="shared" si="16"/>
        <v>1</v>
      </c>
      <c r="E100" s="17">
        <f t="shared" si="17"/>
        <v>0</v>
      </c>
      <c r="F100" s="17">
        <f>'1 - Caso e ipotesi'!$B$25*E100*B100</f>
        <v>0</v>
      </c>
      <c r="G100" s="17">
        <f t="shared" si="18"/>
        <v>1</v>
      </c>
      <c r="H100" s="17">
        <f>IF($E$65&lt;1,($B$65*'3 - Scenario'!N37+$C$65*'3 - Scenario'!O37+$D$65*'3 - Scenario'!P37)/(1-$E$65),0)</f>
        <v>1.0080823020784315</v>
      </c>
      <c r="I100" s="17">
        <f>$E$65*'3 - Scenario'!Q37+((1-$E$65)-'1 - Caso e ipotesi'!$B$25*E100*MAX(0,B100-$E$65))*H100</f>
        <v>1.0080823020784315</v>
      </c>
      <c r="J100" s="17">
        <f t="shared" si="20"/>
        <v>1.2938135356533689</v>
      </c>
      <c r="K100" s="17">
        <f t="shared" si="21"/>
        <v>36.352704068985631</v>
      </c>
      <c r="L100" s="19">
        <f t="shared" si="22"/>
        <v>1</v>
      </c>
      <c r="M100" s="20">
        <f t="shared" si="23"/>
        <v>177357.91188787672</v>
      </c>
      <c r="N100" s="20">
        <f>'1 - Caso e ipotesi'!$B$7*G100</f>
        <v>40000</v>
      </c>
      <c r="O100" s="20">
        <f t="shared" si="19"/>
        <v>138468.08002461711</v>
      </c>
    </row>
    <row r="101" spans="1:15">
      <c r="A101" s="18">
        <v>33</v>
      </c>
      <c r="B101" s="9">
        <f>IF($E$65&gt;0,$E$65*'3 - Scenario'!Q37/I100,0)</f>
        <v>0</v>
      </c>
      <c r="C101" s="17">
        <f>IF($E$65&gt;0,D100/((1+'3 - Scenario'!C37)*'3 - Scenario'!Q37),C100)</f>
        <v>1</v>
      </c>
      <c r="D101" s="17">
        <f t="shared" ref="D101:D132" si="24">IF($E$65&gt;0,IF(B101&gt;$E$65,C101,1-(1-C101)*B101/$E$65),C101)</f>
        <v>1</v>
      </c>
      <c r="E101" s="17">
        <f t="shared" ref="E101:E118" si="25">MAX(0,1-C101)</f>
        <v>0</v>
      </c>
      <c r="F101" s="17">
        <f>'1 - Caso e ipotesi'!$B$25*E101*B101</f>
        <v>0</v>
      </c>
      <c r="G101" s="17">
        <f t="shared" ref="G101:G132" si="26">1/(1-F101)</f>
        <v>1</v>
      </c>
      <c r="H101" s="17">
        <f>IF($E$65&lt;1,($B$65*'3 - Scenario'!N38+$C$65*'3 - Scenario'!O38+$D$65*'3 - Scenario'!P38)/(1-$E$65),0)</f>
        <v>1.0080823020784315</v>
      </c>
      <c r="I101" s="17">
        <f>$E$65*'3 - Scenario'!Q38+((1-$E$65)-'1 - Caso e ipotesi'!$B$25*E101*MAX(0,B101-$E$65))*H101</f>
        <v>1.0080823020784315</v>
      </c>
      <c r="J101" s="17">
        <f t="shared" si="20"/>
        <v>1.304270527481683</v>
      </c>
      <c r="K101" s="17">
        <f t="shared" si="21"/>
        <v>37.646517604639001</v>
      </c>
      <c r="L101" s="19">
        <f t="shared" si="22"/>
        <v>1</v>
      </c>
      <c r="M101" s="20">
        <f t="shared" si="23"/>
        <v>138468.08002461711</v>
      </c>
      <c r="N101" s="20">
        <f>'1 - Caso e ipotesi'!$B$7*G101</f>
        <v>40000</v>
      </c>
      <c r="O101" s="20">
        <f t="shared" ref="O101:O132" si="27">IF(L101=1,(M101-N101)*I101,0)</f>
        <v>99263.928792459235</v>
      </c>
    </row>
    <row r="102" spans="1:15">
      <c r="A102" s="18">
        <v>34</v>
      </c>
      <c r="B102" s="9">
        <f>IF($E$65&gt;0,$E$65*'3 - Scenario'!Q38/I101,0)</f>
        <v>0</v>
      </c>
      <c r="C102" s="17">
        <f>IF($E$65&gt;0,D101/((1+'3 - Scenario'!C38)*'3 - Scenario'!Q38),C101)</f>
        <v>1</v>
      </c>
      <c r="D102" s="17">
        <f t="shared" si="24"/>
        <v>1</v>
      </c>
      <c r="E102" s="17">
        <f t="shared" si="25"/>
        <v>0</v>
      </c>
      <c r="F102" s="17">
        <f>'1 - Caso e ipotesi'!$B$25*E102*B102</f>
        <v>0</v>
      </c>
      <c r="G102" s="17">
        <f t="shared" si="26"/>
        <v>1</v>
      </c>
      <c r="H102" s="17">
        <f>IF($E$65&lt;1,($B$65*'3 - Scenario'!N39+$C$65*'3 - Scenario'!O39+$D$65*'3 - Scenario'!P39)/(1-$E$65),0)</f>
        <v>1.0080823020784315</v>
      </c>
      <c r="I102" s="17">
        <f>$E$65*'3 - Scenario'!Q39+((1-$E$65)-'1 - Caso e ipotesi'!$B$25*E102*MAX(0,B102-$E$65))*H102</f>
        <v>1.0080823020784315</v>
      </c>
      <c r="J102" s="17">
        <f t="shared" ref="J102:J133" si="28">J101*I102</f>
        <v>1.3148120358767852</v>
      </c>
      <c r="K102" s="17">
        <f t="shared" ref="K102:K118" si="29">K101*I101+G102</f>
        <v>38.950788132120685</v>
      </c>
      <c r="L102" s="19">
        <f t="shared" ref="L102:L133" si="30">IF(AND(L101=1,M102-N102&gt;0),1,0)</f>
        <v>1</v>
      </c>
      <c r="M102" s="20">
        <f t="shared" ref="M102:M118" si="31">O101</f>
        <v>99263.928792459235</v>
      </c>
      <c r="N102" s="20">
        <f>'1 - Caso e ipotesi'!$B$7*G102</f>
        <v>40000</v>
      </c>
      <c r="O102" s="20">
        <f t="shared" si="27"/>
        <v>59742.917767314546</v>
      </c>
    </row>
    <row r="103" spans="1:15">
      <c r="A103" s="18">
        <v>35</v>
      </c>
      <c r="B103" s="9">
        <f>IF($E$65&gt;0,$E$65*'3 - Scenario'!Q39/I102,0)</f>
        <v>0</v>
      </c>
      <c r="C103" s="17">
        <f>IF($E$65&gt;0,D102/((1+'3 - Scenario'!C39)*'3 - Scenario'!Q39),C102)</f>
        <v>1</v>
      </c>
      <c r="D103" s="17">
        <f t="shared" si="24"/>
        <v>1</v>
      </c>
      <c r="E103" s="17">
        <f t="shared" si="25"/>
        <v>0</v>
      </c>
      <c r="F103" s="17">
        <f>'1 - Caso e ipotesi'!$B$25*E103*B103</f>
        <v>0</v>
      </c>
      <c r="G103" s="17">
        <f t="shared" si="26"/>
        <v>1</v>
      </c>
      <c r="H103" s="17">
        <f>IF($E$65&lt;1,($B$65*'3 - Scenario'!N40+$C$65*'3 - Scenario'!O40+$D$65*'3 - Scenario'!P40)/(1-$E$65),0)</f>
        <v>1.0080823020784315</v>
      </c>
      <c r="I103" s="17">
        <f>$E$65*'3 - Scenario'!Q40+((1-$E$65)-'1 - Caso e ipotesi'!$B$25*E103*MAX(0,B103-$E$65))*H103</f>
        <v>1.0080823020784315</v>
      </c>
      <c r="J103" s="17">
        <f t="shared" si="28"/>
        <v>1.3254387439270989</v>
      </c>
      <c r="K103" s="17">
        <f t="shared" si="29"/>
        <v>40.265600167997469</v>
      </c>
      <c r="L103" s="19">
        <f t="shared" si="30"/>
        <v>1</v>
      </c>
      <c r="M103" s="20">
        <f t="shared" si="31"/>
        <v>59742.917767314546</v>
      </c>
      <c r="N103" s="20">
        <f>'1 - Caso e ipotesi'!$B$7*G103</f>
        <v>40000</v>
      </c>
      <c r="O103" s="20">
        <f t="shared" si="27"/>
        <v>19902.485992619615</v>
      </c>
    </row>
    <row r="104" spans="1:15">
      <c r="A104" s="18">
        <v>36</v>
      </c>
      <c r="B104" s="9">
        <f>IF($E$65&gt;0,$E$65*'3 - Scenario'!Q40/I103,0)</f>
        <v>0</v>
      </c>
      <c r="C104" s="17">
        <f>IF($E$65&gt;0,D103/((1+'3 - Scenario'!C40)*'3 - Scenario'!Q40),C103)</f>
        <v>1</v>
      </c>
      <c r="D104" s="17">
        <f t="shared" si="24"/>
        <v>1</v>
      </c>
      <c r="E104" s="17">
        <f t="shared" si="25"/>
        <v>0</v>
      </c>
      <c r="F104" s="17">
        <f>'1 - Caso e ipotesi'!$B$25*E104*B104</f>
        <v>0</v>
      </c>
      <c r="G104" s="17">
        <f t="shared" si="26"/>
        <v>1</v>
      </c>
      <c r="H104" s="17">
        <f>IF($E$65&lt;1,($B$65*'3 - Scenario'!N41+$C$65*'3 - Scenario'!O41+$D$65*'3 - Scenario'!P41)/(1-$E$65),0)</f>
        <v>1.0080823020784315</v>
      </c>
      <c r="I104" s="17">
        <f>$E$65*'3 - Scenario'!Q41+((1-$E$65)-'1 - Caso e ipotesi'!$B$25*E104*MAX(0,B104-$E$65))*H104</f>
        <v>1.0080823020784315</v>
      </c>
      <c r="J104" s="17">
        <f t="shared" si="28"/>
        <v>1.3361513402419747</v>
      </c>
      <c r="K104" s="17">
        <f t="shared" si="29"/>
        <v>41.591038911924571</v>
      </c>
      <c r="L104" s="19">
        <f t="shared" si="30"/>
        <v>0</v>
      </c>
      <c r="M104" s="20">
        <f t="shared" si="31"/>
        <v>19902.485992619615</v>
      </c>
      <c r="N104" s="20">
        <f>'1 - Caso e ipotesi'!$B$7*G104</f>
        <v>40000</v>
      </c>
      <c r="O104" s="20">
        <f t="shared" si="27"/>
        <v>0</v>
      </c>
    </row>
    <row r="105" spans="1:15">
      <c r="A105" s="18">
        <v>37</v>
      </c>
      <c r="B105" s="9">
        <f>IF($E$65&gt;0,$E$65*'3 - Scenario'!Q41/I104,0)</f>
        <v>0</v>
      </c>
      <c r="C105" s="17">
        <f>IF($E$65&gt;0,D104/((1+'3 - Scenario'!C41)*'3 - Scenario'!Q41),C104)</f>
        <v>1</v>
      </c>
      <c r="D105" s="17">
        <f t="shared" si="24"/>
        <v>1</v>
      </c>
      <c r="E105" s="17">
        <f t="shared" si="25"/>
        <v>0</v>
      </c>
      <c r="F105" s="17">
        <f>'1 - Caso e ipotesi'!$B$25*E105*B105</f>
        <v>0</v>
      </c>
      <c r="G105" s="17">
        <f t="shared" si="26"/>
        <v>1</v>
      </c>
      <c r="H105" s="17">
        <f>IF($E$65&lt;1,($B$65*'3 - Scenario'!N42+$C$65*'3 - Scenario'!O42+$D$65*'3 - Scenario'!P42)/(1-$E$65),0)</f>
        <v>1.0080823020784315</v>
      </c>
      <c r="I105" s="17">
        <f>$E$65*'3 - Scenario'!Q42+((1-$E$65)-'1 - Caso e ipotesi'!$B$25*E105*MAX(0,B105-$E$65))*H105</f>
        <v>1.0080823020784315</v>
      </c>
      <c r="J105" s="17">
        <f t="shared" si="28"/>
        <v>1.3469505189963114</v>
      </c>
      <c r="K105" s="17">
        <f t="shared" si="29"/>
        <v>42.927190252166547</v>
      </c>
      <c r="L105" s="19">
        <f t="shared" si="30"/>
        <v>0</v>
      </c>
      <c r="M105" s="20">
        <f t="shared" si="31"/>
        <v>0</v>
      </c>
      <c r="N105" s="20">
        <f>'1 - Caso e ipotesi'!$B$7*G105</f>
        <v>40000</v>
      </c>
      <c r="O105" s="20">
        <f t="shared" si="27"/>
        <v>0</v>
      </c>
    </row>
    <row r="106" spans="1:15">
      <c r="A106" s="18">
        <v>38</v>
      </c>
      <c r="B106" s="9">
        <f>IF($E$65&gt;0,$E$65*'3 - Scenario'!Q42/I105,0)</f>
        <v>0</v>
      </c>
      <c r="C106" s="17">
        <f>IF($E$65&gt;0,D105/((1+'3 - Scenario'!C42)*'3 - Scenario'!Q42),C105)</f>
        <v>1</v>
      </c>
      <c r="D106" s="17">
        <f t="shared" si="24"/>
        <v>1</v>
      </c>
      <c r="E106" s="17">
        <f t="shared" si="25"/>
        <v>0</v>
      </c>
      <c r="F106" s="17">
        <f>'1 - Caso e ipotesi'!$B$25*E106*B106</f>
        <v>0</v>
      </c>
      <c r="G106" s="17">
        <f t="shared" si="26"/>
        <v>1</v>
      </c>
      <c r="H106" s="17">
        <f>IF($E$65&lt;1,($B$65*'3 - Scenario'!N43+$C$65*'3 - Scenario'!O43+$D$65*'3 - Scenario'!P43)/(1-$E$65),0)</f>
        <v>1.0080823020784315</v>
      </c>
      <c r="I106" s="17">
        <f>$E$65*'3 - Scenario'!Q43+((1-$E$65)-'1 - Caso e ipotesi'!$B$25*E106*MAX(0,B106-$E$65))*H106</f>
        <v>1.0080823020784315</v>
      </c>
      <c r="J106" s="17">
        <f t="shared" si="28"/>
        <v>1.3578369799755396</v>
      </c>
      <c r="K106" s="17">
        <f t="shared" si="29"/>
        <v>44.274140771162855</v>
      </c>
      <c r="L106" s="19">
        <f t="shared" si="30"/>
        <v>0</v>
      </c>
      <c r="M106" s="20">
        <f t="shared" si="31"/>
        <v>0</v>
      </c>
      <c r="N106" s="20">
        <f>'1 - Caso e ipotesi'!$B$7*G106</f>
        <v>40000</v>
      </c>
      <c r="O106" s="20">
        <f t="shared" si="27"/>
        <v>0</v>
      </c>
    </row>
    <row r="107" spans="1:15">
      <c r="A107" s="18">
        <v>39</v>
      </c>
      <c r="B107" s="9">
        <f>IF($E$65&gt;0,$E$65*'3 - Scenario'!Q43/I106,0)</f>
        <v>0</v>
      </c>
      <c r="C107" s="17">
        <f>IF($E$65&gt;0,D106/((1+'3 - Scenario'!C43)*'3 - Scenario'!Q43),C106)</f>
        <v>1</v>
      </c>
      <c r="D107" s="17">
        <f t="shared" si="24"/>
        <v>1</v>
      </c>
      <c r="E107" s="17">
        <f t="shared" si="25"/>
        <v>0</v>
      </c>
      <c r="F107" s="17">
        <f>'1 - Caso e ipotesi'!$B$25*E107*B107</f>
        <v>0</v>
      </c>
      <c r="G107" s="17">
        <f t="shared" si="26"/>
        <v>1</v>
      </c>
      <c r="H107" s="17">
        <f>IF($E$65&lt;1,($B$65*'3 - Scenario'!N44+$C$65*'3 - Scenario'!O44+$D$65*'3 - Scenario'!P44)/(1-$E$65),0)</f>
        <v>1.0080823020784315</v>
      </c>
      <c r="I107" s="17">
        <f>$E$65*'3 - Scenario'!Q44+((1-$E$65)-'1 - Caso e ipotesi'!$B$25*E107*MAX(0,B107-$E$65))*H107</f>
        <v>1.0080823020784315</v>
      </c>
      <c r="J107" s="17">
        <f t="shared" si="28"/>
        <v>1.3688114286209672</v>
      </c>
      <c r="K107" s="17">
        <f t="shared" si="29"/>
        <v>45.631977751138393</v>
      </c>
      <c r="L107" s="19">
        <f t="shared" si="30"/>
        <v>0</v>
      </c>
      <c r="M107" s="20">
        <f t="shared" si="31"/>
        <v>0</v>
      </c>
      <c r="N107" s="20">
        <f>'1 - Caso e ipotesi'!$B$7*G107</f>
        <v>40000</v>
      </c>
      <c r="O107" s="20">
        <f t="shared" si="27"/>
        <v>0</v>
      </c>
    </row>
    <row r="108" spans="1:15">
      <c r="A108" s="18">
        <v>40</v>
      </c>
      <c r="B108" s="9">
        <f>IF($E$65&gt;0,$E$65*'3 - Scenario'!Q44/I107,0)</f>
        <v>0</v>
      </c>
      <c r="C108" s="17">
        <f>IF($E$65&gt;0,D107/((1+'3 - Scenario'!C44)*'3 - Scenario'!Q44),C107)</f>
        <v>1</v>
      </c>
      <c r="D108" s="17">
        <f t="shared" si="24"/>
        <v>1</v>
      </c>
      <c r="E108" s="17">
        <f t="shared" si="25"/>
        <v>0</v>
      </c>
      <c r="F108" s="17">
        <f>'1 - Caso e ipotesi'!$B$25*E108*B108</f>
        <v>0</v>
      </c>
      <c r="G108" s="17">
        <f t="shared" si="26"/>
        <v>1</v>
      </c>
      <c r="H108" s="17">
        <f>IF($E$65&lt;1,($B$65*'3 - Scenario'!N45+$C$65*'3 - Scenario'!O45+$D$65*'3 - Scenario'!P45)/(1-$E$65),0)</f>
        <v>1.0080823020784315</v>
      </c>
      <c r="I108" s="17">
        <f>$E$65*'3 - Scenario'!Q45+((1-$E$65)-'1 - Caso e ipotesi'!$B$25*E108*MAX(0,B108-$E$65))*H108</f>
        <v>1.0080823020784315</v>
      </c>
      <c r="J108" s="17">
        <f t="shared" si="28"/>
        <v>1.3798745760754911</v>
      </c>
      <c r="K108" s="17">
        <f t="shared" si="29"/>
        <v>47.000789179759359</v>
      </c>
      <c r="L108" s="19">
        <f t="shared" si="30"/>
        <v>0</v>
      </c>
      <c r="M108" s="20">
        <f t="shared" si="31"/>
        <v>0</v>
      </c>
      <c r="N108" s="20">
        <f>'1 - Caso e ipotesi'!$B$7*G108</f>
        <v>40000</v>
      </c>
      <c r="O108" s="20">
        <f t="shared" si="27"/>
        <v>0</v>
      </c>
    </row>
    <row r="109" spans="1:15">
      <c r="A109" s="18">
        <v>41</v>
      </c>
      <c r="B109" s="9">
        <f>IF($E$65&gt;0,$E$65*'3 - Scenario'!Q45/I108,0)</f>
        <v>0</v>
      </c>
      <c r="C109" s="17">
        <f>IF($E$65&gt;0,D108/((1+'3 - Scenario'!C45)*'3 - Scenario'!Q45),C108)</f>
        <v>1</v>
      </c>
      <c r="D109" s="17">
        <f t="shared" si="24"/>
        <v>1</v>
      </c>
      <c r="E109" s="17">
        <f t="shared" si="25"/>
        <v>0</v>
      </c>
      <c r="F109" s="17">
        <f>'1 - Caso e ipotesi'!$B$25*E109*B109</f>
        <v>0</v>
      </c>
      <c r="G109" s="17">
        <f t="shared" si="26"/>
        <v>1</v>
      </c>
      <c r="H109" s="17">
        <f>IF($E$65&lt;1,($B$65*'3 - Scenario'!N46+$C$65*'3 - Scenario'!O46+$D$65*'3 - Scenario'!P46)/(1-$E$65),0)</f>
        <v>1.0080823020784315</v>
      </c>
      <c r="I109" s="17">
        <f>$E$65*'3 - Scenario'!Q46+((1-$E$65)-'1 - Caso e ipotesi'!$B$25*E109*MAX(0,B109-$E$65))*H109</f>
        <v>1.0080823020784315</v>
      </c>
      <c r="J109" s="17">
        <f t="shared" si="28"/>
        <v>1.3910271392296809</v>
      </c>
      <c r="K109" s="17">
        <f t="shared" si="29"/>
        <v>48.380663755834853</v>
      </c>
      <c r="L109" s="19">
        <f t="shared" si="30"/>
        <v>0</v>
      </c>
      <c r="M109" s="20">
        <f t="shared" si="31"/>
        <v>0</v>
      </c>
      <c r="N109" s="20">
        <f>'1 - Caso e ipotesi'!$B$7*G109</f>
        <v>40000</v>
      </c>
      <c r="O109" s="20">
        <f t="shared" si="27"/>
        <v>0</v>
      </c>
    </row>
    <row r="110" spans="1:15">
      <c r="A110" s="18">
        <v>42</v>
      </c>
      <c r="B110" s="9">
        <f>IF($E$65&gt;0,$E$65*'3 - Scenario'!Q46/I109,0)</f>
        <v>0</v>
      </c>
      <c r="C110" s="17">
        <f>IF($E$65&gt;0,D109/((1+'3 - Scenario'!C46)*'3 - Scenario'!Q46),C109)</f>
        <v>1</v>
      </c>
      <c r="D110" s="17">
        <f t="shared" si="24"/>
        <v>1</v>
      </c>
      <c r="E110" s="17">
        <f t="shared" si="25"/>
        <v>0</v>
      </c>
      <c r="F110" s="17">
        <f>'1 - Caso e ipotesi'!$B$25*E110*B110</f>
        <v>0</v>
      </c>
      <c r="G110" s="17">
        <f t="shared" si="26"/>
        <v>1</v>
      </c>
      <c r="H110" s="17">
        <f>IF($E$65&lt;1,($B$65*'3 - Scenario'!N47+$C$65*'3 - Scenario'!O47+$D$65*'3 - Scenario'!P47)/(1-$E$65),0)</f>
        <v>1.0080823020784315</v>
      </c>
      <c r="I110" s="17">
        <f>$E$65*'3 - Scenario'!Q47+((1-$E$65)-'1 - Caso e ipotesi'!$B$25*E110*MAX(0,B110-$E$65))*H110</f>
        <v>1.0080823020784315</v>
      </c>
      <c r="J110" s="17">
        <f t="shared" si="28"/>
        <v>1.4022698407682317</v>
      </c>
      <c r="K110" s="17">
        <f t="shared" si="29"/>
        <v>49.77169089506453</v>
      </c>
      <c r="L110" s="19">
        <f t="shared" si="30"/>
        <v>0</v>
      </c>
      <c r="M110" s="20">
        <f t="shared" si="31"/>
        <v>0</v>
      </c>
      <c r="N110" s="20">
        <f>'1 - Caso e ipotesi'!$B$7*G110</f>
        <v>40000</v>
      </c>
      <c r="O110" s="20">
        <f t="shared" si="27"/>
        <v>0</v>
      </c>
    </row>
    <row r="111" spans="1:15">
      <c r="A111" s="18">
        <v>43</v>
      </c>
      <c r="B111" s="9">
        <f>IF($E$65&gt;0,$E$65*'3 - Scenario'!Q47/I110,0)</f>
        <v>0</v>
      </c>
      <c r="C111" s="17">
        <f>IF($E$65&gt;0,D110/((1+'3 - Scenario'!C47)*'3 - Scenario'!Q47),C110)</f>
        <v>1</v>
      </c>
      <c r="D111" s="17">
        <f t="shared" si="24"/>
        <v>1</v>
      </c>
      <c r="E111" s="17">
        <f t="shared" si="25"/>
        <v>0</v>
      </c>
      <c r="F111" s="17">
        <f>'1 - Caso e ipotesi'!$B$25*E111*B111</f>
        <v>0</v>
      </c>
      <c r="G111" s="17">
        <f t="shared" si="26"/>
        <v>1</v>
      </c>
      <c r="H111" s="17">
        <f>IF($E$65&lt;1,($B$65*'3 - Scenario'!N48+$C$65*'3 - Scenario'!O48+$D$65*'3 - Scenario'!P48)/(1-$E$65),0)</f>
        <v>1.0080823020784315</v>
      </c>
      <c r="I111" s="17">
        <f>$E$65*'3 - Scenario'!Q48+((1-$E$65)-'1 - Caso e ipotesi'!$B$25*E111*MAX(0,B111-$E$65))*H111</f>
        <v>1.0080823020784315</v>
      </c>
      <c r="J111" s="17">
        <f t="shared" si="28"/>
        <v>1.4136034092167946</v>
      </c>
      <c r="K111" s="17">
        <f t="shared" si="29"/>
        <v>51.173960735832765</v>
      </c>
      <c r="L111" s="19">
        <f t="shared" si="30"/>
        <v>0</v>
      </c>
      <c r="M111" s="20">
        <f t="shared" si="31"/>
        <v>0</v>
      </c>
      <c r="N111" s="20">
        <f>'1 - Caso e ipotesi'!$B$7*G111</f>
        <v>40000</v>
      </c>
      <c r="O111" s="20">
        <f t="shared" si="27"/>
        <v>0</v>
      </c>
    </row>
    <row r="112" spans="1:15">
      <c r="A112" s="18">
        <v>44</v>
      </c>
      <c r="B112" s="9">
        <f>IF($E$65&gt;0,$E$65*'3 - Scenario'!Q48/I111,0)</f>
        <v>0</v>
      </c>
      <c r="C112" s="17">
        <f>IF($E$65&gt;0,D111/((1+'3 - Scenario'!C48)*'3 - Scenario'!Q48),C111)</f>
        <v>1</v>
      </c>
      <c r="D112" s="17">
        <f t="shared" si="24"/>
        <v>1</v>
      </c>
      <c r="E112" s="17">
        <f t="shared" si="25"/>
        <v>0</v>
      </c>
      <c r="F112" s="17">
        <f>'1 - Caso e ipotesi'!$B$25*E112*B112</f>
        <v>0</v>
      </c>
      <c r="G112" s="17">
        <f t="shared" si="26"/>
        <v>1</v>
      </c>
      <c r="H112" s="17">
        <f>IF($E$65&lt;1,($B$65*'3 - Scenario'!N49+$C$65*'3 - Scenario'!O49+$D$65*'3 - Scenario'!P49)/(1-$E$65),0)</f>
        <v>1.0080823020784315</v>
      </c>
      <c r="I112" s="17">
        <f>$E$65*'3 - Scenario'!Q49+((1-$E$65)-'1 - Caso e ipotesi'!$B$25*E112*MAX(0,B112-$E$65))*H112</f>
        <v>1.0080823020784315</v>
      </c>
      <c r="J112" s="17">
        <f t="shared" si="28"/>
        <v>1.4250285789891854</v>
      </c>
      <c r="K112" s="17">
        <f t="shared" si="29"/>
        <v>52.587564145049562</v>
      </c>
      <c r="L112" s="19">
        <f t="shared" si="30"/>
        <v>0</v>
      </c>
      <c r="M112" s="20">
        <f t="shared" si="31"/>
        <v>0</v>
      </c>
      <c r="N112" s="20">
        <f>'1 - Caso e ipotesi'!$B$7*G112</f>
        <v>40000</v>
      </c>
      <c r="O112" s="20">
        <f t="shared" si="27"/>
        <v>0</v>
      </c>
    </row>
    <row r="113" spans="1:15">
      <c r="A113" s="18">
        <v>45</v>
      </c>
      <c r="B113" s="9">
        <f>IF($E$65&gt;0,$E$65*'3 - Scenario'!Q49/I112,0)</f>
        <v>0</v>
      </c>
      <c r="C113" s="17">
        <f>IF($E$65&gt;0,D112/((1+'3 - Scenario'!C49)*'3 - Scenario'!Q49),C112)</f>
        <v>1</v>
      </c>
      <c r="D113" s="17">
        <f t="shared" si="24"/>
        <v>1</v>
      </c>
      <c r="E113" s="17">
        <f t="shared" si="25"/>
        <v>0</v>
      </c>
      <c r="F113" s="17">
        <f>'1 - Caso e ipotesi'!$B$25*E113*B113</f>
        <v>0</v>
      </c>
      <c r="G113" s="17">
        <f t="shared" si="26"/>
        <v>1</v>
      </c>
      <c r="H113" s="17">
        <f>IF($E$65&lt;1,($B$65*'3 - Scenario'!N50+$C$65*'3 - Scenario'!O50+$D$65*'3 - Scenario'!P50)/(1-$E$65),0)</f>
        <v>1.0080823020784315</v>
      </c>
      <c r="I113" s="17">
        <f>$E$65*'3 - Scenario'!Q50+((1-$E$65)-'1 - Caso e ipotesi'!$B$25*E113*MAX(0,B113-$E$65))*H113</f>
        <v>1.0080823020784315</v>
      </c>
      <c r="J113" s="17">
        <f t="shared" si="28"/>
        <v>1.4365460904349741</v>
      </c>
      <c r="K113" s="17">
        <f t="shared" si="29"/>
        <v>54.012592724038747</v>
      </c>
      <c r="L113" s="19">
        <f t="shared" si="30"/>
        <v>0</v>
      </c>
      <c r="M113" s="20">
        <f t="shared" si="31"/>
        <v>0</v>
      </c>
      <c r="N113" s="20">
        <f>'1 - Caso e ipotesi'!$B$7*G113</f>
        <v>40000</v>
      </c>
      <c r="O113" s="20">
        <f t="shared" si="27"/>
        <v>0</v>
      </c>
    </row>
    <row r="114" spans="1:15">
      <c r="A114" s="18">
        <v>46</v>
      </c>
      <c r="B114" s="9">
        <f>IF($E$65&gt;0,$E$65*'3 - Scenario'!Q50/I113,0)</f>
        <v>0</v>
      </c>
      <c r="C114" s="17">
        <f>IF($E$65&gt;0,D113/((1+'3 - Scenario'!C50)*'3 - Scenario'!Q50),C113)</f>
        <v>1</v>
      </c>
      <c r="D114" s="17">
        <f t="shared" si="24"/>
        <v>1</v>
      </c>
      <c r="E114" s="17">
        <f t="shared" si="25"/>
        <v>0</v>
      </c>
      <c r="F114" s="17">
        <f>'1 - Caso e ipotesi'!$B$25*E114*B114</f>
        <v>0</v>
      </c>
      <c r="G114" s="17">
        <f t="shared" si="26"/>
        <v>1</v>
      </c>
      <c r="H114" s="17">
        <f>IF($E$65&lt;1,($B$65*'3 - Scenario'!N51+$C$65*'3 - Scenario'!O51+$D$65*'3 - Scenario'!P51)/(1-$E$65),0)</f>
        <v>1.0080823020784315</v>
      </c>
      <c r="I114" s="17">
        <f>$E$65*'3 - Scenario'!Q51+((1-$E$65)-'1 - Caso e ipotesi'!$B$25*E114*MAX(0,B114-$E$65))*H114</f>
        <v>1.0080823020784315</v>
      </c>
      <c r="J114" s="17">
        <f t="shared" si="28"/>
        <v>1.4481566898874594</v>
      </c>
      <c r="K114" s="17">
        <f t="shared" si="29"/>
        <v>55.44913881447372</v>
      </c>
      <c r="L114" s="19">
        <f t="shared" si="30"/>
        <v>0</v>
      </c>
      <c r="M114" s="20">
        <f t="shared" si="31"/>
        <v>0</v>
      </c>
      <c r="N114" s="20">
        <f>'1 - Caso e ipotesi'!$B$7*G114</f>
        <v>40000</v>
      </c>
      <c r="O114" s="20">
        <f t="shared" si="27"/>
        <v>0</v>
      </c>
    </row>
    <row r="115" spans="1:15">
      <c r="A115" s="18">
        <v>47</v>
      </c>
      <c r="B115" s="9">
        <f>IF($E$65&gt;0,$E$65*'3 - Scenario'!Q51/I114,0)</f>
        <v>0</v>
      </c>
      <c r="C115" s="17">
        <f>IF($E$65&gt;0,D114/((1+'3 - Scenario'!C51)*'3 - Scenario'!Q51),C114)</f>
        <v>1</v>
      </c>
      <c r="D115" s="17">
        <f t="shared" si="24"/>
        <v>1</v>
      </c>
      <c r="E115" s="17">
        <f t="shared" si="25"/>
        <v>0</v>
      </c>
      <c r="F115" s="17">
        <f>'1 - Caso e ipotesi'!$B$25*E115*B115</f>
        <v>0</v>
      </c>
      <c r="G115" s="17">
        <f t="shared" si="26"/>
        <v>1</v>
      </c>
      <c r="H115" s="17">
        <f>IF($E$65&lt;1,($B$65*'3 - Scenario'!N52+$C$65*'3 - Scenario'!O52+$D$65*'3 - Scenario'!P52)/(1-$E$65),0)</f>
        <v>1.0080823020784315</v>
      </c>
      <c r="I115" s="17">
        <f>$E$65*'3 - Scenario'!Q52+((1-$E$65)-'1 - Caso e ipotesi'!$B$25*E115*MAX(0,B115-$E$65))*H115</f>
        <v>1.0080823020784315</v>
      </c>
      <c r="J115" s="17">
        <f t="shared" si="28"/>
        <v>1.4598611297120314</v>
      </c>
      <c r="K115" s="17">
        <f t="shared" si="29"/>
        <v>56.897295504361182</v>
      </c>
      <c r="L115" s="19">
        <f t="shared" si="30"/>
        <v>0</v>
      </c>
      <c r="M115" s="20">
        <f t="shared" si="31"/>
        <v>0</v>
      </c>
      <c r="N115" s="20">
        <f>'1 - Caso e ipotesi'!$B$7*G115</f>
        <v>40000</v>
      </c>
      <c r="O115" s="20">
        <f t="shared" si="27"/>
        <v>0</v>
      </c>
    </row>
    <row r="116" spans="1:15">
      <c r="A116" s="18">
        <v>48</v>
      </c>
      <c r="B116" s="9">
        <f>IF($E$65&gt;0,$E$65*'3 - Scenario'!Q52/I115,0)</f>
        <v>0</v>
      </c>
      <c r="C116" s="17">
        <f>IF($E$65&gt;0,D115/((1+'3 - Scenario'!C52)*'3 - Scenario'!Q52),C115)</f>
        <v>1</v>
      </c>
      <c r="D116" s="17">
        <f t="shared" si="24"/>
        <v>1</v>
      </c>
      <c r="E116" s="17">
        <f t="shared" si="25"/>
        <v>0</v>
      </c>
      <c r="F116" s="17">
        <f>'1 - Caso e ipotesi'!$B$25*E116*B116</f>
        <v>0</v>
      </c>
      <c r="G116" s="17">
        <f t="shared" si="26"/>
        <v>1</v>
      </c>
      <c r="H116" s="17">
        <f>IF($E$65&lt;1,($B$65*'3 - Scenario'!N53+$C$65*'3 - Scenario'!O53+$D$65*'3 - Scenario'!P53)/(1-$E$65),0)</f>
        <v>1.0080823020784315</v>
      </c>
      <c r="I116" s="17">
        <f>$E$65*'3 - Scenario'!Q53+((1-$E$65)-'1 - Caso e ipotesi'!$B$25*E116*MAX(0,B116-$E$65))*H116</f>
        <v>1.0080823020784315</v>
      </c>
      <c r="J116" s="17">
        <f t="shared" si="28"/>
        <v>1.4716601683549244</v>
      </c>
      <c r="K116" s="17">
        <f t="shared" si="29"/>
        <v>58.357156634073213</v>
      </c>
      <c r="L116" s="19">
        <f t="shared" si="30"/>
        <v>0</v>
      </c>
      <c r="M116" s="20">
        <f t="shared" si="31"/>
        <v>0</v>
      </c>
      <c r="N116" s="20">
        <f>'1 - Caso e ipotesi'!$B$7*G116</f>
        <v>40000</v>
      </c>
      <c r="O116" s="20">
        <f t="shared" si="27"/>
        <v>0</v>
      </c>
    </row>
    <row r="117" spans="1:15">
      <c r="A117" s="18">
        <v>49</v>
      </c>
      <c r="B117" s="9">
        <f>IF($E$65&gt;0,$E$65*'3 - Scenario'!Q53/I116,0)</f>
        <v>0</v>
      </c>
      <c r="C117" s="17">
        <f>IF($E$65&gt;0,D116/((1+'3 - Scenario'!C53)*'3 - Scenario'!Q53),C116)</f>
        <v>1</v>
      </c>
      <c r="D117" s="17">
        <f t="shared" si="24"/>
        <v>1</v>
      </c>
      <c r="E117" s="17">
        <f t="shared" si="25"/>
        <v>0</v>
      </c>
      <c r="F117" s="17">
        <f>'1 - Caso e ipotesi'!$B$25*E117*B117</f>
        <v>0</v>
      </c>
      <c r="G117" s="17">
        <f t="shared" si="26"/>
        <v>1</v>
      </c>
      <c r="H117" s="17">
        <f>IF($E$65&lt;1,($B$65*'3 - Scenario'!N54+$C$65*'3 - Scenario'!O54+$D$65*'3 - Scenario'!P54)/(1-$E$65),0)</f>
        <v>1.0080823020784315</v>
      </c>
      <c r="I117" s="17">
        <f>$E$65*'3 - Scenario'!Q54+((1-$E$65)-'1 - Caso e ipotesi'!$B$25*E117*MAX(0,B117-$E$65))*H117</f>
        <v>1.0080823020784315</v>
      </c>
      <c r="J117" s="17">
        <f t="shared" si="28"/>
        <v>1.4835545703923643</v>
      </c>
      <c r="K117" s="17">
        <f t="shared" si="29"/>
        <v>59.828816802428136</v>
      </c>
      <c r="L117" s="19">
        <f t="shared" si="30"/>
        <v>0</v>
      </c>
      <c r="M117" s="20">
        <f t="shared" si="31"/>
        <v>0</v>
      </c>
      <c r="N117" s="20">
        <f>'1 - Caso e ipotesi'!$B$7*G117</f>
        <v>40000</v>
      </c>
      <c r="O117" s="20">
        <f t="shared" si="27"/>
        <v>0</v>
      </c>
    </row>
    <row r="118" spans="1:15">
      <c r="A118" s="18">
        <v>50</v>
      </c>
      <c r="B118" s="9">
        <f>IF($E$65&gt;0,$E$65*'3 - Scenario'!Q54/I117,0)</f>
        <v>0</v>
      </c>
      <c r="C118" s="17">
        <f>IF($E$65&gt;0,D117/((1+'3 - Scenario'!C54)*'3 - Scenario'!Q54),C117)</f>
        <v>1</v>
      </c>
      <c r="D118" s="17">
        <f t="shared" si="24"/>
        <v>1</v>
      </c>
      <c r="E118" s="17">
        <f t="shared" si="25"/>
        <v>0</v>
      </c>
      <c r="F118" s="17">
        <f>'1 - Caso e ipotesi'!$B$25*E118*B118</f>
        <v>0</v>
      </c>
      <c r="G118" s="17">
        <f t="shared" si="26"/>
        <v>1</v>
      </c>
      <c r="H118" s="17">
        <f>IF($E$65&lt;1,($B$65*'3 - Scenario'!N55+$C$65*'3 - Scenario'!O55+$D$65*'3 - Scenario'!P55)/(1-$E$65),0)</f>
        <v>1.0080823020784315</v>
      </c>
      <c r="I118" s="17">
        <f>$E$65*'3 - Scenario'!Q55+((1-$E$65)-'1 - Caso e ipotesi'!$B$25*E118*MAX(0,B118-$E$65))*H118</f>
        <v>1.0080823020784315</v>
      </c>
      <c r="J118" s="17">
        <f t="shared" si="28"/>
        <v>1.4955451065801131</v>
      </c>
      <c r="K118" s="17">
        <f t="shared" si="29"/>
        <v>61.3123713728205</v>
      </c>
      <c r="L118" s="19">
        <f t="shared" si="30"/>
        <v>0</v>
      </c>
      <c r="M118" s="20">
        <f t="shared" si="31"/>
        <v>0</v>
      </c>
      <c r="N118" s="20">
        <f>'1 - Caso e ipotesi'!$B$7*G118</f>
        <v>40000</v>
      </c>
      <c r="O118" s="20">
        <f t="shared" si="27"/>
        <v>0</v>
      </c>
    </row>
    <row r="121" spans="1:15">
      <c r="A121" s="25" t="s">
        <v>202</v>
      </c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</row>
    <row r="122" spans="1:15">
      <c r="A122" s="10" t="s">
        <v>182</v>
      </c>
      <c r="B122" s="10" t="s">
        <v>50</v>
      </c>
      <c r="C122" s="10" t="s">
        <v>51</v>
      </c>
      <c r="D122" s="10" t="s">
        <v>52</v>
      </c>
      <c r="E122" s="10" t="s">
        <v>53</v>
      </c>
    </row>
    <row r="123" spans="1:15">
      <c r="A123" s="5" t="s">
        <v>183</v>
      </c>
      <c r="B123" s="9">
        <f>'1 - Caso e ipotesi'!D12/SUM('1 - Caso e ipotesi'!D$12:D$15)</f>
        <v>0.24</v>
      </c>
      <c r="C123" s="9">
        <f>'1 - Caso e ipotesi'!D13/SUM('1 - Caso e ipotesi'!D$12:D$15)</f>
        <v>0.16</v>
      </c>
      <c r="D123" s="9">
        <f>'1 - Caso e ipotesi'!D14/SUM('1 - Caso e ipotesi'!D$12:D$15)</f>
        <v>0</v>
      </c>
      <c r="E123" s="9">
        <f>'1 - Caso e ipotesi'!D15/SUM('1 - Caso e ipotesi'!D$12:D$15)</f>
        <v>0.6</v>
      </c>
    </row>
    <row r="124" spans="1:15">
      <c r="A124" s="5" t="s">
        <v>184</v>
      </c>
      <c r="B124" s="20">
        <f>'1 - Caso e ipotesi'!$B$6*INDEX(J127:J176,'1 - Caso e ipotesi'!$B$8-1)/INDEX(K127:K176,'1 - Caso e ipotesi'!$B$8)</f>
        <v>44386.962087073953</v>
      </c>
    </row>
    <row r="125" spans="1:15">
      <c r="A125" s="5" t="s">
        <v>185</v>
      </c>
      <c r="B125" s="19">
        <f>SUM(L127:L176)</f>
        <v>47</v>
      </c>
    </row>
    <row r="126" spans="1:15" ht="48" customHeight="1">
      <c r="A126" s="10" t="s">
        <v>186</v>
      </c>
      <c r="B126" s="10" t="s">
        <v>187</v>
      </c>
      <c r="C126" s="10" t="s">
        <v>188</v>
      </c>
      <c r="D126" s="10" t="s">
        <v>189</v>
      </c>
      <c r="E126" s="10" t="s">
        <v>190</v>
      </c>
      <c r="F126" s="10" t="s">
        <v>191</v>
      </c>
      <c r="G126" s="10" t="s">
        <v>192</v>
      </c>
      <c r="H126" s="10" t="s">
        <v>193</v>
      </c>
      <c r="I126" s="10" t="s">
        <v>194</v>
      </c>
      <c r="J126" s="10" t="s">
        <v>195</v>
      </c>
      <c r="K126" s="10" t="s">
        <v>196</v>
      </c>
      <c r="L126" s="10" t="s">
        <v>197</v>
      </c>
      <c r="M126" s="10" t="s">
        <v>198</v>
      </c>
      <c r="N126" s="10" t="s">
        <v>199</v>
      </c>
      <c r="O126" s="10" t="s">
        <v>200</v>
      </c>
    </row>
    <row r="127" spans="1:15">
      <c r="A127" s="18">
        <v>1</v>
      </c>
      <c r="B127" s="9">
        <f>$E$123</f>
        <v>0.6</v>
      </c>
      <c r="C127" s="17">
        <f>1-'1 - Caso e ipotesi'!$B$27</f>
        <v>1</v>
      </c>
      <c r="D127" s="17">
        <f t="shared" ref="D127:D158" si="32">IF($E$123&gt;0,IF(B127&gt;$E$123,C127,1-(1-C127)*B127/$E$123),C127)</f>
        <v>1</v>
      </c>
      <c r="E127" s="17">
        <f t="shared" ref="E127:E158" si="33">MAX(0,1-C127)</f>
        <v>0</v>
      </c>
      <c r="F127" s="17">
        <f>'1 - Caso e ipotesi'!$B$25*E127*B127</f>
        <v>0</v>
      </c>
      <c r="G127" s="17">
        <f t="shared" ref="G127:G158" si="34">1/(1-F127)</f>
        <v>1</v>
      </c>
      <c r="H127" s="17">
        <f>IF($E$123&lt;1,($B$123*'3 - Scenario'!N6+$C$123*'3 - Scenario'!O6+$D$123*'3 - Scenario'!P6)/(1-$E$123),0)</f>
        <v>1.0086440196078432</v>
      </c>
      <c r="I127" s="17">
        <f>$E$123*'3 - Scenario'!Q6+((1-$E$123)-'1 - Caso e ipotesi'!$B$25*E127*MAX(0,B127-$E$123))*H127</f>
        <v>1.0262096078431373</v>
      </c>
      <c r="J127" s="17">
        <f>I127</f>
        <v>1.0262096078431373</v>
      </c>
      <c r="K127" s="17">
        <f>G127</f>
        <v>1</v>
      </c>
      <c r="L127" s="19">
        <f>IF(M127-N127&gt;0,1,0)</f>
        <v>1</v>
      </c>
      <c r="M127" s="20">
        <f>'1 - Caso e ipotesi'!$B$6</f>
        <v>1240000</v>
      </c>
      <c r="N127" s="20">
        <f>'1 - Caso e ipotesi'!$B$7*G127</f>
        <v>40000</v>
      </c>
      <c r="O127" s="20">
        <f t="shared" ref="O127:O158" si="35">IF(L127=1,(M127-N127)*I127,0)</f>
        <v>1231451.5294117648</v>
      </c>
    </row>
    <row r="128" spans="1:15">
      <c r="A128" s="18">
        <v>2</v>
      </c>
      <c r="B128" s="9">
        <f>IF($E$123&gt;0,$E$123*'3 - Scenario'!Q6/I127,0)</f>
        <v>0.60684678377635259</v>
      </c>
      <c r="C128" s="17">
        <f>IF($E$123&gt;0,D127/((1+'3 - Scenario'!C6)*'3 - Scenario'!Q6),C127)</f>
        <v>0.94457391404226254</v>
      </c>
      <c r="D128" s="17">
        <f t="shared" si="32"/>
        <v>0.94457391404226254</v>
      </c>
      <c r="E128" s="17">
        <f t="shared" si="33"/>
        <v>5.5426085957737459E-2</v>
      </c>
      <c r="F128" s="17">
        <f>'1 - Caso e ipotesi'!$B$25*E128*B128</f>
        <v>8.7451369201988066E-3</v>
      </c>
      <c r="G128" s="17">
        <f t="shared" si="34"/>
        <v>1.0088222890458545</v>
      </c>
      <c r="H128" s="17">
        <f>IF($E$123&lt;1,($B$123*'3 - Scenario'!N7+$C$123*'3 - Scenario'!O7+$D$123*'3 - Scenario'!P7)/(1-$E$123),0)</f>
        <v>1.0086440196078432</v>
      </c>
      <c r="I128" s="17">
        <f>$E$123*'3 - Scenario'!Q7+((1-$E$123)-'1 - Caso e ipotesi'!$B$25*E128*MAX(0,B128-$E$123))*H128</f>
        <v>1.0261100874484477</v>
      </c>
      <c r="J128" s="17">
        <f t="shared" ref="J128:J159" si="36">J127*I128</f>
        <v>1.0530040304443589</v>
      </c>
      <c r="K128" s="17">
        <f t="shared" ref="K128:K159" si="37">K127*I127+G128</f>
        <v>2.0350318968889916</v>
      </c>
      <c r="L128" s="19">
        <f t="shared" ref="L128:L159" si="38">IF(AND(L127=1,M128-N128&gt;0),1,0)</f>
        <v>1</v>
      </c>
      <c r="M128" s="20">
        <f t="shared" ref="M128:M159" si="39">O127</f>
        <v>1231451.5294117648</v>
      </c>
      <c r="N128" s="20">
        <f>'1 - Caso e ipotesi'!$B$7*G128</f>
        <v>40352.891561834178</v>
      </c>
      <c r="O128" s="20">
        <f t="shared" si="35"/>
        <v>1222198.3274439194</v>
      </c>
    </row>
    <row r="129" spans="1:15">
      <c r="A129" s="18">
        <v>3</v>
      </c>
      <c r="B129" s="9">
        <f>IF($E$123&gt;0,$E$123*'3 - Scenario'!Q7/I128,0)</f>
        <v>0.60690564064968067</v>
      </c>
      <c r="C129" s="17">
        <f>IF($E$123&gt;0,D128/((1+'3 - Scenario'!C7)*'3 - Scenario'!Q7),C128)</f>
        <v>0.89221987908911948</v>
      </c>
      <c r="D129" s="17">
        <f t="shared" si="32"/>
        <v>0.89221987908911948</v>
      </c>
      <c r="E129" s="17">
        <f t="shared" si="33"/>
        <v>0.10778012091088052</v>
      </c>
      <c r="F129" s="17">
        <f>'1 - Caso e ipotesi'!$B$25*E129*B129</f>
        <v>1.7007214465986676E-2</v>
      </c>
      <c r="G129" s="17">
        <f t="shared" si="34"/>
        <v>1.0173014641778346</v>
      </c>
      <c r="H129" s="17">
        <f>IF($E$123&lt;1,($B$123*'3 - Scenario'!N8+$C$123*'3 - Scenario'!O8+$D$123*'3 - Scenario'!P8)/(1-$E$123),0)</f>
        <v>1.0086440196078432</v>
      </c>
      <c r="I129" s="17">
        <f>$E$123*'3 - Scenario'!Q8+((1-$E$123)-'1 - Caso e ipotesi'!$B$25*E129*MAX(0,B129-$E$123))*H129</f>
        <v>1.0260144194865735</v>
      </c>
      <c r="J129" s="17">
        <f t="shared" si="36"/>
        <v>1.0803973190133911</v>
      </c>
      <c r="K129" s="17">
        <f t="shared" si="37"/>
        <v>3.1054682218549781</v>
      </c>
      <c r="L129" s="19">
        <f t="shared" si="38"/>
        <v>1</v>
      </c>
      <c r="M129" s="20">
        <f t="shared" si="39"/>
        <v>1222198.3274439194</v>
      </c>
      <c r="N129" s="20">
        <f>'1 - Caso e ipotesi'!$B$7*G129</f>
        <v>40692.058567113389</v>
      </c>
      <c r="O129" s="20">
        <f t="shared" si="35"/>
        <v>1212242.4685813833</v>
      </c>
    </row>
    <row r="130" spans="1:15">
      <c r="A130" s="18">
        <v>4</v>
      </c>
      <c r="B130" s="9">
        <f>IF($E$123&gt;0,$E$123*'3 - Scenario'!Q8/I129,0)</f>
        <v>0.60696222993788962</v>
      </c>
      <c r="C130" s="17">
        <f>IF($E$123&gt;0,D129/((1+'3 - Scenario'!C8)*'3 - Scenario'!Q8),C129)</f>
        <v>0.84276762337752376</v>
      </c>
      <c r="D130" s="17">
        <f t="shared" si="32"/>
        <v>0.84276762337752376</v>
      </c>
      <c r="E130" s="17">
        <f t="shared" si="33"/>
        <v>0.15723237662247624</v>
      </c>
      <c r="F130" s="17">
        <f>'1 - Caso e ipotesi'!$B$25*E130*B130</f>
        <v>2.4812869622635195E-2</v>
      </c>
      <c r="G130" s="17">
        <f t="shared" si="34"/>
        <v>1.0254442135767659</v>
      </c>
      <c r="H130" s="17">
        <f>IF($E$123&lt;1,($B$123*'3 - Scenario'!N9+$C$123*'3 - Scenario'!O9+$D$123*'3 - Scenario'!P9)/(1-$E$123),0)</f>
        <v>1.0086440196078432</v>
      </c>
      <c r="I130" s="17">
        <f>$E$123*'3 - Scenario'!Q9+((1-$E$123)-'1 - Caso e ipotesi'!$B$25*E130*MAX(0,B130-$E$123))*H130</f>
        <v>1.0259225287225195</v>
      </c>
      <c r="J130" s="17">
        <f t="shared" si="36"/>
        <v>1.1084039495472489</v>
      </c>
      <c r="K130" s="17">
        <f t="shared" si="37"/>
        <v>4.2116993884573031</v>
      </c>
      <c r="L130" s="19">
        <f t="shared" si="38"/>
        <v>1</v>
      </c>
      <c r="M130" s="20">
        <f t="shared" si="39"/>
        <v>1212242.4685813833</v>
      </c>
      <c r="N130" s="20">
        <f>'1 - Caso e ipotesi'!$B$7*G130</f>
        <v>41017.768543070633</v>
      </c>
      <c r="O130" s="20">
        <f t="shared" si="35"/>
        <v>1201585.8059655803</v>
      </c>
    </row>
    <row r="131" spans="1:15">
      <c r="A131" s="18">
        <v>5</v>
      </c>
      <c r="B131" s="9">
        <f>IF($E$123&gt;0,$E$123*'3 - Scenario'!Q9/I130,0)</f>
        <v>0.60701659488407167</v>
      </c>
      <c r="C131" s="17">
        <f>IF($E$123&gt;0,D130/((1+'3 - Scenario'!C9)*'3 - Scenario'!Q9),C130)</f>
        <v>0.79605631264180299</v>
      </c>
      <c r="D131" s="17">
        <f t="shared" si="32"/>
        <v>0.79605631264180299</v>
      </c>
      <c r="E131" s="17">
        <f t="shared" si="33"/>
        <v>0.20394368735819701</v>
      </c>
      <c r="F131" s="17">
        <f>'1 - Caso e ipotesi'!$B$25*E131*B131</f>
        <v>3.2187272688551358E-2</v>
      </c>
      <c r="G131" s="17">
        <f t="shared" si="34"/>
        <v>1.0332577489221149</v>
      </c>
      <c r="H131" s="17">
        <f>IF($E$123&lt;1,($B$123*'3 - Scenario'!N10+$C$123*'3 - Scenario'!O10+$D$123*'3 - Scenario'!P10)/(1-$E$123),0)</f>
        <v>1.0086440196078432</v>
      </c>
      <c r="I131" s="17">
        <f>$E$123*'3 - Scenario'!Q10+((1-$E$123)-'1 - Caso e ipotesi'!$B$25*E131*MAX(0,B131-$E$123))*H131</f>
        <v>1.0258343343104794</v>
      </c>
      <c r="J131" s="17">
        <f t="shared" si="36"/>
        <v>1.1370388277309083</v>
      </c>
      <c r="K131" s="17">
        <f t="shared" si="37"/>
        <v>5.354135035747321</v>
      </c>
      <c r="L131" s="19">
        <f t="shared" si="38"/>
        <v>1</v>
      </c>
      <c r="M131" s="20">
        <f t="shared" si="39"/>
        <v>1201585.8059655803</v>
      </c>
      <c r="N131" s="20">
        <f>'1 - Caso e ipotesi'!$B$7*G131</f>
        <v>41330.309956884594</v>
      </c>
      <c r="O131" s="20">
        <f t="shared" si="35"/>
        <v>1190229.9243781553</v>
      </c>
    </row>
    <row r="132" spans="1:15">
      <c r="A132" s="18">
        <v>6</v>
      </c>
      <c r="B132" s="9">
        <f>IF($E$123&gt;0,$E$123*'3 - Scenario'!Q10/I131,0)</f>
        <v>0.60706878213292248</v>
      </c>
      <c r="C132" s="17">
        <f>IF($E$123&gt;0,D131/((1+'3 - Scenario'!C10)*'3 - Scenario'!Q10),C131)</f>
        <v>0.7519340270301188</v>
      </c>
      <c r="D132" s="17">
        <f t="shared" si="32"/>
        <v>0.7519340270301188</v>
      </c>
      <c r="E132" s="17">
        <f t="shared" si="33"/>
        <v>0.2480659729698812</v>
      </c>
      <c r="F132" s="17">
        <f>'1 - Caso e ipotesi'!$B$25*E132*B132</f>
        <v>3.9154208105855501E-2</v>
      </c>
      <c r="G132" s="17">
        <f t="shared" si="34"/>
        <v>1.0407497315762497</v>
      </c>
      <c r="H132" s="17">
        <f>IF($E$123&lt;1,($B$123*'3 - Scenario'!N11+$C$123*'3 - Scenario'!O11+$D$123*'3 - Scenario'!P11)/(1-$E$123),0)</f>
        <v>1.0086440196078432</v>
      </c>
      <c r="I132" s="17">
        <f>$E$123*'3 - Scenario'!Q11+((1-$E$123)-'1 - Caso e ipotesi'!$B$25*E132*MAX(0,B132-$E$123))*H132</f>
        <v>1.0257497505709514</v>
      </c>
      <c r="J132" s="17">
        <f t="shared" si="36"/>
        <v>1.1663172939344661</v>
      </c>
      <c r="K132" s="17">
        <f t="shared" si="37"/>
        <v>6.5332052817805177</v>
      </c>
      <c r="L132" s="19">
        <f t="shared" si="38"/>
        <v>1</v>
      </c>
      <c r="M132" s="20">
        <f t="shared" si="39"/>
        <v>1190229.9243781553</v>
      </c>
      <c r="N132" s="20">
        <f>'1 - Caso e ipotesi'!$B$7*G132</f>
        <v>41629.989263049989</v>
      </c>
      <c r="O132" s="20">
        <f t="shared" si="35"/>
        <v>1178176.0969501301</v>
      </c>
    </row>
    <row r="133" spans="1:15">
      <c r="A133" s="18">
        <v>7</v>
      </c>
      <c r="B133" s="9">
        <f>IF($E$123&gt;0,$E$123*'3 - Scenario'!Q11/I132,0)</f>
        <v>0.60711884127036309</v>
      </c>
      <c r="C133" s="17">
        <f>IF($E$123&gt;0,D132/((1+'3 - Scenario'!C11)*'3 - Scenario'!Q11),C132)</f>
        <v>0.71025726701339975</v>
      </c>
      <c r="D133" s="17">
        <f t="shared" si="32"/>
        <v>0.71025726701339975</v>
      </c>
      <c r="E133" s="17">
        <f t="shared" si="33"/>
        <v>0.28974273298660025</v>
      </c>
      <c r="F133" s="17">
        <f>'1 - Caso e ipotesi'!$B$25*E133*B133</f>
        <v>4.5736150802506571E-2</v>
      </c>
      <c r="G133" s="17">
        <f t="shared" si="34"/>
        <v>1.0479282022901415</v>
      </c>
      <c r="H133" s="17">
        <f>IF($E$123&lt;1,($B$123*'3 - Scenario'!N12+$C$123*'3 - Scenario'!O12+$D$123*'3 - Scenario'!P12)/(1-$E$123),0)</f>
        <v>1.0086440196078432</v>
      </c>
      <c r="I133" s="17">
        <f>$E$123*'3 - Scenario'!Q12+((1-$E$123)-'1 - Caso e ipotesi'!$B$25*E133*MAX(0,B133-$E$123))*H133</f>
        <v>1.0256686877331822</v>
      </c>
      <c r="J133" s="17">
        <f t="shared" si="36"/>
        <v>1.19625512835028</v>
      </c>
      <c r="K133" s="17">
        <f t="shared" si="37"/>
        <v>7.7493618905053303</v>
      </c>
      <c r="L133" s="19">
        <f t="shared" si="38"/>
        <v>1</v>
      </c>
      <c r="M133" s="20">
        <f t="shared" si="39"/>
        <v>1178176.0969501301</v>
      </c>
      <c r="N133" s="20">
        <f>'1 - Caso e ipotesi'!$B$7*G133</f>
        <v>41917.128091605657</v>
      </c>
      <c r="O133" s="20">
        <f t="shared" si="35"/>
        <v>1165425.2455141814</v>
      </c>
    </row>
    <row r="134" spans="1:15">
      <c r="A134" s="18">
        <v>8</v>
      </c>
      <c r="B134" s="9">
        <f>IF($E$123&gt;0,$E$123*'3 - Scenario'!Q12/I133,0)</f>
        <v>0.60716682438296576</v>
      </c>
      <c r="C134" s="17">
        <f>IF($E$123&gt;0,D133/((1+'3 - Scenario'!C12)*'3 - Scenario'!Q12),C133)</f>
        <v>0.67089048667980733</v>
      </c>
      <c r="D134" s="17">
        <f t="shared" si="32"/>
        <v>0.67089048667980733</v>
      </c>
      <c r="E134" s="17">
        <f t="shared" si="33"/>
        <v>0.32910951332019267</v>
      </c>
      <c r="F134" s="17">
        <f>'1 - Caso e ipotesi'!$B$25*E134*B134</f>
        <v>5.1954338299979641E-2</v>
      </c>
      <c r="G134" s="17">
        <f t="shared" si="34"/>
        <v>1.0548015147359211</v>
      </c>
      <c r="H134" s="17">
        <f>IF($E$123&lt;1,($B$123*'3 - Scenario'!N13+$C$123*'3 - Scenario'!O13+$D$123*'3 - Scenario'!P13)/(1-$E$123),0)</f>
        <v>1.0086440196078432</v>
      </c>
      <c r="I134" s="17">
        <f>$E$123*'3 - Scenario'!Q13+((1-$E$123)-'1 - Caso e ipotesi'!$B$25*E134*MAX(0,B134-$E$123))*H134</f>
        <v>1.0255910526395879</v>
      </c>
      <c r="J134" s="17">
        <f t="shared" si="36"/>
        <v>1.226868556310269</v>
      </c>
      <c r="K134" s="17">
        <f t="shared" si="37"/>
        <v>9.0030793557400557</v>
      </c>
      <c r="L134" s="19">
        <f t="shared" si="38"/>
        <v>1</v>
      </c>
      <c r="M134" s="20">
        <f t="shared" si="39"/>
        <v>1165425.2455141814</v>
      </c>
      <c r="N134" s="20">
        <f>'1 - Caso e ipotesi'!$B$7*G134</f>
        <v>42192.060589436842</v>
      </c>
      <c r="O134" s="20">
        <f t="shared" si="35"/>
        <v>1151977.9044866858</v>
      </c>
    </row>
    <row r="135" spans="1:15">
      <c r="A135" s="18">
        <v>9</v>
      </c>
      <c r="B135" s="9">
        <f>IF($E$123&gt;0,$E$123*'3 - Scenario'!Q13/I134,0)</f>
        <v>0.6072127856392745</v>
      </c>
      <c r="C135" s="17">
        <f>IF($E$123&gt;0,D134/((1+'3 - Scenario'!C13)*'3 - Scenario'!Q13),C134)</f>
        <v>0.63370565289686398</v>
      </c>
      <c r="D135" s="17">
        <f t="shared" si="32"/>
        <v>0.63370565289686398</v>
      </c>
      <c r="E135" s="17">
        <f t="shared" si="33"/>
        <v>0.36629434710313602</v>
      </c>
      <c r="F135" s="17">
        <f>'1 - Caso e ipotesi'!$B$25*E135*B135</f>
        <v>5.7828838825787786E-2</v>
      </c>
      <c r="G135" s="17">
        <f t="shared" si="34"/>
        <v>1.0613782730875743</v>
      </c>
      <c r="H135" s="17">
        <f>IF($E$123&lt;1,($B$123*'3 - Scenario'!N14+$C$123*'3 - Scenario'!O14+$D$123*'3 - Scenario'!P14)/(1-$E$123),0)</f>
        <v>1.0086440196078432</v>
      </c>
      <c r="I135" s="17">
        <f>$E$123*'3 - Scenario'!Q14+((1-$E$123)-'1 - Caso e ipotesi'!$B$25*E135*MAX(0,B135-$E$123))*H135</f>
        <v>1.0255167494096318</v>
      </c>
      <c r="J135" s="17">
        <f t="shared" si="36"/>
        <v>1.258174253820195</v>
      </c>
      <c r="K135" s="17">
        <f t="shared" si="37"/>
        <v>10.294855906538761</v>
      </c>
      <c r="L135" s="19">
        <f t="shared" si="38"/>
        <v>1</v>
      </c>
      <c r="M135" s="20">
        <f t="shared" si="39"/>
        <v>1151977.9044866858</v>
      </c>
      <c r="N135" s="20">
        <f>'1 - Caso e ipotesi'!$B$7*G135</f>
        <v>42455.130923502969</v>
      </c>
      <c r="O135" s="20">
        <f t="shared" si="35"/>
        <v>1137834.188140474</v>
      </c>
    </row>
    <row r="136" spans="1:15">
      <c r="A136" s="18">
        <v>10</v>
      </c>
      <c r="B136" s="9">
        <f>IF($E$123&gt;0,$E$123*'3 - Scenario'!Q14/I135,0)</f>
        <v>0.60725678089461244</v>
      </c>
      <c r="C136" s="17">
        <f>IF($E$123&gt;0,D135/((1+'3 - Scenario'!C14)*'3 - Scenario'!Q14),C135)</f>
        <v>0.59858182890749823</v>
      </c>
      <c r="D136" s="17">
        <f t="shared" si="32"/>
        <v>0.59858182890749823</v>
      </c>
      <c r="E136" s="17">
        <f t="shared" si="33"/>
        <v>0.40141817109250177</v>
      </c>
      <c r="F136" s="17">
        <f>'1 - Caso e ipotesi'!$B$25*E136*B136</f>
        <v>6.3378615656261197E-2</v>
      </c>
      <c r="G136" s="17">
        <f t="shared" si="34"/>
        <v>1.067667273794596</v>
      </c>
      <c r="H136" s="17">
        <f>IF($E$123&lt;1,($B$123*'3 - Scenario'!N15+$C$123*'3 - Scenario'!O15+$D$123*'3 - Scenario'!P15)/(1-$E$123),0)</f>
        <v>1.0086440196078432</v>
      </c>
      <c r="I136" s="17">
        <f>$E$123*'3 - Scenario'!Q15+((1-$E$123)-'1 - Caso e ipotesi'!$B$25*E136*MAX(0,B136-$E$123))*H136</f>
        <v>1.0254456800613871</v>
      </c>
      <c r="J136" s="17">
        <f t="shared" si="36"/>
        <v>1.2901893533443782</v>
      </c>
      <c r="K136" s="17">
        <f t="shared" si="37"/>
        <v>11.625214438708774</v>
      </c>
      <c r="L136" s="19">
        <f t="shared" si="38"/>
        <v>1</v>
      </c>
      <c r="M136" s="20">
        <f t="shared" si="39"/>
        <v>1137834.188140474</v>
      </c>
      <c r="N136" s="20">
        <f>'1 - Caso e ipotesi'!$B$7*G136</f>
        <v>42706.690951783843</v>
      </c>
      <c r="O136" s="20">
        <f t="shared" si="35"/>
        <v>1122993.7611085812</v>
      </c>
    </row>
    <row r="137" spans="1:15">
      <c r="A137" s="18">
        <v>11</v>
      </c>
      <c r="B137" s="9">
        <f>IF($E$123&gt;0,$E$123*'3 - Scenario'!Q15/I136,0)</f>
        <v>0.60729886732051919</v>
      </c>
      <c r="C137" s="17">
        <f>IF($E$123&gt;0,D136/((1+'3 - Scenario'!C15)*'3 - Scenario'!Q15),C136)</f>
        <v>0.56540478100573155</v>
      </c>
      <c r="D137" s="17">
        <f t="shared" si="32"/>
        <v>0.56540478100573155</v>
      </c>
      <c r="E137" s="17">
        <f t="shared" si="33"/>
        <v>0.43459521899426845</v>
      </c>
      <c r="F137" s="17">
        <f>'1 - Caso e ipotesi'!$B$25*E137*B137</f>
        <v>6.8621587901914374E-2</v>
      </c>
      <c r="G137" s="17">
        <f t="shared" si="34"/>
        <v>1.0736774516249876</v>
      </c>
      <c r="H137" s="17">
        <f>IF($E$123&lt;1,($B$123*'3 - Scenario'!N16+$C$123*'3 - Scenario'!O16+$D$123*'3 - Scenario'!P16)/(1-$E$123),0)</f>
        <v>1.0086440196078432</v>
      </c>
      <c r="I137" s="17">
        <f>$E$123*'3 - Scenario'!Q16+((1-$E$123)-'1 - Caso e ipotesi'!$B$25*E137*MAX(0,B137-$E$123))*H137</f>
        <v>1.0253777450897192</v>
      </c>
      <c r="J137" s="17">
        <f t="shared" si="36"/>
        <v>1.3229314498710216</v>
      </c>
      <c r="K137" s="17">
        <f t="shared" si="37"/>
        <v>12.994703377586164</v>
      </c>
      <c r="L137" s="19">
        <f t="shared" si="38"/>
        <v>1</v>
      </c>
      <c r="M137" s="20">
        <f t="shared" si="39"/>
        <v>1122993.7611085812</v>
      </c>
      <c r="N137" s="20">
        <f>'1 - Caso e ipotesi'!$B$7*G137</f>
        <v>42947.098064999504</v>
      </c>
      <c r="O137" s="20">
        <f t="shared" si="35"/>
        <v>1107455.8119433036</v>
      </c>
    </row>
    <row r="138" spans="1:15">
      <c r="A138" s="18">
        <v>12</v>
      </c>
      <c r="B138" s="9">
        <f>IF($E$123&gt;0,$E$123*'3 - Scenario'!Q16/I137,0)</f>
        <v>0.60733910305953631</v>
      </c>
      <c r="C138" s="17">
        <f>IF($E$123&gt;0,D137/((1+'3 - Scenario'!C16)*'3 - Scenario'!Q16),C137)</f>
        <v>0.53406660701279207</v>
      </c>
      <c r="D138" s="17">
        <f t="shared" si="32"/>
        <v>0.53406660701279207</v>
      </c>
      <c r="E138" s="17">
        <f t="shared" si="33"/>
        <v>0.46593339298720793</v>
      </c>
      <c r="F138" s="17">
        <f>'1 - Caso e ipotesi'!$B$25*E138*B138</f>
        <v>7.3574687935407709E-2</v>
      </c>
      <c r="G138" s="17">
        <f t="shared" si="34"/>
        <v>1.0794178299937016</v>
      </c>
      <c r="H138" s="17">
        <f>IF($E$123&lt;1,($B$123*'3 - Scenario'!N17+$C$123*'3 - Scenario'!O17+$D$123*'3 - Scenario'!P17)/(1-$E$123),0)</f>
        <v>1.0086440196078432</v>
      </c>
      <c r="I138" s="17">
        <f>$E$123*'3 - Scenario'!Q17+((1-$E$123)-'1 - Caso e ipotesi'!$B$25*E138*MAX(0,B138-$E$123))*H138</f>
        <v>1.0253128440006285</v>
      </c>
      <c r="J138" s="17">
        <f t="shared" si="36"/>
        <v>1.3564186072851321</v>
      </c>
      <c r="K138" s="17">
        <f t="shared" si="37"/>
        <v>14.403897477412761</v>
      </c>
      <c r="L138" s="19">
        <f t="shared" si="38"/>
        <v>1</v>
      </c>
      <c r="M138" s="20">
        <f t="shared" si="39"/>
        <v>1107455.8119433036</v>
      </c>
      <c r="N138" s="20">
        <f>'1 - Caso e ipotesi'!$B$7*G138</f>
        <v>43176.713199748061</v>
      </c>
      <c r="O138" s="20">
        <f t="shared" si="35"/>
        <v>1091219.0295431807</v>
      </c>
    </row>
    <row r="139" spans="1:15">
      <c r="A139" s="18">
        <v>13</v>
      </c>
      <c r="B139" s="9">
        <f>IF($E$123&gt;0,$E$123*'3 - Scenario'!Q17/I138,0)</f>
        <v>0.60737754690569179</v>
      </c>
      <c r="C139" s="17">
        <f>IF($E$123&gt;0,D138/((1+'3 - Scenario'!C17)*'3 - Scenario'!Q17),C138)</f>
        <v>0.5044653853453438</v>
      </c>
      <c r="D139" s="17">
        <f t="shared" si="32"/>
        <v>0.5044653853453438</v>
      </c>
      <c r="E139" s="17">
        <f t="shared" si="33"/>
        <v>0.4955346146546562</v>
      </c>
      <c r="F139" s="17">
        <f>'1 - Caso e ipotesi'!$B$25*E139*B139</f>
        <v>7.8253915650508626E-2</v>
      </c>
      <c r="G139" s="17">
        <f t="shared" si="34"/>
        <v>1.0848974755403873</v>
      </c>
      <c r="H139" s="17">
        <f>IF($E$123&lt;1,($B$123*'3 - Scenario'!N18+$C$123*'3 - Scenario'!O18+$D$123*'3 - Scenario'!P18)/(1-$E$123),0)</f>
        <v>1.0086440196078432</v>
      </c>
      <c r="I139" s="17">
        <f>$E$123*'3 - Scenario'!Q18+((1-$E$123)-'1 - Caso e ipotesi'!$B$25*E139*MAX(0,B139-$E$123))*H139</f>
        <v>1.0252508758018501</v>
      </c>
      <c r="J139" s="17">
        <f t="shared" si="36"/>
        <v>1.3906693650730075</v>
      </c>
      <c r="K139" s="17">
        <f t="shared" si="37"/>
        <v>15.853398562799944</v>
      </c>
      <c r="L139" s="19">
        <f t="shared" si="38"/>
        <v>1</v>
      </c>
      <c r="M139" s="20">
        <f t="shared" si="39"/>
        <v>1091219.0295431807</v>
      </c>
      <c r="N139" s="20">
        <f>'1 - Caso e ipotesi'!$B$7*G139</f>
        <v>43395.899021615493</v>
      </c>
      <c r="O139" s="20">
        <f t="shared" si="35"/>
        <v>1074281.582252671</v>
      </c>
    </row>
    <row r="140" spans="1:15">
      <c r="A140" s="18">
        <v>14</v>
      </c>
      <c r="B140" s="9">
        <f>IF($E$123&gt;0,$E$123*'3 - Scenario'!Q18/I139,0)</f>
        <v>0.60741425801069882</v>
      </c>
      <c r="C140" s="17">
        <f>IF($E$123&gt;0,D139/((1+'3 - Scenario'!C18)*'3 - Scenario'!Q18),C139)</f>
        <v>0.47650484353448957</v>
      </c>
      <c r="D140" s="17">
        <f t="shared" si="32"/>
        <v>0.47650484353448957</v>
      </c>
      <c r="E140" s="17">
        <f t="shared" si="33"/>
        <v>0.52349515646551037</v>
      </c>
      <c r="F140" s="17">
        <f>'1 - Caso e ipotesi'!$B$25*E140*B140</f>
        <v>8.2674389729540096E-2</v>
      </c>
      <c r="G140" s="17">
        <f t="shared" si="34"/>
        <v>1.0901254568758467</v>
      </c>
      <c r="H140" s="17">
        <f>IF($E$123&lt;1,($B$123*'3 - Scenario'!N19+$C$123*'3 - Scenario'!O19+$D$123*'3 - Scenario'!P19)/(1-$E$123),0)</f>
        <v>1.0086440196078432</v>
      </c>
      <c r="I140" s="17">
        <f>$E$123*'3 - Scenario'!Q19+((1-$E$123)-'1 - Caso e ipotesi'!$B$25*E140*MAX(0,B140-$E$123))*H140</f>
        <v>1.0251917394502756</v>
      </c>
      <c r="J140" s="17">
        <f t="shared" si="36"/>
        <v>1.4257027453794069</v>
      </c>
      <c r="K140" s="17">
        <f t="shared" si="37"/>
        <v>17.343836217822282</v>
      </c>
      <c r="L140" s="19">
        <f t="shared" si="38"/>
        <v>1</v>
      </c>
      <c r="M140" s="20">
        <f t="shared" si="39"/>
        <v>1074281.582252671</v>
      </c>
      <c r="N140" s="20">
        <f>'1 - Caso e ipotesi'!$B$7*G140</f>
        <v>43605.018275033872</v>
      </c>
      <c r="O140" s="20">
        <f t="shared" si="35"/>
        <v>1056641.099434867</v>
      </c>
    </row>
    <row r="141" spans="1:15">
      <c r="A141" s="18">
        <v>15</v>
      </c>
      <c r="B141" s="9">
        <f>IF($E$123&gt;0,$E$123*'3 - Scenario'!Q19/I140,0)</f>
        <v>0.60744929561559835</v>
      </c>
      <c r="C141" s="17">
        <f>IF($E$123&gt;0,D140/((1+'3 - Scenario'!C19)*'3 - Scenario'!Q19),C140)</f>
        <v>0.4500940451174687</v>
      </c>
      <c r="D141" s="17">
        <f t="shared" si="32"/>
        <v>0.4500940451174687</v>
      </c>
      <c r="E141" s="17">
        <f t="shared" si="33"/>
        <v>0.54990595488253136</v>
      </c>
      <c r="F141" s="17">
        <f>'1 - Caso e ipotesi'!$B$25*E141*B141</f>
        <v>8.6850396086536344E-2</v>
      </c>
      <c r="G141" s="17">
        <f t="shared" si="34"/>
        <v>1.0951108073795615</v>
      </c>
      <c r="H141" s="17">
        <f>IF($E$123&lt;1,($B$123*'3 - Scenario'!N20+$C$123*'3 - Scenario'!O20+$D$123*'3 - Scenario'!P20)/(1-$E$123),0)</f>
        <v>1.0086440196078432</v>
      </c>
      <c r="I141" s="17">
        <f>$E$123*'3 - Scenario'!Q20+((1-$E$123)-'1 - Caso e ipotesi'!$B$25*E141*MAX(0,B141-$E$123))*H141</f>
        <v>1.025135334257165</v>
      </c>
      <c r="J141" s="17">
        <f t="shared" si="36"/>
        <v>1.461538260435876</v>
      </c>
      <c r="K141" s="17">
        <f t="shared" si="37"/>
        <v>18.875868428269477</v>
      </c>
      <c r="L141" s="19">
        <f t="shared" si="38"/>
        <v>1</v>
      </c>
      <c r="M141" s="20">
        <f t="shared" si="39"/>
        <v>1056641.099434867</v>
      </c>
      <c r="N141" s="20">
        <f>'1 - Caso e ipotesi'!$B$7*G141</f>
        <v>43804.432295182458</v>
      </c>
      <c r="O141" s="20">
        <f t="shared" si="35"/>
        <v>1038294.6553161534</v>
      </c>
    </row>
    <row r="142" spans="1:15">
      <c r="A142" s="18">
        <v>16</v>
      </c>
      <c r="B142" s="9">
        <f>IF($E$123&gt;0,$E$123*'3 - Scenario'!Q20/I141,0)</f>
        <v>0.60748271880732652</v>
      </c>
      <c r="C142" s="17">
        <f>IF($E$123&gt;0,D141/((1+'3 - Scenario'!C20)*'3 - Scenario'!Q20),C141)</f>
        <v>0.42514709388372207</v>
      </c>
      <c r="D142" s="17">
        <f t="shared" si="32"/>
        <v>0.42514709388372207</v>
      </c>
      <c r="E142" s="17">
        <f t="shared" si="33"/>
        <v>0.57485290611627793</v>
      </c>
      <c r="F142" s="17">
        <f>'1 - Caso e ipotesi'!$B$25*E142*B142</f>
        <v>9.0795433643670417E-2</v>
      </c>
      <c r="G142" s="17">
        <f t="shared" si="34"/>
        <v>1.0998624919005151</v>
      </c>
      <c r="H142" s="17">
        <f>IF($E$123&lt;1,($B$123*'3 - Scenario'!N21+$C$123*'3 - Scenario'!O21+$D$123*'3 - Scenario'!P21)/(1-$E$123),0)</f>
        <v>1.0086440196078432</v>
      </c>
      <c r="I142" s="17">
        <f>$E$123*'3 - Scenario'!Q21+((1-$E$123)-'1 - Caso e ipotesi'!$B$25*E142*MAX(0,B142-$E$123))*H142</f>
        <v>1.0250815602524543</v>
      </c>
      <c r="J142" s="17">
        <f t="shared" si="36"/>
        <v>1.4981959203762658</v>
      </c>
      <c r="K142" s="17">
        <f t="shared" si="37"/>
        <v>20.450182182508815</v>
      </c>
      <c r="L142" s="19">
        <f t="shared" si="38"/>
        <v>1</v>
      </c>
      <c r="M142" s="20">
        <f t="shared" si="39"/>
        <v>1038294.6553161534</v>
      </c>
      <c r="N142" s="20">
        <f>'1 - Caso e ipotesi'!$B$7*G142</f>
        <v>43994.499676020605</v>
      </c>
      <c r="O142" s="20">
        <f t="shared" si="35"/>
        <v>1019238.7549028456</v>
      </c>
    </row>
    <row r="143" spans="1:15">
      <c r="A143" s="18">
        <v>17</v>
      </c>
      <c r="B143" s="9">
        <f>IF($E$123&gt;0,$E$123*'3 - Scenario'!Q21/I142,0)</f>
        <v>0.60751458629948463</v>
      </c>
      <c r="C143" s="17">
        <f>IF($E$123&gt;0,D142/((1+'3 - Scenario'!C21)*'3 - Scenario'!Q21),C142)</f>
        <v>0.40158285451344061</v>
      </c>
      <c r="D143" s="17">
        <f t="shared" si="32"/>
        <v>0.40158285451344061</v>
      </c>
      <c r="E143" s="17">
        <f t="shared" si="33"/>
        <v>0.59841714548655944</v>
      </c>
      <c r="F143" s="17">
        <f>'1 - Caso e ipotesi'!$B$25*E143*B143</f>
        <v>9.452225758944427E-2</v>
      </c>
      <c r="G143" s="17">
        <f t="shared" si="34"/>
        <v>1.1043893771897781</v>
      </c>
      <c r="H143" s="17">
        <f>IF($E$123&lt;1,($B$123*'3 - Scenario'!N22+$C$123*'3 - Scenario'!O22+$D$123*'3 - Scenario'!P22)/(1-$E$123),0)</f>
        <v>1.0086440196078432</v>
      </c>
      <c r="I143" s="17">
        <f>$E$123*'3 - Scenario'!Q22+((1-$E$123)-'1 - Caso e ipotesi'!$B$25*E143*MAX(0,B143-$E$123))*H143</f>
        <v>1.0250303185097394</v>
      </c>
      <c r="J143" s="17">
        <f t="shared" si="36"/>
        <v>1.5356962414532758</v>
      </c>
      <c r="K143" s="17">
        <f t="shared" si="37"/>
        <v>22.067494036282856</v>
      </c>
      <c r="L143" s="19">
        <f t="shared" si="38"/>
        <v>1</v>
      </c>
      <c r="M143" s="20">
        <f t="shared" si="39"/>
        <v>1019238.7549028456</v>
      </c>
      <c r="N143" s="20">
        <f>'1 - Caso e ipotesi'!$B$7*G143</f>
        <v>44175.575087591125</v>
      </c>
      <c r="O143" s="20">
        <f t="shared" si="35"/>
        <v>999469.32177314966</v>
      </c>
    </row>
    <row r="144" spans="1:15">
      <c r="A144" s="18">
        <v>18</v>
      </c>
      <c r="B144" s="9">
        <f>IF($E$123&gt;0,$E$123*'3 - Scenario'!Q22/I143,0)</f>
        <v>0.6075449562364168</v>
      </c>
      <c r="C144" s="17">
        <f>IF($E$123&gt;0,D143/((1+'3 - Scenario'!C22)*'3 - Scenario'!Q22),C143)</f>
        <v>0.37932468870002506</v>
      </c>
      <c r="D144" s="17">
        <f t="shared" si="32"/>
        <v>0.37932468870002506</v>
      </c>
      <c r="E144" s="17">
        <f t="shared" si="33"/>
        <v>0.620675311299975</v>
      </c>
      <c r="F144" s="17">
        <f>'1 - Caso e ipotesi'!$B$25*E144*B144</f>
        <v>9.8042920258599606E-2</v>
      </c>
      <c r="G144" s="17">
        <f t="shared" si="34"/>
        <v>1.1087002058753277</v>
      </c>
      <c r="H144" s="17">
        <f>IF($E$123&lt;1,($B$123*'3 - Scenario'!N23+$C$123*'3 - Scenario'!O23+$D$123*'3 - Scenario'!P23)/(1-$E$123),0)</f>
        <v>1.0086440196078432</v>
      </c>
      <c r="I144" s="17">
        <f>$E$123*'3 - Scenario'!Q23+((1-$E$123)-'1 - Caso e ipotesi'!$B$25*E144*MAX(0,B144-$E$123))*H144</f>
        <v>1.0249815114337213</v>
      </c>
      <c r="J144" s="17">
        <f t="shared" si="36"/>
        <v>1.5740602546678637</v>
      </c>
      <c r="K144" s="17">
        <f t="shared" si="37"/>
        <v>23.728550646598116</v>
      </c>
      <c r="L144" s="19">
        <f t="shared" si="38"/>
        <v>1</v>
      </c>
      <c r="M144" s="20">
        <f t="shared" si="39"/>
        <v>999469.32177314966</v>
      </c>
      <c r="N144" s="20">
        <f>'1 - Caso e ipotesi'!$B$7*G144</f>
        <v>44348.008235013105</v>
      </c>
      <c r="O144" s="20">
        <f t="shared" si="35"/>
        <v>978981.68755288038</v>
      </c>
    </row>
    <row r="145" spans="1:15">
      <c r="A145" s="18">
        <v>19</v>
      </c>
      <c r="B145" s="9">
        <f>IF($E$123&gt;0,$E$123*'3 - Scenario'!Q23/I144,0)</f>
        <v>0.60757388601957152</v>
      </c>
      <c r="C145" s="17">
        <f>IF($E$123&gt;0,D144/((1+'3 - Scenario'!C23)*'3 - Scenario'!Q23),C144)</f>
        <v>0.35830020589824546</v>
      </c>
      <c r="D145" s="17">
        <f t="shared" si="32"/>
        <v>0.35830020589824546</v>
      </c>
      <c r="E145" s="17">
        <f t="shared" si="33"/>
        <v>0.64169979410175459</v>
      </c>
      <c r="F145" s="17">
        <f>'1 - Caso e ipotesi'!$B$25*E145*B145</f>
        <v>0.10136880976569411</v>
      </c>
      <c r="G145" s="17">
        <f t="shared" si="34"/>
        <v>1.112803573776761</v>
      </c>
      <c r="H145" s="17">
        <f>IF($E$123&lt;1,($B$123*'3 - Scenario'!N24+$C$123*'3 - Scenario'!O24+$D$123*'3 - Scenario'!P24)/(1-$E$123),0)</f>
        <v>1.0086440196078432</v>
      </c>
      <c r="I145" s="17">
        <f>$E$123*'3 - Scenario'!Q24+((1-$E$123)-'1 - Caso e ipotesi'!$B$25*E145*MAX(0,B145-$E$123))*H145</f>
        <v>1.0249350430120785</v>
      </c>
      <c r="J145" s="17">
        <f t="shared" si="36"/>
        <v>1.6133095148216101</v>
      </c>
      <c r="K145" s="17">
        <f t="shared" si="37"/>
        <v>25.434129279658503</v>
      </c>
      <c r="L145" s="19">
        <f t="shared" si="38"/>
        <v>1</v>
      </c>
      <c r="M145" s="20">
        <f t="shared" si="39"/>
        <v>978981.68755288038</v>
      </c>
      <c r="N145" s="20">
        <f>'1 - Caso e ipotesi'!$B$7*G145</f>
        <v>44512.14295107044</v>
      </c>
      <c r="O145" s="20">
        <f t="shared" si="35"/>
        <v>957770.58288993349</v>
      </c>
    </row>
    <row r="146" spans="1:15">
      <c r="A146" s="18">
        <v>20</v>
      </c>
      <c r="B146" s="9">
        <f>IF($E$123&gt;0,$E$123*'3 - Scenario'!Q24/I145,0)</f>
        <v>0.60760143215501417</v>
      </c>
      <c r="C146" s="17">
        <f>IF($E$123&gt;0,D145/((1+'3 - Scenario'!C24)*'3 - Scenario'!Q24),C145)</f>
        <v>0.33844102788745428</v>
      </c>
      <c r="D146" s="17">
        <f t="shared" si="32"/>
        <v>0.33844102788745428</v>
      </c>
      <c r="E146" s="17">
        <f t="shared" si="33"/>
        <v>0.66155897211254566</v>
      </c>
      <c r="F146" s="17">
        <f>'1 - Caso e ipotesi'!$B$25*E146*B146</f>
        <v>0.10451068651675129</v>
      </c>
      <c r="G146" s="17">
        <f t="shared" si="34"/>
        <v>1.1167079103492912</v>
      </c>
      <c r="H146" s="17">
        <f>IF($E$123&lt;1,($B$123*'3 - Scenario'!N25+$C$123*'3 - Scenario'!O25+$D$123*'3 - Scenario'!P25)/(1-$E$123),0)</f>
        <v>1.0086440196078432</v>
      </c>
      <c r="I146" s="17">
        <f>$E$123*'3 - Scenario'!Q25+((1-$E$123)-'1 - Caso e ipotesi'!$B$25*E146*MAX(0,B146-$E$123))*H146</f>
        <v>1.0248908190338262</v>
      </c>
      <c r="J146" s="17">
        <f t="shared" si="36"/>
        <v>1.6534661100005847</v>
      </c>
      <c r="K146" s="17">
        <f t="shared" si="37"/>
        <v>27.185038297570845</v>
      </c>
      <c r="L146" s="19">
        <f t="shared" si="38"/>
        <v>1</v>
      </c>
      <c r="M146" s="20">
        <f t="shared" si="39"/>
        <v>957770.58288993349</v>
      </c>
      <c r="N146" s="20">
        <f>'1 - Caso e ipotesi'!$B$7*G146</f>
        <v>44668.316413971646</v>
      </c>
      <c r="O146" s="20">
        <f t="shared" si="35"/>
        <v>935830.12975019158</v>
      </c>
    </row>
    <row r="147" spans="1:15">
      <c r="A147" s="18">
        <v>21</v>
      </c>
      <c r="B147" s="9">
        <f>IF($E$123&gt;0,$E$123*'3 - Scenario'!Q25/I146,0)</f>
        <v>0.60762765012089182</v>
      </c>
      <c r="C147" s="17">
        <f>IF($E$123&gt;0,D146/((1+'3 - Scenario'!C25)*'3 - Scenario'!Q25),C146)</f>
        <v>0.31968256638413922</v>
      </c>
      <c r="D147" s="17">
        <f t="shared" si="32"/>
        <v>0.31968256638413922</v>
      </c>
      <c r="E147" s="17">
        <f t="shared" si="33"/>
        <v>0.68031743361586083</v>
      </c>
      <c r="F147" s="17">
        <f>'1 - Caso e ipotesi'!$B$25*E147*B147</f>
        <v>0.10747871771631315</v>
      </c>
      <c r="G147" s="17">
        <f t="shared" si="34"/>
        <v>1.1204214620421242</v>
      </c>
      <c r="H147" s="17">
        <f>IF($E$123&lt;1,($B$123*'3 - Scenario'!N26+$C$123*'3 - Scenario'!O26+$D$123*'3 - Scenario'!P26)/(1-$E$123),0)</f>
        <v>1.0086440196078432</v>
      </c>
      <c r="I147" s="17">
        <f>$E$123*'3 - Scenario'!Q26+((1-$E$123)-'1 - Caso e ipotesi'!$B$25*E147*MAX(0,B147-$E$123))*H147</f>
        <v>1.024848747276307</v>
      </c>
      <c r="J147" s="17">
        <f t="shared" si="36"/>
        <v>1.6945526714979278</v>
      </c>
      <c r="K147" s="17">
        <f t="shared" si="37"/>
        <v>28.982117628305438</v>
      </c>
      <c r="L147" s="19">
        <f t="shared" si="38"/>
        <v>1</v>
      </c>
      <c r="M147" s="20">
        <f t="shared" si="39"/>
        <v>935830.12975019158</v>
      </c>
      <c r="N147" s="20">
        <f>'1 - Caso e ipotesi'!$B$7*G147</f>
        <v>44816.858481684969</v>
      </c>
      <c r="O147" s="20">
        <f t="shared" si="35"/>
        <v>913153.83486609336</v>
      </c>
    </row>
    <row r="148" spans="1:15">
      <c r="A148" s="18">
        <v>22</v>
      </c>
      <c r="B148" s="9">
        <f>IF($E$123&gt;0,$E$123*'3 - Scenario'!Q26/I147,0)</f>
        <v>0.60765259425359996</v>
      </c>
      <c r="C148" s="17">
        <f>IF($E$123&gt;0,D147/((1+'3 - Scenario'!C26)*'3 - Scenario'!Q26),C147)</f>
        <v>0.30196381298054181</v>
      </c>
      <c r="D148" s="17">
        <f t="shared" si="32"/>
        <v>0.30196381298054181</v>
      </c>
      <c r="E148" s="17">
        <f t="shared" si="33"/>
        <v>0.69803618701945824</v>
      </c>
      <c r="F148" s="17">
        <f>'1 - Caso e ipotesi'!$B$25*E148*B148</f>
        <v>0.11028250998056888</v>
      </c>
      <c r="G148" s="17">
        <f t="shared" si="34"/>
        <v>1.1239522783554141</v>
      </c>
      <c r="H148" s="17">
        <f>IF($E$123&lt;1,($B$123*'3 - Scenario'!N27+$C$123*'3 - Scenario'!O27+$D$123*'3 - Scenario'!P27)/(1-$E$123),0)</f>
        <v>1.0086440196078432</v>
      </c>
      <c r="I148" s="17">
        <f>$E$123*'3 - Scenario'!Q27+((1-$E$123)-'1 - Caso e ipotesi'!$B$25*E148*MAX(0,B148-$E$123))*H148</f>
        <v>1.0248087376629922</v>
      </c>
      <c r="J148" s="17">
        <f t="shared" si="36"/>
        <v>1.7365923841812425</v>
      </c>
      <c r="K148" s="17">
        <f t="shared" si="37"/>
        <v>30.826239223138817</v>
      </c>
      <c r="L148" s="19">
        <f t="shared" si="38"/>
        <v>1</v>
      </c>
      <c r="M148" s="20">
        <f t="shared" si="39"/>
        <v>913153.83486609336</v>
      </c>
      <c r="N148" s="20">
        <f>'1 - Caso e ipotesi'!$B$7*G148</f>
        <v>44958.091134216564</v>
      </c>
      <c r="O148" s="20">
        <f t="shared" si="35"/>
        <v>889734.58417824737</v>
      </c>
    </row>
    <row r="149" spans="1:15">
      <c r="A149" s="18">
        <v>23</v>
      </c>
      <c r="B149" s="9">
        <f>IF($E$123&gt;0,$E$123*'3 - Scenario'!Q27/I148,0)</f>
        <v>0.60767631765137398</v>
      </c>
      <c r="C149" s="17">
        <f>IF($E$123&gt;0,D148/((1+'3 - Scenario'!C27)*'3 - Scenario'!Q27),C148)</f>
        <v>0.28522714072615613</v>
      </c>
      <c r="D149" s="17">
        <f t="shared" si="32"/>
        <v>0.28522714072615613</v>
      </c>
      <c r="E149" s="17">
        <f t="shared" si="33"/>
        <v>0.71477285927384382</v>
      </c>
      <c r="F149" s="17">
        <f>'1 - Caso e ipotesi'!$B$25*E149*B149</f>
        <v>0.11293114016097501</v>
      </c>
      <c r="G149" s="17">
        <f t="shared" si="34"/>
        <v>1.1273082003819506</v>
      </c>
      <c r="H149" s="17">
        <f>IF($E$123&lt;1,($B$123*'3 - Scenario'!N28+$C$123*'3 - Scenario'!O28+$D$123*'3 - Scenario'!P28)/(1-$E$123),0)</f>
        <v>1.0086440196078432</v>
      </c>
      <c r="I149" s="17">
        <f>$E$123*'3 - Scenario'!Q28+((1-$E$123)-'1 - Caso e ipotesi'!$B$25*E149*MAX(0,B149-$E$123))*H149</f>
        <v>1.0247707023942663</v>
      </c>
      <c r="J149" s="17">
        <f t="shared" si="36"/>
        <v>1.7796089973099454</v>
      </c>
      <c r="K149" s="17">
        <f t="shared" si="37"/>
        <v>32.71830750554426</v>
      </c>
      <c r="L149" s="19">
        <f t="shared" si="38"/>
        <v>1</v>
      </c>
      <c r="M149" s="20">
        <f t="shared" si="39"/>
        <v>889734.58417824737</v>
      </c>
      <c r="N149" s="20">
        <f>'1 - Caso e ipotesi'!$B$7*G149</f>
        <v>45092.328015278021</v>
      </c>
      <c r="O149" s="20">
        <f t="shared" si="35"/>
        <v>865564.63812000398</v>
      </c>
    </row>
    <row r="150" spans="1:15">
      <c r="A150" s="18">
        <v>24</v>
      </c>
      <c r="B150" s="9">
        <f>IF($E$123&gt;0,$E$123*'3 - Scenario'!Q28/I149,0)</f>
        <v>0.60769887209402751</v>
      </c>
      <c r="C150" s="17">
        <f>IF($E$123&gt;0,D149/((1+'3 - Scenario'!C28)*'3 - Scenario'!Q28),C149)</f>
        <v>0.2694181167067885</v>
      </c>
      <c r="D150" s="17">
        <f t="shared" si="32"/>
        <v>0.2694181167067885</v>
      </c>
      <c r="E150" s="17">
        <f t="shared" si="33"/>
        <v>0.7305818832932115</v>
      </c>
      <c r="F150" s="17">
        <f>'1 - Caso e ipotesi'!$B$25*E150*B150</f>
        <v>0.11543318447689993</v>
      </c>
      <c r="G150" s="17">
        <f t="shared" si="34"/>
        <v>1.1304968516240765</v>
      </c>
      <c r="H150" s="17">
        <f>IF($E$123&lt;1,($B$123*'3 - Scenario'!N29+$C$123*'3 - Scenario'!O29+$D$123*'3 - Scenario'!P29)/(1-$E$123),0)</f>
        <v>1.0086440196078432</v>
      </c>
      <c r="I150" s="17">
        <f>$E$123*'3 - Scenario'!Q29+((1-$E$123)-'1 - Caso e ipotesi'!$B$25*E150*MAX(0,B150-$E$123))*H150</f>
        <v>1.0247345560533585</v>
      </c>
      <c r="J150" s="17">
        <f t="shared" si="36"/>
        <v>1.8236268358069694</v>
      </c>
      <c r="K150" s="17">
        <f t="shared" si="37"/>
        <v>34.659259815232261</v>
      </c>
      <c r="L150" s="19">
        <f t="shared" si="38"/>
        <v>1</v>
      </c>
      <c r="M150" s="20">
        <f t="shared" si="39"/>
        <v>865564.63812000398</v>
      </c>
      <c r="N150" s="20">
        <f>'1 - Caso e ipotesi'!$B$7*G150</f>
        <v>45219.874064963064</v>
      </c>
      <c r="O150" s="20">
        <f t="shared" si="35"/>
        <v>840635.62760463951</v>
      </c>
    </row>
    <row r="151" spans="1:15">
      <c r="A151" s="18">
        <v>25</v>
      </c>
      <c r="B151" s="9">
        <f>IF($E$123&gt;0,$E$123*'3 - Scenario'!Q29/I150,0)</f>
        <v>0.6077203079775646</v>
      </c>
      <c r="C151" s="17">
        <f>IF($E$123&gt;0,D150/((1+'3 - Scenario'!C29)*'3 - Scenario'!Q29),C150)</f>
        <v>0.2544853250116263</v>
      </c>
      <c r="D151" s="17">
        <f t="shared" si="32"/>
        <v>0.2544853250116263</v>
      </c>
      <c r="E151" s="17">
        <f t="shared" si="33"/>
        <v>0.74551467498837365</v>
      </c>
      <c r="F151" s="17">
        <f>'1 - Caso e ipotesi'!$B$25*E151*B151</f>
        <v>0.11779674605028939</v>
      </c>
      <c r="G151" s="17">
        <f t="shared" si="34"/>
        <v>1.1335256308825679</v>
      </c>
      <c r="H151" s="17">
        <f>IF($E$123&lt;1,($B$123*'3 - Scenario'!N30+$C$123*'3 - Scenario'!O30+$D$123*'3 - Scenario'!P30)/(1-$E$123),0)</f>
        <v>1.0086440196078432</v>
      </c>
      <c r="I151" s="17">
        <f>$E$123*'3 - Scenario'!Q30+((1-$E$123)-'1 - Caso e ipotesi'!$B$25*E151*MAX(0,B151-$E$123))*H151</f>
        <v>1.0247002156895268</v>
      </c>
      <c r="J151" s="17">
        <f t="shared" si="36"/>
        <v>1.8686708119886108</v>
      </c>
      <c r="K151" s="17">
        <f t="shared" si="37"/>
        <v>36.650066850782608</v>
      </c>
      <c r="L151" s="19">
        <f t="shared" si="38"/>
        <v>1</v>
      </c>
      <c r="M151" s="20">
        <f t="shared" si="39"/>
        <v>840635.62760463951</v>
      </c>
      <c r="N151" s="20">
        <f>'1 - Caso e ipotesi'!$B$7*G151</f>
        <v>45341.025235302717</v>
      </c>
      <c r="O151" s="20">
        <f t="shared" si="35"/>
        <v>814938.55058457586</v>
      </c>
    </row>
    <row r="152" spans="1:15">
      <c r="A152" s="18">
        <v>26</v>
      </c>
      <c r="B152" s="9">
        <f>IF($E$123&gt;0,$E$123*'3 - Scenario'!Q30/I151,0)</f>
        <v>0.60774067426241973</v>
      </c>
      <c r="C152" s="17">
        <f>IF($E$123&gt;0,D151/((1+'3 - Scenario'!C30)*'3 - Scenario'!Q30),C151)</f>
        <v>0.24038019951254913</v>
      </c>
      <c r="D152" s="17">
        <f t="shared" si="32"/>
        <v>0.24038019951254913</v>
      </c>
      <c r="E152" s="17">
        <f t="shared" si="33"/>
        <v>0.75961980048745081</v>
      </c>
      <c r="F152" s="17">
        <f>'1 - Caso e ipotesi'!$B$25*E152*B152</f>
        <v>0.12002948093014532</v>
      </c>
      <c r="G152" s="17">
        <f t="shared" si="34"/>
        <v>1.1364017070219792</v>
      </c>
      <c r="H152" s="17">
        <f>IF($E$123&lt;1,($B$123*'3 - Scenario'!N31+$C$123*'3 - Scenario'!O31+$D$123*'3 - Scenario'!P31)/(1-$E$123),0)</f>
        <v>1.0086440196078432</v>
      </c>
      <c r="I152" s="17">
        <f>$E$123*'3 - Scenario'!Q31+((1-$E$123)-'1 - Caso e ipotesi'!$B$25*E152*MAX(0,B152-$E$123))*H152</f>
        <v>1.0246676008805422</v>
      </c>
      <c r="J152" s="17">
        <f t="shared" si="36"/>
        <v>1.9147664377558646</v>
      </c>
      <c r="K152" s="17">
        <f t="shared" si="37"/>
        <v>38.6917331140545</v>
      </c>
      <c r="L152" s="19">
        <f t="shared" si="38"/>
        <v>1</v>
      </c>
      <c r="M152" s="20">
        <f t="shared" si="39"/>
        <v>814938.55058457586</v>
      </c>
      <c r="N152" s="20">
        <f>'1 - Caso e ipotesi'!$B$7*G152</f>
        <v>45456.068280879168</v>
      </c>
      <c r="O152" s="20">
        <f t="shared" si="35"/>
        <v>788463.76906173315</v>
      </c>
    </row>
    <row r="153" spans="1:15">
      <c r="A153" s="18">
        <v>27</v>
      </c>
      <c r="B153" s="9">
        <f>IF($E$123&gt;0,$E$123*'3 - Scenario'!Q31/I152,0)</f>
        <v>0.6077600184341162</v>
      </c>
      <c r="C153" s="17">
        <f>IF($E$123&gt;0,D152/((1+'3 - Scenario'!C31)*'3 - Scenario'!Q31),C152)</f>
        <v>0.2270568659118285</v>
      </c>
      <c r="D153" s="17">
        <f t="shared" si="32"/>
        <v>0.2270568659118285</v>
      </c>
      <c r="E153" s="17">
        <f t="shared" si="33"/>
        <v>0.7729431340881715</v>
      </c>
      <c r="F153" s="17">
        <f>'1 - Caso e ipotesi'!$B$25*E153*B153</f>
        <v>0.12213862268970717</v>
      </c>
      <c r="G153" s="17">
        <f t="shared" si="34"/>
        <v>1.1391320154258655</v>
      </c>
      <c r="H153" s="17">
        <f>IF($E$123&lt;1,($B$123*'3 - Scenario'!N32+$C$123*'3 - Scenario'!O32+$D$123*'3 - Scenario'!P32)/(1-$E$123),0)</f>
        <v>1.0086440196078432</v>
      </c>
      <c r="I153" s="17">
        <f>$E$123*'3 - Scenario'!Q32+((1-$E$123)-'1 - Caso e ipotesi'!$B$25*E153*MAX(0,B153-$E$123))*H153</f>
        <v>1.0246366337764419</v>
      </c>
      <c r="J153" s="17">
        <f t="shared" si="36"/>
        <v>1.9619398372502781</v>
      </c>
      <c r="K153" s="17">
        <f t="shared" si="37"/>
        <v>40.78529735931432</v>
      </c>
      <c r="L153" s="19">
        <f t="shared" si="38"/>
        <v>1</v>
      </c>
      <c r="M153" s="20">
        <f t="shared" si="39"/>
        <v>788463.76906173315</v>
      </c>
      <c r="N153" s="20">
        <f>'1 - Caso e ipotesi'!$B$7*G153</f>
        <v>45565.280617034623</v>
      </c>
      <c r="O153" s="20">
        <f t="shared" si="35"/>
        <v>761201.00643758278</v>
      </c>
    </row>
    <row r="154" spans="1:15">
      <c r="A154" s="18">
        <v>28</v>
      </c>
      <c r="B154" s="9">
        <f>IF($E$123&gt;0,$E$123*'3 - Scenario'!Q32/I153,0)</f>
        <v>0.60777838647517435</v>
      </c>
      <c r="C154" s="17">
        <f>IF($E$123&gt;0,D153/((1+'3 - Scenario'!C32)*'3 - Scenario'!Q32),C153)</f>
        <v>0.21447199254450502</v>
      </c>
      <c r="D154" s="17">
        <f t="shared" si="32"/>
        <v>0.21447199254450502</v>
      </c>
      <c r="E154" s="17">
        <f t="shared" si="33"/>
        <v>0.785528007455495</v>
      </c>
      <c r="F154" s="17">
        <f>'1 - Caso e ipotesi'!$B$25*E154*B154</f>
        <v>0.12413100567461348</v>
      </c>
      <c r="G154" s="17">
        <f t="shared" si="34"/>
        <v>1.1417232559650337</v>
      </c>
      <c r="H154" s="17">
        <f>IF($E$123&lt;1,($B$123*'3 - Scenario'!N33+$C$123*'3 - Scenario'!O33+$D$123*'3 - Scenario'!P33)/(1-$E$123),0)</f>
        <v>1.0086440196078432</v>
      </c>
      <c r="I154" s="17">
        <f>$E$123*'3 - Scenario'!Q33+((1-$E$123)-'1 - Caso e ipotesi'!$B$25*E154*MAX(0,B154-$E$123))*H154</f>
        <v>1.0246072391264254</v>
      </c>
      <c r="J154" s="17">
        <f t="shared" si="36"/>
        <v>2.0102177599771558</v>
      </c>
      <c r="K154" s="17">
        <f t="shared" si="37"/>
        <v>42.931833049784061</v>
      </c>
      <c r="L154" s="19">
        <f t="shared" si="38"/>
        <v>1</v>
      </c>
      <c r="M154" s="20">
        <f t="shared" si="39"/>
        <v>761201.00643758278</v>
      </c>
      <c r="N154" s="20">
        <f>'1 - Caso e ipotesi'!$B$7*G154</f>
        <v>45668.930238601344</v>
      </c>
      <c r="O154" s="20">
        <f t="shared" si="35"/>
        <v>733139.34510063729</v>
      </c>
    </row>
    <row r="155" spans="1:15">
      <c r="A155" s="18">
        <v>29</v>
      </c>
      <c r="B155" s="9">
        <f>IF($E$123&gt;0,$E$123*'3 - Scenario'!Q33/I154,0)</f>
        <v>0.6077958228471575</v>
      </c>
      <c r="C155" s="17">
        <f>IF($E$123&gt;0,D154/((1+'3 - Scenario'!C33)*'3 - Scenario'!Q33),C154)</f>
        <v>0.20258464945020604</v>
      </c>
      <c r="D155" s="17">
        <f t="shared" si="32"/>
        <v>0.20258464945020604</v>
      </c>
      <c r="E155" s="17">
        <f t="shared" si="33"/>
        <v>0.79741535054979396</v>
      </c>
      <c r="F155" s="17">
        <f>'1 - Caso e ipotesi'!$B$25*E155*B155</f>
        <v>0.1260130869759753</v>
      </c>
      <c r="G155" s="17">
        <f t="shared" si="34"/>
        <v>1.1441818923122837</v>
      </c>
      <c r="H155" s="17">
        <f>IF($E$123&lt;1,($B$123*'3 - Scenario'!N34+$C$123*'3 - Scenario'!O34+$D$123*'3 - Scenario'!P34)/(1-$E$123),0)</f>
        <v>1.0086440196078432</v>
      </c>
      <c r="I155" s="17">
        <f>$E$123*'3 - Scenario'!Q34+((1-$E$123)-'1 - Caso e ipotesi'!$B$25*E155*MAX(0,B155-$E$123))*H155</f>
        <v>1.0245793442906814</v>
      </c>
      <c r="J155" s="17">
        <f t="shared" si="36"/>
        <v>2.0596275943988767</v>
      </c>
      <c r="K155" s="17">
        <f t="shared" si="37"/>
        <v>45.132448824088151</v>
      </c>
      <c r="L155" s="19">
        <f t="shared" si="38"/>
        <v>1</v>
      </c>
      <c r="M155" s="20">
        <f t="shared" si="39"/>
        <v>733139.34510063729</v>
      </c>
      <c r="N155" s="20">
        <f>'1 - Caso e ipotesi'!$B$7*G155</f>
        <v>45767.275692491348</v>
      </c>
      <c r="O155" s="20">
        <f t="shared" si="35"/>
        <v>704267.22415792698</v>
      </c>
    </row>
    <row r="156" spans="1:15">
      <c r="A156" s="18">
        <v>30</v>
      </c>
      <c r="B156" s="9">
        <f>IF($E$123&gt;0,$E$123*'3 - Scenario'!Q34/I155,0)</f>
        <v>0.60781237048179282</v>
      </c>
      <c r="C156" s="17">
        <f>IF($E$123&gt;0,D155/((1+'3 - Scenario'!C34)*'3 - Scenario'!Q34),C155)</f>
        <v>0.1913561752560608</v>
      </c>
      <c r="D156" s="17">
        <f t="shared" si="32"/>
        <v>0.1913561752560608</v>
      </c>
      <c r="E156" s="17">
        <f t="shared" si="33"/>
        <v>0.80864382474393914</v>
      </c>
      <c r="F156" s="17">
        <f>'1 - Caso e ipotesi'!$B$25*E156*B156</f>
        <v>0.12779096719820005</v>
      </c>
      <c r="G156" s="17">
        <f t="shared" si="34"/>
        <v>1.1465141524477185</v>
      </c>
      <c r="H156" s="17">
        <f>IF($E$123&lt;1,($B$123*'3 - Scenario'!N35+$C$123*'3 - Scenario'!O35+$D$123*'3 - Scenario'!P35)/(1-$E$123),0)</f>
        <v>1.0086440196078432</v>
      </c>
      <c r="I156" s="17">
        <f>$E$123*'3 - Scenario'!Q35+((1-$E$123)-'1 - Caso e ipotesi'!$B$25*E156*MAX(0,B156-$E$123))*H156</f>
        <v>1.0245528792388134</v>
      </c>
      <c r="J156" s="17">
        <f t="shared" si="36"/>
        <v>2.11019738200108</v>
      </c>
      <c r="K156" s="17">
        <f t="shared" si="37"/>
        <v>47.388288974864693</v>
      </c>
      <c r="L156" s="19">
        <f t="shared" si="38"/>
        <v>1</v>
      </c>
      <c r="M156" s="20">
        <f t="shared" si="39"/>
        <v>704267.22415792698</v>
      </c>
      <c r="N156" s="20">
        <f>'1 - Caso e ipotesi'!$B$7*G156</f>
        <v>45860.566097908741</v>
      </c>
      <c r="O156" s="20">
        <f t="shared" si="35"/>
        <v>674572.43722539651</v>
      </c>
    </row>
    <row r="157" spans="1:15">
      <c r="A157" s="18">
        <v>31</v>
      </c>
      <c r="B157" s="9">
        <f>IF($E$123&gt;0,$E$123*'3 - Scenario'!Q35/I156,0)</f>
        <v>0.60782807078017342</v>
      </c>
      <c r="C157" s="17">
        <f>IF($E$123&gt;0,D156/((1+'3 - Scenario'!C35)*'3 - Scenario'!Q35),C156)</f>
        <v>0.18075005143777448</v>
      </c>
      <c r="D157" s="17">
        <f t="shared" si="32"/>
        <v>0.18075005143777448</v>
      </c>
      <c r="E157" s="17">
        <f t="shared" si="33"/>
        <v>0.81924994856222555</v>
      </c>
      <c r="F157" s="17">
        <f>'1 - Caso e ipotesi'!$B$25*E157*B157</f>
        <v>0.12947041008754681</v>
      </c>
      <c r="G157" s="17">
        <f t="shared" si="34"/>
        <v>1.1487260302094582</v>
      </c>
      <c r="H157" s="17">
        <f>IF($E$123&lt;1,($B$123*'3 - Scenario'!N36+$C$123*'3 - Scenario'!O36+$D$123*'3 - Scenario'!P36)/(1-$E$123),0)</f>
        <v>1.0086440196078432</v>
      </c>
      <c r="I157" s="17">
        <f>$E$123*'3 - Scenario'!Q36+((1-$E$123)-'1 - Caso e ipotesi'!$B$25*E157*MAX(0,B157-$E$123))*H157</f>
        <v>1.0245277765364444</v>
      </c>
      <c r="J157" s="17">
        <f t="shared" si="36"/>
        <v>2.1619558318345926</v>
      </c>
      <c r="K157" s="17">
        <f t="shared" si="37"/>
        <v>49.700533941608001</v>
      </c>
      <c r="L157" s="19">
        <f t="shared" si="38"/>
        <v>1</v>
      </c>
      <c r="M157" s="20">
        <f t="shared" si="39"/>
        <v>674572.43722539651</v>
      </c>
      <c r="N157" s="20">
        <f>'1 - Caso e ipotesi'!$B$7*G157</f>
        <v>45949.04120837833</v>
      </c>
      <c r="O157" s="20">
        <f t="shared" si="35"/>
        <v>644042.13020010444</v>
      </c>
    </row>
    <row r="158" spans="1:15">
      <c r="A158" s="18">
        <v>32</v>
      </c>
      <c r="B158" s="9">
        <f>IF($E$123&gt;0,$E$123*'3 - Scenario'!Q36/I157,0)</f>
        <v>0.60784296361910051</v>
      </c>
      <c r="C158" s="17">
        <f>IF($E$123&gt;0,D157/((1+'3 - Scenario'!C36)*'3 - Scenario'!Q36),C157)</f>
        <v>0.17073178354991891</v>
      </c>
      <c r="D158" s="17">
        <f t="shared" si="32"/>
        <v>0.17073178354991891</v>
      </c>
      <c r="E158" s="17">
        <f t="shared" si="33"/>
        <v>0.82926821645008109</v>
      </c>
      <c r="F158" s="17">
        <f>'1 - Caso e ipotesi'!$B$25*E158*B158</f>
        <v>0.13105686108375719</v>
      </c>
      <c r="G158" s="17">
        <f t="shared" si="34"/>
        <v>1.1508232877552991</v>
      </c>
      <c r="H158" s="17">
        <f>IF($E$123&lt;1,($B$123*'3 - Scenario'!N37+$C$123*'3 - Scenario'!O37+$D$123*'3 - Scenario'!P37)/(1-$E$123),0)</f>
        <v>1.0086440196078432</v>
      </c>
      <c r="I158" s="17">
        <f>$E$123*'3 - Scenario'!Q37+((1-$E$123)-'1 - Caso e ipotesi'!$B$25*E158*MAX(0,B158-$E$123))*H158</f>
        <v>1.0245039713214545</v>
      </c>
      <c r="J158" s="17">
        <f t="shared" si="36"/>
        <v>2.214932335536119</v>
      </c>
      <c r="K158" s="17">
        <f t="shared" si="37"/>
        <v>52.070400819625036</v>
      </c>
      <c r="L158" s="19">
        <f t="shared" si="38"/>
        <v>1</v>
      </c>
      <c r="M158" s="20">
        <f t="shared" si="39"/>
        <v>644042.13020010444</v>
      </c>
      <c r="N158" s="20">
        <f>'1 - Caso e ipotesi'!$B$7*G158</f>
        <v>46032.931510211965</v>
      </c>
      <c r="O158" s="20">
        <f t="shared" si="35"/>
        <v>612662.79894455557</v>
      </c>
    </row>
    <row r="159" spans="1:15">
      <c r="A159" s="18">
        <v>33</v>
      </c>
      <c r="B159" s="9">
        <f>IF($E$123&gt;0,$E$123*'3 - Scenario'!Q37/I158,0)</f>
        <v>0.60785708736369704</v>
      </c>
      <c r="C159" s="17">
        <f>IF($E$123&gt;0,D158/((1+'3 - Scenario'!C37)*'3 - Scenario'!Q37),C158)</f>
        <v>0.16126878903916328</v>
      </c>
      <c r="D159" s="17">
        <f t="shared" ref="D159:D190" si="40">IF($E$123&gt;0,IF(B159&gt;$E$123,C159,1-(1-C159)*B159/$E$123),C159)</f>
        <v>0.16126878903916328</v>
      </c>
      <c r="E159" s="17">
        <f t="shared" ref="E159:E176" si="41">MAX(0,1-C159)</f>
        <v>0.83873121096083669</v>
      </c>
      <c r="F159" s="17">
        <f>'1 - Caso e ipotesi'!$B$25*E159*B159</f>
        <v>0.132555464853677</v>
      </c>
      <c r="G159" s="17">
        <f t="shared" ref="G159:G190" si="42">1/(1-F159)</f>
        <v>1.1528114588113891</v>
      </c>
      <c r="H159" s="17">
        <f>IF($E$123&lt;1,($B$123*'3 - Scenario'!N38+$C$123*'3 - Scenario'!O38+$D$123*'3 - Scenario'!P38)/(1-$E$123),0)</f>
        <v>1.0086440196078432</v>
      </c>
      <c r="I159" s="17">
        <f>$E$123*'3 - Scenario'!Q38+((1-$E$123)-'1 - Caso e ipotesi'!$B$25*E159*MAX(0,B159-$E$123))*H159</f>
        <v>1.0244814012712167</v>
      </c>
      <c r="J159" s="17">
        <f t="shared" si="36"/>
        <v>2.2691569828309719</v>
      </c>
      <c r="K159" s="17">
        <f t="shared" si="37"/>
        <v>54.499143886817166</v>
      </c>
      <c r="L159" s="19">
        <f t="shared" si="38"/>
        <v>1</v>
      </c>
      <c r="M159" s="20">
        <f t="shared" si="39"/>
        <v>612662.79894455557</v>
      </c>
      <c r="N159" s="20">
        <f>'1 - Caso e ipotesi'!$B$7*G159</f>
        <v>46112.458352455564</v>
      </c>
      <c r="O159" s="20">
        <f t="shared" ref="O159:O190" si="43">IF(L159=1,(M159-N159)*I159,0)</f>
        <v>580420.28682047979</v>
      </c>
    </row>
    <row r="160" spans="1:15">
      <c r="A160" s="18">
        <v>34</v>
      </c>
      <c r="B160" s="9">
        <f>IF($E$123&gt;0,$E$123*'3 - Scenario'!Q38/I159,0)</f>
        <v>0.60787047888547796</v>
      </c>
      <c r="C160" s="17">
        <f>IF($E$123&gt;0,D159/((1+'3 - Scenario'!C38)*'3 - Scenario'!Q38),C159)</f>
        <v>0.15233029127557837</v>
      </c>
      <c r="D160" s="17">
        <f t="shared" si="40"/>
        <v>0.15233029127557837</v>
      </c>
      <c r="E160" s="17">
        <f t="shared" si="41"/>
        <v>0.8476697087244216</v>
      </c>
      <c r="F160" s="17">
        <f>'1 - Caso e ipotesi'!$B$25*E160*B160</f>
        <v>0.13397108186254722</v>
      </c>
      <c r="G160" s="17">
        <f t="shared" si="42"/>
        <v>1.1546958525942477</v>
      </c>
      <c r="H160" s="17">
        <f>IF($E$123&lt;1,($B$123*'3 - Scenario'!N39+$C$123*'3 - Scenario'!O39+$D$123*'3 - Scenario'!P39)/(1-$E$123),0)</f>
        <v>1.0086440196078432</v>
      </c>
      <c r="I160" s="17">
        <f>$E$123*'3 - Scenario'!Q39+((1-$E$123)-'1 - Caso e ipotesi'!$B$25*E160*MAX(0,B160-$E$123))*H160</f>
        <v>1.0244600065620735</v>
      </c>
      <c r="J160" s="17">
        <f t="shared" ref="J160:J191" si="44">J159*I160</f>
        <v>2.3246605775213922</v>
      </c>
      <c r="K160" s="17">
        <f t="shared" ref="K160:K176" si="45">K159*I159+G160</f>
        <v>56.988055149842353</v>
      </c>
      <c r="L160" s="19">
        <f t="shared" ref="L160:L191" si="46">IF(AND(L159=1,M160-N160&gt;0),1,0)</f>
        <v>1</v>
      </c>
      <c r="M160" s="20">
        <f t="shared" ref="M160:M176" si="47">O159</f>
        <v>580420.28682047979</v>
      </c>
      <c r="N160" s="20">
        <f>'1 - Caso e ipotesi'!$B$7*G160</f>
        <v>46187.834103769907</v>
      </c>
      <c r="O160" s="20">
        <f t="shared" si="43"/>
        <v>547299.78201583331</v>
      </c>
    </row>
    <row r="161" spans="1:15">
      <c r="A161" s="18">
        <v>35</v>
      </c>
      <c r="B161" s="9">
        <f>IF($E$123&gt;0,$E$123*'3 - Scenario'!Q39/I160,0)</f>
        <v>0.60788317358513355</v>
      </c>
      <c r="C161" s="17">
        <f>IF($E$123&gt;0,D160/((1+'3 - Scenario'!C39)*'3 - Scenario'!Q39),C160)</f>
        <v>0.14388721945737099</v>
      </c>
      <c r="D161" s="17">
        <f t="shared" si="40"/>
        <v>0.14388721945737099</v>
      </c>
      <c r="E161" s="17">
        <f t="shared" si="41"/>
        <v>0.85611278054262896</v>
      </c>
      <c r="F161" s="17">
        <f>'1 - Caso e ipotesi'!$B$25*E161*B161</f>
        <v>0.13530830403559205</v>
      </c>
      <c r="G161" s="17">
        <f t="shared" si="42"/>
        <v>1.1564815583023265</v>
      </c>
      <c r="H161" s="17">
        <f>IF($E$123&lt;1,($B$123*'3 - Scenario'!N40+$C$123*'3 - Scenario'!O40+$D$123*'3 - Scenario'!P40)/(1-$E$123),0)</f>
        <v>1.0086440196078432</v>
      </c>
      <c r="I161" s="17">
        <f>$E$123*'3 - Scenario'!Q40+((1-$E$123)-'1 - Caso e ipotesi'!$B$25*E161*MAX(0,B161-$E$123))*H161</f>
        <v>1.0244397298222072</v>
      </c>
      <c r="J161" s="17">
        <f t="shared" si="44"/>
        <v>2.3814746539643514</v>
      </c>
      <c r="K161" s="17">
        <f t="shared" si="45"/>
        <v>59.538464911069624</v>
      </c>
      <c r="L161" s="19">
        <f t="shared" si="46"/>
        <v>1</v>
      </c>
      <c r="M161" s="20">
        <f t="shared" si="47"/>
        <v>547299.78201583331</v>
      </c>
      <c r="N161" s="20">
        <f>'1 - Caso e ipotesi'!$B$7*G161</f>
        <v>46259.262332093058</v>
      </c>
      <c r="O161" s="20">
        <f t="shared" si="43"/>
        <v>513285.81461478909</v>
      </c>
    </row>
    <row r="162" spans="1:15">
      <c r="A162" s="18">
        <v>36</v>
      </c>
      <c r="B162" s="9">
        <f>IF($E$123&gt;0,$E$123*'3 - Scenario'!Q40/I161,0)</f>
        <v>0.60789520541933628</v>
      </c>
      <c r="C162" s="17">
        <f>IF($E$123&gt;0,D161/((1+'3 - Scenario'!C40)*'3 - Scenario'!Q40),C161)</f>
        <v>0.13591211406350689</v>
      </c>
      <c r="D162" s="17">
        <f t="shared" si="40"/>
        <v>0.13591211406350689</v>
      </c>
      <c r="E162" s="17">
        <f t="shared" si="41"/>
        <v>0.86408788593649311</v>
      </c>
      <c r="F162" s="17">
        <f>'1 - Caso e ipotesi'!$B$25*E162*B162</f>
        <v>0.13657146955964836</v>
      </c>
      <c r="G162" s="17">
        <f t="shared" si="42"/>
        <v>1.1581734500827723</v>
      </c>
      <c r="H162" s="17">
        <f>IF($E$123&lt;1,($B$123*'3 - Scenario'!N41+$C$123*'3 - Scenario'!O41+$D$123*'3 - Scenario'!P41)/(1-$E$123),0)</f>
        <v>1.0086440196078432</v>
      </c>
      <c r="I162" s="17">
        <f>$E$123*'3 - Scenario'!Q41+((1-$E$123)-'1 - Caso e ipotesi'!$B$25*E162*MAX(0,B162-$E$123))*H162</f>
        <v>1.0244205160789501</v>
      </c>
      <c r="J162" s="17">
        <f t="shared" si="44"/>
        <v>2.4396314940431001</v>
      </c>
      <c r="K162" s="17">
        <f t="shared" si="45"/>
        <v>62.151742357607901</v>
      </c>
      <c r="L162" s="19">
        <f t="shared" si="46"/>
        <v>1</v>
      </c>
      <c r="M162" s="20">
        <f t="shared" si="47"/>
        <v>513285.81461478909</v>
      </c>
      <c r="N162" s="20">
        <f>'1 - Caso e ipotesi'!$B$7*G162</f>
        <v>46326.93800331089</v>
      </c>
      <c r="O162" s="20">
        <f t="shared" si="43"/>
        <v>478362.25336597732</v>
      </c>
    </row>
    <row r="163" spans="1:15">
      <c r="A163" s="18">
        <v>37</v>
      </c>
      <c r="B163" s="9">
        <f>IF($E$123&gt;0,$E$123*'3 - Scenario'!Q41/I162,0)</f>
        <v>0.60790660693094289</v>
      </c>
      <c r="C163" s="17">
        <f>IF($E$123&gt;0,D162/((1+'3 - Scenario'!C41)*'3 - Scenario'!Q41),C162)</f>
        <v>0.12837903754672514</v>
      </c>
      <c r="D163" s="17">
        <f t="shared" si="40"/>
        <v>0.12837903754672514</v>
      </c>
      <c r="E163" s="17">
        <f t="shared" si="41"/>
        <v>0.87162096245327492</v>
      </c>
      <c r="F163" s="17">
        <f>'1 - Caso e ipotesi'!$B$25*E163*B163</f>
        <v>0.13776467687186181</v>
      </c>
      <c r="G163" s="17">
        <f t="shared" si="42"/>
        <v>1.1597761923880128</v>
      </c>
      <c r="H163" s="17">
        <f>IF($E$123&lt;1,($B$123*'3 - Scenario'!N42+$C$123*'3 - Scenario'!O42+$D$123*'3 - Scenario'!P42)/(1-$E$123),0)</f>
        <v>1.0086440196078432</v>
      </c>
      <c r="I163" s="17">
        <f>$E$123*'3 - Scenario'!Q42+((1-$E$123)-'1 - Caso e ipotesi'!$B$25*E163*MAX(0,B163-$E$123))*H163</f>
        <v>1.0244023127014861</v>
      </c>
      <c r="J163" s="17">
        <f t="shared" si="44"/>
        <v>2.4991641446371333</v>
      </c>
      <c r="K163" s="17">
        <f t="shared" si="45"/>
        <v>64.829296173574647</v>
      </c>
      <c r="L163" s="19">
        <f t="shared" si="46"/>
        <v>1</v>
      </c>
      <c r="M163" s="20">
        <f t="shared" si="47"/>
        <v>478362.25336597732</v>
      </c>
      <c r="N163" s="20">
        <f>'1 - Caso e ipotesi'!$B$7*G163</f>
        <v>46391.047695520509</v>
      </c>
      <c r="O163" s="20">
        <f t="shared" si="43"/>
        <v>442512.30210926523</v>
      </c>
    </row>
    <row r="164" spans="1:15">
      <c r="A164" s="18">
        <v>38</v>
      </c>
      <c r="B164" s="9">
        <f>IF($E$123&gt;0,$E$123*'3 - Scenario'!Q42/I163,0)</f>
        <v>0.60791740928202276</v>
      </c>
      <c r="C164" s="17">
        <f>IF($E$123&gt;0,D163/((1+'3 - Scenario'!C42)*'3 - Scenario'!Q42),C163)</f>
        <v>0.12126348997648874</v>
      </c>
      <c r="D164" s="17">
        <f t="shared" si="40"/>
        <v>0.12126348997648874</v>
      </c>
      <c r="E164" s="17">
        <f t="shared" si="41"/>
        <v>0.87873651002351127</v>
      </c>
      <c r="F164" s="17">
        <f>'1 - Caso e ipotesi'!$B$25*E164*B164</f>
        <v>0.13889179787990499</v>
      </c>
      <c r="G164" s="17">
        <f t="shared" si="42"/>
        <v>1.161294245645258</v>
      </c>
      <c r="H164" s="17">
        <f>IF($E$123&lt;1,($B$123*'3 - Scenario'!N43+$C$123*'3 - Scenario'!O43+$D$123*'3 - Scenario'!P43)/(1-$E$123),0)</f>
        <v>1.0086440196078432</v>
      </c>
      <c r="I164" s="17">
        <f>$E$123*'3 - Scenario'!Q43+((1-$E$123)-'1 - Caso e ipotesi'!$B$25*E164*MAX(0,B164-$E$123))*H164</f>
        <v>1.0243850693398098</v>
      </c>
      <c r="J164" s="17">
        <f t="shared" si="44"/>
        <v>2.5601064355956762</v>
      </c>
      <c r="K164" s="17">
        <f t="shared" si="45"/>
        <v>67.572575176664728</v>
      </c>
      <c r="L164" s="19">
        <f t="shared" si="46"/>
        <v>1</v>
      </c>
      <c r="M164" s="20">
        <f t="shared" si="47"/>
        <v>442512.30210926523</v>
      </c>
      <c r="N164" s="20">
        <f>'1 - Caso e ipotesi'!$B$7*G164</f>
        <v>46451.769825810319</v>
      </c>
      <c r="O164" s="20">
        <f t="shared" si="43"/>
        <v>405718.49582594889</v>
      </c>
    </row>
    <row r="165" spans="1:15">
      <c r="A165" s="18">
        <v>39</v>
      </c>
      <c r="B165" s="9">
        <f>IF($E$123&gt;0,$E$123*'3 - Scenario'!Q43/I164,0)</f>
        <v>0.60792764228919094</v>
      </c>
      <c r="C165" s="17">
        <f>IF($E$123&gt;0,D164/((1+'3 - Scenario'!C43)*'3 - Scenario'!Q43),C164)</f>
        <v>0.11454232935751664</v>
      </c>
      <c r="D165" s="17">
        <f t="shared" si="40"/>
        <v>0.11454232935751664</v>
      </c>
      <c r="E165" s="17">
        <f t="shared" si="41"/>
        <v>0.88545767064248337</v>
      </c>
      <c r="F165" s="17">
        <f>'1 - Caso e ipotesi'!$B$25*E165*B165</f>
        <v>0.13995649045574662</v>
      </c>
      <c r="G165" s="17">
        <f t="shared" si="42"/>
        <v>1.1627318721699453</v>
      </c>
      <c r="H165" s="17">
        <f>IF($E$123&lt;1,($B$123*'3 - Scenario'!N44+$C$123*'3 - Scenario'!O44+$D$123*'3 - Scenario'!P44)/(1-$E$123),0)</f>
        <v>1.0086440196078432</v>
      </c>
      <c r="I165" s="17">
        <f>$E$123*'3 - Scenario'!Q44+((1-$E$123)-'1 - Caso e ipotesi'!$B$25*E165*MAX(0,B165-$E$123))*H165</f>
        <v>1.0243687378607178</v>
      </c>
      <c r="J165" s="17">
        <f t="shared" si="44"/>
        <v>2.6224929982202441</v>
      </c>
      <c r="K165" s="17">
        <f t="shared" si="45"/>
        <v>70.383068979987144</v>
      </c>
      <c r="L165" s="19">
        <f t="shared" si="46"/>
        <v>1</v>
      </c>
      <c r="M165" s="20">
        <f t="shared" si="47"/>
        <v>405718.49582594889</v>
      </c>
      <c r="N165" s="20">
        <f>'1 - Caso e ipotesi'!$B$7*G165</f>
        <v>46509.274886797815</v>
      </c>
      <c r="O165" s="20">
        <f t="shared" si="43"/>
        <v>367962.69628136989</v>
      </c>
    </row>
    <row r="166" spans="1:15">
      <c r="A166" s="18">
        <v>40</v>
      </c>
      <c r="B166" s="9">
        <f>IF($E$123&gt;0,$E$123*'3 - Scenario'!Q44/I165,0)</f>
        <v>0.60793733446078169</v>
      </c>
      <c r="C166" s="17">
        <f>IF($E$123&gt;0,D165/((1+'3 - Scenario'!C44)*'3 - Scenario'!Q44),C165)</f>
        <v>0.10819369636474745</v>
      </c>
      <c r="D166" s="17">
        <f t="shared" si="40"/>
        <v>0.10819369636474745</v>
      </c>
      <c r="E166" s="17">
        <f t="shared" si="41"/>
        <v>0.8918063036352526</v>
      </c>
      <c r="F166" s="17">
        <f>'1 - Caso e ipotesi'!$B$25*E166*B166</f>
        <v>0.14096221024270789</v>
      </c>
      <c r="G166" s="17">
        <f t="shared" si="42"/>
        <v>1.1640931422615699</v>
      </c>
      <c r="H166" s="17">
        <f>IF($E$123&lt;1,($B$123*'3 - Scenario'!N45+$C$123*'3 - Scenario'!O45+$D$123*'3 - Scenario'!P45)/(1-$E$123),0)</f>
        <v>1.0086440196078432</v>
      </c>
      <c r="I166" s="17">
        <f>$E$123*'3 - Scenario'!Q45+((1-$E$123)-'1 - Caso e ipotesi'!$B$25*E166*MAX(0,B166-$E$123))*H166</f>
        <v>1.0243532722815292</v>
      </c>
      <c r="J166" s="17">
        <f t="shared" si="44"/>
        <v>2.6863592842623056</v>
      </c>
      <c r="K166" s="17">
        <f t="shared" si="45"/>
        <v>73.262308680054829</v>
      </c>
      <c r="L166" s="19">
        <f t="shared" si="46"/>
        <v>1</v>
      </c>
      <c r="M166" s="20">
        <f t="shared" si="47"/>
        <v>367962.69628136989</v>
      </c>
      <c r="N166" s="20">
        <f>'1 - Caso e ipotesi'!$B$7*G166</f>
        <v>46563.725690462794</v>
      </c>
      <c r="O166" s="20">
        <f t="shared" si="43"/>
        <v>329226.08723271062</v>
      </c>
    </row>
    <row r="167" spans="1:15">
      <c r="A167" s="18">
        <v>41</v>
      </c>
      <c r="B167" s="9">
        <f>IF($E$123&gt;0,$E$123*'3 - Scenario'!Q45/I166,0)</f>
        <v>0.60794651303544167</v>
      </c>
      <c r="C167" s="17">
        <f>IF($E$123&gt;0,D166/((1+'3 - Scenario'!C45)*'3 - Scenario'!Q45),C166)</f>
        <v>0.1021969432499496</v>
      </c>
      <c r="D167" s="17">
        <f t="shared" si="40"/>
        <v>0.1021969432499496</v>
      </c>
      <c r="E167" s="17">
        <f t="shared" si="41"/>
        <v>0.89780305675005034</v>
      </c>
      <c r="F167" s="17">
        <f>'1 - Caso e ipotesi'!$B$25*E167*B167</f>
        <v>0.14191222181337601</v>
      </c>
      <c r="G167" s="17">
        <f t="shared" si="42"/>
        <v>1.1653819404272086</v>
      </c>
      <c r="H167" s="17">
        <f>IF($E$123&lt;1,($B$123*'3 - Scenario'!N46+$C$123*'3 - Scenario'!O46+$D$123*'3 - Scenario'!P46)/(1-$E$123),0)</f>
        <v>1.0086440196078432</v>
      </c>
      <c r="I167" s="17">
        <f>$E$123*'3 - Scenario'!Q46+((1-$E$123)-'1 - Caso e ipotesi'!$B$25*E167*MAX(0,B167-$E$123))*H167</f>
        <v>1.0243386287021603</v>
      </c>
      <c r="J167" s="17">
        <f t="shared" si="44"/>
        <v>2.7517415854425669</v>
      </c>
      <c r="K167" s="17">
        <f t="shared" si="45"/>
        <v>76.211867571740854</v>
      </c>
      <c r="L167" s="19">
        <f t="shared" si="46"/>
        <v>1</v>
      </c>
      <c r="M167" s="20">
        <f t="shared" si="47"/>
        <v>329226.08723271062</v>
      </c>
      <c r="N167" s="20">
        <f>'1 - Caso e ipotesi'!$B$7*G167</f>
        <v>46615.277617088344</v>
      </c>
      <c r="O167" s="20">
        <f t="shared" si="43"/>
        <v>289489.16917807382</v>
      </c>
    </row>
    <row r="168" spans="1:15">
      <c r="A168" s="18">
        <v>42</v>
      </c>
      <c r="B168" s="9">
        <f>IF($E$123&gt;0,$E$123*'3 - Scenario'!Q46/I167,0)</f>
        <v>0.60795520402176806</v>
      </c>
      <c r="C168" s="17">
        <f>IF($E$123&gt;0,D167/((1+'3 - Scenario'!C46)*'3 - Scenario'!Q46),C167)</f>
        <v>9.6532566688759869E-2</v>
      </c>
      <c r="D168" s="17">
        <f t="shared" si="40"/>
        <v>9.6532566688759869E-2</v>
      </c>
      <c r="E168" s="17">
        <f t="shared" si="41"/>
        <v>0.90346743331124013</v>
      </c>
      <c r="F168" s="17">
        <f>'1 - Caso e ipotesi'!$B$25*E168*B168</f>
        <v>0.14280960921389713</v>
      </c>
      <c r="G168" s="17">
        <f t="shared" si="42"/>
        <v>1.1666019716844127</v>
      </c>
      <c r="H168" s="17">
        <f>IF($E$123&lt;1,($B$123*'3 - Scenario'!N47+$C$123*'3 - Scenario'!O47+$D$123*'3 - Scenario'!P47)/(1-$E$123),0)</f>
        <v>1.0086440196078432</v>
      </c>
      <c r="I168" s="17">
        <f>$E$123*'3 - Scenario'!Q47+((1-$E$123)-'1 - Caso e ipotesi'!$B$25*E168*MAX(0,B168-$E$123))*H168</f>
        <v>1.0243247652361003</v>
      </c>
      <c r="J168" s="17">
        <f t="shared" si="44"/>
        <v>2.8186770534988717</v>
      </c>
      <c r="K168" s="17">
        <f t="shared" si="45"/>
        <v>79.233361890952082</v>
      </c>
      <c r="L168" s="19">
        <f t="shared" si="46"/>
        <v>1</v>
      </c>
      <c r="M168" s="20">
        <f t="shared" si="47"/>
        <v>289489.16917807382</v>
      </c>
      <c r="N168" s="20">
        <f>'1 - Caso e ipotesi'!$B$7*G168</f>
        <v>46664.078867376506</v>
      </c>
      <c r="O168" s="20">
        <f t="shared" si="43"/>
        <v>248731.75362593989</v>
      </c>
    </row>
    <row r="169" spans="1:15">
      <c r="A169" s="18">
        <v>43</v>
      </c>
      <c r="B169" s="9">
        <f>IF($E$123&gt;0,$E$123*'3 - Scenario'!Q47/I168,0)</f>
        <v>0.60796343223866078</v>
      </c>
      <c r="C169" s="17">
        <f>IF($E$123&gt;0,D168/((1+'3 - Scenario'!C47)*'3 - Scenario'!Q47),C168)</f>
        <v>9.118214434974764E-2</v>
      </c>
      <c r="D169" s="17">
        <f t="shared" si="40"/>
        <v>9.118214434974764E-2</v>
      </c>
      <c r="E169" s="17">
        <f t="shared" si="41"/>
        <v>0.90881785565025242</v>
      </c>
      <c r="F169" s="17">
        <f>'1 - Caso e ipotesi'!$B$25*E169*B169</f>
        <v>0.1436572859282359</v>
      </c>
      <c r="G169" s="17">
        <f t="shared" si="42"/>
        <v>1.1677567679009844</v>
      </c>
      <c r="H169" s="17">
        <f>IF($E$123&lt;1,($B$123*'3 - Scenario'!N48+$C$123*'3 - Scenario'!O48+$D$123*'3 - Scenario'!P48)/(1-$E$123),0)</f>
        <v>1.0086440196078432</v>
      </c>
      <c r="I169" s="17">
        <f>$E$123*'3 - Scenario'!Q48+((1-$E$123)-'1 - Caso e ipotesi'!$B$25*E169*MAX(0,B169-$E$123))*H169</f>
        <v>1.0243116419407825</v>
      </c>
      <c r="J169" s="17">
        <f t="shared" si="44"/>
        <v>2.8872037207702359</v>
      </c>
      <c r="K169" s="17">
        <f t="shared" si="45"/>
        <v>82.328451585717445</v>
      </c>
      <c r="L169" s="19">
        <f t="shared" si="46"/>
        <v>1</v>
      </c>
      <c r="M169" s="20">
        <f t="shared" si="47"/>
        <v>248731.75362593989</v>
      </c>
      <c r="N169" s="20">
        <f>'1 - Caso e ipotesi'!$B$7*G169</f>
        <v>46710.270716039377</v>
      </c>
      <c r="O169" s="20">
        <f t="shared" si="43"/>
        <v>206932.95686675192</v>
      </c>
    </row>
    <row r="170" spans="1:15">
      <c r="A170" s="18">
        <v>44</v>
      </c>
      <c r="B170" s="9">
        <f>IF($E$123&gt;0,$E$123*'3 - Scenario'!Q48/I169,0)</f>
        <v>0.6079712213560905</v>
      </c>
      <c r="C170" s="17">
        <f>IF($E$123&gt;0,D169/((1+'3 - Scenario'!C48)*'3 - Scenario'!Q48),C169)</f>
        <v>8.6128274979207692E-2</v>
      </c>
      <c r="D170" s="17">
        <f t="shared" si="40"/>
        <v>8.6128274979207692E-2</v>
      </c>
      <c r="E170" s="17">
        <f t="shared" si="41"/>
        <v>0.91387172502079228</v>
      </c>
      <c r="F170" s="17">
        <f>'1 - Caso e ipotesi'!$B$25*E170*B170</f>
        <v>0.14445800429415898</v>
      </c>
      <c r="G170" s="17">
        <f t="shared" si="42"/>
        <v>1.1688496941345095</v>
      </c>
      <c r="H170" s="17">
        <f>IF($E$123&lt;1,($B$123*'3 - Scenario'!N49+$C$123*'3 - Scenario'!O49+$D$123*'3 - Scenario'!P49)/(1-$E$123),0)</f>
        <v>1.0086440196078432</v>
      </c>
      <c r="I170" s="17">
        <f>$E$123*'3 - Scenario'!Q49+((1-$E$123)-'1 - Caso e ipotesi'!$B$25*E170*MAX(0,B170-$E$123))*H170</f>
        <v>1.0242992207477741</v>
      </c>
      <c r="J170" s="17">
        <f t="shared" si="44"/>
        <v>2.9573605213250267</v>
      </c>
      <c r="K170" s="17">
        <f t="shared" si="45"/>
        <v>85.498841116342959</v>
      </c>
      <c r="L170" s="19">
        <f t="shared" si="46"/>
        <v>1</v>
      </c>
      <c r="M170" s="20">
        <f t="shared" si="47"/>
        <v>206932.95686675192</v>
      </c>
      <c r="N170" s="20">
        <f>'1 - Caso e ipotesi'!$B$7*G170</f>
        <v>46753.987765380378</v>
      </c>
      <c r="O170" s="20">
        <f t="shared" si="43"/>
        <v>164071.19323071666</v>
      </c>
    </row>
    <row r="171" spans="1:15">
      <c r="A171" s="18">
        <v>45</v>
      </c>
      <c r="B171" s="9">
        <f>IF($E$123&gt;0,$E$123*'3 - Scenario'!Q49/I170,0)</f>
        <v>0.60797859393602716</v>
      </c>
      <c r="C171" s="17">
        <f>IF($E$123&gt;0,D170/((1+'3 - Scenario'!C49)*'3 - Scenario'!Q49),C170)</f>
        <v>8.1354521806818472E-2</v>
      </c>
      <c r="D171" s="17">
        <f t="shared" si="40"/>
        <v>8.1354521806818472E-2</v>
      </c>
      <c r="E171" s="17">
        <f t="shared" si="41"/>
        <v>0.91864547819318154</v>
      </c>
      <c r="F171" s="17">
        <f>'1 - Caso e ipotesi'!$B$25*E171*B171</f>
        <v>0.14521436440097077</v>
      </c>
      <c r="G171" s="17">
        <f t="shared" si="42"/>
        <v>1.1698839549394222</v>
      </c>
      <c r="H171" s="17">
        <f>IF($E$123&lt;1,($B$123*'3 - Scenario'!N50+$C$123*'3 - Scenario'!O50+$D$123*'3 - Scenario'!P50)/(1-$E$123),0)</f>
        <v>1.0086440196078432</v>
      </c>
      <c r="I171" s="17">
        <f>$E$123*'3 - Scenario'!Q50+((1-$E$123)-'1 - Caso e ipotesi'!$B$25*E171*MAX(0,B171-$E$123))*H171</f>
        <v>1.0242874653931611</v>
      </c>
      <c r="J171" s="17">
        <f t="shared" si="44"/>
        <v>3.0291873126418092</v>
      </c>
      <c r="K171" s="17">
        <f t="shared" si="45"/>
        <v>88.746280285247266</v>
      </c>
      <c r="L171" s="19">
        <f t="shared" si="46"/>
        <v>1</v>
      </c>
      <c r="M171" s="20">
        <f t="shared" si="47"/>
        <v>164071.19323071666</v>
      </c>
      <c r="N171" s="20">
        <f>'1 - Caso e ipotesi'!$B$7*G171</f>
        <v>46795.35819757689</v>
      </c>
      <c r="O171" s="20">
        <f t="shared" si="43"/>
        <v>120124.16781796122</v>
      </c>
    </row>
    <row r="172" spans="1:15">
      <c r="A172" s="18">
        <v>46</v>
      </c>
      <c r="B172" s="9">
        <f>IF($E$123&gt;0,$E$123*'3 - Scenario'!Q50/I171,0)</f>
        <v>0.6079855714733009</v>
      </c>
      <c r="C172" s="17">
        <f>IF($E$123&gt;0,D171/((1+'3 - Scenario'!C50)*'3 - Scenario'!Q50),C171)</f>
        <v>7.6845359088103124E-2</v>
      </c>
      <c r="D172" s="17">
        <f t="shared" si="40"/>
        <v>7.6845359088103124E-2</v>
      </c>
      <c r="E172" s="17">
        <f t="shared" si="41"/>
        <v>0.92315464091189692</v>
      </c>
      <c r="F172" s="17">
        <f>'1 - Caso e ipotesi'!$B$25*E172*B172</f>
        <v>0.14592882249739289</v>
      </c>
      <c r="G172" s="17">
        <f t="shared" si="42"/>
        <v>1.1708626006138083</v>
      </c>
      <c r="H172" s="17">
        <f>IF($E$123&lt;1,($B$123*'3 - Scenario'!N51+$C$123*'3 - Scenario'!O51+$D$123*'3 - Scenario'!P51)/(1-$E$123),0)</f>
        <v>1.0086440196078432</v>
      </c>
      <c r="I172" s="17">
        <f>$E$123*'3 - Scenario'!Q51+((1-$E$123)-'1 - Caso e ipotesi'!$B$25*E172*MAX(0,B172-$E$123))*H172</f>
        <v>1.024276341348453</v>
      </c>
      <c r="J172" s="17">
        <f t="shared" si="44"/>
        <v>3.1027248978519046</v>
      </c>
      <c r="K172" s="17">
        <f t="shared" si="45"/>
        <v>92.072565097060789</v>
      </c>
      <c r="L172" s="19">
        <f t="shared" si="46"/>
        <v>1</v>
      </c>
      <c r="M172" s="20">
        <f t="shared" si="47"/>
        <v>120124.16781796122</v>
      </c>
      <c r="N172" s="20">
        <f>'1 - Caso e ipotesi'!$B$7*G172</f>
        <v>46834.504024552334</v>
      </c>
      <c r="O172" s="20">
        <f t="shared" si="43"/>
        <v>75068.868688971052</v>
      </c>
    </row>
    <row r="173" spans="1:15">
      <c r="A173" s="18">
        <v>47</v>
      </c>
      <c r="B173" s="9">
        <f>IF($E$123&gt;0,$E$123*'3 - Scenario'!Q51/I172,0)</f>
        <v>0.60799217443619857</v>
      </c>
      <c r="C173" s="17">
        <f>IF($E$123&gt;0,D172/((1+'3 - Scenario'!C51)*'3 - Scenario'!Q51),C172)</f>
        <v>7.2586121609832716E-2</v>
      </c>
      <c r="D173" s="17">
        <f t="shared" si="40"/>
        <v>7.2586121609832716E-2</v>
      </c>
      <c r="E173" s="17">
        <f t="shared" si="41"/>
        <v>0.92741387839016731</v>
      </c>
      <c r="F173" s="17">
        <f>'1 - Caso e ipotesi'!$B$25*E173*B173</f>
        <v>0.14660369893643399</v>
      </c>
      <c r="G173" s="17">
        <f t="shared" si="42"/>
        <v>1.1717885333621971</v>
      </c>
      <c r="H173" s="17">
        <f>IF($E$123&lt;1,($B$123*'3 - Scenario'!N52+$C$123*'3 - Scenario'!O52+$D$123*'3 - Scenario'!P52)/(1-$E$123),0)</f>
        <v>1.0086440196078432</v>
      </c>
      <c r="I173" s="17">
        <f>$E$123*'3 - Scenario'!Q52+((1-$E$123)-'1 - Caso e ipotesi'!$B$25*E173*MAX(0,B173-$E$123))*H173</f>
        <v>1.0242658157522855</v>
      </c>
      <c r="J173" s="17">
        <f t="shared" si="44"/>
        <v>3.1780150485532079</v>
      </c>
      <c r="K173" s="17">
        <f t="shared" si="45"/>
        <v>95.479538649546896</v>
      </c>
      <c r="L173" s="19">
        <f t="shared" si="46"/>
        <v>1</v>
      </c>
      <c r="M173" s="20">
        <f t="shared" si="47"/>
        <v>75068.868688971052</v>
      </c>
      <c r="N173" s="20">
        <f>'1 - Caso e ipotesi'!$B$7*G173</f>
        <v>46871.541334487883</v>
      </c>
      <c r="O173" s="20">
        <f t="shared" si="43"/>
        <v>28881.558504773937</v>
      </c>
    </row>
    <row r="174" spans="1:15">
      <c r="A174" s="18">
        <v>48</v>
      </c>
      <c r="B174" s="9">
        <f>IF($E$123&gt;0,$E$123*'3 - Scenario'!Q52/I173,0)</f>
        <v>0.60799842230662715</v>
      </c>
      <c r="C174" s="17">
        <f>IF($E$123&gt;0,D173/((1+'3 - Scenario'!C52)*'3 - Scenario'!Q52),C173)</f>
        <v>6.8562956994147342E-2</v>
      </c>
      <c r="D174" s="17">
        <f t="shared" si="40"/>
        <v>6.8562956994147342E-2</v>
      </c>
      <c r="E174" s="17">
        <f t="shared" si="41"/>
        <v>0.93143704300585262</v>
      </c>
      <c r="F174" s="17">
        <f>'1 - Caso e ipotesi'!$B$25*E174*B174</f>
        <v>0.1472411856826322</v>
      </c>
      <c r="G174" s="17">
        <f t="shared" si="42"/>
        <v>1.1726645133542226</v>
      </c>
      <c r="H174" s="17">
        <f>IF($E$123&lt;1,($B$123*'3 - Scenario'!N53+$C$123*'3 - Scenario'!O53+$D$123*'3 - Scenario'!P53)/(1-$E$123),0)</f>
        <v>1.0086440196078432</v>
      </c>
      <c r="I174" s="17">
        <f>$E$123*'3 - Scenario'!Q53+((1-$E$123)-'1 - Caso e ipotesi'!$B$25*E174*MAX(0,B174-$E$123))*H174</f>
        <v>1.0242558573431568</v>
      </c>
      <c r="J174" s="17">
        <f t="shared" si="44"/>
        <v>3.25510052820532</v>
      </c>
      <c r="K174" s="17">
        <f t="shared" si="45"/>
        <v>98.969092055884246</v>
      </c>
      <c r="L174" s="19">
        <f t="shared" si="46"/>
        <v>0</v>
      </c>
      <c r="M174" s="20">
        <f t="shared" si="47"/>
        <v>28881.558504773937</v>
      </c>
      <c r="N174" s="20">
        <f>'1 - Caso e ipotesi'!$B$7*G174</f>
        <v>46906.580534168905</v>
      </c>
      <c r="O174" s="20">
        <f t="shared" si="43"/>
        <v>0</v>
      </c>
    </row>
    <row r="175" spans="1:15">
      <c r="A175" s="18">
        <v>49</v>
      </c>
      <c r="B175" s="9">
        <f>IF($E$123&gt;0,$E$123*'3 - Scenario'!Q53/I174,0)</f>
        <v>0.60800433361969941</v>
      </c>
      <c r="C175" s="17">
        <f>IF($E$123&gt;0,D174/((1+'3 - Scenario'!C53)*'3 - Scenario'!Q53),C174)</f>
        <v>6.4762780646273069E-2</v>
      </c>
      <c r="D175" s="17">
        <f t="shared" si="40"/>
        <v>6.4762780646273069E-2</v>
      </c>
      <c r="E175" s="17">
        <f t="shared" si="41"/>
        <v>0.93523721935372695</v>
      </c>
      <c r="F175" s="17">
        <f>'1 - Caso e ipotesi'!$B$25*E175*B175</f>
        <v>0.14784335340567087</v>
      </c>
      <c r="G175" s="17">
        <f t="shared" si="42"/>
        <v>1.1734931646623088</v>
      </c>
      <c r="H175" s="17">
        <f>IF($E$123&lt;1,($B$123*'3 - Scenario'!N54+$C$123*'3 - Scenario'!O54+$D$123*'3 - Scenario'!P54)/(1-$E$123),0)</f>
        <v>1.0086440196078432</v>
      </c>
      <c r="I175" s="17">
        <f>$E$123*'3 - Scenario'!Q54+((1-$E$123)-'1 - Caso e ipotesi'!$B$25*E175*MAX(0,B175-$E$123))*H175</f>
        <v>1.0242464363934041</v>
      </c>
      <c r="J175" s="17">
        <f t="shared" si="44"/>
        <v>3.3340251161165861</v>
      </c>
      <c r="K175" s="17">
        <f t="shared" si="45"/>
        <v>102.54316539883584</v>
      </c>
      <c r="L175" s="19">
        <f t="shared" si="46"/>
        <v>0</v>
      </c>
      <c r="M175" s="20">
        <f t="shared" si="47"/>
        <v>0</v>
      </c>
      <c r="N175" s="20">
        <f>'1 - Caso e ipotesi'!$B$7*G175</f>
        <v>46939.726586492354</v>
      </c>
      <c r="O175" s="20">
        <f t="shared" si="43"/>
        <v>0</v>
      </c>
    </row>
    <row r="176" spans="1:15">
      <c r="A176" s="18">
        <v>50</v>
      </c>
      <c r="B176" s="9">
        <f>IF($E$123&gt;0,$E$123*'3 - Scenario'!Q54/I175,0)</f>
        <v>0.60800992600261916</v>
      </c>
      <c r="C176" s="17">
        <f>IF($E$123&gt;0,D175/((1+'3 - Scenario'!C54)*'3 - Scenario'!Q54),C175)</f>
        <v>6.1173233199310638E-2</v>
      </c>
      <c r="D176" s="17">
        <f t="shared" si="40"/>
        <v>6.1173233199310638E-2</v>
      </c>
      <c r="E176" s="17">
        <f t="shared" si="41"/>
        <v>0.93882676680068933</v>
      </c>
      <c r="F176" s="17">
        <f>'1 - Caso e ipotesi'!$B$25*E176*B176</f>
        <v>0.148412158183059</v>
      </c>
      <c r="G176" s="17">
        <f t="shared" si="42"/>
        <v>1.1742769810644642</v>
      </c>
      <c r="H176" s="17">
        <f>IF($E$123&lt;1,($B$123*'3 - Scenario'!N55+$C$123*'3 - Scenario'!O55+$D$123*'3 - Scenario'!P55)/(1-$E$123),0)</f>
        <v>1.0086440196078432</v>
      </c>
      <c r="I176" s="17">
        <f>$E$123*'3 - Scenario'!Q55+((1-$E$123)-'1 - Caso e ipotesi'!$B$25*E176*MAX(0,B176-$E$123))*H176</f>
        <v>1.0242375246445816</v>
      </c>
      <c r="J176" s="17">
        <f t="shared" si="44"/>
        <v>3.4148336320341159</v>
      </c>
      <c r="K176" s="17">
        <f t="shared" si="45"/>
        <v>106.20374871732149</v>
      </c>
      <c r="L176" s="19">
        <f t="shared" si="46"/>
        <v>0</v>
      </c>
      <c r="M176" s="20">
        <f t="shared" si="47"/>
        <v>0</v>
      </c>
      <c r="N176" s="20">
        <f>'1 - Caso e ipotesi'!$B$7*G176</f>
        <v>46971.079242578569</v>
      </c>
      <c r="O176" s="20">
        <f t="shared" si="43"/>
        <v>0</v>
      </c>
    </row>
  </sheetData>
  <mergeCells count="6">
    <mergeCell ref="A2:O2"/>
    <mergeCell ref="A63:O63"/>
    <mergeCell ref="A121:O121"/>
    <mergeCell ref="A1:O1"/>
    <mergeCell ref="A5:O5"/>
    <mergeCell ref="A3:O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0 - Indice</vt:lpstr>
      <vt:lpstr>1 - Caso e ipotesi</vt:lpstr>
      <vt:lpstr>2 - Rendimenti netti</vt:lpstr>
      <vt:lpstr>3 - Scenario</vt:lpstr>
      <vt:lpstr>4 - Risultati</vt:lpstr>
      <vt:lpstr>5 - Motore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2026-10-18T03:35:44Z</dcterms:created>
  <dcterms:modified xsi:type="dcterms:W3CDTF">2026-10-18T03:35:46Z</dcterms:modified>
</cp:coreProperties>
</file>