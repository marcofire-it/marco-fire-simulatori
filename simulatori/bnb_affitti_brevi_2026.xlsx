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- Indice" sheetId="1" state="visible" r:id="rId1"/>
    <sheet xmlns:r="http://schemas.openxmlformats.org/officeDocument/2006/relationships" name="1 - IL TUO CASO" sheetId="2" state="visible" r:id="rId2"/>
    <sheet xmlns:r="http://schemas.openxmlformats.org/officeDocument/2006/relationships" name="2 - CASCATA" sheetId="3" state="visible" r:id="rId3"/>
    <sheet xmlns:r="http://schemas.openxmlformats.org/officeDocument/2006/relationships" name="3 - PAREGGIO" sheetId="4" state="visible" r:id="rId4"/>
    <sheet xmlns:r="http://schemas.openxmlformats.org/officeDocument/2006/relationships" name="4 - BREVE VS LUNGO" sheetId="5" state="visible" r:id="rId5"/>
    <sheet xmlns:r="http://schemas.openxmlformats.org/officeDocument/2006/relationships" name="5 - DUE STAGIONI" sheetId="6" state="visible" r:id="rId6"/>
    <sheet xmlns:r="http://schemas.openxmlformats.org/officeDocument/2006/relationships" name="6 - PARAMETRI 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€&quot;"/>
    <numFmt numFmtId="165" formatCode="0.0"/>
    <numFmt numFmtId="166" formatCode="#,##0.00&quot; €&quot;"/>
    <numFmt numFmtId="167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FAFAFA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DBEAFE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6" fontId="5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right" vertical="center"/>
    </xf>
    <xf numFmtId="167" fontId="5" fillId="7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Affitti brevi 2026: il conto vero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3" t="inlineStr">
        <is>
          <t>Indice</t>
        </is>
      </c>
    </row>
    <row r="5" ht="22" customHeight="1">
      <c r="A5" s="4" t="inlineStr">
        <is>
          <t>1 - IL TUO CASO</t>
        </is>
      </c>
      <c r="B5" s="5" t="inlineStr">
        <is>
          <t>I sette numeri, i parametri operativi e la banda dei costi fissi</t>
        </is>
      </c>
    </row>
    <row r="6" ht="22" customHeight="1">
      <c r="A6" s="4" t="inlineStr">
        <is>
          <t>2 - CASCATA</t>
        </is>
      </c>
      <c r="B6" s="5" t="inlineStr">
        <is>
          <t>Dove finiscono i soldi dell'ospite, su quattro livelli misurati di notti</t>
        </is>
      </c>
    </row>
    <row r="7" ht="22" customHeight="1">
      <c r="A7" s="4" t="inlineStr">
        <is>
          <t>3 - PAREGGIO</t>
        </is>
      </c>
      <c r="B7" s="5" t="inlineStr">
        <is>
          <t>Le due soglie di pareggio, in notti e in fatturato, contro i dati veri</t>
        </is>
      </c>
    </row>
    <row r="8" ht="22" customHeight="1">
      <c r="A8" s="4" t="inlineStr">
        <is>
          <t>4 - BREVE VS LUNGO</t>
        </is>
      </c>
      <c r="B8" s="5" t="inlineStr">
        <is>
          <t>Lo stesso immobile affittato a lungo: canone libero e concordato</t>
        </is>
      </c>
    </row>
    <row r="9" ht="22" customHeight="1">
      <c r="A9" s="4" t="inlineStr">
        <is>
          <t>5 - DUE STAGIONI</t>
        </is>
      </c>
      <c r="B9" s="5" t="inlineStr">
        <is>
          <t>Che cosa cambia se il prezzo non è piatto tutto l'anno</t>
        </is>
      </c>
    </row>
    <row r="10" ht="22" customHeight="1">
      <c r="A10" s="4" t="inlineStr">
        <is>
          <t>6 - PARAMETRI 2026</t>
        </is>
      </c>
      <c r="B10" s="5" t="inlineStr">
        <is>
          <t>Il caso di partenza, tutte le fonti e i limiti dichiarati del modello</t>
        </is>
      </c>
    </row>
    <row r="11"/>
    <row r="12">
      <c r="A12" s="3" t="inlineStr">
        <is>
          <t>Come usare</t>
        </is>
      </c>
    </row>
    <row r="13">
      <c r="A13" s="5" t="inlineStr">
        <is>
          <t>1. Le celle GIALLE sono input — modificale coi tuoi numeri.</t>
        </is>
      </c>
    </row>
    <row r="14">
      <c r="A14" s="5" t="inlineStr">
        <is>
          <t>2. Le celle VERDI sono output — si aggiornano automaticamente.</t>
        </is>
      </c>
    </row>
    <row r="15">
      <c r="A15" s="5" t="inlineStr">
        <is>
          <t>3. Tutti i numeri di default sono al 2026 da fonti pubbliche.</t>
        </is>
      </c>
    </row>
    <row r="16">
      <c r="A16" s="5" t="inlineStr">
        <is>
          <t>4. Niente codice nascosto: l'Excel è solo formule modificabili.</t>
        </is>
      </c>
    </row>
    <row r="17"/>
    <row r="18">
      <c r="A18" s="3" t="inlineStr">
        <is>
          <t>Fonti dati</t>
        </is>
      </c>
    </row>
    <row r="19">
      <c r="A19" s="5" t="inlineStr">
        <is>
          <t>• Istruzioni al modello 730/2026, Quadro B (agg. 28/05/2026) e circolare AdE 24/E del 12/10/2017 p. 14 — la cedolare si applica al 100% del corrispettivo lordo, provvigione compresa quando la piattaforma la trattiene sul bonifico</t>
        </is>
      </c>
    </row>
    <row r="20">
      <c r="A20" s="5" t="inlineStr">
        <is>
          <t>• L. 160/2019 art. 1 commi 745, 754 e 760 — base imponibile IMU, aliquota massima 1,06%, riduzione di un quarto per il canone concordato</t>
        </is>
      </c>
    </row>
    <row r="21">
      <c r="A21" s="5" t="inlineStr">
        <is>
          <t>• AirROI — notti vendute per annuncio su 11 città medie; definizione di occupancy AirDNA (notti prenotate / notti in cui l'annuncio era attivo)</t>
        </is>
      </c>
    </row>
    <row r="22">
      <c r="A22" s="5" t="inlineStr">
        <is>
          <t>• CleanBnB SpA, bilancio revisionato 2025 — 43,5 check-in per appartamento, margine netto 0,6%, costi per servizi all'81% dei ricavi</t>
        </is>
      </c>
    </row>
    <row r="23">
      <c r="A23" s="5" t="inlineStr">
        <is>
          <t>• AdE, Rapporto Immobiliare 2026 — 6,79 €/mq/mese sui contratti 4+4 registrati; OMI 2° semestre 2025 e Nomisma per prezzi e sconto in trattativa</t>
        </is>
      </c>
    </row>
    <row r="24">
      <c r="A24" s="5" t="inlineStr">
        <is>
          <t>• D.M. 31/12/1988 Gruppo XIX — coefficienti di ammortamento dell'ospitalità: mobili 10%, biancheria 40%, stoviglie 25%</t>
        </is>
      </c>
    </row>
    <row r="25">
      <c r="A25" s="5" t="inlineStr">
        <is>
          <t>• art. 109 TULPS, D.L. 113/2018 art. 19-bis, circolare Min. Interno 18/11/2024, Consiglio di Stato Sez. III 21/11/2025, TAR Toscana Sez. I n. 919/2026</t>
        </is>
      </c>
    </row>
    <row r="26"/>
    <row r="27">
      <c r="A27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62" customWidth="1" min="5" max="5"/>
  </cols>
  <sheetData>
    <row r="1" ht="25" customHeight="1">
      <c r="A1" s="1" t="inlineStr">
        <is>
          <t>Il tuo caso — i sette numeri che decidono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 ht="46" customHeight="1">
      <c r="A3" s="2" t="inlineStr">
        <is>
          <t>DEPERIBILITÀ — il quadro fiscale di questo foglio è quello del 2026: cedolare secca al 21% sul primo immobile, IMU sui fabbricati «a disposizione», detrazioni e adempimenti vigenti. Dal 2027 la materia si sposta nell'art. 207 del nuovo Testo unico: quando quel testo sarà consultabile, i numeri di questo foglio vanno rifatti.</t>
        </is>
      </c>
    </row>
    <row r="4" ht="90" customHeight="1">
      <c r="A4" s="7" t="inlineStr">
        <is>
          <t>Il caso di partenza è un bilocale in una città turistica media — Verona, Bergamo, Trieste, Lucca — comprato con 250.000 € liquidi. Cambia le celle gialle e diventa il tuo. Un avvertimento sul quarto numero: NON scrivere una percentuale di occupazione presa dalle brochure. L'occupancy che leggi in giro è la quota di notti vendute su quelle in cui l'annuncio era APERTO, non sull'anno: il 64% di occupancy su 246 notti disponibili fa 157 notti, non 234. Qui si scrivono le notti vendute, e basta.</t>
        </is>
      </c>
    </row>
    <row r="5"/>
    <row r="6">
      <c r="A6" s="8" t="inlineStr">
        <is>
          <t>I SETTE NUMERI — cambia solo le celle gialle</t>
        </is>
      </c>
    </row>
    <row r="7" ht="45" customHeight="1">
      <c r="A7" s="9" t="inlineStr">
        <is>
          <t>1. Prezzo di ROGITO dell'immobile (€)</t>
        </is>
      </c>
      <c r="B7" s="10" t="n">
        <v>174700</v>
      </c>
      <c r="E7" s="7" t="inlineStr">
        <is>
          <t>Non il prezzo richiesto: quello effettivamente pagato. Nel caso base sono 195.000 € richiesti meno il 10,4% di sconto medio in trattativa misurato da Nomisma.</t>
        </is>
      </c>
    </row>
    <row r="8" ht="60" customHeight="1">
      <c r="A8" s="9" t="inlineStr">
        <is>
          <t>2. Rendita catastale (€)</t>
        </is>
      </c>
      <c r="B8" s="10" t="n">
        <v>400</v>
      </c>
      <c r="E8" s="7" t="inlineStr">
        <is>
          <t>Da qui esce l'IMU. Se non la conosci, la trovi nella visura o nell'atto. Regola pratica: la base imponibile IMU è circa il 38,5% del valore di mercato nei comuni turistici, quindi la rendita è circa il valore diviso 437.</t>
        </is>
      </c>
    </row>
    <row r="9" ht="45" customHeight="1">
      <c r="A9" s="9" t="inlineStr">
        <is>
          <t>3. Prezzo medio a notte, PULIZIE ESCLUSE (€)</t>
        </is>
      </c>
      <c r="B9" s="10" t="n">
        <v>100</v>
      </c>
      <c r="E9" s="7" t="inlineStr">
        <is>
          <t>Attenzione: molti osservatori pubblicano l'ADR con la pulizia dentro. 100 € puliti qui equivalgono a circa 117 € nella metrica di AirDNA.</t>
        </is>
      </c>
    </row>
    <row r="10" ht="60" customHeight="1">
      <c r="A10" s="9" t="inlineStr">
        <is>
          <t>4. Notti vendute in un anno</t>
        </is>
      </c>
      <c r="B10" s="11" t="n">
        <v>87</v>
      </c>
      <c r="E10" s="7" t="inlineStr">
        <is>
          <t>Il numero che decide tutto. Nelle 11 città medie misurate la media per annuncio è 87; il quartile alto è 110, il decile alto 160. Se non hai un dato tuo, non inventarlo verso l'alto.</t>
        </is>
      </c>
    </row>
    <row r="11" ht="60" customHeight="1">
      <c r="A11" s="9" t="inlineStr">
        <is>
          <t>5. Soggiorno medio (notti)</t>
        </is>
      </c>
      <c r="B11" s="12" t="n">
        <v>3.7</v>
      </c>
      <c r="E11" s="7" t="inlineStr">
        <is>
          <t>Da un dato societario: CleanBnB 2025, 135.414 soggiorni su 3.115 appartamenti = 43,5 check-in l'anno. Usa 3,2 solo se sei in una città d'arte da city-break, 4,3-4,9 se sei al mare o al Sud. Meno turnover = meno pulizie e meno ore.</t>
        </is>
      </c>
    </row>
    <row r="12" ht="45" customHeight="1">
      <c r="A12" s="9" t="inlineStr">
        <is>
          <t>6. Commissione delle piattaforme (IVA inclusa)</t>
        </is>
      </c>
      <c r="B12" s="13" t="n">
        <v>0.185</v>
      </c>
      <c r="E12" s="7" t="inlineStr">
        <is>
          <t>Booking circa 18,3%, Airbnb circa 18,9% dopo il passaggio al modello host-only. La commissione si calcola su una base che include anche la fee di pulizia.</t>
        </is>
      </c>
    </row>
    <row r="13" ht="30" customHeight="1">
      <c r="A13" s="9" t="inlineStr">
        <is>
          <t>7. Compenso del property manager</t>
        </is>
      </c>
      <c r="B13" s="13" t="n">
        <v>0.2</v>
      </c>
      <c r="E13" s="7" t="inlineStr">
        <is>
          <t>Il costo di rendere l'operazione davvero passiva. Tipicamente 20-25%.</t>
        </is>
      </c>
    </row>
    <row r="14" ht="45" customHeight="1">
      <c r="A14" s="9" t="inlineStr">
        <is>
          <t xml:space="preserve">   su quale base si calcola il property manager</t>
        </is>
      </c>
      <c r="B14" s="14" t="inlineStr">
        <is>
          <t>lordo</t>
        </is>
      </c>
      <c r="E14" s="7" t="inlineStr">
        <is>
          <t>Scrivi «lordo» oppure «netto post-OTA». Non è un dettaglio: sullo scenario medio ballano quasi 400 € l'anno, ed è la prima cosa da chiedere in contratto.</t>
        </is>
      </c>
    </row>
    <row r="15"/>
    <row r="16">
      <c r="A16" s="8" t="inlineStr">
        <is>
          <t>PARAMETRI OPERATIVI — cambiali se il tuo caso è diverso</t>
        </is>
      </c>
    </row>
    <row r="17" ht="30" customHeight="1">
      <c r="A17" s="9" t="inlineStr">
        <is>
          <t>Fee di pulizia incassata dall'ospite (€)</t>
        </is>
      </c>
      <c r="B17" s="10" t="n">
        <v>62</v>
      </c>
      <c r="E17" s="7" t="inlineStr">
        <is>
          <t>Entra nel corrispettivo lordo, quindi ci paghi anche la cedolare.</t>
        </is>
      </c>
    </row>
    <row r="18" ht="75" customHeight="1">
      <c r="A18" s="9" t="inlineStr">
        <is>
          <t>Fee di pulizia pagata all'impresa (€)</t>
        </is>
      </c>
      <c r="B18" s="10" t="n">
        <v>67</v>
      </c>
      <c r="E18" s="7" t="inlineStr">
        <is>
          <t>Costo reale di un turnover a tariffa oraria di contratto (DD Min. Lavoro n. 25 del 30/03/2026), biancheria inclusa. Si incassa meno di quanto si paga: la differenza è un sussidio implicito all'annuncio, perché una cleaning fee alta abbassa la conversione.</t>
        </is>
      </c>
    </row>
    <row r="19" ht="60" customHeight="1">
      <c r="A19" s="9" t="inlineStr">
        <is>
          <t>Cedolare secca</t>
        </is>
      </c>
      <c r="B19" s="13" t="n">
        <v>0.21</v>
      </c>
      <c r="E19" s="7" t="inlineStr">
        <is>
          <t>21% con un solo immobile destinato al breve; dal secondo al quarto sale al 26%. Si applica al 100% del corrispettivo LORDO, commissione compresa, quando la piattaforma la trattiene sul bonifico.</t>
        </is>
      </c>
    </row>
    <row r="20" ht="45" customHeight="1">
      <c r="A20" s="9" t="inlineStr">
        <is>
          <t>Aliquota IMU</t>
        </is>
      </c>
      <c r="B20" s="13" t="n">
        <v>0.0106</v>
      </c>
      <c r="E20" s="7" t="inlineStr">
        <is>
          <t>1,06% è il massimo di legge e si applica ai fabbricati «tenuti a disposizione»: poiché i contratti brevi non si registrano, l'immobile ci rientra.</t>
        </is>
      </c>
    </row>
    <row r="21" ht="30" customHeight="1">
      <c r="A21" s="9" t="inlineStr">
        <is>
          <t>Ore di lavoro per ogni turnover</t>
        </is>
      </c>
      <c r="B21" s="12" t="n">
        <v>2.1</v>
      </c>
      <c r="E21" s="7" t="inlineStr">
        <is>
          <t>Annuncio, messaggi, check-in, coordinamento pulizie, imprevisti.</t>
        </is>
      </c>
    </row>
    <row r="22" ht="30" customHeight="1">
      <c r="A22" s="9" t="inlineStr">
        <is>
          <t>Ore fisse all'anno</t>
        </is>
      </c>
      <c r="B22" s="11" t="n">
        <v>40</v>
      </c>
      <c r="E22" s="7" t="inlineStr">
        <is>
          <t>Adempimenti, comunicazioni, dichiarazioni, aggiornamenti dei prezzi.</t>
        </is>
      </c>
    </row>
    <row r="23"/>
    <row r="24">
      <c r="A24" s="8" t="inlineStr">
        <is>
          <t>COSTI FISSI ANNUI — una banda, non un numero</t>
        </is>
      </c>
    </row>
    <row r="25">
      <c r="A25" s="15" t="inlineStr">
        <is>
          <t>Voce</t>
        </is>
      </c>
      <c r="B25" s="15" t="inlineStr">
        <is>
          <t>Minimo</t>
        </is>
      </c>
      <c r="C25" s="15" t="inlineStr">
        <is>
          <t>Centro</t>
        </is>
      </c>
      <c r="D25" s="15" t="inlineStr">
        <is>
          <t>Massimo</t>
        </is>
      </c>
      <c r="E25" s="4" t="inlineStr">
        <is>
          <t>Fonte / nota</t>
        </is>
      </c>
    </row>
    <row r="26" ht="58" customHeight="1">
      <c r="A26" s="9" t="inlineStr">
        <is>
          <t>IMU</t>
        </is>
      </c>
      <c r="B26" s="16">
        <f>$B$8*168*$B$20</f>
        <v/>
      </c>
      <c r="C26" s="16">
        <f>$B$8*168*$B$20</f>
        <v/>
      </c>
      <c r="D26" s="16">
        <f>$B$8*168*$B$20</f>
        <v/>
      </c>
      <c r="E26" s="6" t="inlineStr">
        <is>
          <t>Base imponibile = rendita rivalutata del 5% per il moltiplicatore 160 (L. 160/2019 art. 1 c. 745), in pratica rendita × 168. Non varia nella banda perché discende dalla rendita, che è un dato. Nessun Comune può creare un'aliquota dedicata agli affitti brevi: dal 2025 il Prospetto MEF ammette solo le fattispecie dell'Allegato A al D.M. 07/07/2023.</t>
        </is>
      </c>
    </row>
    <row r="27" ht="30" customHeight="1">
      <c r="A27" s="9" t="inlineStr">
        <is>
          <t>TARI</t>
        </is>
      </c>
      <c r="B27" s="10" t="n">
        <v>125</v>
      </c>
      <c r="C27" s="10" t="n">
        <v>325</v>
      </c>
      <c r="D27" s="10" t="n">
        <v>700</v>
      </c>
      <c r="E27" s="6" t="inlineStr">
        <is>
          <t>forbice del dossier costi: 125-700 €, caso centrale 250-400 €</t>
        </is>
      </c>
    </row>
    <row r="28" ht="30" customHeight="1">
      <c r="A28" s="9" t="inlineStr">
        <is>
          <t>Utenze e internet</t>
        </is>
      </c>
      <c r="B28" s="10" t="n">
        <v>1900</v>
      </c>
      <c r="C28" s="10" t="n">
        <v>2200</v>
      </c>
      <c r="D28" s="10" t="n">
        <v>2610</v>
      </c>
      <c r="E28" s="6" t="inlineStr">
        <is>
          <t>prezzi ARERA letti direttamente; un bilocale con ricambio continuo di ospiti consuma come una casa abitata</t>
        </is>
      </c>
    </row>
    <row r="29" ht="30" customHeight="1">
      <c r="A29" s="9" t="inlineStr">
        <is>
          <t>Assicurazione</t>
        </is>
      </c>
      <c r="B29" s="10" t="n">
        <v>150</v>
      </c>
      <c r="C29" s="10" t="n">
        <v>375</v>
      </c>
      <c r="D29" s="10" t="n">
        <v>600</v>
      </c>
      <c r="E29" s="6" t="inlineStr">
        <is>
          <t>nessuna piattaforma copre fabbricato e contenuto: la polizza va comprata a parte</t>
        </is>
      </c>
    </row>
    <row r="30" ht="30" customHeight="1">
      <c r="A30" s="9" t="inlineStr">
        <is>
          <t>Condominio</t>
        </is>
      </c>
      <c r="B30" s="10" t="n">
        <v>700</v>
      </c>
      <c r="C30" s="10" t="n">
        <v>900</v>
      </c>
      <c r="D30" s="10" t="n">
        <v>2000</v>
      </c>
      <c r="E30" s="6" t="inlineStr">
        <is>
          <t>spese ordinarie di un bilocale in condominio</t>
        </is>
      </c>
    </row>
    <row r="31" ht="30" customHeight="1">
      <c r="A31" s="9" t="inlineStr">
        <is>
          <t>Manutenzione e rinnovo arredi</t>
        </is>
      </c>
      <c r="B31" s="10" t="n">
        <v>2000</v>
      </c>
      <c r="C31" s="10" t="n">
        <v>2500</v>
      </c>
      <c r="D31" s="10" t="n">
        <v>3000</v>
      </c>
      <c r="E31" s="6" t="inlineStr">
        <is>
          <t>ancorata al D.M. 31/12/1988 Gruppo XIX: mobili 10% l'anno, biancheria 40%, stoviglie 25%. L'ospitalità a rotazione consuma classi di beni che l'affitto lungo non tocca</t>
        </is>
      </c>
    </row>
    <row r="32" ht="30" customHeight="1">
      <c r="A32" s="9" t="inlineStr">
        <is>
          <t>Manutenzione estintore</t>
        </is>
      </c>
      <c r="B32" s="10" t="n">
        <v>60</v>
      </c>
      <c r="C32" s="10" t="n">
        <v>105</v>
      </c>
      <c r="D32" s="10" t="n">
        <v>150</v>
      </c>
      <c r="E32" s="6" t="inlineStr">
        <is>
          <t>UNI 9994-1:2024, controllo semestrale</t>
        </is>
      </c>
    </row>
    <row r="33" ht="30" customHeight="1">
      <c r="A33" s="9" t="inlineStr">
        <is>
          <t>Software e channel manager</t>
        </is>
      </c>
      <c r="B33" s="10" t="n">
        <v>380</v>
      </c>
      <c r="C33" s="10" t="n">
        <v>420</v>
      </c>
      <c r="D33" s="10" t="n">
        <v>465</v>
      </c>
      <c r="E33" s="6" t="inlineStr">
        <is>
          <t>listino ufficiale Smoobu Professional Flex</t>
        </is>
      </c>
    </row>
    <row r="34">
      <c r="A34" s="9" t="inlineStr">
        <is>
          <t>TOTALE COSTI FISSI</t>
        </is>
      </c>
      <c r="B34" s="17">
        <f>SUM(B26:B33)</f>
        <v/>
      </c>
      <c r="C34" s="17">
        <f>SUM(C26:C33)</f>
        <v/>
      </c>
      <c r="D34" s="17">
        <f>SUM(D26:D33)</f>
        <v/>
      </c>
      <c r="E34" s="6" t="inlineStr">
        <is>
          <t>Sono fissi: li paghi uguali a 60 notti e a 160. È il motivo per cui il risultato dipende quasi solo dalle notti vendute.</t>
        </is>
      </c>
    </row>
    <row r="35" ht="30" customHeight="1">
      <c r="A35" s="9" t="inlineStr">
        <is>
          <t>Costo fisso per notte venduta</t>
        </is>
      </c>
      <c r="C35" s="16">
        <f>$C$34/$B$10</f>
        <v/>
      </c>
      <c r="E35" s="7" t="inlineStr">
        <is>
          <t>Ai default sono 87 € a notte di soli costi fissi, contro 100 € di prezzo.</t>
        </is>
      </c>
    </row>
    <row r="36"/>
    <row r="37">
      <c r="A37" s="8" t="inlineStr">
        <is>
          <t>I TRE NUMERI DERIVATI CHE USANO TUTTI GLI ALTRI FOGLI</t>
        </is>
      </c>
    </row>
    <row r="38" ht="15" customHeight="1">
      <c r="A38" s="9" t="inlineStr">
        <is>
          <t>Turnover (soggiorni) in un anno</t>
        </is>
      </c>
      <c r="B38" s="18">
        <f>$B$10/$B$11</f>
        <v/>
      </c>
      <c r="E38" s="7" t="inlineStr">
        <is>
          <t>Non arrotondato: è una media annua, non un conteggio.</t>
        </is>
      </c>
    </row>
    <row r="39" ht="15" customHeight="1">
      <c r="A39" s="9" t="inlineStr">
        <is>
          <t>Fatturato lordo per notte venduta</t>
        </is>
      </c>
      <c r="B39" s="16">
        <f>$B$9+$B$17/$B$11</f>
        <v/>
      </c>
      <c r="E39" s="7" t="inlineStr">
        <is>
          <t>Il prezzo più la quota di pulizia che l'ospite paga.</t>
        </is>
      </c>
    </row>
    <row r="40" ht="45" customHeight="1">
      <c r="A40" s="9" t="inlineStr">
        <is>
          <t>MARGINE NETTO per notte venduta</t>
        </is>
      </c>
      <c r="B40" s="16">
        <f>($B$9+$B$17/$B$11)*(1-$B$12-$B$19)-$B$18/$B$11</f>
        <v/>
      </c>
      <c r="E40" s="7" t="inlineStr">
        <is>
          <t>Quanto ti resta in tasca per ogni notte in più che vendi, dopo piattaforma, cedolare e pulizia. È costante, e da qui escono le due soglie di pareggio del foglio 3.</t>
        </is>
      </c>
    </row>
  </sheetData>
  <mergeCells count="8">
    <mergeCell ref="A1:D1"/>
    <mergeCell ref="A37:D37"/>
    <mergeCell ref="A6:D6"/>
    <mergeCell ref="A4:D4"/>
    <mergeCell ref="A24:D24"/>
    <mergeCell ref="A2:D2"/>
    <mergeCell ref="A16:D16"/>
    <mergeCell ref="A3:E3"/>
  </mergeCells>
  <dataValidations count="1">
    <dataValidation sqref="B14" showDropDown="0" showInputMessage="0" showErrorMessage="0" allowBlank="0" type="list">
      <formula1>"lordo,netto post-OTA"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56" customWidth="1" min="7" max="7"/>
  </cols>
  <sheetData>
    <row r="1" ht="25" customHeight="1">
      <c r="A1" s="1" t="inlineStr">
        <is>
          <t>La cascata — dove finiscono i soldi dell'ospite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 ht="45" customHeight="1">
      <c r="A3" s="7" t="inlineStr">
        <is>
          <t>Le quattro colonne sono gradini misurati della stessa distribuzione, non scenari inventati: mediana, media, terzo quartile e decile alto delle notti vendute per annuncio nelle 11 città medie osservate. L'ultima colonna usa le TUE notti. Tutto è calcolato con l'ADR piatto, che è il ramo prudente: il foglio 5 mostra quanto ti penalizza.</t>
        </is>
      </c>
    </row>
    <row r="4"/>
    <row r="5">
      <c r="A5" s="15" t="inlineStr">
        <is>
          <t>Voce</t>
        </is>
      </c>
      <c r="B5" s="15" t="inlineStr">
        <is>
          <t>Mediana di mercato</t>
        </is>
      </c>
      <c r="C5" s="15" t="inlineStr">
        <is>
          <t>Media misurata</t>
        </is>
      </c>
      <c r="D5" s="15" t="inlineStr">
        <is>
          <t>Quartile alto</t>
        </is>
      </c>
      <c r="E5" s="15" t="inlineStr">
        <is>
          <t>Decile alto</t>
        </is>
      </c>
      <c r="F5" s="15" t="inlineStr">
        <is>
          <t>Le TUE notti</t>
        </is>
      </c>
    </row>
    <row r="6" ht="40" customHeight="1">
      <c r="B6" s="6" t="inlineStr">
        <is>
          <t>AirROI, mediana per annuncio delle 11 città medie</t>
        </is>
      </c>
      <c r="C6" s="6" t="inlineStr">
        <is>
          <t>AirROI, media per annuncio delle 11 città medie</t>
        </is>
      </c>
      <c r="D6" s="6" t="inlineStr">
        <is>
          <t>AirROI, terzo quartile per annuncio</t>
        </is>
      </c>
      <c r="E6" s="6" t="inlineStr">
        <is>
          <t>AirROI, decile alto per annuncio</t>
        </is>
      </c>
      <c r="F6" s="6" t="inlineStr">
        <is>
          <t>dalla cella B10 del foglio 1</t>
        </is>
      </c>
    </row>
    <row r="7"/>
    <row r="8">
      <c r="A8" s="9" t="inlineStr">
        <is>
          <t>Notti vendute in un anno</t>
        </is>
      </c>
      <c r="B8" s="19">
        <f>60</f>
        <v/>
      </c>
      <c r="C8" s="19">
        <f>87</f>
        <v/>
      </c>
      <c r="D8" s="19">
        <f>110</f>
        <v/>
      </c>
      <c r="E8" s="19">
        <f>160</f>
        <v/>
      </c>
      <c r="F8" s="19">
        <f>'1 - IL TUO CASO'!$B$10</f>
        <v/>
      </c>
    </row>
    <row r="9">
      <c r="A9" s="9" t="inlineStr">
        <is>
          <t>Turnover (soggiorni)</t>
        </is>
      </c>
      <c r="B9" s="18">
        <f>B8/'1 - IL TUO CASO'!$B$11</f>
        <v/>
      </c>
      <c r="C9" s="18">
        <f>C8/'1 - IL TUO CASO'!$B$11</f>
        <v/>
      </c>
      <c r="D9" s="18">
        <f>D8/'1 - IL TUO CASO'!$B$11</f>
        <v/>
      </c>
      <c r="E9" s="18">
        <f>E8/'1 - IL TUO CASO'!$B$11</f>
        <v/>
      </c>
      <c r="F9" s="18">
        <f>F8/'1 - IL TUO CASO'!$B$11</f>
        <v/>
      </c>
    </row>
    <row r="10" ht="45" customHeight="1">
      <c r="A10" s="9" t="inlineStr">
        <is>
          <t>Corrispettivo lordo pagato dall'ospite</t>
        </is>
      </c>
      <c r="B10" s="17">
        <f>'1 - IL TUO CASO'!$B$9*B8+'1 - IL TUO CASO'!$B$17*B9</f>
        <v/>
      </c>
      <c r="C10" s="17">
        <f>'1 - IL TUO CASO'!$B$9*C8+'1 - IL TUO CASO'!$B$17*C9</f>
        <v/>
      </c>
      <c r="D10" s="17">
        <f>'1 - IL TUO CASO'!$B$9*D8+'1 - IL TUO CASO'!$B$17*D9</f>
        <v/>
      </c>
      <c r="E10" s="17">
        <f>'1 - IL TUO CASO'!$B$9*E8+'1 - IL TUO CASO'!$B$17*E9</f>
        <v/>
      </c>
      <c r="F10" s="17">
        <f>'1 - IL TUO CASO'!$B$9*F8+'1 - IL TUO CASO'!$B$17*F9</f>
        <v/>
      </c>
      <c r="G10" s="7" t="inlineStr">
        <is>
          <t>Prezzo delle notti più le fee di pulizia incassate. È la base su cui la piattaforma calcola la commissione E su cui lo Stato calcola la cedolare.</t>
        </is>
      </c>
    </row>
    <row r="11">
      <c r="A11" s="9" t="inlineStr">
        <is>
          <t>− Commissioni delle piattaforme</t>
        </is>
      </c>
      <c r="B11" s="17">
        <f>-'1 - IL TUO CASO'!$B$12*B10</f>
        <v/>
      </c>
      <c r="C11" s="17">
        <f>-'1 - IL TUO CASO'!$B$12*C10</f>
        <v/>
      </c>
      <c r="D11" s="17">
        <f>-'1 - IL TUO CASO'!$B$12*D10</f>
        <v/>
      </c>
      <c r="E11" s="17">
        <f>-'1 - IL TUO CASO'!$B$12*E10</f>
        <v/>
      </c>
      <c r="F11" s="17">
        <f>-'1 - IL TUO CASO'!$B$12*F10</f>
        <v/>
      </c>
    </row>
    <row r="12">
      <c r="A12" s="9" t="inlineStr">
        <is>
          <t>− Pulizie pagate all'impresa</t>
        </is>
      </c>
      <c r="B12" s="17">
        <f>-'1 - IL TUO CASO'!$B$18*B9</f>
        <v/>
      </c>
      <c r="C12" s="17">
        <f>-'1 - IL TUO CASO'!$B$18*C9</f>
        <v/>
      </c>
      <c r="D12" s="17">
        <f>-'1 - IL TUO CASO'!$B$18*D9</f>
        <v/>
      </c>
      <c r="E12" s="17">
        <f>-'1 - IL TUO CASO'!$B$18*E9</f>
        <v/>
      </c>
      <c r="F12" s="17">
        <f>-'1 - IL TUO CASO'!$B$18*F9</f>
        <v/>
      </c>
    </row>
    <row r="13">
      <c r="A13" s="9" t="inlineStr">
        <is>
          <t>− Costi fissi (valore centrale)</t>
        </is>
      </c>
      <c r="B13" s="17">
        <f>-'1 - IL TUO CASO'!$C$34</f>
        <v/>
      </c>
      <c r="C13" s="17">
        <f>-'1 - IL TUO CASO'!$C$34</f>
        <v/>
      </c>
      <c r="D13" s="17">
        <f>-'1 - IL TUO CASO'!$C$34</f>
        <v/>
      </c>
      <c r="E13" s="17">
        <f>-'1 - IL TUO CASO'!$C$34</f>
        <v/>
      </c>
      <c r="F13" s="17">
        <f>-'1 - IL TUO CASO'!$C$34</f>
        <v/>
      </c>
    </row>
    <row r="14" ht="45" customHeight="1">
      <c r="A14" s="9" t="inlineStr">
        <is>
          <t>− Cedolare secca sul lordo</t>
        </is>
      </c>
      <c r="B14" s="17">
        <f>-'1 - IL TUO CASO'!$B$19*B10</f>
        <v/>
      </c>
      <c r="C14" s="17">
        <f>-'1 - IL TUO CASO'!$B$19*C10</f>
        <v/>
      </c>
      <c r="D14" s="17">
        <f>-'1 - IL TUO CASO'!$B$19*D10</f>
        <v/>
      </c>
      <c r="E14" s="17">
        <f>-'1 - IL TUO CASO'!$B$19*E10</f>
        <v/>
      </c>
      <c r="F14" s="17">
        <f>-'1 - IL TUO CASO'!$B$19*F10</f>
        <v/>
      </c>
      <c r="G14" s="7" t="inlineStr">
        <is>
          <t>Si paga sul corrispettivo lordo, commissione compresa, e si paga anche se il margine operativo è negativo: non è un'imposta sul profitto.</t>
        </is>
      </c>
    </row>
    <row r="15">
      <c r="A15" s="9" t="inlineStr">
        <is>
          <t>NETTO-NETTO — quello che ti resta</t>
        </is>
      </c>
      <c r="B15" s="17">
        <f>SUM(B10:B14)</f>
        <v/>
      </c>
      <c r="C15" s="17">
        <f>SUM(C10:C14)</f>
        <v/>
      </c>
      <c r="D15" s="17">
        <f>SUM(D10:D14)</f>
        <v/>
      </c>
      <c r="E15" s="17">
        <f>SUM(E10:E14)</f>
        <v/>
      </c>
      <c r="F15" s="17">
        <f>SUM(F10:F14)</f>
        <v/>
      </c>
    </row>
    <row r="16">
      <c r="A16" s="9" t="inlineStr">
        <is>
          <t>in % sul prezzo di rogito</t>
        </is>
      </c>
      <c r="B16" s="20">
        <f>B15/'1 - IL TUO CASO'!$B$7</f>
        <v/>
      </c>
      <c r="C16" s="20">
        <f>C15/'1 - IL TUO CASO'!$B$7</f>
        <v/>
      </c>
      <c r="D16" s="20">
        <f>D15/'1 - IL TUO CASO'!$B$7</f>
        <v/>
      </c>
      <c r="E16" s="20">
        <f>E15/'1 - IL TUO CASO'!$B$7</f>
        <v/>
      </c>
      <c r="F16" s="20">
        <f>F15/'1 - IL TUO CASO'!$B$7</f>
        <v/>
      </c>
    </row>
    <row r="17">
      <c r="A17" s="9" t="inlineStr">
        <is>
          <t>Ore di lavoro all'anno</t>
        </is>
      </c>
      <c r="B17" s="18">
        <f>B9*'1 - IL TUO CASO'!$B$21+'1 - IL TUO CASO'!$B$22</f>
        <v/>
      </c>
      <c r="C17" s="18">
        <f>C9*'1 - IL TUO CASO'!$B$21+'1 - IL TUO CASO'!$B$22</f>
        <v/>
      </c>
      <c r="D17" s="18">
        <f>D9*'1 - IL TUO CASO'!$B$21+'1 - IL TUO CASO'!$B$22</f>
        <v/>
      </c>
      <c r="E17" s="18">
        <f>E9*'1 - IL TUO CASO'!$B$21+'1 - IL TUO CASO'!$B$22</f>
        <v/>
      </c>
      <c r="F17" s="18">
        <f>F9*'1 - IL TUO CASO'!$B$21+'1 - IL TUO CASO'!$B$22</f>
        <v/>
      </c>
    </row>
    <row r="18">
      <c r="A18" s="9" t="inlineStr">
        <is>
          <t>Guadagno per ora di lavoro</t>
        </is>
      </c>
      <c r="B18" s="16">
        <f>IFERROR(B15/B17,0)</f>
        <v/>
      </c>
      <c r="C18" s="16">
        <f>IFERROR(C15/C17,0)</f>
        <v/>
      </c>
      <c r="D18" s="16">
        <f>IFERROR(D15/D17,0)</f>
        <v/>
      </c>
      <c r="E18" s="16">
        <f>IFERROR(E15/E17,0)</f>
        <v/>
      </c>
      <c r="F18" s="16">
        <f>IFERROR(F15/F17,0)</f>
        <v/>
      </c>
    </row>
    <row r="19"/>
    <row r="20">
      <c r="A20" s="8" t="inlineStr">
        <is>
          <t>LA BANDA — lo stesso conto coi costi fissi ai due estremi</t>
        </is>
      </c>
    </row>
    <row r="21">
      <c r="A21" s="9" t="inlineStr">
        <is>
          <t>NETTO coi costi fissi al MINIMO</t>
        </is>
      </c>
      <c r="B21" s="17">
        <f>B15+('1 - IL TUO CASO'!$C$34-'1 - IL TUO CASO'!$B$34)</f>
        <v/>
      </c>
      <c r="C21" s="17">
        <f>C15+('1 - IL TUO CASO'!$C$34-'1 - IL TUO CASO'!$B$34)</f>
        <v/>
      </c>
      <c r="D21" s="17">
        <f>D15+('1 - IL TUO CASO'!$C$34-'1 - IL TUO CASO'!$B$34)</f>
        <v/>
      </c>
      <c r="E21" s="17">
        <f>E15+('1 - IL TUO CASO'!$C$34-'1 - IL TUO CASO'!$B$34)</f>
        <v/>
      </c>
      <c r="F21" s="17">
        <f>F15+('1 - IL TUO CASO'!$C$34-'1 - IL TUO CASO'!$B$34)</f>
        <v/>
      </c>
    </row>
    <row r="22">
      <c r="A22" s="9" t="inlineStr">
        <is>
          <t>NETTO coi costi fissi al MASSIMO</t>
        </is>
      </c>
      <c r="B22" s="17">
        <f>B15-('1 - IL TUO CASO'!$D$34-'1 - IL TUO CASO'!$C$34)</f>
        <v/>
      </c>
      <c r="C22" s="17">
        <f>C15-('1 - IL TUO CASO'!$D$34-'1 - IL TUO CASO'!$C$34)</f>
        <v/>
      </c>
      <c r="D22" s="17">
        <f>D15-('1 - IL TUO CASO'!$D$34-'1 - IL TUO CASO'!$C$34)</f>
        <v/>
      </c>
      <c r="E22" s="17">
        <f>E15-('1 - IL TUO CASO'!$D$34-'1 - IL TUO CASO'!$C$34)</f>
        <v/>
      </c>
      <c r="F22" s="17">
        <f>F15-('1 - IL TUO CASO'!$D$34-'1 - IL TUO CASO'!$C$34)</f>
        <v/>
      </c>
    </row>
    <row r="23" ht="30" customHeight="1">
      <c r="A23" s="7" t="inlineStr">
        <is>
          <t>Allo scenario della media misurata la banda va da −1.457 € a −5.667 €. Non attraversa lo zero: è negativa da un capo all'altro. La banda è il modo corretto di mostrare l'incertezza, ma qui non cambia il segno della risposta.</t>
        </is>
      </c>
    </row>
    <row r="24"/>
    <row r="25">
      <c r="A25" s="8" t="inlineStr">
        <is>
          <t>SE DELEGHI — il conto con il property manager</t>
        </is>
      </c>
    </row>
    <row r="26">
      <c r="A26" s="9" t="inlineStr">
        <is>
          <t>Compenso del property manager</t>
        </is>
      </c>
      <c r="B26" s="17">
        <f>-IF('1 - IL TUO CASO'!$B$14="lordo",'1 - IL TUO CASO'!$B$13*B10,'1 - IL TUO CASO'!$B$13*(B10+B11))</f>
        <v/>
      </c>
      <c r="C26" s="17">
        <f>-IF('1 - IL TUO CASO'!$B$14="lordo",'1 - IL TUO CASO'!$B$13*C10,'1 - IL TUO CASO'!$B$13*(C10+C11))</f>
        <v/>
      </c>
      <c r="D26" s="17">
        <f>-IF('1 - IL TUO CASO'!$B$14="lordo",'1 - IL TUO CASO'!$B$13*D10,'1 - IL TUO CASO'!$B$13*(D10+D11))</f>
        <v/>
      </c>
      <c r="E26" s="17">
        <f>-IF('1 - IL TUO CASO'!$B$14="lordo",'1 - IL TUO CASO'!$B$13*E10,'1 - IL TUO CASO'!$B$13*(E10+E11))</f>
        <v/>
      </c>
      <c r="F26" s="17">
        <f>-IF('1 - IL TUO CASO'!$B$14="lordo",'1 - IL TUO CASO'!$B$13*F10,'1 - IL TUO CASO'!$B$13*(F10+F11))</f>
        <v/>
      </c>
    </row>
    <row r="27">
      <c r="A27" s="9" t="inlineStr">
        <is>
          <t>NETTO se deleghi la gestione</t>
        </is>
      </c>
      <c r="B27" s="17">
        <f>B15+B26</f>
        <v/>
      </c>
      <c r="C27" s="17">
        <f>C15+C26</f>
        <v/>
      </c>
      <c r="D27" s="17">
        <f>D15+D26</f>
        <v/>
      </c>
      <c r="E27" s="17">
        <f>E15+E26</f>
        <v/>
      </c>
      <c r="F27" s="17">
        <f>F15+F26</f>
        <v/>
      </c>
    </row>
    <row r="28">
      <c r="A28" s="9" t="inlineStr">
        <is>
          <t>Ore di lavoro che ti restano</t>
        </is>
      </c>
      <c r="B28" s="18">
        <f>10</f>
        <v/>
      </c>
      <c r="C28" s="18">
        <f>10</f>
        <v/>
      </c>
      <c r="D28" s="18">
        <f>10</f>
        <v/>
      </c>
      <c r="E28" s="18">
        <f>10</f>
        <v/>
      </c>
      <c r="F28" s="18">
        <f>10</f>
        <v/>
      </c>
    </row>
    <row r="29" ht="60" customHeight="1">
      <c r="A29" s="7" t="inlineStr">
        <is>
          <t>Una precisazione che il video fa e che vale la pena ripetere qui: il 20-25% del gestore non è rendita. CleanBnB, l'unico operatore quotato con bilancio revisionato, nel 2025 ha chiuso con un margine netto dello 0,6% e costi per servizi all'81% dei ricavi. Quella commissione è quasi tutta pulizie, lavanderia e personale: il settore ha margini sottili per tutti, proprietari e gestori.</t>
        </is>
      </c>
    </row>
  </sheetData>
  <mergeCells count="7">
    <mergeCell ref="A2:F2"/>
    <mergeCell ref="A1:F1"/>
    <mergeCell ref="A23:F23"/>
    <mergeCell ref="A3:F3"/>
    <mergeCell ref="A20:F20"/>
    <mergeCell ref="A29:F29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2" customWidth="1" min="4" max="4"/>
    <col width="58" customWidth="1" min="5" max="5"/>
  </cols>
  <sheetData>
    <row r="1" ht="25" customHeight="1">
      <c r="A1" s="1" t="inlineStr">
        <is>
          <t>Il pareggio — quante notti ti servono, e quante ne vende chi ci riesce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 ht="30" customHeight="1">
      <c r="A3" s="7" t="inlineStr">
        <is>
          <t>Se devi fare un conto solo prima di comprare, è questo. Prendi la soglia qui sotto e confrontala col massimo misurato nella tua città: se la soglia è più alta, hai finito e non serve altro.</t>
        </is>
      </c>
    </row>
    <row r="4"/>
    <row r="5">
      <c r="A5" s="8" t="inlineStr">
        <is>
          <t>LE DUE SOGLIE</t>
        </is>
      </c>
    </row>
    <row r="6">
      <c r="A6" s="9" t="inlineStr">
        <is>
          <t>Margine netto per notte venduta</t>
        </is>
      </c>
      <c r="B6" s="16">
        <f>'1 - IL TUO CASO'!$B$40</f>
        <v/>
      </c>
    </row>
    <row r="7">
      <c r="A7" s="9" t="inlineStr">
        <is>
          <t>Fatturato lordo per notte venduta</t>
        </is>
      </c>
      <c r="B7" s="16">
        <f>'1 - IL TUO CASO'!$B$39</f>
        <v/>
      </c>
    </row>
    <row r="8"/>
    <row r="9">
      <c r="A9" s="15" t="inlineStr">
        <is>
          <t>Soglia</t>
        </is>
      </c>
      <c r="B9" s="15" t="inlineStr">
        <is>
          <t>Notti da vendere</t>
        </is>
      </c>
      <c r="C9" s="15" t="inlineStr">
        <is>
          <t>Fatturato lordo</t>
        </is>
      </c>
      <c r="D9" s="15" t="inlineStr">
        <is>
          <t>Che cosa vuol dire</t>
        </is>
      </c>
    </row>
    <row r="10" ht="34" customHeight="1">
      <c r="A10" s="9" t="inlineStr">
        <is>
          <t>PAREGGIO DI CASSA — non ci rimetti</t>
        </is>
      </c>
      <c r="B10" s="19">
        <f>ROUND('1 - IL TUO CASO'!$C$34/$B$6,0)</f>
        <v/>
      </c>
      <c r="C10" s="17">
        <f>'1 - IL TUO CASO'!$C$34/$B$6*$B$7</f>
        <v/>
      </c>
      <c r="D10" s="6" t="inlineStr">
        <is>
          <t>La soglia da superare per non metterci soldi di tasca. Non remunera un euro del capitale investito e non paga un'ora del tuo tempo.</t>
        </is>
      </c>
    </row>
    <row r="11" ht="34" customHeight="1">
      <c r="A11" s="9" t="inlineStr">
        <is>
          <t>PAREGGIO CON L'AFFITTO LUNGO — la soglia vera</t>
        </is>
      </c>
      <c r="B11" s="19">
        <f>ROUND(('1 - IL TUO CASO'!$C$34+'4 - BREVE VS LUNGO'!$B$23)/$B$6,0)</f>
        <v/>
      </c>
      <c r="C11" s="17">
        <f>('1 - IL TUO CASO'!$C$34+'4 - BREVE VS LUNGO'!$B$23)/$B$6*$B$7</f>
        <v/>
      </c>
      <c r="D11" s="6" t="inlineStr">
        <is>
          <t>Sotto questa soglia lo stesso immobile ti rende di più affittato a lungo, con dieci ore di lavoro all'anno invece di novanta.</t>
        </is>
      </c>
    </row>
    <row r="12">
      <c r="A12" s="9" t="inlineStr">
        <is>
          <t xml:space="preserve">   in quota sul calendario dell'anno</t>
        </is>
      </c>
      <c r="B12" s="21">
        <f>$B$11/365</f>
        <v/>
      </c>
    </row>
    <row r="13">
      <c r="A13" s="9" t="inlineStr">
        <is>
          <t>Le tue notti, per confronto</t>
        </is>
      </c>
      <c r="B13" s="19">
        <f>'1 - IL TUO CASO'!$B$10</f>
        <v/>
      </c>
      <c r="C13" s="17">
        <f>'1 - IL TUO CASO'!$B$10*$B$7</f>
        <v/>
      </c>
    </row>
    <row r="14">
      <c r="A14" s="9" t="inlineStr">
        <is>
          <t>Ti mancano, per il pareggio di cassa</t>
        </is>
      </c>
      <c r="B14" s="19">
        <f>MAX(0,$B$10-$B$13)</f>
        <v/>
      </c>
    </row>
    <row r="15"/>
    <row r="16">
      <c r="A16" s="8" t="inlineStr">
        <is>
          <t>I FATTURATI MISURATI — la coppia che decide</t>
        </is>
      </c>
    </row>
    <row r="17" ht="45" customHeight="1">
      <c r="A17" s="7" t="inlineStr">
        <is>
          <t>Tutti i valori sono fatturato lordo annuo pagato dall'ospite, pulizie comprese: la base è la stessa della soglia qui sopra, altrimenti il confronto non varrebbe niente. Le città medie vengono da un osservatorio che misura tutti gli annunci di undici città; le medie nazionali da bilanci di gestori professionali.</t>
        </is>
      </c>
    </row>
    <row r="18">
      <c r="A18" s="15" t="inlineStr">
        <is>
          <t>Fonte</t>
        </is>
      </c>
      <c r="B18" s="15" t="inlineStr">
        <is>
          <t>Fatturato lordo annuo</t>
        </is>
      </c>
      <c r="C18" s="15" t="inlineStr">
        <is>
          <t>Notti implicite</t>
        </is>
      </c>
      <c r="D18" s="15" t="inlineStr">
        <is>
          <t>Rispetto al pareggio di cassa</t>
        </is>
      </c>
    </row>
    <row r="19">
      <c r="A19" s="9" t="inlineStr">
        <is>
          <t>AirROI — media delle 11 città medie misurate</t>
        </is>
      </c>
      <c r="B19" s="22" t="n">
        <v>12315</v>
      </c>
      <c r="C19" s="19">
        <f>$B19/$B$7</f>
        <v/>
      </c>
      <c r="D19" s="23">
        <f>IF($B19&gt;=$C$10,"sopra — ce la fa","SOTTO il pareggio")</f>
        <v/>
      </c>
      <c r="E19" s="6" t="inlineStr">
        <is>
          <t>è la media della fascia in cui 250.000 € ti fanno comprare</t>
        </is>
      </c>
    </row>
    <row r="20">
      <c r="A20" s="9" t="inlineStr">
        <is>
          <t>CleanBnB 2025 — media di portafoglio</t>
        </is>
      </c>
      <c r="B20" s="22" t="n">
        <v>20364</v>
      </c>
      <c r="C20" s="19">
        <f>$B20/$B$7</f>
        <v/>
      </c>
      <c r="D20" s="23">
        <f>IF($B20&gt;=$C$10,"sopra — ce la fa","SOTTO il pareggio")</f>
        <v/>
      </c>
      <c r="E20" s="6" t="inlineStr">
        <is>
          <t>gestore professionale quotato, bilancio revisionato</t>
        </is>
      </c>
    </row>
    <row r="21">
      <c r="A21" s="9" t="inlineStr">
        <is>
          <t>AIGAB 2026 — media nazionale</t>
        </is>
      </c>
      <c r="B21" s="22" t="n">
        <v>20859</v>
      </c>
      <c r="C21" s="19">
        <f>$B21/$B$7</f>
        <v/>
      </c>
      <c r="D21" s="23">
        <f>IF($B21&gt;=$C$10,"sopra — ce la fa","SOTTO il pareggio")</f>
        <v/>
      </c>
      <c r="E21" s="6" t="inlineStr">
        <is>
          <t>associazione di categoria: la media è vera, ed è dominata da Roma e Milano</t>
        </is>
      </c>
    </row>
    <row r="22">
      <c r="A22" s="9" t="inlineStr">
        <is>
          <t>CleanBnB — Milano</t>
        </is>
      </c>
      <c r="B22" s="22" t="n">
        <v>38037</v>
      </c>
      <c r="C22" s="19">
        <f>$B22/$B$7</f>
        <v/>
      </c>
      <c r="D22" s="23">
        <f>IF($B22&gt;=$C$10,"sopra — ce la fa","SOTTO il pareggio")</f>
        <v/>
      </c>
      <c r="E22" s="6" t="inlineStr">
        <is>
          <t>dove i numeri funzionano, il prezzo se li è già presi</t>
        </is>
      </c>
    </row>
    <row r="23">
      <c r="A23" s="9" t="inlineStr">
        <is>
          <t>CleanBnB — Roma</t>
        </is>
      </c>
      <c r="B23" s="22" t="n">
        <v>47853</v>
      </c>
      <c r="C23" s="19">
        <f>$B23/$B$7</f>
        <v/>
      </c>
      <c r="D23" s="23">
        <f>IF($B23&gt;=$C$10,"sopra — ce la fa","SOTTO il pareggio")</f>
        <v/>
      </c>
      <c r="E23" s="6" t="inlineStr">
        <is>
          <t>idem</t>
        </is>
      </c>
    </row>
    <row r="24">
      <c r="A24" s="9" t="inlineStr">
        <is>
          <t>CleanBnB — mare e montagna</t>
        </is>
      </c>
      <c r="B24" s="22" t="n">
        <v>7362</v>
      </c>
      <c r="C24" s="19">
        <f>$B24/$B$7</f>
        <v/>
      </c>
      <c r="D24" s="23">
        <f>IF($B24&gt;=$C$10,"sopra — ce la fa","SOTTO il pareggio")</f>
        <v/>
      </c>
      <c r="E24" s="6" t="inlineStr">
        <is>
          <t>stagionalità corta: la casa al mare è il caso peggiore, non il migliore</t>
        </is>
      </c>
    </row>
    <row r="25"/>
    <row r="26" ht="60" customHeight="1">
      <c r="A26" s="7" t="inlineStr">
        <is>
          <t>Come si legge la colonna «notti implicite»: sono le notti che servirebbero per fare quel fatturato AL TUO PREZZO. Quando il numero supera le 365 non vuol dire che a Roma vendono più notti di quante ne abbia l'anno: vuol dire che là il prezzo a notte è molto più alto del tuo, ed è esattamente il punto — quei fatturati non si raggiungono lavorando di più, si raggiungono stando in un altro mercato.</t>
        </is>
      </c>
    </row>
    <row r="27" ht="75" customHeight="1">
      <c r="A27" s="7" t="inlineStr">
        <is>
          <t>Questo è il verdetto del video, ed è strutturale, non morale: il breve funziona dove la domanda è alta, e non funziona dove non lo è. La media nazionale che il settore cita è vera, ed è dominata da Roma e Milano. Nelle città medie, misurate una per una, il fatturato medio sta SOTTO il pareggio di cassa. E si chiude il cerchio: i posti dove i numeri funzionano sono esattamente quelli dove 250.000 € non ti fanno entrare, perché il prezzo d'acquisto ha già incorporato la domanda turistica.</t>
        </is>
      </c>
    </row>
    <row r="28" ht="60" customHeight="1">
      <c r="A28" s="7" t="inlineStr">
        <is>
          <t>Un controllo di robustezza che vale la pena rifare da soli: metti 194 notti nella cella B10 del foglio 1 — la cima del decile alto per annuncio — e guarda il netto. Viene circa +2.654 €, che è ancora sotto i 3.958 € dell'affitto lungo. Il verdetto regge su tutta l'estensione della distribuzione misurata, non solo al centro.</t>
        </is>
      </c>
    </row>
  </sheetData>
  <mergeCells count="9">
    <mergeCell ref="A1:D1"/>
    <mergeCell ref="A5:D5"/>
    <mergeCell ref="A17:D17"/>
    <mergeCell ref="A27:D27"/>
    <mergeCell ref="A3:D3"/>
    <mergeCell ref="A26:D26"/>
    <mergeCell ref="A16:D16"/>
    <mergeCell ref="A2:D2"/>
    <mergeCell ref="A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  <col width="6" customWidth="1" min="4" max="4"/>
    <col width="62" customWidth="1" min="5" max="5"/>
  </cols>
  <sheetData>
    <row r="1" ht="25" customHeight="1">
      <c r="A1" s="1" t="inlineStr">
        <is>
          <t>Breve contro lungo — lo stesso immobile, due mestieri diversi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 ht="45" customHeight="1">
      <c r="A3" s="7" t="inlineStr">
        <is>
          <t>Il confronto onesto non è «affitti brevi contro ETF»: è affitti brevi contro lo STESSO immobile affittato a lungo. Se il breve non batte il lungo, tutto il resto del ragionamento non serve.</t>
        </is>
      </c>
    </row>
    <row r="4"/>
    <row r="5">
      <c r="A5" s="8" t="inlineStr">
        <is>
          <t>LE IPOTESI DELL'AFFITTO LUNGO</t>
        </is>
      </c>
    </row>
    <row r="6" ht="75" customHeight="1">
      <c r="A6" s="9" t="inlineStr">
        <is>
          <t>Canone mensile richiesto (€)</t>
        </is>
      </c>
      <c r="B6" s="10" t="n">
        <v>750</v>
      </c>
      <c r="E6" s="7" t="inlineStr">
        <is>
          <t>Coerente col derivato di Verona nel dossier canoni. Sul rogito fa un rendimento lordo del 5,15%, che è all'estremo ALTO della forbice di zona centrale misurata (Verona 3,95%, Trieste 5,17%): il confronto è quindi tarato a favore del lungo, cioè in modo conservativo per la tesi del video.</t>
        </is>
      </c>
    </row>
    <row r="7" ht="15" customHeight="1">
      <c r="A7" s="9" t="inlineStr">
        <is>
          <t>Sfitto e morosità (vacancy)</t>
        </is>
      </c>
      <c r="B7" s="24" t="n">
        <v>0.04</v>
      </c>
      <c r="E7" s="7" t="inlineStr">
        <is>
          <t>Circa quindici giorni l'anno fra un inquilino e l'altro.</t>
        </is>
      </c>
    </row>
    <row r="8">
      <c r="A8" s="9" t="inlineStr">
        <is>
          <t>Provvigione di agenzia, spalmata sull'anno (€)</t>
        </is>
      </c>
      <c r="B8" s="10" t="n">
        <v>250</v>
      </c>
    </row>
    <row r="9" ht="30" customHeight="1">
      <c r="A9" s="9" t="inlineStr">
        <is>
          <t>Manutenzione ordinaria a carico del proprietario (€)</t>
        </is>
      </c>
      <c r="B9" s="25" t="n">
        <v>1425.6</v>
      </c>
      <c r="E9" s="7" t="inlineStr">
        <is>
          <t>16,5% del canone al netto dello sfitto. Nel breve la stessa voce costa di più, perché il ricambio consuma di più.</t>
        </is>
      </c>
    </row>
    <row r="10" ht="30" customHeight="1">
      <c r="A10" s="9" t="inlineStr">
        <is>
          <t>Quota condominiale a carico del proprietario (€)</t>
        </is>
      </c>
      <c r="B10" s="10" t="n">
        <v>480</v>
      </c>
      <c r="E10" s="7" t="inlineStr">
        <is>
          <t>Nel lungo le spese ordinarie sono in gran parte dell'inquilino; nel breve sono tutte tue.</t>
        </is>
      </c>
    </row>
    <row r="11" ht="30" customHeight="1">
      <c r="A11" s="9" t="inlineStr">
        <is>
          <t>Sconto del canone concordato</t>
        </is>
      </c>
      <c r="B11" s="24" t="n">
        <v>0.2</v>
      </c>
      <c r="E11" s="7" t="inlineStr">
        <is>
          <t>Il concordato taglia il canone in cambio di cedolare al 10% e IMU ridotta.</t>
        </is>
      </c>
    </row>
    <row r="12">
      <c r="A12" s="9" t="inlineStr">
        <is>
          <t>Cedolare del canone concordato</t>
        </is>
      </c>
      <c r="B12" s="13" t="n">
        <v>0.1</v>
      </c>
    </row>
    <row r="13" ht="15" customHeight="1">
      <c r="A13" s="9" t="inlineStr">
        <is>
          <t>Riduzione IMU col canone concordato</t>
        </is>
      </c>
      <c r="B13" s="24" t="n">
        <v>0.25</v>
      </c>
      <c r="E13" s="7" t="inlineStr">
        <is>
          <t>L. 160/2019 c. 760.</t>
        </is>
      </c>
    </row>
    <row r="14"/>
    <row r="15">
      <c r="A15" s="15" t="inlineStr">
        <is>
          <t>Affitto lungo, voce per voce</t>
        </is>
      </c>
      <c r="B15" s="15" t="inlineStr">
        <is>
          <t>Canone libero</t>
        </is>
      </c>
      <c r="C15" s="15" t="inlineStr">
        <is>
          <t>Canone concordato</t>
        </is>
      </c>
    </row>
    <row r="16">
      <c r="A16" s="9" t="inlineStr">
        <is>
          <t>Canone annuo</t>
        </is>
      </c>
      <c r="B16" s="16">
        <f>$B$6*12</f>
        <v/>
      </c>
      <c r="C16" s="16">
        <f>$B$6*12*(1-$B$11)</f>
        <v/>
      </c>
    </row>
    <row r="17">
      <c r="A17" s="9" t="inlineStr">
        <is>
          <t>− Sfitto e morosità</t>
        </is>
      </c>
      <c r="B17" s="16">
        <f>-$B$16*$B$7</f>
        <v/>
      </c>
      <c r="C17" s="16">
        <f>-$C$16*$B$7</f>
        <v/>
      </c>
    </row>
    <row r="18">
      <c r="A18" s="9" t="inlineStr">
        <is>
          <t>− Provvigione di agenzia</t>
        </is>
      </c>
      <c r="B18" s="16">
        <f>-$B$8</f>
        <v/>
      </c>
      <c r="C18" s="16">
        <f>-$B$8</f>
        <v/>
      </c>
    </row>
    <row r="19">
      <c r="A19" s="9" t="inlineStr">
        <is>
          <t>− IMU</t>
        </is>
      </c>
      <c r="B19" s="16">
        <f>-'1 - IL TUO CASO'!$C$26</f>
        <v/>
      </c>
      <c r="C19" s="16">
        <f>-'1 - IL TUO CASO'!$C$26*(1-$B$13)</f>
        <v/>
      </c>
    </row>
    <row r="20">
      <c r="A20" s="9" t="inlineStr">
        <is>
          <t>− Manutenzione ordinaria</t>
        </is>
      </c>
      <c r="B20" s="16">
        <f>-$B$9</f>
        <v/>
      </c>
      <c r="C20" s="16">
        <f>-$B$9</f>
        <v/>
      </c>
    </row>
    <row r="21">
      <c r="A21" s="9" t="inlineStr">
        <is>
          <t>− Quota condominiale</t>
        </is>
      </c>
      <c r="B21" s="16">
        <f>-$B$10</f>
        <v/>
      </c>
      <c r="C21" s="16">
        <f>-$B$10</f>
        <v/>
      </c>
    </row>
    <row r="22">
      <c r="A22" s="9" t="inlineStr">
        <is>
          <t>− Cedolare secca</t>
        </is>
      </c>
      <c r="B22" s="16">
        <f>-'1 - IL TUO CASO'!$B$19*($B$16+$B$17)</f>
        <v/>
      </c>
      <c r="C22" s="16">
        <f>-$B$12*($C$16+$C$17)</f>
        <v/>
      </c>
    </row>
    <row r="23">
      <c r="A23" s="9" t="inlineStr">
        <is>
          <t>NETTO DELL'AFFITTO LUNGO</t>
        </is>
      </c>
      <c r="B23" s="17">
        <f>SUM($B$16:$B$22)</f>
        <v/>
      </c>
      <c r="C23" s="17">
        <f>SUM($C$16:$C$22)</f>
        <v/>
      </c>
    </row>
    <row r="24">
      <c r="A24" s="9" t="inlineStr">
        <is>
          <t>in % sul prezzo di rogito</t>
        </is>
      </c>
      <c r="B24" s="20">
        <f>$B$23/'1 - IL TUO CASO'!$B$7</f>
        <v/>
      </c>
      <c r="C24" s="20">
        <f>$C$23/'1 - IL TUO CASO'!$B$7</f>
        <v/>
      </c>
    </row>
    <row r="25">
      <c r="A25" s="9" t="inlineStr">
        <is>
          <t>Ore di lavoro all'anno</t>
        </is>
      </c>
      <c r="B25" s="18">
        <f>10</f>
        <v/>
      </c>
      <c r="C25" s="18">
        <f>10</f>
        <v/>
      </c>
    </row>
    <row r="26" ht="75" customHeight="1">
      <c r="A26" s="7" t="inlineStr">
        <is>
          <t>Il canone concordato viene PEGGIO del libero, e non di poco: il vantaggio fiscale (cedolare al 10% invece che al 21%, IMU ridotta di un quarto) non compensa il 20% di canone in meno. È controintuitivo e va calcolato, non affermato. Attenzione però: dipende dallo sconto richiesto nel tuo accordo territoriale — prova a cambiare la cella B11.</t>
        </is>
      </c>
    </row>
    <row r="27"/>
    <row r="28">
      <c r="A28" s="8" t="inlineStr">
        <is>
          <t>IL CONFRONTO</t>
        </is>
      </c>
    </row>
    <row r="29">
      <c r="A29" s="15" t="inlineStr"/>
      <c r="B29" s="15" t="inlineStr">
        <is>
          <t>Breve, alle tue notti</t>
        </is>
      </c>
      <c r="C29" s="15" t="inlineStr">
        <is>
          <t>Lungo, canone libero</t>
        </is>
      </c>
    </row>
    <row r="30">
      <c r="A30" s="9" t="inlineStr">
        <is>
          <t>Netto in un anno</t>
        </is>
      </c>
      <c r="B30" s="17">
        <f>'2 - CASCATA'!$F$15</f>
        <v/>
      </c>
      <c r="C30" s="17">
        <f>$B$23</f>
        <v/>
      </c>
    </row>
    <row r="31">
      <c r="A31" s="9" t="inlineStr">
        <is>
          <t>Ore di lavoro</t>
        </is>
      </c>
      <c r="B31" s="18">
        <f>'2 - CASCATA'!$F$17</f>
        <v/>
      </c>
      <c r="C31" s="18">
        <f>10</f>
        <v/>
      </c>
    </row>
    <row r="32">
      <c r="A32" s="9" t="inlineStr">
        <is>
          <t>Differenza a favore del lungo</t>
        </is>
      </c>
      <c r="B32" s="17">
        <f>$B$23-$B$30</f>
        <v/>
      </c>
    </row>
    <row r="33">
      <c r="A33" s="9" t="inlineStr">
        <is>
          <t>Notti a cui il breve pareggia il lungo</t>
        </is>
      </c>
      <c r="B33" s="19">
        <f>ROUND(('1 - IL TUO CASO'!$C$34+$B$23)/'1 - IL TUO CASO'!$B$40,0)</f>
        <v/>
      </c>
    </row>
    <row r="34">
      <c r="A34" s="9" t="inlineStr">
        <is>
          <t xml:space="preserve">   in quota sul calendario dell'anno</t>
        </is>
      </c>
      <c r="B34" s="21">
        <f>$B$33/365</f>
        <v/>
      </c>
    </row>
    <row r="35" ht="45" customHeight="1">
      <c r="A35" s="7" t="inlineStr">
        <is>
          <t>Ai default servono 219 notti, cioè il 60% del calendario, contro un massimo misurato di 107 notti per annuncio nelle città medie. Non è una questione di impegno: è che quelle notti, in quelle città, non ci sono da vendere.</t>
        </is>
      </c>
    </row>
  </sheetData>
  <mergeCells count="7">
    <mergeCell ref="A28:C28"/>
    <mergeCell ref="A1:C1"/>
    <mergeCell ref="A5:C5"/>
    <mergeCell ref="A3:C3"/>
    <mergeCell ref="A35:C35"/>
    <mergeCell ref="A26:C26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58" customWidth="1" min="7" max="7"/>
  </cols>
  <sheetData>
    <row r="1" ht="25" customHeight="1">
      <c r="A1" s="1" t="inlineStr">
        <is>
          <t>Due stagioni — perché il modello piatto ti penalizza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 ht="60" customHeight="1">
      <c r="A3" s="7" t="inlineStr">
        <is>
          <t>Il modello principale usa un prezzo medio piatto tutto l'anno. Ma la stagionalità italiana è forte e misurata: luglio e agosto valgono circa il 35% delle presenze annue in poco più del 16% del calendario. Se vendi poche notti, quelle poche notti sono quelle di alta stagione — e valgono più della media. Cioè: il modello piatto SOTTOSTIMA i ricavi, e il conto del foglio 2 è il ramo prudente.</t>
        </is>
      </c>
    </row>
    <row r="4" ht="45" customHeight="1">
      <c r="A4" s="7" t="inlineStr">
        <is>
          <t>Il limite di questo foglio, dichiarato: assume l'allocazione perfetta, cioè che ogni notte venduta sia una notte di alta stagione finché l'alta stagione non è satura. È l'estremo ottimistico, come il piatto è l'estremo prudente. Il valore vero sta in mezzo.</t>
        </is>
      </c>
    </row>
    <row r="5"/>
    <row r="6">
      <c r="A6" s="8" t="inlineStr">
        <is>
          <t>LE IPOTESI DELLE DUE STAGIONI</t>
        </is>
      </c>
    </row>
    <row r="7" ht="15" customHeight="1">
      <c r="A7" s="9" t="inlineStr">
        <is>
          <t>Giorni di alta stagione</t>
        </is>
      </c>
      <c r="B7" s="11" t="n">
        <v>153</v>
      </c>
      <c r="G7" s="7" t="inlineStr">
        <is>
          <t>Da maggio a settembre.</t>
        </is>
      </c>
    </row>
    <row r="8" ht="30" customHeight="1">
      <c r="A8" s="9" t="inlineStr">
        <is>
          <t>Occupancy massima raggiungibile in alta</t>
        </is>
      </c>
      <c r="B8" s="24" t="n">
        <v>0.7</v>
      </c>
      <c r="G8" s="7" t="inlineStr">
        <is>
          <t>Anche in agosto non si riempie tutto: a Rimini l'occupancy di agosto misurata è il 59,5%.</t>
        </is>
      </c>
    </row>
    <row r="9">
      <c r="A9" s="9" t="inlineStr">
        <is>
          <t>Prezzo a notte in alta stagione (€)</t>
        </is>
      </c>
      <c r="B9" s="10" t="n">
        <v>115</v>
      </c>
    </row>
    <row r="10">
      <c r="A10" s="9" t="inlineStr">
        <is>
          <t>Prezzo a notte in bassa stagione (€)</t>
        </is>
      </c>
      <c r="B10" s="10" t="n">
        <v>88</v>
      </c>
    </row>
    <row r="11">
      <c r="A11" s="9" t="inlineStr">
        <is>
          <t>Notti vendibili in alta stagione</t>
        </is>
      </c>
      <c r="B11" s="18">
        <f>$B$7*$B$8</f>
        <v/>
      </c>
    </row>
    <row r="12"/>
    <row r="13">
      <c r="A13" s="15" t="inlineStr">
        <is>
          <t>Voce</t>
        </is>
      </c>
      <c r="B13" s="15" t="inlineStr">
        <is>
          <t>Mediana di mercato</t>
        </is>
      </c>
      <c r="C13" s="15" t="inlineStr">
        <is>
          <t>Media misurata</t>
        </is>
      </c>
      <c r="D13" s="15" t="inlineStr">
        <is>
          <t>Quartile alto</t>
        </is>
      </c>
      <c r="E13" s="15" t="inlineStr">
        <is>
          <t>Decile alto</t>
        </is>
      </c>
      <c r="F13" s="15" t="inlineStr">
        <is>
          <t>Le TUE notti</t>
        </is>
      </c>
    </row>
    <row r="14">
      <c r="A14" s="9" t="inlineStr">
        <is>
          <t>Notti vendute</t>
        </is>
      </c>
      <c r="B14" s="19">
        <f>'2 - CASCATA'!B8</f>
        <v/>
      </c>
      <c r="C14" s="19">
        <f>'2 - CASCATA'!C8</f>
        <v/>
      </c>
      <c r="D14" s="19">
        <f>'2 - CASCATA'!D8</f>
        <v/>
      </c>
      <c r="E14" s="19">
        <f>'2 - CASCATA'!E8</f>
        <v/>
      </c>
      <c r="F14" s="19">
        <f>'2 - CASCATA'!F8</f>
        <v/>
      </c>
    </row>
    <row r="15">
      <c r="A15" s="9" t="inlineStr">
        <is>
          <t xml:space="preserve">   di cui in alta stagione</t>
        </is>
      </c>
      <c r="B15" s="18">
        <f>MIN(B14,$B$11)</f>
        <v/>
      </c>
      <c r="C15" s="18">
        <f>MIN(C14,$B$11)</f>
        <v/>
      </c>
      <c r="D15" s="18">
        <f>MIN(D14,$B$11)</f>
        <v/>
      </c>
      <c r="E15" s="18">
        <f>MIN(E14,$B$11)</f>
        <v/>
      </c>
      <c r="F15" s="18">
        <f>MIN(F14,$B$11)</f>
        <v/>
      </c>
    </row>
    <row r="16">
      <c r="A16" s="9" t="inlineStr">
        <is>
          <t xml:space="preserve">   di cui in bassa stagione</t>
        </is>
      </c>
      <c r="B16" s="18">
        <f>B14-B15</f>
        <v/>
      </c>
      <c r="C16" s="18">
        <f>C14-C15</f>
        <v/>
      </c>
      <c r="D16" s="18">
        <f>D14-D15</f>
        <v/>
      </c>
      <c r="E16" s="18">
        <f>E14-E15</f>
        <v/>
      </c>
      <c r="F16" s="18">
        <f>F14-F15</f>
        <v/>
      </c>
    </row>
    <row r="17">
      <c r="A17" s="9" t="inlineStr">
        <is>
          <t>Turnover (soggiorni)</t>
        </is>
      </c>
      <c r="B17" s="18">
        <f>B14/'1 - IL TUO CASO'!$B$11</f>
        <v/>
      </c>
      <c r="C17" s="18">
        <f>C14/'1 - IL TUO CASO'!$B$11</f>
        <v/>
      </c>
      <c r="D17" s="18">
        <f>D14/'1 - IL TUO CASO'!$B$11</f>
        <v/>
      </c>
      <c r="E17" s="18">
        <f>E14/'1 - IL TUO CASO'!$B$11</f>
        <v/>
      </c>
      <c r="F17" s="18">
        <f>F14/'1 - IL TUO CASO'!$B$11</f>
        <v/>
      </c>
    </row>
    <row r="18">
      <c r="A18" s="9" t="inlineStr">
        <is>
          <t>Corrispettivo lordo</t>
        </is>
      </c>
      <c r="B18" s="17">
        <f>$B$9*B15+$B$10*B16+'1 - IL TUO CASO'!$B$17*B17</f>
        <v/>
      </c>
      <c r="C18" s="17">
        <f>$B$9*C15+$B$10*C16+'1 - IL TUO CASO'!$B$17*C17</f>
        <v/>
      </c>
      <c r="D18" s="17">
        <f>$B$9*D15+$B$10*D16+'1 - IL TUO CASO'!$B$17*D17</f>
        <v/>
      </c>
      <c r="E18" s="17">
        <f>$B$9*E15+$B$10*E16+'1 - IL TUO CASO'!$B$17*E17</f>
        <v/>
      </c>
      <c r="F18" s="17">
        <f>$B$9*F15+$B$10*F16+'1 - IL TUO CASO'!$B$17*F17</f>
        <v/>
      </c>
    </row>
    <row r="19">
      <c r="A19" s="9" t="inlineStr">
        <is>
          <t>− Commissioni piattaforme</t>
        </is>
      </c>
      <c r="B19" s="17">
        <f>-'1 - IL TUO CASO'!$B$12*B18</f>
        <v/>
      </c>
      <c r="C19" s="17">
        <f>-'1 - IL TUO CASO'!$B$12*C18</f>
        <v/>
      </c>
      <c r="D19" s="17">
        <f>-'1 - IL TUO CASO'!$B$12*D18</f>
        <v/>
      </c>
      <c r="E19" s="17">
        <f>-'1 - IL TUO CASO'!$B$12*E18</f>
        <v/>
      </c>
      <c r="F19" s="17">
        <f>-'1 - IL TUO CASO'!$B$12*F18</f>
        <v/>
      </c>
    </row>
    <row r="20">
      <c r="A20" s="9" t="inlineStr">
        <is>
          <t>− Pulizie pagate</t>
        </is>
      </c>
      <c r="B20" s="17">
        <f>-'1 - IL TUO CASO'!$B$18*B17</f>
        <v/>
      </c>
      <c r="C20" s="17">
        <f>-'1 - IL TUO CASO'!$B$18*C17</f>
        <v/>
      </c>
      <c r="D20" s="17">
        <f>-'1 - IL TUO CASO'!$B$18*D17</f>
        <v/>
      </c>
      <c r="E20" s="17">
        <f>-'1 - IL TUO CASO'!$B$18*E17</f>
        <v/>
      </c>
      <c r="F20" s="17">
        <f>-'1 - IL TUO CASO'!$B$18*F17</f>
        <v/>
      </c>
    </row>
    <row r="21">
      <c r="A21" s="9" t="inlineStr">
        <is>
          <t>− Costi fissi (centro)</t>
        </is>
      </c>
      <c r="B21" s="17">
        <f>-'1 - IL TUO CASO'!$C$34</f>
        <v/>
      </c>
      <c r="C21" s="17">
        <f>-'1 - IL TUO CASO'!$C$34</f>
        <v/>
      </c>
      <c r="D21" s="17">
        <f>-'1 - IL TUO CASO'!$C$34</f>
        <v/>
      </c>
      <c r="E21" s="17">
        <f>-'1 - IL TUO CASO'!$C$34</f>
        <v/>
      </c>
      <c r="F21" s="17">
        <f>-'1 - IL TUO CASO'!$C$34</f>
        <v/>
      </c>
    </row>
    <row r="22">
      <c r="A22" s="9" t="inlineStr">
        <is>
          <t>− Cedolare secca</t>
        </is>
      </c>
      <c r="B22" s="17">
        <f>-'1 - IL TUO CASO'!$B$19*B18</f>
        <v/>
      </c>
      <c r="C22" s="17">
        <f>-'1 - IL TUO CASO'!$B$19*C18</f>
        <v/>
      </c>
      <c r="D22" s="17">
        <f>-'1 - IL TUO CASO'!$B$19*D18</f>
        <v/>
      </c>
      <c r="E22" s="17">
        <f>-'1 - IL TUO CASO'!$B$19*E18</f>
        <v/>
      </c>
      <c r="F22" s="17">
        <f>-'1 - IL TUO CASO'!$B$19*F18</f>
        <v/>
      </c>
    </row>
    <row r="23">
      <c r="A23" s="9" t="inlineStr">
        <is>
          <t>NETTO con due stagioni</t>
        </is>
      </c>
      <c r="B23" s="17">
        <f>SUM(B18:B22)</f>
        <v/>
      </c>
      <c r="C23" s="17">
        <f>SUM(C18:C22)</f>
        <v/>
      </c>
      <c r="D23" s="17">
        <f>SUM(D18:D22)</f>
        <v/>
      </c>
      <c r="E23" s="17">
        <f>SUM(E18:E22)</f>
        <v/>
      </c>
      <c r="F23" s="17">
        <f>SUM(F18:F22)</f>
        <v/>
      </c>
    </row>
    <row r="24">
      <c r="A24" s="9" t="inlineStr">
        <is>
          <t>NETTO col prezzo piatto (foglio 2)</t>
        </is>
      </c>
      <c r="B24" s="17">
        <f>'2 - CASCATA'!B15</f>
        <v/>
      </c>
      <c r="C24" s="17">
        <f>'2 - CASCATA'!C15</f>
        <v/>
      </c>
      <c r="D24" s="17">
        <f>'2 - CASCATA'!D15</f>
        <v/>
      </c>
      <c r="E24" s="17">
        <f>'2 - CASCATA'!E15</f>
        <v/>
      </c>
      <c r="F24" s="17">
        <f>'2 - CASCATA'!F15</f>
        <v/>
      </c>
    </row>
    <row r="25">
      <c r="A25" s="9" t="inlineStr">
        <is>
          <t>DIFFERENZA — quanto ti costa il modello piatto</t>
        </is>
      </c>
      <c r="B25" s="17">
        <f>B23-B24</f>
        <v/>
      </c>
      <c r="C25" s="17">
        <f>C23-C24</f>
        <v/>
      </c>
      <c r="D25" s="17">
        <f>D23-D24</f>
        <v/>
      </c>
      <c r="E25" s="17">
        <f>E23-E24</f>
        <v/>
      </c>
      <c r="F25" s="17">
        <f>F23-F24</f>
        <v/>
      </c>
    </row>
    <row r="26"/>
    <row r="27" ht="45" customHeight="1">
      <c r="A27" s="7" t="inlineStr">
        <is>
          <t>Alla media misurata il modello piatto ti penalizza di circa 790 € l'anno, e il netto passa da −2.967 € a −2.178 €. La direzione conta più della misura: il conto del foglio 2 è quello prudente, non quello cattivo. E resta negativo in tutti e due i modelli, tranne che in cima alla distribuzione.</t>
        </is>
      </c>
    </row>
    <row r="28" ht="30" customHeight="1">
      <c r="A28" s="7" t="inlineStr">
        <is>
          <t>C'è anche un uso pratico: «alzo il prezzo» e «riempio di più» sono strategie ALTERNATIVE, non sommabili. Se alzi il prezzo in agosto vendi meno notti, e l'angolo in alto a destra — prezzo alto E calendario pieno — semplicemente non esiste.</t>
        </is>
      </c>
    </row>
  </sheetData>
  <mergeCells count="7">
    <mergeCell ref="A2:F2"/>
    <mergeCell ref="A28:F28"/>
    <mergeCell ref="A1:F1"/>
    <mergeCell ref="A27:F27"/>
    <mergeCell ref="A6:F6"/>
    <mergeCell ref="A4:F4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78" customWidth="1" min="3" max="3"/>
  </cols>
  <sheetData>
    <row r="1" ht="25" customHeight="1">
      <c r="A1" s="1" t="inlineStr">
        <is>
          <t>Parametri e fonti — da dove viene ogni numero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 ht="48" customHeight="1">
      <c r="A3" s="2" t="inlineStr">
        <is>
          <t>DEPERIBILITÀ — quadro fiscale 2026. Dal 2027 la disciplina delle locazioni brevi si sposta nell'art. 207 del nuovo Testo unico delle imposte sui redditi: alla data di questo foglio il testo dell'articolo non è ancora consultabile sulla banca dati ufficiale, quindi non se ne afferma il contenuto. Da gennaio 2027 vanno riverificati cedolare, base imponibile e adempimenti.</t>
        </is>
      </c>
    </row>
    <row r="4"/>
    <row r="5">
      <c r="A5" s="8" t="inlineStr">
        <is>
          <t>IL CASO DI PARTENZA — due varianti misurate</t>
        </is>
      </c>
    </row>
    <row r="6">
      <c r="A6" s="15" t="inlineStr">
        <is>
          <t>Voce</t>
        </is>
      </c>
      <c r="B6" s="15" t="inlineStr">
        <is>
          <t>Città cara (default)</t>
        </is>
      </c>
      <c r="C6" s="15" t="inlineStr">
        <is>
          <t>Città media (variante)</t>
        </is>
      </c>
    </row>
    <row r="7">
      <c r="A7" s="9" t="inlineStr">
        <is>
          <t>Città di riferimento</t>
        </is>
      </c>
      <c r="B7" s="26" t="inlineStr">
        <is>
          <t>Verona / Bergamo / Trieste / Lucca</t>
        </is>
      </c>
      <c r="C7" s="26" t="inlineStr">
        <is>
          <t>Parma / Ravenna / Siracusa</t>
        </is>
      </c>
    </row>
    <row r="8">
      <c r="A8" s="9" t="inlineStr">
        <is>
          <t>Prezzo richiesto</t>
        </is>
      </c>
      <c r="B8" s="26" t="inlineStr">
        <is>
          <t>195.000 €</t>
        </is>
      </c>
      <c r="C8" s="26" t="inlineStr">
        <is>
          <t>150.000 €</t>
        </is>
      </c>
    </row>
    <row r="9">
      <c r="A9" s="9" t="inlineStr">
        <is>
          <t>Prezzo di rogito (−10,4%, Nomisma)</t>
        </is>
      </c>
      <c r="B9" s="26" t="inlineStr">
        <is>
          <t>174.700 €</t>
        </is>
      </c>
      <c r="C9" s="26" t="inlineStr">
        <is>
          <t>134.400 €</t>
        </is>
      </c>
    </row>
    <row r="10">
      <c r="A10" s="9" t="inlineStr">
        <is>
          <t>Rendita catastale</t>
        </is>
      </c>
      <c r="B10" s="26" t="inlineStr">
        <is>
          <t>400 €</t>
        </is>
      </c>
      <c r="C10" s="26" t="inlineStr">
        <is>
          <t>308 €</t>
        </is>
      </c>
    </row>
    <row r="11">
      <c r="A11" s="9" t="inlineStr">
        <is>
          <t>IMU all'1,06%</t>
        </is>
      </c>
      <c r="B11" s="26" t="inlineStr">
        <is>
          <t>712 €</t>
        </is>
      </c>
      <c r="C11" s="26" t="inlineStr">
        <is>
          <t>548 €</t>
        </is>
      </c>
    </row>
    <row r="12">
      <c r="A12" s="9" t="inlineStr">
        <is>
          <t>Prezzo medio a notte, pulizie escluse</t>
        </is>
      </c>
      <c r="B12" s="26" t="inlineStr">
        <is>
          <t>100 €</t>
        </is>
      </c>
      <c r="C12" s="26" t="inlineStr">
        <is>
          <t>90 €</t>
        </is>
      </c>
    </row>
    <row r="13">
      <c r="A13" s="9" t="inlineStr">
        <is>
          <t>Costi fissi annui, valore centrale</t>
        </is>
      </c>
      <c r="B13" s="26" t="inlineStr">
        <is>
          <t>7.537 €</t>
        </is>
      </c>
      <c r="C13" s="26" t="inlineStr">
        <is>
          <t>7.373 €</t>
        </is>
      </c>
    </row>
    <row r="14">
      <c r="A14" s="9" t="inlineStr">
        <is>
          <t>Canone lungo di confronto</t>
        </is>
      </c>
      <c r="B14" s="26" t="inlineStr">
        <is>
          <t>750 €/mese</t>
        </is>
      </c>
      <c r="C14" s="26" t="inlineStr">
        <is>
          <t>650 €/mese</t>
        </is>
      </c>
    </row>
    <row r="15">
      <c r="A15" s="9" t="inlineStr">
        <is>
          <t>Capitale complessivamente impiegato</t>
        </is>
      </c>
      <c r="B15" s="26" t="inlineStr">
        <is>
          <t>204.830 €</t>
        </is>
      </c>
      <c r="C15" s="26" t="inlineStr">
        <is>
          <t>162.012 €</t>
        </is>
      </c>
    </row>
    <row r="16"/>
    <row r="17" ht="45" customHeight="1">
      <c r="A17" s="7" t="inlineStr">
        <is>
          <t>Per passare alla variante «città media» basta cambiare quattro celle gialle del foglio 1: prezzo di rogito, rendita catastale, prezzo a notte e — nel foglio 4 — canone mensile. I costi fissi si adeguano quasi da soli, perché l'unica voce che dipende dall'immobile è l'IMU.</t>
        </is>
      </c>
    </row>
    <row r="18" ht="75" customHeight="1">
      <c r="A18" s="7" t="inlineStr">
        <is>
          <t>Sulla rendita catastale, una nota di trasparenza. Il dossier costi dà due derivazioni: dalle statistiche catastali dell'Agenzia delle Entrate una rendita di 300-450 € per un bilocale di 50-55 mq, e dallo studio OMI sul rapporto fra valore di mercato e base catastale una stima centrale di 458 € su un immobile da 200.000 €. Il default di questo foglio è 400 €, che è la rendita coerente col rogito effettivo di 174.700 € una volta applicata la regola del 38,5%. Se il tuo immobile ha una rendita più alta, scrivila: ogni 50 € di rendita in più sono circa 89 € di IMU in più all'anno.</t>
        </is>
      </c>
    </row>
    <row r="19"/>
    <row r="20">
      <c r="A20" s="8" t="inlineStr">
        <is>
          <t>FONTI — norme, prassi e dati</t>
        </is>
      </c>
    </row>
    <row r="21" ht="78" customHeight="1">
      <c r="A21" s="9" t="inlineStr">
        <is>
          <t>Cedolare secca 21% e base imponibile</t>
        </is>
      </c>
      <c r="B21" s="27" t="inlineStr">
        <is>
          <t>Istruzioni al modello 730/2026, Quadro B (agg. 28/05/2026): nel corrispettivo lordo è inclusa «la provvigione dovuta all'intermediario SE è trattenuta dall'intermediario sul canone dovuto al locatore». Colonna 6: l'importo da indicare è pari al 100% del corrispettivo lordo. Esempio numerico in circolare 24/E del 12/10/2017, p. 14: provvigione 80 €, canone 1.000 € → base 1.080 €, ritenuta 227 €. La condizione conta: se l'intermediario addebita la provvigione all'ospite e tu non la ribalti, non entra nel lordo.</t>
        </is>
      </c>
    </row>
    <row r="22" ht="30" customHeight="1">
      <c r="A22" s="9" t="inlineStr">
        <is>
          <t>Aliquota 21% e limite dei quattro immobili</t>
        </is>
      </c>
      <c r="B22" s="27" t="inlineStr">
        <is>
          <t>regime vigente 2026: 21% sul primo immobile destinato al breve, 26% dal secondo al quarto</t>
        </is>
      </c>
    </row>
    <row r="23" ht="65" customHeight="1">
      <c r="A23" s="9" t="inlineStr">
        <is>
          <t>IMU — base imponibile</t>
        </is>
      </c>
      <c r="B23" s="27" t="inlineStr">
        <is>
          <t>L. 160/2019 art. 1 c. 745: rendita rivalutata del 5% per il moltiplicatore 160, in pratica rendita × 168. Aliquota massima 1,06% (c. 754), applicabile ai fabbricati «tenuti a disposizione»: poiché i contratti brevi non si registrano, l'immobile ci rientra. Dal 2025 i Comuni possono differenziare solo sulle fattispecie dell'Allegato A al D.M. 07/07/2023: nessuno può creare un'aliquota dedicata agli affitti brevi.</t>
        </is>
      </c>
    </row>
    <row r="24" ht="65" customHeight="1">
      <c r="A24" s="9" t="inlineStr">
        <is>
          <t>Commissioni delle piattaforme</t>
        </is>
      </c>
      <c r="B24" s="27" t="inlineStr">
        <is>
          <t>18,5% IVA inclusa, media fra Booking (~18,3%) e Airbnb (~18,9%) dopo il passaggio al modello host-only, completato nell'ultima ondata del 13/10/2026. Airbnb dichiara che «la maggior parte degli host paga il 15,5%, gli altri di solito versano tra il 14% e il 16%»; l'IVA italiana al 22% si applica a chi non fornisce partita IVA. La commissione si calcola su una base che include la fee di pulizia.</t>
        </is>
      </c>
    </row>
    <row r="25" ht="65" customHeight="1">
      <c r="A25" s="9" t="inlineStr">
        <is>
          <t>Notti vendute e occupancy</t>
        </is>
      </c>
      <c r="B25" s="27" t="inlineStr">
        <is>
          <t>AirROI, misurazione per annuncio su 11 città medie. Definizione ufficiale di occupancy (AirDNA): notti prenotate su notti in cui l'annuncio era attivo, non sull'anno solare. Nel campione le notti disponibili sono in media 246, non 365. Fonte a metodo non pubblicato: è il fondamento più fragile del modello, e va detto. Contro-verifica indipendente: ART-ER per l'Emilia-Romagna, più solida ma regionale e prudente per costruzione.</t>
        </is>
      </c>
    </row>
    <row r="26" ht="30" customHeight="1">
      <c r="A26" s="9" t="inlineStr">
        <is>
          <t>Soggiorno medio 3,7 notti</t>
        </is>
      </c>
      <c r="B26" s="27" t="inlineStr">
        <is>
          <t>CleanBnB 2025: 135.414 soggiorni su 3.115 appartamenti = 43,5 check-in l'anno. Coerente col paniere AirROI (Verona 3,2 · Bergamo 3,5 · Trieste 3,9 · Rimini 4,9)</t>
        </is>
      </c>
    </row>
    <row r="27" ht="39" customHeight="1">
      <c r="A27" s="9" t="inlineStr">
        <is>
          <t>Costo delle pulizie</t>
        </is>
      </c>
      <c r="B27" s="27" t="inlineStr">
        <is>
          <t>67 € pagati a turnover, biancheria inclusa, a tariffa oraria di contratto (Decreto direttoriale Min. Lavoro n. 25 del 30/03/2026); 62 € incassati dall'ospite. Il costo del dossier (52-83 €) include già la biancheria: contare a parte i consumabili sarebbe doppio conteggio.</t>
        </is>
      </c>
    </row>
    <row r="28" ht="39" customHeight="1">
      <c r="A28" s="9" t="inlineStr">
        <is>
          <t>Manutenzione e rinnovo arredi</t>
        </is>
      </c>
      <c r="B28" s="27" t="inlineStr">
        <is>
          <t>D.M. 31/12/1988 Gruppo XIX (alberghi): mobili 10% l'anno, biancheria 40%, stoviglie 25%. Nelle categorie non ricettive biancheria e stoviglie non esistono nemmeno come voci: dal 1988 il fisco riconosce che l'ospitalità a rotazione consuma classi di beni che l'affitto lungo non tocca.</t>
        </is>
      </c>
    </row>
    <row r="29" ht="39" customHeight="1">
      <c r="A29" s="9" t="inlineStr">
        <is>
          <t>Margini del settore</t>
        </is>
      </c>
      <c r="B29" s="27" t="inlineStr">
        <is>
          <t>CleanBnB SpA (EGM:CBB), bilancio revisionato: take rate implicito 38,4% del gross booking post-OTA, ma EBITDA margin 5,4% e margine netto 0,6% nel 2025, H1 in perdita, costi per servizi all'81% dei ricavi</t>
        </is>
      </c>
    </row>
    <row r="30" ht="78" customHeight="1">
      <c r="A30" s="9" t="inlineStr">
        <is>
          <t>Canoni dell'affitto lungo</t>
        </is>
      </c>
      <c r="B30" s="27" t="inlineStr">
        <is>
          <t>OMI 2° semestre 2025, contratti registrati AdE 2025, Tecnocasa, Nomisma. Benchmark solido dei contratti 4+4 registrati in Italia: 6,79 €/mq/mese su 409.986 contratti (AdE, Rapporto Immobiliare 2026). Rendimenti lordi da affitto lungo della SOLA zona centrale: Verona 3,95% · Rimini 4,54% · Lucca 4,60% · Bergamo 5,03% · Trieste 5,17%, contro medie cittadine del 5,41-6,93%. Nei centri turistici il lungo rende poco perché il prezzo ha già incorporato l'aspettativa del breve.</t>
        </is>
      </c>
    </row>
    <row r="31" ht="30" customHeight="1">
      <c r="A31" s="9" t="inlineStr">
        <is>
          <t>Sconto in trattativa</t>
        </is>
      </c>
      <c r="B31" s="27" t="inlineStr">
        <is>
          <t>Nomisma: divario medio del 10,4% fra prezzo richiesto e prezzo di rogito</t>
        </is>
      </c>
    </row>
    <row r="32" ht="91" customHeight="1">
      <c r="A32" s="9" t="inlineStr">
        <is>
          <t>Identificazione degli ospiti e keybox</t>
        </is>
      </c>
      <c r="B32" s="27" t="inlineStr">
        <is>
          <t>art. 109 TULPS e art. 19-bis c. 1 D.L. 113/2018 conv. L. 132/2018; circolare Min. Interno prot. 0038138 del 18/11/2024, n. 557/ST/221.3.1.0. TAR Lazio Sez. I Ter n. 10210/2025 (dep. 27/05/2025) · Consiglio di Stato Sez. III 21/11/2025, che qualifica la circolare «di portata non innovativa» · TAR Toscana Sez. I n. 919/2026 (dep. 14/05/2026), che ammette l'identificazione con riscontro visivo in tempo reale e valida il divieto di keybox di Firenze. Milano: art. 90 del Regolamento di polizia urbana in vigore da gennaio 2026, sanzione 100-400 € e rimozione coattiva. La violazione dell'art. 109 è contravvenzione penale ex art. 17 TULPS, non depenalizzata.</t>
        </is>
      </c>
    </row>
    <row r="33" ht="39" customHeight="1">
      <c r="A33" s="9" t="inlineStr">
        <is>
          <t>Stagionalità</t>
        </is>
      </c>
      <c r="B33" s="27" t="inlineStr">
        <is>
          <t>ISTAT: luglio e agosto valgono circa il 35% delle presenze annue in poco più del 16% del calendario. AirROI, rapporto fra ricavo di picco e di minimo: Lucca 4,0x · Rimini 3,8x · Verona 2,0x. A Rimini l'occupancy di agosto è il 59,5%.</t>
        </is>
      </c>
    </row>
    <row r="34" ht="39" customHeight="1">
      <c r="A34" s="9" t="inlineStr">
        <is>
          <t>Confronto finanziario (nel video, non in questo foglio)</t>
        </is>
      </c>
      <c r="B34" s="27" t="inlineStr">
        <is>
          <t>portafoglio 60/40 al 3% reale (DMS Yearbook 2023), inflazione 2%, imposta di bollo 0,2% (D.Lgs. 123/2025), 26% sulla plusvalenza finanziaria (D.L. 66/2014 art. 3), plusvalenza immobiliare esente oltre i 5 anni, arredo con valore di realizzo al 30% a dieci anni</t>
        </is>
      </c>
    </row>
    <row r="35"/>
    <row r="36">
      <c r="A36" s="8" t="inlineStr">
        <is>
          <t>QUELLO CHE QUESTO FOGLIO NON SA</t>
        </is>
      </c>
    </row>
    <row r="37" ht="30" customHeight="1">
      <c r="A37" s="7" t="inlineStr">
        <is>
          <t>1. Le notti vendute vengono da un osservatorio a metodo non pubblicato. È il numero che decide tutto: se fossero sottostimate del 30%, il caso base passerebbe da −2.967 € a circa −700 €. Se hai un dato tuo, usa quello.</t>
        </is>
      </c>
    </row>
    <row r="38" ht="30" customHeight="1">
      <c r="A38" s="7" t="inlineStr">
        <is>
          <t>2. Il tasso del mutuo (3,70% sul seconda casa) e il costo dell'arredo (16.000 €, con una forbice reale di 4.250-26.000 €) sono ipotesi senza fonte primaria.</t>
        </is>
      </c>
    </row>
    <row r="39" ht="30" customHeight="1">
      <c r="A39" s="7" t="inlineStr">
        <is>
          <t>3. Il contenuto dell'art. 207 del nuovo Testo unico non è stato letto: alla data di questo foglio non è consultabile sulla banca dati ufficiale. Qui si dice solo che la norma trasloca, non che cosa dirà.</t>
        </is>
      </c>
    </row>
    <row r="40" ht="30" customHeight="1">
      <c r="A40" s="7" t="inlineStr">
        <is>
          <t>4. Il foglio calcola un anno di gestione a regime. Non contiene i costi d'acquisto (circa 13.830 € fra imposte e notaio), l'arredo iniziale, né il confronto a dieci anni con un portafoglio finanziario: quello sta nel video.</t>
        </is>
      </c>
    </row>
    <row r="41" ht="30" customHeight="1">
      <c r="A41" s="7" t="inlineStr">
        <is>
          <t>5. Se l'immobile ce l'hai già, questo foglio ti serve ancora — ma la domanda cambia: non è «comprare o no», è «breve, lungo o vendere». I costi d'acquisto sono sommersi e non tornano nel conto.</t>
        </is>
      </c>
    </row>
  </sheetData>
  <mergeCells count="27">
    <mergeCell ref="A41:C41"/>
    <mergeCell ref="B25:C25"/>
    <mergeCell ref="A37:C37"/>
    <mergeCell ref="A18:C18"/>
    <mergeCell ref="B22:C22"/>
    <mergeCell ref="A3:C3"/>
    <mergeCell ref="B31:C31"/>
    <mergeCell ref="B27:C27"/>
    <mergeCell ref="A2:C2"/>
    <mergeCell ref="B21:C21"/>
    <mergeCell ref="A5:C5"/>
    <mergeCell ref="A17:C17"/>
    <mergeCell ref="B23:C23"/>
    <mergeCell ref="A20:C20"/>
    <mergeCell ref="A38:C38"/>
    <mergeCell ref="B29:C29"/>
    <mergeCell ref="B34:C34"/>
    <mergeCell ref="B28:C28"/>
    <mergeCell ref="A40:C40"/>
    <mergeCell ref="A39:C39"/>
    <mergeCell ref="B24:C24"/>
    <mergeCell ref="B30:C30"/>
    <mergeCell ref="A36:C36"/>
    <mergeCell ref="B33:C33"/>
    <mergeCell ref="A1:C1"/>
    <mergeCell ref="B32:C32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2026-08-15T14:23:01Z</dcterms:created>
  <dcterms:modified xmlns:dcterms="http://purl.org/dc/terms/" xmlns:xsi="http://www.w3.org/2001/XMLSchema-instance" xsi:type="dcterms:W3CDTF">2026-08-15T14:23:01Z</dcterms:modified>
</cp:coreProperties>
</file>