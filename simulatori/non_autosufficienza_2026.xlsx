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Indice" sheetId="1" state="visible" r:id="rId1"/>
    <sheet xmlns:r="http://schemas.openxmlformats.org/officeDocument/2006/relationships" name="1 - IL TUO CASO" sheetId="2" state="visible" r:id="rId2"/>
    <sheet xmlns:r="http://schemas.openxmlformats.org/officeDocument/2006/relationships" name="2 - COSTI" sheetId="3" state="visible" r:id="rId3"/>
    <sheet xmlns:r="http://schemas.openxmlformats.org/officeDocument/2006/relationships" name="3 - COPERTURE" sheetId="4" state="visible" r:id="rId4"/>
    <sheet xmlns:r="http://schemas.openxmlformats.org/officeDocument/2006/relationships" name="4 - CAPITALE EXTRA" sheetId="5" state="visible" r:id="rId5"/>
    <sheet xmlns:r="http://schemas.openxmlformats.org/officeDocument/2006/relationships" name="5 - MATRICE" sheetId="6" state="visible" r:id="rId6"/>
  </sheets>
  <definedNames/>
  <calcPr calcId="124519" fullCalcOnLoad="1"/>
</workbook>
</file>

<file path=xl/styles.xml><?xml version="1.0" encoding="utf-8"?>
<styleSheet xmlns="http://schemas.openxmlformats.org/spreadsheetml/2006/main">
  <numFmts count="4">
    <numFmt numFmtId="164" formatCode="#,##0&quot; €&quot;"/>
    <numFmt numFmtId="165" formatCode="0.0%"/>
    <numFmt numFmtId="166" formatCode="#,##0.00&quot; €&quot;"/>
    <numFmt numFmtId="167" formatCode="0.0000"/>
  </numFmts>
  <fonts count="8">
    <font>
      <name val="Calibri"/>
      <family val="2"/>
      <color theme="1"/>
      <sz val="11"/>
      <scheme val="minor"/>
    </font>
    <font>
      <name val="Calibri"/>
      <b val="1"/>
      <color rgb="001E40AF"/>
      <sz val="16"/>
    </font>
    <font>
      <name val="Calibri"/>
      <i val="1"/>
      <color rgb="00991B1B"/>
      <sz val="10"/>
    </font>
    <font>
      <name val="Calibri"/>
      <b val="1"/>
      <sz val="14"/>
    </font>
    <font>
      <name val="Calibri"/>
      <b val="1"/>
      <sz val="11"/>
    </font>
    <font>
      <name val="Calibri"/>
      <sz val="11"/>
    </font>
    <font>
      <name val="Calibri"/>
      <i val="1"/>
      <color rgb="00666666"/>
      <sz val="9"/>
    </font>
    <font>
      <name val="Calibri"/>
      <b val="1"/>
      <color rgb="00FFFFFF"/>
      <sz val="13"/>
    </font>
  </fonts>
  <fills count="8">
    <fill>
      <patternFill/>
    </fill>
    <fill>
      <patternFill patternType="gray125"/>
    </fill>
    <fill>
      <patternFill patternType="solid">
        <fgColor rgb="00FEE2E2"/>
      </patternFill>
    </fill>
    <fill>
      <patternFill patternType="solid">
        <fgColor rgb="001E40AF"/>
      </patternFill>
    </fill>
    <fill>
      <patternFill patternType="solid">
        <fgColor rgb="00FFF59D"/>
      </patternFill>
    </fill>
    <fill>
      <patternFill patternType="solid">
        <fgColor rgb="00FAFAFA"/>
      </patternFill>
    </fill>
    <fill>
      <patternFill patternType="solid">
        <fgColor rgb="00C8E6C9"/>
      </patternFill>
    </fill>
    <fill>
      <patternFill patternType="solid">
        <fgColor rgb="00DBEAF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horizontal="center" vertical="center" wrapText="1"/>
    </xf>
    <xf numFmtId="0" fontId="4" fillId="0" borderId="1" applyAlignment="1" pivotButton="0" quotePrefix="0" xfId="0">
      <alignment horizontal="left" vertical="center" wrapText="1"/>
    </xf>
    <xf numFmtId="1" fontId="5" fillId="4" borderId="1" applyAlignment="1" pivotButton="0" quotePrefix="0" xfId="0">
      <alignment horizontal="right" vertical="center"/>
    </xf>
    <xf numFmtId="164" fontId="5" fillId="4" borderId="1" applyAlignment="1" pivotButton="0" quotePrefix="0" xfId="0">
      <alignment horizontal="right" vertical="center"/>
    </xf>
    <xf numFmtId="10" fontId="5" fillId="4" borderId="1" applyAlignment="1" pivotButton="0" quotePrefix="0" xfId="0">
      <alignment horizontal="right" vertical="center"/>
    </xf>
    <xf numFmtId="9" fontId="5" fillId="4" borderId="1" applyAlignment="1" pivotButton="0" quotePrefix="0" xfId="0">
      <alignment horizontal="right" vertical="center"/>
    </xf>
    <xf numFmtId="0" fontId="6" fillId="5" borderId="0" applyAlignment="1" pivotButton="0" quotePrefix="0" xfId="0">
      <alignment horizontal="left" vertical="center" wrapText="1"/>
    </xf>
    <xf numFmtId="164" fontId="5" fillId="6" borderId="1" applyAlignment="1" pivotButton="0" quotePrefix="0" xfId="0">
      <alignment horizontal="right" vertical="center"/>
    </xf>
    <xf numFmtId="165" fontId="5" fillId="6" borderId="1" applyAlignment="1" pivotButton="0" quotePrefix="0" xfId="0">
      <alignment horizontal="right" vertical="center"/>
    </xf>
    <xf numFmtId="1" fontId="5" fillId="6" borderId="1" applyAlignment="1" pivotButton="0" quotePrefix="0" xfId="0">
      <alignment horizontal="right" vertical="center"/>
    </xf>
    <xf numFmtId="0" fontId="4" fillId="7" borderId="1" applyAlignment="1" pivotButton="0" quotePrefix="0" xfId="0">
      <alignment horizontal="center" vertical="center" wrapText="1"/>
    </xf>
    <xf numFmtId="166" fontId="5" fillId="4" borderId="1" applyAlignment="1" pivotButton="0" quotePrefix="0" xfId="0">
      <alignment horizontal="right" vertical="center"/>
    </xf>
    <xf numFmtId="3" fontId="5" fillId="6" borderId="1" applyAlignment="1" pivotButton="0" quotePrefix="0" xfId="0">
      <alignment horizontal="right" vertical="center"/>
    </xf>
    <xf numFmtId="166" fontId="5" fillId="6" borderId="1" applyAlignment="1" pivotButton="0" quotePrefix="0" xfId="0">
      <alignment horizontal="right" vertical="center"/>
    </xf>
    <xf numFmtId="9" fontId="5" fillId="6" borderId="1" applyAlignment="1" pivotButton="0" quotePrefix="0" xfId="0">
      <alignment horizontal="right" vertical="center"/>
    </xf>
    <xf numFmtId="10" fontId="5" fillId="6" borderId="1" applyAlignment="1" pivotButton="0" quotePrefix="0" xfId="0">
      <alignment horizontal="right" vertical="center"/>
    </xf>
    <xf numFmtId="1" fontId="0" fillId="0" borderId="0" pivotButton="0" quotePrefix="0" xfId="0"/>
    <xf numFmtId="167" fontId="5"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30" customWidth="1" min="2" max="2"/>
  </cols>
  <sheetData>
    <row r="1" ht="32" customHeight="1">
      <c r="A1" s="1" t="inlineStr">
        <is>
          <t>Marco FIRE — Non autosufficienza 2026</t>
        </is>
      </c>
    </row>
    <row r="2" ht="32" customHeight="1">
      <c r="A2" s="2" t="inlineStr">
        <is>
          <t>Strumento informativo / divulgativo. NON è consulenza finanziaria. I valori sono indicativi al 2026 e vanno verificati col tuo consulente.</t>
        </is>
      </c>
    </row>
    <row r="4">
      <c r="A4" s="3" t="inlineStr">
        <is>
          <t>Indice</t>
        </is>
      </c>
    </row>
    <row r="5" ht="22" customHeight="1">
      <c r="A5" s="4" t="inlineStr">
        <is>
          <t>1 - IL TUO CASO</t>
        </is>
      </c>
      <c r="B5" s="5" t="inlineStr">
        <is>
          <t>Esborso netto annuo e capitale extra necessario oggi</t>
        </is>
      </c>
    </row>
    <row r="6" ht="22" customHeight="1">
      <c r="A6" s="4" t="inlineStr">
        <is>
          <t>2 - COSTI</t>
        </is>
      </c>
      <c r="B6" s="5" t="inlineStr">
        <is>
          <t>Ore, badante convivente e RSA: da dove nasce ogni numero</t>
        </is>
      </c>
    </row>
    <row r="7" ht="22" customHeight="1">
      <c r="A7" s="4" t="inlineStr">
        <is>
          <t>3 - COPERTURE</t>
        </is>
      </c>
      <c r="B7" s="5" t="inlineStr">
        <is>
          <t>Indennita', quota sanitaria, detrazioni, deduzioni, ISEE</t>
        </is>
      </c>
    </row>
    <row r="8" ht="22" customHeight="1">
      <c r="A8" s="4" t="inlineStr">
        <is>
          <t>4 - CAPITALE EXTRA</t>
        </is>
      </c>
      <c r="B8" s="5" t="inlineStr">
        <is>
          <t>Il conto anno per anno, in valore di oggi</t>
        </is>
      </c>
    </row>
    <row r="9" ht="22" customHeight="1">
      <c r="A9" s="4" t="inlineStr">
        <is>
          <t>5 - MATRICE</t>
        </is>
      </c>
      <c r="B9" s="5" t="inlineStr">
        <is>
          <t>Durata per configurazione, e polizza vs auto-assicurazione</t>
        </is>
      </c>
    </row>
    <row r="11">
      <c r="A11" s="3" t="inlineStr">
        <is>
          <t>Come usare</t>
        </is>
      </c>
    </row>
    <row r="12">
      <c r="A12" s="5" t="inlineStr">
        <is>
          <t>1. Le celle GIALLE sono input — modificale coi tuoi numeri.</t>
        </is>
      </c>
    </row>
    <row r="13">
      <c r="A13" s="5" t="inlineStr">
        <is>
          <t>2. Le celle VERDI sono output — si aggiornano automaticamente.</t>
        </is>
      </c>
    </row>
    <row r="14">
      <c r="A14" s="5" t="inlineStr">
        <is>
          <t>3. Tutti i numeri di default sono al 2026 da fonti pubbliche.</t>
        </is>
      </c>
    </row>
    <row r="15">
      <c r="A15" s="5" t="inlineStr">
        <is>
          <t>4. Niente codice nascosto: l'Excel è solo formule modificabili.</t>
        </is>
      </c>
    </row>
    <row r="17">
      <c r="A17" s="3" t="inlineStr">
        <is>
          <t>Fonti dati</t>
        </is>
      </c>
    </row>
    <row r="18">
      <c r="A18" s="5" t="inlineStr">
        <is>
          <t>• INPS — messaggio n. 628 del 23 febbraio 2026, che rettifica le tabelle M.1, M.2 e M.3 dell'allegato 2 alla circolare INPS n. 153 del 19 dicembre 2025: indennita' di accompagnamento 2026 pari a 551,53 euro al mese per 12 mensilita' (6.618,36 euro l'anno), senza limiti di reddito</t>
        </is>
      </c>
    </row>
    <row r="19">
      <c r="A19" s="5" t="inlineStr">
        <is>
          <t>• DPCM 12 gennaio 2017 «Definizione e aggiornamento dei livelli essenziali di assistenza» (Gazzetta Ufficiale n. 65 del 18 marzo 2017, S.O. n. 15), art. 30: i trattamenti di lungoassistenza agli anziani non autosufficienti sono a carico del Servizio sanitario nazionale per una quota pari al 50% della tariffa giornaliera; i trattamenti estensivi (max 60 giorni) e quelli a elevato impegno sanitario (art. 29 c.3) sono interamente a carico del SSN</t>
        </is>
      </c>
    </row>
    <row r="20">
      <c r="A20" s="5" t="inlineStr">
        <is>
          <t>• Altroconsumo — inchiesta sulle RSA pubblicata il 28 aprile 2026 su 594 famiglie: retta media 2.031 euro al mese piu' 108 euro di extra; Nord 2.306, Sud e Isole 1.630; attesa media di 115 giorni</t>
        </is>
      </c>
    </row>
    <row r="21">
      <c r="A21" s="5" t="inlineStr">
        <is>
          <t>• FNP CISL Lombardia — «Non autosufficienza e RSA, Rapporto Lombardia» n. 1/2026 (dati al 31 dicembre 2025): retta media a carico della famiglia 76,02 euro al giorno, pari a 2.312 euro al mese e 27.747 euro l'anno; ATS Milano 92,52 euro al giorno; posti solventi 91,40 euro al giorno; 121.830 domande in lista d'attesa</t>
        </is>
      </c>
    </row>
    <row r="22">
      <c r="A22" s="5" t="inlineStr">
        <is>
          <t>• ISTAT — «Le strutture residenziali socio-assistenziali e socio-sanitarie al 1° gennaio 2024», pubblicato il 13 gennaio 2026: 12.987 presidi, 425.780 posti letto, quasi 239.000 ospiti anziani non autosufficienti; posti letto per mille anziani residenti da 32 nel Nord-est a 6 nel Sud. L'ISTAT non rileva le rette</t>
        </is>
      </c>
    </row>
    <row r="23">
      <c r="A23" s="5" t="inlineStr">
        <is>
          <t>• Cergas SDA Bocconi — Rapporto OASI 2025 cap. 5 e 8° Rapporto dell'Osservatorio Long Term Care (6 maggio 2026): 4.027.488 over 65 non autosufficienti; le RSA coprono l'8% del bisogno, l'assistenza domiciliare integrata il 31% ma con 14 ore all'anno per caso; eta' media di ingresso in RSA 83,8 anni e degenza media 340 giorni; spesa pubblica per la long term care 1,61% del PIL nel 2024, componente over 65 all'1,18% contro l'1,43% del 2020</t>
        </is>
      </c>
    </row>
    <row r="24">
      <c r="A24" s="5" t="inlineStr">
        <is>
          <t>• ISTAT — Rapporto BES 2024, dominio Salute (novembre 2025): a 65 anni la speranza di vita senza limitazioni e' di 10,4 anni; gli uomini hanno 19,8 anni attesi di cui 10,6 senza limitazioni, le donne 22,6 di cui 10,3</t>
        </is>
      </c>
    </row>
    <row r="25">
      <c r="A25" s="5" t="inlineStr">
        <is>
          <t>• CCNL sulla disciplina del rapporto di lavoro domestico (rinnovo del 28 ottobre 2025) — tabelle retributive 2026 approvate dalla Commissione nazionale l'11 febbraio 2026 con decorrenza 1° gennaio 2026 (+1,00%): livello C super convivente 1.193,84 euro al mese, D super 1.682,42; non conviventi C super 8,30 euro l'ora; indennita' di vitto e alloggio 6,66 euro al giorno per 30 giorni (art. 36)</t>
        </is>
      </c>
    </row>
    <row r="26">
      <c r="A26" s="5" t="inlineStr">
        <is>
          <t>• INPS — circolare n. 9 del 3 febbraio 2026 sui contributi del lavoro domestico 2026: per orario superiore a 24 ore settimanali, tempo indeterminato con CUAF, 1,24 euro l'ora di cui 0,31 a carico del lavoratore</t>
        </is>
      </c>
    </row>
    <row r="27">
      <c r="A27" s="5" t="inlineStr">
        <is>
          <t>• Agenzia delle Entrate — guide 2026 «Altre detrazioni e deduzioni», «Contributi previdenziali e assistenziali» e «Spese sanitarie»: detrazione 19% su massimo 2.100 euro per addetti all'assistenza personale, che si azzera sopra 40.000 euro di reddito complessivo; deduzione dei contributi fino a 1.549,37 euro; deduzione integrale delle spese di assistenza specifica, per le rette solo sulla parte indicata distintamente dall'istituto; detrazione 19% dei premi per il rischio di non autosufficienza su massimo 1.291,14 euro</t>
        </is>
      </c>
    </row>
    <row r="28">
      <c r="A28" s="5" t="inlineStr">
        <is>
          <t>• DPCM 5 dicembre 2013 n. 159 art. 6 — ISEE socio-sanitario e, al comma 3, regole specifiche per le prestazioni residenziali a ciclo continuativo; DPCM 14 gennaio 2025 n. 13 — esclusione dal patrimonio mobiliare di titoli di Stato, buoni fruttiferi e libretti postali fino a 50.000 euro per nucleo; L. 199/2025 art. 1 c. 208 e messaggio INPS n. 102 del 12 gennaio 2026 — la nuova franchigia sulla prima casa vale solo per cinque prestazioni e NON per le RSA</t>
        </is>
      </c>
    </row>
    <row r="29">
      <c r="A29" s="5" t="inlineStr">
        <is>
          <t>• D.Lgs. 29/2024 e decreto interministeriale 21 febbraio 2025 — prestazione universale sperimentale 2025-2026: quota integrativa fino a 850 euro al mese per over 80 con bisogno assistenziale gravissimo, titolari di indennita' di accompagnamento e con ISEE sociosanitario fino a 6.000 euro</t>
        </is>
      </c>
    </row>
    <row r="30">
      <c r="A30" s="5" t="inlineStr">
        <is>
          <t>• Banca d'Italia — intervento all'Assemblea annuale ANIA del 2 luglio 2025: i premi delle polizze long term care in Italia valgono poco piu' di 350 milioni di euro, contro 150 miliardi di raccolta premi complessiva</t>
        </is>
      </c>
    </row>
    <row r="32">
      <c r="A32" s="6" t="inlineStr">
        <is>
          <t>Aggiornamenti: github.com/marcofire-it/marco-fire-simulatori</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4" customWidth="1" min="1" max="1"/>
    <col width="18" customWidth="1" min="2" max="2"/>
    <col width="4" customWidth="1" min="3" max="3"/>
    <col width="42" customWidth="1" min="4" max="4"/>
    <col width="18" customWidth="1" min="5" max="5"/>
    <col width="18" customWidth="1" min="6" max="6"/>
  </cols>
  <sheetData>
    <row r="1" ht="25" customHeight="1">
      <c r="A1" s="1" t="inlineStr">
        <is>
          <t>Il rischio non autosufficienza dentro il tuo piano</t>
        </is>
      </c>
    </row>
    <row r="2" ht="32" customHeight="1">
      <c r="A2" s="2" t="inlineStr">
        <is>
          <t>Strumento informativo / divulgativo. NON è consulenza finanziaria. I valori sono indicativi al 2026 e vanno verificati col tuo consulente.</t>
        </is>
      </c>
    </row>
    <row r="4">
      <c r="A4" s="7" t="inlineStr">
        <is>
          <t>INPUT — cambia solo le celle gialle</t>
        </is>
      </c>
    </row>
    <row r="5">
      <c r="A5" s="8" t="inlineStr">
        <is>
          <t>La tua eta' oggi</t>
        </is>
      </c>
      <c r="B5" s="9" t="n">
        <v>60</v>
      </c>
    </row>
    <row r="6">
      <c r="A6" s="8" t="inlineStr">
        <is>
          <t>Capitale finanziario che hai oggi (€)</t>
        </is>
      </c>
      <c r="B6" s="10" t="n">
        <v>400000</v>
      </c>
    </row>
    <row r="7">
      <c r="A7" s="8" t="inlineStr">
        <is>
          <t>Rendimento REALE netto atteso del portafoglio (%)</t>
        </is>
      </c>
      <c r="B7" s="11" t="n">
        <v>0.015</v>
      </c>
    </row>
    <row r="8">
      <c r="A8" s="8" t="inlineStr">
        <is>
          <t>Eta' ipotizzata di ingresso in non autosufficienza</t>
        </is>
      </c>
      <c r="B8" s="9" t="n">
        <v>84</v>
      </c>
    </row>
    <row r="9">
      <c r="A9" s="8" t="inlineStr">
        <is>
          <t>Anni di assistenza ipotizzati</t>
        </is>
      </c>
      <c r="B9" s="9" t="n">
        <v>5</v>
      </c>
    </row>
    <row r="10">
      <c r="A10" s="8" t="inlineStr">
        <is>
          <t>Configurazione: 1 = a ore   2 = badante convivente   3 = RSA</t>
        </is>
      </c>
      <c r="B10" s="9" t="n">
        <v>3</v>
      </c>
    </row>
    <row r="11">
      <c r="A11" s="8" t="inlineStr">
        <is>
          <t>Area: 1 = Nord   2 = Centro   3 = Sud e Isole</t>
        </is>
      </c>
      <c r="B11" s="9" t="n">
        <v>1</v>
      </c>
    </row>
    <row r="12">
      <c r="A12" s="8" t="inlineStr">
        <is>
          <t>Crescita REALE annua del costo dell'assistenza (%)</t>
        </is>
      </c>
      <c r="B12" s="11" t="n">
        <v>0.01</v>
      </c>
    </row>
    <row r="13">
      <c r="A13" s="8" t="inlineStr">
        <is>
          <t>Aliquota marginale IRPEF di chi paga (%)</t>
        </is>
      </c>
      <c r="B13" s="12" t="n">
        <v>0.33</v>
      </c>
    </row>
    <row r="14">
      <c r="A14" s="8" t="inlineStr">
        <is>
          <t>Reddito complessivo di chi paga (€)</t>
        </is>
      </c>
      <c r="B14" s="10" t="n">
        <v>35000</v>
      </c>
    </row>
    <row r="15" ht="30" customHeight="1">
      <c r="A15" s="13" t="inlineStr">
        <is>
          <t>Le celle 10 e 11 accettano solo 1, 2 o 3. L'eta' di ingresso di default e' 84 anni: l'eta' media di ingresso in RSA rilevata dall'Osservatorio Long Term Care della Bocconi e' 83,8 anni.</t>
        </is>
      </c>
    </row>
    <row r="17">
      <c r="A17" s="7" t="inlineStr">
        <is>
          <t>OUTPUT — il conto di un anno di assistenza</t>
        </is>
      </c>
    </row>
    <row r="18">
      <c r="A18" s="8" t="inlineStr">
        <is>
          <t>Costo mensile della configurazione scelta</t>
        </is>
      </c>
      <c r="B18" s="14">
        <f>INDEX('2 - COSTI'!$B$6:$D$8,$B$10,$B$11)</f>
        <v/>
      </c>
    </row>
    <row r="19">
      <c r="A19" s="8" t="inlineStr">
        <is>
          <t>Costo annuo</t>
        </is>
      </c>
      <c r="B19" s="14">
        <f>B18*12</f>
        <v/>
      </c>
    </row>
    <row r="20">
      <c r="A20" s="8" t="inlineStr">
        <is>
          <t>Coperture pubbliche e fiscali (foglio 3)</t>
        </is>
      </c>
      <c r="B20" s="14">
        <f>'3 - COPERTURE'!$B$34</f>
        <v/>
      </c>
    </row>
    <row r="21">
      <c r="A21" s="8" t="inlineStr">
        <is>
          <t>ESBORSO NETTO ANNUO DELLA FAMIGLIA</t>
        </is>
      </c>
      <c r="B21" s="14">
        <f>MAX(0,B19-B20)</f>
        <v/>
      </c>
    </row>
    <row r="22">
      <c r="A22" s="8" t="inlineStr">
        <is>
          <t>Quota della spesa coperta dal pubblico e dal fisco</t>
        </is>
      </c>
      <c r="B22" s="15">
        <f>IFERROR(B20/B19,0)</f>
        <v/>
      </c>
    </row>
    <row r="23">
      <c r="A23" s="8" t="inlineStr">
        <is>
          <t>Esborso netto mensile</t>
        </is>
      </c>
      <c r="B23" s="14">
        <f>B21/12</f>
        <v/>
      </c>
    </row>
    <row r="25">
      <c r="A25" s="7" t="inlineStr">
        <is>
          <t>OUTPUT — quanto capitale in piu' serve OGGI</t>
        </is>
      </c>
    </row>
    <row r="26">
      <c r="A26" s="8" t="inlineStr">
        <is>
          <t>Anni che mancano all'ingresso in non autosufficienza</t>
        </is>
      </c>
      <c r="B26" s="16">
        <f>MAX(0,B8-B5)</f>
        <v/>
      </c>
    </row>
    <row r="27">
      <c r="A27" s="8" t="inlineStr">
        <is>
          <t>CAPITALE EXTRA NECESSARIO OGGI (valore attuale)</t>
        </is>
      </c>
      <c r="B27" s="14">
        <f>'4 - CAPITALE EXTRA'!$B$10</f>
        <v/>
      </c>
    </row>
    <row r="28">
      <c r="A28" s="8" t="inlineStr">
        <is>
          <t>In percentuale sul capitale che hai oggi</t>
        </is>
      </c>
      <c r="B28" s="15">
        <f>IFERROR(B27/B6,0)</f>
        <v/>
      </c>
    </row>
    <row r="29">
      <c r="A29" s="8" t="inlineStr">
        <is>
          <t>Capitale che resta disponibile per il resto del piano</t>
        </is>
      </c>
      <c r="B29" s="14">
        <f>B6-B27</f>
        <v/>
      </c>
    </row>
    <row r="30">
      <c r="A30" s="8" t="inlineStr">
        <is>
          <t>Accantonamento mensile equivalente da qui all'ingresso</t>
        </is>
      </c>
      <c r="B30" s="14">
        <f>IF(B26&lt;=0,B27,IFERROR(B27*(1+B7)^B26*((1+B7)^(1/12)-1)/((1+B7)^B26-1),0))</f>
        <v/>
      </c>
    </row>
    <row r="32" ht="45" customHeight="1">
      <c r="A32" s="13" t="inlineStr">
        <is>
          <t>Come leggere il risultato. Il capitale extra non e' una spesa che farai di sicuro: e' il prezzo dell'assicurazione che ti fai da solo. Non tutti entrano in non autosufficienza e non tutti per lo stesso numero di anni. Questo foglio ti dice quanto costa mettere al riparo il piano dallo scenario che lo farebbe saltare, e lascia a te la decisione su quanto di quello scenario coprire.</t>
        </is>
      </c>
    </row>
    <row r="33" ht="45" customHeight="1">
      <c r="A33" s="13" t="inlineStr">
        <is>
          <t>Tutto e' in termini REALI, cioe' a valore di oggi: in B7 metti un rendimento gia' al netto di tasse e inflazione, e in B12 solo la crescita del costo dell'assistenza in ECCESSO rispetto all'inflazione. Cosi' non conti l'inflazione due volte, che e' l'errore piu' frequente in questo tipo di simulazioni.</t>
        </is>
      </c>
    </row>
  </sheetData>
  <mergeCells count="8">
    <mergeCell ref="A2:F2"/>
    <mergeCell ref="A33:F33"/>
    <mergeCell ref="A1:F1"/>
    <mergeCell ref="A32:F32"/>
    <mergeCell ref="A17:F17"/>
    <mergeCell ref="A4:F4"/>
    <mergeCell ref="A15:F15"/>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4" customWidth="1" min="1" max="1"/>
    <col width="18" customWidth="1" min="2" max="2"/>
    <col width="18" customWidth="1" min="3" max="3"/>
    <col width="18" customWidth="1" min="4" max="4"/>
    <col width="4" customWidth="1" min="5" max="5"/>
    <col width="30" customWidth="1" min="6" max="6"/>
  </cols>
  <sheetData>
    <row r="1" ht="25" customHeight="1">
      <c r="A1" s="1" t="inlineStr">
        <is>
          <t>Quanto costa l'assistenza nel 2026</t>
        </is>
      </c>
    </row>
    <row r="2" ht="32" customHeight="1">
      <c r="A2" s="2" t="inlineStr">
        <is>
          <t>Strumento informativo / divulgativo. NON è consulenza finanziaria. I valori sono indicativi al 2026 e vanno verificati col tuo consulente.</t>
        </is>
      </c>
    </row>
    <row r="4">
      <c r="A4" s="7" t="inlineStr">
        <is>
          <t>Riepilogo: costo mensile a carico della famiglia (€/mese)</t>
        </is>
      </c>
    </row>
    <row r="5">
      <c r="A5" s="17" t="inlineStr">
        <is>
          <t>Configurazione</t>
        </is>
      </c>
      <c r="B5" s="17" t="inlineStr">
        <is>
          <t>Nord</t>
        </is>
      </c>
      <c r="C5" s="17" t="inlineStr">
        <is>
          <t>Centro</t>
        </is>
      </c>
      <c r="D5" s="17" t="inlineStr">
        <is>
          <t>Sud e Isole</t>
        </is>
      </c>
    </row>
    <row r="6">
      <c r="A6" s="8" t="inlineStr">
        <is>
          <t>1 — Assistenza a ore (non convivente)</t>
        </is>
      </c>
      <c r="B6" s="14">
        <f>$B$17</f>
        <v/>
      </c>
      <c r="C6" s="14">
        <f>$B$17</f>
        <v/>
      </c>
      <c r="D6" s="14">
        <f>$B$17</f>
        <v/>
      </c>
    </row>
    <row r="7">
      <c r="A7" s="8" t="inlineStr">
        <is>
          <t>2 — Badante convivente (costo pieno del datore)</t>
        </is>
      </c>
      <c r="B7" s="14">
        <f>$B$34</f>
        <v/>
      </c>
      <c r="C7" s="14">
        <f>$B$34</f>
        <v/>
      </c>
      <c r="D7" s="14">
        <f>$B$34</f>
        <v/>
      </c>
    </row>
    <row r="8">
      <c r="A8" s="8" t="inlineStr">
        <is>
          <t>3 — RSA, retta a carico dell'utente</t>
        </is>
      </c>
      <c r="B8" s="14">
        <f>B45</f>
        <v/>
      </c>
      <c r="C8" s="14">
        <f>C45</f>
        <v/>
      </c>
      <c r="D8" s="14">
        <f>D45</f>
        <v/>
      </c>
    </row>
    <row r="9" ht="45" customHeight="1">
      <c r="A9" s="13" t="inlineStr">
        <is>
          <t>Le prime due righe non cambiano con l'area perche' i minimi del contratto nazionale del lavoro domestico sono uguali in tutta Italia: quello che cambia, al Nord, sono i superminimi di mercato. La terza riga cambia molto, e la differenza fra Nord e Sud e' il dato piu' solido di tutta questa tabella.</t>
        </is>
      </c>
    </row>
    <row r="11">
      <c r="A11" s="7" t="inlineStr">
        <is>
          <t>A — Assistenza a ore: da cosa nasce il costo orario</t>
        </is>
      </c>
    </row>
    <row r="12">
      <c r="A12" s="8" t="inlineStr">
        <is>
          <t>Ore di assistenza alla settimana</t>
        </is>
      </c>
      <c r="B12" s="9" t="n">
        <v>24</v>
      </c>
    </row>
    <row r="13">
      <c r="A13" s="8" t="inlineStr">
        <is>
          <t>Minimo contrattuale C super non convivente (€/ora)</t>
        </is>
      </c>
      <c r="B13" s="18" t="n">
        <v>8.300000000000001</v>
      </c>
    </row>
    <row r="14">
      <c r="A14" s="8" t="inlineStr">
        <is>
          <t>Costo orario PIENO (paga + 13ª + ferie + TFR + contributi)</t>
        </is>
      </c>
      <c r="B14" s="18" t="n">
        <v>11.67</v>
      </c>
    </row>
    <row r="15">
      <c r="A15" s="8" t="inlineStr">
        <is>
          <t>Ore all'anno</t>
        </is>
      </c>
      <c r="B15" s="19">
        <f>B12*52</f>
        <v/>
      </c>
    </row>
    <row r="16">
      <c r="A16" s="8" t="inlineStr">
        <is>
          <t>Costo annuo</t>
        </is>
      </c>
      <c r="B16" s="14">
        <f>B15*B14</f>
        <v/>
      </c>
    </row>
    <row r="17">
      <c r="A17" s="8" t="inlineStr">
        <is>
          <t>COSTO MENSILE</t>
        </is>
      </c>
      <c r="B17" s="14">
        <f>B16/12</f>
        <v/>
      </c>
    </row>
    <row r="18" ht="60" customHeight="1">
      <c r="A18" s="13" t="inlineStr">
        <is>
          <t>Il minimo orario del contratto e' 8,30 euro per il livello C super (assistenza a persona non autosufficiente, senza formazione): il costo pieno per la famiglia arriva pero' vicino a 11,70 euro l'ora una volta aggiunti tredicesima, ferie, trattamento di fine rapporto e contributi. Sul mercato, cooperative e agenzie chiedono di piu'. Con 24 ore alla settimana si copre poco piu' di mezza giornata: e' il livello che copre il bisogno solo se in casa c'e' gia' qualcuno.</t>
        </is>
      </c>
    </row>
    <row r="20">
      <c r="A20" s="7" t="inlineStr">
        <is>
          <t>B — Badante convivente: il costo pieno del datore di lavoro</t>
        </is>
      </c>
    </row>
    <row r="21">
      <c r="A21" s="8" t="inlineStr">
        <is>
          <t>Minimo mensile C super convivente, tabelle 2026 (€)</t>
        </is>
      </c>
      <c r="B21" s="18" t="n">
        <v>1193.84</v>
      </c>
    </row>
    <row r="22">
      <c r="A22" s="8" t="inlineStr">
        <is>
          <t>Indennita' di vitto e alloggio (6,66 €/giorno x 30)</t>
        </is>
      </c>
      <c r="B22" s="18" t="n">
        <v>199.8</v>
      </c>
    </row>
    <row r="23">
      <c r="A23" s="8" t="inlineStr">
        <is>
          <t>Ore settimanali (massimo contrattuale del convivente: 54)</t>
        </is>
      </c>
      <c r="B23" s="9" t="n">
        <v>54</v>
      </c>
    </row>
    <row r="24">
      <c r="A24" s="8" t="inlineStr">
        <is>
          <t>Contributo INPS orario a carico del datore (€)</t>
        </is>
      </c>
      <c r="B24" s="18" t="n">
        <v>0.93</v>
      </c>
    </row>
    <row r="25">
      <c r="A25" s="8" t="inlineStr">
        <is>
          <t>Assistenza contrattuale oraria a carico del datore (€)</t>
        </is>
      </c>
      <c r="B25" s="18" t="n">
        <v>0.04</v>
      </c>
    </row>
    <row r="26">
      <c r="A26" s="8" t="inlineStr">
        <is>
          <t>Retribuzione globale di fatto mensile</t>
        </is>
      </c>
      <c r="B26" s="20">
        <f>B21+B22</f>
        <v/>
      </c>
    </row>
    <row r="27">
      <c r="A27" s="8" t="inlineStr">
        <is>
          <t>Dodici mensilita'</t>
        </is>
      </c>
      <c r="B27" s="14">
        <f>B26*12</f>
        <v/>
      </c>
    </row>
    <row r="28">
      <c r="A28" s="8" t="inlineStr">
        <is>
          <t>Tredicesima (art. 39: una mensilita' piena)</t>
        </is>
      </c>
      <c r="B28" s="14">
        <f>B26</f>
        <v/>
      </c>
    </row>
    <row r="29">
      <c r="A29" s="8" t="inlineStr">
        <is>
          <t>Retribuzione annua totale</t>
        </is>
      </c>
      <c r="B29" s="14">
        <f>B27+B28</f>
        <v/>
      </c>
    </row>
    <row r="30">
      <c r="A30" s="8" t="inlineStr">
        <is>
          <t>Trattamento di fine rapporto (art. 41: annuo diviso 13,5)</t>
        </is>
      </c>
      <c r="B30" s="14">
        <f>B29/13.5</f>
        <v/>
      </c>
    </row>
    <row r="31">
      <c r="A31" s="8" t="inlineStr">
        <is>
          <t>Contributi INPS a carico del datore (ore x 52 x quota)</t>
        </is>
      </c>
      <c r="B31" s="14">
        <f>B23*52*B24</f>
        <v/>
      </c>
    </row>
    <row r="32">
      <c r="A32" s="8" t="inlineStr">
        <is>
          <t>Assistenza contrattuale a carico del datore</t>
        </is>
      </c>
      <c r="B32" s="14">
        <f>B23*52*B25</f>
        <v/>
      </c>
    </row>
    <row r="33">
      <c r="A33" s="8" t="inlineStr">
        <is>
          <t>COSTO ANNUO PIENO DEL DATORE DI LAVORO</t>
        </is>
      </c>
      <c r="B33" s="14">
        <f>B29+B30+B31+B32</f>
        <v/>
      </c>
    </row>
    <row r="34">
      <c r="A34" s="8" t="inlineStr">
        <is>
          <t>COSTO MENSILE EQUIVALENTE</t>
        </is>
      </c>
      <c r="B34" s="14">
        <f>B33/12</f>
        <v/>
      </c>
    </row>
    <row r="35" ht="60" customHeight="1">
      <c r="A35" s="13" t="inlineStr">
        <is>
          <t>Attenzione a due errori opposti. Il primo e' fermarsi al minimo contrattuale: tredicesima, trattamento di fine rapporto, contributi e vitto e alloggio aggiungono circa un quarto. Il secondo e' contare le ferie come costo aggiuntivo: per il convivente mensilizzato sono gia' dentro le dodici mensilita'. Restano fuori da questo conto le sostituzioni nei giorni di riposo, che il contratto regola con una tabella dedicata: se assumi un sostituto, aggiungi la sua spesa.</t>
        </is>
      </c>
    </row>
    <row r="37">
      <c r="A37" s="7" t="inlineStr">
        <is>
          <t>C — RSA: la retta che paga davvero la famiglia</t>
        </is>
      </c>
    </row>
    <row r="38">
      <c r="A38" s="17" t="inlineStr">
        <is>
          <t>Voce</t>
        </is>
      </c>
      <c r="B38" s="17" t="inlineStr">
        <is>
          <t>Nord</t>
        </is>
      </c>
      <c r="C38" s="17" t="inlineStr">
        <is>
          <t>Centro</t>
        </is>
      </c>
      <c r="D38" s="17" t="inlineStr">
        <is>
          <t>Sud e Isole</t>
        </is>
      </c>
    </row>
    <row r="39">
      <c r="A39" s="8" t="inlineStr">
        <is>
          <t>Retta media mensile a carico della famiglia (€)</t>
        </is>
      </c>
      <c r="B39" s="10" t="n">
        <v>2306</v>
      </c>
      <c r="C39" s="10" t="n">
        <v>2031</v>
      </c>
      <c r="D39" s="10" t="n">
        <v>1630</v>
      </c>
    </row>
    <row r="40">
      <c r="A40" s="8" t="inlineStr">
        <is>
          <t>Spese extra medie al mese (€)</t>
        </is>
      </c>
      <c r="B40" s="10" t="n">
        <v>108</v>
      </c>
      <c r="C40" s="10" t="n">
        <v>108</v>
      </c>
      <c r="D40" s="10" t="n">
        <v>108</v>
      </c>
    </row>
    <row r="41">
      <c r="A41" s="8" t="inlineStr">
        <is>
          <t>Riferimento: tariffa giornaliera piena della struttura (€)</t>
        </is>
      </c>
      <c r="B41" s="18" t="n">
        <v>129.72</v>
      </c>
    </row>
    <row r="42">
      <c r="A42" s="8" t="inlineStr">
        <is>
          <t>Quota a carico del Servizio sanitario nazionale (%)</t>
        </is>
      </c>
      <c r="B42" s="12" t="n">
        <v>0.5</v>
      </c>
    </row>
    <row r="43">
      <c r="A43" s="8" t="inlineStr">
        <is>
          <t>Quota giornaliera a carico dell'utente</t>
        </is>
      </c>
      <c r="B43" s="20">
        <f>B41*(1-B42)</f>
        <v/>
      </c>
    </row>
    <row r="44">
      <c r="A44" s="8" t="inlineStr">
        <is>
          <t>Equivalente mensile della quota utente (365/12 giorni)</t>
        </is>
      </c>
      <c r="B44" s="14">
        <f>B43*365/12</f>
        <v/>
      </c>
    </row>
    <row r="45">
      <c r="A45" s="8" t="inlineStr">
        <is>
          <t>TOTALE MENSILE A CARICO DELLA FAMIGLIA</t>
        </is>
      </c>
      <c r="B45" s="14">
        <f>B39+B40</f>
        <v/>
      </c>
      <c r="C45" s="14">
        <f>C39+C40</f>
        <v/>
      </c>
      <c r="D45" s="14">
        <f>D39+D40</f>
        <v/>
      </c>
    </row>
    <row r="46" ht="105" customHeight="1">
      <c r="A46" s="13" t="inlineStr">
        <is>
          <t>Le rette di riga 39 sono le medie rilevate su famiglie reali: 2.306 euro al mese al Nord e 1.630 al Sud e nelle Isole, con 108 euro medi di extra. In Lombardia la media 2025 e' 76,02 euro al giorno, cioe' 2.312 euro al mese, ma a Milano si sale a 92,52 euro al giorno e un posto non convenzionato viaggia sui 91,40. Le righe 41-44 servono a capire da dove nasce il numero: il decreto sui livelli essenziali di assistenza del 12 gennaio 2017, articolo 30, mette a carico del Servizio sanitario nazionale il 50% della tariffa giornaliera per i trattamenti di lungoassistenza; l'altra meta' e' a carico dell'utente, con l'eventuale integrazione del Comune. Nelle fasi estensive, entro sessanta giorni, e in quelle a elevato impegno sanitario la copertura pubblica e' invece totale. In una struttura non accreditata la retta e' interamente a carico della famiglia.</t>
        </is>
      </c>
    </row>
  </sheetData>
  <mergeCells count="10">
    <mergeCell ref="A2:F2"/>
    <mergeCell ref="A11:F11"/>
    <mergeCell ref="A46:F46"/>
    <mergeCell ref="A1:F1"/>
    <mergeCell ref="A37:F37"/>
    <mergeCell ref="A9:F9"/>
    <mergeCell ref="A18:F18"/>
    <mergeCell ref="A4:F4"/>
    <mergeCell ref="A35:F35"/>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4" customWidth="1" min="1" max="1"/>
    <col width="18" customWidth="1" min="2" max="2"/>
    <col width="4" customWidth="1" min="3" max="3"/>
    <col width="42" customWidth="1" min="4" max="4"/>
    <col width="18" customWidth="1" min="5" max="5"/>
    <col width="18" customWidth="1" min="6" max="6"/>
  </cols>
  <sheetData>
    <row r="1" ht="25" customHeight="1">
      <c r="A1" s="1" t="inlineStr">
        <is>
          <t>Cosa copre davvero il pubblico (e cosa il fisco)</t>
        </is>
      </c>
    </row>
    <row r="2" ht="32" customHeight="1">
      <c r="A2" s="2" t="inlineStr">
        <is>
          <t>Strumento informativo / divulgativo. NON è consulenza finanziaria. I valori sono indicativi al 2026 e vanno verificati col tuo consulente.</t>
        </is>
      </c>
    </row>
    <row r="4">
      <c r="A4" s="7" t="inlineStr">
        <is>
          <t>1 — Indennita' di accompagnamento</t>
        </is>
      </c>
    </row>
    <row r="5">
      <c r="A5" s="8" t="inlineStr">
        <is>
          <t>Importo mensile 2026 (€)</t>
        </is>
      </c>
      <c r="B5" s="18" t="n">
        <v>551.53</v>
      </c>
    </row>
    <row r="6">
      <c r="A6" s="8" t="inlineStr">
        <is>
          <t>Mensilita' (non e' prevista la tredicesima)</t>
        </is>
      </c>
      <c r="B6" s="9" t="n">
        <v>12</v>
      </c>
    </row>
    <row r="7">
      <c r="A7" s="8" t="inlineStr">
        <is>
          <t>Ne hai diritto? 1 = si', 0 = no</t>
        </is>
      </c>
      <c r="B7" s="9" t="n">
        <v>1</v>
      </c>
    </row>
    <row r="8">
      <c r="A8" s="8" t="inlineStr">
        <is>
          <t>TOTALE ANNUO</t>
        </is>
      </c>
      <c r="B8" s="20">
        <f>B5*B6*B7</f>
        <v/>
      </c>
    </row>
    <row r="9" ht="45" customHeight="1">
      <c r="A9" s="13" t="inlineStr">
        <is>
          <t>Spetta a chi e' riconosciuto invalido civile totale con necessita' di assistenza continua. Non ha limiti di reddito, non e' tassata e non dipende dall'eta', ma non prevede la tredicesima. L'importo 2026 e' quello fissato dall'INPS con il messaggio n. 628 del 23 febbraio 2026, che ha rettificato le tabelle allegate alla circolare n. 153 del 19 dicembre 2025.</t>
        </is>
      </c>
    </row>
    <row r="11">
      <c r="A11" s="7" t="inlineStr">
        <is>
          <t>2 — Quota sanitaria in RSA accreditata</t>
        </is>
      </c>
    </row>
    <row r="12">
      <c r="A12" s="8" t="inlineStr">
        <is>
          <t>Si applica? (1 solo se hai scelto la RSA)</t>
        </is>
      </c>
      <c r="B12" s="16">
        <f>IF('1 - IL TUO CASO'!$B$10=3,1,0)</f>
        <v/>
      </c>
    </row>
    <row r="13">
      <c r="A13" s="8" t="inlineStr">
        <is>
          <t>Quota a carico del Servizio sanitario nazionale (%)</t>
        </is>
      </c>
      <c r="B13" s="21">
        <f>'2 - COSTI'!$B$42</f>
        <v/>
      </c>
    </row>
    <row r="14" ht="45" customHeight="1">
      <c r="A14" s="13" t="inlineStr">
        <is>
          <t>Nel foglio 2 la retta della RSA e' gia' inserita come importo a carico della famiglia: la quota sanitaria e' quindi gia' scontata a monte e qui non viene sottratta una seconda volta, altrimenti la conteresti due volte. Questa riga serve a ricordare quanto vale la copertura pubblica e che in una struttura non accreditata semplicemente non c'e'.</t>
        </is>
      </c>
    </row>
    <row r="16">
      <c r="A16" s="7" t="inlineStr">
        <is>
          <t>3 — Agevolazioni fiscali</t>
        </is>
      </c>
    </row>
    <row r="17">
      <c r="A17" s="8" t="inlineStr">
        <is>
          <t>Spesa annua per addetti all'assistenza personale (€)</t>
        </is>
      </c>
      <c r="B17" s="14">
        <f>IF('1 - IL TUO CASO'!$B$10=3,0,'1 - IL TUO CASO'!$B$19)</f>
        <v/>
      </c>
    </row>
    <row r="18">
      <c r="A18" s="8" t="inlineStr">
        <is>
          <t>Tetto di spesa detraibile (€)</t>
        </is>
      </c>
      <c r="B18" s="10" t="n">
        <v>2100</v>
      </c>
    </row>
    <row r="19">
      <c r="A19" s="8" t="inlineStr">
        <is>
          <t>Aliquota della detrazione (%)</t>
        </is>
      </c>
      <c r="B19" s="12" t="n">
        <v>0.19</v>
      </c>
    </row>
    <row r="20">
      <c r="A20" s="8" t="inlineStr">
        <is>
          <t>Limite di reddito complessivo oltre il quale si azzera (€)</t>
        </is>
      </c>
      <c r="B20" s="10" t="n">
        <v>40000</v>
      </c>
    </row>
    <row r="21">
      <c r="A21" s="8" t="inlineStr">
        <is>
          <t>DETRAZIONE 19% ADDETTI ALL'ASSISTENZA</t>
        </is>
      </c>
      <c r="B21" s="20">
        <f>IF('1 - IL TUO CASO'!$B$14&gt;B20,0,MIN(B17,B18)*B19)</f>
        <v/>
      </c>
    </row>
    <row r="22">
      <c r="A22" s="8" t="inlineStr">
        <is>
          <t>Contributi previdenziali versati per la badante (€)</t>
        </is>
      </c>
      <c r="B22" s="14">
        <f>IF('1 - IL TUO CASO'!$B$10=2,'2 - COSTI'!$B$31,0)</f>
        <v/>
      </c>
    </row>
    <row r="23">
      <c r="A23" s="8" t="inlineStr">
        <is>
          <t>Tetto deducibile dei contributi (€)</t>
        </is>
      </c>
      <c r="B23" s="18" t="n">
        <v>1549.37</v>
      </c>
    </row>
    <row r="24">
      <c r="A24" s="8" t="inlineStr">
        <is>
          <t>RISPARMIO DALLA DEDUZIONE DEI CONTRIBUTI</t>
        </is>
      </c>
      <c r="B24" s="20">
        <f>MIN(B22,B23)*'1 - IL TUO CASO'!$B$13</f>
        <v/>
      </c>
    </row>
    <row r="25">
      <c r="A25" s="8" t="inlineStr">
        <is>
          <t>Spese di assistenza specifica deducibili al 100% (€)</t>
        </is>
      </c>
      <c r="B25" s="10" t="n">
        <v>0</v>
      </c>
    </row>
    <row r="26">
      <c r="A26" s="8" t="inlineStr">
        <is>
          <t>RISPARMIO DALLA DEDUZIONE INTEGRALE</t>
        </is>
      </c>
      <c r="B26" s="20">
        <f>B25*'1 - IL TUO CASO'!$B$13</f>
        <v/>
      </c>
    </row>
    <row r="27" ht="75" customHeight="1">
      <c r="A27" s="13" t="inlineStr">
        <is>
          <t>Tre cose che quasi tutti sbagliano. Primo: la detrazione del 19% sugli addetti all'assistenza vale su un massimo di 2.100 euro di spesa, quindi al piu' 399 euro di imposta risparmiata, e sopra 40.000 euro di reddito complessivo non si riduce, si azzera. Secondo: quel tetto e' per contribuente, non per persona assistita. Terzo: della retta di una struttura si deduce solo la parte medica e di assistenza specifica, e solo se l'istituto la indica distintamente nella documentazione; non esiste una percentuale forfetaria valida in tutta Italia. La deduzione dei contributi previdenziali di colf e badanti arriva a 1.549,37 euro, riguarda solo la quota a carico del datore e vale l'aliquota marginale.</t>
        </is>
      </c>
    </row>
    <row r="29">
      <c r="A29" s="7" t="inlineStr">
        <is>
          <t>4 — Prestazione universale (per pochissimi)</t>
        </is>
      </c>
    </row>
    <row r="30">
      <c r="A30" s="8" t="inlineStr">
        <is>
          <t>Hai TUTTI i requisiti? 1 = si', 0 = no</t>
        </is>
      </c>
      <c r="B30" s="9" t="n">
        <v>0</v>
      </c>
    </row>
    <row r="31">
      <c r="A31" s="8" t="inlineStr">
        <is>
          <t>Quota integrativa mensile (€)</t>
        </is>
      </c>
      <c r="B31" s="10" t="n">
        <v>850</v>
      </c>
    </row>
    <row r="32">
      <c r="A32" s="8" t="inlineStr">
        <is>
          <t>Quota integrativa annua</t>
        </is>
      </c>
      <c r="B32" s="14">
        <f>B30*B31*12</f>
        <v/>
      </c>
    </row>
    <row r="33" ht="60" customHeight="1">
      <c r="A33" s="13" t="inlineStr">
        <is>
          <t>E' la misura sperimentale prevista dal decreto legislativo 29 del 2024 per il biennio 2025-2026: servono almeno ottant'anni, un bisogno assistenziale gravissimo, l'indennita' di accompagnamento e un indicatore della situazione economica equivalente sociosanitario non superiore a 6.000 euro. Chi apre questo foglio per pianificare un patrimonio quasi certamente non ne avra' diritto: lascia zero. La quota integrativa e' inoltre vincolata a pagare lavoro di cura regolare o servizi qualificati, non e' denaro libero.</t>
        </is>
      </c>
    </row>
    <row r="34">
      <c r="A34" s="8" t="inlineStr">
        <is>
          <t>TOTALE COPERTURE ANNUE</t>
        </is>
      </c>
      <c r="B34" s="14">
        <f>B8+B21+B24+B26+B32</f>
        <v/>
      </c>
    </row>
    <row r="36">
      <c r="A36" s="7" t="inlineStr">
        <is>
          <t>5 — Promemoria ISEE (non entra nel calcolo)</t>
        </is>
      </c>
    </row>
    <row r="37" ht="75" customHeight="1">
      <c r="A37" s="13" t="inlineStr">
        <is>
          <t>Se chiedi al Comune l'integrazione della retta, l'indicatore che conta e' quello socio-sanitario per le prestazioni residenziali a ciclo continuativo, regolato dall'articolo 6 comma 3 del decreto del Presidente del Consiglio 159 del 2013. Tre regole rendono quel calcolo piu' severo di quello ordinario: la retta pagata non si porta in detrazione dall'indicatore; per ogni figlio fuori dal nucleo si aggiunge una componente calcolata sulla sua situazione economica; le donazioni fatte dopo la domanda, e quelle dei tre anni precedenti verso chi e' tenuto agli alimenti, restano nel patrimonio di chi le ha fatte.</t>
        </is>
      </c>
    </row>
    <row r="38" ht="75" customHeight="1">
      <c r="A38" s="13" t="inlineStr">
        <is>
          <t>Due aggiornamenti da tenere distinti. Il primo vale anche qui: dal marzo 2025, per effetto del decreto del Presidente del Consiglio 13 del 2025, titoli di Stato, buoni fruttiferi postali e libretti postali sono esclusi dal patrimonio mobiliare fino a 50.000 euro per nucleo. Il secondo NON vale qui: la franchigia piu' alta sulla prima casa introdotta dalla legge di bilancio 2026 riguarda, secondo il messaggio INPS 102 del 12 gennaio 2026, soltanto cinque prestazioni (assegno di inclusione, supporto formazione e lavoro, assegno unico, bonus asilo nido, bonus nuovi nati) e non le prestazioni socio-sanitarie residenziali.</t>
        </is>
      </c>
    </row>
  </sheetData>
  <mergeCells count="13">
    <mergeCell ref="A38:F38"/>
    <mergeCell ref="A2:F2"/>
    <mergeCell ref="A11:F11"/>
    <mergeCell ref="A16:F16"/>
    <mergeCell ref="A33:F33"/>
    <mergeCell ref="A36:F36"/>
    <mergeCell ref="A14:F14"/>
    <mergeCell ref="A1:F1"/>
    <mergeCell ref="A37:F37"/>
    <mergeCell ref="A9:F9"/>
    <mergeCell ref="A27:F27"/>
    <mergeCell ref="A4:F4"/>
    <mergeCell ref="A29:F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s>
  <sheetData>
    <row r="1" ht="25" customHeight="1">
      <c r="A1" s="1" t="inlineStr">
        <is>
          <t>Quanto capitale in piu' serve, in valore di oggi</t>
        </is>
      </c>
    </row>
    <row r="2" ht="32" customHeight="1">
      <c r="A2" s="2" t="inlineStr">
        <is>
          <t>Strumento informativo / divulgativo. NON è consulenza finanziaria. I valori sono indicativi al 2026 e vanno verificati col tuo consulente.</t>
        </is>
      </c>
    </row>
    <row r="4">
      <c r="A4" s="7" t="inlineStr">
        <is>
          <t>Parametri richiamati dal foglio 1</t>
        </is>
      </c>
    </row>
    <row r="5">
      <c r="A5" s="8" t="inlineStr">
        <is>
          <t>Esborso netto annuo ai prezzi di oggi (€)</t>
        </is>
      </c>
      <c r="B5" s="14">
        <f>'1 - IL TUO CASO'!$B$21</f>
        <v/>
      </c>
    </row>
    <row r="6">
      <c r="A6" s="8" t="inlineStr">
        <is>
          <t>Anni che mancano all'ingresso</t>
        </is>
      </c>
      <c r="B6" s="16">
        <f>'1 - IL TUO CASO'!$B$26</f>
        <v/>
      </c>
    </row>
    <row r="7">
      <c r="A7" s="8" t="inlineStr">
        <is>
          <t>Anni di assistenza</t>
        </is>
      </c>
      <c r="B7" s="16">
        <f>'1 - IL TUO CASO'!$B$9</f>
        <v/>
      </c>
    </row>
    <row r="8">
      <c r="A8" s="8" t="inlineStr">
        <is>
          <t>Rendimento reale netto (%)</t>
        </is>
      </c>
      <c r="B8" s="22">
        <f>'1 - IL TUO CASO'!$B$7</f>
        <v/>
      </c>
    </row>
    <row r="9">
      <c r="A9" s="8" t="inlineStr">
        <is>
          <t>Crescita reale del costo dell'assistenza (%)</t>
        </is>
      </c>
      <c r="B9" s="22">
        <f>'1 - IL TUO CASO'!$B$12</f>
        <v/>
      </c>
    </row>
    <row r="10">
      <c r="A10" s="8" t="inlineStr">
        <is>
          <t>CAPITALE EXTRA NECESSARIO OGGI</t>
        </is>
      </c>
      <c r="B10" s="14">
        <f>SUM(E14:E38)</f>
        <v/>
      </c>
    </row>
    <row r="12">
      <c r="A12" s="7" t="inlineStr">
        <is>
          <t>Il conto anno per anno, per esteso</t>
        </is>
      </c>
    </row>
    <row r="13">
      <c r="A13" s="17" t="inlineStr">
        <is>
          <t>Anno di assistenza</t>
        </is>
      </c>
      <c r="B13" s="17" t="inlineStr">
        <is>
          <t>Eta'</t>
        </is>
      </c>
      <c r="C13" s="17" t="inlineStr">
        <is>
          <t>Costo netto di quell'anno</t>
        </is>
      </c>
      <c r="D13" s="17" t="inlineStr">
        <is>
          <t>Anni da oggi</t>
        </is>
      </c>
      <c r="E13" s="17" t="inlineStr">
        <is>
          <t>Valore attuale</t>
        </is>
      </c>
    </row>
    <row r="14">
      <c r="A14" s="23" t="n">
        <v>1</v>
      </c>
      <c r="B14" s="16">
        <f>IF(A14&gt;$B$7,"",'1 - IL TUO CASO'!$B$8+A14-1)</f>
        <v/>
      </c>
      <c r="C14" s="14">
        <f>IF(A14&gt;$B$7,0,$B$5*(1+$B$9)^($B$6+A14-1))</f>
        <v/>
      </c>
      <c r="D14" s="16">
        <f>IF(A14&gt;$B$7,"",$B$6+A14-1)</f>
        <v/>
      </c>
      <c r="E14" s="14">
        <f>IF(A14&gt;$B$7,0,C14/(1+$B$8)^($B$6+A14-1))</f>
        <v/>
      </c>
    </row>
    <row r="15">
      <c r="A15" s="23" t="n">
        <v>2</v>
      </c>
      <c r="B15" s="16">
        <f>IF(A15&gt;$B$7,"",'1 - IL TUO CASO'!$B$8+A15-1)</f>
        <v/>
      </c>
      <c r="C15" s="14">
        <f>IF(A15&gt;$B$7,0,$B$5*(1+$B$9)^($B$6+A15-1))</f>
        <v/>
      </c>
      <c r="D15" s="16">
        <f>IF(A15&gt;$B$7,"",$B$6+A15-1)</f>
        <v/>
      </c>
      <c r="E15" s="14">
        <f>IF(A15&gt;$B$7,0,C15/(1+$B$8)^($B$6+A15-1))</f>
        <v/>
      </c>
    </row>
    <row r="16">
      <c r="A16" s="23" t="n">
        <v>3</v>
      </c>
      <c r="B16" s="16">
        <f>IF(A16&gt;$B$7,"",'1 - IL TUO CASO'!$B$8+A16-1)</f>
        <v/>
      </c>
      <c r="C16" s="14">
        <f>IF(A16&gt;$B$7,0,$B$5*(1+$B$9)^($B$6+A16-1))</f>
        <v/>
      </c>
      <c r="D16" s="16">
        <f>IF(A16&gt;$B$7,"",$B$6+A16-1)</f>
        <v/>
      </c>
      <c r="E16" s="14">
        <f>IF(A16&gt;$B$7,0,C16/(1+$B$8)^($B$6+A16-1))</f>
        <v/>
      </c>
    </row>
    <row r="17">
      <c r="A17" s="23" t="n">
        <v>4</v>
      </c>
      <c r="B17" s="16">
        <f>IF(A17&gt;$B$7,"",'1 - IL TUO CASO'!$B$8+A17-1)</f>
        <v/>
      </c>
      <c r="C17" s="14">
        <f>IF(A17&gt;$B$7,0,$B$5*(1+$B$9)^($B$6+A17-1))</f>
        <v/>
      </c>
      <c r="D17" s="16">
        <f>IF(A17&gt;$B$7,"",$B$6+A17-1)</f>
        <v/>
      </c>
      <c r="E17" s="14">
        <f>IF(A17&gt;$B$7,0,C17/(1+$B$8)^($B$6+A17-1))</f>
        <v/>
      </c>
    </row>
    <row r="18">
      <c r="A18" s="23" t="n">
        <v>5</v>
      </c>
      <c r="B18" s="16">
        <f>IF(A18&gt;$B$7,"",'1 - IL TUO CASO'!$B$8+A18-1)</f>
        <v/>
      </c>
      <c r="C18" s="14">
        <f>IF(A18&gt;$B$7,0,$B$5*(1+$B$9)^($B$6+A18-1))</f>
        <v/>
      </c>
      <c r="D18" s="16">
        <f>IF(A18&gt;$B$7,"",$B$6+A18-1)</f>
        <v/>
      </c>
      <c r="E18" s="14">
        <f>IF(A18&gt;$B$7,0,C18/(1+$B$8)^($B$6+A18-1))</f>
        <v/>
      </c>
    </row>
    <row r="19">
      <c r="A19" s="23" t="n">
        <v>6</v>
      </c>
      <c r="B19" s="16">
        <f>IF(A19&gt;$B$7,"",'1 - IL TUO CASO'!$B$8+A19-1)</f>
        <v/>
      </c>
      <c r="C19" s="14">
        <f>IF(A19&gt;$B$7,0,$B$5*(1+$B$9)^($B$6+A19-1))</f>
        <v/>
      </c>
      <c r="D19" s="16">
        <f>IF(A19&gt;$B$7,"",$B$6+A19-1)</f>
        <v/>
      </c>
      <c r="E19" s="14">
        <f>IF(A19&gt;$B$7,0,C19/(1+$B$8)^($B$6+A19-1))</f>
        <v/>
      </c>
    </row>
    <row r="20">
      <c r="A20" s="23" t="n">
        <v>7</v>
      </c>
      <c r="B20" s="16">
        <f>IF(A20&gt;$B$7,"",'1 - IL TUO CASO'!$B$8+A20-1)</f>
        <v/>
      </c>
      <c r="C20" s="14">
        <f>IF(A20&gt;$B$7,0,$B$5*(1+$B$9)^($B$6+A20-1))</f>
        <v/>
      </c>
      <c r="D20" s="16">
        <f>IF(A20&gt;$B$7,"",$B$6+A20-1)</f>
        <v/>
      </c>
      <c r="E20" s="14">
        <f>IF(A20&gt;$B$7,0,C20/(1+$B$8)^($B$6+A20-1))</f>
        <v/>
      </c>
    </row>
    <row r="21">
      <c r="A21" s="23" t="n">
        <v>8</v>
      </c>
      <c r="B21" s="16">
        <f>IF(A21&gt;$B$7,"",'1 - IL TUO CASO'!$B$8+A21-1)</f>
        <v/>
      </c>
      <c r="C21" s="14">
        <f>IF(A21&gt;$B$7,0,$B$5*(1+$B$9)^($B$6+A21-1))</f>
        <v/>
      </c>
      <c r="D21" s="16">
        <f>IF(A21&gt;$B$7,"",$B$6+A21-1)</f>
        <v/>
      </c>
      <c r="E21" s="14">
        <f>IF(A21&gt;$B$7,0,C21/(1+$B$8)^($B$6+A21-1))</f>
        <v/>
      </c>
    </row>
    <row r="22">
      <c r="A22" s="23" t="n">
        <v>9</v>
      </c>
      <c r="B22" s="16">
        <f>IF(A22&gt;$B$7,"",'1 - IL TUO CASO'!$B$8+A22-1)</f>
        <v/>
      </c>
      <c r="C22" s="14">
        <f>IF(A22&gt;$B$7,0,$B$5*(1+$B$9)^($B$6+A22-1))</f>
        <v/>
      </c>
      <c r="D22" s="16">
        <f>IF(A22&gt;$B$7,"",$B$6+A22-1)</f>
        <v/>
      </c>
      <c r="E22" s="14">
        <f>IF(A22&gt;$B$7,0,C22/(1+$B$8)^($B$6+A22-1))</f>
        <v/>
      </c>
    </row>
    <row r="23">
      <c r="A23" s="23" t="n">
        <v>10</v>
      </c>
      <c r="B23" s="16">
        <f>IF(A23&gt;$B$7,"",'1 - IL TUO CASO'!$B$8+A23-1)</f>
        <v/>
      </c>
      <c r="C23" s="14">
        <f>IF(A23&gt;$B$7,0,$B$5*(1+$B$9)^($B$6+A23-1))</f>
        <v/>
      </c>
      <c r="D23" s="16">
        <f>IF(A23&gt;$B$7,"",$B$6+A23-1)</f>
        <v/>
      </c>
      <c r="E23" s="14">
        <f>IF(A23&gt;$B$7,0,C23/(1+$B$8)^($B$6+A23-1))</f>
        <v/>
      </c>
    </row>
    <row r="24">
      <c r="A24" s="23" t="n">
        <v>11</v>
      </c>
      <c r="B24" s="16">
        <f>IF(A24&gt;$B$7,"",'1 - IL TUO CASO'!$B$8+A24-1)</f>
        <v/>
      </c>
      <c r="C24" s="14">
        <f>IF(A24&gt;$B$7,0,$B$5*(1+$B$9)^($B$6+A24-1))</f>
        <v/>
      </c>
      <c r="D24" s="16">
        <f>IF(A24&gt;$B$7,"",$B$6+A24-1)</f>
        <v/>
      </c>
      <c r="E24" s="14">
        <f>IF(A24&gt;$B$7,0,C24/(1+$B$8)^($B$6+A24-1))</f>
        <v/>
      </c>
    </row>
    <row r="25">
      <c r="A25" s="23" t="n">
        <v>12</v>
      </c>
      <c r="B25" s="16">
        <f>IF(A25&gt;$B$7,"",'1 - IL TUO CASO'!$B$8+A25-1)</f>
        <v/>
      </c>
      <c r="C25" s="14">
        <f>IF(A25&gt;$B$7,0,$B$5*(1+$B$9)^($B$6+A25-1))</f>
        <v/>
      </c>
      <c r="D25" s="16">
        <f>IF(A25&gt;$B$7,"",$B$6+A25-1)</f>
        <v/>
      </c>
      <c r="E25" s="14">
        <f>IF(A25&gt;$B$7,0,C25/(1+$B$8)^($B$6+A25-1))</f>
        <v/>
      </c>
    </row>
    <row r="26">
      <c r="A26" s="23" t="n">
        <v>13</v>
      </c>
      <c r="B26" s="16">
        <f>IF(A26&gt;$B$7,"",'1 - IL TUO CASO'!$B$8+A26-1)</f>
        <v/>
      </c>
      <c r="C26" s="14">
        <f>IF(A26&gt;$B$7,0,$B$5*(1+$B$9)^($B$6+A26-1))</f>
        <v/>
      </c>
      <c r="D26" s="16">
        <f>IF(A26&gt;$B$7,"",$B$6+A26-1)</f>
        <v/>
      </c>
      <c r="E26" s="14">
        <f>IF(A26&gt;$B$7,0,C26/(1+$B$8)^($B$6+A26-1))</f>
        <v/>
      </c>
    </row>
    <row r="27">
      <c r="A27" s="23" t="n">
        <v>14</v>
      </c>
      <c r="B27" s="16">
        <f>IF(A27&gt;$B$7,"",'1 - IL TUO CASO'!$B$8+A27-1)</f>
        <v/>
      </c>
      <c r="C27" s="14">
        <f>IF(A27&gt;$B$7,0,$B$5*(1+$B$9)^($B$6+A27-1))</f>
        <v/>
      </c>
      <c r="D27" s="16">
        <f>IF(A27&gt;$B$7,"",$B$6+A27-1)</f>
        <v/>
      </c>
      <c r="E27" s="14">
        <f>IF(A27&gt;$B$7,0,C27/(1+$B$8)^($B$6+A27-1))</f>
        <v/>
      </c>
    </row>
    <row r="28">
      <c r="A28" s="23" t="n">
        <v>15</v>
      </c>
      <c r="B28" s="16">
        <f>IF(A28&gt;$B$7,"",'1 - IL TUO CASO'!$B$8+A28-1)</f>
        <v/>
      </c>
      <c r="C28" s="14">
        <f>IF(A28&gt;$B$7,0,$B$5*(1+$B$9)^($B$6+A28-1))</f>
        <v/>
      </c>
      <c r="D28" s="16">
        <f>IF(A28&gt;$B$7,"",$B$6+A28-1)</f>
        <v/>
      </c>
      <c r="E28" s="14">
        <f>IF(A28&gt;$B$7,0,C28/(1+$B$8)^($B$6+A28-1))</f>
        <v/>
      </c>
    </row>
    <row r="29">
      <c r="A29" s="23" t="n">
        <v>16</v>
      </c>
      <c r="B29" s="16">
        <f>IF(A29&gt;$B$7,"",'1 - IL TUO CASO'!$B$8+A29-1)</f>
        <v/>
      </c>
      <c r="C29" s="14">
        <f>IF(A29&gt;$B$7,0,$B$5*(1+$B$9)^($B$6+A29-1))</f>
        <v/>
      </c>
      <c r="D29" s="16">
        <f>IF(A29&gt;$B$7,"",$B$6+A29-1)</f>
        <v/>
      </c>
      <c r="E29" s="14">
        <f>IF(A29&gt;$B$7,0,C29/(1+$B$8)^($B$6+A29-1))</f>
        <v/>
      </c>
    </row>
    <row r="30">
      <c r="A30" s="23" t="n">
        <v>17</v>
      </c>
      <c r="B30" s="16">
        <f>IF(A30&gt;$B$7,"",'1 - IL TUO CASO'!$B$8+A30-1)</f>
        <v/>
      </c>
      <c r="C30" s="14">
        <f>IF(A30&gt;$B$7,0,$B$5*(1+$B$9)^($B$6+A30-1))</f>
        <v/>
      </c>
      <c r="D30" s="16">
        <f>IF(A30&gt;$B$7,"",$B$6+A30-1)</f>
        <v/>
      </c>
      <c r="E30" s="14">
        <f>IF(A30&gt;$B$7,0,C30/(1+$B$8)^($B$6+A30-1))</f>
        <v/>
      </c>
    </row>
    <row r="31">
      <c r="A31" s="23" t="n">
        <v>18</v>
      </c>
      <c r="B31" s="16">
        <f>IF(A31&gt;$B$7,"",'1 - IL TUO CASO'!$B$8+A31-1)</f>
        <v/>
      </c>
      <c r="C31" s="14">
        <f>IF(A31&gt;$B$7,0,$B$5*(1+$B$9)^($B$6+A31-1))</f>
        <v/>
      </c>
      <c r="D31" s="16">
        <f>IF(A31&gt;$B$7,"",$B$6+A31-1)</f>
        <v/>
      </c>
      <c r="E31" s="14">
        <f>IF(A31&gt;$B$7,0,C31/(1+$B$8)^($B$6+A31-1))</f>
        <v/>
      </c>
    </row>
    <row r="32">
      <c r="A32" s="23" t="n">
        <v>19</v>
      </c>
      <c r="B32" s="16">
        <f>IF(A32&gt;$B$7,"",'1 - IL TUO CASO'!$B$8+A32-1)</f>
        <v/>
      </c>
      <c r="C32" s="14">
        <f>IF(A32&gt;$B$7,0,$B$5*(1+$B$9)^($B$6+A32-1))</f>
        <v/>
      </c>
      <c r="D32" s="16">
        <f>IF(A32&gt;$B$7,"",$B$6+A32-1)</f>
        <v/>
      </c>
      <c r="E32" s="14">
        <f>IF(A32&gt;$B$7,0,C32/(1+$B$8)^($B$6+A32-1))</f>
        <v/>
      </c>
    </row>
    <row r="33">
      <c r="A33" s="23" t="n">
        <v>20</v>
      </c>
      <c r="B33" s="16">
        <f>IF(A33&gt;$B$7,"",'1 - IL TUO CASO'!$B$8+A33-1)</f>
        <v/>
      </c>
      <c r="C33" s="14">
        <f>IF(A33&gt;$B$7,0,$B$5*(1+$B$9)^($B$6+A33-1))</f>
        <v/>
      </c>
      <c r="D33" s="16">
        <f>IF(A33&gt;$B$7,"",$B$6+A33-1)</f>
        <v/>
      </c>
      <c r="E33" s="14">
        <f>IF(A33&gt;$B$7,0,C33/(1+$B$8)^($B$6+A33-1))</f>
        <v/>
      </c>
    </row>
    <row r="34">
      <c r="A34" s="23" t="n">
        <v>21</v>
      </c>
      <c r="B34" s="16">
        <f>IF(A34&gt;$B$7,"",'1 - IL TUO CASO'!$B$8+A34-1)</f>
        <v/>
      </c>
      <c r="C34" s="14">
        <f>IF(A34&gt;$B$7,0,$B$5*(1+$B$9)^($B$6+A34-1))</f>
        <v/>
      </c>
      <c r="D34" s="16">
        <f>IF(A34&gt;$B$7,"",$B$6+A34-1)</f>
        <v/>
      </c>
      <c r="E34" s="14">
        <f>IF(A34&gt;$B$7,0,C34/(1+$B$8)^($B$6+A34-1))</f>
        <v/>
      </c>
    </row>
    <row r="35">
      <c r="A35" s="23" t="n">
        <v>22</v>
      </c>
      <c r="B35" s="16">
        <f>IF(A35&gt;$B$7,"",'1 - IL TUO CASO'!$B$8+A35-1)</f>
        <v/>
      </c>
      <c r="C35" s="14">
        <f>IF(A35&gt;$B$7,0,$B$5*(1+$B$9)^($B$6+A35-1))</f>
        <v/>
      </c>
      <c r="D35" s="16">
        <f>IF(A35&gt;$B$7,"",$B$6+A35-1)</f>
        <v/>
      </c>
      <c r="E35" s="14">
        <f>IF(A35&gt;$B$7,0,C35/(1+$B$8)^($B$6+A35-1))</f>
        <v/>
      </c>
    </row>
    <row r="36">
      <c r="A36" s="23" t="n">
        <v>23</v>
      </c>
      <c r="B36" s="16">
        <f>IF(A36&gt;$B$7,"",'1 - IL TUO CASO'!$B$8+A36-1)</f>
        <v/>
      </c>
      <c r="C36" s="14">
        <f>IF(A36&gt;$B$7,0,$B$5*(1+$B$9)^($B$6+A36-1))</f>
        <v/>
      </c>
      <c r="D36" s="16">
        <f>IF(A36&gt;$B$7,"",$B$6+A36-1)</f>
        <v/>
      </c>
      <c r="E36" s="14">
        <f>IF(A36&gt;$B$7,0,C36/(1+$B$8)^($B$6+A36-1))</f>
        <v/>
      </c>
    </row>
    <row r="37">
      <c r="A37" s="23" t="n">
        <v>24</v>
      </c>
      <c r="B37" s="16">
        <f>IF(A37&gt;$B$7,"",'1 - IL TUO CASO'!$B$8+A37-1)</f>
        <v/>
      </c>
      <c r="C37" s="14">
        <f>IF(A37&gt;$B$7,0,$B$5*(1+$B$9)^($B$6+A37-1))</f>
        <v/>
      </c>
      <c r="D37" s="16">
        <f>IF(A37&gt;$B$7,"",$B$6+A37-1)</f>
        <v/>
      </c>
      <c r="E37" s="14">
        <f>IF(A37&gt;$B$7,0,C37/(1+$B$8)^($B$6+A37-1))</f>
        <v/>
      </c>
    </row>
    <row r="38">
      <c r="A38" s="23" t="n">
        <v>25</v>
      </c>
      <c r="B38" s="16">
        <f>IF(A38&gt;$B$7,"",'1 - IL TUO CASO'!$B$8+A38-1)</f>
        <v/>
      </c>
      <c r="C38" s="14">
        <f>IF(A38&gt;$B$7,0,$B$5*(1+$B$9)^($B$6+A38-1))</f>
        <v/>
      </c>
      <c r="D38" s="16">
        <f>IF(A38&gt;$B$7,"",$B$6+A38-1)</f>
        <v/>
      </c>
      <c r="E38" s="14">
        <f>IF(A38&gt;$B$7,0,C38/(1+$B$8)^($B$6+A38-1))</f>
        <v/>
      </c>
    </row>
    <row r="40" ht="45" customHeight="1">
      <c r="A40" s="13" t="inlineStr">
        <is>
          <t>Il metodo e' quello di qualsiasi obiettivo futuro: si prende il costo di ogni singolo anno di assistenza, lo si riporta al valore di oggi scontandolo al rendimento reale del portafoglio, e si sommano i pezzi. Il risultato e' il capitale che devi avere OGGI, in aggiunta a tutto il resto, perche' quegli anni non facciano saltare il piano.</t>
        </is>
      </c>
    </row>
    <row r="41" ht="45" customHeight="1">
      <c r="A41" s="13" t="inlineStr">
        <is>
          <t>Nota importante: se la crescita reale del costo dell'assistenza supera il rendimento reale del portafoglio, il capitale necessario cresce piu' che proporzionalmente con gli anni. E' il motivo per cui il vero rischio non e' l'importo medio, ma la DURATA. Prova a portare gli anni di assistenza da tre a otto e guarda cosa succede alla cella B10.</t>
        </is>
      </c>
    </row>
  </sheetData>
  <mergeCells count="6">
    <mergeCell ref="A41:F41"/>
    <mergeCell ref="A2:F2"/>
    <mergeCell ref="A1:F1"/>
    <mergeCell ref="A40:F40"/>
    <mergeCell ref="A12:F12"/>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2" customWidth="1" min="1" max="1"/>
    <col width="20" customWidth="1" min="2" max="2"/>
    <col width="20" customWidth="1" min="3" max="3"/>
    <col width="20" customWidth="1" min="4" max="4"/>
    <col width="4" customWidth="1" min="5" max="5"/>
    <col width="34" customWidth="1" min="6" max="6"/>
  </cols>
  <sheetData>
    <row r="1" ht="25" customHeight="1">
      <c r="A1" s="1" t="inlineStr">
        <is>
          <t>Capitale extra necessario oggi: durata per configurazione</t>
        </is>
      </c>
    </row>
    <row r="2" ht="32" customHeight="1">
      <c r="A2" s="2" t="inlineStr">
        <is>
          <t>Strumento informativo / divulgativo. NON è consulenza finanziaria. I valori sono indicativi al 2026 e vanno verificati col tuo consulente.</t>
        </is>
      </c>
    </row>
    <row r="4">
      <c r="A4" s="7" t="inlineStr">
        <is>
          <t>Matrice — € di capitale extra necessario OGGI</t>
        </is>
      </c>
    </row>
    <row r="5">
      <c r="A5" s="17" t="inlineStr">
        <is>
          <t>Anni di assistenza</t>
        </is>
      </c>
      <c r="B5" s="17" t="inlineStr">
        <is>
          <t>Assistenza a ore</t>
        </is>
      </c>
      <c r="C5" s="17" t="inlineStr">
        <is>
          <t>Badante convivente</t>
        </is>
      </c>
      <c r="D5" s="17" t="inlineStr">
        <is>
          <t>RSA</t>
        </is>
      </c>
    </row>
    <row r="6">
      <c r="A6" s="8" t="inlineStr">
        <is>
          <t>3 anni</t>
        </is>
      </c>
      <c r="B6" s="14">
        <f>B$18*$B$11</f>
        <v/>
      </c>
      <c r="C6" s="14">
        <f>C$18*$B$11</f>
        <v/>
      </c>
      <c r="D6" s="14">
        <f>D$18*$B$11</f>
        <v/>
      </c>
    </row>
    <row r="7">
      <c r="A7" s="8" t="inlineStr">
        <is>
          <t>5 anni</t>
        </is>
      </c>
      <c r="B7" s="14">
        <f>B$18*$B$12</f>
        <v/>
      </c>
      <c r="C7" s="14">
        <f>C$18*$B$12</f>
        <v/>
      </c>
      <c r="D7" s="14">
        <f>D$18*$B$12</f>
        <v/>
      </c>
    </row>
    <row r="8">
      <c r="A8" s="8" t="inlineStr">
        <is>
          <t>8 anni</t>
        </is>
      </c>
      <c r="B8" s="14">
        <f>B$18*$B$13</f>
        <v/>
      </c>
      <c r="C8" s="14">
        <f>C$18*$B$13</f>
        <v/>
      </c>
      <c r="D8" s="14">
        <f>D$18*$B$13</f>
        <v/>
      </c>
    </row>
    <row r="9" ht="45" customHeight="1">
      <c r="A9" s="13" t="inlineStr">
        <is>
          <t>La matrice usa l'area geografica scelta nel foglio 1 e sottrae la sola indennita' di accompagnamento, che e' l'unica copertura certa e uguale per tutti. Le agevolazioni fiscali dipendono dal reddito di chi paga e restano nel foglio 3. Il salto fra la colonna della badante e quella della RSA e' il numero che conta davvero.</t>
        </is>
      </c>
    </row>
    <row r="10">
      <c r="A10" s="7" t="inlineStr">
        <is>
          <t>Motore del calcolo (celle di appoggio)</t>
        </is>
      </c>
    </row>
    <row r="11">
      <c r="A11" s="8" t="inlineStr">
        <is>
          <t>Fattore di attualizzazione — 3 anni</t>
        </is>
      </c>
      <c r="B11" s="24">
        <f>IF($B$15=1,3/(1+$B$14)^$B$16,$B$15^$B$16*(1-$B$15^3)/(1-$B$15))</f>
        <v/>
      </c>
    </row>
    <row r="12">
      <c r="A12" s="8" t="inlineStr">
        <is>
          <t>Fattore di attualizzazione — 5 anni</t>
        </is>
      </c>
      <c r="B12" s="24">
        <f>IF($B$15=1,5/(1+$B$14)^$B$16,$B$15^$B$16*(1-$B$15^5)/(1-$B$15))</f>
        <v/>
      </c>
    </row>
    <row r="13">
      <c r="A13" s="8" t="inlineStr">
        <is>
          <t>Fattore di attualizzazione — 8 anni</t>
        </is>
      </c>
      <c r="B13" s="24">
        <f>IF($B$15=1,8/(1+$B$14)^$B$16,$B$15^$B$16*(1-$B$15^8)/(1-$B$15))</f>
        <v/>
      </c>
    </row>
    <row r="14">
      <c r="A14" s="8" t="inlineStr">
        <is>
          <t>Rendimento reale netto</t>
        </is>
      </c>
      <c r="B14" s="22">
        <f>'1 - IL TUO CASO'!$B$7</f>
        <v/>
      </c>
    </row>
    <row r="15">
      <c r="A15" s="8" t="inlineStr">
        <is>
          <t>Rapporto (1+crescita costi)/(1+rendimento)</t>
        </is>
      </c>
      <c r="B15" s="24">
        <f>(1+'1 - IL TUO CASO'!$B$12)/(1+'1 - IL TUO CASO'!$B$7)</f>
        <v/>
      </c>
    </row>
    <row r="16">
      <c r="A16" s="8" t="inlineStr">
        <is>
          <t>Anni che mancano all'ingresso</t>
        </is>
      </c>
      <c r="B16" s="16">
        <f>'1 - IL TUO CASO'!$B$26</f>
        <v/>
      </c>
    </row>
    <row r="17">
      <c r="A17" s="8" t="inlineStr">
        <is>
          <t>Costo annuo lordo della configurazione</t>
        </is>
      </c>
      <c r="B17" s="14">
        <f>INDEX('2 - COSTI'!$B$6:$D$8,1,'1 - IL TUO CASO'!$B$11)*12</f>
        <v/>
      </c>
      <c r="C17" s="14">
        <f>INDEX('2 - COSTI'!$B$6:$D$8,2,'1 - IL TUO CASO'!$B$11)*12</f>
        <v/>
      </c>
      <c r="D17" s="14">
        <f>INDEX('2 - COSTI'!$B$6:$D$8,3,'1 - IL TUO CASO'!$B$11)*12</f>
        <v/>
      </c>
    </row>
    <row r="18">
      <c r="A18" s="8" t="inlineStr">
        <is>
          <t>Costo annuo netto dell'indennita' di accompagnamento</t>
        </is>
      </c>
      <c r="B18" s="14">
        <f>MAX(0,B17-'3 - COPERTURE'!$B$8)</f>
        <v/>
      </c>
      <c r="C18" s="14">
        <f>MAX(0,C17-'3 - COPERTURE'!$B$8)</f>
        <v/>
      </c>
      <c r="D18" s="14">
        <f>MAX(0,D17-'3 - COPERTURE'!$B$8)</f>
        <v/>
      </c>
    </row>
    <row r="20">
      <c r="A20" s="7" t="inlineStr">
        <is>
          <t>Auto-assicurarsi o assicurarsi: il confronto onesto</t>
        </is>
      </c>
    </row>
    <row r="21">
      <c r="A21" s="17" t="inlineStr">
        <is>
          <t>Strada</t>
        </is>
      </c>
      <c r="B21" s="17" t="inlineStr">
        <is>
          <t>Cosa costa</t>
        </is>
      </c>
      <c r="C21" s="17" t="inlineStr">
        <is>
          <t>Il punto scomodo</t>
        </is>
      </c>
    </row>
    <row r="22" ht="90" customHeight="1">
      <c r="A22" s="8" t="inlineStr">
        <is>
          <t>Capitale dedicato (auto-assicurazione)</t>
        </is>
      </c>
      <c r="B22" s="13" t="inlineStr">
        <is>
          <t>Il capitale extra calcolato qui sopra, tenuto in strumenti prudenti e liquidabili</t>
        </is>
      </c>
      <c r="C22" s="13" t="inlineStr">
        <is>
          <t>Se la non autosufficienza non arriva, quel capitale resta agli eredi: non e' denaro perso, ma e' denaro non goduto</t>
        </is>
      </c>
    </row>
    <row r="23" ht="105" customHeight="1">
      <c r="A23" s="8" t="inlineStr">
        <is>
          <t>Polizza per il rischio di non autosufficienza</t>
        </is>
      </c>
      <c r="B23" s="13" t="inlineStr">
        <is>
          <t>Un premio annuo per tutta la vita, tanto piu' basso quanto prima si sottoscrive</t>
        </is>
      </c>
      <c r="C23" s="13" t="inlineStr">
        <is>
          <t>Premio rivedibile e definizione di non autosufficienza spesso restrittiva: prima del prezzo si legge quando la compagnia paga</t>
        </is>
      </c>
    </row>
    <row r="24" ht="105" customHeight="1">
      <c r="A24" s="8" t="inlineStr">
        <is>
          <t>Immobile come riserva da liquidare</t>
        </is>
      </c>
      <c r="B24" s="13" t="inlineStr">
        <is>
          <t>Nessun esborso oggi</t>
        </is>
      </c>
      <c r="C24" s="13" t="inlineStr">
        <is>
          <t>Va venduto proprio nel momento peggiore, con tempi lunghi e spesso quando chi dovrebbe firmare non e' piu' in grado di farlo</t>
        </is>
      </c>
    </row>
    <row r="26">
      <c r="A26" s="7" t="inlineStr">
        <is>
          <t>Il trattamento fiscale del premio</t>
        </is>
      </c>
    </row>
    <row r="27">
      <c r="A27" s="8" t="inlineStr">
        <is>
          <t>Premio annuo ipotizzato (€)</t>
        </is>
      </c>
      <c r="B27" s="10" t="n">
        <v>900</v>
      </c>
    </row>
    <row r="28">
      <c r="A28" s="8" t="inlineStr">
        <is>
          <t>Tetto detraibile dei premi non autosufficienza (€)</t>
        </is>
      </c>
      <c r="B28" s="18" t="n">
        <v>1291.14</v>
      </c>
    </row>
    <row r="29">
      <c r="A29" s="8" t="inlineStr">
        <is>
          <t>Detrazione del 19%</t>
        </is>
      </c>
      <c r="B29" s="20">
        <f>MIN(B27,B28)*0.19</f>
        <v/>
      </c>
    </row>
    <row r="30">
      <c r="A30" s="8" t="inlineStr">
        <is>
          <t>Premio annuo al netto della detrazione</t>
        </is>
      </c>
      <c r="B30" s="20">
        <f>B27-B29</f>
        <v/>
      </c>
    </row>
    <row r="31">
      <c r="A31" s="8" t="inlineStr">
        <is>
          <t>Premi netti versati fino all'eta' di ingresso</t>
        </is>
      </c>
      <c r="B31" s="14">
        <f>B30*'1 - IL TUO CASO'!$B$26</f>
        <v/>
      </c>
    </row>
    <row r="33" ht="90" customHeight="1">
      <c r="A33" s="13" t="inlineStr">
        <is>
          <t>I premi delle polizze che coprono il rischio di non autosufficienza nel compiere gli atti della vita quotidiana danno diritto a una detrazione del 19% su un massimo di 1.291,14 euro l'anno, al netto degli eventuali premi per morte e invalidita' permanente compresi nello stesso contratto. Il premio della riga 27 e' un'ipotesi da sostituire con un preventivo vero: questo foglio non indica ne' consiglia alcun prodotto o compagnia, serve solo a confrontare due ordini di grandezza. In Italia il mercato e' minuscolo: la Banca d'Italia, all'assemblea dell'ANIA del 2 luglio 2025, ha ricordato che i premi long term care valgono poco piu' di 350 milioni di euro su 150 miliardi di raccolta complessiva.</t>
        </is>
      </c>
    </row>
  </sheetData>
  <mergeCells count="8">
    <mergeCell ref="A2:F2"/>
    <mergeCell ref="A33:F33"/>
    <mergeCell ref="A10:F10"/>
    <mergeCell ref="A1:F1"/>
    <mergeCell ref="A9:F9"/>
    <mergeCell ref="A26:F26"/>
    <mergeCell ref="A4:F4"/>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2026-08-02T15:32:45Z</dcterms:created>
  <dcterms:modified xmlns:dcterms="http://purl.org/dc/terms/" xmlns:xsi="http://www.w3.org/2001/XMLSchema-instance" xsi:type="dcterms:W3CDTF">2026-08-02T15:32:45Z</dcterms:modified>
</cp:coreProperties>
</file>