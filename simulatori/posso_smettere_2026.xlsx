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- Indice" sheetId="1" state="visible" r:id="rId1"/>
    <sheet xmlns:r="http://schemas.openxmlformats.org/officeDocument/2006/relationships" name="1 - I TUOI 6 NUMERI" sheetId="2" state="visible" r:id="rId2"/>
    <sheet xmlns:r="http://schemas.openxmlformats.org/officeDocument/2006/relationships" name="2 - ANNO PER ANNO" sheetId="3" state="visible" r:id="rId3"/>
    <sheet xmlns:r="http://schemas.openxmlformats.org/officeDocument/2006/relationships" name="3 - MATRICE" sheetId="4" state="visible" r:id="rId4"/>
    <sheet xmlns:r="http://schemas.openxmlformats.org/officeDocument/2006/relationships" name="4 - SEQUENZ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€&quot;"/>
    <numFmt numFmtId="165" formatCode="#,##0.00&quot; €&quot;"/>
    <numFmt numFmtId="166" formatCode="0.0%"/>
    <numFmt numFmtId="167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FAFAFA"/>
      </patternFill>
    </fill>
    <fill>
      <patternFill patternType="solid">
        <fgColor rgb="00C8E6C9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1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164" fontId="5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Posso smettere? Il simulatore a sei numeri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1 - I TUOI 6 NUMERI</t>
        </is>
      </c>
      <c r="B5" s="5" t="inlineStr">
        <is>
          <t>Sei numeri, un verdetto: il ponte fino alla pensione regge o no</t>
        </is>
      </c>
    </row>
    <row r="6" ht="22" customHeight="1">
      <c r="A6" s="4" t="inlineStr">
        <is>
          <t>2 - ANNO PER ANNO</t>
        </is>
      </c>
      <c r="B6" s="5" t="inlineStr">
        <is>
          <t>Il decumulo anno per anno, con imposta sulla plusvalenza e bollo</t>
        </is>
      </c>
    </row>
    <row r="7" ht="22" customHeight="1">
      <c r="A7" s="4" t="inlineStr">
        <is>
          <t>3 - MATRICE</t>
        </is>
      </c>
      <c r="B7" s="5" t="inlineStr">
        <is>
          <t>A che età finisce il capitale, per spesa e per rendimento</t>
        </is>
      </c>
    </row>
    <row r="8" ht="22" customHeight="1">
      <c r="A8" s="4" t="inlineStr">
        <is>
          <t>4 - SEQUENZA</t>
        </is>
      </c>
      <c r="B8" s="5" t="inlineStr">
        <is>
          <t>Stesso rendimento medio, ordine diverso: quanto cambia il risultato</t>
        </is>
      </c>
    </row>
    <row r="10">
      <c r="A10" s="3" t="inlineStr">
        <is>
          <t>Come usare</t>
        </is>
      </c>
    </row>
    <row r="11">
      <c r="A11" s="5" t="inlineStr">
        <is>
          <t>1. Le celle GIALLE sono input — modificale coi tuoi numeri.</t>
        </is>
      </c>
    </row>
    <row r="12">
      <c r="A12" s="5" t="inlineStr">
        <is>
          <t>2. Le celle VERDI sono output — si aggiornano automaticamente.</t>
        </is>
      </c>
    </row>
    <row r="13">
      <c r="A13" s="5" t="inlineStr">
        <is>
          <t>3. Tutti i numeri di default sono al 2026 da fonti pubbliche.</t>
        </is>
      </c>
    </row>
    <row r="14">
      <c r="A14" s="5" t="inlineStr">
        <is>
          <t>4. Niente codice nascosto: l'Excel è solo formule modificabili.</t>
        </is>
      </c>
    </row>
    <row r="16">
      <c r="A16" s="3" t="inlineStr">
        <is>
          <t>Fonti dati</t>
        </is>
      </c>
    </row>
    <row r="17">
      <c r="A17" s="5" t="inlineStr">
        <is>
          <t>• D.L. 66/2014 art. 3 e TUIR — imposta sostitutiva 26% sui redditi di natura finanziaria; 12,5% su titoli di Stato italiani ed emittenti white list</t>
        </is>
      </c>
    </row>
    <row r="18">
      <c r="A18" s="5" t="inlineStr">
        <is>
          <t>• D.P.R. 642/1972, Tariffa allegata art. 13 c. 2-ter — imposta di bollo sui prodotti finanziari: 0,2% annuo del valore di mercato</t>
        </is>
      </c>
    </row>
    <row r="19">
      <c r="A19" s="5" t="inlineStr">
        <is>
          <t>• Bengen W. (1994), Determining Withdrawal Rates Using Historical Data — SAFEMAX 4,15% su orizzonte di 30 anni</t>
        </is>
      </c>
    </row>
    <row r="20">
      <c r="A20" s="5" t="inlineStr">
        <is>
          <t>• Cooley P., Hubbard C., Walz D. (1998), Trinity Study — tassi di prelievo sostenibili e probabilità di successo per orizzonte e allocazione</t>
        </is>
      </c>
    </row>
    <row r="21">
      <c r="A21" s="5" t="inlineStr">
        <is>
          <t>• Morningstar (2025), The State of Retirement Income — tasso di prelievo iniziale sicuro 3,9% nello scenario base</t>
        </is>
      </c>
    </row>
    <row r="22">
      <c r="A22" s="5" t="inlineStr">
        <is>
          <t>• Rendimenti reali di lungo periodo di azionario e obbligazionario: ipotesi dichiarate, non previsioni. Cambia la cella gialla e guarda quanto conta</t>
        </is>
      </c>
    </row>
    <row r="24">
      <c r="A24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44" customWidth="1" min="4" max="4"/>
    <col width="18" customWidth="1" min="5" max="5"/>
  </cols>
  <sheetData>
    <row r="1" ht="25" customHeight="1">
      <c r="A1" s="1" t="inlineStr">
        <is>
          <t>Posso smettere? Il tuo caso in sei numeri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 TUOI 6 NUMERI — cambia solo le celle gialle</t>
        </is>
      </c>
    </row>
    <row r="5">
      <c r="A5" s="8" t="inlineStr">
        <is>
          <t>1. Quanti anni hai oggi</t>
        </is>
      </c>
      <c r="B5" s="9" t="n">
        <v>45</v>
      </c>
    </row>
    <row r="6">
      <c r="A6" s="8" t="inlineStr">
        <is>
          <t>2. Capitale investito oggi (€)</t>
        </is>
      </c>
      <c r="B6" s="10" t="n">
        <v>400000</v>
      </c>
    </row>
    <row r="7">
      <c r="A7" s="8" t="inlineStr">
        <is>
          <t>3. Quanto spendi davvero in un anno, netto (€)</t>
        </is>
      </c>
      <c r="B7" s="10" t="n">
        <v>24000</v>
      </c>
    </row>
    <row r="8">
      <c r="A8" s="8" t="inlineStr">
        <is>
          <t>4. Rendimento REALE atteso del portafoglio (%)</t>
        </is>
      </c>
      <c r="B8" s="11" t="n">
        <v>0.03</v>
      </c>
    </row>
    <row r="9">
      <c r="A9" s="8" t="inlineStr">
        <is>
          <t>5. Plusvalenza latente sul portafoglio oggi (%)</t>
        </is>
      </c>
      <c r="B9" s="11" t="n">
        <v>0.2</v>
      </c>
    </row>
    <row r="10" ht="60" customHeight="1">
      <c r="A10" s="8" t="inlineStr">
        <is>
          <t>6. A che età arriva la pensione pubblica</t>
        </is>
      </c>
      <c r="B10" s="9" t="n">
        <v>67</v>
      </c>
      <c r="D10" s="12" t="inlineStr">
        <is>
          <t>Oggi la vecchiaia è a 67 anni, 67 e 1 mese nel 2027, 67 e 3 mesi dal 2028. Ma per chi ci arriva intorno al 2050 la Ragioneria dello Stato proietta 69 anni: se hai meno di 50 anni, prova a scrivere 69 qui.</t>
        </is>
      </c>
    </row>
    <row r="11" ht="75" customHeight="1">
      <c r="A11" s="12" t="inlineStr">
        <is>
          <t>Il numero 3 è quello che decide tutto, ed è anche l'unico che nessuno conosce davvero: prendi l'estratto conto degli ultimi dodici mesi e somma, non stimare a memoria. Il numero 5 è la plusvalenza NON ancora realizzata: se hai investito 320.000 € e oggi il portafoglio ne vale 400.000, la plusvalenza latente è 80.000 su 400.000, cioè il 20%.</t>
        </is>
      </c>
    </row>
    <row r="13">
      <c r="A13" s="7" t="inlineStr">
        <is>
          <t>IPOTESI TECNICHE — puoi cambiarle, ma sappi cosa fai</t>
        </is>
      </c>
    </row>
    <row r="14">
      <c r="A14" s="8" t="inlineStr">
        <is>
          <t>Inflazione media attesa (%)</t>
        </is>
      </c>
      <c r="B14" s="11" t="n">
        <v>0.02</v>
      </c>
    </row>
    <row r="15">
      <c r="A15" s="8" t="inlineStr">
        <is>
          <t>Aliquota sulle plusvalenze (%)</t>
        </is>
      </c>
      <c r="B15" s="11" t="n">
        <v>0.26</v>
      </c>
    </row>
    <row r="16">
      <c r="A16" s="8" t="inlineStr">
        <is>
          <t>Imposta di bollo annua sul dossier (%)</t>
        </is>
      </c>
      <c r="B16" s="11" t="n">
        <v>0.002</v>
      </c>
    </row>
    <row r="17">
      <c r="A17" s="8" t="inlineStr">
        <is>
          <t>Base fiscale iniziale (quanto hai versato)</t>
        </is>
      </c>
      <c r="B17" s="13">
        <f>B6*(1-B9)</f>
        <v/>
      </c>
    </row>
    <row r="18">
      <c r="A18" s="8" t="inlineStr">
        <is>
          <t>Rendimento NOMINALE corrispondente</t>
        </is>
      </c>
      <c r="B18" s="14">
        <f>(1+B8)*(1+B14)-1</f>
        <v/>
      </c>
    </row>
    <row r="20">
      <c r="A20" s="7" t="inlineStr">
        <is>
          <t>IL VERDETTO</t>
        </is>
      </c>
    </row>
    <row r="21">
      <c r="A21" s="8" t="inlineStr">
        <is>
          <t>Anni interi in cui il capitale regge</t>
        </is>
      </c>
      <c r="B21" s="15">
        <f>COUNTIF('2 - ANNO PER ANNO'!J7:J52,"&gt;0")</f>
        <v/>
      </c>
    </row>
    <row r="22">
      <c r="A22" s="8" t="inlineStr">
        <is>
          <t>Età a cui il capitale finisce</t>
        </is>
      </c>
      <c r="B22" s="15">
        <f>B5+B21</f>
        <v/>
      </c>
    </row>
    <row r="23">
      <c r="A23" s="8" t="inlineStr">
        <is>
          <t>Anni da coprire fino alla pensione</t>
        </is>
      </c>
      <c r="B23" s="15">
        <f>MAX(0,B10-B5)</f>
        <v/>
      </c>
    </row>
    <row r="24">
      <c r="A24" s="8" t="inlineStr">
        <is>
          <t>VERDETTO SUL PONTE</t>
        </is>
      </c>
      <c r="B24" s="16">
        <f>IF(B21&gt;=B23,"SI - il ponte fino alla pensione regge","NO - il capitale finisce prima della pensione")</f>
        <v/>
      </c>
    </row>
    <row r="25">
      <c r="A25" s="8" t="inlineStr">
        <is>
          <t>Anni che ti mancano (0 = ce la fai)</t>
        </is>
      </c>
      <c r="B25" s="15">
        <f>MAX(0,B23-B21)</f>
        <v/>
      </c>
    </row>
    <row r="26">
      <c r="A26" s="8" t="inlineStr">
        <is>
          <t>Capitale in euro di oggi il giorno della pensione</t>
        </is>
      </c>
      <c r="B26" s="13">
        <f>IFERROR(MAX(0,INDEX('2 - ANNO PER ANNO'!L7:L52,MATCH(B10-1,'2 - ANNO PER ANNO'!A7:A52,0))),0)</f>
        <v/>
      </c>
    </row>
    <row r="28">
      <c r="A28" s="7" t="inlineStr">
        <is>
          <t>IL PRIMO ANNO, VOCE PER VOCE</t>
        </is>
      </c>
    </row>
    <row r="29">
      <c r="A29" s="8" t="inlineStr">
        <is>
          <t>Spesa netta che vuoi avere in mano</t>
        </is>
      </c>
      <c r="B29" s="17">
        <f>B7</f>
        <v/>
      </c>
    </row>
    <row r="30">
      <c r="A30" s="8" t="inlineStr">
        <is>
          <t>Prelievo LORDO necessario</t>
        </is>
      </c>
      <c r="B30" s="17">
        <f>'2 - ANNO PER ANNO'!G7</f>
        <v/>
      </c>
    </row>
    <row r="31">
      <c r="A31" s="8" t="inlineStr">
        <is>
          <t>Di cui imposta sulla plusvalenza</t>
        </is>
      </c>
      <c r="B31" s="17">
        <f>'2 - ANNO PER ANNO'!H7</f>
        <v/>
      </c>
    </row>
    <row r="32">
      <c r="A32" s="8" t="inlineStr">
        <is>
          <t>Imposta di bollo sul dossier</t>
        </is>
      </c>
      <c r="B32" s="17">
        <f>'2 - ANNO PER ANNO'!I7</f>
        <v/>
      </c>
    </row>
    <row r="33">
      <c r="A33" s="8" t="inlineStr">
        <is>
          <t>USCITA TOTALE dal portafoglio nel primo anno</t>
        </is>
      </c>
      <c r="B33" s="17">
        <f>'2 - ANNO PER ANNO'!G7+'2 - ANNO PER ANNO'!I7</f>
        <v/>
      </c>
    </row>
    <row r="34">
      <c r="A34" s="8" t="inlineStr">
        <is>
          <t>Tasso di prelievo effettivo sul capitale</t>
        </is>
      </c>
      <c r="B34" s="14">
        <f>IFERROR(B33/B6,0)</f>
        <v/>
      </c>
    </row>
    <row r="35">
      <c r="A35" s="8" t="inlineStr">
        <is>
          <t>Confronto: tasso di prelievo «sicuro» Morningstar 2025</t>
        </is>
      </c>
      <c r="B35" s="14">
        <f>0.039</f>
        <v/>
      </c>
    </row>
    <row r="37">
      <c r="A37" s="7" t="inlineStr">
        <is>
          <t>Quanto capitale servirebbe per coprire tutto il ponte</t>
        </is>
      </c>
    </row>
    <row r="38" ht="120" customHeight="1">
      <c r="A38" s="12" t="inlineStr">
        <is>
          <t>Valori calcolati con questo stesso modello, partendo da 45 anni con rendimento reale 3% e plusvalenza latente 20%. Sono il capitale MINIMO che, con quella spesa, arriva esattamente alla pensione: sotto quella cifra il ponte non regge. La seconda colonna usa i 67 anni di oggi, la terza i 69 anni proiettati dalla Ragioneria dello Stato per chi va in pensione intorno al 2050. Verificali: scrivi la cifra nella cella gialla del capitale, metti 67 o 69 nell'età della pensione, e guarda il verdetto qui sopra.</t>
        </is>
      </c>
    </row>
    <row r="39">
      <c r="A39" s="18" t="inlineStr">
        <is>
          <t>Spesa annua netta</t>
        </is>
      </c>
      <c r="B39" s="18" t="inlineStr">
        <is>
          <t>Per arrivare a 67 (22 anni)</t>
        </is>
      </c>
      <c r="C39" s="18" t="inlineStr">
        <is>
          <t>Per arrivare a 69 (24 anni)</t>
        </is>
      </c>
    </row>
    <row r="40">
      <c r="A40" s="8" t="inlineStr">
        <is>
          <t>18.000 €</t>
        </is>
      </c>
      <c r="B40" s="19" t="n">
        <v>344000</v>
      </c>
      <c r="C40" s="19" t="n">
        <v>368000</v>
      </c>
    </row>
    <row r="41">
      <c r="A41" s="8" t="inlineStr">
        <is>
          <t>24.000 €</t>
        </is>
      </c>
      <c r="B41" s="19" t="n">
        <v>459000</v>
      </c>
      <c r="C41" s="19" t="n">
        <v>491000</v>
      </c>
    </row>
    <row r="42">
      <c r="A42" s="8" t="inlineStr">
        <is>
          <t>30.000 €</t>
        </is>
      </c>
      <c r="B42" s="19" t="n">
        <v>573000</v>
      </c>
      <c r="C42" s="19" t="n">
        <v>613000</v>
      </c>
    </row>
    <row r="43">
      <c r="A43" s="8" t="inlineStr">
        <is>
          <t>36.000 €</t>
        </is>
      </c>
      <c r="B43" s="19" t="n">
        <v>688000</v>
      </c>
      <c r="C43" s="19" t="n">
        <v>736000</v>
      </c>
    </row>
    <row r="45" ht="75" customHeight="1">
      <c r="A45" s="12" t="inlineStr">
        <is>
          <t>Attenzione al confronto con la «regola del 4%»: quella regola nasce su orizzonti di 30 anni, su mercati americani e SENZA la fiscalità italiana. Qui il tasso di prelievo che vedi sopra è già comprensivo di imposta sulla plusvalenza e di bollo, ed è quindi più alto di quello che scriveresti guardando solo la spesa.</t>
        </is>
      </c>
    </row>
  </sheetData>
  <mergeCells count="11">
    <mergeCell ref="A1:D1"/>
    <mergeCell ref="A37:D37"/>
    <mergeCell ref="A38:B38"/>
    <mergeCell ref="D10:E10"/>
    <mergeCell ref="A4:D4"/>
    <mergeCell ref="A11:B11"/>
    <mergeCell ref="A20:D20"/>
    <mergeCell ref="A45:B45"/>
    <mergeCell ref="A2:D2"/>
    <mergeCell ref="A28:D28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4" customWidth="1" min="4" max="4"/>
    <col width="16" customWidth="1" min="5" max="5"/>
    <col width="12" customWidth="1" min="6" max="6"/>
    <col width="14" customWidth="1" min="7" max="7"/>
    <col width="13" customWidth="1" min="8" max="8"/>
    <col width="11" customWidth="1" min="9" max="9"/>
    <col width="16" customWidth="1" min="10" max="10"/>
    <col width="8" customWidth="1" min="11" max="11"/>
    <col width="16" customWidth="1" min="12" max="12"/>
  </cols>
  <sheetData>
    <row r="1" ht="25" customHeight="1">
      <c r="A1" s="1" t="inlineStr">
        <is>
          <t>Il ponte, anno per anno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 ht="45" customHeight="1">
      <c r="A3" s="12" t="inlineStr">
        <is>
          <t>Tutti i valori sono NOMINALI (euro correnti dell'anno) tranne l'ultima colonna, che riporta il capitale in euro di oggi. La colonna «quota plusvalenza» è la parte di ogni vendita che risulta guadagno: cresce nel tempo perché la base fiscale si consuma, e per questo l'imposta pesa sempre di più. Riga in cui il capitale finale diventa negativo = anno in cui il capitale si esaurisce.</t>
        </is>
      </c>
    </row>
    <row r="6">
      <c r="A6" s="18" t="inlineStr">
        <is>
          <t>Età</t>
        </is>
      </c>
      <c r="B6" s="18" t="inlineStr">
        <is>
          <t>Anno</t>
        </is>
      </c>
      <c r="C6" s="18" t="inlineStr">
        <is>
          <t>Capitale inizio</t>
        </is>
      </c>
      <c r="D6" s="18" t="inlineStr">
        <is>
          <t>Spesa netta</t>
        </is>
      </c>
      <c r="E6" s="18" t="inlineStr">
        <is>
          <t>Base fiscale</t>
        </is>
      </c>
      <c r="F6" s="18" t="inlineStr">
        <is>
          <t>Quota plus.</t>
        </is>
      </c>
      <c r="G6" s="18" t="inlineStr">
        <is>
          <t>Prelievo lordo</t>
        </is>
      </c>
      <c r="H6" s="18" t="inlineStr">
        <is>
          <t>Imposta</t>
        </is>
      </c>
      <c r="I6" s="18" t="inlineStr">
        <is>
          <t>Bollo</t>
        </is>
      </c>
      <c r="J6" s="18" t="inlineStr">
        <is>
          <t>Capitale fine</t>
        </is>
      </c>
      <c r="L6" s="18" t="inlineStr">
        <is>
          <t>Capitale in € di oggi</t>
        </is>
      </c>
    </row>
    <row r="7">
      <c r="A7" s="20">
        <f>'1 - I TUOI 6 NUMERI'!$B$5+0</f>
        <v/>
      </c>
      <c r="B7" s="20">
        <f>2026+0</f>
        <v/>
      </c>
      <c r="C7" s="21">
        <f>'1 - I TUOI 6 NUMERI'!$B$6</f>
        <v/>
      </c>
      <c r="D7" s="21">
        <f>'1 - I TUOI 6 NUMERI'!$B$7*(1+'1 - I TUOI 6 NUMERI'!$B$14)^0</f>
        <v/>
      </c>
      <c r="E7" s="21">
        <f>'1 - I TUOI 6 NUMERI'!$B$17</f>
        <v/>
      </c>
      <c r="F7" s="22">
        <f>IF(C7&lt;=0,0,MEDIAN(0,(C7-E7)/C7,1))</f>
        <v/>
      </c>
      <c r="G7" s="21">
        <f>IF(C7&lt;=0,0,D7/(1-'1 - I TUOI 6 NUMERI'!$B$15*F7))</f>
        <v/>
      </c>
      <c r="H7" s="21">
        <f>'1 - I TUOI 6 NUMERI'!$B$15*G7*F7</f>
        <v/>
      </c>
      <c r="I7" s="21">
        <f>IF(C7&lt;=0,0,'1 - I TUOI 6 NUMERI'!$B$16*C7)</f>
        <v/>
      </c>
      <c r="J7" s="21">
        <f>IF(C7&lt;=0,0,(C7-G7-I7)*(1+'1 - I TUOI 6 NUMERI'!$B$18))</f>
        <v/>
      </c>
      <c r="L7" s="21">
        <f>J7/(1+'1 - I TUOI 6 NUMERI'!$B$14)^1</f>
        <v/>
      </c>
    </row>
    <row r="8">
      <c r="A8" s="20">
        <f>'1 - I TUOI 6 NUMERI'!$B$5+1</f>
        <v/>
      </c>
      <c r="B8" s="20">
        <f>2026+1</f>
        <v/>
      </c>
      <c r="C8" s="21">
        <f>J7</f>
        <v/>
      </c>
      <c r="D8" s="21">
        <f>'1 - I TUOI 6 NUMERI'!$B$7*(1+'1 - I TUOI 6 NUMERI'!$B$14)^1</f>
        <v/>
      </c>
      <c r="E8" s="21">
        <f>MAX(0,E7-G7*(1-F7))</f>
        <v/>
      </c>
      <c r="F8" s="22">
        <f>IF(C8&lt;=0,0,MEDIAN(0,(C8-E8)/C8,1))</f>
        <v/>
      </c>
      <c r="G8" s="21">
        <f>IF(C8&lt;=0,0,D8/(1-'1 - I TUOI 6 NUMERI'!$B$15*F8))</f>
        <v/>
      </c>
      <c r="H8" s="21">
        <f>'1 - I TUOI 6 NUMERI'!$B$15*G8*F8</f>
        <v/>
      </c>
      <c r="I8" s="21">
        <f>IF(C8&lt;=0,0,'1 - I TUOI 6 NUMERI'!$B$16*C8)</f>
        <v/>
      </c>
      <c r="J8" s="21">
        <f>IF(C8&lt;=0,0,(C8-G8-I8)*(1+'1 - I TUOI 6 NUMERI'!$B$18))</f>
        <v/>
      </c>
      <c r="L8" s="21">
        <f>J8/(1+'1 - I TUOI 6 NUMERI'!$B$14)^2</f>
        <v/>
      </c>
    </row>
    <row r="9">
      <c r="A9" s="20">
        <f>'1 - I TUOI 6 NUMERI'!$B$5+2</f>
        <v/>
      </c>
      <c r="B9" s="20">
        <f>2026+2</f>
        <v/>
      </c>
      <c r="C9" s="21">
        <f>J8</f>
        <v/>
      </c>
      <c r="D9" s="21">
        <f>'1 - I TUOI 6 NUMERI'!$B$7*(1+'1 - I TUOI 6 NUMERI'!$B$14)^2</f>
        <v/>
      </c>
      <c r="E9" s="21">
        <f>MAX(0,E8-G8*(1-F8))</f>
        <v/>
      </c>
      <c r="F9" s="22">
        <f>IF(C9&lt;=0,0,MEDIAN(0,(C9-E9)/C9,1))</f>
        <v/>
      </c>
      <c r="G9" s="21">
        <f>IF(C9&lt;=0,0,D9/(1-'1 - I TUOI 6 NUMERI'!$B$15*F9))</f>
        <v/>
      </c>
      <c r="H9" s="21">
        <f>'1 - I TUOI 6 NUMERI'!$B$15*G9*F9</f>
        <v/>
      </c>
      <c r="I9" s="21">
        <f>IF(C9&lt;=0,0,'1 - I TUOI 6 NUMERI'!$B$16*C9)</f>
        <v/>
      </c>
      <c r="J9" s="21">
        <f>IF(C9&lt;=0,0,(C9-G9-I9)*(1+'1 - I TUOI 6 NUMERI'!$B$18))</f>
        <v/>
      </c>
      <c r="L9" s="21">
        <f>J9/(1+'1 - I TUOI 6 NUMERI'!$B$14)^3</f>
        <v/>
      </c>
    </row>
    <row r="10">
      <c r="A10" s="20">
        <f>'1 - I TUOI 6 NUMERI'!$B$5+3</f>
        <v/>
      </c>
      <c r="B10" s="20">
        <f>2026+3</f>
        <v/>
      </c>
      <c r="C10" s="21">
        <f>J9</f>
        <v/>
      </c>
      <c r="D10" s="21">
        <f>'1 - I TUOI 6 NUMERI'!$B$7*(1+'1 - I TUOI 6 NUMERI'!$B$14)^3</f>
        <v/>
      </c>
      <c r="E10" s="21">
        <f>MAX(0,E9-G9*(1-F9))</f>
        <v/>
      </c>
      <c r="F10" s="22">
        <f>IF(C10&lt;=0,0,MEDIAN(0,(C10-E10)/C10,1))</f>
        <v/>
      </c>
      <c r="G10" s="21">
        <f>IF(C10&lt;=0,0,D10/(1-'1 - I TUOI 6 NUMERI'!$B$15*F10))</f>
        <v/>
      </c>
      <c r="H10" s="21">
        <f>'1 - I TUOI 6 NUMERI'!$B$15*G10*F10</f>
        <v/>
      </c>
      <c r="I10" s="21">
        <f>IF(C10&lt;=0,0,'1 - I TUOI 6 NUMERI'!$B$16*C10)</f>
        <v/>
      </c>
      <c r="J10" s="21">
        <f>IF(C10&lt;=0,0,(C10-G10-I10)*(1+'1 - I TUOI 6 NUMERI'!$B$18))</f>
        <v/>
      </c>
      <c r="L10" s="21">
        <f>J10/(1+'1 - I TUOI 6 NUMERI'!$B$14)^4</f>
        <v/>
      </c>
    </row>
    <row r="11">
      <c r="A11" s="20">
        <f>'1 - I TUOI 6 NUMERI'!$B$5+4</f>
        <v/>
      </c>
      <c r="B11" s="20">
        <f>2026+4</f>
        <v/>
      </c>
      <c r="C11" s="21">
        <f>J10</f>
        <v/>
      </c>
      <c r="D11" s="21">
        <f>'1 - I TUOI 6 NUMERI'!$B$7*(1+'1 - I TUOI 6 NUMERI'!$B$14)^4</f>
        <v/>
      </c>
      <c r="E11" s="21">
        <f>MAX(0,E10-G10*(1-F10))</f>
        <v/>
      </c>
      <c r="F11" s="22">
        <f>IF(C11&lt;=0,0,MEDIAN(0,(C11-E11)/C11,1))</f>
        <v/>
      </c>
      <c r="G11" s="21">
        <f>IF(C11&lt;=0,0,D11/(1-'1 - I TUOI 6 NUMERI'!$B$15*F11))</f>
        <v/>
      </c>
      <c r="H11" s="21">
        <f>'1 - I TUOI 6 NUMERI'!$B$15*G11*F11</f>
        <v/>
      </c>
      <c r="I11" s="21">
        <f>IF(C11&lt;=0,0,'1 - I TUOI 6 NUMERI'!$B$16*C11)</f>
        <v/>
      </c>
      <c r="J11" s="21">
        <f>IF(C11&lt;=0,0,(C11-G11-I11)*(1+'1 - I TUOI 6 NUMERI'!$B$18))</f>
        <v/>
      </c>
      <c r="L11" s="21">
        <f>J11/(1+'1 - I TUOI 6 NUMERI'!$B$14)^5</f>
        <v/>
      </c>
    </row>
    <row r="12">
      <c r="A12" s="20">
        <f>'1 - I TUOI 6 NUMERI'!$B$5+5</f>
        <v/>
      </c>
      <c r="B12" s="20">
        <f>2026+5</f>
        <v/>
      </c>
      <c r="C12" s="21">
        <f>J11</f>
        <v/>
      </c>
      <c r="D12" s="21">
        <f>'1 - I TUOI 6 NUMERI'!$B$7*(1+'1 - I TUOI 6 NUMERI'!$B$14)^5</f>
        <v/>
      </c>
      <c r="E12" s="21">
        <f>MAX(0,E11-G11*(1-F11))</f>
        <v/>
      </c>
      <c r="F12" s="22">
        <f>IF(C12&lt;=0,0,MEDIAN(0,(C12-E12)/C12,1))</f>
        <v/>
      </c>
      <c r="G12" s="21">
        <f>IF(C12&lt;=0,0,D12/(1-'1 - I TUOI 6 NUMERI'!$B$15*F12))</f>
        <v/>
      </c>
      <c r="H12" s="21">
        <f>'1 - I TUOI 6 NUMERI'!$B$15*G12*F12</f>
        <v/>
      </c>
      <c r="I12" s="21">
        <f>IF(C12&lt;=0,0,'1 - I TUOI 6 NUMERI'!$B$16*C12)</f>
        <v/>
      </c>
      <c r="J12" s="21">
        <f>IF(C12&lt;=0,0,(C12-G12-I12)*(1+'1 - I TUOI 6 NUMERI'!$B$18))</f>
        <v/>
      </c>
      <c r="L12" s="21">
        <f>J12/(1+'1 - I TUOI 6 NUMERI'!$B$14)^6</f>
        <v/>
      </c>
    </row>
    <row r="13">
      <c r="A13" s="20">
        <f>'1 - I TUOI 6 NUMERI'!$B$5+6</f>
        <v/>
      </c>
      <c r="B13" s="20">
        <f>2026+6</f>
        <v/>
      </c>
      <c r="C13" s="21">
        <f>J12</f>
        <v/>
      </c>
      <c r="D13" s="21">
        <f>'1 - I TUOI 6 NUMERI'!$B$7*(1+'1 - I TUOI 6 NUMERI'!$B$14)^6</f>
        <v/>
      </c>
      <c r="E13" s="21">
        <f>MAX(0,E12-G12*(1-F12))</f>
        <v/>
      </c>
      <c r="F13" s="22">
        <f>IF(C13&lt;=0,0,MEDIAN(0,(C13-E13)/C13,1))</f>
        <v/>
      </c>
      <c r="G13" s="21">
        <f>IF(C13&lt;=0,0,D13/(1-'1 - I TUOI 6 NUMERI'!$B$15*F13))</f>
        <v/>
      </c>
      <c r="H13" s="21">
        <f>'1 - I TUOI 6 NUMERI'!$B$15*G13*F13</f>
        <v/>
      </c>
      <c r="I13" s="21">
        <f>IF(C13&lt;=0,0,'1 - I TUOI 6 NUMERI'!$B$16*C13)</f>
        <v/>
      </c>
      <c r="J13" s="21">
        <f>IF(C13&lt;=0,0,(C13-G13-I13)*(1+'1 - I TUOI 6 NUMERI'!$B$18))</f>
        <v/>
      </c>
      <c r="L13" s="21">
        <f>J13/(1+'1 - I TUOI 6 NUMERI'!$B$14)^7</f>
        <v/>
      </c>
    </row>
    <row r="14">
      <c r="A14" s="20">
        <f>'1 - I TUOI 6 NUMERI'!$B$5+7</f>
        <v/>
      </c>
      <c r="B14" s="20">
        <f>2026+7</f>
        <v/>
      </c>
      <c r="C14" s="21">
        <f>J13</f>
        <v/>
      </c>
      <c r="D14" s="21">
        <f>'1 - I TUOI 6 NUMERI'!$B$7*(1+'1 - I TUOI 6 NUMERI'!$B$14)^7</f>
        <v/>
      </c>
      <c r="E14" s="21">
        <f>MAX(0,E13-G13*(1-F13))</f>
        <v/>
      </c>
      <c r="F14" s="22">
        <f>IF(C14&lt;=0,0,MEDIAN(0,(C14-E14)/C14,1))</f>
        <v/>
      </c>
      <c r="G14" s="21">
        <f>IF(C14&lt;=0,0,D14/(1-'1 - I TUOI 6 NUMERI'!$B$15*F14))</f>
        <v/>
      </c>
      <c r="H14" s="21">
        <f>'1 - I TUOI 6 NUMERI'!$B$15*G14*F14</f>
        <v/>
      </c>
      <c r="I14" s="21">
        <f>IF(C14&lt;=0,0,'1 - I TUOI 6 NUMERI'!$B$16*C14)</f>
        <v/>
      </c>
      <c r="J14" s="21">
        <f>IF(C14&lt;=0,0,(C14-G14-I14)*(1+'1 - I TUOI 6 NUMERI'!$B$18))</f>
        <v/>
      </c>
      <c r="L14" s="21">
        <f>J14/(1+'1 - I TUOI 6 NUMERI'!$B$14)^8</f>
        <v/>
      </c>
    </row>
    <row r="15">
      <c r="A15" s="20">
        <f>'1 - I TUOI 6 NUMERI'!$B$5+8</f>
        <v/>
      </c>
      <c r="B15" s="20">
        <f>2026+8</f>
        <v/>
      </c>
      <c r="C15" s="21">
        <f>J14</f>
        <v/>
      </c>
      <c r="D15" s="21">
        <f>'1 - I TUOI 6 NUMERI'!$B$7*(1+'1 - I TUOI 6 NUMERI'!$B$14)^8</f>
        <v/>
      </c>
      <c r="E15" s="21">
        <f>MAX(0,E14-G14*(1-F14))</f>
        <v/>
      </c>
      <c r="F15" s="22">
        <f>IF(C15&lt;=0,0,MEDIAN(0,(C15-E15)/C15,1))</f>
        <v/>
      </c>
      <c r="G15" s="21">
        <f>IF(C15&lt;=0,0,D15/(1-'1 - I TUOI 6 NUMERI'!$B$15*F15))</f>
        <v/>
      </c>
      <c r="H15" s="21">
        <f>'1 - I TUOI 6 NUMERI'!$B$15*G15*F15</f>
        <v/>
      </c>
      <c r="I15" s="21">
        <f>IF(C15&lt;=0,0,'1 - I TUOI 6 NUMERI'!$B$16*C15)</f>
        <v/>
      </c>
      <c r="J15" s="21">
        <f>IF(C15&lt;=0,0,(C15-G15-I15)*(1+'1 - I TUOI 6 NUMERI'!$B$18))</f>
        <v/>
      </c>
      <c r="L15" s="21">
        <f>J15/(1+'1 - I TUOI 6 NUMERI'!$B$14)^9</f>
        <v/>
      </c>
    </row>
    <row r="16">
      <c r="A16" s="20">
        <f>'1 - I TUOI 6 NUMERI'!$B$5+9</f>
        <v/>
      </c>
      <c r="B16" s="20">
        <f>2026+9</f>
        <v/>
      </c>
      <c r="C16" s="21">
        <f>J15</f>
        <v/>
      </c>
      <c r="D16" s="21">
        <f>'1 - I TUOI 6 NUMERI'!$B$7*(1+'1 - I TUOI 6 NUMERI'!$B$14)^9</f>
        <v/>
      </c>
      <c r="E16" s="21">
        <f>MAX(0,E15-G15*(1-F15))</f>
        <v/>
      </c>
      <c r="F16" s="22">
        <f>IF(C16&lt;=0,0,MEDIAN(0,(C16-E16)/C16,1))</f>
        <v/>
      </c>
      <c r="G16" s="21">
        <f>IF(C16&lt;=0,0,D16/(1-'1 - I TUOI 6 NUMERI'!$B$15*F16))</f>
        <v/>
      </c>
      <c r="H16" s="21">
        <f>'1 - I TUOI 6 NUMERI'!$B$15*G16*F16</f>
        <v/>
      </c>
      <c r="I16" s="21">
        <f>IF(C16&lt;=0,0,'1 - I TUOI 6 NUMERI'!$B$16*C16)</f>
        <v/>
      </c>
      <c r="J16" s="21">
        <f>IF(C16&lt;=0,0,(C16-G16-I16)*(1+'1 - I TUOI 6 NUMERI'!$B$18))</f>
        <v/>
      </c>
      <c r="L16" s="21">
        <f>J16/(1+'1 - I TUOI 6 NUMERI'!$B$14)^10</f>
        <v/>
      </c>
    </row>
    <row r="17">
      <c r="A17" s="20">
        <f>'1 - I TUOI 6 NUMERI'!$B$5+10</f>
        <v/>
      </c>
      <c r="B17" s="20">
        <f>2026+10</f>
        <v/>
      </c>
      <c r="C17" s="21">
        <f>J16</f>
        <v/>
      </c>
      <c r="D17" s="21">
        <f>'1 - I TUOI 6 NUMERI'!$B$7*(1+'1 - I TUOI 6 NUMERI'!$B$14)^10</f>
        <v/>
      </c>
      <c r="E17" s="21">
        <f>MAX(0,E16-G16*(1-F16))</f>
        <v/>
      </c>
      <c r="F17" s="22">
        <f>IF(C17&lt;=0,0,MEDIAN(0,(C17-E17)/C17,1))</f>
        <v/>
      </c>
      <c r="G17" s="21">
        <f>IF(C17&lt;=0,0,D17/(1-'1 - I TUOI 6 NUMERI'!$B$15*F17))</f>
        <v/>
      </c>
      <c r="H17" s="21">
        <f>'1 - I TUOI 6 NUMERI'!$B$15*G17*F17</f>
        <v/>
      </c>
      <c r="I17" s="21">
        <f>IF(C17&lt;=0,0,'1 - I TUOI 6 NUMERI'!$B$16*C17)</f>
        <v/>
      </c>
      <c r="J17" s="21">
        <f>IF(C17&lt;=0,0,(C17-G17-I17)*(1+'1 - I TUOI 6 NUMERI'!$B$18))</f>
        <v/>
      </c>
      <c r="L17" s="21">
        <f>J17/(1+'1 - I TUOI 6 NUMERI'!$B$14)^11</f>
        <v/>
      </c>
    </row>
    <row r="18">
      <c r="A18" s="20">
        <f>'1 - I TUOI 6 NUMERI'!$B$5+11</f>
        <v/>
      </c>
      <c r="B18" s="20">
        <f>2026+11</f>
        <v/>
      </c>
      <c r="C18" s="21">
        <f>J17</f>
        <v/>
      </c>
      <c r="D18" s="21">
        <f>'1 - I TUOI 6 NUMERI'!$B$7*(1+'1 - I TUOI 6 NUMERI'!$B$14)^11</f>
        <v/>
      </c>
      <c r="E18" s="21">
        <f>MAX(0,E17-G17*(1-F17))</f>
        <v/>
      </c>
      <c r="F18" s="22">
        <f>IF(C18&lt;=0,0,MEDIAN(0,(C18-E18)/C18,1))</f>
        <v/>
      </c>
      <c r="G18" s="21">
        <f>IF(C18&lt;=0,0,D18/(1-'1 - I TUOI 6 NUMERI'!$B$15*F18))</f>
        <v/>
      </c>
      <c r="H18" s="21">
        <f>'1 - I TUOI 6 NUMERI'!$B$15*G18*F18</f>
        <v/>
      </c>
      <c r="I18" s="21">
        <f>IF(C18&lt;=0,0,'1 - I TUOI 6 NUMERI'!$B$16*C18)</f>
        <v/>
      </c>
      <c r="J18" s="21">
        <f>IF(C18&lt;=0,0,(C18-G18-I18)*(1+'1 - I TUOI 6 NUMERI'!$B$18))</f>
        <v/>
      </c>
      <c r="L18" s="21">
        <f>J18/(1+'1 - I TUOI 6 NUMERI'!$B$14)^12</f>
        <v/>
      </c>
    </row>
    <row r="19">
      <c r="A19" s="20">
        <f>'1 - I TUOI 6 NUMERI'!$B$5+12</f>
        <v/>
      </c>
      <c r="B19" s="20">
        <f>2026+12</f>
        <v/>
      </c>
      <c r="C19" s="21">
        <f>J18</f>
        <v/>
      </c>
      <c r="D19" s="21">
        <f>'1 - I TUOI 6 NUMERI'!$B$7*(1+'1 - I TUOI 6 NUMERI'!$B$14)^12</f>
        <v/>
      </c>
      <c r="E19" s="21">
        <f>MAX(0,E18-G18*(1-F18))</f>
        <v/>
      </c>
      <c r="F19" s="22">
        <f>IF(C19&lt;=0,0,MEDIAN(0,(C19-E19)/C19,1))</f>
        <v/>
      </c>
      <c r="G19" s="21">
        <f>IF(C19&lt;=0,0,D19/(1-'1 - I TUOI 6 NUMERI'!$B$15*F19))</f>
        <v/>
      </c>
      <c r="H19" s="21">
        <f>'1 - I TUOI 6 NUMERI'!$B$15*G19*F19</f>
        <v/>
      </c>
      <c r="I19" s="21">
        <f>IF(C19&lt;=0,0,'1 - I TUOI 6 NUMERI'!$B$16*C19)</f>
        <v/>
      </c>
      <c r="J19" s="21">
        <f>IF(C19&lt;=0,0,(C19-G19-I19)*(1+'1 - I TUOI 6 NUMERI'!$B$18))</f>
        <v/>
      </c>
      <c r="L19" s="21">
        <f>J19/(1+'1 - I TUOI 6 NUMERI'!$B$14)^13</f>
        <v/>
      </c>
    </row>
    <row r="20">
      <c r="A20" s="20">
        <f>'1 - I TUOI 6 NUMERI'!$B$5+13</f>
        <v/>
      </c>
      <c r="B20" s="20">
        <f>2026+13</f>
        <v/>
      </c>
      <c r="C20" s="21">
        <f>J19</f>
        <v/>
      </c>
      <c r="D20" s="21">
        <f>'1 - I TUOI 6 NUMERI'!$B$7*(1+'1 - I TUOI 6 NUMERI'!$B$14)^13</f>
        <v/>
      </c>
      <c r="E20" s="21">
        <f>MAX(0,E19-G19*(1-F19))</f>
        <v/>
      </c>
      <c r="F20" s="22">
        <f>IF(C20&lt;=0,0,MEDIAN(0,(C20-E20)/C20,1))</f>
        <v/>
      </c>
      <c r="G20" s="21">
        <f>IF(C20&lt;=0,0,D20/(1-'1 - I TUOI 6 NUMERI'!$B$15*F20))</f>
        <v/>
      </c>
      <c r="H20" s="21">
        <f>'1 - I TUOI 6 NUMERI'!$B$15*G20*F20</f>
        <v/>
      </c>
      <c r="I20" s="21">
        <f>IF(C20&lt;=0,0,'1 - I TUOI 6 NUMERI'!$B$16*C20)</f>
        <v/>
      </c>
      <c r="J20" s="21">
        <f>IF(C20&lt;=0,0,(C20-G20-I20)*(1+'1 - I TUOI 6 NUMERI'!$B$18))</f>
        <v/>
      </c>
      <c r="L20" s="21">
        <f>J20/(1+'1 - I TUOI 6 NUMERI'!$B$14)^14</f>
        <v/>
      </c>
    </row>
    <row r="21">
      <c r="A21" s="20">
        <f>'1 - I TUOI 6 NUMERI'!$B$5+14</f>
        <v/>
      </c>
      <c r="B21" s="20">
        <f>2026+14</f>
        <v/>
      </c>
      <c r="C21" s="21">
        <f>J20</f>
        <v/>
      </c>
      <c r="D21" s="21">
        <f>'1 - I TUOI 6 NUMERI'!$B$7*(1+'1 - I TUOI 6 NUMERI'!$B$14)^14</f>
        <v/>
      </c>
      <c r="E21" s="21">
        <f>MAX(0,E20-G20*(1-F20))</f>
        <v/>
      </c>
      <c r="F21" s="22">
        <f>IF(C21&lt;=0,0,MEDIAN(0,(C21-E21)/C21,1))</f>
        <v/>
      </c>
      <c r="G21" s="21">
        <f>IF(C21&lt;=0,0,D21/(1-'1 - I TUOI 6 NUMERI'!$B$15*F21))</f>
        <v/>
      </c>
      <c r="H21" s="21">
        <f>'1 - I TUOI 6 NUMERI'!$B$15*G21*F21</f>
        <v/>
      </c>
      <c r="I21" s="21">
        <f>IF(C21&lt;=0,0,'1 - I TUOI 6 NUMERI'!$B$16*C21)</f>
        <v/>
      </c>
      <c r="J21" s="21">
        <f>IF(C21&lt;=0,0,(C21-G21-I21)*(1+'1 - I TUOI 6 NUMERI'!$B$18))</f>
        <v/>
      </c>
      <c r="L21" s="21">
        <f>J21/(1+'1 - I TUOI 6 NUMERI'!$B$14)^15</f>
        <v/>
      </c>
    </row>
    <row r="22">
      <c r="A22" s="20">
        <f>'1 - I TUOI 6 NUMERI'!$B$5+15</f>
        <v/>
      </c>
      <c r="B22" s="20">
        <f>2026+15</f>
        <v/>
      </c>
      <c r="C22" s="21">
        <f>J21</f>
        <v/>
      </c>
      <c r="D22" s="21">
        <f>'1 - I TUOI 6 NUMERI'!$B$7*(1+'1 - I TUOI 6 NUMERI'!$B$14)^15</f>
        <v/>
      </c>
      <c r="E22" s="21">
        <f>MAX(0,E21-G21*(1-F21))</f>
        <v/>
      </c>
      <c r="F22" s="22">
        <f>IF(C22&lt;=0,0,MEDIAN(0,(C22-E22)/C22,1))</f>
        <v/>
      </c>
      <c r="G22" s="21">
        <f>IF(C22&lt;=0,0,D22/(1-'1 - I TUOI 6 NUMERI'!$B$15*F22))</f>
        <v/>
      </c>
      <c r="H22" s="21">
        <f>'1 - I TUOI 6 NUMERI'!$B$15*G22*F22</f>
        <v/>
      </c>
      <c r="I22" s="21">
        <f>IF(C22&lt;=0,0,'1 - I TUOI 6 NUMERI'!$B$16*C22)</f>
        <v/>
      </c>
      <c r="J22" s="21">
        <f>IF(C22&lt;=0,0,(C22-G22-I22)*(1+'1 - I TUOI 6 NUMERI'!$B$18))</f>
        <v/>
      </c>
      <c r="L22" s="21">
        <f>J22/(1+'1 - I TUOI 6 NUMERI'!$B$14)^16</f>
        <v/>
      </c>
    </row>
    <row r="23">
      <c r="A23" s="20">
        <f>'1 - I TUOI 6 NUMERI'!$B$5+16</f>
        <v/>
      </c>
      <c r="B23" s="20">
        <f>2026+16</f>
        <v/>
      </c>
      <c r="C23" s="21">
        <f>J22</f>
        <v/>
      </c>
      <c r="D23" s="21">
        <f>'1 - I TUOI 6 NUMERI'!$B$7*(1+'1 - I TUOI 6 NUMERI'!$B$14)^16</f>
        <v/>
      </c>
      <c r="E23" s="21">
        <f>MAX(0,E22-G22*(1-F22))</f>
        <v/>
      </c>
      <c r="F23" s="22">
        <f>IF(C23&lt;=0,0,MEDIAN(0,(C23-E23)/C23,1))</f>
        <v/>
      </c>
      <c r="G23" s="21">
        <f>IF(C23&lt;=0,0,D23/(1-'1 - I TUOI 6 NUMERI'!$B$15*F23))</f>
        <v/>
      </c>
      <c r="H23" s="21">
        <f>'1 - I TUOI 6 NUMERI'!$B$15*G23*F23</f>
        <v/>
      </c>
      <c r="I23" s="21">
        <f>IF(C23&lt;=0,0,'1 - I TUOI 6 NUMERI'!$B$16*C23)</f>
        <v/>
      </c>
      <c r="J23" s="21">
        <f>IF(C23&lt;=0,0,(C23-G23-I23)*(1+'1 - I TUOI 6 NUMERI'!$B$18))</f>
        <v/>
      </c>
      <c r="L23" s="21">
        <f>J23/(1+'1 - I TUOI 6 NUMERI'!$B$14)^17</f>
        <v/>
      </c>
    </row>
    <row r="24">
      <c r="A24" s="20">
        <f>'1 - I TUOI 6 NUMERI'!$B$5+17</f>
        <v/>
      </c>
      <c r="B24" s="20">
        <f>2026+17</f>
        <v/>
      </c>
      <c r="C24" s="21">
        <f>J23</f>
        <v/>
      </c>
      <c r="D24" s="21">
        <f>'1 - I TUOI 6 NUMERI'!$B$7*(1+'1 - I TUOI 6 NUMERI'!$B$14)^17</f>
        <v/>
      </c>
      <c r="E24" s="21">
        <f>MAX(0,E23-G23*(1-F23))</f>
        <v/>
      </c>
      <c r="F24" s="22">
        <f>IF(C24&lt;=0,0,MEDIAN(0,(C24-E24)/C24,1))</f>
        <v/>
      </c>
      <c r="G24" s="21">
        <f>IF(C24&lt;=0,0,D24/(1-'1 - I TUOI 6 NUMERI'!$B$15*F24))</f>
        <v/>
      </c>
      <c r="H24" s="21">
        <f>'1 - I TUOI 6 NUMERI'!$B$15*G24*F24</f>
        <v/>
      </c>
      <c r="I24" s="21">
        <f>IF(C24&lt;=0,0,'1 - I TUOI 6 NUMERI'!$B$16*C24)</f>
        <v/>
      </c>
      <c r="J24" s="21">
        <f>IF(C24&lt;=0,0,(C24-G24-I24)*(1+'1 - I TUOI 6 NUMERI'!$B$18))</f>
        <v/>
      </c>
      <c r="L24" s="21">
        <f>J24/(1+'1 - I TUOI 6 NUMERI'!$B$14)^18</f>
        <v/>
      </c>
    </row>
    <row r="25">
      <c r="A25" s="20">
        <f>'1 - I TUOI 6 NUMERI'!$B$5+18</f>
        <v/>
      </c>
      <c r="B25" s="20">
        <f>2026+18</f>
        <v/>
      </c>
      <c r="C25" s="21">
        <f>J24</f>
        <v/>
      </c>
      <c r="D25" s="21">
        <f>'1 - I TUOI 6 NUMERI'!$B$7*(1+'1 - I TUOI 6 NUMERI'!$B$14)^18</f>
        <v/>
      </c>
      <c r="E25" s="21">
        <f>MAX(0,E24-G24*(1-F24))</f>
        <v/>
      </c>
      <c r="F25" s="22">
        <f>IF(C25&lt;=0,0,MEDIAN(0,(C25-E25)/C25,1))</f>
        <v/>
      </c>
      <c r="G25" s="21">
        <f>IF(C25&lt;=0,0,D25/(1-'1 - I TUOI 6 NUMERI'!$B$15*F25))</f>
        <v/>
      </c>
      <c r="H25" s="21">
        <f>'1 - I TUOI 6 NUMERI'!$B$15*G25*F25</f>
        <v/>
      </c>
      <c r="I25" s="21">
        <f>IF(C25&lt;=0,0,'1 - I TUOI 6 NUMERI'!$B$16*C25)</f>
        <v/>
      </c>
      <c r="J25" s="21">
        <f>IF(C25&lt;=0,0,(C25-G25-I25)*(1+'1 - I TUOI 6 NUMERI'!$B$18))</f>
        <v/>
      </c>
      <c r="L25" s="21">
        <f>J25/(1+'1 - I TUOI 6 NUMERI'!$B$14)^19</f>
        <v/>
      </c>
    </row>
    <row r="26">
      <c r="A26" s="20">
        <f>'1 - I TUOI 6 NUMERI'!$B$5+19</f>
        <v/>
      </c>
      <c r="B26" s="20">
        <f>2026+19</f>
        <v/>
      </c>
      <c r="C26" s="21">
        <f>J25</f>
        <v/>
      </c>
      <c r="D26" s="21">
        <f>'1 - I TUOI 6 NUMERI'!$B$7*(1+'1 - I TUOI 6 NUMERI'!$B$14)^19</f>
        <v/>
      </c>
      <c r="E26" s="21">
        <f>MAX(0,E25-G25*(1-F25))</f>
        <v/>
      </c>
      <c r="F26" s="22">
        <f>IF(C26&lt;=0,0,MEDIAN(0,(C26-E26)/C26,1))</f>
        <v/>
      </c>
      <c r="G26" s="21">
        <f>IF(C26&lt;=0,0,D26/(1-'1 - I TUOI 6 NUMERI'!$B$15*F26))</f>
        <v/>
      </c>
      <c r="H26" s="21">
        <f>'1 - I TUOI 6 NUMERI'!$B$15*G26*F26</f>
        <v/>
      </c>
      <c r="I26" s="21">
        <f>IF(C26&lt;=0,0,'1 - I TUOI 6 NUMERI'!$B$16*C26)</f>
        <v/>
      </c>
      <c r="J26" s="21">
        <f>IF(C26&lt;=0,0,(C26-G26-I26)*(1+'1 - I TUOI 6 NUMERI'!$B$18))</f>
        <v/>
      </c>
      <c r="L26" s="21">
        <f>J26/(1+'1 - I TUOI 6 NUMERI'!$B$14)^20</f>
        <v/>
      </c>
    </row>
    <row r="27">
      <c r="A27" s="20">
        <f>'1 - I TUOI 6 NUMERI'!$B$5+20</f>
        <v/>
      </c>
      <c r="B27" s="20">
        <f>2026+20</f>
        <v/>
      </c>
      <c r="C27" s="21">
        <f>J26</f>
        <v/>
      </c>
      <c r="D27" s="21">
        <f>'1 - I TUOI 6 NUMERI'!$B$7*(1+'1 - I TUOI 6 NUMERI'!$B$14)^20</f>
        <v/>
      </c>
      <c r="E27" s="21">
        <f>MAX(0,E26-G26*(1-F26))</f>
        <v/>
      </c>
      <c r="F27" s="22">
        <f>IF(C27&lt;=0,0,MEDIAN(0,(C27-E27)/C27,1))</f>
        <v/>
      </c>
      <c r="G27" s="21">
        <f>IF(C27&lt;=0,0,D27/(1-'1 - I TUOI 6 NUMERI'!$B$15*F27))</f>
        <v/>
      </c>
      <c r="H27" s="21">
        <f>'1 - I TUOI 6 NUMERI'!$B$15*G27*F27</f>
        <v/>
      </c>
      <c r="I27" s="21">
        <f>IF(C27&lt;=0,0,'1 - I TUOI 6 NUMERI'!$B$16*C27)</f>
        <v/>
      </c>
      <c r="J27" s="21">
        <f>IF(C27&lt;=0,0,(C27-G27-I27)*(1+'1 - I TUOI 6 NUMERI'!$B$18))</f>
        <v/>
      </c>
      <c r="L27" s="21">
        <f>J27/(1+'1 - I TUOI 6 NUMERI'!$B$14)^21</f>
        <v/>
      </c>
    </row>
    <row r="28">
      <c r="A28" s="20">
        <f>'1 - I TUOI 6 NUMERI'!$B$5+21</f>
        <v/>
      </c>
      <c r="B28" s="20">
        <f>2026+21</f>
        <v/>
      </c>
      <c r="C28" s="21">
        <f>J27</f>
        <v/>
      </c>
      <c r="D28" s="21">
        <f>'1 - I TUOI 6 NUMERI'!$B$7*(1+'1 - I TUOI 6 NUMERI'!$B$14)^21</f>
        <v/>
      </c>
      <c r="E28" s="21">
        <f>MAX(0,E27-G27*(1-F27))</f>
        <v/>
      </c>
      <c r="F28" s="22">
        <f>IF(C28&lt;=0,0,MEDIAN(0,(C28-E28)/C28,1))</f>
        <v/>
      </c>
      <c r="G28" s="21">
        <f>IF(C28&lt;=0,0,D28/(1-'1 - I TUOI 6 NUMERI'!$B$15*F28))</f>
        <v/>
      </c>
      <c r="H28" s="21">
        <f>'1 - I TUOI 6 NUMERI'!$B$15*G28*F28</f>
        <v/>
      </c>
      <c r="I28" s="21">
        <f>IF(C28&lt;=0,0,'1 - I TUOI 6 NUMERI'!$B$16*C28)</f>
        <v/>
      </c>
      <c r="J28" s="21">
        <f>IF(C28&lt;=0,0,(C28-G28-I28)*(1+'1 - I TUOI 6 NUMERI'!$B$18))</f>
        <v/>
      </c>
      <c r="L28" s="21">
        <f>J28/(1+'1 - I TUOI 6 NUMERI'!$B$14)^22</f>
        <v/>
      </c>
    </row>
    <row r="29">
      <c r="A29" s="20">
        <f>'1 - I TUOI 6 NUMERI'!$B$5+22</f>
        <v/>
      </c>
      <c r="B29" s="20">
        <f>2026+22</f>
        <v/>
      </c>
      <c r="C29" s="21">
        <f>J28</f>
        <v/>
      </c>
      <c r="D29" s="21">
        <f>'1 - I TUOI 6 NUMERI'!$B$7*(1+'1 - I TUOI 6 NUMERI'!$B$14)^22</f>
        <v/>
      </c>
      <c r="E29" s="21">
        <f>MAX(0,E28-G28*(1-F28))</f>
        <v/>
      </c>
      <c r="F29" s="22">
        <f>IF(C29&lt;=0,0,MEDIAN(0,(C29-E29)/C29,1))</f>
        <v/>
      </c>
      <c r="G29" s="21">
        <f>IF(C29&lt;=0,0,D29/(1-'1 - I TUOI 6 NUMERI'!$B$15*F29))</f>
        <v/>
      </c>
      <c r="H29" s="21">
        <f>'1 - I TUOI 6 NUMERI'!$B$15*G29*F29</f>
        <v/>
      </c>
      <c r="I29" s="21">
        <f>IF(C29&lt;=0,0,'1 - I TUOI 6 NUMERI'!$B$16*C29)</f>
        <v/>
      </c>
      <c r="J29" s="21">
        <f>IF(C29&lt;=0,0,(C29-G29-I29)*(1+'1 - I TUOI 6 NUMERI'!$B$18))</f>
        <v/>
      </c>
      <c r="L29" s="21">
        <f>J29/(1+'1 - I TUOI 6 NUMERI'!$B$14)^23</f>
        <v/>
      </c>
    </row>
    <row r="30">
      <c r="A30" s="20">
        <f>'1 - I TUOI 6 NUMERI'!$B$5+23</f>
        <v/>
      </c>
      <c r="B30" s="20">
        <f>2026+23</f>
        <v/>
      </c>
      <c r="C30" s="21">
        <f>J29</f>
        <v/>
      </c>
      <c r="D30" s="21">
        <f>'1 - I TUOI 6 NUMERI'!$B$7*(1+'1 - I TUOI 6 NUMERI'!$B$14)^23</f>
        <v/>
      </c>
      <c r="E30" s="21">
        <f>MAX(0,E29-G29*(1-F29))</f>
        <v/>
      </c>
      <c r="F30" s="22">
        <f>IF(C30&lt;=0,0,MEDIAN(0,(C30-E30)/C30,1))</f>
        <v/>
      </c>
      <c r="G30" s="21">
        <f>IF(C30&lt;=0,0,D30/(1-'1 - I TUOI 6 NUMERI'!$B$15*F30))</f>
        <v/>
      </c>
      <c r="H30" s="21">
        <f>'1 - I TUOI 6 NUMERI'!$B$15*G30*F30</f>
        <v/>
      </c>
      <c r="I30" s="21">
        <f>IF(C30&lt;=0,0,'1 - I TUOI 6 NUMERI'!$B$16*C30)</f>
        <v/>
      </c>
      <c r="J30" s="21">
        <f>IF(C30&lt;=0,0,(C30-G30-I30)*(1+'1 - I TUOI 6 NUMERI'!$B$18))</f>
        <v/>
      </c>
      <c r="L30" s="21">
        <f>J30/(1+'1 - I TUOI 6 NUMERI'!$B$14)^24</f>
        <v/>
      </c>
    </row>
    <row r="31">
      <c r="A31" s="20">
        <f>'1 - I TUOI 6 NUMERI'!$B$5+24</f>
        <v/>
      </c>
      <c r="B31" s="20">
        <f>2026+24</f>
        <v/>
      </c>
      <c r="C31" s="21">
        <f>J30</f>
        <v/>
      </c>
      <c r="D31" s="21">
        <f>'1 - I TUOI 6 NUMERI'!$B$7*(1+'1 - I TUOI 6 NUMERI'!$B$14)^24</f>
        <v/>
      </c>
      <c r="E31" s="21">
        <f>MAX(0,E30-G30*(1-F30))</f>
        <v/>
      </c>
      <c r="F31" s="22">
        <f>IF(C31&lt;=0,0,MEDIAN(0,(C31-E31)/C31,1))</f>
        <v/>
      </c>
      <c r="G31" s="21">
        <f>IF(C31&lt;=0,0,D31/(1-'1 - I TUOI 6 NUMERI'!$B$15*F31))</f>
        <v/>
      </c>
      <c r="H31" s="21">
        <f>'1 - I TUOI 6 NUMERI'!$B$15*G31*F31</f>
        <v/>
      </c>
      <c r="I31" s="21">
        <f>IF(C31&lt;=0,0,'1 - I TUOI 6 NUMERI'!$B$16*C31)</f>
        <v/>
      </c>
      <c r="J31" s="21">
        <f>IF(C31&lt;=0,0,(C31-G31-I31)*(1+'1 - I TUOI 6 NUMERI'!$B$18))</f>
        <v/>
      </c>
      <c r="L31" s="21">
        <f>J31/(1+'1 - I TUOI 6 NUMERI'!$B$14)^25</f>
        <v/>
      </c>
    </row>
    <row r="32">
      <c r="A32" s="20">
        <f>'1 - I TUOI 6 NUMERI'!$B$5+25</f>
        <v/>
      </c>
      <c r="B32" s="20">
        <f>2026+25</f>
        <v/>
      </c>
      <c r="C32" s="21">
        <f>J31</f>
        <v/>
      </c>
      <c r="D32" s="21">
        <f>'1 - I TUOI 6 NUMERI'!$B$7*(1+'1 - I TUOI 6 NUMERI'!$B$14)^25</f>
        <v/>
      </c>
      <c r="E32" s="21">
        <f>MAX(0,E31-G31*(1-F31))</f>
        <v/>
      </c>
      <c r="F32" s="22">
        <f>IF(C32&lt;=0,0,MEDIAN(0,(C32-E32)/C32,1))</f>
        <v/>
      </c>
      <c r="G32" s="21">
        <f>IF(C32&lt;=0,0,D32/(1-'1 - I TUOI 6 NUMERI'!$B$15*F32))</f>
        <v/>
      </c>
      <c r="H32" s="21">
        <f>'1 - I TUOI 6 NUMERI'!$B$15*G32*F32</f>
        <v/>
      </c>
      <c r="I32" s="21">
        <f>IF(C32&lt;=0,0,'1 - I TUOI 6 NUMERI'!$B$16*C32)</f>
        <v/>
      </c>
      <c r="J32" s="21">
        <f>IF(C32&lt;=0,0,(C32-G32-I32)*(1+'1 - I TUOI 6 NUMERI'!$B$18))</f>
        <v/>
      </c>
      <c r="L32" s="21">
        <f>J32/(1+'1 - I TUOI 6 NUMERI'!$B$14)^26</f>
        <v/>
      </c>
    </row>
    <row r="33">
      <c r="A33" s="20">
        <f>'1 - I TUOI 6 NUMERI'!$B$5+26</f>
        <v/>
      </c>
      <c r="B33" s="20">
        <f>2026+26</f>
        <v/>
      </c>
      <c r="C33" s="21">
        <f>J32</f>
        <v/>
      </c>
      <c r="D33" s="21">
        <f>'1 - I TUOI 6 NUMERI'!$B$7*(1+'1 - I TUOI 6 NUMERI'!$B$14)^26</f>
        <v/>
      </c>
      <c r="E33" s="21">
        <f>MAX(0,E32-G32*(1-F32))</f>
        <v/>
      </c>
      <c r="F33" s="22">
        <f>IF(C33&lt;=0,0,MEDIAN(0,(C33-E33)/C33,1))</f>
        <v/>
      </c>
      <c r="G33" s="21">
        <f>IF(C33&lt;=0,0,D33/(1-'1 - I TUOI 6 NUMERI'!$B$15*F33))</f>
        <v/>
      </c>
      <c r="H33" s="21">
        <f>'1 - I TUOI 6 NUMERI'!$B$15*G33*F33</f>
        <v/>
      </c>
      <c r="I33" s="21">
        <f>IF(C33&lt;=0,0,'1 - I TUOI 6 NUMERI'!$B$16*C33)</f>
        <v/>
      </c>
      <c r="J33" s="21">
        <f>IF(C33&lt;=0,0,(C33-G33-I33)*(1+'1 - I TUOI 6 NUMERI'!$B$18))</f>
        <v/>
      </c>
      <c r="L33" s="21">
        <f>J33/(1+'1 - I TUOI 6 NUMERI'!$B$14)^27</f>
        <v/>
      </c>
    </row>
    <row r="34">
      <c r="A34" s="20">
        <f>'1 - I TUOI 6 NUMERI'!$B$5+27</f>
        <v/>
      </c>
      <c r="B34" s="20">
        <f>2026+27</f>
        <v/>
      </c>
      <c r="C34" s="21">
        <f>J33</f>
        <v/>
      </c>
      <c r="D34" s="21">
        <f>'1 - I TUOI 6 NUMERI'!$B$7*(1+'1 - I TUOI 6 NUMERI'!$B$14)^27</f>
        <v/>
      </c>
      <c r="E34" s="21">
        <f>MAX(0,E33-G33*(1-F33))</f>
        <v/>
      </c>
      <c r="F34" s="22">
        <f>IF(C34&lt;=0,0,MEDIAN(0,(C34-E34)/C34,1))</f>
        <v/>
      </c>
      <c r="G34" s="21">
        <f>IF(C34&lt;=0,0,D34/(1-'1 - I TUOI 6 NUMERI'!$B$15*F34))</f>
        <v/>
      </c>
      <c r="H34" s="21">
        <f>'1 - I TUOI 6 NUMERI'!$B$15*G34*F34</f>
        <v/>
      </c>
      <c r="I34" s="21">
        <f>IF(C34&lt;=0,0,'1 - I TUOI 6 NUMERI'!$B$16*C34)</f>
        <v/>
      </c>
      <c r="J34" s="21">
        <f>IF(C34&lt;=0,0,(C34-G34-I34)*(1+'1 - I TUOI 6 NUMERI'!$B$18))</f>
        <v/>
      </c>
      <c r="L34" s="21">
        <f>J34/(1+'1 - I TUOI 6 NUMERI'!$B$14)^28</f>
        <v/>
      </c>
    </row>
    <row r="35">
      <c r="A35" s="20">
        <f>'1 - I TUOI 6 NUMERI'!$B$5+28</f>
        <v/>
      </c>
      <c r="B35" s="20">
        <f>2026+28</f>
        <v/>
      </c>
      <c r="C35" s="21">
        <f>J34</f>
        <v/>
      </c>
      <c r="D35" s="21">
        <f>'1 - I TUOI 6 NUMERI'!$B$7*(1+'1 - I TUOI 6 NUMERI'!$B$14)^28</f>
        <v/>
      </c>
      <c r="E35" s="21">
        <f>MAX(0,E34-G34*(1-F34))</f>
        <v/>
      </c>
      <c r="F35" s="22">
        <f>IF(C35&lt;=0,0,MEDIAN(0,(C35-E35)/C35,1))</f>
        <v/>
      </c>
      <c r="G35" s="21">
        <f>IF(C35&lt;=0,0,D35/(1-'1 - I TUOI 6 NUMERI'!$B$15*F35))</f>
        <v/>
      </c>
      <c r="H35" s="21">
        <f>'1 - I TUOI 6 NUMERI'!$B$15*G35*F35</f>
        <v/>
      </c>
      <c r="I35" s="21">
        <f>IF(C35&lt;=0,0,'1 - I TUOI 6 NUMERI'!$B$16*C35)</f>
        <v/>
      </c>
      <c r="J35" s="21">
        <f>IF(C35&lt;=0,0,(C35-G35-I35)*(1+'1 - I TUOI 6 NUMERI'!$B$18))</f>
        <v/>
      </c>
      <c r="L35" s="21">
        <f>J35/(1+'1 - I TUOI 6 NUMERI'!$B$14)^29</f>
        <v/>
      </c>
    </row>
    <row r="36">
      <c r="A36" s="20">
        <f>'1 - I TUOI 6 NUMERI'!$B$5+29</f>
        <v/>
      </c>
      <c r="B36" s="20">
        <f>2026+29</f>
        <v/>
      </c>
      <c r="C36" s="21">
        <f>J35</f>
        <v/>
      </c>
      <c r="D36" s="21">
        <f>'1 - I TUOI 6 NUMERI'!$B$7*(1+'1 - I TUOI 6 NUMERI'!$B$14)^29</f>
        <v/>
      </c>
      <c r="E36" s="21">
        <f>MAX(0,E35-G35*(1-F35))</f>
        <v/>
      </c>
      <c r="F36" s="22">
        <f>IF(C36&lt;=0,0,MEDIAN(0,(C36-E36)/C36,1))</f>
        <v/>
      </c>
      <c r="G36" s="21">
        <f>IF(C36&lt;=0,0,D36/(1-'1 - I TUOI 6 NUMERI'!$B$15*F36))</f>
        <v/>
      </c>
      <c r="H36" s="21">
        <f>'1 - I TUOI 6 NUMERI'!$B$15*G36*F36</f>
        <v/>
      </c>
      <c r="I36" s="21">
        <f>IF(C36&lt;=0,0,'1 - I TUOI 6 NUMERI'!$B$16*C36)</f>
        <v/>
      </c>
      <c r="J36" s="21">
        <f>IF(C36&lt;=0,0,(C36-G36-I36)*(1+'1 - I TUOI 6 NUMERI'!$B$18))</f>
        <v/>
      </c>
      <c r="L36" s="21">
        <f>J36/(1+'1 - I TUOI 6 NUMERI'!$B$14)^30</f>
        <v/>
      </c>
    </row>
    <row r="37">
      <c r="A37" s="20">
        <f>'1 - I TUOI 6 NUMERI'!$B$5+30</f>
        <v/>
      </c>
      <c r="B37" s="20">
        <f>2026+30</f>
        <v/>
      </c>
      <c r="C37" s="21">
        <f>J36</f>
        <v/>
      </c>
      <c r="D37" s="21">
        <f>'1 - I TUOI 6 NUMERI'!$B$7*(1+'1 - I TUOI 6 NUMERI'!$B$14)^30</f>
        <v/>
      </c>
      <c r="E37" s="21">
        <f>MAX(0,E36-G36*(1-F36))</f>
        <v/>
      </c>
      <c r="F37" s="22">
        <f>IF(C37&lt;=0,0,MEDIAN(0,(C37-E37)/C37,1))</f>
        <v/>
      </c>
      <c r="G37" s="21">
        <f>IF(C37&lt;=0,0,D37/(1-'1 - I TUOI 6 NUMERI'!$B$15*F37))</f>
        <v/>
      </c>
      <c r="H37" s="21">
        <f>'1 - I TUOI 6 NUMERI'!$B$15*G37*F37</f>
        <v/>
      </c>
      <c r="I37" s="21">
        <f>IF(C37&lt;=0,0,'1 - I TUOI 6 NUMERI'!$B$16*C37)</f>
        <v/>
      </c>
      <c r="J37" s="21">
        <f>IF(C37&lt;=0,0,(C37-G37-I37)*(1+'1 - I TUOI 6 NUMERI'!$B$18))</f>
        <v/>
      </c>
      <c r="L37" s="21">
        <f>J37/(1+'1 - I TUOI 6 NUMERI'!$B$14)^31</f>
        <v/>
      </c>
    </row>
    <row r="38">
      <c r="A38" s="20">
        <f>'1 - I TUOI 6 NUMERI'!$B$5+31</f>
        <v/>
      </c>
      <c r="B38" s="20">
        <f>2026+31</f>
        <v/>
      </c>
      <c r="C38" s="21">
        <f>J37</f>
        <v/>
      </c>
      <c r="D38" s="21">
        <f>'1 - I TUOI 6 NUMERI'!$B$7*(1+'1 - I TUOI 6 NUMERI'!$B$14)^31</f>
        <v/>
      </c>
      <c r="E38" s="21">
        <f>MAX(0,E37-G37*(1-F37))</f>
        <v/>
      </c>
      <c r="F38" s="22">
        <f>IF(C38&lt;=0,0,MEDIAN(0,(C38-E38)/C38,1))</f>
        <v/>
      </c>
      <c r="G38" s="21">
        <f>IF(C38&lt;=0,0,D38/(1-'1 - I TUOI 6 NUMERI'!$B$15*F38))</f>
        <v/>
      </c>
      <c r="H38" s="21">
        <f>'1 - I TUOI 6 NUMERI'!$B$15*G38*F38</f>
        <v/>
      </c>
      <c r="I38" s="21">
        <f>IF(C38&lt;=0,0,'1 - I TUOI 6 NUMERI'!$B$16*C38)</f>
        <v/>
      </c>
      <c r="J38" s="21">
        <f>IF(C38&lt;=0,0,(C38-G38-I38)*(1+'1 - I TUOI 6 NUMERI'!$B$18))</f>
        <v/>
      </c>
      <c r="L38" s="21">
        <f>J38/(1+'1 - I TUOI 6 NUMERI'!$B$14)^32</f>
        <v/>
      </c>
    </row>
    <row r="39">
      <c r="A39" s="20">
        <f>'1 - I TUOI 6 NUMERI'!$B$5+32</f>
        <v/>
      </c>
      <c r="B39" s="20">
        <f>2026+32</f>
        <v/>
      </c>
      <c r="C39" s="21">
        <f>J38</f>
        <v/>
      </c>
      <c r="D39" s="21">
        <f>'1 - I TUOI 6 NUMERI'!$B$7*(1+'1 - I TUOI 6 NUMERI'!$B$14)^32</f>
        <v/>
      </c>
      <c r="E39" s="21">
        <f>MAX(0,E38-G38*(1-F38))</f>
        <v/>
      </c>
      <c r="F39" s="22">
        <f>IF(C39&lt;=0,0,MEDIAN(0,(C39-E39)/C39,1))</f>
        <v/>
      </c>
      <c r="G39" s="21">
        <f>IF(C39&lt;=0,0,D39/(1-'1 - I TUOI 6 NUMERI'!$B$15*F39))</f>
        <v/>
      </c>
      <c r="H39" s="21">
        <f>'1 - I TUOI 6 NUMERI'!$B$15*G39*F39</f>
        <v/>
      </c>
      <c r="I39" s="21">
        <f>IF(C39&lt;=0,0,'1 - I TUOI 6 NUMERI'!$B$16*C39)</f>
        <v/>
      </c>
      <c r="J39" s="21">
        <f>IF(C39&lt;=0,0,(C39-G39-I39)*(1+'1 - I TUOI 6 NUMERI'!$B$18))</f>
        <v/>
      </c>
      <c r="L39" s="21">
        <f>J39/(1+'1 - I TUOI 6 NUMERI'!$B$14)^33</f>
        <v/>
      </c>
    </row>
    <row r="40">
      <c r="A40" s="20">
        <f>'1 - I TUOI 6 NUMERI'!$B$5+33</f>
        <v/>
      </c>
      <c r="B40" s="20">
        <f>2026+33</f>
        <v/>
      </c>
      <c r="C40" s="21">
        <f>J39</f>
        <v/>
      </c>
      <c r="D40" s="21">
        <f>'1 - I TUOI 6 NUMERI'!$B$7*(1+'1 - I TUOI 6 NUMERI'!$B$14)^33</f>
        <v/>
      </c>
      <c r="E40" s="21">
        <f>MAX(0,E39-G39*(1-F39))</f>
        <v/>
      </c>
      <c r="F40" s="22">
        <f>IF(C40&lt;=0,0,MEDIAN(0,(C40-E40)/C40,1))</f>
        <v/>
      </c>
      <c r="G40" s="21">
        <f>IF(C40&lt;=0,0,D40/(1-'1 - I TUOI 6 NUMERI'!$B$15*F40))</f>
        <v/>
      </c>
      <c r="H40" s="21">
        <f>'1 - I TUOI 6 NUMERI'!$B$15*G40*F40</f>
        <v/>
      </c>
      <c r="I40" s="21">
        <f>IF(C40&lt;=0,0,'1 - I TUOI 6 NUMERI'!$B$16*C40)</f>
        <v/>
      </c>
      <c r="J40" s="21">
        <f>IF(C40&lt;=0,0,(C40-G40-I40)*(1+'1 - I TUOI 6 NUMERI'!$B$18))</f>
        <v/>
      </c>
      <c r="L40" s="21">
        <f>J40/(1+'1 - I TUOI 6 NUMERI'!$B$14)^34</f>
        <v/>
      </c>
    </row>
    <row r="41">
      <c r="A41" s="20">
        <f>'1 - I TUOI 6 NUMERI'!$B$5+34</f>
        <v/>
      </c>
      <c r="B41" s="20">
        <f>2026+34</f>
        <v/>
      </c>
      <c r="C41" s="21">
        <f>J40</f>
        <v/>
      </c>
      <c r="D41" s="21">
        <f>'1 - I TUOI 6 NUMERI'!$B$7*(1+'1 - I TUOI 6 NUMERI'!$B$14)^34</f>
        <v/>
      </c>
      <c r="E41" s="21">
        <f>MAX(0,E40-G40*(1-F40))</f>
        <v/>
      </c>
      <c r="F41" s="22">
        <f>IF(C41&lt;=0,0,MEDIAN(0,(C41-E41)/C41,1))</f>
        <v/>
      </c>
      <c r="G41" s="21">
        <f>IF(C41&lt;=0,0,D41/(1-'1 - I TUOI 6 NUMERI'!$B$15*F41))</f>
        <v/>
      </c>
      <c r="H41" s="21">
        <f>'1 - I TUOI 6 NUMERI'!$B$15*G41*F41</f>
        <v/>
      </c>
      <c r="I41" s="21">
        <f>IF(C41&lt;=0,0,'1 - I TUOI 6 NUMERI'!$B$16*C41)</f>
        <v/>
      </c>
      <c r="J41" s="21">
        <f>IF(C41&lt;=0,0,(C41-G41-I41)*(1+'1 - I TUOI 6 NUMERI'!$B$18))</f>
        <v/>
      </c>
      <c r="L41" s="21">
        <f>J41/(1+'1 - I TUOI 6 NUMERI'!$B$14)^35</f>
        <v/>
      </c>
    </row>
    <row r="42">
      <c r="A42" s="20">
        <f>'1 - I TUOI 6 NUMERI'!$B$5+35</f>
        <v/>
      </c>
      <c r="B42" s="20">
        <f>2026+35</f>
        <v/>
      </c>
      <c r="C42" s="21">
        <f>J41</f>
        <v/>
      </c>
      <c r="D42" s="21">
        <f>'1 - I TUOI 6 NUMERI'!$B$7*(1+'1 - I TUOI 6 NUMERI'!$B$14)^35</f>
        <v/>
      </c>
      <c r="E42" s="21">
        <f>MAX(0,E41-G41*(1-F41))</f>
        <v/>
      </c>
      <c r="F42" s="22">
        <f>IF(C42&lt;=0,0,MEDIAN(0,(C42-E42)/C42,1))</f>
        <v/>
      </c>
      <c r="G42" s="21">
        <f>IF(C42&lt;=0,0,D42/(1-'1 - I TUOI 6 NUMERI'!$B$15*F42))</f>
        <v/>
      </c>
      <c r="H42" s="21">
        <f>'1 - I TUOI 6 NUMERI'!$B$15*G42*F42</f>
        <v/>
      </c>
      <c r="I42" s="21">
        <f>IF(C42&lt;=0,0,'1 - I TUOI 6 NUMERI'!$B$16*C42)</f>
        <v/>
      </c>
      <c r="J42" s="21">
        <f>IF(C42&lt;=0,0,(C42-G42-I42)*(1+'1 - I TUOI 6 NUMERI'!$B$18))</f>
        <v/>
      </c>
      <c r="L42" s="21">
        <f>J42/(1+'1 - I TUOI 6 NUMERI'!$B$14)^36</f>
        <v/>
      </c>
    </row>
    <row r="43">
      <c r="A43" s="20">
        <f>'1 - I TUOI 6 NUMERI'!$B$5+36</f>
        <v/>
      </c>
      <c r="B43" s="20">
        <f>2026+36</f>
        <v/>
      </c>
      <c r="C43" s="21">
        <f>J42</f>
        <v/>
      </c>
      <c r="D43" s="21">
        <f>'1 - I TUOI 6 NUMERI'!$B$7*(1+'1 - I TUOI 6 NUMERI'!$B$14)^36</f>
        <v/>
      </c>
      <c r="E43" s="21">
        <f>MAX(0,E42-G42*(1-F42))</f>
        <v/>
      </c>
      <c r="F43" s="22">
        <f>IF(C43&lt;=0,0,MEDIAN(0,(C43-E43)/C43,1))</f>
        <v/>
      </c>
      <c r="G43" s="21">
        <f>IF(C43&lt;=0,0,D43/(1-'1 - I TUOI 6 NUMERI'!$B$15*F43))</f>
        <v/>
      </c>
      <c r="H43" s="21">
        <f>'1 - I TUOI 6 NUMERI'!$B$15*G43*F43</f>
        <v/>
      </c>
      <c r="I43" s="21">
        <f>IF(C43&lt;=0,0,'1 - I TUOI 6 NUMERI'!$B$16*C43)</f>
        <v/>
      </c>
      <c r="J43" s="21">
        <f>IF(C43&lt;=0,0,(C43-G43-I43)*(1+'1 - I TUOI 6 NUMERI'!$B$18))</f>
        <v/>
      </c>
      <c r="L43" s="21">
        <f>J43/(1+'1 - I TUOI 6 NUMERI'!$B$14)^37</f>
        <v/>
      </c>
    </row>
    <row r="44">
      <c r="A44" s="20">
        <f>'1 - I TUOI 6 NUMERI'!$B$5+37</f>
        <v/>
      </c>
      <c r="B44" s="20">
        <f>2026+37</f>
        <v/>
      </c>
      <c r="C44" s="21">
        <f>J43</f>
        <v/>
      </c>
      <c r="D44" s="21">
        <f>'1 - I TUOI 6 NUMERI'!$B$7*(1+'1 - I TUOI 6 NUMERI'!$B$14)^37</f>
        <v/>
      </c>
      <c r="E44" s="21">
        <f>MAX(0,E43-G43*(1-F43))</f>
        <v/>
      </c>
      <c r="F44" s="22">
        <f>IF(C44&lt;=0,0,MEDIAN(0,(C44-E44)/C44,1))</f>
        <v/>
      </c>
      <c r="G44" s="21">
        <f>IF(C44&lt;=0,0,D44/(1-'1 - I TUOI 6 NUMERI'!$B$15*F44))</f>
        <v/>
      </c>
      <c r="H44" s="21">
        <f>'1 - I TUOI 6 NUMERI'!$B$15*G44*F44</f>
        <v/>
      </c>
      <c r="I44" s="21">
        <f>IF(C44&lt;=0,0,'1 - I TUOI 6 NUMERI'!$B$16*C44)</f>
        <v/>
      </c>
      <c r="J44" s="21">
        <f>IF(C44&lt;=0,0,(C44-G44-I44)*(1+'1 - I TUOI 6 NUMERI'!$B$18))</f>
        <v/>
      </c>
      <c r="L44" s="21">
        <f>J44/(1+'1 - I TUOI 6 NUMERI'!$B$14)^38</f>
        <v/>
      </c>
    </row>
    <row r="45">
      <c r="A45" s="20">
        <f>'1 - I TUOI 6 NUMERI'!$B$5+38</f>
        <v/>
      </c>
      <c r="B45" s="20">
        <f>2026+38</f>
        <v/>
      </c>
      <c r="C45" s="21">
        <f>J44</f>
        <v/>
      </c>
      <c r="D45" s="21">
        <f>'1 - I TUOI 6 NUMERI'!$B$7*(1+'1 - I TUOI 6 NUMERI'!$B$14)^38</f>
        <v/>
      </c>
      <c r="E45" s="21">
        <f>MAX(0,E44-G44*(1-F44))</f>
        <v/>
      </c>
      <c r="F45" s="22">
        <f>IF(C45&lt;=0,0,MEDIAN(0,(C45-E45)/C45,1))</f>
        <v/>
      </c>
      <c r="G45" s="21">
        <f>IF(C45&lt;=0,0,D45/(1-'1 - I TUOI 6 NUMERI'!$B$15*F45))</f>
        <v/>
      </c>
      <c r="H45" s="21">
        <f>'1 - I TUOI 6 NUMERI'!$B$15*G45*F45</f>
        <v/>
      </c>
      <c r="I45" s="21">
        <f>IF(C45&lt;=0,0,'1 - I TUOI 6 NUMERI'!$B$16*C45)</f>
        <v/>
      </c>
      <c r="J45" s="21">
        <f>IF(C45&lt;=0,0,(C45-G45-I45)*(1+'1 - I TUOI 6 NUMERI'!$B$18))</f>
        <v/>
      </c>
      <c r="L45" s="21">
        <f>J45/(1+'1 - I TUOI 6 NUMERI'!$B$14)^39</f>
        <v/>
      </c>
    </row>
    <row r="46">
      <c r="A46" s="20">
        <f>'1 - I TUOI 6 NUMERI'!$B$5+39</f>
        <v/>
      </c>
      <c r="B46" s="20">
        <f>2026+39</f>
        <v/>
      </c>
      <c r="C46" s="21">
        <f>J45</f>
        <v/>
      </c>
      <c r="D46" s="21">
        <f>'1 - I TUOI 6 NUMERI'!$B$7*(1+'1 - I TUOI 6 NUMERI'!$B$14)^39</f>
        <v/>
      </c>
      <c r="E46" s="21">
        <f>MAX(0,E45-G45*(1-F45))</f>
        <v/>
      </c>
      <c r="F46" s="22">
        <f>IF(C46&lt;=0,0,MEDIAN(0,(C46-E46)/C46,1))</f>
        <v/>
      </c>
      <c r="G46" s="21">
        <f>IF(C46&lt;=0,0,D46/(1-'1 - I TUOI 6 NUMERI'!$B$15*F46))</f>
        <v/>
      </c>
      <c r="H46" s="21">
        <f>'1 - I TUOI 6 NUMERI'!$B$15*G46*F46</f>
        <v/>
      </c>
      <c r="I46" s="21">
        <f>IF(C46&lt;=0,0,'1 - I TUOI 6 NUMERI'!$B$16*C46)</f>
        <v/>
      </c>
      <c r="J46" s="21">
        <f>IF(C46&lt;=0,0,(C46-G46-I46)*(1+'1 - I TUOI 6 NUMERI'!$B$18))</f>
        <v/>
      </c>
      <c r="L46" s="21">
        <f>J46/(1+'1 - I TUOI 6 NUMERI'!$B$14)^40</f>
        <v/>
      </c>
    </row>
    <row r="47">
      <c r="A47" s="20">
        <f>'1 - I TUOI 6 NUMERI'!$B$5+40</f>
        <v/>
      </c>
      <c r="B47" s="20">
        <f>2026+40</f>
        <v/>
      </c>
      <c r="C47" s="21">
        <f>J46</f>
        <v/>
      </c>
      <c r="D47" s="21">
        <f>'1 - I TUOI 6 NUMERI'!$B$7*(1+'1 - I TUOI 6 NUMERI'!$B$14)^40</f>
        <v/>
      </c>
      <c r="E47" s="21">
        <f>MAX(0,E46-G46*(1-F46))</f>
        <v/>
      </c>
      <c r="F47" s="22">
        <f>IF(C47&lt;=0,0,MEDIAN(0,(C47-E47)/C47,1))</f>
        <v/>
      </c>
      <c r="G47" s="21">
        <f>IF(C47&lt;=0,0,D47/(1-'1 - I TUOI 6 NUMERI'!$B$15*F47))</f>
        <v/>
      </c>
      <c r="H47" s="21">
        <f>'1 - I TUOI 6 NUMERI'!$B$15*G47*F47</f>
        <v/>
      </c>
      <c r="I47" s="21">
        <f>IF(C47&lt;=0,0,'1 - I TUOI 6 NUMERI'!$B$16*C47)</f>
        <v/>
      </c>
      <c r="J47" s="21">
        <f>IF(C47&lt;=0,0,(C47-G47-I47)*(1+'1 - I TUOI 6 NUMERI'!$B$18))</f>
        <v/>
      </c>
      <c r="L47" s="21">
        <f>J47/(1+'1 - I TUOI 6 NUMERI'!$B$14)^41</f>
        <v/>
      </c>
    </row>
    <row r="48">
      <c r="A48" s="20">
        <f>'1 - I TUOI 6 NUMERI'!$B$5+41</f>
        <v/>
      </c>
      <c r="B48" s="20">
        <f>2026+41</f>
        <v/>
      </c>
      <c r="C48" s="21">
        <f>J47</f>
        <v/>
      </c>
      <c r="D48" s="21">
        <f>'1 - I TUOI 6 NUMERI'!$B$7*(1+'1 - I TUOI 6 NUMERI'!$B$14)^41</f>
        <v/>
      </c>
      <c r="E48" s="21">
        <f>MAX(0,E47-G47*(1-F47))</f>
        <v/>
      </c>
      <c r="F48" s="22">
        <f>IF(C48&lt;=0,0,MEDIAN(0,(C48-E48)/C48,1))</f>
        <v/>
      </c>
      <c r="G48" s="21">
        <f>IF(C48&lt;=0,0,D48/(1-'1 - I TUOI 6 NUMERI'!$B$15*F48))</f>
        <v/>
      </c>
      <c r="H48" s="21">
        <f>'1 - I TUOI 6 NUMERI'!$B$15*G48*F48</f>
        <v/>
      </c>
      <c r="I48" s="21">
        <f>IF(C48&lt;=0,0,'1 - I TUOI 6 NUMERI'!$B$16*C48)</f>
        <v/>
      </c>
      <c r="J48" s="21">
        <f>IF(C48&lt;=0,0,(C48-G48-I48)*(1+'1 - I TUOI 6 NUMERI'!$B$18))</f>
        <v/>
      </c>
      <c r="L48" s="21">
        <f>J48/(1+'1 - I TUOI 6 NUMERI'!$B$14)^42</f>
        <v/>
      </c>
    </row>
    <row r="49">
      <c r="A49" s="20">
        <f>'1 - I TUOI 6 NUMERI'!$B$5+42</f>
        <v/>
      </c>
      <c r="B49" s="20">
        <f>2026+42</f>
        <v/>
      </c>
      <c r="C49" s="21">
        <f>J48</f>
        <v/>
      </c>
      <c r="D49" s="21">
        <f>'1 - I TUOI 6 NUMERI'!$B$7*(1+'1 - I TUOI 6 NUMERI'!$B$14)^42</f>
        <v/>
      </c>
      <c r="E49" s="21">
        <f>MAX(0,E48-G48*(1-F48))</f>
        <v/>
      </c>
      <c r="F49" s="22">
        <f>IF(C49&lt;=0,0,MEDIAN(0,(C49-E49)/C49,1))</f>
        <v/>
      </c>
      <c r="G49" s="21">
        <f>IF(C49&lt;=0,0,D49/(1-'1 - I TUOI 6 NUMERI'!$B$15*F49))</f>
        <v/>
      </c>
      <c r="H49" s="21">
        <f>'1 - I TUOI 6 NUMERI'!$B$15*G49*F49</f>
        <v/>
      </c>
      <c r="I49" s="21">
        <f>IF(C49&lt;=0,0,'1 - I TUOI 6 NUMERI'!$B$16*C49)</f>
        <v/>
      </c>
      <c r="J49" s="21">
        <f>IF(C49&lt;=0,0,(C49-G49-I49)*(1+'1 - I TUOI 6 NUMERI'!$B$18))</f>
        <v/>
      </c>
      <c r="L49" s="21">
        <f>J49/(1+'1 - I TUOI 6 NUMERI'!$B$14)^43</f>
        <v/>
      </c>
    </row>
    <row r="50">
      <c r="A50" s="20">
        <f>'1 - I TUOI 6 NUMERI'!$B$5+43</f>
        <v/>
      </c>
      <c r="B50" s="20">
        <f>2026+43</f>
        <v/>
      </c>
      <c r="C50" s="21">
        <f>J49</f>
        <v/>
      </c>
      <c r="D50" s="21">
        <f>'1 - I TUOI 6 NUMERI'!$B$7*(1+'1 - I TUOI 6 NUMERI'!$B$14)^43</f>
        <v/>
      </c>
      <c r="E50" s="21">
        <f>MAX(0,E49-G49*(1-F49))</f>
        <v/>
      </c>
      <c r="F50" s="22">
        <f>IF(C50&lt;=0,0,MEDIAN(0,(C50-E50)/C50,1))</f>
        <v/>
      </c>
      <c r="G50" s="21">
        <f>IF(C50&lt;=0,0,D50/(1-'1 - I TUOI 6 NUMERI'!$B$15*F50))</f>
        <v/>
      </c>
      <c r="H50" s="21">
        <f>'1 - I TUOI 6 NUMERI'!$B$15*G50*F50</f>
        <v/>
      </c>
      <c r="I50" s="21">
        <f>IF(C50&lt;=0,0,'1 - I TUOI 6 NUMERI'!$B$16*C50)</f>
        <v/>
      </c>
      <c r="J50" s="21">
        <f>IF(C50&lt;=0,0,(C50-G50-I50)*(1+'1 - I TUOI 6 NUMERI'!$B$18))</f>
        <v/>
      </c>
      <c r="L50" s="21">
        <f>J50/(1+'1 - I TUOI 6 NUMERI'!$B$14)^44</f>
        <v/>
      </c>
    </row>
    <row r="51">
      <c r="A51" s="20">
        <f>'1 - I TUOI 6 NUMERI'!$B$5+44</f>
        <v/>
      </c>
      <c r="B51" s="20">
        <f>2026+44</f>
        <v/>
      </c>
      <c r="C51" s="21">
        <f>J50</f>
        <v/>
      </c>
      <c r="D51" s="21">
        <f>'1 - I TUOI 6 NUMERI'!$B$7*(1+'1 - I TUOI 6 NUMERI'!$B$14)^44</f>
        <v/>
      </c>
      <c r="E51" s="21">
        <f>MAX(0,E50-G50*(1-F50))</f>
        <v/>
      </c>
      <c r="F51" s="22">
        <f>IF(C51&lt;=0,0,MEDIAN(0,(C51-E51)/C51,1))</f>
        <v/>
      </c>
      <c r="G51" s="21">
        <f>IF(C51&lt;=0,0,D51/(1-'1 - I TUOI 6 NUMERI'!$B$15*F51))</f>
        <v/>
      </c>
      <c r="H51" s="21">
        <f>'1 - I TUOI 6 NUMERI'!$B$15*G51*F51</f>
        <v/>
      </c>
      <c r="I51" s="21">
        <f>IF(C51&lt;=0,0,'1 - I TUOI 6 NUMERI'!$B$16*C51)</f>
        <v/>
      </c>
      <c r="J51" s="21">
        <f>IF(C51&lt;=0,0,(C51-G51-I51)*(1+'1 - I TUOI 6 NUMERI'!$B$18))</f>
        <v/>
      </c>
      <c r="L51" s="21">
        <f>J51/(1+'1 - I TUOI 6 NUMERI'!$B$14)^45</f>
        <v/>
      </c>
    </row>
    <row r="52">
      <c r="A52" s="20">
        <f>'1 - I TUOI 6 NUMERI'!$B$5+45</f>
        <v/>
      </c>
      <c r="B52" s="20">
        <f>2026+45</f>
        <v/>
      </c>
      <c r="C52" s="21">
        <f>J51</f>
        <v/>
      </c>
      <c r="D52" s="21">
        <f>'1 - I TUOI 6 NUMERI'!$B$7*(1+'1 - I TUOI 6 NUMERI'!$B$14)^45</f>
        <v/>
      </c>
      <c r="E52" s="21">
        <f>MAX(0,E51-G51*(1-F51))</f>
        <v/>
      </c>
      <c r="F52" s="22">
        <f>IF(C52&lt;=0,0,MEDIAN(0,(C52-E52)/C52,1))</f>
        <v/>
      </c>
      <c r="G52" s="21">
        <f>IF(C52&lt;=0,0,D52/(1-'1 - I TUOI 6 NUMERI'!$B$15*F52))</f>
        <v/>
      </c>
      <c r="H52" s="21">
        <f>'1 - I TUOI 6 NUMERI'!$B$15*G52*F52</f>
        <v/>
      </c>
      <c r="I52" s="21">
        <f>IF(C52&lt;=0,0,'1 - I TUOI 6 NUMERI'!$B$16*C52)</f>
        <v/>
      </c>
      <c r="J52" s="21">
        <f>IF(C52&lt;=0,0,(C52-G52-I52)*(1+'1 - I TUOI 6 NUMERI'!$B$18))</f>
        <v/>
      </c>
      <c r="L52" s="21">
        <f>J52/(1+'1 - I TUOI 6 NUMERI'!$B$14)^46</f>
        <v/>
      </c>
    </row>
    <row r="54">
      <c r="A54" s="8" t="inlineStr">
        <is>
          <t>Totale imposte pagate</t>
        </is>
      </c>
      <c r="C54" s="13">
        <f>SUM(H7:H52)</f>
        <v/>
      </c>
    </row>
    <row r="55">
      <c r="A55" s="8" t="inlineStr">
        <is>
          <t>Totale bollo pagato</t>
        </is>
      </c>
      <c r="C55" s="13">
        <f>SUM(I7:I52)</f>
        <v/>
      </c>
    </row>
    <row r="57" ht="30" customHeight="1">
      <c r="A57" s="12" t="inlineStr">
        <is>
          <t>Se sommi le due righe qui sopra ottieni il conto che quasi nessuna simulazione di decumulo mostra: quanto se ne va in tasse e bollo lungo tutto il percorso. È la ragione per cui la stessa spesa che «sulla carta» durerebbe più di vent'anni, nella realtà italiana ne dura parecchi di meno.</t>
        </is>
      </c>
    </row>
  </sheetData>
  <mergeCells count="4">
    <mergeCell ref="A57:L57"/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6" customWidth="1" min="5" max="5"/>
    <col width="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5" customHeight="1">
      <c r="A1" s="1" t="inlineStr">
        <is>
          <t>A che età finisce il capitale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 ht="75" customHeight="1">
      <c r="A4" s="12" t="inlineStr">
        <is>
          <t>Righe: quanto spendi in un anno. Colonne: quanto rende il portafoglio in termini REALI, cioè già al netto dell'inflazione. Ogni cella è l'età a cui il capitale arriva a zero, calcolata con lo stesso motore del foglio 2 e con il TUO capitale e la TUA plusvalenza latente. La riga che conta è quella della tua spesa vera.</t>
        </is>
      </c>
    </row>
    <row r="6">
      <c r="A6" s="18" t="inlineStr">
        <is>
          <t>Spesa annua netta</t>
        </is>
      </c>
      <c r="B6" s="18" t="inlineStr">
        <is>
          <t>Reale 1%</t>
        </is>
      </c>
      <c r="C6" s="18" t="inlineStr">
        <is>
          <t>Reale 3%</t>
        </is>
      </c>
      <c r="D6" s="18" t="inlineStr">
        <is>
          <t>Reale 5%</t>
        </is>
      </c>
    </row>
    <row r="7">
      <c r="A7" s="8" t="inlineStr">
        <is>
          <t>18.000 €</t>
        </is>
      </c>
      <c r="B7" s="15">
        <f>'1 - I TUOI 6 NUMERI'!$B$5+COUNTIF(G22:G67,"&gt;0")</f>
        <v/>
      </c>
      <c r="C7" s="15">
        <f>'1 - I TUOI 6 NUMERI'!$B$5+COUNTIF(I22:I67,"&gt;0")</f>
        <v/>
      </c>
      <c r="D7" s="15">
        <f>'1 - I TUOI 6 NUMERI'!$B$5+COUNTIF(K22:K67,"&gt;0")</f>
        <v/>
      </c>
    </row>
    <row r="8">
      <c r="A8" s="8" t="inlineStr">
        <is>
          <t>24.000 €</t>
        </is>
      </c>
      <c r="B8" s="15">
        <f>'1 - I TUOI 6 NUMERI'!$B$5+COUNTIF(M22:M67,"&gt;0")</f>
        <v/>
      </c>
      <c r="C8" s="15">
        <f>'1 - I TUOI 6 NUMERI'!$B$5+COUNTIF(O22:O67,"&gt;0")</f>
        <v/>
      </c>
      <c r="D8" s="15">
        <f>'1 - I TUOI 6 NUMERI'!$B$5+COUNTIF(Q22:Q67,"&gt;0")</f>
        <v/>
      </c>
    </row>
    <row r="9">
      <c r="A9" s="8" t="inlineStr">
        <is>
          <t>30.000 €</t>
        </is>
      </c>
      <c r="B9" s="15">
        <f>'1 - I TUOI 6 NUMERI'!$B$5+COUNTIF(S22:S67,"&gt;0")</f>
        <v/>
      </c>
      <c r="C9" s="15">
        <f>'1 - I TUOI 6 NUMERI'!$B$5+COUNTIF(U22:U67,"&gt;0")</f>
        <v/>
      </c>
      <c r="D9" s="15">
        <f>'1 - I TUOI 6 NUMERI'!$B$5+COUNTIF(W22:W67,"&gt;0")</f>
        <v/>
      </c>
    </row>
    <row r="10">
      <c r="A10" s="8" t="inlineStr">
        <is>
          <t>36.000 €</t>
        </is>
      </c>
      <c r="B10" s="15">
        <f>'1 - I TUOI 6 NUMERI'!$B$5+COUNTIF(Y22:Y67,"&gt;0")</f>
        <v/>
      </c>
      <c r="C10" s="15">
        <f>'1 - I TUOI 6 NUMERI'!$B$5+COUNTIF(AA22:AA67,"&gt;0")</f>
        <v/>
      </c>
      <c r="D10" s="15">
        <f>'1 - I TUOI 6 NUMERI'!$B$5+COUNTIF(AC22:AC67,"&gt;0")</f>
        <v/>
      </c>
    </row>
    <row r="12">
      <c r="A12" s="8" t="inlineStr">
        <is>
          <t>Età della pensione pubblica</t>
        </is>
      </c>
      <c r="B12" s="15">
        <f>'1 - I TUOI 6 NUMERI'!$B$10</f>
        <v/>
      </c>
    </row>
    <row r="13" ht="60" customHeight="1">
      <c r="A13" s="12" t="inlineStr">
        <is>
          <t>Confronta ogni cella con questo numero: se l'età nella cella è più bassa, quel piano non arriva alla pensione. Nota che il rendimento non è una tua scelta: è la variabile su cui non hai nessun controllo, e sposta il risultato di anni.</t>
        </is>
      </c>
    </row>
    <row r="19">
      <c r="F19" s="4" t="inlineStr">
        <is>
          <t>MOTORE DI CALCOLO — non modificare</t>
        </is>
      </c>
    </row>
    <row r="20">
      <c r="F20" s="6" t="inlineStr">
        <is>
          <t>t</t>
        </is>
      </c>
      <c r="G20" s="6" t="inlineStr">
        <is>
          <t>18k @ 1%</t>
        </is>
      </c>
      <c r="I20" s="6" t="inlineStr">
        <is>
          <t>18k @ 3%</t>
        </is>
      </c>
      <c r="K20" s="6" t="inlineStr">
        <is>
          <t>18k @ 5%</t>
        </is>
      </c>
      <c r="M20" s="6" t="inlineStr">
        <is>
          <t>24k @ 1%</t>
        </is>
      </c>
      <c r="O20" s="6" t="inlineStr">
        <is>
          <t>24k @ 3%</t>
        </is>
      </c>
      <c r="Q20" s="6" t="inlineStr">
        <is>
          <t>24k @ 5%</t>
        </is>
      </c>
      <c r="S20" s="6" t="inlineStr">
        <is>
          <t>30k @ 1%</t>
        </is>
      </c>
      <c r="U20" s="6" t="inlineStr">
        <is>
          <t>30k @ 3%</t>
        </is>
      </c>
      <c r="W20" s="6" t="inlineStr">
        <is>
          <t>30k @ 5%</t>
        </is>
      </c>
      <c r="Y20" s="6" t="inlineStr">
        <is>
          <t>36k @ 1%</t>
        </is>
      </c>
      <c r="AA20" s="6" t="inlineStr">
        <is>
          <t>36k @ 3%</t>
        </is>
      </c>
      <c r="AC20" s="6" t="inlineStr">
        <is>
          <t>36k @ 5%</t>
        </is>
      </c>
    </row>
    <row r="21">
      <c r="G21" s="6" t="inlineStr">
        <is>
          <t>cap. fine</t>
        </is>
      </c>
      <c r="H21" s="6" t="inlineStr">
        <is>
          <t>base</t>
        </is>
      </c>
      <c r="I21" s="6" t="inlineStr">
        <is>
          <t>cap. fine</t>
        </is>
      </c>
      <c r="J21" s="6" t="inlineStr">
        <is>
          <t>base</t>
        </is>
      </c>
      <c r="K21" s="6" t="inlineStr">
        <is>
          <t>cap. fine</t>
        </is>
      </c>
      <c r="L21" s="6" t="inlineStr">
        <is>
          <t>base</t>
        </is>
      </c>
      <c r="M21" s="6" t="inlineStr">
        <is>
          <t>cap. fine</t>
        </is>
      </c>
      <c r="N21" s="6" t="inlineStr">
        <is>
          <t>base</t>
        </is>
      </c>
      <c r="O21" s="6" t="inlineStr">
        <is>
          <t>cap. fine</t>
        </is>
      </c>
      <c r="P21" s="6" t="inlineStr">
        <is>
          <t>base</t>
        </is>
      </c>
      <c r="Q21" s="6" t="inlineStr">
        <is>
          <t>cap. fine</t>
        </is>
      </c>
      <c r="R21" s="6" t="inlineStr">
        <is>
          <t>base</t>
        </is>
      </c>
      <c r="S21" s="6" t="inlineStr">
        <is>
          <t>cap. fine</t>
        </is>
      </c>
      <c r="T21" s="6" t="inlineStr">
        <is>
          <t>base</t>
        </is>
      </c>
      <c r="U21" s="6" t="inlineStr">
        <is>
          <t>cap. fine</t>
        </is>
      </c>
      <c r="V21" s="6" t="inlineStr">
        <is>
          <t>base</t>
        </is>
      </c>
      <c r="W21" s="6" t="inlineStr">
        <is>
          <t>cap. fine</t>
        </is>
      </c>
      <c r="X21" s="6" t="inlineStr">
        <is>
          <t>base</t>
        </is>
      </c>
      <c r="Y21" s="6" t="inlineStr">
        <is>
          <t>cap. fine</t>
        </is>
      </c>
      <c r="Z21" s="6" t="inlineStr">
        <is>
          <t>base</t>
        </is>
      </c>
      <c r="AA21" s="6" t="inlineStr">
        <is>
          <t>cap. fine</t>
        </is>
      </c>
      <c r="AB21" s="6" t="inlineStr">
        <is>
          <t>base</t>
        </is>
      </c>
      <c r="AC21" s="6" t="inlineStr">
        <is>
          <t>cap. fine</t>
        </is>
      </c>
      <c r="AD21" s="6" t="inlineStr">
        <is>
          <t>base</t>
        </is>
      </c>
    </row>
    <row r="22">
      <c r="F22" s="6" t="n">
        <v>0</v>
      </c>
      <c r="G22" s="23">
        <f>IF('1 - I TUOI 6 NUMERI'!$B$6&lt;=0,0,('1 - I TUOI 6 NUMERI'!$B$6-(IF('1 - I TUOI 6 NUMERI'!$B$6&lt;=0,0,(18000*(1+'1 - I TUOI 6 NUMERI'!$B$14)^0)/(1-'1 - I TUOI 6 NUMERI'!$B$15*(IF('1 - I TUOI 6 NUMERI'!$B$6&lt;=0,0,MEDIAN(0,('1 - I TUOI 6 NUMERI'!$B$6-'1 - I TUOI 6 NUMERI'!$B$17)/'1 - I TUOI 6 NUMERI'!$B$6,1))))))-(IF('1 - I TUOI 6 NUMERI'!$B$6&lt;=0,0,'1 - I TUOI 6 NUMERI'!$B$16*'1 - I TUOI 6 NUMERI'!$B$6)))*(1+((1+0.01)*(1+'1 - I TUOI 6 NUMERI'!$B$14)-1)))</f>
        <v/>
      </c>
      <c r="H22" s="23">
        <f>MAX(0,'1 - I TUOI 6 NUMERI'!$B$17-(IF('1 - I TUOI 6 NUMERI'!$B$6&lt;=0,0,(18000*(1+'1 - I TUOI 6 NUMERI'!$B$14)^0)/(1-'1 - I TUOI 6 NUMERI'!$B$15*(IF('1 - I TUOI 6 NUMERI'!$B$6&lt;=0,0,MEDIAN(0,('1 - I TUOI 6 NUMERI'!$B$6-'1 - I TUOI 6 NUMERI'!$B$17)/'1 - I TUOI 6 NUMERI'!$B$6,1))))))*(1-(IF('1 - I TUOI 6 NUMERI'!$B$6&lt;=0,0,MEDIAN(0,('1 - I TUOI 6 NUMERI'!$B$6-'1 - I TUOI 6 NUMERI'!$B$17)/'1 - I TUOI 6 NUMERI'!$B$6,1)))))</f>
        <v/>
      </c>
      <c r="I22" s="23">
        <f>IF('1 - I TUOI 6 NUMERI'!$B$6&lt;=0,0,('1 - I TUOI 6 NUMERI'!$B$6-(IF('1 - I TUOI 6 NUMERI'!$B$6&lt;=0,0,(18000*(1+'1 - I TUOI 6 NUMERI'!$B$14)^0)/(1-'1 - I TUOI 6 NUMERI'!$B$15*(IF('1 - I TUOI 6 NUMERI'!$B$6&lt;=0,0,MEDIAN(0,('1 - I TUOI 6 NUMERI'!$B$6-'1 - I TUOI 6 NUMERI'!$B$17)/'1 - I TUOI 6 NUMERI'!$B$6,1))))))-(IF('1 - I TUOI 6 NUMERI'!$B$6&lt;=0,0,'1 - I TUOI 6 NUMERI'!$B$16*'1 - I TUOI 6 NUMERI'!$B$6)))*(1+((1+0.03)*(1+'1 - I TUOI 6 NUMERI'!$B$14)-1)))</f>
        <v/>
      </c>
      <c r="J22" s="23">
        <f>MAX(0,'1 - I TUOI 6 NUMERI'!$B$17-(IF('1 - I TUOI 6 NUMERI'!$B$6&lt;=0,0,(18000*(1+'1 - I TUOI 6 NUMERI'!$B$14)^0)/(1-'1 - I TUOI 6 NUMERI'!$B$15*(IF('1 - I TUOI 6 NUMERI'!$B$6&lt;=0,0,MEDIAN(0,('1 - I TUOI 6 NUMERI'!$B$6-'1 - I TUOI 6 NUMERI'!$B$17)/'1 - I TUOI 6 NUMERI'!$B$6,1))))))*(1-(IF('1 - I TUOI 6 NUMERI'!$B$6&lt;=0,0,MEDIAN(0,('1 - I TUOI 6 NUMERI'!$B$6-'1 - I TUOI 6 NUMERI'!$B$17)/'1 - I TUOI 6 NUMERI'!$B$6,1)))))</f>
        <v/>
      </c>
      <c r="K22" s="23">
        <f>IF('1 - I TUOI 6 NUMERI'!$B$6&lt;=0,0,('1 - I TUOI 6 NUMERI'!$B$6-(IF('1 - I TUOI 6 NUMERI'!$B$6&lt;=0,0,(18000*(1+'1 - I TUOI 6 NUMERI'!$B$14)^0)/(1-'1 - I TUOI 6 NUMERI'!$B$15*(IF('1 - I TUOI 6 NUMERI'!$B$6&lt;=0,0,MEDIAN(0,('1 - I TUOI 6 NUMERI'!$B$6-'1 - I TUOI 6 NUMERI'!$B$17)/'1 - I TUOI 6 NUMERI'!$B$6,1))))))-(IF('1 - I TUOI 6 NUMERI'!$B$6&lt;=0,0,'1 - I TUOI 6 NUMERI'!$B$16*'1 - I TUOI 6 NUMERI'!$B$6)))*(1+((1+0.05)*(1+'1 - I TUOI 6 NUMERI'!$B$14)-1)))</f>
        <v/>
      </c>
      <c r="L22" s="23">
        <f>MAX(0,'1 - I TUOI 6 NUMERI'!$B$17-(IF('1 - I TUOI 6 NUMERI'!$B$6&lt;=0,0,(18000*(1+'1 - I TUOI 6 NUMERI'!$B$14)^0)/(1-'1 - I TUOI 6 NUMERI'!$B$15*(IF('1 - I TUOI 6 NUMERI'!$B$6&lt;=0,0,MEDIAN(0,('1 - I TUOI 6 NUMERI'!$B$6-'1 - I TUOI 6 NUMERI'!$B$17)/'1 - I TUOI 6 NUMERI'!$B$6,1))))))*(1-(IF('1 - I TUOI 6 NUMERI'!$B$6&lt;=0,0,MEDIAN(0,('1 - I TUOI 6 NUMERI'!$B$6-'1 - I TUOI 6 NUMERI'!$B$17)/'1 - I TUOI 6 NUMERI'!$B$6,1)))))</f>
        <v/>
      </c>
      <c r="M22" s="23">
        <f>IF('1 - I TUOI 6 NUMERI'!$B$6&lt;=0,0,('1 - I TUOI 6 NUMERI'!$B$6-(IF('1 - I TUOI 6 NUMERI'!$B$6&lt;=0,0,(24000*(1+'1 - I TUOI 6 NUMERI'!$B$14)^0)/(1-'1 - I TUOI 6 NUMERI'!$B$15*(IF('1 - I TUOI 6 NUMERI'!$B$6&lt;=0,0,MEDIAN(0,('1 - I TUOI 6 NUMERI'!$B$6-'1 - I TUOI 6 NUMERI'!$B$17)/'1 - I TUOI 6 NUMERI'!$B$6,1))))))-(IF('1 - I TUOI 6 NUMERI'!$B$6&lt;=0,0,'1 - I TUOI 6 NUMERI'!$B$16*'1 - I TUOI 6 NUMERI'!$B$6)))*(1+((1+0.01)*(1+'1 - I TUOI 6 NUMERI'!$B$14)-1)))</f>
        <v/>
      </c>
      <c r="N22" s="23">
        <f>MAX(0,'1 - I TUOI 6 NUMERI'!$B$17-(IF('1 - I TUOI 6 NUMERI'!$B$6&lt;=0,0,(24000*(1+'1 - I TUOI 6 NUMERI'!$B$14)^0)/(1-'1 - I TUOI 6 NUMERI'!$B$15*(IF('1 - I TUOI 6 NUMERI'!$B$6&lt;=0,0,MEDIAN(0,('1 - I TUOI 6 NUMERI'!$B$6-'1 - I TUOI 6 NUMERI'!$B$17)/'1 - I TUOI 6 NUMERI'!$B$6,1))))))*(1-(IF('1 - I TUOI 6 NUMERI'!$B$6&lt;=0,0,MEDIAN(0,('1 - I TUOI 6 NUMERI'!$B$6-'1 - I TUOI 6 NUMERI'!$B$17)/'1 - I TUOI 6 NUMERI'!$B$6,1)))))</f>
        <v/>
      </c>
      <c r="O22" s="23">
        <f>IF('1 - I TUOI 6 NUMERI'!$B$6&lt;=0,0,('1 - I TUOI 6 NUMERI'!$B$6-(IF('1 - I TUOI 6 NUMERI'!$B$6&lt;=0,0,(24000*(1+'1 - I TUOI 6 NUMERI'!$B$14)^0)/(1-'1 - I TUOI 6 NUMERI'!$B$15*(IF('1 - I TUOI 6 NUMERI'!$B$6&lt;=0,0,MEDIAN(0,('1 - I TUOI 6 NUMERI'!$B$6-'1 - I TUOI 6 NUMERI'!$B$17)/'1 - I TUOI 6 NUMERI'!$B$6,1))))))-(IF('1 - I TUOI 6 NUMERI'!$B$6&lt;=0,0,'1 - I TUOI 6 NUMERI'!$B$16*'1 - I TUOI 6 NUMERI'!$B$6)))*(1+((1+0.03)*(1+'1 - I TUOI 6 NUMERI'!$B$14)-1)))</f>
        <v/>
      </c>
      <c r="P22" s="23">
        <f>MAX(0,'1 - I TUOI 6 NUMERI'!$B$17-(IF('1 - I TUOI 6 NUMERI'!$B$6&lt;=0,0,(24000*(1+'1 - I TUOI 6 NUMERI'!$B$14)^0)/(1-'1 - I TUOI 6 NUMERI'!$B$15*(IF('1 - I TUOI 6 NUMERI'!$B$6&lt;=0,0,MEDIAN(0,('1 - I TUOI 6 NUMERI'!$B$6-'1 - I TUOI 6 NUMERI'!$B$17)/'1 - I TUOI 6 NUMERI'!$B$6,1))))))*(1-(IF('1 - I TUOI 6 NUMERI'!$B$6&lt;=0,0,MEDIAN(0,('1 - I TUOI 6 NUMERI'!$B$6-'1 - I TUOI 6 NUMERI'!$B$17)/'1 - I TUOI 6 NUMERI'!$B$6,1)))))</f>
        <v/>
      </c>
      <c r="Q22" s="23">
        <f>IF('1 - I TUOI 6 NUMERI'!$B$6&lt;=0,0,('1 - I TUOI 6 NUMERI'!$B$6-(IF('1 - I TUOI 6 NUMERI'!$B$6&lt;=0,0,(24000*(1+'1 - I TUOI 6 NUMERI'!$B$14)^0)/(1-'1 - I TUOI 6 NUMERI'!$B$15*(IF('1 - I TUOI 6 NUMERI'!$B$6&lt;=0,0,MEDIAN(0,('1 - I TUOI 6 NUMERI'!$B$6-'1 - I TUOI 6 NUMERI'!$B$17)/'1 - I TUOI 6 NUMERI'!$B$6,1))))))-(IF('1 - I TUOI 6 NUMERI'!$B$6&lt;=0,0,'1 - I TUOI 6 NUMERI'!$B$16*'1 - I TUOI 6 NUMERI'!$B$6)))*(1+((1+0.05)*(1+'1 - I TUOI 6 NUMERI'!$B$14)-1)))</f>
        <v/>
      </c>
      <c r="R22" s="23">
        <f>MAX(0,'1 - I TUOI 6 NUMERI'!$B$17-(IF('1 - I TUOI 6 NUMERI'!$B$6&lt;=0,0,(24000*(1+'1 - I TUOI 6 NUMERI'!$B$14)^0)/(1-'1 - I TUOI 6 NUMERI'!$B$15*(IF('1 - I TUOI 6 NUMERI'!$B$6&lt;=0,0,MEDIAN(0,('1 - I TUOI 6 NUMERI'!$B$6-'1 - I TUOI 6 NUMERI'!$B$17)/'1 - I TUOI 6 NUMERI'!$B$6,1))))))*(1-(IF('1 - I TUOI 6 NUMERI'!$B$6&lt;=0,0,MEDIAN(0,('1 - I TUOI 6 NUMERI'!$B$6-'1 - I TUOI 6 NUMERI'!$B$17)/'1 - I TUOI 6 NUMERI'!$B$6,1)))))</f>
        <v/>
      </c>
      <c r="S22" s="23">
        <f>IF('1 - I TUOI 6 NUMERI'!$B$6&lt;=0,0,('1 - I TUOI 6 NUMERI'!$B$6-(IF('1 - I TUOI 6 NUMERI'!$B$6&lt;=0,0,(30000*(1+'1 - I TUOI 6 NUMERI'!$B$14)^0)/(1-'1 - I TUOI 6 NUMERI'!$B$15*(IF('1 - I TUOI 6 NUMERI'!$B$6&lt;=0,0,MEDIAN(0,('1 - I TUOI 6 NUMERI'!$B$6-'1 - I TUOI 6 NUMERI'!$B$17)/'1 - I TUOI 6 NUMERI'!$B$6,1))))))-(IF('1 - I TUOI 6 NUMERI'!$B$6&lt;=0,0,'1 - I TUOI 6 NUMERI'!$B$16*'1 - I TUOI 6 NUMERI'!$B$6)))*(1+((1+0.01)*(1+'1 - I TUOI 6 NUMERI'!$B$14)-1)))</f>
        <v/>
      </c>
      <c r="T22" s="23">
        <f>MAX(0,'1 - I TUOI 6 NUMERI'!$B$17-(IF('1 - I TUOI 6 NUMERI'!$B$6&lt;=0,0,(30000*(1+'1 - I TUOI 6 NUMERI'!$B$14)^0)/(1-'1 - I TUOI 6 NUMERI'!$B$15*(IF('1 - I TUOI 6 NUMERI'!$B$6&lt;=0,0,MEDIAN(0,('1 - I TUOI 6 NUMERI'!$B$6-'1 - I TUOI 6 NUMERI'!$B$17)/'1 - I TUOI 6 NUMERI'!$B$6,1))))))*(1-(IF('1 - I TUOI 6 NUMERI'!$B$6&lt;=0,0,MEDIAN(0,('1 - I TUOI 6 NUMERI'!$B$6-'1 - I TUOI 6 NUMERI'!$B$17)/'1 - I TUOI 6 NUMERI'!$B$6,1)))))</f>
        <v/>
      </c>
      <c r="U22" s="23">
        <f>IF('1 - I TUOI 6 NUMERI'!$B$6&lt;=0,0,('1 - I TUOI 6 NUMERI'!$B$6-(IF('1 - I TUOI 6 NUMERI'!$B$6&lt;=0,0,(30000*(1+'1 - I TUOI 6 NUMERI'!$B$14)^0)/(1-'1 - I TUOI 6 NUMERI'!$B$15*(IF('1 - I TUOI 6 NUMERI'!$B$6&lt;=0,0,MEDIAN(0,('1 - I TUOI 6 NUMERI'!$B$6-'1 - I TUOI 6 NUMERI'!$B$17)/'1 - I TUOI 6 NUMERI'!$B$6,1))))))-(IF('1 - I TUOI 6 NUMERI'!$B$6&lt;=0,0,'1 - I TUOI 6 NUMERI'!$B$16*'1 - I TUOI 6 NUMERI'!$B$6)))*(1+((1+0.03)*(1+'1 - I TUOI 6 NUMERI'!$B$14)-1)))</f>
        <v/>
      </c>
      <c r="V22" s="23">
        <f>MAX(0,'1 - I TUOI 6 NUMERI'!$B$17-(IF('1 - I TUOI 6 NUMERI'!$B$6&lt;=0,0,(30000*(1+'1 - I TUOI 6 NUMERI'!$B$14)^0)/(1-'1 - I TUOI 6 NUMERI'!$B$15*(IF('1 - I TUOI 6 NUMERI'!$B$6&lt;=0,0,MEDIAN(0,('1 - I TUOI 6 NUMERI'!$B$6-'1 - I TUOI 6 NUMERI'!$B$17)/'1 - I TUOI 6 NUMERI'!$B$6,1))))))*(1-(IF('1 - I TUOI 6 NUMERI'!$B$6&lt;=0,0,MEDIAN(0,('1 - I TUOI 6 NUMERI'!$B$6-'1 - I TUOI 6 NUMERI'!$B$17)/'1 - I TUOI 6 NUMERI'!$B$6,1)))))</f>
        <v/>
      </c>
      <c r="W22" s="23">
        <f>IF('1 - I TUOI 6 NUMERI'!$B$6&lt;=0,0,('1 - I TUOI 6 NUMERI'!$B$6-(IF('1 - I TUOI 6 NUMERI'!$B$6&lt;=0,0,(30000*(1+'1 - I TUOI 6 NUMERI'!$B$14)^0)/(1-'1 - I TUOI 6 NUMERI'!$B$15*(IF('1 - I TUOI 6 NUMERI'!$B$6&lt;=0,0,MEDIAN(0,('1 - I TUOI 6 NUMERI'!$B$6-'1 - I TUOI 6 NUMERI'!$B$17)/'1 - I TUOI 6 NUMERI'!$B$6,1))))))-(IF('1 - I TUOI 6 NUMERI'!$B$6&lt;=0,0,'1 - I TUOI 6 NUMERI'!$B$16*'1 - I TUOI 6 NUMERI'!$B$6)))*(1+((1+0.05)*(1+'1 - I TUOI 6 NUMERI'!$B$14)-1)))</f>
        <v/>
      </c>
      <c r="X22" s="23">
        <f>MAX(0,'1 - I TUOI 6 NUMERI'!$B$17-(IF('1 - I TUOI 6 NUMERI'!$B$6&lt;=0,0,(30000*(1+'1 - I TUOI 6 NUMERI'!$B$14)^0)/(1-'1 - I TUOI 6 NUMERI'!$B$15*(IF('1 - I TUOI 6 NUMERI'!$B$6&lt;=0,0,MEDIAN(0,('1 - I TUOI 6 NUMERI'!$B$6-'1 - I TUOI 6 NUMERI'!$B$17)/'1 - I TUOI 6 NUMERI'!$B$6,1))))))*(1-(IF('1 - I TUOI 6 NUMERI'!$B$6&lt;=0,0,MEDIAN(0,('1 - I TUOI 6 NUMERI'!$B$6-'1 - I TUOI 6 NUMERI'!$B$17)/'1 - I TUOI 6 NUMERI'!$B$6,1)))))</f>
        <v/>
      </c>
      <c r="Y22" s="23">
        <f>IF('1 - I TUOI 6 NUMERI'!$B$6&lt;=0,0,('1 - I TUOI 6 NUMERI'!$B$6-(IF('1 - I TUOI 6 NUMERI'!$B$6&lt;=0,0,(36000*(1+'1 - I TUOI 6 NUMERI'!$B$14)^0)/(1-'1 - I TUOI 6 NUMERI'!$B$15*(IF('1 - I TUOI 6 NUMERI'!$B$6&lt;=0,0,MEDIAN(0,('1 - I TUOI 6 NUMERI'!$B$6-'1 - I TUOI 6 NUMERI'!$B$17)/'1 - I TUOI 6 NUMERI'!$B$6,1))))))-(IF('1 - I TUOI 6 NUMERI'!$B$6&lt;=0,0,'1 - I TUOI 6 NUMERI'!$B$16*'1 - I TUOI 6 NUMERI'!$B$6)))*(1+((1+0.01)*(1+'1 - I TUOI 6 NUMERI'!$B$14)-1)))</f>
        <v/>
      </c>
      <c r="Z22" s="23">
        <f>MAX(0,'1 - I TUOI 6 NUMERI'!$B$17-(IF('1 - I TUOI 6 NUMERI'!$B$6&lt;=0,0,(36000*(1+'1 - I TUOI 6 NUMERI'!$B$14)^0)/(1-'1 - I TUOI 6 NUMERI'!$B$15*(IF('1 - I TUOI 6 NUMERI'!$B$6&lt;=0,0,MEDIAN(0,('1 - I TUOI 6 NUMERI'!$B$6-'1 - I TUOI 6 NUMERI'!$B$17)/'1 - I TUOI 6 NUMERI'!$B$6,1))))))*(1-(IF('1 - I TUOI 6 NUMERI'!$B$6&lt;=0,0,MEDIAN(0,('1 - I TUOI 6 NUMERI'!$B$6-'1 - I TUOI 6 NUMERI'!$B$17)/'1 - I TUOI 6 NUMERI'!$B$6,1)))))</f>
        <v/>
      </c>
      <c r="AA22" s="23">
        <f>IF('1 - I TUOI 6 NUMERI'!$B$6&lt;=0,0,('1 - I TUOI 6 NUMERI'!$B$6-(IF('1 - I TUOI 6 NUMERI'!$B$6&lt;=0,0,(36000*(1+'1 - I TUOI 6 NUMERI'!$B$14)^0)/(1-'1 - I TUOI 6 NUMERI'!$B$15*(IF('1 - I TUOI 6 NUMERI'!$B$6&lt;=0,0,MEDIAN(0,('1 - I TUOI 6 NUMERI'!$B$6-'1 - I TUOI 6 NUMERI'!$B$17)/'1 - I TUOI 6 NUMERI'!$B$6,1))))))-(IF('1 - I TUOI 6 NUMERI'!$B$6&lt;=0,0,'1 - I TUOI 6 NUMERI'!$B$16*'1 - I TUOI 6 NUMERI'!$B$6)))*(1+((1+0.03)*(1+'1 - I TUOI 6 NUMERI'!$B$14)-1)))</f>
        <v/>
      </c>
      <c r="AB22" s="23">
        <f>MAX(0,'1 - I TUOI 6 NUMERI'!$B$17-(IF('1 - I TUOI 6 NUMERI'!$B$6&lt;=0,0,(36000*(1+'1 - I TUOI 6 NUMERI'!$B$14)^0)/(1-'1 - I TUOI 6 NUMERI'!$B$15*(IF('1 - I TUOI 6 NUMERI'!$B$6&lt;=0,0,MEDIAN(0,('1 - I TUOI 6 NUMERI'!$B$6-'1 - I TUOI 6 NUMERI'!$B$17)/'1 - I TUOI 6 NUMERI'!$B$6,1))))))*(1-(IF('1 - I TUOI 6 NUMERI'!$B$6&lt;=0,0,MEDIAN(0,('1 - I TUOI 6 NUMERI'!$B$6-'1 - I TUOI 6 NUMERI'!$B$17)/'1 - I TUOI 6 NUMERI'!$B$6,1)))))</f>
        <v/>
      </c>
      <c r="AC22" s="23">
        <f>IF('1 - I TUOI 6 NUMERI'!$B$6&lt;=0,0,('1 - I TUOI 6 NUMERI'!$B$6-(IF('1 - I TUOI 6 NUMERI'!$B$6&lt;=0,0,(36000*(1+'1 - I TUOI 6 NUMERI'!$B$14)^0)/(1-'1 - I TUOI 6 NUMERI'!$B$15*(IF('1 - I TUOI 6 NUMERI'!$B$6&lt;=0,0,MEDIAN(0,('1 - I TUOI 6 NUMERI'!$B$6-'1 - I TUOI 6 NUMERI'!$B$17)/'1 - I TUOI 6 NUMERI'!$B$6,1))))))-(IF('1 - I TUOI 6 NUMERI'!$B$6&lt;=0,0,'1 - I TUOI 6 NUMERI'!$B$16*'1 - I TUOI 6 NUMERI'!$B$6)))*(1+((1+0.05)*(1+'1 - I TUOI 6 NUMERI'!$B$14)-1)))</f>
        <v/>
      </c>
      <c r="AD22" s="23">
        <f>MAX(0,'1 - I TUOI 6 NUMERI'!$B$17-(IF('1 - I TUOI 6 NUMERI'!$B$6&lt;=0,0,(36000*(1+'1 - I TUOI 6 NUMERI'!$B$14)^0)/(1-'1 - I TUOI 6 NUMERI'!$B$15*(IF('1 - I TUOI 6 NUMERI'!$B$6&lt;=0,0,MEDIAN(0,('1 - I TUOI 6 NUMERI'!$B$6-'1 - I TUOI 6 NUMERI'!$B$17)/'1 - I TUOI 6 NUMERI'!$B$6,1))))))*(1-(IF('1 - I TUOI 6 NUMERI'!$B$6&lt;=0,0,MEDIAN(0,('1 - I TUOI 6 NUMERI'!$B$6-'1 - I TUOI 6 NUMERI'!$B$17)/'1 - I TUOI 6 NUMERI'!$B$6,1)))))</f>
        <v/>
      </c>
    </row>
    <row r="23">
      <c r="F23" s="6" t="n">
        <v>1</v>
      </c>
      <c r="G23" s="23">
        <f>IF(G22&lt;=0,0,(G22-(IF(G22&lt;=0,0,(18000*(1+'1 - I TUOI 6 NUMERI'!$B$14)^1)/(1-'1 - I TUOI 6 NUMERI'!$B$15*(IF(G22&lt;=0,0,MEDIAN(0,(G22-H22)/G22,1))))))-(IF(G22&lt;=0,0,'1 - I TUOI 6 NUMERI'!$B$16*G22)))*(1+((1+0.01)*(1+'1 - I TUOI 6 NUMERI'!$B$14)-1)))</f>
        <v/>
      </c>
      <c r="H23" s="23">
        <f>MAX(0,H22-(IF(G22&lt;=0,0,(18000*(1+'1 - I TUOI 6 NUMERI'!$B$14)^1)/(1-'1 - I TUOI 6 NUMERI'!$B$15*(IF(G22&lt;=0,0,MEDIAN(0,(G22-H22)/G22,1))))))*(1-(IF(G22&lt;=0,0,MEDIAN(0,(G22-H22)/G22,1)))))</f>
        <v/>
      </c>
      <c r="I23" s="23">
        <f>IF(I22&lt;=0,0,(I22-(IF(I22&lt;=0,0,(18000*(1+'1 - I TUOI 6 NUMERI'!$B$14)^1)/(1-'1 - I TUOI 6 NUMERI'!$B$15*(IF(I22&lt;=0,0,MEDIAN(0,(I22-J22)/I22,1))))))-(IF(I22&lt;=0,0,'1 - I TUOI 6 NUMERI'!$B$16*I22)))*(1+((1+0.03)*(1+'1 - I TUOI 6 NUMERI'!$B$14)-1)))</f>
        <v/>
      </c>
      <c r="J23" s="23">
        <f>MAX(0,J22-(IF(I22&lt;=0,0,(18000*(1+'1 - I TUOI 6 NUMERI'!$B$14)^1)/(1-'1 - I TUOI 6 NUMERI'!$B$15*(IF(I22&lt;=0,0,MEDIAN(0,(I22-J22)/I22,1))))))*(1-(IF(I22&lt;=0,0,MEDIAN(0,(I22-J22)/I22,1)))))</f>
        <v/>
      </c>
      <c r="K23" s="23">
        <f>IF(K22&lt;=0,0,(K22-(IF(K22&lt;=0,0,(18000*(1+'1 - I TUOI 6 NUMERI'!$B$14)^1)/(1-'1 - I TUOI 6 NUMERI'!$B$15*(IF(K22&lt;=0,0,MEDIAN(0,(K22-L22)/K22,1))))))-(IF(K22&lt;=0,0,'1 - I TUOI 6 NUMERI'!$B$16*K22)))*(1+((1+0.05)*(1+'1 - I TUOI 6 NUMERI'!$B$14)-1)))</f>
        <v/>
      </c>
      <c r="L23" s="23">
        <f>MAX(0,L22-(IF(K22&lt;=0,0,(18000*(1+'1 - I TUOI 6 NUMERI'!$B$14)^1)/(1-'1 - I TUOI 6 NUMERI'!$B$15*(IF(K22&lt;=0,0,MEDIAN(0,(K22-L22)/K22,1))))))*(1-(IF(K22&lt;=0,0,MEDIAN(0,(K22-L22)/K22,1)))))</f>
        <v/>
      </c>
      <c r="M23" s="23">
        <f>IF(M22&lt;=0,0,(M22-(IF(M22&lt;=0,0,(24000*(1+'1 - I TUOI 6 NUMERI'!$B$14)^1)/(1-'1 - I TUOI 6 NUMERI'!$B$15*(IF(M22&lt;=0,0,MEDIAN(0,(M22-N22)/M22,1))))))-(IF(M22&lt;=0,0,'1 - I TUOI 6 NUMERI'!$B$16*M22)))*(1+((1+0.01)*(1+'1 - I TUOI 6 NUMERI'!$B$14)-1)))</f>
        <v/>
      </c>
      <c r="N23" s="23">
        <f>MAX(0,N22-(IF(M22&lt;=0,0,(24000*(1+'1 - I TUOI 6 NUMERI'!$B$14)^1)/(1-'1 - I TUOI 6 NUMERI'!$B$15*(IF(M22&lt;=0,0,MEDIAN(0,(M22-N22)/M22,1))))))*(1-(IF(M22&lt;=0,0,MEDIAN(0,(M22-N22)/M22,1)))))</f>
        <v/>
      </c>
      <c r="O23" s="23">
        <f>IF(O22&lt;=0,0,(O22-(IF(O22&lt;=0,0,(24000*(1+'1 - I TUOI 6 NUMERI'!$B$14)^1)/(1-'1 - I TUOI 6 NUMERI'!$B$15*(IF(O22&lt;=0,0,MEDIAN(0,(O22-P22)/O22,1))))))-(IF(O22&lt;=0,0,'1 - I TUOI 6 NUMERI'!$B$16*O22)))*(1+((1+0.03)*(1+'1 - I TUOI 6 NUMERI'!$B$14)-1)))</f>
        <v/>
      </c>
      <c r="P23" s="23">
        <f>MAX(0,P22-(IF(O22&lt;=0,0,(24000*(1+'1 - I TUOI 6 NUMERI'!$B$14)^1)/(1-'1 - I TUOI 6 NUMERI'!$B$15*(IF(O22&lt;=0,0,MEDIAN(0,(O22-P22)/O22,1))))))*(1-(IF(O22&lt;=0,0,MEDIAN(0,(O22-P22)/O22,1)))))</f>
        <v/>
      </c>
      <c r="Q23" s="23">
        <f>IF(Q22&lt;=0,0,(Q22-(IF(Q22&lt;=0,0,(24000*(1+'1 - I TUOI 6 NUMERI'!$B$14)^1)/(1-'1 - I TUOI 6 NUMERI'!$B$15*(IF(Q22&lt;=0,0,MEDIAN(0,(Q22-R22)/Q22,1))))))-(IF(Q22&lt;=0,0,'1 - I TUOI 6 NUMERI'!$B$16*Q22)))*(1+((1+0.05)*(1+'1 - I TUOI 6 NUMERI'!$B$14)-1)))</f>
        <v/>
      </c>
      <c r="R23" s="23">
        <f>MAX(0,R22-(IF(Q22&lt;=0,0,(24000*(1+'1 - I TUOI 6 NUMERI'!$B$14)^1)/(1-'1 - I TUOI 6 NUMERI'!$B$15*(IF(Q22&lt;=0,0,MEDIAN(0,(Q22-R22)/Q22,1))))))*(1-(IF(Q22&lt;=0,0,MEDIAN(0,(Q22-R22)/Q22,1)))))</f>
        <v/>
      </c>
      <c r="S23" s="23">
        <f>IF(S22&lt;=0,0,(S22-(IF(S22&lt;=0,0,(30000*(1+'1 - I TUOI 6 NUMERI'!$B$14)^1)/(1-'1 - I TUOI 6 NUMERI'!$B$15*(IF(S22&lt;=0,0,MEDIAN(0,(S22-T22)/S22,1))))))-(IF(S22&lt;=0,0,'1 - I TUOI 6 NUMERI'!$B$16*S22)))*(1+((1+0.01)*(1+'1 - I TUOI 6 NUMERI'!$B$14)-1)))</f>
        <v/>
      </c>
      <c r="T23" s="23">
        <f>MAX(0,T22-(IF(S22&lt;=0,0,(30000*(1+'1 - I TUOI 6 NUMERI'!$B$14)^1)/(1-'1 - I TUOI 6 NUMERI'!$B$15*(IF(S22&lt;=0,0,MEDIAN(0,(S22-T22)/S22,1))))))*(1-(IF(S22&lt;=0,0,MEDIAN(0,(S22-T22)/S22,1)))))</f>
        <v/>
      </c>
      <c r="U23" s="23">
        <f>IF(U22&lt;=0,0,(U22-(IF(U22&lt;=0,0,(30000*(1+'1 - I TUOI 6 NUMERI'!$B$14)^1)/(1-'1 - I TUOI 6 NUMERI'!$B$15*(IF(U22&lt;=0,0,MEDIAN(0,(U22-V22)/U22,1))))))-(IF(U22&lt;=0,0,'1 - I TUOI 6 NUMERI'!$B$16*U22)))*(1+((1+0.03)*(1+'1 - I TUOI 6 NUMERI'!$B$14)-1)))</f>
        <v/>
      </c>
      <c r="V23" s="23">
        <f>MAX(0,V22-(IF(U22&lt;=0,0,(30000*(1+'1 - I TUOI 6 NUMERI'!$B$14)^1)/(1-'1 - I TUOI 6 NUMERI'!$B$15*(IF(U22&lt;=0,0,MEDIAN(0,(U22-V22)/U22,1))))))*(1-(IF(U22&lt;=0,0,MEDIAN(0,(U22-V22)/U22,1)))))</f>
        <v/>
      </c>
      <c r="W23" s="23">
        <f>IF(W22&lt;=0,0,(W22-(IF(W22&lt;=0,0,(30000*(1+'1 - I TUOI 6 NUMERI'!$B$14)^1)/(1-'1 - I TUOI 6 NUMERI'!$B$15*(IF(W22&lt;=0,0,MEDIAN(0,(W22-X22)/W22,1))))))-(IF(W22&lt;=0,0,'1 - I TUOI 6 NUMERI'!$B$16*W22)))*(1+((1+0.05)*(1+'1 - I TUOI 6 NUMERI'!$B$14)-1)))</f>
        <v/>
      </c>
      <c r="X23" s="23">
        <f>MAX(0,X22-(IF(W22&lt;=0,0,(30000*(1+'1 - I TUOI 6 NUMERI'!$B$14)^1)/(1-'1 - I TUOI 6 NUMERI'!$B$15*(IF(W22&lt;=0,0,MEDIAN(0,(W22-X22)/W22,1))))))*(1-(IF(W22&lt;=0,0,MEDIAN(0,(W22-X22)/W22,1)))))</f>
        <v/>
      </c>
      <c r="Y23" s="23">
        <f>IF(Y22&lt;=0,0,(Y22-(IF(Y22&lt;=0,0,(36000*(1+'1 - I TUOI 6 NUMERI'!$B$14)^1)/(1-'1 - I TUOI 6 NUMERI'!$B$15*(IF(Y22&lt;=0,0,MEDIAN(0,(Y22-Z22)/Y22,1))))))-(IF(Y22&lt;=0,0,'1 - I TUOI 6 NUMERI'!$B$16*Y22)))*(1+((1+0.01)*(1+'1 - I TUOI 6 NUMERI'!$B$14)-1)))</f>
        <v/>
      </c>
      <c r="Z23" s="23">
        <f>MAX(0,Z22-(IF(Y22&lt;=0,0,(36000*(1+'1 - I TUOI 6 NUMERI'!$B$14)^1)/(1-'1 - I TUOI 6 NUMERI'!$B$15*(IF(Y22&lt;=0,0,MEDIAN(0,(Y22-Z22)/Y22,1))))))*(1-(IF(Y22&lt;=0,0,MEDIAN(0,(Y22-Z22)/Y22,1)))))</f>
        <v/>
      </c>
      <c r="AA23" s="23">
        <f>IF(AA22&lt;=0,0,(AA22-(IF(AA22&lt;=0,0,(36000*(1+'1 - I TUOI 6 NUMERI'!$B$14)^1)/(1-'1 - I TUOI 6 NUMERI'!$B$15*(IF(AA22&lt;=0,0,MEDIAN(0,(AA22-AB22)/AA22,1))))))-(IF(AA22&lt;=0,0,'1 - I TUOI 6 NUMERI'!$B$16*AA22)))*(1+((1+0.03)*(1+'1 - I TUOI 6 NUMERI'!$B$14)-1)))</f>
        <v/>
      </c>
      <c r="AB23" s="23">
        <f>MAX(0,AB22-(IF(AA22&lt;=0,0,(36000*(1+'1 - I TUOI 6 NUMERI'!$B$14)^1)/(1-'1 - I TUOI 6 NUMERI'!$B$15*(IF(AA22&lt;=0,0,MEDIAN(0,(AA22-AB22)/AA22,1))))))*(1-(IF(AA22&lt;=0,0,MEDIAN(0,(AA22-AB22)/AA22,1)))))</f>
        <v/>
      </c>
      <c r="AC23" s="23">
        <f>IF(AC22&lt;=0,0,(AC22-(IF(AC22&lt;=0,0,(36000*(1+'1 - I TUOI 6 NUMERI'!$B$14)^1)/(1-'1 - I TUOI 6 NUMERI'!$B$15*(IF(AC22&lt;=0,0,MEDIAN(0,(AC22-AD22)/AC22,1))))))-(IF(AC22&lt;=0,0,'1 - I TUOI 6 NUMERI'!$B$16*AC22)))*(1+((1+0.05)*(1+'1 - I TUOI 6 NUMERI'!$B$14)-1)))</f>
        <v/>
      </c>
      <c r="AD23" s="23">
        <f>MAX(0,AD22-(IF(AC22&lt;=0,0,(36000*(1+'1 - I TUOI 6 NUMERI'!$B$14)^1)/(1-'1 - I TUOI 6 NUMERI'!$B$15*(IF(AC22&lt;=0,0,MEDIAN(0,(AC22-AD22)/AC22,1))))))*(1-(IF(AC22&lt;=0,0,MEDIAN(0,(AC22-AD22)/AC22,1)))))</f>
        <v/>
      </c>
    </row>
    <row r="24">
      <c r="F24" s="6" t="n">
        <v>2</v>
      </c>
      <c r="G24" s="23">
        <f>IF(G23&lt;=0,0,(G23-(IF(G23&lt;=0,0,(18000*(1+'1 - I TUOI 6 NUMERI'!$B$14)^2)/(1-'1 - I TUOI 6 NUMERI'!$B$15*(IF(G23&lt;=0,0,MEDIAN(0,(G23-H23)/G23,1))))))-(IF(G23&lt;=0,0,'1 - I TUOI 6 NUMERI'!$B$16*G23)))*(1+((1+0.01)*(1+'1 - I TUOI 6 NUMERI'!$B$14)-1)))</f>
        <v/>
      </c>
      <c r="H24" s="23">
        <f>MAX(0,H23-(IF(G23&lt;=0,0,(18000*(1+'1 - I TUOI 6 NUMERI'!$B$14)^2)/(1-'1 - I TUOI 6 NUMERI'!$B$15*(IF(G23&lt;=0,0,MEDIAN(0,(G23-H23)/G23,1))))))*(1-(IF(G23&lt;=0,0,MEDIAN(0,(G23-H23)/G23,1)))))</f>
        <v/>
      </c>
      <c r="I24" s="23">
        <f>IF(I23&lt;=0,0,(I23-(IF(I23&lt;=0,0,(18000*(1+'1 - I TUOI 6 NUMERI'!$B$14)^2)/(1-'1 - I TUOI 6 NUMERI'!$B$15*(IF(I23&lt;=0,0,MEDIAN(0,(I23-J23)/I23,1))))))-(IF(I23&lt;=0,0,'1 - I TUOI 6 NUMERI'!$B$16*I23)))*(1+((1+0.03)*(1+'1 - I TUOI 6 NUMERI'!$B$14)-1)))</f>
        <v/>
      </c>
      <c r="J24" s="23">
        <f>MAX(0,J23-(IF(I23&lt;=0,0,(18000*(1+'1 - I TUOI 6 NUMERI'!$B$14)^2)/(1-'1 - I TUOI 6 NUMERI'!$B$15*(IF(I23&lt;=0,0,MEDIAN(0,(I23-J23)/I23,1))))))*(1-(IF(I23&lt;=0,0,MEDIAN(0,(I23-J23)/I23,1)))))</f>
        <v/>
      </c>
      <c r="K24" s="23">
        <f>IF(K23&lt;=0,0,(K23-(IF(K23&lt;=0,0,(18000*(1+'1 - I TUOI 6 NUMERI'!$B$14)^2)/(1-'1 - I TUOI 6 NUMERI'!$B$15*(IF(K23&lt;=0,0,MEDIAN(0,(K23-L23)/K23,1))))))-(IF(K23&lt;=0,0,'1 - I TUOI 6 NUMERI'!$B$16*K23)))*(1+((1+0.05)*(1+'1 - I TUOI 6 NUMERI'!$B$14)-1)))</f>
        <v/>
      </c>
      <c r="L24" s="23">
        <f>MAX(0,L23-(IF(K23&lt;=0,0,(18000*(1+'1 - I TUOI 6 NUMERI'!$B$14)^2)/(1-'1 - I TUOI 6 NUMERI'!$B$15*(IF(K23&lt;=0,0,MEDIAN(0,(K23-L23)/K23,1))))))*(1-(IF(K23&lt;=0,0,MEDIAN(0,(K23-L23)/K23,1)))))</f>
        <v/>
      </c>
      <c r="M24" s="23">
        <f>IF(M23&lt;=0,0,(M23-(IF(M23&lt;=0,0,(24000*(1+'1 - I TUOI 6 NUMERI'!$B$14)^2)/(1-'1 - I TUOI 6 NUMERI'!$B$15*(IF(M23&lt;=0,0,MEDIAN(0,(M23-N23)/M23,1))))))-(IF(M23&lt;=0,0,'1 - I TUOI 6 NUMERI'!$B$16*M23)))*(1+((1+0.01)*(1+'1 - I TUOI 6 NUMERI'!$B$14)-1)))</f>
        <v/>
      </c>
      <c r="N24" s="23">
        <f>MAX(0,N23-(IF(M23&lt;=0,0,(24000*(1+'1 - I TUOI 6 NUMERI'!$B$14)^2)/(1-'1 - I TUOI 6 NUMERI'!$B$15*(IF(M23&lt;=0,0,MEDIAN(0,(M23-N23)/M23,1))))))*(1-(IF(M23&lt;=0,0,MEDIAN(0,(M23-N23)/M23,1)))))</f>
        <v/>
      </c>
      <c r="O24" s="23">
        <f>IF(O23&lt;=0,0,(O23-(IF(O23&lt;=0,0,(24000*(1+'1 - I TUOI 6 NUMERI'!$B$14)^2)/(1-'1 - I TUOI 6 NUMERI'!$B$15*(IF(O23&lt;=0,0,MEDIAN(0,(O23-P23)/O23,1))))))-(IF(O23&lt;=0,0,'1 - I TUOI 6 NUMERI'!$B$16*O23)))*(1+((1+0.03)*(1+'1 - I TUOI 6 NUMERI'!$B$14)-1)))</f>
        <v/>
      </c>
      <c r="P24" s="23">
        <f>MAX(0,P23-(IF(O23&lt;=0,0,(24000*(1+'1 - I TUOI 6 NUMERI'!$B$14)^2)/(1-'1 - I TUOI 6 NUMERI'!$B$15*(IF(O23&lt;=0,0,MEDIAN(0,(O23-P23)/O23,1))))))*(1-(IF(O23&lt;=0,0,MEDIAN(0,(O23-P23)/O23,1)))))</f>
        <v/>
      </c>
      <c r="Q24" s="23">
        <f>IF(Q23&lt;=0,0,(Q23-(IF(Q23&lt;=0,0,(24000*(1+'1 - I TUOI 6 NUMERI'!$B$14)^2)/(1-'1 - I TUOI 6 NUMERI'!$B$15*(IF(Q23&lt;=0,0,MEDIAN(0,(Q23-R23)/Q23,1))))))-(IF(Q23&lt;=0,0,'1 - I TUOI 6 NUMERI'!$B$16*Q23)))*(1+((1+0.05)*(1+'1 - I TUOI 6 NUMERI'!$B$14)-1)))</f>
        <v/>
      </c>
      <c r="R24" s="23">
        <f>MAX(0,R23-(IF(Q23&lt;=0,0,(24000*(1+'1 - I TUOI 6 NUMERI'!$B$14)^2)/(1-'1 - I TUOI 6 NUMERI'!$B$15*(IF(Q23&lt;=0,0,MEDIAN(0,(Q23-R23)/Q23,1))))))*(1-(IF(Q23&lt;=0,0,MEDIAN(0,(Q23-R23)/Q23,1)))))</f>
        <v/>
      </c>
      <c r="S24" s="23">
        <f>IF(S23&lt;=0,0,(S23-(IF(S23&lt;=0,0,(30000*(1+'1 - I TUOI 6 NUMERI'!$B$14)^2)/(1-'1 - I TUOI 6 NUMERI'!$B$15*(IF(S23&lt;=0,0,MEDIAN(0,(S23-T23)/S23,1))))))-(IF(S23&lt;=0,0,'1 - I TUOI 6 NUMERI'!$B$16*S23)))*(1+((1+0.01)*(1+'1 - I TUOI 6 NUMERI'!$B$14)-1)))</f>
        <v/>
      </c>
      <c r="T24" s="23">
        <f>MAX(0,T23-(IF(S23&lt;=0,0,(30000*(1+'1 - I TUOI 6 NUMERI'!$B$14)^2)/(1-'1 - I TUOI 6 NUMERI'!$B$15*(IF(S23&lt;=0,0,MEDIAN(0,(S23-T23)/S23,1))))))*(1-(IF(S23&lt;=0,0,MEDIAN(0,(S23-T23)/S23,1)))))</f>
        <v/>
      </c>
      <c r="U24" s="23">
        <f>IF(U23&lt;=0,0,(U23-(IF(U23&lt;=0,0,(30000*(1+'1 - I TUOI 6 NUMERI'!$B$14)^2)/(1-'1 - I TUOI 6 NUMERI'!$B$15*(IF(U23&lt;=0,0,MEDIAN(0,(U23-V23)/U23,1))))))-(IF(U23&lt;=0,0,'1 - I TUOI 6 NUMERI'!$B$16*U23)))*(1+((1+0.03)*(1+'1 - I TUOI 6 NUMERI'!$B$14)-1)))</f>
        <v/>
      </c>
      <c r="V24" s="23">
        <f>MAX(0,V23-(IF(U23&lt;=0,0,(30000*(1+'1 - I TUOI 6 NUMERI'!$B$14)^2)/(1-'1 - I TUOI 6 NUMERI'!$B$15*(IF(U23&lt;=0,0,MEDIAN(0,(U23-V23)/U23,1))))))*(1-(IF(U23&lt;=0,0,MEDIAN(0,(U23-V23)/U23,1)))))</f>
        <v/>
      </c>
      <c r="W24" s="23">
        <f>IF(W23&lt;=0,0,(W23-(IF(W23&lt;=0,0,(30000*(1+'1 - I TUOI 6 NUMERI'!$B$14)^2)/(1-'1 - I TUOI 6 NUMERI'!$B$15*(IF(W23&lt;=0,0,MEDIAN(0,(W23-X23)/W23,1))))))-(IF(W23&lt;=0,0,'1 - I TUOI 6 NUMERI'!$B$16*W23)))*(1+((1+0.05)*(1+'1 - I TUOI 6 NUMERI'!$B$14)-1)))</f>
        <v/>
      </c>
      <c r="X24" s="23">
        <f>MAX(0,X23-(IF(W23&lt;=0,0,(30000*(1+'1 - I TUOI 6 NUMERI'!$B$14)^2)/(1-'1 - I TUOI 6 NUMERI'!$B$15*(IF(W23&lt;=0,0,MEDIAN(0,(W23-X23)/W23,1))))))*(1-(IF(W23&lt;=0,0,MEDIAN(0,(W23-X23)/W23,1)))))</f>
        <v/>
      </c>
      <c r="Y24" s="23">
        <f>IF(Y23&lt;=0,0,(Y23-(IF(Y23&lt;=0,0,(36000*(1+'1 - I TUOI 6 NUMERI'!$B$14)^2)/(1-'1 - I TUOI 6 NUMERI'!$B$15*(IF(Y23&lt;=0,0,MEDIAN(0,(Y23-Z23)/Y23,1))))))-(IF(Y23&lt;=0,0,'1 - I TUOI 6 NUMERI'!$B$16*Y23)))*(1+((1+0.01)*(1+'1 - I TUOI 6 NUMERI'!$B$14)-1)))</f>
        <v/>
      </c>
      <c r="Z24" s="23">
        <f>MAX(0,Z23-(IF(Y23&lt;=0,0,(36000*(1+'1 - I TUOI 6 NUMERI'!$B$14)^2)/(1-'1 - I TUOI 6 NUMERI'!$B$15*(IF(Y23&lt;=0,0,MEDIAN(0,(Y23-Z23)/Y23,1))))))*(1-(IF(Y23&lt;=0,0,MEDIAN(0,(Y23-Z23)/Y23,1)))))</f>
        <v/>
      </c>
      <c r="AA24" s="23">
        <f>IF(AA23&lt;=0,0,(AA23-(IF(AA23&lt;=0,0,(36000*(1+'1 - I TUOI 6 NUMERI'!$B$14)^2)/(1-'1 - I TUOI 6 NUMERI'!$B$15*(IF(AA23&lt;=0,0,MEDIAN(0,(AA23-AB23)/AA23,1))))))-(IF(AA23&lt;=0,0,'1 - I TUOI 6 NUMERI'!$B$16*AA23)))*(1+((1+0.03)*(1+'1 - I TUOI 6 NUMERI'!$B$14)-1)))</f>
        <v/>
      </c>
      <c r="AB24" s="23">
        <f>MAX(0,AB23-(IF(AA23&lt;=0,0,(36000*(1+'1 - I TUOI 6 NUMERI'!$B$14)^2)/(1-'1 - I TUOI 6 NUMERI'!$B$15*(IF(AA23&lt;=0,0,MEDIAN(0,(AA23-AB23)/AA23,1))))))*(1-(IF(AA23&lt;=0,0,MEDIAN(0,(AA23-AB23)/AA23,1)))))</f>
        <v/>
      </c>
      <c r="AC24" s="23">
        <f>IF(AC23&lt;=0,0,(AC23-(IF(AC23&lt;=0,0,(36000*(1+'1 - I TUOI 6 NUMERI'!$B$14)^2)/(1-'1 - I TUOI 6 NUMERI'!$B$15*(IF(AC23&lt;=0,0,MEDIAN(0,(AC23-AD23)/AC23,1))))))-(IF(AC23&lt;=0,0,'1 - I TUOI 6 NUMERI'!$B$16*AC23)))*(1+((1+0.05)*(1+'1 - I TUOI 6 NUMERI'!$B$14)-1)))</f>
        <v/>
      </c>
      <c r="AD24" s="23">
        <f>MAX(0,AD23-(IF(AC23&lt;=0,0,(36000*(1+'1 - I TUOI 6 NUMERI'!$B$14)^2)/(1-'1 - I TUOI 6 NUMERI'!$B$15*(IF(AC23&lt;=0,0,MEDIAN(0,(AC23-AD23)/AC23,1))))))*(1-(IF(AC23&lt;=0,0,MEDIAN(0,(AC23-AD23)/AC23,1)))))</f>
        <v/>
      </c>
    </row>
    <row r="25">
      <c r="F25" s="6" t="n">
        <v>3</v>
      </c>
      <c r="G25" s="23">
        <f>IF(G24&lt;=0,0,(G24-(IF(G24&lt;=0,0,(18000*(1+'1 - I TUOI 6 NUMERI'!$B$14)^3)/(1-'1 - I TUOI 6 NUMERI'!$B$15*(IF(G24&lt;=0,0,MEDIAN(0,(G24-H24)/G24,1))))))-(IF(G24&lt;=0,0,'1 - I TUOI 6 NUMERI'!$B$16*G24)))*(1+((1+0.01)*(1+'1 - I TUOI 6 NUMERI'!$B$14)-1)))</f>
        <v/>
      </c>
      <c r="H25" s="23">
        <f>MAX(0,H24-(IF(G24&lt;=0,0,(18000*(1+'1 - I TUOI 6 NUMERI'!$B$14)^3)/(1-'1 - I TUOI 6 NUMERI'!$B$15*(IF(G24&lt;=0,0,MEDIAN(0,(G24-H24)/G24,1))))))*(1-(IF(G24&lt;=0,0,MEDIAN(0,(G24-H24)/G24,1)))))</f>
        <v/>
      </c>
      <c r="I25" s="23">
        <f>IF(I24&lt;=0,0,(I24-(IF(I24&lt;=0,0,(18000*(1+'1 - I TUOI 6 NUMERI'!$B$14)^3)/(1-'1 - I TUOI 6 NUMERI'!$B$15*(IF(I24&lt;=0,0,MEDIAN(0,(I24-J24)/I24,1))))))-(IF(I24&lt;=0,0,'1 - I TUOI 6 NUMERI'!$B$16*I24)))*(1+((1+0.03)*(1+'1 - I TUOI 6 NUMERI'!$B$14)-1)))</f>
        <v/>
      </c>
      <c r="J25" s="23">
        <f>MAX(0,J24-(IF(I24&lt;=0,0,(18000*(1+'1 - I TUOI 6 NUMERI'!$B$14)^3)/(1-'1 - I TUOI 6 NUMERI'!$B$15*(IF(I24&lt;=0,0,MEDIAN(0,(I24-J24)/I24,1))))))*(1-(IF(I24&lt;=0,0,MEDIAN(0,(I24-J24)/I24,1)))))</f>
        <v/>
      </c>
      <c r="K25" s="23">
        <f>IF(K24&lt;=0,0,(K24-(IF(K24&lt;=0,0,(18000*(1+'1 - I TUOI 6 NUMERI'!$B$14)^3)/(1-'1 - I TUOI 6 NUMERI'!$B$15*(IF(K24&lt;=0,0,MEDIAN(0,(K24-L24)/K24,1))))))-(IF(K24&lt;=0,0,'1 - I TUOI 6 NUMERI'!$B$16*K24)))*(1+((1+0.05)*(1+'1 - I TUOI 6 NUMERI'!$B$14)-1)))</f>
        <v/>
      </c>
      <c r="L25" s="23">
        <f>MAX(0,L24-(IF(K24&lt;=0,0,(18000*(1+'1 - I TUOI 6 NUMERI'!$B$14)^3)/(1-'1 - I TUOI 6 NUMERI'!$B$15*(IF(K24&lt;=0,0,MEDIAN(0,(K24-L24)/K24,1))))))*(1-(IF(K24&lt;=0,0,MEDIAN(0,(K24-L24)/K24,1)))))</f>
        <v/>
      </c>
      <c r="M25" s="23">
        <f>IF(M24&lt;=0,0,(M24-(IF(M24&lt;=0,0,(24000*(1+'1 - I TUOI 6 NUMERI'!$B$14)^3)/(1-'1 - I TUOI 6 NUMERI'!$B$15*(IF(M24&lt;=0,0,MEDIAN(0,(M24-N24)/M24,1))))))-(IF(M24&lt;=0,0,'1 - I TUOI 6 NUMERI'!$B$16*M24)))*(1+((1+0.01)*(1+'1 - I TUOI 6 NUMERI'!$B$14)-1)))</f>
        <v/>
      </c>
      <c r="N25" s="23">
        <f>MAX(0,N24-(IF(M24&lt;=0,0,(24000*(1+'1 - I TUOI 6 NUMERI'!$B$14)^3)/(1-'1 - I TUOI 6 NUMERI'!$B$15*(IF(M24&lt;=0,0,MEDIAN(0,(M24-N24)/M24,1))))))*(1-(IF(M24&lt;=0,0,MEDIAN(0,(M24-N24)/M24,1)))))</f>
        <v/>
      </c>
      <c r="O25" s="23">
        <f>IF(O24&lt;=0,0,(O24-(IF(O24&lt;=0,0,(24000*(1+'1 - I TUOI 6 NUMERI'!$B$14)^3)/(1-'1 - I TUOI 6 NUMERI'!$B$15*(IF(O24&lt;=0,0,MEDIAN(0,(O24-P24)/O24,1))))))-(IF(O24&lt;=0,0,'1 - I TUOI 6 NUMERI'!$B$16*O24)))*(1+((1+0.03)*(1+'1 - I TUOI 6 NUMERI'!$B$14)-1)))</f>
        <v/>
      </c>
      <c r="P25" s="23">
        <f>MAX(0,P24-(IF(O24&lt;=0,0,(24000*(1+'1 - I TUOI 6 NUMERI'!$B$14)^3)/(1-'1 - I TUOI 6 NUMERI'!$B$15*(IF(O24&lt;=0,0,MEDIAN(0,(O24-P24)/O24,1))))))*(1-(IF(O24&lt;=0,0,MEDIAN(0,(O24-P24)/O24,1)))))</f>
        <v/>
      </c>
      <c r="Q25" s="23">
        <f>IF(Q24&lt;=0,0,(Q24-(IF(Q24&lt;=0,0,(24000*(1+'1 - I TUOI 6 NUMERI'!$B$14)^3)/(1-'1 - I TUOI 6 NUMERI'!$B$15*(IF(Q24&lt;=0,0,MEDIAN(0,(Q24-R24)/Q24,1))))))-(IF(Q24&lt;=0,0,'1 - I TUOI 6 NUMERI'!$B$16*Q24)))*(1+((1+0.05)*(1+'1 - I TUOI 6 NUMERI'!$B$14)-1)))</f>
        <v/>
      </c>
      <c r="R25" s="23">
        <f>MAX(0,R24-(IF(Q24&lt;=0,0,(24000*(1+'1 - I TUOI 6 NUMERI'!$B$14)^3)/(1-'1 - I TUOI 6 NUMERI'!$B$15*(IF(Q24&lt;=0,0,MEDIAN(0,(Q24-R24)/Q24,1))))))*(1-(IF(Q24&lt;=0,0,MEDIAN(0,(Q24-R24)/Q24,1)))))</f>
        <v/>
      </c>
      <c r="S25" s="23">
        <f>IF(S24&lt;=0,0,(S24-(IF(S24&lt;=0,0,(30000*(1+'1 - I TUOI 6 NUMERI'!$B$14)^3)/(1-'1 - I TUOI 6 NUMERI'!$B$15*(IF(S24&lt;=0,0,MEDIAN(0,(S24-T24)/S24,1))))))-(IF(S24&lt;=0,0,'1 - I TUOI 6 NUMERI'!$B$16*S24)))*(1+((1+0.01)*(1+'1 - I TUOI 6 NUMERI'!$B$14)-1)))</f>
        <v/>
      </c>
      <c r="T25" s="23">
        <f>MAX(0,T24-(IF(S24&lt;=0,0,(30000*(1+'1 - I TUOI 6 NUMERI'!$B$14)^3)/(1-'1 - I TUOI 6 NUMERI'!$B$15*(IF(S24&lt;=0,0,MEDIAN(0,(S24-T24)/S24,1))))))*(1-(IF(S24&lt;=0,0,MEDIAN(0,(S24-T24)/S24,1)))))</f>
        <v/>
      </c>
      <c r="U25" s="23">
        <f>IF(U24&lt;=0,0,(U24-(IF(U24&lt;=0,0,(30000*(1+'1 - I TUOI 6 NUMERI'!$B$14)^3)/(1-'1 - I TUOI 6 NUMERI'!$B$15*(IF(U24&lt;=0,0,MEDIAN(0,(U24-V24)/U24,1))))))-(IF(U24&lt;=0,0,'1 - I TUOI 6 NUMERI'!$B$16*U24)))*(1+((1+0.03)*(1+'1 - I TUOI 6 NUMERI'!$B$14)-1)))</f>
        <v/>
      </c>
      <c r="V25" s="23">
        <f>MAX(0,V24-(IF(U24&lt;=0,0,(30000*(1+'1 - I TUOI 6 NUMERI'!$B$14)^3)/(1-'1 - I TUOI 6 NUMERI'!$B$15*(IF(U24&lt;=0,0,MEDIAN(0,(U24-V24)/U24,1))))))*(1-(IF(U24&lt;=0,0,MEDIAN(0,(U24-V24)/U24,1)))))</f>
        <v/>
      </c>
      <c r="W25" s="23">
        <f>IF(W24&lt;=0,0,(W24-(IF(W24&lt;=0,0,(30000*(1+'1 - I TUOI 6 NUMERI'!$B$14)^3)/(1-'1 - I TUOI 6 NUMERI'!$B$15*(IF(W24&lt;=0,0,MEDIAN(0,(W24-X24)/W24,1))))))-(IF(W24&lt;=0,0,'1 - I TUOI 6 NUMERI'!$B$16*W24)))*(1+((1+0.05)*(1+'1 - I TUOI 6 NUMERI'!$B$14)-1)))</f>
        <v/>
      </c>
      <c r="X25" s="23">
        <f>MAX(0,X24-(IF(W24&lt;=0,0,(30000*(1+'1 - I TUOI 6 NUMERI'!$B$14)^3)/(1-'1 - I TUOI 6 NUMERI'!$B$15*(IF(W24&lt;=0,0,MEDIAN(0,(W24-X24)/W24,1))))))*(1-(IF(W24&lt;=0,0,MEDIAN(0,(W24-X24)/W24,1)))))</f>
        <v/>
      </c>
      <c r="Y25" s="23">
        <f>IF(Y24&lt;=0,0,(Y24-(IF(Y24&lt;=0,0,(36000*(1+'1 - I TUOI 6 NUMERI'!$B$14)^3)/(1-'1 - I TUOI 6 NUMERI'!$B$15*(IF(Y24&lt;=0,0,MEDIAN(0,(Y24-Z24)/Y24,1))))))-(IF(Y24&lt;=0,0,'1 - I TUOI 6 NUMERI'!$B$16*Y24)))*(1+((1+0.01)*(1+'1 - I TUOI 6 NUMERI'!$B$14)-1)))</f>
        <v/>
      </c>
      <c r="Z25" s="23">
        <f>MAX(0,Z24-(IF(Y24&lt;=0,0,(36000*(1+'1 - I TUOI 6 NUMERI'!$B$14)^3)/(1-'1 - I TUOI 6 NUMERI'!$B$15*(IF(Y24&lt;=0,0,MEDIAN(0,(Y24-Z24)/Y24,1))))))*(1-(IF(Y24&lt;=0,0,MEDIAN(0,(Y24-Z24)/Y24,1)))))</f>
        <v/>
      </c>
      <c r="AA25" s="23">
        <f>IF(AA24&lt;=0,0,(AA24-(IF(AA24&lt;=0,0,(36000*(1+'1 - I TUOI 6 NUMERI'!$B$14)^3)/(1-'1 - I TUOI 6 NUMERI'!$B$15*(IF(AA24&lt;=0,0,MEDIAN(0,(AA24-AB24)/AA24,1))))))-(IF(AA24&lt;=0,0,'1 - I TUOI 6 NUMERI'!$B$16*AA24)))*(1+((1+0.03)*(1+'1 - I TUOI 6 NUMERI'!$B$14)-1)))</f>
        <v/>
      </c>
      <c r="AB25" s="23">
        <f>MAX(0,AB24-(IF(AA24&lt;=0,0,(36000*(1+'1 - I TUOI 6 NUMERI'!$B$14)^3)/(1-'1 - I TUOI 6 NUMERI'!$B$15*(IF(AA24&lt;=0,0,MEDIAN(0,(AA24-AB24)/AA24,1))))))*(1-(IF(AA24&lt;=0,0,MEDIAN(0,(AA24-AB24)/AA24,1)))))</f>
        <v/>
      </c>
      <c r="AC25" s="23">
        <f>IF(AC24&lt;=0,0,(AC24-(IF(AC24&lt;=0,0,(36000*(1+'1 - I TUOI 6 NUMERI'!$B$14)^3)/(1-'1 - I TUOI 6 NUMERI'!$B$15*(IF(AC24&lt;=0,0,MEDIAN(0,(AC24-AD24)/AC24,1))))))-(IF(AC24&lt;=0,0,'1 - I TUOI 6 NUMERI'!$B$16*AC24)))*(1+((1+0.05)*(1+'1 - I TUOI 6 NUMERI'!$B$14)-1)))</f>
        <v/>
      </c>
      <c r="AD25" s="23">
        <f>MAX(0,AD24-(IF(AC24&lt;=0,0,(36000*(1+'1 - I TUOI 6 NUMERI'!$B$14)^3)/(1-'1 - I TUOI 6 NUMERI'!$B$15*(IF(AC24&lt;=0,0,MEDIAN(0,(AC24-AD24)/AC24,1))))))*(1-(IF(AC24&lt;=0,0,MEDIAN(0,(AC24-AD24)/AC24,1)))))</f>
        <v/>
      </c>
    </row>
    <row r="26">
      <c r="F26" s="6" t="n">
        <v>4</v>
      </c>
      <c r="G26" s="23">
        <f>IF(G25&lt;=0,0,(G25-(IF(G25&lt;=0,0,(18000*(1+'1 - I TUOI 6 NUMERI'!$B$14)^4)/(1-'1 - I TUOI 6 NUMERI'!$B$15*(IF(G25&lt;=0,0,MEDIAN(0,(G25-H25)/G25,1))))))-(IF(G25&lt;=0,0,'1 - I TUOI 6 NUMERI'!$B$16*G25)))*(1+((1+0.01)*(1+'1 - I TUOI 6 NUMERI'!$B$14)-1)))</f>
        <v/>
      </c>
      <c r="H26" s="23">
        <f>MAX(0,H25-(IF(G25&lt;=0,0,(18000*(1+'1 - I TUOI 6 NUMERI'!$B$14)^4)/(1-'1 - I TUOI 6 NUMERI'!$B$15*(IF(G25&lt;=0,0,MEDIAN(0,(G25-H25)/G25,1))))))*(1-(IF(G25&lt;=0,0,MEDIAN(0,(G25-H25)/G25,1)))))</f>
        <v/>
      </c>
      <c r="I26" s="23">
        <f>IF(I25&lt;=0,0,(I25-(IF(I25&lt;=0,0,(18000*(1+'1 - I TUOI 6 NUMERI'!$B$14)^4)/(1-'1 - I TUOI 6 NUMERI'!$B$15*(IF(I25&lt;=0,0,MEDIAN(0,(I25-J25)/I25,1))))))-(IF(I25&lt;=0,0,'1 - I TUOI 6 NUMERI'!$B$16*I25)))*(1+((1+0.03)*(1+'1 - I TUOI 6 NUMERI'!$B$14)-1)))</f>
        <v/>
      </c>
      <c r="J26" s="23">
        <f>MAX(0,J25-(IF(I25&lt;=0,0,(18000*(1+'1 - I TUOI 6 NUMERI'!$B$14)^4)/(1-'1 - I TUOI 6 NUMERI'!$B$15*(IF(I25&lt;=0,0,MEDIAN(0,(I25-J25)/I25,1))))))*(1-(IF(I25&lt;=0,0,MEDIAN(0,(I25-J25)/I25,1)))))</f>
        <v/>
      </c>
      <c r="K26" s="23">
        <f>IF(K25&lt;=0,0,(K25-(IF(K25&lt;=0,0,(18000*(1+'1 - I TUOI 6 NUMERI'!$B$14)^4)/(1-'1 - I TUOI 6 NUMERI'!$B$15*(IF(K25&lt;=0,0,MEDIAN(0,(K25-L25)/K25,1))))))-(IF(K25&lt;=0,0,'1 - I TUOI 6 NUMERI'!$B$16*K25)))*(1+((1+0.05)*(1+'1 - I TUOI 6 NUMERI'!$B$14)-1)))</f>
        <v/>
      </c>
      <c r="L26" s="23">
        <f>MAX(0,L25-(IF(K25&lt;=0,0,(18000*(1+'1 - I TUOI 6 NUMERI'!$B$14)^4)/(1-'1 - I TUOI 6 NUMERI'!$B$15*(IF(K25&lt;=0,0,MEDIAN(0,(K25-L25)/K25,1))))))*(1-(IF(K25&lt;=0,0,MEDIAN(0,(K25-L25)/K25,1)))))</f>
        <v/>
      </c>
      <c r="M26" s="23">
        <f>IF(M25&lt;=0,0,(M25-(IF(M25&lt;=0,0,(24000*(1+'1 - I TUOI 6 NUMERI'!$B$14)^4)/(1-'1 - I TUOI 6 NUMERI'!$B$15*(IF(M25&lt;=0,0,MEDIAN(0,(M25-N25)/M25,1))))))-(IF(M25&lt;=0,0,'1 - I TUOI 6 NUMERI'!$B$16*M25)))*(1+((1+0.01)*(1+'1 - I TUOI 6 NUMERI'!$B$14)-1)))</f>
        <v/>
      </c>
      <c r="N26" s="23">
        <f>MAX(0,N25-(IF(M25&lt;=0,0,(24000*(1+'1 - I TUOI 6 NUMERI'!$B$14)^4)/(1-'1 - I TUOI 6 NUMERI'!$B$15*(IF(M25&lt;=0,0,MEDIAN(0,(M25-N25)/M25,1))))))*(1-(IF(M25&lt;=0,0,MEDIAN(0,(M25-N25)/M25,1)))))</f>
        <v/>
      </c>
      <c r="O26" s="23">
        <f>IF(O25&lt;=0,0,(O25-(IF(O25&lt;=0,0,(24000*(1+'1 - I TUOI 6 NUMERI'!$B$14)^4)/(1-'1 - I TUOI 6 NUMERI'!$B$15*(IF(O25&lt;=0,0,MEDIAN(0,(O25-P25)/O25,1))))))-(IF(O25&lt;=0,0,'1 - I TUOI 6 NUMERI'!$B$16*O25)))*(1+((1+0.03)*(1+'1 - I TUOI 6 NUMERI'!$B$14)-1)))</f>
        <v/>
      </c>
      <c r="P26" s="23">
        <f>MAX(0,P25-(IF(O25&lt;=0,0,(24000*(1+'1 - I TUOI 6 NUMERI'!$B$14)^4)/(1-'1 - I TUOI 6 NUMERI'!$B$15*(IF(O25&lt;=0,0,MEDIAN(0,(O25-P25)/O25,1))))))*(1-(IF(O25&lt;=0,0,MEDIAN(0,(O25-P25)/O25,1)))))</f>
        <v/>
      </c>
      <c r="Q26" s="23">
        <f>IF(Q25&lt;=0,0,(Q25-(IF(Q25&lt;=0,0,(24000*(1+'1 - I TUOI 6 NUMERI'!$B$14)^4)/(1-'1 - I TUOI 6 NUMERI'!$B$15*(IF(Q25&lt;=0,0,MEDIAN(0,(Q25-R25)/Q25,1))))))-(IF(Q25&lt;=0,0,'1 - I TUOI 6 NUMERI'!$B$16*Q25)))*(1+((1+0.05)*(1+'1 - I TUOI 6 NUMERI'!$B$14)-1)))</f>
        <v/>
      </c>
      <c r="R26" s="23">
        <f>MAX(0,R25-(IF(Q25&lt;=0,0,(24000*(1+'1 - I TUOI 6 NUMERI'!$B$14)^4)/(1-'1 - I TUOI 6 NUMERI'!$B$15*(IF(Q25&lt;=0,0,MEDIAN(0,(Q25-R25)/Q25,1))))))*(1-(IF(Q25&lt;=0,0,MEDIAN(0,(Q25-R25)/Q25,1)))))</f>
        <v/>
      </c>
      <c r="S26" s="23">
        <f>IF(S25&lt;=0,0,(S25-(IF(S25&lt;=0,0,(30000*(1+'1 - I TUOI 6 NUMERI'!$B$14)^4)/(1-'1 - I TUOI 6 NUMERI'!$B$15*(IF(S25&lt;=0,0,MEDIAN(0,(S25-T25)/S25,1))))))-(IF(S25&lt;=0,0,'1 - I TUOI 6 NUMERI'!$B$16*S25)))*(1+((1+0.01)*(1+'1 - I TUOI 6 NUMERI'!$B$14)-1)))</f>
        <v/>
      </c>
      <c r="T26" s="23">
        <f>MAX(0,T25-(IF(S25&lt;=0,0,(30000*(1+'1 - I TUOI 6 NUMERI'!$B$14)^4)/(1-'1 - I TUOI 6 NUMERI'!$B$15*(IF(S25&lt;=0,0,MEDIAN(0,(S25-T25)/S25,1))))))*(1-(IF(S25&lt;=0,0,MEDIAN(0,(S25-T25)/S25,1)))))</f>
        <v/>
      </c>
      <c r="U26" s="23">
        <f>IF(U25&lt;=0,0,(U25-(IF(U25&lt;=0,0,(30000*(1+'1 - I TUOI 6 NUMERI'!$B$14)^4)/(1-'1 - I TUOI 6 NUMERI'!$B$15*(IF(U25&lt;=0,0,MEDIAN(0,(U25-V25)/U25,1))))))-(IF(U25&lt;=0,0,'1 - I TUOI 6 NUMERI'!$B$16*U25)))*(1+((1+0.03)*(1+'1 - I TUOI 6 NUMERI'!$B$14)-1)))</f>
        <v/>
      </c>
      <c r="V26" s="23">
        <f>MAX(0,V25-(IF(U25&lt;=0,0,(30000*(1+'1 - I TUOI 6 NUMERI'!$B$14)^4)/(1-'1 - I TUOI 6 NUMERI'!$B$15*(IF(U25&lt;=0,0,MEDIAN(0,(U25-V25)/U25,1))))))*(1-(IF(U25&lt;=0,0,MEDIAN(0,(U25-V25)/U25,1)))))</f>
        <v/>
      </c>
      <c r="W26" s="23">
        <f>IF(W25&lt;=0,0,(W25-(IF(W25&lt;=0,0,(30000*(1+'1 - I TUOI 6 NUMERI'!$B$14)^4)/(1-'1 - I TUOI 6 NUMERI'!$B$15*(IF(W25&lt;=0,0,MEDIAN(0,(W25-X25)/W25,1))))))-(IF(W25&lt;=0,0,'1 - I TUOI 6 NUMERI'!$B$16*W25)))*(1+((1+0.05)*(1+'1 - I TUOI 6 NUMERI'!$B$14)-1)))</f>
        <v/>
      </c>
      <c r="X26" s="23">
        <f>MAX(0,X25-(IF(W25&lt;=0,0,(30000*(1+'1 - I TUOI 6 NUMERI'!$B$14)^4)/(1-'1 - I TUOI 6 NUMERI'!$B$15*(IF(W25&lt;=0,0,MEDIAN(0,(W25-X25)/W25,1))))))*(1-(IF(W25&lt;=0,0,MEDIAN(0,(W25-X25)/W25,1)))))</f>
        <v/>
      </c>
      <c r="Y26" s="23">
        <f>IF(Y25&lt;=0,0,(Y25-(IF(Y25&lt;=0,0,(36000*(1+'1 - I TUOI 6 NUMERI'!$B$14)^4)/(1-'1 - I TUOI 6 NUMERI'!$B$15*(IF(Y25&lt;=0,0,MEDIAN(0,(Y25-Z25)/Y25,1))))))-(IF(Y25&lt;=0,0,'1 - I TUOI 6 NUMERI'!$B$16*Y25)))*(1+((1+0.01)*(1+'1 - I TUOI 6 NUMERI'!$B$14)-1)))</f>
        <v/>
      </c>
      <c r="Z26" s="23">
        <f>MAX(0,Z25-(IF(Y25&lt;=0,0,(36000*(1+'1 - I TUOI 6 NUMERI'!$B$14)^4)/(1-'1 - I TUOI 6 NUMERI'!$B$15*(IF(Y25&lt;=0,0,MEDIAN(0,(Y25-Z25)/Y25,1))))))*(1-(IF(Y25&lt;=0,0,MEDIAN(0,(Y25-Z25)/Y25,1)))))</f>
        <v/>
      </c>
      <c r="AA26" s="23">
        <f>IF(AA25&lt;=0,0,(AA25-(IF(AA25&lt;=0,0,(36000*(1+'1 - I TUOI 6 NUMERI'!$B$14)^4)/(1-'1 - I TUOI 6 NUMERI'!$B$15*(IF(AA25&lt;=0,0,MEDIAN(0,(AA25-AB25)/AA25,1))))))-(IF(AA25&lt;=0,0,'1 - I TUOI 6 NUMERI'!$B$16*AA25)))*(1+((1+0.03)*(1+'1 - I TUOI 6 NUMERI'!$B$14)-1)))</f>
        <v/>
      </c>
      <c r="AB26" s="23">
        <f>MAX(0,AB25-(IF(AA25&lt;=0,0,(36000*(1+'1 - I TUOI 6 NUMERI'!$B$14)^4)/(1-'1 - I TUOI 6 NUMERI'!$B$15*(IF(AA25&lt;=0,0,MEDIAN(0,(AA25-AB25)/AA25,1))))))*(1-(IF(AA25&lt;=0,0,MEDIAN(0,(AA25-AB25)/AA25,1)))))</f>
        <v/>
      </c>
      <c r="AC26" s="23">
        <f>IF(AC25&lt;=0,0,(AC25-(IF(AC25&lt;=0,0,(36000*(1+'1 - I TUOI 6 NUMERI'!$B$14)^4)/(1-'1 - I TUOI 6 NUMERI'!$B$15*(IF(AC25&lt;=0,0,MEDIAN(0,(AC25-AD25)/AC25,1))))))-(IF(AC25&lt;=0,0,'1 - I TUOI 6 NUMERI'!$B$16*AC25)))*(1+((1+0.05)*(1+'1 - I TUOI 6 NUMERI'!$B$14)-1)))</f>
        <v/>
      </c>
      <c r="AD26" s="23">
        <f>MAX(0,AD25-(IF(AC25&lt;=0,0,(36000*(1+'1 - I TUOI 6 NUMERI'!$B$14)^4)/(1-'1 - I TUOI 6 NUMERI'!$B$15*(IF(AC25&lt;=0,0,MEDIAN(0,(AC25-AD25)/AC25,1))))))*(1-(IF(AC25&lt;=0,0,MEDIAN(0,(AC25-AD25)/AC25,1)))))</f>
        <v/>
      </c>
    </row>
    <row r="27">
      <c r="F27" s="6" t="n">
        <v>5</v>
      </c>
      <c r="G27" s="23">
        <f>IF(G26&lt;=0,0,(G26-(IF(G26&lt;=0,0,(18000*(1+'1 - I TUOI 6 NUMERI'!$B$14)^5)/(1-'1 - I TUOI 6 NUMERI'!$B$15*(IF(G26&lt;=0,0,MEDIAN(0,(G26-H26)/G26,1))))))-(IF(G26&lt;=0,0,'1 - I TUOI 6 NUMERI'!$B$16*G26)))*(1+((1+0.01)*(1+'1 - I TUOI 6 NUMERI'!$B$14)-1)))</f>
        <v/>
      </c>
      <c r="H27" s="23">
        <f>MAX(0,H26-(IF(G26&lt;=0,0,(18000*(1+'1 - I TUOI 6 NUMERI'!$B$14)^5)/(1-'1 - I TUOI 6 NUMERI'!$B$15*(IF(G26&lt;=0,0,MEDIAN(0,(G26-H26)/G26,1))))))*(1-(IF(G26&lt;=0,0,MEDIAN(0,(G26-H26)/G26,1)))))</f>
        <v/>
      </c>
      <c r="I27" s="23">
        <f>IF(I26&lt;=0,0,(I26-(IF(I26&lt;=0,0,(18000*(1+'1 - I TUOI 6 NUMERI'!$B$14)^5)/(1-'1 - I TUOI 6 NUMERI'!$B$15*(IF(I26&lt;=0,0,MEDIAN(0,(I26-J26)/I26,1))))))-(IF(I26&lt;=0,0,'1 - I TUOI 6 NUMERI'!$B$16*I26)))*(1+((1+0.03)*(1+'1 - I TUOI 6 NUMERI'!$B$14)-1)))</f>
        <v/>
      </c>
      <c r="J27" s="23">
        <f>MAX(0,J26-(IF(I26&lt;=0,0,(18000*(1+'1 - I TUOI 6 NUMERI'!$B$14)^5)/(1-'1 - I TUOI 6 NUMERI'!$B$15*(IF(I26&lt;=0,0,MEDIAN(0,(I26-J26)/I26,1))))))*(1-(IF(I26&lt;=0,0,MEDIAN(0,(I26-J26)/I26,1)))))</f>
        <v/>
      </c>
      <c r="K27" s="23">
        <f>IF(K26&lt;=0,0,(K26-(IF(K26&lt;=0,0,(18000*(1+'1 - I TUOI 6 NUMERI'!$B$14)^5)/(1-'1 - I TUOI 6 NUMERI'!$B$15*(IF(K26&lt;=0,0,MEDIAN(0,(K26-L26)/K26,1))))))-(IF(K26&lt;=0,0,'1 - I TUOI 6 NUMERI'!$B$16*K26)))*(1+((1+0.05)*(1+'1 - I TUOI 6 NUMERI'!$B$14)-1)))</f>
        <v/>
      </c>
      <c r="L27" s="23">
        <f>MAX(0,L26-(IF(K26&lt;=0,0,(18000*(1+'1 - I TUOI 6 NUMERI'!$B$14)^5)/(1-'1 - I TUOI 6 NUMERI'!$B$15*(IF(K26&lt;=0,0,MEDIAN(0,(K26-L26)/K26,1))))))*(1-(IF(K26&lt;=0,0,MEDIAN(0,(K26-L26)/K26,1)))))</f>
        <v/>
      </c>
      <c r="M27" s="23">
        <f>IF(M26&lt;=0,0,(M26-(IF(M26&lt;=0,0,(24000*(1+'1 - I TUOI 6 NUMERI'!$B$14)^5)/(1-'1 - I TUOI 6 NUMERI'!$B$15*(IF(M26&lt;=0,0,MEDIAN(0,(M26-N26)/M26,1))))))-(IF(M26&lt;=0,0,'1 - I TUOI 6 NUMERI'!$B$16*M26)))*(1+((1+0.01)*(1+'1 - I TUOI 6 NUMERI'!$B$14)-1)))</f>
        <v/>
      </c>
      <c r="N27" s="23">
        <f>MAX(0,N26-(IF(M26&lt;=0,0,(24000*(1+'1 - I TUOI 6 NUMERI'!$B$14)^5)/(1-'1 - I TUOI 6 NUMERI'!$B$15*(IF(M26&lt;=0,0,MEDIAN(0,(M26-N26)/M26,1))))))*(1-(IF(M26&lt;=0,0,MEDIAN(0,(M26-N26)/M26,1)))))</f>
        <v/>
      </c>
      <c r="O27" s="23">
        <f>IF(O26&lt;=0,0,(O26-(IF(O26&lt;=0,0,(24000*(1+'1 - I TUOI 6 NUMERI'!$B$14)^5)/(1-'1 - I TUOI 6 NUMERI'!$B$15*(IF(O26&lt;=0,0,MEDIAN(0,(O26-P26)/O26,1))))))-(IF(O26&lt;=0,0,'1 - I TUOI 6 NUMERI'!$B$16*O26)))*(1+((1+0.03)*(1+'1 - I TUOI 6 NUMERI'!$B$14)-1)))</f>
        <v/>
      </c>
      <c r="P27" s="23">
        <f>MAX(0,P26-(IF(O26&lt;=0,0,(24000*(1+'1 - I TUOI 6 NUMERI'!$B$14)^5)/(1-'1 - I TUOI 6 NUMERI'!$B$15*(IF(O26&lt;=0,0,MEDIAN(0,(O26-P26)/O26,1))))))*(1-(IF(O26&lt;=0,0,MEDIAN(0,(O26-P26)/O26,1)))))</f>
        <v/>
      </c>
      <c r="Q27" s="23">
        <f>IF(Q26&lt;=0,0,(Q26-(IF(Q26&lt;=0,0,(24000*(1+'1 - I TUOI 6 NUMERI'!$B$14)^5)/(1-'1 - I TUOI 6 NUMERI'!$B$15*(IF(Q26&lt;=0,0,MEDIAN(0,(Q26-R26)/Q26,1))))))-(IF(Q26&lt;=0,0,'1 - I TUOI 6 NUMERI'!$B$16*Q26)))*(1+((1+0.05)*(1+'1 - I TUOI 6 NUMERI'!$B$14)-1)))</f>
        <v/>
      </c>
      <c r="R27" s="23">
        <f>MAX(0,R26-(IF(Q26&lt;=0,0,(24000*(1+'1 - I TUOI 6 NUMERI'!$B$14)^5)/(1-'1 - I TUOI 6 NUMERI'!$B$15*(IF(Q26&lt;=0,0,MEDIAN(0,(Q26-R26)/Q26,1))))))*(1-(IF(Q26&lt;=0,0,MEDIAN(0,(Q26-R26)/Q26,1)))))</f>
        <v/>
      </c>
      <c r="S27" s="23">
        <f>IF(S26&lt;=0,0,(S26-(IF(S26&lt;=0,0,(30000*(1+'1 - I TUOI 6 NUMERI'!$B$14)^5)/(1-'1 - I TUOI 6 NUMERI'!$B$15*(IF(S26&lt;=0,0,MEDIAN(0,(S26-T26)/S26,1))))))-(IF(S26&lt;=0,0,'1 - I TUOI 6 NUMERI'!$B$16*S26)))*(1+((1+0.01)*(1+'1 - I TUOI 6 NUMERI'!$B$14)-1)))</f>
        <v/>
      </c>
      <c r="T27" s="23">
        <f>MAX(0,T26-(IF(S26&lt;=0,0,(30000*(1+'1 - I TUOI 6 NUMERI'!$B$14)^5)/(1-'1 - I TUOI 6 NUMERI'!$B$15*(IF(S26&lt;=0,0,MEDIAN(0,(S26-T26)/S26,1))))))*(1-(IF(S26&lt;=0,0,MEDIAN(0,(S26-T26)/S26,1)))))</f>
        <v/>
      </c>
      <c r="U27" s="23">
        <f>IF(U26&lt;=0,0,(U26-(IF(U26&lt;=0,0,(30000*(1+'1 - I TUOI 6 NUMERI'!$B$14)^5)/(1-'1 - I TUOI 6 NUMERI'!$B$15*(IF(U26&lt;=0,0,MEDIAN(0,(U26-V26)/U26,1))))))-(IF(U26&lt;=0,0,'1 - I TUOI 6 NUMERI'!$B$16*U26)))*(1+((1+0.03)*(1+'1 - I TUOI 6 NUMERI'!$B$14)-1)))</f>
        <v/>
      </c>
      <c r="V27" s="23">
        <f>MAX(0,V26-(IF(U26&lt;=0,0,(30000*(1+'1 - I TUOI 6 NUMERI'!$B$14)^5)/(1-'1 - I TUOI 6 NUMERI'!$B$15*(IF(U26&lt;=0,0,MEDIAN(0,(U26-V26)/U26,1))))))*(1-(IF(U26&lt;=0,0,MEDIAN(0,(U26-V26)/U26,1)))))</f>
        <v/>
      </c>
      <c r="W27" s="23">
        <f>IF(W26&lt;=0,0,(W26-(IF(W26&lt;=0,0,(30000*(1+'1 - I TUOI 6 NUMERI'!$B$14)^5)/(1-'1 - I TUOI 6 NUMERI'!$B$15*(IF(W26&lt;=0,0,MEDIAN(0,(W26-X26)/W26,1))))))-(IF(W26&lt;=0,0,'1 - I TUOI 6 NUMERI'!$B$16*W26)))*(1+((1+0.05)*(1+'1 - I TUOI 6 NUMERI'!$B$14)-1)))</f>
        <v/>
      </c>
      <c r="X27" s="23">
        <f>MAX(0,X26-(IF(W26&lt;=0,0,(30000*(1+'1 - I TUOI 6 NUMERI'!$B$14)^5)/(1-'1 - I TUOI 6 NUMERI'!$B$15*(IF(W26&lt;=0,0,MEDIAN(0,(W26-X26)/W26,1))))))*(1-(IF(W26&lt;=0,0,MEDIAN(0,(W26-X26)/W26,1)))))</f>
        <v/>
      </c>
      <c r="Y27" s="23">
        <f>IF(Y26&lt;=0,0,(Y26-(IF(Y26&lt;=0,0,(36000*(1+'1 - I TUOI 6 NUMERI'!$B$14)^5)/(1-'1 - I TUOI 6 NUMERI'!$B$15*(IF(Y26&lt;=0,0,MEDIAN(0,(Y26-Z26)/Y26,1))))))-(IF(Y26&lt;=0,0,'1 - I TUOI 6 NUMERI'!$B$16*Y26)))*(1+((1+0.01)*(1+'1 - I TUOI 6 NUMERI'!$B$14)-1)))</f>
        <v/>
      </c>
      <c r="Z27" s="23">
        <f>MAX(0,Z26-(IF(Y26&lt;=0,0,(36000*(1+'1 - I TUOI 6 NUMERI'!$B$14)^5)/(1-'1 - I TUOI 6 NUMERI'!$B$15*(IF(Y26&lt;=0,0,MEDIAN(0,(Y26-Z26)/Y26,1))))))*(1-(IF(Y26&lt;=0,0,MEDIAN(0,(Y26-Z26)/Y26,1)))))</f>
        <v/>
      </c>
      <c r="AA27" s="23">
        <f>IF(AA26&lt;=0,0,(AA26-(IF(AA26&lt;=0,0,(36000*(1+'1 - I TUOI 6 NUMERI'!$B$14)^5)/(1-'1 - I TUOI 6 NUMERI'!$B$15*(IF(AA26&lt;=0,0,MEDIAN(0,(AA26-AB26)/AA26,1))))))-(IF(AA26&lt;=0,0,'1 - I TUOI 6 NUMERI'!$B$16*AA26)))*(1+((1+0.03)*(1+'1 - I TUOI 6 NUMERI'!$B$14)-1)))</f>
        <v/>
      </c>
      <c r="AB27" s="23">
        <f>MAX(0,AB26-(IF(AA26&lt;=0,0,(36000*(1+'1 - I TUOI 6 NUMERI'!$B$14)^5)/(1-'1 - I TUOI 6 NUMERI'!$B$15*(IF(AA26&lt;=0,0,MEDIAN(0,(AA26-AB26)/AA26,1))))))*(1-(IF(AA26&lt;=0,0,MEDIAN(0,(AA26-AB26)/AA26,1)))))</f>
        <v/>
      </c>
      <c r="AC27" s="23">
        <f>IF(AC26&lt;=0,0,(AC26-(IF(AC26&lt;=0,0,(36000*(1+'1 - I TUOI 6 NUMERI'!$B$14)^5)/(1-'1 - I TUOI 6 NUMERI'!$B$15*(IF(AC26&lt;=0,0,MEDIAN(0,(AC26-AD26)/AC26,1))))))-(IF(AC26&lt;=0,0,'1 - I TUOI 6 NUMERI'!$B$16*AC26)))*(1+((1+0.05)*(1+'1 - I TUOI 6 NUMERI'!$B$14)-1)))</f>
        <v/>
      </c>
      <c r="AD27" s="23">
        <f>MAX(0,AD26-(IF(AC26&lt;=0,0,(36000*(1+'1 - I TUOI 6 NUMERI'!$B$14)^5)/(1-'1 - I TUOI 6 NUMERI'!$B$15*(IF(AC26&lt;=0,0,MEDIAN(0,(AC26-AD26)/AC26,1))))))*(1-(IF(AC26&lt;=0,0,MEDIAN(0,(AC26-AD26)/AC26,1)))))</f>
        <v/>
      </c>
    </row>
    <row r="28">
      <c r="F28" s="6" t="n">
        <v>6</v>
      </c>
      <c r="G28" s="23">
        <f>IF(G27&lt;=0,0,(G27-(IF(G27&lt;=0,0,(18000*(1+'1 - I TUOI 6 NUMERI'!$B$14)^6)/(1-'1 - I TUOI 6 NUMERI'!$B$15*(IF(G27&lt;=0,0,MEDIAN(0,(G27-H27)/G27,1))))))-(IF(G27&lt;=0,0,'1 - I TUOI 6 NUMERI'!$B$16*G27)))*(1+((1+0.01)*(1+'1 - I TUOI 6 NUMERI'!$B$14)-1)))</f>
        <v/>
      </c>
      <c r="H28" s="23">
        <f>MAX(0,H27-(IF(G27&lt;=0,0,(18000*(1+'1 - I TUOI 6 NUMERI'!$B$14)^6)/(1-'1 - I TUOI 6 NUMERI'!$B$15*(IF(G27&lt;=0,0,MEDIAN(0,(G27-H27)/G27,1))))))*(1-(IF(G27&lt;=0,0,MEDIAN(0,(G27-H27)/G27,1)))))</f>
        <v/>
      </c>
      <c r="I28" s="23">
        <f>IF(I27&lt;=0,0,(I27-(IF(I27&lt;=0,0,(18000*(1+'1 - I TUOI 6 NUMERI'!$B$14)^6)/(1-'1 - I TUOI 6 NUMERI'!$B$15*(IF(I27&lt;=0,0,MEDIAN(0,(I27-J27)/I27,1))))))-(IF(I27&lt;=0,0,'1 - I TUOI 6 NUMERI'!$B$16*I27)))*(1+((1+0.03)*(1+'1 - I TUOI 6 NUMERI'!$B$14)-1)))</f>
        <v/>
      </c>
      <c r="J28" s="23">
        <f>MAX(0,J27-(IF(I27&lt;=0,0,(18000*(1+'1 - I TUOI 6 NUMERI'!$B$14)^6)/(1-'1 - I TUOI 6 NUMERI'!$B$15*(IF(I27&lt;=0,0,MEDIAN(0,(I27-J27)/I27,1))))))*(1-(IF(I27&lt;=0,0,MEDIAN(0,(I27-J27)/I27,1)))))</f>
        <v/>
      </c>
      <c r="K28" s="23">
        <f>IF(K27&lt;=0,0,(K27-(IF(K27&lt;=0,0,(18000*(1+'1 - I TUOI 6 NUMERI'!$B$14)^6)/(1-'1 - I TUOI 6 NUMERI'!$B$15*(IF(K27&lt;=0,0,MEDIAN(0,(K27-L27)/K27,1))))))-(IF(K27&lt;=0,0,'1 - I TUOI 6 NUMERI'!$B$16*K27)))*(1+((1+0.05)*(1+'1 - I TUOI 6 NUMERI'!$B$14)-1)))</f>
        <v/>
      </c>
      <c r="L28" s="23">
        <f>MAX(0,L27-(IF(K27&lt;=0,0,(18000*(1+'1 - I TUOI 6 NUMERI'!$B$14)^6)/(1-'1 - I TUOI 6 NUMERI'!$B$15*(IF(K27&lt;=0,0,MEDIAN(0,(K27-L27)/K27,1))))))*(1-(IF(K27&lt;=0,0,MEDIAN(0,(K27-L27)/K27,1)))))</f>
        <v/>
      </c>
      <c r="M28" s="23">
        <f>IF(M27&lt;=0,0,(M27-(IF(M27&lt;=0,0,(24000*(1+'1 - I TUOI 6 NUMERI'!$B$14)^6)/(1-'1 - I TUOI 6 NUMERI'!$B$15*(IF(M27&lt;=0,0,MEDIAN(0,(M27-N27)/M27,1))))))-(IF(M27&lt;=0,0,'1 - I TUOI 6 NUMERI'!$B$16*M27)))*(1+((1+0.01)*(1+'1 - I TUOI 6 NUMERI'!$B$14)-1)))</f>
        <v/>
      </c>
      <c r="N28" s="23">
        <f>MAX(0,N27-(IF(M27&lt;=0,0,(24000*(1+'1 - I TUOI 6 NUMERI'!$B$14)^6)/(1-'1 - I TUOI 6 NUMERI'!$B$15*(IF(M27&lt;=0,0,MEDIAN(0,(M27-N27)/M27,1))))))*(1-(IF(M27&lt;=0,0,MEDIAN(0,(M27-N27)/M27,1)))))</f>
        <v/>
      </c>
      <c r="O28" s="23">
        <f>IF(O27&lt;=0,0,(O27-(IF(O27&lt;=0,0,(24000*(1+'1 - I TUOI 6 NUMERI'!$B$14)^6)/(1-'1 - I TUOI 6 NUMERI'!$B$15*(IF(O27&lt;=0,0,MEDIAN(0,(O27-P27)/O27,1))))))-(IF(O27&lt;=0,0,'1 - I TUOI 6 NUMERI'!$B$16*O27)))*(1+((1+0.03)*(1+'1 - I TUOI 6 NUMERI'!$B$14)-1)))</f>
        <v/>
      </c>
      <c r="P28" s="23">
        <f>MAX(0,P27-(IF(O27&lt;=0,0,(24000*(1+'1 - I TUOI 6 NUMERI'!$B$14)^6)/(1-'1 - I TUOI 6 NUMERI'!$B$15*(IF(O27&lt;=0,0,MEDIAN(0,(O27-P27)/O27,1))))))*(1-(IF(O27&lt;=0,0,MEDIAN(0,(O27-P27)/O27,1)))))</f>
        <v/>
      </c>
      <c r="Q28" s="23">
        <f>IF(Q27&lt;=0,0,(Q27-(IF(Q27&lt;=0,0,(24000*(1+'1 - I TUOI 6 NUMERI'!$B$14)^6)/(1-'1 - I TUOI 6 NUMERI'!$B$15*(IF(Q27&lt;=0,0,MEDIAN(0,(Q27-R27)/Q27,1))))))-(IF(Q27&lt;=0,0,'1 - I TUOI 6 NUMERI'!$B$16*Q27)))*(1+((1+0.05)*(1+'1 - I TUOI 6 NUMERI'!$B$14)-1)))</f>
        <v/>
      </c>
      <c r="R28" s="23">
        <f>MAX(0,R27-(IF(Q27&lt;=0,0,(24000*(1+'1 - I TUOI 6 NUMERI'!$B$14)^6)/(1-'1 - I TUOI 6 NUMERI'!$B$15*(IF(Q27&lt;=0,0,MEDIAN(0,(Q27-R27)/Q27,1))))))*(1-(IF(Q27&lt;=0,0,MEDIAN(0,(Q27-R27)/Q27,1)))))</f>
        <v/>
      </c>
      <c r="S28" s="23">
        <f>IF(S27&lt;=0,0,(S27-(IF(S27&lt;=0,0,(30000*(1+'1 - I TUOI 6 NUMERI'!$B$14)^6)/(1-'1 - I TUOI 6 NUMERI'!$B$15*(IF(S27&lt;=0,0,MEDIAN(0,(S27-T27)/S27,1))))))-(IF(S27&lt;=0,0,'1 - I TUOI 6 NUMERI'!$B$16*S27)))*(1+((1+0.01)*(1+'1 - I TUOI 6 NUMERI'!$B$14)-1)))</f>
        <v/>
      </c>
      <c r="T28" s="23">
        <f>MAX(0,T27-(IF(S27&lt;=0,0,(30000*(1+'1 - I TUOI 6 NUMERI'!$B$14)^6)/(1-'1 - I TUOI 6 NUMERI'!$B$15*(IF(S27&lt;=0,0,MEDIAN(0,(S27-T27)/S27,1))))))*(1-(IF(S27&lt;=0,0,MEDIAN(0,(S27-T27)/S27,1)))))</f>
        <v/>
      </c>
      <c r="U28" s="23">
        <f>IF(U27&lt;=0,0,(U27-(IF(U27&lt;=0,0,(30000*(1+'1 - I TUOI 6 NUMERI'!$B$14)^6)/(1-'1 - I TUOI 6 NUMERI'!$B$15*(IF(U27&lt;=0,0,MEDIAN(0,(U27-V27)/U27,1))))))-(IF(U27&lt;=0,0,'1 - I TUOI 6 NUMERI'!$B$16*U27)))*(1+((1+0.03)*(1+'1 - I TUOI 6 NUMERI'!$B$14)-1)))</f>
        <v/>
      </c>
      <c r="V28" s="23">
        <f>MAX(0,V27-(IF(U27&lt;=0,0,(30000*(1+'1 - I TUOI 6 NUMERI'!$B$14)^6)/(1-'1 - I TUOI 6 NUMERI'!$B$15*(IF(U27&lt;=0,0,MEDIAN(0,(U27-V27)/U27,1))))))*(1-(IF(U27&lt;=0,0,MEDIAN(0,(U27-V27)/U27,1)))))</f>
        <v/>
      </c>
      <c r="W28" s="23">
        <f>IF(W27&lt;=0,0,(W27-(IF(W27&lt;=0,0,(30000*(1+'1 - I TUOI 6 NUMERI'!$B$14)^6)/(1-'1 - I TUOI 6 NUMERI'!$B$15*(IF(W27&lt;=0,0,MEDIAN(0,(W27-X27)/W27,1))))))-(IF(W27&lt;=0,0,'1 - I TUOI 6 NUMERI'!$B$16*W27)))*(1+((1+0.05)*(1+'1 - I TUOI 6 NUMERI'!$B$14)-1)))</f>
        <v/>
      </c>
      <c r="X28" s="23">
        <f>MAX(0,X27-(IF(W27&lt;=0,0,(30000*(1+'1 - I TUOI 6 NUMERI'!$B$14)^6)/(1-'1 - I TUOI 6 NUMERI'!$B$15*(IF(W27&lt;=0,0,MEDIAN(0,(W27-X27)/W27,1))))))*(1-(IF(W27&lt;=0,0,MEDIAN(0,(W27-X27)/W27,1)))))</f>
        <v/>
      </c>
      <c r="Y28" s="23">
        <f>IF(Y27&lt;=0,0,(Y27-(IF(Y27&lt;=0,0,(36000*(1+'1 - I TUOI 6 NUMERI'!$B$14)^6)/(1-'1 - I TUOI 6 NUMERI'!$B$15*(IF(Y27&lt;=0,0,MEDIAN(0,(Y27-Z27)/Y27,1))))))-(IF(Y27&lt;=0,0,'1 - I TUOI 6 NUMERI'!$B$16*Y27)))*(1+((1+0.01)*(1+'1 - I TUOI 6 NUMERI'!$B$14)-1)))</f>
        <v/>
      </c>
      <c r="Z28" s="23">
        <f>MAX(0,Z27-(IF(Y27&lt;=0,0,(36000*(1+'1 - I TUOI 6 NUMERI'!$B$14)^6)/(1-'1 - I TUOI 6 NUMERI'!$B$15*(IF(Y27&lt;=0,0,MEDIAN(0,(Y27-Z27)/Y27,1))))))*(1-(IF(Y27&lt;=0,0,MEDIAN(0,(Y27-Z27)/Y27,1)))))</f>
        <v/>
      </c>
      <c r="AA28" s="23">
        <f>IF(AA27&lt;=0,0,(AA27-(IF(AA27&lt;=0,0,(36000*(1+'1 - I TUOI 6 NUMERI'!$B$14)^6)/(1-'1 - I TUOI 6 NUMERI'!$B$15*(IF(AA27&lt;=0,0,MEDIAN(0,(AA27-AB27)/AA27,1))))))-(IF(AA27&lt;=0,0,'1 - I TUOI 6 NUMERI'!$B$16*AA27)))*(1+((1+0.03)*(1+'1 - I TUOI 6 NUMERI'!$B$14)-1)))</f>
        <v/>
      </c>
      <c r="AB28" s="23">
        <f>MAX(0,AB27-(IF(AA27&lt;=0,0,(36000*(1+'1 - I TUOI 6 NUMERI'!$B$14)^6)/(1-'1 - I TUOI 6 NUMERI'!$B$15*(IF(AA27&lt;=0,0,MEDIAN(0,(AA27-AB27)/AA27,1))))))*(1-(IF(AA27&lt;=0,0,MEDIAN(0,(AA27-AB27)/AA27,1)))))</f>
        <v/>
      </c>
      <c r="AC28" s="23">
        <f>IF(AC27&lt;=0,0,(AC27-(IF(AC27&lt;=0,0,(36000*(1+'1 - I TUOI 6 NUMERI'!$B$14)^6)/(1-'1 - I TUOI 6 NUMERI'!$B$15*(IF(AC27&lt;=0,0,MEDIAN(0,(AC27-AD27)/AC27,1))))))-(IF(AC27&lt;=0,0,'1 - I TUOI 6 NUMERI'!$B$16*AC27)))*(1+((1+0.05)*(1+'1 - I TUOI 6 NUMERI'!$B$14)-1)))</f>
        <v/>
      </c>
      <c r="AD28" s="23">
        <f>MAX(0,AD27-(IF(AC27&lt;=0,0,(36000*(1+'1 - I TUOI 6 NUMERI'!$B$14)^6)/(1-'1 - I TUOI 6 NUMERI'!$B$15*(IF(AC27&lt;=0,0,MEDIAN(0,(AC27-AD27)/AC27,1))))))*(1-(IF(AC27&lt;=0,0,MEDIAN(0,(AC27-AD27)/AC27,1)))))</f>
        <v/>
      </c>
    </row>
    <row r="29">
      <c r="F29" s="6" t="n">
        <v>7</v>
      </c>
      <c r="G29" s="23">
        <f>IF(G28&lt;=0,0,(G28-(IF(G28&lt;=0,0,(18000*(1+'1 - I TUOI 6 NUMERI'!$B$14)^7)/(1-'1 - I TUOI 6 NUMERI'!$B$15*(IF(G28&lt;=0,0,MEDIAN(0,(G28-H28)/G28,1))))))-(IF(G28&lt;=0,0,'1 - I TUOI 6 NUMERI'!$B$16*G28)))*(1+((1+0.01)*(1+'1 - I TUOI 6 NUMERI'!$B$14)-1)))</f>
        <v/>
      </c>
      <c r="H29" s="23">
        <f>MAX(0,H28-(IF(G28&lt;=0,0,(18000*(1+'1 - I TUOI 6 NUMERI'!$B$14)^7)/(1-'1 - I TUOI 6 NUMERI'!$B$15*(IF(G28&lt;=0,0,MEDIAN(0,(G28-H28)/G28,1))))))*(1-(IF(G28&lt;=0,0,MEDIAN(0,(G28-H28)/G28,1)))))</f>
        <v/>
      </c>
      <c r="I29" s="23">
        <f>IF(I28&lt;=0,0,(I28-(IF(I28&lt;=0,0,(18000*(1+'1 - I TUOI 6 NUMERI'!$B$14)^7)/(1-'1 - I TUOI 6 NUMERI'!$B$15*(IF(I28&lt;=0,0,MEDIAN(0,(I28-J28)/I28,1))))))-(IF(I28&lt;=0,0,'1 - I TUOI 6 NUMERI'!$B$16*I28)))*(1+((1+0.03)*(1+'1 - I TUOI 6 NUMERI'!$B$14)-1)))</f>
        <v/>
      </c>
      <c r="J29" s="23">
        <f>MAX(0,J28-(IF(I28&lt;=0,0,(18000*(1+'1 - I TUOI 6 NUMERI'!$B$14)^7)/(1-'1 - I TUOI 6 NUMERI'!$B$15*(IF(I28&lt;=0,0,MEDIAN(0,(I28-J28)/I28,1))))))*(1-(IF(I28&lt;=0,0,MEDIAN(0,(I28-J28)/I28,1)))))</f>
        <v/>
      </c>
      <c r="K29" s="23">
        <f>IF(K28&lt;=0,0,(K28-(IF(K28&lt;=0,0,(18000*(1+'1 - I TUOI 6 NUMERI'!$B$14)^7)/(1-'1 - I TUOI 6 NUMERI'!$B$15*(IF(K28&lt;=0,0,MEDIAN(0,(K28-L28)/K28,1))))))-(IF(K28&lt;=0,0,'1 - I TUOI 6 NUMERI'!$B$16*K28)))*(1+((1+0.05)*(1+'1 - I TUOI 6 NUMERI'!$B$14)-1)))</f>
        <v/>
      </c>
      <c r="L29" s="23">
        <f>MAX(0,L28-(IF(K28&lt;=0,0,(18000*(1+'1 - I TUOI 6 NUMERI'!$B$14)^7)/(1-'1 - I TUOI 6 NUMERI'!$B$15*(IF(K28&lt;=0,0,MEDIAN(0,(K28-L28)/K28,1))))))*(1-(IF(K28&lt;=0,0,MEDIAN(0,(K28-L28)/K28,1)))))</f>
        <v/>
      </c>
      <c r="M29" s="23">
        <f>IF(M28&lt;=0,0,(M28-(IF(M28&lt;=0,0,(24000*(1+'1 - I TUOI 6 NUMERI'!$B$14)^7)/(1-'1 - I TUOI 6 NUMERI'!$B$15*(IF(M28&lt;=0,0,MEDIAN(0,(M28-N28)/M28,1))))))-(IF(M28&lt;=0,0,'1 - I TUOI 6 NUMERI'!$B$16*M28)))*(1+((1+0.01)*(1+'1 - I TUOI 6 NUMERI'!$B$14)-1)))</f>
        <v/>
      </c>
      <c r="N29" s="23">
        <f>MAX(0,N28-(IF(M28&lt;=0,0,(24000*(1+'1 - I TUOI 6 NUMERI'!$B$14)^7)/(1-'1 - I TUOI 6 NUMERI'!$B$15*(IF(M28&lt;=0,0,MEDIAN(0,(M28-N28)/M28,1))))))*(1-(IF(M28&lt;=0,0,MEDIAN(0,(M28-N28)/M28,1)))))</f>
        <v/>
      </c>
      <c r="O29" s="23">
        <f>IF(O28&lt;=0,0,(O28-(IF(O28&lt;=0,0,(24000*(1+'1 - I TUOI 6 NUMERI'!$B$14)^7)/(1-'1 - I TUOI 6 NUMERI'!$B$15*(IF(O28&lt;=0,0,MEDIAN(0,(O28-P28)/O28,1))))))-(IF(O28&lt;=0,0,'1 - I TUOI 6 NUMERI'!$B$16*O28)))*(1+((1+0.03)*(1+'1 - I TUOI 6 NUMERI'!$B$14)-1)))</f>
        <v/>
      </c>
      <c r="P29" s="23">
        <f>MAX(0,P28-(IF(O28&lt;=0,0,(24000*(1+'1 - I TUOI 6 NUMERI'!$B$14)^7)/(1-'1 - I TUOI 6 NUMERI'!$B$15*(IF(O28&lt;=0,0,MEDIAN(0,(O28-P28)/O28,1))))))*(1-(IF(O28&lt;=0,0,MEDIAN(0,(O28-P28)/O28,1)))))</f>
        <v/>
      </c>
      <c r="Q29" s="23">
        <f>IF(Q28&lt;=0,0,(Q28-(IF(Q28&lt;=0,0,(24000*(1+'1 - I TUOI 6 NUMERI'!$B$14)^7)/(1-'1 - I TUOI 6 NUMERI'!$B$15*(IF(Q28&lt;=0,0,MEDIAN(0,(Q28-R28)/Q28,1))))))-(IF(Q28&lt;=0,0,'1 - I TUOI 6 NUMERI'!$B$16*Q28)))*(1+((1+0.05)*(1+'1 - I TUOI 6 NUMERI'!$B$14)-1)))</f>
        <v/>
      </c>
      <c r="R29" s="23">
        <f>MAX(0,R28-(IF(Q28&lt;=0,0,(24000*(1+'1 - I TUOI 6 NUMERI'!$B$14)^7)/(1-'1 - I TUOI 6 NUMERI'!$B$15*(IF(Q28&lt;=0,0,MEDIAN(0,(Q28-R28)/Q28,1))))))*(1-(IF(Q28&lt;=0,0,MEDIAN(0,(Q28-R28)/Q28,1)))))</f>
        <v/>
      </c>
      <c r="S29" s="23">
        <f>IF(S28&lt;=0,0,(S28-(IF(S28&lt;=0,0,(30000*(1+'1 - I TUOI 6 NUMERI'!$B$14)^7)/(1-'1 - I TUOI 6 NUMERI'!$B$15*(IF(S28&lt;=0,0,MEDIAN(0,(S28-T28)/S28,1))))))-(IF(S28&lt;=0,0,'1 - I TUOI 6 NUMERI'!$B$16*S28)))*(1+((1+0.01)*(1+'1 - I TUOI 6 NUMERI'!$B$14)-1)))</f>
        <v/>
      </c>
      <c r="T29" s="23">
        <f>MAX(0,T28-(IF(S28&lt;=0,0,(30000*(1+'1 - I TUOI 6 NUMERI'!$B$14)^7)/(1-'1 - I TUOI 6 NUMERI'!$B$15*(IF(S28&lt;=0,0,MEDIAN(0,(S28-T28)/S28,1))))))*(1-(IF(S28&lt;=0,0,MEDIAN(0,(S28-T28)/S28,1)))))</f>
        <v/>
      </c>
      <c r="U29" s="23">
        <f>IF(U28&lt;=0,0,(U28-(IF(U28&lt;=0,0,(30000*(1+'1 - I TUOI 6 NUMERI'!$B$14)^7)/(1-'1 - I TUOI 6 NUMERI'!$B$15*(IF(U28&lt;=0,0,MEDIAN(0,(U28-V28)/U28,1))))))-(IF(U28&lt;=0,0,'1 - I TUOI 6 NUMERI'!$B$16*U28)))*(1+((1+0.03)*(1+'1 - I TUOI 6 NUMERI'!$B$14)-1)))</f>
        <v/>
      </c>
      <c r="V29" s="23">
        <f>MAX(0,V28-(IF(U28&lt;=0,0,(30000*(1+'1 - I TUOI 6 NUMERI'!$B$14)^7)/(1-'1 - I TUOI 6 NUMERI'!$B$15*(IF(U28&lt;=0,0,MEDIAN(0,(U28-V28)/U28,1))))))*(1-(IF(U28&lt;=0,0,MEDIAN(0,(U28-V28)/U28,1)))))</f>
        <v/>
      </c>
      <c r="W29" s="23">
        <f>IF(W28&lt;=0,0,(W28-(IF(W28&lt;=0,0,(30000*(1+'1 - I TUOI 6 NUMERI'!$B$14)^7)/(1-'1 - I TUOI 6 NUMERI'!$B$15*(IF(W28&lt;=0,0,MEDIAN(0,(W28-X28)/W28,1))))))-(IF(W28&lt;=0,0,'1 - I TUOI 6 NUMERI'!$B$16*W28)))*(1+((1+0.05)*(1+'1 - I TUOI 6 NUMERI'!$B$14)-1)))</f>
        <v/>
      </c>
      <c r="X29" s="23">
        <f>MAX(0,X28-(IF(W28&lt;=0,0,(30000*(1+'1 - I TUOI 6 NUMERI'!$B$14)^7)/(1-'1 - I TUOI 6 NUMERI'!$B$15*(IF(W28&lt;=0,0,MEDIAN(0,(W28-X28)/W28,1))))))*(1-(IF(W28&lt;=0,0,MEDIAN(0,(W28-X28)/W28,1)))))</f>
        <v/>
      </c>
      <c r="Y29" s="23">
        <f>IF(Y28&lt;=0,0,(Y28-(IF(Y28&lt;=0,0,(36000*(1+'1 - I TUOI 6 NUMERI'!$B$14)^7)/(1-'1 - I TUOI 6 NUMERI'!$B$15*(IF(Y28&lt;=0,0,MEDIAN(0,(Y28-Z28)/Y28,1))))))-(IF(Y28&lt;=0,0,'1 - I TUOI 6 NUMERI'!$B$16*Y28)))*(1+((1+0.01)*(1+'1 - I TUOI 6 NUMERI'!$B$14)-1)))</f>
        <v/>
      </c>
      <c r="Z29" s="23">
        <f>MAX(0,Z28-(IF(Y28&lt;=0,0,(36000*(1+'1 - I TUOI 6 NUMERI'!$B$14)^7)/(1-'1 - I TUOI 6 NUMERI'!$B$15*(IF(Y28&lt;=0,0,MEDIAN(0,(Y28-Z28)/Y28,1))))))*(1-(IF(Y28&lt;=0,0,MEDIAN(0,(Y28-Z28)/Y28,1)))))</f>
        <v/>
      </c>
      <c r="AA29" s="23">
        <f>IF(AA28&lt;=0,0,(AA28-(IF(AA28&lt;=0,0,(36000*(1+'1 - I TUOI 6 NUMERI'!$B$14)^7)/(1-'1 - I TUOI 6 NUMERI'!$B$15*(IF(AA28&lt;=0,0,MEDIAN(0,(AA28-AB28)/AA28,1))))))-(IF(AA28&lt;=0,0,'1 - I TUOI 6 NUMERI'!$B$16*AA28)))*(1+((1+0.03)*(1+'1 - I TUOI 6 NUMERI'!$B$14)-1)))</f>
        <v/>
      </c>
      <c r="AB29" s="23">
        <f>MAX(0,AB28-(IF(AA28&lt;=0,0,(36000*(1+'1 - I TUOI 6 NUMERI'!$B$14)^7)/(1-'1 - I TUOI 6 NUMERI'!$B$15*(IF(AA28&lt;=0,0,MEDIAN(0,(AA28-AB28)/AA28,1))))))*(1-(IF(AA28&lt;=0,0,MEDIAN(0,(AA28-AB28)/AA28,1)))))</f>
        <v/>
      </c>
      <c r="AC29" s="23">
        <f>IF(AC28&lt;=0,0,(AC28-(IF(AC28&lt;=0,0,(36000*(1+'1 - I TUOI 6 NUMERI'!$B$14)^7)/(1-'1 - I TUOI 6 NUMERI'!$B$15*(IF(AC28&lt;=0,0,MEDIAN(0,(AC28-AD28)/AC28,1))))))-(IF(AC28&lt;=0,0,'1 - I TUOI 6 NUMERI'!$B$16*AC28)))*(1+((1+0.05)*(1+'1 - I TUOI 6 NUMERI'!$B$14)-1)))</f>
        <v/>
      </c>
      <c r="AD29" s="23">
        <f>MAX(0,AD28-(IF(AC28&lt;=0,0,(36000*(1+'1 - I TUOI 6 NUMERI'!$B$14)^7)/(1-'1 - I TUOI 6 NUMERI'!$B$15*(IF(AC28&lt;=0,0,MEDIAN(0,(AC28-AD28)/AC28,1))))))*(1-(IF(AC28&lt;=0,0,MEDIAN(0,(AC28-AD28)/AC28,1)))))</f>
        <v/>
      </c>
    </row>
    <row r="30">
      <c r="F30" s="6" t="n">
        <v>8</v>
      </c>
      <c r="G30" s="23">
        <f>IF(G29&lt;=0,0,(G29-(IF(G29&lt;=0,0,(18000*(1+'1 - I TUOI 6 NUMERI'!$B$14)^8)/(1-'1 - I TUOI 6 NUMERI'!$B$15*(IF(G29&lt;=0,0,MEDIAN(0,(G29-H29)/G29,1))))))-(IF(G29&lt;=0,0,'1 - I TUOI 6 NUMERI'!$B$16*G29)))*(1+((1+0.01)*(1+'1 - I TUOI 6 NUMERI'!$B$14)-1)))</f>
        <v/>
      </c>
      <c r="H30" s="23">
        <f>MAX(0,H29-(IF(G29&lt;=0,0,(18000*(1+'1 - I TUOI 6 NUMERI'!$B$14)^8)/(1-'1 - I TUOI 6 NUMERI'!$B$15*(IF(G29&lt;=0,0,MEDIAN(0,(G29-H29)/G29,1))))))*(1-(IF(G29&lt;=0,0,MEDIAN(0,(G29-H29)/G29,1)))))</f>
        <v/>
      </c>
      <c r="I30" s="23">
        <f>IF(I29&lt;=0,0,(I29-(IF(I29&lt;=0,0,(18000*(1+'1 - I TUOI 6 NUMERI'!$B$14)^8)/(1-'1 - I TUOI 6 NUMERI'!$B$15*(IF(I29&lt;=0,0,MEDIAN(0,(I29-J29)/I29,1))))))-(IF(I29&lt;=0,0,'1 - I TUOI 6 NUMERI'!$B$16*I29)))*(1+((1+0.03)*(1+'1 - I TUOI 6 NUMERI'!$B$14)-1)))</f>
        <v/>
      </c>
      <c r="J30" s="23">
        <f>MAX(0,J29-(IF(I29&lt;=0,0,(18000*(1+'1 - I TUOI 6 NUMERI'!$B$14)^8)/(1-'1 - I TUOI 6 NUMERI'!$B$15*(IF(I29&lt;=0,0,MEDIAN(0,(I29-J29)/I29,1))))))*(1-(IF(I29&lt;=0,0,MEDIAN(0,(I29-J29)/I29,1)))))</f>
        <v/>
      </c>
      <c r="K30" s="23">
        <f>IF(K29&lt;=0,0,(K29-(IF(K29&lt;=0,0,(18000*(1+'1 - I TUOI 6 NUMERI'!$B$14)^8)/(1-'1 - I TUOI 6 NUMERI'!$B$15*(IF(K29&lt;=0,0,MEDIAN(0,(K29-L29)/K29,1))))))-(IF(K29&lt;=0,0,'1 - I TUOI 6 NUMERI'!$B$16*K29)))*(1+((1+0.05)*(1+'1 - I TUOI 6 NUMERI'!$B$14)-1)))</f>
        <v/>
      </c>
      <c r="L30" s="23">
        <f>MAX(0,L29-(IF(K29&lt;=0,0,(18000*(1+'1 - I TUOI 6 NUMERI'!$B$14)^8)/(1-'1 - I TUOI 6 NUMERI'!$B$15*(IF(K29&lt;=0,0,MEDIAN(0,(K29-L29)/K29,1))))))*(1-(IF(K29&lt;=0,0,MEDIAN(0,(K29-L29)/K29,1)))))</f>
        <v/>
      </c>
      <c r="M30" s="23">
        <f>IF(M29&lt;=0,0,(M29-(IF(M29&lt;=0,0,(24000*(1+'1 - I TUOI 6 NUMERI'!$B$14)^8)/(1-'1 - I TUOI 6 NUMERI'!$B$15*(IF(M29&lt;=0,0,MEDIAN(0,(M29-N29)/M29,1))))))-(IF(M29&lt;=0,0,'1 - I TUOI 6 NUMERI'!$B$16*M29)))*(1+((1+0.01)*(1+'1 - I TUOI 6 NUMERI'!$B$14)-1)))</f>
        <v/>
      </c>
      <c r="N30" s="23">
        <f>MAX(0,N29-(IF(M29&lt;=0,0,(24000*(1+'1 - I TUOI 6 NUMERI'!$B$14)^8)/(1-'1 - I TUOI 6 NUMERI'!$B$15*(IF(M29&lt;=0,0,MEDIAN(0,(M29-N29)/M29,1))))))*(1-(IF(M29&lt;=0,0,MEDIAN(0,(M29-N29)/M29,1)))))</f>
        <v/>
      </c>
      <c r="O30" s="23">
        <f>IF(O29&lt;=0,0,(O29-(IF(O29&lt;=0,0,(24000*(1+'1 - I TUOI 6 NUMERI'!$B$14)^8)/(1-'1 - I TUOI 6 NUMERI'!$B$15*(IF(O29&lt;=0,0,MEDIAN(0,(O29-P29)/O29,1))))))-(IF(O29&lt;=0,0,'1 - I TUOI 6 NUMERI'!$B$16*O29)))*(1+((1+0.03)*(1+'1 - I TUOI 6 NUMERI'!$B$14)-1)))</f>
        <v/>
      </c>
      <c r="P30" s="23">
        <f>MAX(0,P29-(IF(O29&lt;=0,0,(24000*(1+'1 - I TUOI 6 NUMERI'!$B$14)^8)/(1-'1 - I TUOI 6 NUMERI'!$B$15*(IF(O29&lt;=0,0,MEDIAN(0,(O29-P29)/O29,1))))))*(1-(IF(O29&lt;=0,0,MEDIAN(0,(O29-P29)/O29,1)))))</f>
        <v/>
      </c>
      <c r="Q30" s="23">
        <f>IF(Q29&lt;=0,0,(Q29-(IF(Q29&lt;=0,0,(24000*(1+'1 - I TUOI 6 NUMERI'!$B$14)^8)/(1-'1 - I TUOI 6 NUMERI'!$B$15*(IF(Q29&lt;=0,0,MEDIAN(0,(Q29-R29)/Q29,1))))))-(IF(Q29&lt;=0,0,'1 - I TUOI 6 NUMERI'!$B$16*Q29)))*(1+((1+0.05)*(1+'1 - I TUOI 6 NUMERI'!$B$14)-1)))</f>
        <v/>
      </c>
      <c r="R30" s="23">
        <f>MAX(0,R29-(IF(Q29&lt;=0,0,(24000*(1+'1 - I TUOI 6 NUMERI'!$B$14)^8)/(1-'1 - I TUOI 6 NUMERI'!$B$15*(IF(Q29&lt;=0,0,MEDIAN(0,(Q29-R29)/Q29,1))))))*(1-(IF(Q29&lt;=0,0,MEDIAN(0,(Q29-R29)/Q29,1)))))</f>
        <v/>
      </c>
      <c r="S30" s="23">
        <f>IF(S29&lt;=0,0,(S29-(IF(S29&lt;=0,0,(30000*(1+'1 - I TUOI 6 NUMERI'!$B$14)^8)/(1-'1 - I TUOI 6 NUMERI'!$B$15*(IF(S29&lt;=0,0,MEDIAN(0,(S29-T29)/S29,1))))))-(IF(S29&lt;=0,0,'1 - I TUOI 6 NUMERI'!$B$16*S29)))*(1+((1+0.01)*(1+'1 - I TUOI 6 NUMERI'!$B$14)-1)))</f>
        <v/>
      </c>
      <c r="T30" s="23">
        <f>MAX(0,T29-(IF(S29&lt;=0,0,(30000*(1+'1 - I TUOI 6 NUMERI'!$B$14)^8)/(1-'1 - I TUOI 6 NUMERI'!$B$15*(IF(S29&lt;=0,0,MEDIAN(0,(S29-T29)/S29,1))))))*(1-(IF(S29&lt;=0,0,MEDIAN(0,(S29-T29)/S29,1)))))</f>
        <v/>
      </c>
      <c r="U30" s="23">
        <f>IF(U29&lt;=0,0,(U29-(IF(U29&lt;=0,0,(30000*(1+'1 - I TUOI 6 NUMERI'!$B$14)^8)/(1-'1 - I TUOI 6 NUMERI'!$B$15*(IF(U29&lt;=0,0,MEDIAN(0,(U29-V29)/U29,1))))))-(IF(U29&lt;=0,0,'1 - I TUOI 6 NUMERI'!$B$16*U29)))*(1+((1+0.03)*(1+'1 - I TUOI 6 NUMERI'!$B$14)-1)))</f>
        <v/>
      </c>
      <c r="V30" s="23">
        <f>MAX(0,V29-(IF(U29&lt;=0,0,(30000*(1+'1 - I TUOI 6 NUMERI'!$B$14)^8)/(1-'1 - I TUOI 6 NUMERI'!$B$15*(IF(U29&lt;=0,0,MEDIAN(0,(U29-V29)/U29,1))))))*(1-(IF(U29&lt;=0,0,MEDIAN(0,(U29-V29)/U29,1)))))</f>
        <v/>
      </c>
      <c r="W30" s="23">
        <f>IF(W29&lt;=0,0,(W29-(IF(W29&lt;=0,0,(30000*(1+'1 - I TUOI 6 NUMERI'!$B$14)^8)/(1-'1 - I TUOI 6 NUMERI'!$B$15*(IF(W29&lt;=0,0,MEDIAN(0,(W29-X29)/W29,1))))))-(IF(W29&lt;=0,0,'1 - I TUOI 6 NUMERI'!$B$16*W29)))*(1+((1+0.05)*(1+'1 - I TUOI 6 NUMERI'!$B$14)-1)))</f>
        <v/>
      </c>
      <c r="X30" s="23">
        <f>MAX(0,X29-(IF(W29&lt;=0,0,(30000*(1+'1 - I TUOI 6 NUMERI'!$B$14)^8)/(1-'1 - I TUOI 6 NUMERI'!$B$15*(IF(W29&lt;=0,0,MEDIAN(0,(W29-X29)/W29,1))))))*(1-(IF(W29&lt;=0,0,MEDIAN(0,(W29-X29)/W29,1)))))</f>
        <v/>
      </c>
      <c r="Y30" s="23">
        <f>IF(Y29&lt;=0,0,(Y29-(IF(Y29&lt;=0,0,(36000*(1+'1 - I TUOI 6 NUMERI'!$B$14)^8)/(1-'1 - I TUOI 6 NUMERI'!$B$15*(IF(Y29&lt;=0,0,MEDIAN(0,(Y29-Z29)/Y29,1))))))-(IF(Y29&lt;=0,0,'1 - I TUOI 6 NUMERI'!$B$16*Y29)))*(1+((1+0.01)*(1+'1 - I TUOI 6 NUMERI'!$B$14)-1)))</f>
        <v/>
      </c>
      <c r="Z30" s="23">
        <f>MAX(0,Z29-(IF(Y29&lt;=0,0,(36000*(1+'1 - I TUOI 6 NUMERI'!$B$14)^8)/(1-'1 - I TUOI 6 NUMERI'!$B$15*(IF(Y29&lt;=0,0,MEDIAN(0,(Y29-Z29)/Y29,1))))))*(1-(IF(Y29&lt;=0,0,MEDIAN(0,(Y29-Z29)/Y29,1)))))</f>
        <v/>
      </c>
      <c r="AA30" s="23">
        <f>IF(AA29&lt;=0,0,(AA29-(IF(AA29&lt;=0,0,(36000*(1+'1 - I TUOI 6 NUMERI'!$B$14)^8)/(1-'1 - I TUOI 6 NUMERI'!$B$15*(IF(AA29&lt;=0,0,MEDIAN(0,(AA29-AB29)/AA29,1))))))-(IF(AA29&lt;=0,0,'1 - I TUOI 6 NUMERI'!$B$16*AA29)))*(1+((1+0.03)*(1+'1 - I TUOI 6 NUMERI'!$B$14)-1)))</f>
        <v/>
      </c>
      <c r="AB30" s="23">
        <f>MAX(0,AB29-(IF(AA29&lt;=0,0,(36000*(1+'1 - I TUOI 6 NUMERI'!$B$14)^8)/(1-'1 - I TUOI 6 NUMERI'!$B$15*(IF(AA29&lt;=0,0,MEDIAN(0,(AA29-AB29)/AA29,1))))))*(1-(IF(AA29&lt;=0,0,MEDIAN(0,(AA29-AB29)/AA29,1)))))</f>
        <v/>
      </c>
      <c r="AC30" s="23">
        <f>IF(AC29&lt;=0,0,(AC29-(IF(AC29&lt;=0,0,(36000*(1+'1 - I TUOI 6 NUMERI'!$B$14)^8)/(1-'1 - I TUOI 6 NUMERI'!$B$15*(IF(AC29&lt;=0,0,MEDIAN(0,(AC29-AD29)/AC29,1))))))-(IF(AC29&lt;=0,0,'1 - I TUOI 6 NUMERI'!$B$16*AC29)))*(1+((1+0.05)*(1+'1 - I TUOI 6 NUMERI'!$B$14)-1)))</f>
        <v/>
      </c>
      <c r="AD30" s="23">
        <f>MAX(0,AD29-(IF(AC29&lt;=0,0,(36000*(1+'1 - I TUOI 6 NUMERI'!$B$14)^8)/(1-'1 - I TUOI 6 NUMERI'!$B$15*(IF(AC29&lt;=0,0,MEDIAN(0,(AC29-AD29)/AC29,1))))))*(1-(IF(AC29&lt;=0,0,MEDIAN(0,(AC29-AD29)/AC29,1)))))</f>
        <v/>
      </c>
    </row>
    <row r="31">
      <c r="F31" s="6" t="n">
        <v>9</v>
      </c>
      <c r="G31" s="23">
        <f>IF(G30&lt;=0,0,(G30-(IF(G30&lt;=0,0,(18000*(1+'1 - I TUOI 6 NUMERI'!$B$14)^9)/(1-'1 - I TUOI 6 NUMERI'!$B$15*(IF(G30&lt;=0,0,MEDIAN(0,(G30-H30)/G30,1))))))-(IF(G30&lt;=0,0,'1 - I TUOI 6 NUMERI'!$B$16*G30)))*(1+((1+0.01)*(1+'1 - I TUOI 6 NUMERI'!$B$14)-1)))</f>
        <v/>
      </c>
      <c r="H31" s="23">
        <f>MAX(0,H30-(IF(G30&lt;=0,0,(18000*(1+'1 - I TUOI 6 NUMERI'!$B$14)^9)/(1-'1 - I TUOI 6 NUMERI'!$B$15*(IF(G30&lt;=0,0,MEDIAN(0,(G30-H30)/G30,1))))))*(1-(IF(G30&lt;=0,0,MEDIAN(0,(G30-H30)/G30,1)))))</f>
        <v/>
      </c>
      <c r="I31" s="23">
        <f>IF(I30&lt;=0,0,(I30-(IF(I30&lt;=0,0,(18000*(1+'1 - I TUOI 6 NUMERI'!$B$14)^9)/(1-'1 - I TUOI 6 NUMERI'!$B$15*(IF(I30&lt;=0,0,MEDIAN(0,(I30-J30)/I30,1))))))-(IF(I30&lt;=0,0,'1 - I TUOI 6 NUMERI'!$B$16*I30)))*(1+((1+0.03)*(1+'1 - I TUOI 6 NUMERI'!$B$14)-1)))</f>
        <v/>
      </c>
      <c r="J31" s="23">
        <f>MAX(0,J30-(IF(I30&lt;=0,0,(18000*(1+'1 - I TUOI 6 NUMERI'!$B$14)^9)/(1-'1 - I TUOI 6 NUMERI'!$B$15*(IF(I30&lt;=0,0,MEDIAN(0,(I30-J30)/I30,1))))))*(1-(IF(I30&lt;=0,0,MEDIAN(0,(I30-J30)/I30,1)))))</f>
        <v/>
      </c>
      <c r="K31" s="23">
        <f>IF(K30&lt;=0,0,(K30-(IF(K30&lt;=0,0,(18000*(1+'1 - I TUOI 6 NUMERI'!$B$14)^9)/(1-'1 - I TUOI 6 NUMERI'!$B$15*(IF(K30&lt;=0,0,MEDIAN(0,(K30-L30)/K30,1))))))-(IF(K30&lt;=0,0,'1 - I TUOI 6 NUMERI'!$B$16*K30)))*(1+((1+0.05)*(1+'1 - I TUOI 6 NUMERI'!$B$14)-1)))</f>
        <v/>
      </c>
      <c r="L31" s="23">
        <f>MAX(0,L30-(IF(K30&lt;=0,0,(18000*(1+'1 - I TUOI 6 NUMERI'!$B$14)^9)/(1-'1 - I TUOI 6 NUMERI'!$B$15*(IF(K30&lt;=0,0,MEDIAN(0,(K30-L30)/K30,1))))))*(1-(IF(K30&lt;=0,0,MEDIAN(0,(K30-L30)/K30,1)))))</f>
        <v/>
      </c>
      <c r="M31" s="23">
        <f>IF(M30&lt;=0,0,(M30-(IF(M30&lt;=0,0,(24000*(1+'1 - I TUOI 6 NUMERI'!$B$14)^9)/(1-'1 - I TUOI 6 NUMERI'!$B$15*(IF(M30&lt;=0,0,MEDIAN(0,(M30-N30)/M30,1))))))-(IF(M30&lt;=0,0,'1 - I TUOI 6 NUMERI'!$B$16*M30)))*(1+((1+0.01)*(1+'1 - I TUOI 6 NUMERI'!$B$14)-1)))</f>
        <v/>
      </c>
      <c r="N31" s="23">
        <f>MAX(0,N30-(IF(M30&lt;=0,0,(24000*(1+'1 - I TUOI 6 NUMERI'!$B$14)^9)/(1-'1 - I TUOI 6 NUMERI'!$B$15*(IF(M30&lt;=0,0,MEDIAN(0,(M30-N30)/M30,1))))))*(1-(IF(M30&lt;=0,0,MEDIAN(0,(M30-N30)/M30,1)))))</f>
        <v/>
      </c>
      <c r="O31" s="23">
        <f>IF(O30&lt;=0,0,(O30-(IF(O30&lt;=0,0,(24000*(1+'1 - I TUOI 6 NUMERI'!$B$14)^9)/(1-'1 - I TUOI 6 NUMERI'!$B$15*(IF(O30&lt;=0,0,MEDIAN(0,(O30-P30)/O30,1))))))-(IF(O30&lt;=0,0,'1 - I TUOI 6 NUMERI'!$B$16*O30)))*(1+((1+0.03)*(1+'1 - I TUOI 6 NUMERI'!$B$14)-1)))</f>
        <v/>
      </c>
      <c r="P31" s="23">
        <f>MAX(0,P30-(IF(O30&lt;=0,0,(24000*(1+'1 - I TUOI 6 NUMERI'!$B$14)^9)/(1-'1 - I TUOI 6 NUMERI'!$B$15*(IF(O30&lt;=0,0,MEDIAN(0,(O30-P30)/O30,1))))))*(1-(IF(O30&lt;=0,0,MEDIAN(0,(O30-P30)/O30,1)))))</f>
        <v/>
      </c>
      <c r="Q31" s="23">
        <f>IF(Q30&lt;=0,0,(Q30-(IF(Q30&lt;=0,0,(24000*(1+'1 - I TUOI 6 NUMERI'!$B$14)^9)/(1-'1 - I TUOI 6 NUMERI'!$B$15*(IF(Q30&lt;=0,0,MEDIAN(0,(Q30-R30)/Q30,1))))))-(IF(Q30&lt;=0,0,'1 - I TUOI 6 NUMERI'!$B$16*Q30)))*(1+((1+0.05)*(1+'1 - I TUOI 6 NUMERI'!$B$14)-1)))</f>
        <v/>
      </c>
      <c r="R31" s="23">
        <f>MAX(0,R30-(IF(Q30&lt;=0,0,(24000*(1+'1 - I TUOI 6 NUMERI'!$B$14)^9)/(1-'1 - I TUOI 6 NUMERI'!$B$15*(IF(Q30&lt;=0,0,MEDIAN(0,(Q30-R30)/Q30,1))))))*(1-(IF(Q30&lt;=0,0,MEDIAN(0,(Q30-R30)/Q30,1)))))</f>
        <v/>
      </c>
      <c r="S31" s="23">
        <f>IF(S30&lt;=0,0,(S30-(IF(S30&lt;=0,0,(30000*(1+'1 - I TUOI 6 NUMERI'!$B$14)^9)/(1-'1 - I TUOI 6 NUMERI'!$B$15*(IF(S30&lt;=0,0,MEDIAN(0,(S30-T30)/S30,1))))))-(IF(S30&lt;=0,0,'1 - I TUOI 6 NUMERI'!$B$16*S30)))*(1+((1+0.01)*(1+'1 - I TUOI 6 NUMERI'!$B$14)-1)))</f>
        <v/>
      </c>
      <c r="T31" s="23">
        <f>MAX(0,T30-(IF(S30&lt;=0,0,(30000*(1+'1 - I TUOI 6 NUMERI'!$B$14)^9)/(1-'1 - I TUOI 6 NUMERI'!$B$15*(IF(S30&lt;=0,0,MEDIAN(0,(S30-T30)/S30,1))))))*(1-(IF(S30&lt;=0,0,MEDIAN(0,(S30-T30)/S30,1)))))</f>
        <v/>
      </c>
      <c r="U31" s="23">
        <f>IF(U30&lt;=0,0,(U30-(IF(U30&lt;=0,0,(30000*(1+'1 - I TUOI 6 NUMERI'!$B$14)^9)/(1-'1 - I TUOI 6 NUMERI'!$B$15*(IF(U30&lt;=0,0,MEDIAN(0,(U30-V30)/U30,1))))))-(IF(U30&lt;=0,0,'1 - I TUOI 6 NUMERI'!$B$16*U30)))*(1+((1+0.03)*(1+'1 - I TUOI 6 NUMERI'!$B$14)-1)))</f>
        <v/>
      </c>
      <c r="V31" s="23">
        <f>MAX(0,V30-(IF(U30&lt;=0,0,(30000*(1+'1 - I TUOI 6 NUMERI'!$B$14)^9)/(1-'1 - I TUOI 6 NUMERI'!$B$15*(IF(U30&lt;=0,0,MEDIAN(0,(U30-V30)/U30,1))))))*(1-(IF(U30&lt;=0,0,MEDIAN(0,(U30-V30)/U30,1)))))</f>
        <v/>
      </c>
      <c r="W31" s="23">
        <f>IF(W30&lt;=0,0,(W30-(IF(W30&lt;=0,0,(30000*(1+'1 - I TUOI 6 NUMERI'!$B$14)^9)/(1-'1 - I TUOI 6 NUMERI'!$B$15*(IF(W30&lt;=0,0,MEDIAN(0,(W30-X30)/W30,1))))))-(IF(W30&lt;=0,0,'1 - I TUOI 6 NUMERI'!$B$16*W30)))*(1+((1+0.05)*(1+'1 - I TUOI 6 NUMERI'!$B$14)-1)))</f>
        <v/>
      </c>
      <c r="X31" s="23">
        <f>MAX(0,X30-(IF(W30&lt;=0,0,(30000*(1+'1 - I TUOI 6 NUMERI'!$B$14)^9)/(1-'1 - I TUOI 6 NUMERI'!$B$15*(IF(W30&lt;=0,0,MEDIAN(0,(W30-X30)/W30,1))))))*(1-(IF(W30&lt;=0,0,MEDIAN(0,(W30-X30)/W30,1)))))</f>
        <v/>
      </c>
      <c r="Y31" s="23">
        <f>IF(Y30&lt;=0,0,(Y30-(IF(Y30&lt;=0,0,(36000*(1+'1 - I TUOI 6 NUMERI'!$B$14)^9)/(1-'1 - I TUOI 6 NUMERI'!$B$15*(IF(Y30&lt;=0,0,MEDIAN(0,(Y30-Z30)/Y30,1))))))-(IF(Y30&lt;=0,0,'1 - I TUOI 6 NUMERI'!$B$16*Y30)))*(1+((1+0.01)*(1+'1 - I TUOI 6 NUMERI'!$B$14)-1)))</f>
        <v/>
      </c>
      <c r="Z31" s="23">
        <f>MAX(0,Z30-(IF(Y30&lt;=0,0,(36000*(1+'1 - I TUOI 6 NUMERI'!$B$14)^9)/(1-'1 - I TUOI 6 NUMERI'!$B$15*(IF(Y30&lt;=0,0,MEDIAN(0,(Y30-Z30)/Y30,1))))))*(1-(IF(Y30&lt;=0,0,MEDIAN(0,(Y30-Z30)/Y30,1)))))</f>
        <v/>
      </c>
      <c r="AA31" s="23">
        <f>IF(AA30&lt;=0,0,(AA30-(IF(AA30&lt;=0,0,(36000*(1+'1 - I TUOI 6 NUMERI'!$B$14)^9)/(1-'1 - I TUOI 6 NUMERI'!$B$15*(IF(AA30&lt;=0,0,MEDIAN(0,(AA30-AB30)/AA30,1))))))-(IF(AA30&lt;=0,0,'1 - I TUOI 6 NUMERI'!$B$16*AA30)))*(1+((1+0.03)*(1+'1 - I TUOI 6 NUMERI'!$B$14)-1)))</f>
        <v/>
      </c>
      <c r="AB31" s="23">
        <f>MAX(0,AB30-(IF(AA30&lt;=0,0,(36000*(1+'1 - I TUOI 6 NUMERI'!$B$14)^9)/(1-'1 - I TUOI 6 NUMERI'!$B$15*(IF(AA30&lt;=0,0,MEDIAN(0,(AA30-AB30)/AA30,1))))))*(1-(IF(AA30&lt;=0,0,MEDIAN(0,(AA30-AB30)/AA30,1)))))</f>
        <v/>
      </c>
      <c r="AC31" s="23">
        <f>IF(AC30&lt;=0,0,(AC30-(IF(AC30&lt;=0,0,(36000*(1+'1 - I TUOI 6 NUMERI'!$B$14)^9)/(1-'1 - I TUOI 6 NUMERI'!$B$15*(IF(AC30&lt;=0,0,MEDIAN(0,(AC30-AD30)/AC30,1))))))-(IF(AC30&lt;=0,0,'1 - I TUOI 6 NUMERI'!$B$16*AC30)))*(1+((1+0.05)*(1+'1 - I TUOI 6 NUMERI'!$B$14)-1)))</f>
        <v/>
      </c>
      <c r="AD31" s="23">
        <f>MAX(0,AD30-(IF(AC30&lt;=0,0,(36000*(1+'1 - I TUOI 6 NUMERI'!$B$14)^9)/(1-'1 - I TUOI 6 NUMERI'!$B$15*(IF(AC30&lt;=0,0,MEDIAN(0,(AC30-AD30)/AC30,1))))))*(1-(IF(AC30&lt;=0,0,MEDIAN(0,(AC30-AD30)/AC30,1)))))</f>
        <v/>
      </c>
    </row>
    <row r="32">
      <c r="F32" s="6" t="n">
        <v>10</v>
      </c>
      <c r="G32" s="23">
        <f>IF(G31&lt;=0,0,(G31-(IF(G31&lt;=0,0,(18000*(1+'1 - I TUOI 6 NUMERI'!$B$14)^10)/(1-'1 - I TUOI 6 NUMERI'!$B$15*(IF(G31&lt;=0,0,MEDIAN(0,(G31-H31)/G31,1))))))-(IF(G31&lt;=0,0,'1 - I TUOI 6 NUMERI'!$B$16*G31)))*(1+((1+0.01)*(1+'1 - I TUOI 6 NUMERI'!$B$14)-1)))</f>
        <v/>
      </c>
      <c r="H32" s="23">
        <f>MAX(0,H31-(IF(G31&lt;=0,0,(18000*(1+'1 - I TUOI 6 NUMERI'!$B$14)^10)/(1-'1 - I TUOI 6 NUMERI'!$B$15*(IF(G31&lt;=0,0,MEDIAN(0,(G31-H31)/G31,1))))))*(1-(IF(G31&lt;=0,0,MEDIAN(0,(G31-H31)/G31,1)))))</f>
        <v/>
      </c>
      <c r="I32" s="23">
        <f>IF(I31&lt;=0,0,(I31-(IF(I31&lt;=0,0,(18000*(1+'1 - I TUOI 6 NUMERI'!$B$14)^10)/(1-'1 - I TUOI 6 NUMERI'!$B$15*(IF(I31&lt;=0,0,MEDIAN(0,(I31-J31)/I31,1))))))-(IF(I31&lt;=0,0,'1 - I TUOI 6 NUMERI'!$B$16*I31)))*(1+((1+0.03)*(1+'1 - I TUOI 6 NUMERI'!$B$14)-1)))</f>
        <v/>
      </c>
      <c r="J32" s="23">
        <f>MAX(0,J31-(IF(I31&lt;=0,0,(18000*(1+'1 - I TUOI 6 NUMERI'!$B$14)^10)/(1-'1 - I TUOI 6 NUMERI'!$B$15*(IF(I31&lt;=0,0,MEDIAN(0,(I31-J31)/I31,1))))))*(1-(IF(I31&lt;=0,0,MEDIAN(0,(I31-J31)/I31,1)))))</f>
        <v/>
      </c>
      <c r="K32" s="23">
        <f>IF(K31&lt;=0,0,(K31-(IF(K31&lt;=0,0,(18000*(1+'1 - I TUOI 6 NUMERI'!$B$14)^10)/(1-'1 - I TUOI 6 NUMERI'!$B$15*(IF(K31&lt;=0,0,MEDIAN(0,(K31-L31)/K31,1))))))-(IF(K31&lt;=0,0,'1 - I TUOI 6 NUMERI'!$B$16*K31)))*(1+((1+0.05)*(1+'1 - I TUOI 6 NUMERI'!$B$14)-1)))</f>
        <v/>
      </c>
      <c r="L32" s="23">
        <f>MAX(0,L31-(IF(K31&lt;=0,0,(18000*(1+'1 - I TUOI 6 NUMERI'!$B$14)^10)/(1-'1 - I TUOI 6 NUMERI'!$B$15*(IF(K31&lt;=0,0,MEDIAN(0,(K31-L31)/K31,1))))))*(1-(IF(K31&lt;=0,0,MEDIAN(0,(K31-L31)/K31,1)))))</f>
        <v/>
      </c>
      <c r="M32" s="23">
        <f>IF(M31&lt;=0,0,(M31-(IF(M31&lt;=0,0,(24000*(1+'1 - I TUOI 6 NUMERI'!$B$14)^10)/(1-'1 - I TUOI 6 NUMERI'!$B$15*(IF(M31&lt;=0,0,MEDIAN(0,(M31-N31)/M31,1))))))-(IF(M31&lt;=0,0,'1 - I TUOI 6 NUMERI'!$B$16*M31)))*(1+((1+0.01)*(1+'1 - I TUOI 6 NUMERI'!$B$14)-1)))</f>
        <v/>
      </c>
      <c r="N32" s="23">
        <f>MAX(0,N31-(IF(M31&lt;=0,0,(24000*(1+'1 - I TUOI 6 NUMERI'!$B$14)^10)/(1-'1 - I TUOI 6 NUMERI'!$B$15*(IF(M31&lt;=0,0,MEDIAN(0,(M31-N31)/M31,1))))))*(1-(IF(M31&lt;=0,0,MEDIAN(0,(M31-N31)/M31,1)))))</f>
        <v/>
      </c>
      <c r="O32" s="23">
        <f>IF(O31&lt;=0,0,(O31-(IF(O31&lt;=0,0,(24000*(1+'1 - I TUOI 6 NUMERI'!$B$14)^10)/(1-'1 - I TUOI 6 NUMERI'!$B$15*(IF(O31&lt;=0,0,MEDIAN(0,(O31-P31)/O31,1))))))-(IF(O31&lt;=0,0,'1 - I TUOI 6 NUMERI'!$B$16*O31)))*(1+((1+0.03)*(1+'1 - I TUOI 6 NUMERI'!$B$14)-1)))</f>
        <v/>
      </c>
      <c r="P32" s="23">
        <f>MAX(0,P31-(IF(O31&lt;=0,0,(24000*(1+'1 - I TUOI 6 NUMERI'!$B$14)^10)/(1-'1 - I TUOI 6 NUMERI'!$B$15*(IF(O31&lt;=0,0,MEDIAN(0,(O31-P31)/O31,1))))))*(1-(IF(O31&lt;=0,0,MEDIAN(0,(O31-P31)/O31,1)))))</f>
        <v/>
      </c>
      <c r="Q32" s="23">
        <f>IF(Q31&lt;=0,0,(Q31-(IF(Q31&lt;=0,0,(24000*(1+'1 - I TUOI 6 NUMERI'!$B$14)^10)/(1-'1 - I TUOI 6 NUMERI'!$B$15*(IF(Q31&lt;=0,0,MEDIAN(0,(Q31-R31)/Q31,1))))))-(IF(Q31&lt;=0,0,'1 - I TUOI 6 NUMERI'!$B$16*Q31)))*(1+((1+0.05)*(1+'1 - I TUOI 6 NUMERI'!$B$14)-1)))</f>
        <v/>
      </c>
      <c r="R32" s="23">
        <f>MAX(0,R31-(IF(Q31&lt;=0,0,(24000*(1+'1 - I TUOI 6 NUMERI'!$B$14)^10)/(1-'1 - I TUOI 6 NUMERI'!$B$15*(IF(Q31&lt;=0,0,MEDIAN(0,(Q31-R31)/Q31,1))))))*(1-(IF(Q31&lt;=0,0,MEDIAN(0,(Q31-R31)/Q31,1)))))</f>
        <v/>
      </c>
      <c r="S32" s="23">
        <f>IF(S31&lt;=0,0,(S31-(IF(S31&lt;=0,0,(30000*(1+'1 - I TUOI 6 NUMERI'!$B$14)^10)/(1-'1 - I TUOI 6 NUMERI'!$B$15*(IF(S31&lt;=0,0,MEDIAN(0,(S31-T31)/S31,1))))))-(IF(S31&lt;=0,0,'1 - I TUOI 6 NUMERI'!$B$16*S31)))*(1+((1+0.01)*(1+'1 - I TUOI 6 NUMERI'!$B$14)-1)))</f>
        <v/>
      </c>
      <c r="T32" s="23">
        <f>MAX(0,T31-(IF(S31&lt;=0,0,(30000*(1+'1 - I TUOI 6 NUMERI'!$B$14)^10)/(1-'1 - I TUOI 6 NUMERI'!$B$15*(IF(S31&lt;=0,0,MEDIAN(0,(S31-T31)/S31,1))))))*(1-(IF(S31&lt;=0,0,MEDIAN(0,(S31-T31)/S31,1)))))</f>
        <v/>
      </c>
      <c r="U32" s="23">
        <f>IF(U31&lt;=0,0,(U31-(IF(U31&lt;=0,0,(30000*(1+'1 - I TUOI 6 NUMERI'!$B$14)^10)/(1-'1 - I TUOI 6 NUMERI'!$B$15*(IF(U31&lt;=0,0,MEDIAN(0,(U31-V31)/U31,1))))))-(IF(U31&lt;=0,0,'1 - I TUOI 6 NUMERI'!$B$16*U31)))*(1+((1+0.03)*(1+'1 - I TUOI 6 NUMERI'!$B$14)-1)))</f>
        <v/>
      </c>
      <c r="V32" s="23">
        <f>MAX(0,V31-(IF(U31&lt;=0,0,(30000*(1+'1 - I TUOI 6 NUMERI'!$B$14)^10)/(1-'1 - I TUOI 6 NUMERI'!$B$15*(IF(U31&lt;=0,0,MEDIAN(0,(U31-V31)/U31,1))))))*(1-(IF(U31&lt;=0,0,MEDIAN(0,(U31-V31)/U31,1)))))</f>
        <v/>
      </c>
      <c r="W32" s="23">
        <f>IF(W31&lt;=0,0,(W31-(IF(W31&lt;=0,0,(30000*(1+'1 - I TUOI 6 NUMERI'!$B$14)^10)/(1-'1 - I TUOI 6 NUMERI'!$B$15*(IF(W31&lt;=0,0,MEDIAN(0,(W31-X31)/W31,1))))))-(IF(W31&lt;=0,0,'1 - I TUOI 6 NUMERI'!$B$16*W31)))*(1+((1+0.05)*(1+'1 - I TUOI 6 NUMERI'!$B$14)-1)))</f>
        <v/>
      </c>
      <c r="X32" s="23">
        <f>MAX(0,X31-(IF(W31&lt;=0,0,(30000*(1+'1 - I TUOI 6 NUMERI'!$B$14)^10)/(1-'1 - I TUOI 6 NUMERI'!$B$15*(IF(W31&lt;=0,0,MEDIAN(0,(W31-X31)/W31,1))))))*(1-(IF(W31&lt;=0,0,MEDIAN(0,(W31-X31)/W31,1)))))</f>
        <v/>
      </c>
      <c r="Y32" s="23">
        <f>IF(Y31&lt;=0,0,(Y31-(IF(Y31&lt;=0,0,(36000*(1+'1 - I TUOI 6 NUMERI'!$B$14)^10)/(1-'1 - I TUOI 6 NUMERI'!$B$15*(IF(Y31&lt;=0,0,MEDIAN(0,(Y31-Z31)/Y31,1))))))-(IF(Y31&lt;=0,0,'1 - I TUOI 6 NUMERI'!$B$16*Y31)))*(1+((1+0.01)*(1+'1 - I TUOI 6 NUMERI'!$B$14)-1)))</f>
        <v/>
      </c>
      <c r="Z32" s="23">
        <f>MAX(0,Z31-(IF(Y31&lt;=0,0,(36000*(1+'1 - I TUOI 6 NUMERI'!$B$14)^10)/(1-'1 - I TUOI 6 NUMERI'!$B$15*(IF(Y31&lt;=0,0,MEDIAN(0,(Y31-Z31)/Y31,1))))))*(1-(IF(Y31&lt;=0,0,MEDIAN(0,(Y31-Z31)/Y31,1)))))</f>
        <v/>
      </c>
      <c r="AA32" s="23">
        <f>IF(AA31&lt;=0,0,(AA31-(IF(AA31&lt;=0,0,(36000*(1+'1 - I TUOI 6 NUMERI'!$B$14)^10)/(1-'1 - I TUOI 6 NUMERI'!$B$15*(IF(AA31&lt;=0,0,MEDIAN(0,(AA31-AB31)/AA31,1))))))-(IF(AA31&lt;=0,0,'1 - I TUOI 6 NUMERI'!$B$16*AA31)))*(1+((1+0.03)*(1+'1 - I TUOI 6 NUMERI'!$B$14)-1)))</f>
        <v/>
      </c>
      <c r="AB32" s="23">
        <f>MAX(0,AB31-(IF(AA31&lt;=0,0,(36000*(1+'1 - I TUOI 6 NUMERI'!$B$14)^10)/(1-'1 - I TUOI 6 NUMERI'!$B$15*(IF(AA31&lt;=0,0,MEDIAN(0,(AA31-AB31)/AA31,1))))))*(1-(IF(AA31&lt;=0,0,MEDIAN(0,(AA31-AB31)/AA31,1)))))</f>
        <v/>
      </c>
      <c r="AC32" s="23">
        <f>IF(AC31&lt;=0,0,(AC31-(IF(AC31&lt;=0,0,(36000*(1+'1 - I TUOI 6 NUMERI'!$B$14)^10)/(1-'1 - I TUOI 6 NUMERI'!$B$15*(IF(AC31&lt;=0,0,MEDIAN(0,(AC31-AD31)/AC31,1))))))-(IF(AC31&lt;=0,0,'1 - I TUOI 6 NUMERI'!$B$16*AC31)))*(1+((1+0.05)*(1+'1 - I TUOI 6 NUMERI'!$B$14)-1)))</f>
        <v/>
      </c>
      <c r="AD32" s="23">
        <f>MAX(0,AD31-(IF(AC31&lt;=0,0,(36000*(1+'1 - I TUOI 6 NUMERI'!$B$14)^10)/(1-'1 - I TUOI 6 NUMERI'!$B$15*(IF(AC31&lt;=0,0,MEDIAN(0,(AC31-AD31)/AC31,1))))))*(1-(IF(AC31&lt;=0,0,MEDIAN(0,(AC31-AD31)/AC31,1)))))</f>
        <v/>
      </c>
    </row>
    <row r="33">
      <c r="F33" s="6" t="n">
        <v>11</v>
      </c>
      <c r="G33" s="23">
        <f>IF(G32&lt;=0,0,(G32-(IF(G32&lt;=0,0,(18000*(1+'1 - I TUOI 6 NUMERI'!$B$14)^11)/(1-'1 - I TUOI 6 NUMERI'!$B$15*(IF(G32&lt;=0,0,MEDIAN(0,(G32-H32)/G32,1))))))-(IF(G32&lt;=0,0,'1 - I TUOI 6 NUMERI'!$B$16*G32)))*(1+((1+0.01)*(1+'1 - I TUOI 6 NUMERI'!$B$14)-1)))</f>
        <v/>
      </c>
      <c r="H33" s="23">
        <f>MAX(0,H32-(IF(G32&lt;=0,0,(18000*(1+'1 - I TUOI 6 NUMERI'!$B$14)^11)/(1-'1 - I TUOI 6 NUMERI'!$B$15*(IF(G32&lt;=0,0,MEDIAN(0,(G32-H32)/G32,1))))))*(1-(IF(G32&lt;=0,0,MEDIAN(0,(G32-H32)/G32,1)))))</f>
        <v/>
      </c>
      <c r="I33" s="23">
        <f>IF(I32&lt;=0,0,(I32-(IF(I32&lt;=0,0,(18000*(1+'1 - I TUOI 6 NUMERI'!$B$14)^11)/(1-'1 - I TUOI 6 NUMERI'!$B$15*(IF(I32&lt;=0,0,MEDIAN(0,(I32-J32)/I32,1))))))-(IF(I32&lt;=0,0,'1 - I TUOI 6 NUMERI'!$B$16*I32)))*(1+((1+0.03)*(1+'1 - I TUOI 6 NUMERI'!$B$14)-1)))</f>
        <v/>
      </c>
      <c r="J33" s="23">
        <f>MAX(0,J32-(IF(I32&lt;=0,0,(18000*(1+'1 - I TUOI 6 NUMERI'!$B$14)^11)/(1-'1 - I TUOI 6 NUMERI'!$B$15*(IF(I32&lt;=0,0,MEDIAN(0,(I32-J32)/I32,1))))))*(1-(IF(I32&lt;=0,0,MEDIAN(0,(I32-J32)/I32,1)))))</f>
        <v/>
      </c>
      <c r="K33" s="23">
        <f>IF(K32&lt;=0,0,(K32-(IF(K32&lt;=0,0,(18000*(1+'1 - I TUOI 6 NUMERI'!$B$14)^11)/(1-'1 - I TUOI 6 NUMERI'!$B$15*(IF(K32&lt;=0,0,MEDIAN(0,(K32-L32)/K32,1))))))-(IF(K32&lt;=0,0,'1 - I TUOI 6 NUMERI'!$B$16*K32)))*(1+((1+0.05)*(1+'1 - I TUOI 6 NUMERI'!$B$14)-1)))</f>
        <v/>
      </c>
      <c r="L33" s="23">
        <f>MAX(0,L32-(IF(K32&lt;=0,0,(18000*(1+'1 - I TUOI 6 NUMERI'!$B$14)^11)/(1-'1 - I TUOI 6 NUMERI'!$B$15*(IF(K32&lt;=0,0,MEDIAN(0,(K32-L32)/K32,1))))))*(1-(IF(K32&lt;=0,0,MEDIAN(0,(K32-L32)/K32,1)))))</f>
        <v/>
      </c>
      <c r="M33" s="23">
        <f>IF(M32&lt;=0,0,(M32-(IF(M32&lt;=0,0,(24000*(1+'1 - I TUOI 6 NUMERI'!$B$14)^11)/(1-'1 - I TUOI 6 NUMERI'!$B$15*(IF(M32&lt;=0,0,MEDIAN(0,(M32-N32)/M32,1))))))-(IF(M32&lt;=0,0,'1 - I TUOI 6 NUMERI'!$B$16*M32)))*(1+((1+0.01)*(1+'1 - I TUOI 6 NUMERI'!$B$14)-1)))</f>
        <v/>
      </c>
      <c r="N33" s="23">
        <f>MAX(0,N32-(IF(M32&lt;=0,0,(24000*(1+'1 - I TUOI 6 NUMERI'!$B$14)^11)/(1-'1 - I TUOI 6 NUMERI'!$B$15*(IF(M32&lt;=0,0,MEDIAN(0,(M32-N32)/M32,1))))))*(1-(IF(M32&lt;=0,0,MEDIAN(0,(M32-N32)/M32,1)))))</f>
        <v/>
      </c>
      <c r="O33" s="23">
        <f>IF(O32&lt;=0,0,(O32-(IF(O32&lt;=0,0,(24000*(1+'1 - I TUOI 6 NUMERI'!$B$14)^11)/(1-'1 - I TUOI 6 NUMERI'!$B$15*(IF(O32&lt;=0,0,MEDIAN(0,(O32-P32)/O32,1))))))-(IF(O32&lt;=0,0,'1 - I TUOI 6 NUMERI'!$B$16*O32)))*(1+((1+0.03)*(1+'1 - I TUOI 6 NUMERI'!$B$14)-1)))</f>
        <v/>
      </c>
      <c r="P33" s="23">
        <f>MAX(0,P32-(IF(O32&lt;=0,0,(24000*(1+'1 - I TUOI 6 NUMERI'!$B$14)^11)/(1-'1 - I TUOI 6 NUMERI'!$B$15*(IF(O32&lt;=0,0,MEDIAN(0,(O32-P32)/O32,1))))))*(1-(IF(O32&lt;=0,0,MEDIAN(0,(O32-P32)/O32,1)))))</f>
        <v/>
      </c>
      <c r="Q33" s="23">
        <f>IF(Q32&lt;=0,0,(Q32-(IF(Q32&lt;=0,0,(24000*(1+'1 - I TUOI 6 NUMERI'!$B$14)^11)/(1-'1 - I TUOI 6 NUMERI'!$B$15*(IF(Q32&lt;=0,0,MEDIAN(0,(Q32-R32)/Q32,1))))))-(IF(Q32&lt;=0,0,'1 - I TUOI 6 NUMERI'!$B$16*Q32)))*(1+((1+0.05)*(1+'1 - I TUOI 6 NUMERI'!$B$14)-1)))</f>
        <v/>
      </c>
      <c r="R33" s="23">
        <f>MAX(0,R32-(IF(Q32&lt;=0,0,(24000*(1+'1 - I TUOI 6 NUMERI'!$B$14)^11)/(1-'1 - I TUOI 6 NUMERI'!$B$15*(IF(Q32&lt;=0,0,MEDIAN(0,(Q32-R32)/Q32,1))))))*(1-(IF(Q32&lt;=0,0,MEDIAN(0,(Q32-R32)/Q32,1)))))</f>
        <v/>
      </c>
      <c r="S33" s="23">
        <f>IF(S32&lt;=0,0,(S32-(IF(S32&lt;=0,0,(30000*(1+'1 - I TUOI 6 NUMERI'!$B$14)^11)/(1-'1 - I TUOI 6 NUMERI'!$B$15*(IF(S32&lt;=0,0,MEDIAN(0,(S32-T32)/S32,1))))))-(IF(S32&lt;=0,0,'1 - I TUOI 6 NUMERI'!$B$16*S32)))*(1+((1+0.01)*(1+'1 - I TUOI 6 NUMERI'!$B$14)-1)))</f>
        <v/>
      </c>
      <c r="T33" s="23">
        <f>MAX(0,T32-(IF(S32&lt;=0,0,(30000*(1+'1 - I TUOI 6 NUMERI'!$B$14)^11)/(1-'1 - I TUOI 6 NUMERI'!$B$15*(IF(S32&lt;=0,0,MEDIAN(0,(S32-T32)/S32,1))))))*(1-(IF(S32&lt;=0,0,MEDIAN(0,(S32-T32)/S32,1)))))</f>
        <v/>
      </c>
      <c r="U33" s="23">
        <f>IF(U32&lt;=0,0,(U32-(IF(U32&lt;=0,0,(30000*(1+'1 - I TUOI 6 NUMERI'!$B$14)^11)/(1-'1 - I TUOI 6 NUMERI'!$B$15*(IF(U32&lt;=0,0,MEDIAN(0,(U32-V32)/U32,1))))))-(IF(U32&lt;=0,0,'1 - I TUOI 6 NUMERI'!$B$16*U32)))*(1+((1+0.03)*(1+'1 - I TUOI 6 NUMERI'!$B$14)-1)))</f>
        <v/>
      </c>
      <c r="V33" s="23">
        <f>MAX(0,V32-(IF(U32&lt;=0,0,(30000*(1+'1 - I TUOI 6 NUMERI'!$B$14)^11)/(1-'1 - I TUOI 6 NUMERI'!$B$15*(IF(U32&lt;=0,0,MEDIAN(0,(U32-V32)/U32,1))))))*(1-(IF(U32&lt;=0,0,MEDIAN(0,(U32-V32)/U32,1)))))</f>
        <v/>
      </c>
      <c r="W33" s="23">
        <f>IF(W32&lt;=0,0,(W32-(IF(W32&lt;=0,0,(30000*(1+'1 - I TUOI 6 NUMERI'!$B$14)^11)/(1-'1 - I TUOI 6 NUMERI'!$B$15*(IF(W32&lt;=0,0,MEDIAN(0,(W32-X32)/W32,1))))))-(IF(W32&lt;=0,0,'1 - I TUOI 6 NUMERI'!$B$16*W32)))*(1+((1+0.05)*(1+'1 - I TUOI 6 NUMERI'!$B$14)-1)))</f>
        <v/>
      </c>
      <c r="X33" s="23">
        <f>MAX(0,X32-(IF(W32&lt;=0,0,(30000*(1+'1 - I TUOI 6 NUMERI'!$B$14)^11)/(1-'1 - I TUOI 6 NUMERI'!$B$15*(IF(W32&lt;=0,0,MEDIAN(0,(W32-X32)/W32,1))))))*(1-(IF(W32&lt;=0,0,MEDIAN(0,(W32-X32)/W32,1)))))</f>
        <v/>
      </c>
      <c r="Y33" s="23">
        <f>IF(Y32&lt;=0,0,(Y32-(IF(Y32&lt;=0,0,(36000*(1+'1 - I TUOI 6 NUMERI'!$B$14)^11)/(1-'1 - I TUOI 6 NUMERI'!$B$15*(IF(Y32&lt;=0,0,MEDIAN(0,(Y32-Z32)/Y32,1))))))-(IF(Y32&lt;=0,0,'1 - I TUOI 6 NUMERI'!$B$16*Y32)))*(1+((1+0.01)*(1+'1 - I TUOI 6 NUMERI'!$B$14)-1)))</f>
        <v/>
      </c>
      <c r="Z33" s="23">
        <f>MAX(0,Z32-(IF(Y32&lt;=0,0,(36000*(1+'1 - I TUOI 6 NUMERI'!$B$14)^11)/(1-'1 - I TUOI 6 NUMERI'!$B$15*(IF(Y32&lt;=0,0,MEDIAN(0,(Y32-Z32)/Y32,1))))))*(1-(IF(Y32&lt;=0,0,MEDIAN(0,(Y32-Z32)/Y32,1)))))</f>
        <v/>
      </c>
      <c r="AA33" s="23">
        <f>IF(AA32&lt;=0,0,(AA32-(IF(AA32&lt;=0,0,(36000*(1+'1 - I TUOI 6 NUMERI'!$B$14)^11)/(1-'1 - I TUOI 6 NUMERI'!$B$15*(IF(AA32&lt;=0,0,MEDIAN(0,(AA32-AB32)/AA32,1))))))-(IF(AA32&lt;=0,0,'1 - I TUOI 6 NUMERI'!$B$16*AA32)))*(1+((1+0.03)*(1+'1 - I TUOI 6 NUMERI'!$B$14)-1)))</f>
        <v/>
      </c>
      <c r="AB33" s="23">
        <f>MAX(0,AB32-(IF(AA32&lt;=0,0,(36000*(1+'1 - I TUOI 6 NUMERI'!$B$14)^11)/(1-'1 - I TUOI 6 NUMERI'!$B$15*(IF(AA32&lt;=0,0,MEDIAN(0,(AA32-AB32)/AA32,1))))))*(1-(IF(AA32&lt;=0,0,MEDIAN(0,(AA32-AB32)/AA32,1)))))</f>
        <v/>
      </c>
      <c r="AC33" s="23">
        <f>IF(AC32&lt;=0,0,(AC32-(IF(AC32&lt;=0,0,(36000*(1+'1 - I TUOI 6 NUMERI'!$B$14)^11)/(1-'1 - I TUOI 6 NUMERI'!$B$15*(IF(AC32&lt;=0,0,MEDIAN(0,(AC32-AD32)/AC32,1))))))-(IF(AC32&lt;=0,0,'1 - I TUOI 6 NUMERI'!$B$16*AC32)))*(1+((1+0.05)*(1+'1 - I TUOI 6 NUMERI'!$B$14)-1)))</f>
        <v/>
      </c>
      <c r="AD33" s="23">
        <f>MAX(0,AD32-(IF(AC32&lt;=0,0,(36000*(1+'1 - I TUOI 6 NUMERI'!$B$14)^11)/(1-'1 - I TUOI 6 NUMERI'!$B$15*(IF(AC32&lt;=0,0,MEDIAN(0,(AC32-AD32)/AC32,1))))))*(1-(IF(AC32&lt;=0,0,MEDIAN(0,(AC32-AD32)/AC32,1)))))</f>
        <v/>
      </c>
    </row>
    <row r="34">
      <c r="F34" s="6" t="n">
        <v>12</v>
      </c>
      <c r="G34" s="23">
        <f>IF(G33&lt;=0,0,(G33-(IF(G33&lt;=0,0,(18000*(1+'1 - I TUOI 6 NUMERI'!$B$14)^12)/(1-'1 - I TUOI 6 NUMERI'!$B$15*(IF(G33&lt;=0,0,MEDIAN(0,(G33-H33)/G33,1))))))-(IF(G33&lt;=0,0,'1 - I TUOI 6 NUMERI'!$B$16*G33)))*(1+((1+0.01)*(1+'1 - I TUOI 6 NUMERI'!$B$14)-1)))</f>
        <v/>
      </c>
      <c r="H34" s="23">
        <f>MAX(0,H33-(IF(G33&lt;=0,0,(18000*(1+'1 - I TUOI 6 NUMERI'!$B$14)^12)/(1-'1 - I TUOI 6 NUMERI'!$B$15*(IF(G33&lt;=0,0,MEDIAN(0,(G33-H33)/G33,1))))))*(1-(IF(G33&lt;=0,0,MEDIAN(0,(G33-H33)/G33,1)))))</f>
        <v/>
      </c>
      <c r="I34" s="23">
        <f>IF(I33&lt;=0,0,(I33-(IF(I33&lt;=0,0,(18000*(1+'1 - I TUOI 6 NUMERI'!$B$14)^12)/(1-'1 - I TUOI 6 NUMERI'!$B$15*(IF(I33&lt;=0,0,MEDIAN(0,(I33-J33)/I33,1))))))-(IF(I33&lt;=0,0,'1 - I TUOI 6 NUMERI'!$B$16*I33)))*(1+((1+0.03)*(1+'1 - I TUOI 6 NUMERI'!$B$14)-1)))</f>
        <v/>
      </c>
      <c r="J34" s="23">
        <f>MAX(0,J33-(IF(I33&lt;=0,0,(18000*(1+'1 - I TUOI 6 NUMERI'!$B$14)^12)/(1-'1 - I TUOI 6 NUMERI'!$B$15*(IF(I33&lt;=0,0,MEDIAN(0,(I33-J33)/I33,1))))))*(1-(IF(I33&lt;=0,0,MEDIAN(0,(I33-J33)/I33,1)))))</f>
        <v/>
      </c>
      <c r="K34" s="23">
        <f>IF(K33&lt;=0,0,(K33-(IF(K33&lt;=0,0,(18000*(1+'1 - I TUOI 6 NUMERI'!$B$14)^12)/(1-'1 - I TUOI 6 NUMERI'!$B$15*(IF(K33&lt;=0,0,MEDIAN(0,(K33-L33)/K33,1))))))-(IF(K33&lt;=0,0,'1 - I TUOI 6 NUMERI'!$B$16*K33)))*(1+((1+0.05)*(1+'1 - I TUOI 6 NUMERI'!$B$14)-1)))</f>
        <v/>
      </c>
      <c r="L34" s="23">
        <f>MAX(0,L33-(IF(K33&lt;=0,0,(18000*(1+'1 - I TUOI 6 NUMERI'!$B$14)^12)/(1-'1 - I TUOI 6 NUMERI'!$B$15*(IF(K33&lt;=0,0,MEDIAN(0,(K33-L33)/K33,1))))))*(1-(IF(K33&lt;=0,0,MEDIAN(0,(K33-L33)/K33,1)))))</f>
        <v/>
      </c>
      <c r="M34" s="23">
        <f>IF(M33&lt;=0,0,(M33-(IF(M33&lt;=0,0,(24000*(1+'1 - I TUOI 6 NUMERI'!$B$14)^12)/(1-'1 - I TUOI 6 NUMERI'!$B$15*(IF(M33&lt;=0,0,MEDIAN(0,(M33-N33)/M33,1))))))-(IF(M33&lt;=0,0,'1 - I TUOI 6 NUMERI'!$B$16*M33)))*(1+((1+0.01)*(1+'1 - I TUOI 6 NUMERI'!$B$14)-1)))</f>
        <v/>
      </c>
      <c r="N34" s="23">
        <f>MAX(0,N33-(IF(M33&lt;=0,0,(24000*(1+'1 - I TUOI 6 NUMERI'!$B$14)^12)/(1-'1 - I TUOI 6 NUMERI'!$B$15*(IF(M33&lt;=0,0,MEDIAN(0,(M33-N33)/M33,1))))))*(1-(IF(M33&lt;=0,0,MEDIAN(0,(M33-N33)/M33,1)))))</f>
        <v/>
      </c>
      <c r="O34" s="23">
        <f>IF(O33&lt;=0,0,(O33-(IF(O33&lt;=0,0,(24000*(1+'1 - I TUOI 6 NUMERI'!$B$14)^12)/(1-'1 - I TUOI 6 NUMERI'!$B$15*(IF(O33&lt;=0,0,MEDIAN(0,(O33-P33)/O33,1))))))-(IF(O33&lt;=0,0,'1 - I TUOI 6 NUMERI'!$B$16*O33)))*(1+((1+0.03)*(1+'1 - I TUOI 6 NUMERI'!$B$14)-1)))</f>
        <v/>
      </c>
      <c r="P34" s="23">
        <f>MAX(0,P33-(IF(O33&lt;=0,0,(24000*(1+'1 - I TUOI 6 NUMERI'!$B$14)^12)/(1-'1 - I TUOI 6 NUMERI'!$B$15*(IF(O33&lt;=0,0,MEDIAN(0,(O33-P33)/O33,1))))))*(1-(IF(O33&lt;=0,0,MEDIAN(0,(O33-P33)/O33,1)))))</f>
        <v/>
      </c>
      <c r="Q34" s="23">
        <f>IF(Q33&lt;=0,0,(Q33-(IF(Q33&lt;=0,0,(24000*(1+'1 - I TUOI 6 NUMERI'!$B$14)^12)/(1-'1 - I TUOI 6 NUMERI'!$B$15*(IF(Q33&lt;=0,0,MEDIAN(0,(Q33-R33)/Q33,1))))))-(IF(Q33&lt;=0,0,'1 - I TUOI 6 NUMERI'!$B$16*Q33)))*(1+((1+0.05)*(1+'1 - I TUOI 6 NUMERI'!$B$14)-1)))</f>
        <v/>
      </c>
      <c r="R34" s="23">
        <f>MAX(0,R33-(IF(Q33&lt;=0,0,(24000*(1+'1 - I TUOI 6 NUMERI'!$B$14)^12)/(1-'1 - I TUOI 6 NUMERI'!$B$15*(IF(Q33&lt;=0,0,MEDIAN(0,(Q33-R33)/Q33,1))))))*(1-(IF(Q33&lt;=0,0,MEDIAN(0,(Q33-R33)/Q33,1)))))</f>
        <v/>
      </c>
      <c r="S34" s="23">
        <f>IF(S33&lt;=0,0,(S33-(IF(S33&lt;=0,0,(30000*(1+'1 - I TUOI 6 NUMERI'!$B$14)^12)/(1-'1 - I TUOI 6 NUMERI'!$B$15*(IF(S33&lt;=0,0,MEDIAN(0,(S33-T33)/S33,1))))))-(IF(S33&lt;=0,0,'1 - I TUOI 6 NUMERI'!$B$16*S33)))*(1+((1+0.01)*(1+'1 - I TUOI 6 NUMERI'!$B$14)-1)))</f>
        <v/>
      </c>
      <c r="T34" s="23">
        <f>MAX(0,T33-(IF(S33&lt;=0,0,(30000*(1+'1 - I TUOI 6 NUMERI'!$B$14)^12)/(1-'1 - I TUOI 6 NUMERI'!$B$15*(IF(S33&lt;=0,0,MEDIAN(0,(S33-T33)/S33,1))))))*(1-(IF(S33&lt;=0,0,MEDIAN(0,(S33-T33)/S33,1)))))</f>
        <v/>
      </c>
      <c r="U34" s="23">
        <f>IF(U33&lt;=0,0,(U33-(IF(U33&lt;=0,0,(30000*(1+'1 - I TUOI 6 NUMERI'!$B$14)^12)/(1-'1 - I TUOI 6 NUMERI'!$B$15*(IF(U33&lt;=0,0,MEDIAN(0,(U33-V33)/U33,1))))))-(IF(U33&lt;=0,0,'1 - I TUOI 6 NUMERI'!$B$16*U33)))*(1+((1+0.03)*(1+'1 - I TUOI 6 NUMERI'!$B$14)-1)))</f>
        <v/>
      </c>
      <c r="V34" s="23">
        <f>MAX(0,V33-(IF(U33&lt;=0,0,(30000*(1+'1 - I TUOI 6 NUMERI'!$B$14)^12)/(1-'1 - I TUOI 6 NUMERI'!$B$15*(IF(U33&lt;=0,0,MEDIAN(0,(U33-V33)/U33,1))))))*(1-(IF(U33&lt;=0,0,MEDIAN(0,(U33-V33)/U33,1)))))</f>
        <v/>
      </c>
      <c r="W34" s="23">
        <f>IF(W33&lt;=0,0,(W33-(IF(W33&lt;=0,0,(30000*(1+'1 - I TUOI 6 NUMERI'!$B$14)^12)/(1-'1 - I TUOI 6 NUMERI'!$B$15*(IF(W33&lt;=0,0,MEDIAN(0,(W33-X33)/W33,1))))))-(IF(W33&lt;=0,0,'1 - I TUOI 6 NUMERI'!$B$16*W33)))*(1+((1+0.05)*(1+'1 - I TUOI 6 NUMERI'!$B$14)-1)))</f>
        <v/>
      </c>
      <c r="X34" s="23">
        <f>MAX(0,X33-(IF(W33&lt;=0,0,(30000*(1+'1 - I TUOI 6 NUMERI'!$B$14)^12)/(1-'1 - I TUOI 6 NUMERI'!$B$15*(IF(W33&lt;=0,0,MEDIAN(0,(W33-X33)/W33,1))))))*(1-(IF(W33&lt;=0,0,MEDIAN(0,(W33-X33)/W33,1)))))</f>
        <v/>
      </c>
      <c r="Y34" s="23">
        <f>IF(Y33&lt;=0,0,(Y33-(IF(Y33&lt;=0,0,(36000*(1+'1 - I TUOI 6 NUMERI'!$B$14)^12)/(1-'1 - I TUOI 6 NUMERI'!$B$15*(IF(Y33&lt;=0,0,MEDIAN(0,(Y33-Z33)/Y33,1))))))-(IF(Y33&lt;=0,0,'1 - I TUOI 6 NUMERI'!$B$16*Y33)))*(1+((1+0.01)*(1+'1 - I TUOI 6 NUMERI'!$B$14)-1)))</f>
        <v/>
      </c>
      <c r="Z34" s="23">
        <f>MAX(0,Z33-(IF(Y33&lt;=0,0,(36000*(1+'1 - I TUOI 6 NUMERI'!$B$14)^12)/(1-'1 - I TUOI 6 NUMERI'!$B$15*(IF(Y33&lt;=0,0,MEDIAN(0,(Y33-Z33)/Y33,1))))))*(1-(IF(Y33&lt;=0,0,MEDIAN(0,(Y33-Z33)/Y33,1)))))</f>
        <v/>
      </c>
      <c r="AA34" s="23">
        <f>IF(AA33&lt;=0,0,(AA33-(IF(AA33&lt;=0,0,(36000*(1+'1 - I TUOI 6 NUMERI'!$B$14)^12)/(1-'1 - I TUOI 6 NUMERI'!$B$15*(IF(AA33&lt;=0,0,MEDIAN(0,(AA33-AB33)/AA33,1))))))-(IF(AA33&lt;=0,0,'1 - I TUOI 6 NUMERI'!$B$16*AA33)))*(1+((1+0.03)*(1+'1 - I TUOI 6 NUMERI'!$B$14)-1)))</f>
        <v/>
      </c>
      <c r="AB34" s="23">
        <f>MAX(0,AB33-(IF(AA33&lt;=0,0,(36000*(1+'1 - I TUOI 6 NUMERI'!$B$14)^12)/(1-'1 - I TUOI 6 NUMERI'!$B$15*(IF(AA33&lt;=0,0,MEDIAN(0,(AA33-AB33)/AA33,1))))))*(1-(IF(AA33&lt;=0,0,MEDIAN(0,(AA33-AB33)/AA33,1)))))</f>
        <v/>
      </c>
      <c r="AC34" s="23">
        <f>IF(AC33&lt;=0,0,(AC33-(IF(AC33&lt;=0,0,(36000*(1+'1 - I TUOI 6 NUMERI'!$B$14)^12)/(1-'1 - I TUOI 6 NUMERI'!$B$15*(IF(AC33&lt;=0,0,MEDIAN(0,(AC33-AD33)/AC33,1))))))-(IF(AC33&lt;=0,0,'1 - I TUOI 6 NUMERI'!$B$16*AC33)))*(1+((1+0.05)*(1+'1 - I TUOI 6 NUMERI'!$B$14)-1)))</f>
        <v/>
      </c>
      <c r="AD34" s="23">
        <f>MAX(0,AD33-(IF(AC33&lt;=0,0,(36000*(1+'1 - I TUOI 6 NUMERI'!$B$14)^12)/(1-'1 - I TUOI 6 NUMERI'!$B$15*(IF(AC33&lt;=0,0,MEDIAN(0,(AC33-AD33)/AC33,1))))))*(1-(IF(AC33&lt;=0,0,MEDIAN(0,(AC33-AD33)/AC33,1)))))</f>
        <v/>
      </c>
    </row>
    <row r="35">
      <c r="F35" s="6" t="n">
        <v>13</v>
      </c>
      <c r="G35" s="23">
        <f>IF(G34&lt;=0,0,(G34-(IF(G34&lt;=0,0,(18000*(1+'1 - I TUOI 6 NUMERI'!$B$14)^13)/(1-'1 - I TUOI 6 NUMERI'!$B$15*(IF(G34&lt;=0,0,MEDIAN(0,(G34-H34)/G34,1))))))-(IF(G34&lt;=0,0,'1 - I TUOI 6 NUMERI'!$B$16*G34)))*(1+((1+0.01)*(1+'1 - I TUOI 6 NUMERI'!$B$14)-1)))</f>
        <v/>
      </c>
      <c r="H35" s="23">
        <f>MAX(0,H34-(IF(G34&lt;=0,0,(18000*(1+'1 - I TUOI 6 NUMERI'!$B$14)^13)/(1-'1 - I TUOI 6 NUMERI'!$B$15*(IF(G34&lt;=0,0,MEDIAN(0,(G34-H34)/G34,1))))))*(1-(IF(G34&lt;=0,0,MEDIAN(0,(G34-H34)/G34,1)))))</f>
        <v/>
      </c>
      <c r="I35" s="23">
        <f>IF(I34&lt;=0,0,(I34-(IF(I34&lt;=0,0,(18000*(1+'1 - I TUOI 6 NUMERI'!$B$14)^13)/(1-'1 - I TUOI 6 NUMERI'!$B$15*(IF(I34&lt;=0,0,MEDIAN(0,(I34-J34)/I34,1))))))-(IF(I34&lt;=0,0,'1 - I TUOI 6 NUMERI'!$B$16*I34)))*(1+((1+0.03)*(1+'1 - I TUOI 6 NUMERI'!$B$14)-1)))</f>
        <v/>
      </c>
      <c r="J35" s="23">
        <f>MAX(0,J34-(IF(I34&lt;=0,0,(18000*(1+'1 - I TUOI 6 NUMERI'!$B$14)^13)/(1-'1 - I TUOI 6 NUMERI'!$B$15*(IF(I34&lt;=0,0,MEDIAN(0,(I34-J34)/I34,1))))))*(1-(IF(I34&lt;=0,0,MEDIAN(0,(I34-J34)/I34,1)))))</f>
        <v/>
      </c>
      <c r="K35" s="23">
        <f>IF(K34&lt;=0,0,(K34-(IF(K34&lt;=0,0,(18000*(1+'1 - I TUOI 6 NUMERI'!$B$14)^13)/(1-'1 - I TUOI 6 NUMERI'!$B$15*(IF(K34&lt;=0,0,MEDIAN(0,(K34-L34)/K34,1))))))-(IF(K34&lt;=0,0,'1 - I TUOI 6 NUMERI'!$B$16*K34)))*(1+((1+0.05)*(1+'1 - I TUOI 6 NUMERI'!$B$14)-1)))</f>
        <v/>
      </c>
      <c r="L35" s="23">
        <f>MAX(0,L34-(IF(K34&lt;=0,0,(18000*(1+'1 - I TUOI 6 NUMERI'!$B$14)^13)/(1-'1 - I TUOI 6 NUMERI'!$B$15*(IF(K34&lt;=0,0,MEDIAN(0,(K34-L34)/K34,1))))))*(1-(IF(K34&lt;=0,0,MEDIAN(0,(K34-L34)/K34,1)))))</f>
        <v/>
      </c>
      <c r="M35" s="23">
        <f>IF(M34&lt;=0,0,(M34-(IF(M34&lt;=0,0,(24000*(1+'1 - I TUOI 6 NUMERI'!$B$14)^13)/(1-'1 - I TUOI 6 NUMERI'!$B$15*(IF(M34&lt;=0,0,MEDIAN(0,(M34-N34)/M34,1))))))-(IF(M34&lt;=0,0,'1 - I TUOI 6 NUMERI'!$B$16*M34)))*(1+((1+0.01)*(1+'1 - I TUOI 6 NUMERI'!$B$14)-1)))</f>
        <v/>
      </c>
      <c r="N35" s="23">
        <f>MAX(0,N34-(IF(M34&lt;=0,0,(24000*(1+'1 - I TUOI 6 NUMERI'!$B$14)^13)/(1-'1 - I TUOI 6 NUMERI'!$B$15*(IF(M34&lt;=0,0,MEDIAN(0,(M34-N34)/M34,1))))))*(1-(IF(M34&lt;=0,0,MEDIAN(0,(M34-N34)/M34,1)))))</f>
        <v/>
      </c>
      <c r="O35" s="23">
        <f>IF(O34&lt;=0,0,(O34-(IF(O34&lt;=0,0,(24000*(1+'1 - I TUOI 6 NUMERI'!$B$14)^13)/(1-'1 - I TUOI 6 NUMERI'!$B$15*(IF(O34&lt;=0,0,MEDIAN(0,(O34-P34)/O34,1))))))-(IF(O34&lt;=0,0,'1 - I TUOI 6 NUMERI'!$B$16*O34)))*(1+((1+0.03)*(1+'1 - I TUOI 6 NUMERI'!$B$14)-1)))</f>
        <v/>
      </c>
      <c r="P35" s="23">
        <f>MAX(0,P34-(IF(O34&lt;=0,0,(24000*(1+'1 - I TUOI 6 NUMERI'!$B$14)^13)/(1-'1 - I TUOI 6 NUMERI'!$B$15*(IF(O34&lt;=0,0,MEDIAN(0,(O34-P34)/O34,1))))))*(1-(IF(O34&lt;=0,0,MEDIAN(0,(O34-P34)/O34,1)))))</f>
        <v/>
      </c>
      <c r="Q35" s="23">
        <f>IF(Q34&lt;=0,0,(Q34-(IF(Q34&lt;=0,0,(24000*(1+'1 - I TUOI 6 NUMERI'!$B$14)^13)/(1-'1 - I TUOI 6 NUMERI'!$B$15*(IF(Q34&lt;=0,0,MEDIAN(0,(Q34-R34)/Q34,1))))))-(IF(Q34&lt;=0,0,'1 - I TUOI 6 NUMERI'!$B$16*Q34)))*(1+((1+0.05)*(1+'1 - I TUOI 6 NUMERI'!$B$14)-1)))</f>
        <v/>
      </c>
      <c r="R35" s="23">
        <f>MAX(0,R34-(IF(Q34&lt;=0,0,(24000*(1+'1 - I TUOI 6 NUMERI'!$B$14)^13)/(1-'1 - I TUOI 6 NUMERI'!$B$15*(IF(Q34&lt;=0,0,MEDIAN(0,(Q34-R34)/Q34,1))))))*(1-(IF(Q34&lt;=0,0,MEDIAN(0,(Q34-R34)/Q34,1)))))</f>
        <v/>
      </c>
      <c r="S35" s="23">
        <f>IF(S34&lt;=0,0,(S34-(IF(S34&lt;=0,0,(30000*(1+'1 - I TUOI 6 NUMERI'!$B$14)^13)/(1-'1 - I TUOI 6 NUMERI'!$B$15*(IF(S34&lt;=0,0,MEDIAN(0,(S34-T34)/S34,1))))))-(IF(S34&lt;=0,0,'1 - I TUOI 6 NUMERI'!$B$16*S34)))*(1+((1+0.01)*(1+'1 - I TUOI 6 NUMERI'!$B$14)-1)))</f>
        <v/>
      </c>
      <c r="T35" s="23">
        <f>MAX(0,T34-(IF(S34&lt;=0,0,(30000*(1+'1 - I TUOI 6 NUMERI'!$B$14)^13)/(1-'1 - I TUOI 6 NUMERI'!$B$15*(IF(S34&lt;=0,0,MEDIAN(0,(S34-T34)/S34,1))))))*(1-(IF(S34&lt;=0,0,MEDIAN(0,(S34-T34)/S34,1)))))</f>
        <v/>
      </c>
      <c r="U35" s="23">
        <f>IF(U34&lt;=0,0,(U34-(IF(U34&lt;=0,0,(30000*(1+'1 - I TUOI 6 NUMERI'!$B$14)^13)/(1-'1 - I TUOI 6 NUMERI'!$B$15*(IF(U34&lt;=0,0,MEDIAN(0,(U34-V34)/U34,1))))))-(IF(U34&lt;=0,0,'1 - I TUOI 6 NUMERI'!$B$16*U34)))*(1+((1+0.03)*(1+'1 - I TUOI 6 NUMERI'!$B$14)-1)))</f>
        <v/>
      </c>
      <c r="V35" s="23">
        <f>MAX(0,V34-(IF(U34&lt;=0,0,(30000*(1+'1 - I TUOI 6 NUMERI'!$B$14)^13)/(1-'1 - I TUOI 6 NUMERI'!$B$15*(IF(U34&lt;=0,0,MEDIAN(0,(U34-V34)/U34,1))))))*(1-(IF(U34&lt;=0,0,MEDIAN(0,(U34-V34)/U34,1)))))</f>
        <v/>
      </c>
      <c r="W35" s="23">
        <f>IF(W34&lt;=0,0,(W34-(IF(W34&lt;=0,0,(30000*(1+'1 - I TUOI 6 NUMERI'!$B$14)^13)/(1-'1 - I TUOI 6 NUMERI'!$B$15*(IF(W34&lt;=0,0,MEDIAN(0,(W34-X34)/W34,1))))))-(IF(W34&lt;=0,0,'1 - I TUOI 6 NUMERI'!$B$16*W34)))*(1+((1+0.05)*(1+'1 - I TUOI 6 NUMERI'!$B$14)-1)))</f>
        <v/>
      </c>
      <c r="X35" s="23">
        <f>MAX(0,X34-(IF(W34&lt;=0,0,(30000*(1+'1 - I TUOI 6 NUMERI'!$B$14)^13)/(1-'1 - I TUOI 6 NUMERI'!$B$15*(IF(W34&lt;=0,0,MEDIAN(0,(W34-X34)/W34,1))))))*(1-(IF(W34&lt;=0,0,MEDIAN(0,(W34-X34)/W34,1)))))</f>
        <v/>
      </c>
      <c r="Y35" s="23">
        <f>IF(Y34&lt;=0,0,(Y34-(IF(Y34&lt;=0,0,(36000*(1+'1 - I TUOI 6 NUMERI'!$B$14)^13)/(1-'1 - I TUOI 6 NUMERI'!$B$15*(IF(Y34&lt;=0,0,MEDIAN(0,(Y34-Z34)/Y34,1))))))-(IF(Y34&lt;=0,0,'1 - I TUOI 6 NUMERI'!$B$16*Y34)))*(1+((1+0.01)*(1+'1 - I TUOI 6 NUMERI'!$B$14)-1)))</f>
        <v/>
      </c>
      <c r="Z35" s="23">
        <f>MAX(0,Z34-(IF(Y34&lt;=0,0,(36000*(1+'1 - I TUOI 6 NUMERI'!$B$14)^13)/(1-'1 - I TUOI 6 NUMERI'!$B$15*(IF(Y34&lt;=0,0,MEDIAN(0,(Y34-Z34)/Y34,1))))))*(1-(IF(Y34&lt;=0,0,MEDIAN(0,(Y34-Z34)/Y34,1)))))</f>
        <v/>
      </c>
      <c r="AA35" s="23">
        <f>IF(AA34&lt;=0,0,(AA34-(IF(AA34&lt;=0,0,(36000*(1+'1 - I TUOI 6 NUMERI'!$B$14)^13)/(1-'1 - I TUOI 6 NUMERI'!$B$15*(IF(AA34&lt;=0,0,MEDIAN(0,(AA34-AB34)/AA34,1))))))-(IF(AA34&lt;=0,0,'1 - I TUOI 6 NUMERI'!$B$16*AA34)))*(1+((1+0.03)*(1+'1 - I TUOI 6 NUMERI'!$B$14)-1)))</f>
        <v/>
      </c>
      <c r="AB35" s="23">
        <f>MAX(0,AB34-(IF(AA34&lt;=0,0,(36000*(1+'1 - I TUOI 6 NUMERI'!$B$14)^13)/(1-'1 - I TUOI 6 NUMERI'!$B$15*(IF(AA34&lt;=0,0,MEDIAN(0,(AA34-AB34)/AA34,1))))))*(1-(IF(AA34&lt;=0,0,MEDIAN(0,(AA34-AB34)/AA34,1)))))</f>
        <v/>
      </c>
      <c r="AC35" s="23">
        <f>IF(AC34&lt;=0,0,(AC34-(IF(AC34&lt;=0,0,(36000*(1+'1 - I TUOI 6 NUMERI'!$B$14)^13)/(1-'1 - I TUOI 6 NUMERI'!$B$15*(IF(AC34&lt;=0,0,MEDIAN(0,(AC34-AD34)/AC34,1))))))-(IF(AC34&lt;=0,0,'1 - I TUOI 6 NUMERI'!$B$16*AC34)))*(1+((1+0.05)*(1+'1 - I TUOI 6 NUMERI'!$B$14)-1)))</f>
        <v/>
      </c>
      <c r="AD35" s="23">
        <f>MAX(0,AD34-(IF(AC34&lt;=0,0,(36000*(1+'1 - I TUOI 6 NUMERI'!$B$14)^13)/(1-'1 - I TUOI 6 NUMERI'!$B$15*(IF(AC34&lt;=0,0,MEDIAN(0,(AC34-AD34)/AC34,1))))))*(1-(IF(AC34&lt;=0,0,MEDIAN(0,(AC34-AD34)/AC34,1)))))</f>
        <v/>
      </c>
    </row>
    <row r="36">
      <c r="F36" s="6" t="n">
        <v>14</v>
      </c>
      <c r="G36" s="23">
        <f>IF(G35&lt;=0,0,(G35-(IF(G35&lt;=0,0,(18000*(1+'1 - I TUOI 6 NUMERI'!$B$14)^14)/(1-'1 - I TUOI 6 NUMERI'!$B$15*(IF(G35&lt;=0,0,MEDIAN(0,(G35-H35)/G35,1))))))-(IF(G35&lt;=0,0,'1 - I TUOI 6 NUMERI'!$B$16*G35)))*(1+((1+0.01)*(1+'1 - I TUOI 6 NUMERI'!$B$14)-1)))</f>
        <v/>
      </c>
      <c r="H36" s="23">
        <f>MAX(0,H35-(IF(G35&lt;=0,0,(18000*(1+'1 - I TUOI 6 NUMERI'!$B$14)^14)/(1-'1 - I TUOI 6 NUMERI'!$B$15*(IF(G35&lt;=0,0,MEDIAN(0,(G35-H35)/G35,1))))))*(1-(IF(G35&lt;=0,0,MEDIAN(0,(G35-H35)/G35,1)))))</f>
        <v/>
      </c>
      <c r="I36" s="23">
        <f>IF(I35&lt;=0,0,(I35-(IF(I35&lt;=0,0,(18000*(1+'1 - I TUOI 6 NUMERI'!$B$14)^14)/(1-'1 - I TUOI 6 NUMERI'!$B$15*(IF(I35&lt;=0,0,MEDIAN(0,(I35-J35)/I35,1))))))-(IF(I35&lt;=0,0,'1 - I TUOI 6 NUMERI'!$B$16*I35)))*(1+((1+0.03)*(1+'1 - I TUOI 6 NUMERI'!$B$14)-1)))</f>
        <v/>
      </c>
      <c r="J36" s="23">
        <f>MAX(0,J35-(IF(I35&lt;=0,0,(18000*(1+'1 - I TUOI 6 NUMERI'!$B$14)^14)/(1-'1 - I TUOI 6 NUMERI'!$B$15*(IF(I35&lt;=0,0,MEDIAN(0,(I35-J35)/I35,1))))))*(1-(IF(I35&lt;=0,0,MEDIAN(0,(I35-J35)/I35,1)))))</f>
        <v/>
      </c>
      <c r="K36" s="23">
        <f>IF(K35&lt;=0,0,(K35-(IF(K35&lt;=0,0,(18000*(1+'1 - I TUOI 6 NUMERI'!$B$14)^14)/(1-'1 - I TUOI 6 NUMERI'!$B$15*(IF(K35&lt;=0,0,MEDIAN(0,(K35-L35)/K35,1))))))-(IF(K35&lt;=0,0,'1 - I TUOI 6 NUMERI'!$B$16*K35)))*(1+((1+0.05)*(1+'1 - I TUOI 6 NUMERI'!$B$14)-1)))</f>
        <v/>
      </c>
      <c r="L36" s="23">
        <f>MAX(0,L35-(IF(K35&lt;=0,0,(18000*(1+'1 - I TUOI 6 NUMERI'!$B$14)^14)/(1-'1 - I TUOI 6 NUMERI'!$B$15*(IF(K35&lt;=0,0,MEDIAN(0,(K35-L35)/K35,1))))))*(1-(IF(K35&lt;=0,0,MEDIAN(0,(K35-L35)/K35,1)))))</f>
        <v/>
      </c>
      <c r="M36" s="23">
        <f>IF(M35&lt;=0,0,(M35-(IF(M35&lt;=0,0,(24000*(1+'1 - I TUOI 6 NUMERI'!$B$14)^14)/(1-'1 - I TUOI 6 NUMERI'!$B$15*(IF(M35&lt;=0,0,MEDIAN(0,(M35-N35)/M35,1))))))-(IF(M35&lt;=0,0,'1 - I TUOI 6 NUMERI'!$B$16*M35)))*(1+((1+0.01)*(1+'1 - I TUOI 6 NUMERI'!$B$14)-1)))</f>
        <v/>
      </c>
      <c r="N36" s="23">
        <f>MAX(0,N35-(IF(M35&lt;=0,0,(24000*(1+'1 - I TUOI 6 NUMERI'!$B$14)^14)/(1-'1 - I TUOI 6 NUMERI'!$B$15*(IF(M35&lt;=0,0,MEDIAN(0,(M35-N35)/M35,1))))))*(1-(IF(M35&lt;=0,0,MEDIAN(0,(M35-N35)/M35,1)))))</f>
        <v/>
      </c>
      <c r="O36" s="23">
        <f>IF(O35&lt;=0,0,(O35-(IF(O35&lt;=0,0,(24000*(1+'1 - I TUOI 6 NUMERI'!$B$14)^14)/(1-'1 - I TUOI 6 NUMERI'!$B$15*(IF(O35&lt;=0,0,MEDIAN(0,(O35-P35)/O35,1))))))-(IF(O35&lt;=0,0,'1 - I TUOI 6 NUMERI'!$B$16*O35)))*(1+((1+0.03)*(1+'1 - I TUOI 6 NUMERI'!$B$14)-1)))</f>
        <v/>
      </c>
      <c r="P36" s="23">
        <f>MAX(0,P35-(IF(O35&lt;=0,0,(24000*(1+'1 - I TUOI 6 NUMERI'!$B$14)^14)/(1-'1 - I TUOI 6 NUMERI'!$B$15*(IF(O35&lt;=0,0,MEDIAN(0,(O35-P35)/O35,1))))))*(1-(IF(O35&lt;=0,0,MEDIAN(0,(O35-P35)/O35,1)))))</f>
        <v/>
      </c>
      <c r="Q36" s="23">
        <f>IF(Q35&lt;=0,0,(Q35-(IF(Q35&lt;=0,0,(24000*(1+'1 - I TUOI 6 NUMERI'!$B$14)^14)/(1-'1 - I TUOI 6 NUMERI'!$B$15*(IF(Q35&lt;=0,0,MEDIAN(0,(Q35-R35)/Q35,1))))))-(IF(Q35&lt;=0,0,'1 - I TUOI 6 NUMERI'!$B$16*Q35)))*(1+((1+0.05)*(1+'1 - I TUOI 6 NUMERI'!$B$14)-1)))</f>
        <v/>
      </c>
      <c r="R36" s="23">
        <f>MAX(0,R35-(IF(Q35&lt;=0,0,(24000*(1+'1 - I TUOI 6 NUMERI'!$B$14)^14)/(1-'1 - I TUOI 6 NUMERI'!$B$15*(IF(Q35&lt;=0,0,MEDIAN(0,(Q35-R35)/Q35,1))))))*(1-(IF(Q35&lt;=0,0,MEDIAN(0,(Q35-R35)/Q35,1)))))</f>
        <v/>
      </c>
      <c r="S36" s="23">
        <f>IF(S35&lt;=0,0,(S35-(IF(S35&lt;=0,0,(30000*(1+'1 - I TUOI 6 NUMERI'!$B$14)^14)/(1-'1 - I TUOI 6 NUMERI'!$B$15*(IF(S35&lt;=0,0,MEDIAN(0,(S35-T35)/S35,1))))))-(IF(S35&lt;=0,0,'1 - I TUOI 6 NUMERI'!$B$16*S35)))*(1+((1+0.01)*(1+'1 - I TUOI 6 NUMERI'!$B$14)-1)))</f>
        <v/>
      </c>
      <c r="T36" s="23">
        <f>MAX(0,T35-(IF(S35&lt;=0,0,(30000*(1+'1 - I TUOI 6 NUMERI'!$B$14)^14)/(1-'1 - I TUOI 6 NUMERI'!$B$15*(IF(S35&lt;=0,0,MEDIAN(0,(S35-T35)/S35,1))))))*(1-(IF(S35&lt;=0,0,MEDIAN(0,(S35-T35)/S35,1)))))</f>
        <v/>
      </c>
      <c r="U36" s="23">
        <f>IF(U35&lt;=0,0,(U35-(IF(U35&lt;=0,0,(30000*(1+'1 - I TUOI 6 NUMERI'!$B$14)^14)/(1-'1 - I TUOI 6 NUMERI'!$B$15*(IF(U35&lt;=0,0,MEDIAN(0,(U35-V35)/U35,1))))))-(IF(U35&lt;=0,0,'1 - I TUOI 6 NUMERI'!$B$16*U35)))*(1+((1+0.03)*(1+'1 - I TUOI 6 NUMERI'!$B$14)-1)))</f>
        <v/>
      </c>
      <c r="V36" s="23">
        <f>MAX(0,V35-(IF(U35&lt;=0,0,(30000*(1+'1 - I TUOI 6 NUMERI'!$B$14)^14)/(1-'1 - I TUOI 6 NUMERI'!$B$15*(IF(U35&lt;=0,0,MEDIAN(0,(U35-V35)/U35,1))))))*(1-(IF(U35&lt;=0,0,MEDIAN(0,(U35-V35)/U35,1)))))</f>
        <v/>
      </c>
      <c r="W36" s="23">
        <f>IF(W35&lt;=0,0,(W35-(IF(W35&lt;=0,0,(30000*(1+'1 - I TUOI 6 NUMERI'!$B$14)^14)/(1-'1 - I TUOI 6 NUMERI'!$B$15*(IF(W35&lt;=0,0,MEDIAN(0,(W35-X35)/W35,1))))))-(IF(W35&lt;=0,0,'1 - I TUOI 6 NUMERI'!$B$16*W35)))*(1+((1+0.05)*(1+'1 - I TUOI 6 NUMERI'!$B$14)-1)))</f>
        <v/>
      </c>
      <c r="X36" s="23">
        <f>MAX(0,X35-(IF(W35&lt;=0,0,(30000*(1+'1 - I TUOI 6 NUMERI'!$B$14)^14)/(1-'1 - I TUOI 6 NUMERI'!$B$15*(IF(W35&lt;=0,0,MEDIAN(0,(W35-X35)/W35,1))))))*(1-(IF(W35&lt;=0,0,MEDIAN(0,(W35-X35)/W35,1)))))</f>
        <v/>
      </c>
      <c r="Y36" s="23">
        <f>IF(Y35&lt;=0,0,(Y35-(IF(Y35&lt;=0,0,(36000*(1+'1 - I TUOI 6 NUMERI'!$B$14)^14)/(1-'1 - I TUOI 6 NUMERI'!$B$15*(IF(Y35&lt;=0,0,MEDIAN(0,(Y35-Z35)/Y35,1))))))-(IF(Y35&lt;=0,0,'1 - I TUOI 6 NUMERI'!$B$16*Y35)))*(1+((1+0.01)*(1+'1 - I TUOI 6 NUMERI'!$B$14)-1)))</f>
        <v/>
      </c>
      <c r="Z36" s="23">
        <f>MAX(0,Z35-(IF(Y35&lt;=0,0,(36000*(1+'1 - I TUOI 6 NUMERI'!$B$14)^14)/(1-'1 - I TUOI 6 NUMERI'!$B$15*(IF(Y35&lt;=0,0,MEDIAN(0,(Y35-Z35)/Y35,1))))))*(1-(IF(Y35&lt;=0,0,MEDIAN(0,(Y35-Z35)/Y35,1)))))</f>
        <v/>
      </c>
      <c r="AA36" s="23">
        <f>IF(AA35&lt;=0,0,(AA35-(IF(AA35&lt;=0,0,(36000*(1+'1 - I TUOI 6 NUMERI'!$B$14)^14)/(1-'1 - I TUOI 6 NUMERI'!$B$15*(IF(AA35&lt;=0,0,MEDIAN(0,(AA35-AB35)/AA35,1))))))-(IF(AA35&lt;=0,0,'1 - I TUOI 6 NUMERI'!$B$16*AA35)))*(1+((1+0.03)*(1+'1 - I TUOI 6 NUMERI'!$B$14)-1)))</f>
        <v/>
      </c>
      <c r="AB36" s="23">
        <f>MAX(0,AB35-(IF(AA35&lt;=0,0,(36000*(1+'1 - I TUOI 6 NUMERI'!$B$14)^14)/(1-'1 - I TUOI 6 NUMERI'!$B$15*(IF(AA35&lt;=0,0,MEDIAN(0,(AA35-AB35)/AA35,1))))))*(1-(IF(AA35&lt;=0,0,MEDIAN(0,(AA35-AB35)/AA35,1)))))</f>
        <v/>
      </c>
      <c r="AC36" s="23">
        <f>IF(AC35&lt;=0,0,(AC35-(IF(AC35&lt;=0,0,(36000*(1+'1 - I TUOI 6 NUMERI'!$B$14)^14)/(1-'1 - I TUOI 6 NUMERI'!$B$15*(IF(AC35&lt;=0,0,MEDIAN(0,(AC35-AD35)/AC35,1))))))-(IF(AC35&lt;=0,0,'1 - I TUOI 6 NUMERI'!$B$16*AC35)))*(1+((1+0.05)*(1+'1 - I TUOI 6 NUMERI'!$B$14)-1)))</f>
        <v/>
      </c>
      <c r="AD36" s="23">
        <f>MAX(0,AD35-(IF(AC35&lt;=0,0,(36000*(1+'1 - I TUOI 6 NUMERI'!$B$14)^14)/(1-'1 - I TUOI 6 NUMERI'!$B$15*(IF(AC35&lt;=0,0,MEDIAN(0,(AC35-AD35)/AC35,1))))))*(1-(IF(AC35&lt;=0,0,MEDIAN(0,(AC35-AD35)/AC35,1)))))</f>
        <v/>
      </c>
    </row>
    <row r="37">
      <c r="F37" s="6" t="n">
        <v>15</v>
      </c>
      <c r="G37" s="23">
        <f>IF(G36&lt;=0,0,(G36-(IF(G36&lt;=0,0,(18000*(1+'1 - I TUOI 6 NUMERI'!$B$14)^15)/(1-'1 - I TUOI 6 NUMERI'!$B$15*(IF(G36&lt;=0,0,MEDIAN(0,(G36-H36)/G36,1))))))-(IF(G36&lt;=0,0,'1 - I TUOI 6 NUMERI'!$B$16*G36)))*(1+((1+0.01)*(1+'1 - I TUOI 6 NUMERI'!$B$14)-1)))</f>
        <v/>
      </c>
      <c r="H37" s="23">
        <f>MAX(0,H36-(IF(G36&lt;=0,0,(18000*(1+'1 - I TUOI 6 NUMERI'!$B$14)^15)/(1-'1 - I TUOI 6 NUMERI'!$B$15*(IF(G36&lt;=0,0,MEDIAN(0,(G36-H36)/G36,1))))))*(1-(IF(G36&lt;=0,0,MEDIAN(0,(G36-H36)/G36,1)))))</f>
        <v/>
      </c>
      <c r="I37" s="23">
        <f>IF(I36&lt;=0,0,(I36-(IF(I36&lt;=0,0,(18000*(1+'1 - I TUOI 6 NUMERI'!$B$14)^15)/(1-'1 - I TUOI 6 NUMERI'!$B$15*(IF(I36&lt;=0,0,MEDIAN(0,(I36-J36)/I36,1))))))-(IF(I36&lt;=0,0,'1 - I TUOI 6 NUMERI'!$B$16*I36)))*(1+((1+0.03)*(1+'1 - I TUOI 6 NUMERI'!$B$14)-1)))</f>
        <v/>
      </c>
      <c r="J37" s="23">
        <f>MAX(0,J36-(IF(I36&lt;=0,0,(18000*(1+'1 - I TUOI 6 NUMERI'!$B$14)^15)/(1-'1 - I TUOI 6 NUMERI'!$B$15*(IF(I36&lt;=0,0,MEDIAN(0,(I36-J36)/I36,1))))))*(1-(IF(I36&lt;=0,0,MEDIAN(0,(I36-J36)/I36,1)))))</f>
        <v/>
      </c>
      <c r="K37" s="23">
        <f>IF(K36&lt;=0,0,(K36-(IF(K36&lt;=0,0,(18000*(1+'1 - I TUOI 6 NUMERI'!$B$14)^15)/(1-'1 - I TUOI 6 NUMERI'!$B$15*(IF(K36&lt;=0,0,MEDIAN(0,(K36-L36)/K36,1))))))-(IF(K36&lt;=0,0,'1 - I TUOI 6 NUMERI'!$B$16*K36)))*(1+((1+0.05)*(1+'1 - I TUOI 6 NUMERI'!$B$14)-1)))</f>
        <v/>
      </c>
      <c r="L37" s="23">
        <f>MAX(0,L36-(IF(K36&lt;=0,0,(18000*(1+'1 - I TUOI 6 NUMERI'!$B$14)^15)/(1-'1 - I TUOI 6 NUMERI'!$B$15*(IF(K36&lt;=0,0,MEDIAN(0,(K36-L36)/K36,1))))))*(1-(IF(K36&lt;=0,0,MEDIAN(0,(K36-L36)/K36,1)))))</f>
        <v/>
      </c>
      <c r="M37" s="23">
        <f>IF(M36&lt;=0,0,(M36-(IF(M36&lt;=0,0,(24000*(1+'1 - I TUOI 6 NUMERI'!$B$14)^15)/(1-'1 - I TUOI 6 NUMERI'!$B$15*(IF(M36&lt;=0,0,MEDIAN(0,(M36-N36)/M36,1))))))-(IF(M36&lt;=0,0,'1 - I TUOI 6 NUMERI'!$B$16*M36)))*(1+((1+0.01)*(1+'1 - I TUOI 6 NUMERI'!$B$14)-1)))</f>
        <v/>
      </c>
      <c r="N37" s="23">
        <f>MAX(0,N36-(IF(M36&lt;=0,0,(24000*(1+'1 - I TUOI 6 NUMERI'!$B$14)^15)/(1-'1 - I TUOI 6 NUMERI'!$B$15*(IF(M36&lt;=0,0,MEDIAN(0,(M36-N36)/M36,1))))))*(1-(IF(M36&lt;=0,0,MEDIAN(0,(M36-N36)/M36,1)))))</f>
        <v/>
      </c>
      <c r="O37" s="23">
        <f>IF(O36&lt;=0,0,(O36-(IF(O36&lt;=0,0,(24000*(1+'1 - I TUOI 6 NUMERI'!$B$14)^15)/(1-'1 - I TUOI 6 NUMERI'!$B$15*(IF(O36&lt;=0,0,MEDIAN(0,(O36-P36)/O36,1))))))-(IF(O36&lt;=0,0,'1 - I TUOI 6 NUMERI'!$B$16*O36)))*(1+((1+0.03)*(1+'1 - I TUOI 6 NUMERI'!$B$14)-1)))</f>
        <v/>
      </c>
      <c r="P37" s="23">
        <f>MAX(0,P36-(IF(O36&lt;=0,0,(24000*(1+'1 - I TUOI 6 NUMERI'!$B$14)^15)/(1-'1 - I TUOI 6 NUMERI'!$B$15*(IF(O36&lt;=0,0,MEDIAN(0,(O36-P36)/O36,1))))))*(1-(IF(O36&lt;=0,0,MEDIAN(0,(O36-P36)/O36,1)))))</f>
        <v/>
      </c>
      <c r="Q37" s="23">
        <f>IF(Q36&lt;=0,0,(Q36-(IF(Q36&lt;=0,0,(24000*(1+'1 - I TUOI 6 NUMERI'!$B$14)^15)/(1-'1 - I TUOI 6 NUMERI'!$B$15*(IF(Q36&lt;=0,0,MEDIAN(0,(Q36-R36)/Q36,1))))))-(IF(Q36&lt;=0,0,'1 - I TUOI 6 NUMERI'!$B$16*Q36)))*(1+((1+0.05)*(1+'1 - I TUOI 6 NUMERI'!$B$14)-1)))</f>
        <v/>
      </c>
      <c r="R37" s="23">
        <f>MAX(0,R36-(IF(Q36&lt;=0,0,(24000*(1+'1 - I TUOI 6 NUMERI'!$B$14)^15)/(1-'1 - I TUOI 6 NUMERI'!$B$15*(IF(Q36&lt;=0,0,MEDIAN(0,(Q36-R36)/Q36,1))))))*(1-(IF(Q36&lt;=0,0,MEDIAN(0,(Q36-R36)/Q36,1)))))</f>
        <v/>
      </c>
      <c r="S37" s="23">
        <f>IF(S36&lt;=0,0,(S36-(IF(S36&lt;=0,0,(30000*(1+'1 - I TUOI 6 NUMERI'!$B$14)^15)/(1-'1 - I TUOI 6 NUMERI'!$B$15*(IF(S36&lt;=0,0,MEDIAN(0,(S36-T36)/S36,1))))))-(IF(S36&lt;=0,0,'1 - I TUOI 6 NUMERI'!$B$16*S36)))*(1+((1+0.01)*(1+'1 - I TUOI 6 NUMERI'!$B$14)-1)))</f>
        <v/>
      </c>
      <c r="T37" s="23">
        <f>MAX(0,T36-(IF(S36&lt;=0,0,(30000*(1+'1 - I TUOI 6 NUMERI'!$B$14)^15)/(1-'1 - I TUOI 6 NUMERI'!$B$15*(IF(S36&lt;=0,0,MEDIAN(0,(S36-T36)/S36,1))))))*(1-(IF(S36&lt;=0,0,MEDIAN(0,(S36-T36)/S36,1)))))</f>
        <v/>
      </c>
      <c r="U37" s="23">
        <f>IF(U36&lt;=0,0,(U36-(IF(U36&lt;=0,0,(30000*(1+'1 - I TUOI 6 NUMERI'!$B$14)^15)/(1-'1 - I TUOI 6 NUMERI'!$B$15*(IF(U36&lt;=0,0,MEDIAN(0,(U36-V36)/U36,1))))))-(IF(U36&lt;=0,0,'1 - I TUOI 6 NUMERI'!$B$16*U36)))*(1+((1+0.03)*(1+'1 - I TUOI 6 NUMERI'!$B$14)-1)))</f>
        <v/>
      </c>
      <c r="V37" s="23">
        <f>MAX(0,V36-(IF(U36&lt;=0,0,(30000*(1+'1 - I TUOI 6 NUMERI'!$B$14)^15)/(1-'1 - I TUOI 6 NUMERI'!$B$15*(IF(U36&lt;=0,0,MEDIAN(0,(U36-V36)/U36,1))))))*(1-(IF(U36&lt;=0,0,MEDIAN(0,(U36-V36)/U36,1)))))</f>
        <v/>
      </c>
      <c r="W37" s="23">
        <f>IF(W36&lt;=0,0,(W36-(IF(W36&lt;=0,0,(30000*(1+'1 - I TUOI 6 NUMERI'!$B$14)^15)/(1-'1 - I TUOI 6 NUMERI'!$B$15*(IF(W36&lt;=0,0,MEDIAN(0,(W36-X36)/W36,1))))))-(IF(W36&lt;=0,0,'1 - I TUOI 6 NUMERI'!$B$16*W36)))*(1+((1+0.05)*(1+'1 - I TUOI 6 NUMERI'!$B$14)-1)))</f>
        <v/>
      </c>
      <c r="X37" s="23">
        <f>MAX(0,X36-(IF(W36&lt;=0,0,(30000*(1+'1 - I TUOI 6 NUMERI'!$B$14)^15)/(1-'1 - I TUOI 6 NUMERI'!$B$15*(IF(W36&lt;=0,0,MEDIAN(0,(W36-X36)/W36,1))))))*(1-(IF(W36&lt;=0,0,MEDIAN(0,(W36-X36)/W36,1)))))</f>
        <v/>
      </c>
      <c r="Y37" s="23">
        <f>IF(Y36&lt;=0,0,(Y36-(IF(Y36&lt;=0,0,(36000*(1+'1 - I TUOI 6 NUMERI'!$B$14)^15)/(1-'1 - I TUOI 6 NUMERI'!$B$15*(IF(Y36&lt;=0,0,MEDIAN(0,(Y36-Z36)/Y36,1))))))-(IF(Y36&lt;=0,0,'1 - I TUOI 6 NUMERI'!$B$16*Y36)))*(1+((1+0.01)*(1+'1 - I TUOI 6 NUMERI'!$B$14)-1)))</f>
        <v/>
      </c>
      <c r="Z37" s="23">
        <f>MAX(0,Z36-(IF(Y36&lt;=0,0,(36000*(1+'1 - I TUOI 6 NUMERI'!$B$14)^15)/(1-'1 - I TUOI 6 NUMERI'!$B$15*(IF(Y36&lt;=0,0,MEDIAN(0,(Y36-Z36)/Y36,1))))))*(1-(IF(Y36&lt;=0,0,MEDIAN(0,(Y36-Z36)/Y36,1)))))</f>
        <v/>
      </c>
      <c r="AA37" s="23">
        <f>IF(AA36&lt;=0,0,(AA36-(IF(AA36&lt;=0,0,(36000*(1+'1 - I TUOI 6 NUMERI'!$B$14)^15)/(1-'1 - I TUOI 6 NUMERI'!$B$15*(IF(AA36&lt;=0,0,MEDIAN(0,(AA36-AB36)/AA36,1))))))-(IF(AA36&lt;=0,0,'1 - I TUOI 6 NUMERI'!$B$16*AA36)))*(1+((1+0.03)*(1+'1 - I TUOI 6 NUMERI'!$B$14)-1)))</f>
        <v/>
      </c>
      <c r="AB37" s="23">
        <f>MAX(0,AB36-(IF(AA36&lt;=0,0,(36000*(1+'1 - I TUOI 6 NUMERI'!$B$14)^15)/(1-'1 - I TUOI 6 NUMERI'!$B$15*(IF(AA36&lt;=0,0,MEDIAN(0,(AA36-AB36)/AA36,1))))))*(1-(IF(AA36&lt;=0,0,MEDIAN(0,(AA36-AB36)/AA36,1)))))</f>
        <v/>
      </c>
      <c r="AC37" s="23">
        <f>IF(AC36&lt;=0,0,(AC36-(IF(AC36&lt;=0,0,(36000*(1+'1 - I TUOI 6 NUMERI'!$B$14)^15)/(1-'1 - I TUOI 6 NUMERI'!$B$15*(IF(AC36&lt;=0,0,MEDIAN(0,(AC36-AD36)/AC36,1))))))-(IF(AC36&lt;=0,0,'1 - I TUOI 6 NUMERI'!$B$16*AC36)))*(1+((1+0.05)*(1+'1 - I TUOI 6 NUMERI'!$B$14)-1)))</f>
        <v/>
      </c>
      <c r="AD37" s="23">
        <f>MAX(0,AD36-(IF(AC36&lt;=0,0,(36000*(1+'1 - I TUOI 6 NUMERI'!$B$14)^15)/(1-'1 - I TUOI 6 NUMERI'!$B$15*(IF(AC36&lt;=0,0,MEDIAN(0,(AC36-AD36)/AC36,1))))))*(1-(IF(AC36&lt;=0,0,MEDIAN(0,(AC36-AD36)/AC36,1)))))</f>
        <v/>
      </c>
    </row>
    <row r="38">
      <c r="F38" s="6" t="n">
        <v>16</v>
      </c>
      <c r="G38" s="23">
        <f>IF(G37&lt;=0,0,(G37-(IF(G37&lt;=0,0,(18000*(1+'1 - I TUOI 6 NUMERI'!$B$14)^16)/(1-'1 - I TUOI 6 NUMERI'!$B$15*(IF(G37&lt;=0,0,MEDIAN(0,(G37-H37)/G37,1))))))-(IF(G37&lt;=0,0,'1 - I TUOI 6 NUMERI'!$B$16*G37)))*(1+((1+0.01)*(1+'1 - I TUOI 6 NUMERI'!$B$14)-1)))</f>
        <v/>
      </c>
      <c r="H38" s="23">
        <f>MAX(0,H37-(IF(G37&lt;=0,0,(18000*(1+'1 - I TUOI 6 NUMERI'!$B$14)^16)/(1-'1 - I TUOI 6 NUMERI'!$B$15*(IF(G37&lt;=0,0,MEDIAN(0,(G37-H37)/G37,1))))))*(1-(IF(G37&lt;=0,0,MEDIAN(0,(G37-H37)/G37,1)))))</f>
        <v/>
      </c>
      <c r="I38" s="23">
        <f>IF(I37&lt;=0,0,(I37-(IF(I37&lt;=0,0,(18000*(1+'1 - I TUOI 6 NUMERI'!$B$14)^16)/(1-'1 - I TUOI 6 NUMERI'!$B$15*(IF(I37&lt;=0,0,MEDIAN(0,(I37-J37)/I37,1))))))-(IF(I37&lt;=0,0,'1 - I TUOI 6 NUMERI'!$B$16*I37)))*(1+((1+0.03)*(1+'1 - I TUOI 6 NUMERI'!$B$14)-1)))</f>
        <v/>
      </c>
      <c r="J38" s="23">
        <f>MAX(0,J37-(IF(I37&lt;=0,0,(18000*(1+'1 - I TUOI 6 NUMERI'!$B$14)^16)/(1-'1 - I TUOI 6 NUMERI'!$B$15*(IF(I37&lt;=0,0,MEDIAN(0,(I37-J37)/I37,1))))))*(1-(IF(I37&lt;=0,0,MEDIAN(0,(I37-J37)/I37,1)))))</f>
        <v/>
      </c>
      <c r="K38" s="23">
        <f>IF(K37&lt;=0,0,(K37-(IF(K37&lt;=0,0,(18000*(1+'1 - I TUOI 6 NUMERI'!$B$14)^16)/(1-'1 - I TUOI 6 NUMERI'!$B$15*(IF(K37&lt;=0,0,MEDIAN(0,(K37-L37)/K37,1))))))-(IF(K37&lt;=0,0,'1 - I TUOI 6 NUMERI'!$B$16*K37)))*(1+((1+0.05)*(1+'1 - I TUOI 6 NUMERI'!$B$14)-1)))</f>
        <v/>
      </c>
      <c r="L38" s="23">
        <f>MAX(0,L37-(IF(K37&lt;=0,0,(18000*(1+'1 - I TUOI 6 NUMERI'!$B$14)^16)/(1-'1 - I TUOI 6 NUMERI'!$B$15*(IF(K37&lt;=0,0,MEDIAN(0,(K37-L37)/K37,1))))))*(1-(IF(K37&lt;=0,0,MEDIAN(0,(K37-L37)/K37,1)))))</f>
        <v/>
      </c>
      <c r="M38" s="23">
        <f>IF(M37&lt;=0,0,(M37-(IF(M37&lt;=0,0,(24000*(1+'1 - I TUOI 6 NUMERI'!$B$14)^16)/(1-'1 - I TUOI 6 NUMERI'!$B$15*(IF(M37&lt;=0,0,MEDIAN(0,(M37-N37)/M37,1))))))-(IF(M37&lt;=0,0,'1 - I TUOI 6 NUMERI'!$B$16*M37)))*(1+((1+0.01)*(1+'1 - I TUOI 6 NUMERI'!$B$14)-1)))</f>
        <v/>
      </c>
      <c r="N38" s="23">
        <f>MAX(0,N37-(IF(M37&lt;=0,0,(24000*(1+'1 - I TUOI 6 NUMERI'!$B$14)^16)/(1-'1 - I TUOI 6 NUMERI'!$B$15*(IF(M37&lt;=0,0,MEDIAN(0,(M37-N37)/M37,1))))))*(1-(IF(M37&lt;=0,0,MEDIAN(0,(M37-N37)/M37,1)))))</f>
        <v/>
      </c>
      <c r="O38" s="23">
        <f>IF(O37&lt;=0,0,(O37-(IF(O37&lt;=0,0,(24000*(1+'1 - I TUOI 6 NUMERI'!$B$14)^16)/(1-'1 - I TUOI 6 NUMERI'!$B$15*(IF(O37&lt;=0,0,MEDIAN(0,(O37-P37)/O37,1))))))-(IF(O37&lt;=0,0,'1 - I TUOI 6 NUMERI'!$B$16*O37)))*(1+((1+0.03)*(1+'1 - I TUOI 6 NUMERI'!$B$14)-1)))</f>
        <v/>
      </c>
      <c r="P38" s="23">
        <f>MAX(0,P37-(IF(O37&lt;=0,0,(24000*(1+'1 - I TUOI 6 NUMERI'!$B$14)^16)/(1-'1 - I TUOI 6 NUMERI'!$B$15*(IF(O37&lt;=0,0,MEDIAN(0,(O37-P37)/O37,1))))))*(1-(IF(O37&lt;=0,0,MEDIAN(0,(O37-P37)/O37,1)))))</f>
        <v/>
      </c>
      <c r="Q38" s="23">
        <f>IF(Q37&lt;=0,0,(Q37-(IF(Q37&lt;=0,0,(24000*(1+'1 - I TUOI 6 NUMERI'!$B$14)^16)/(1-'1 - I TUOI 6 NUMERI'!$B$15*(IF(Q37&lt;=0,0,MEDIAN(0,(Q37-R37)/Q37,1))))))-(IF(Q37&lt;=0,0,'1 - I TUOI 6 NUMERI'!$B$16*Q37)))*(1+((1+0.05)*(1+'1 - I TUOI 6 NUMERI'!$B$14)-1)))</f>
        <v/>
      </c>
      <c r="R38" s="23">
        <f>MAX(0,R37-(IF(Q37&lt;=0,0,(24000*(1+'1 - I TUOI 6 NUMERI'!$B$14)^16)/(1-'1 - I TUOI 6 NUMERI'!$B$15*(IF(Q37&lt;=0,0,MEDIAN(0,(Q37-R37)/Q37,1))))))*(1-(IF(Q37&lt;=0,0,MEDIAN(0,(Q37-R37)/Q37,1)))))</f>
        <v/>
      </c>
      <c r="S38" s="23">
        <f>IF(S37&lt;=0,0,(S37-(IF(S37&lt;=0,0,(30000*(1+'1 - I TUOI 6 NUMERI'!$B$14)^16)/(1-'1 - I TUOI 6 NUMERI'!$B$15*(IF(S37&lt;=0,0,MEDIAN(0,(S37-T37)/S37,1))))))-(IF(S37&lt;=0,0,'1 - I TUOI 6 NUMERI'!$B$16*S37)))*(1+((1+0.01)*(1+'1 - I TUOI 6 NUMERI'!$B$14)-1)))</f>
        <v/>
      </c>
      <c r="T38" s="23">
        <f>MAX(0,T37-(IF(S37&lt;=0,0,(30000*(1+'1 - I TUOI 6 NUMERI'!$B$14)^16)/(1-'1 - I TUOI 6 NUMERI'!$B$15*(IF(S37&lt;=0,0,MEDIAN(0,(S37-T37)/S37,1))))))*(1-(IF(S37&lt;=0,0,MEDIAN(0,(S37-T37)/S37,1)))))</f>
        <v/>
      </c>
      <c r="U38" s="23">
        <f>IF(U37&lt;=0,0,(U37-(IF(U37&lt;=0,0,(30000*(1+'1 - I TUOI 6 NUMERI'!$B$14)^16)/(1-'1 - I TUOI 6 NUMERI'!$B$15*(IF(U37&lt;=0,0,MEDIAN(0,(U37-V37)/U37,1))))))-(IF(U37&lt;=0,0,'1 - I TUOI 6 NUMERI'!$B$16*U37)))*(1+((1+0.03)*(1+'1 - I TUOI 6 NUMERI'!$B$14)-1)))</f>
        <v/>
      </c>
      <c r="V38" s="23">
        <f>MAX(0,V37-(IF(U37&lt;=0,0,(30000*(1+'1 - I TUOI 6 NUMERI'!$B$14)^16)/(1-'1 - I TUOI 6 NUMERI'!$B$15*(IF(U37&lt;=0,0,MEDIAN(0,(U37-V37)/U37,1))))))*(1-(IF(U37&lt;=0,0,MEDIAN(0,(U37-V37)/U37,1)))))</f>
        <v/>
      </c>
      <c r="W38" s="23">
        <f>IF(W37&lt;=0,0,(W37-(IF(W37&lt;=0,0,(30000*(1+'1 - I TUOI 6 NUMERI'!$B$14)^16)/(1-'1 - I TUOI 6 NUMERI'!$B$15*(IF(W37&lt;=0,0,MEDIAN(0,(W37-X37)/W37,1))))))-(IF(W37&lt;=0,0,'1 - I TUOI 6 NUMERI'!$B$16*W37)))*(1+((1+0.05)*(1+'1 - I TUOI 6 NUMERI'!$B$14)-1)))</f>
        <v/>
      </c>
      <c r="X38" s="23">
        <f>MAX(0,X37-(IF(W37&lt;=0,0,(30000*(1+'1 - I TUOI 6 NUMERI'!$B$14)^16)/(1-'1 - I TUOI 6 NUMERI'!$B$15*(IF(W37&lt;=0,0,MEDIAN(0,(W37-X37)/W37,1))))))*(1-(IF(W37&lt;=0,0,MEDIAN(0,(W37-X37)/W37,1)))))</f>
        <v/>
      </c>
      <c r="Y38" s="23">
        <f>IF(Y37&lt;=0,0,(Y37-(IF(Y37&lt;=0,0,(36000*(1+'1 - I TUOI 6 NUMERI'!$B$14)^16)/(1-'1 - I TUOI 6 NUMERI'!$B$15*(IF(Y37&lt;=0,0,MEDIAN(0,(Y37-Z37)/Y37,1))))))-(IF(Y37&lt;=0,0,'1 - I TUOI 6 NUMERI'!$B$16*Y37)))*(1+((1+0.01)*(1+'1 - I TUOI 6 NUMERI'!$B$14)-1)))</f>
        <v/>
      </c>
      <c r="Z38" s="23">
        <f>MAX(0,Z37-(IF(Y37&lt;=0,0,(36000*(1+'1 - I TUOI 6 NUMERI'!$B$14)^16)/(1-'1 - I TUOI 6 NUMERI'!$B$15*(IF(Y37&lt;=0,0,MEDIAN(0,(Y37-Z37)/Y37,1))))))*(1-(IF(Y37&lt;=0,0,MEDIAN(0,(Y37-Z37)/Y37,1)))))</f>
        <v/>
      </c>
      <c r="AA38" s="23">
        <f>IF(AA37&lt;=0,0,(AA37-(IF(AA37&lt;=0,0,(36000*(1+'1 - I TUOI 6 NUMERI'!$B$14)^16)/(1-'1 - I TUOI 6 NUMERI'!$B$15*(IF(AA37&lt;=0,0,MEDIAN(0,(AA37-AB37)/AA37,1))))))-(IF(AA37&lt;=0,0,'1 - I TUOI 6 NUMERI'!$B$16*AA37)))*(1+((1+0.03)*(1+'1 - I TUOI 6 NUMERI'!$B$14)-1)))</f>
        <v/>
      </c>
      <c r="AB38" s="23">
        <f>MAX(0,AB37-(IF(AA37&lt;=0,0,(36000*(1+'1 - I TUOI 6 NUMERI'!$B$14)^16)/(1-'1 - I TUOI 6 NUMERI'!$B$15*(IF(AA37&lt;=0,0,MEDIAN(0,(AA37-AB37)/AA37,1))))))*(1-(IF(AA37&lt;=0,0,MEDIAN(0,(AA37-AB37)/AA37,1)))))</f>
        <v/>
      </c>
      <c r="AC38" s="23">
        <f>IF(AC37&lt;=0,0,(AC37-(IF(AC37&lt;=0,0,(36000*(1+'1 - I TUOI 6 NUMERI'!$B$14)^16)/(1-'1 - I TUOI 6 NUMERI'!$B$15*(IF(AC37&lt;=0,0,MEDIAN(0,(AC37-AD37)/AC37,1))))))-(IF(AC37&lt;=0,0,'1 - I TUOI 6 NUMERI'!$B$16*AC37)))*(1+((1+0.05)*(1+'1 - I TUOI 6 NUMERI'!$B$14)-1)))</f>
        <v/>
      </c>
      <c r="AD38" s="23">
        <f>MAX(0,AD37-(IF(AC37&lt;=0,0,(36000*(1+'1 - I TUOI 6 NUMERI'!$B$14)^16)/(1-'1 - I TUOI 6 NUMERI'!$B$15*(IF(AC37&lt;=0,0,MEDIAN(0,(AC37-AD37)/AC37,1))))))*(1-(IF(AC37&lt;=0,0,MEDIAN(0,(AC37-AD37)/AC37,1)))))</f>
        <v/>
      </c>
    </row>
    <row r="39">
      <c r="F39" s="6" t="n">
        <v>17</v>
      </c>
      <c r="G39" s="23">
        <f>IF(G38&lt;=0,0,(G38-(IF(G38&lt;=0,0,(18000*(1+'1 - I TUOI 6 NUMERI'!$B$14)^17)/(1-'1 - I TUOI 6 NUMERI'!$B$15*(IF(G38&lt;=0,0,MEDIAN(0,(G38-H38)/G38,1))))))-(IF(G38&lt;=0,0,'1 - I TUOI 6 NUMERI'!$B$16*G38)))*(1+((1+0.01)*(1+'1 - I TUOI 6 NUMERI'!$B$14)-1)))</f>
        <v/>
      </c>
      <c r="H39" s="23">
        <f>MAX(0,H38-(IF(G38&lt;=0,0,(18000*(1+'1 - I TUOI 6 NUMERI'!$B$14)^17)/(1-'1 - I TUOI 6 NUMERI'!$B$15*(IF(G38&lt;=0,0,MEDIAN(0,(G38-H38)/G38,1))))))*(1-(IF(G38&lt;=0,0,MEDIAN(0,(G38-H38)/G38,1)))))</f>
        <v/>
      </c>
      <c r="I39" s="23">
        <f>IF(I38&lt;=0,0,(I38-(IF(I38&lt;=0,0,(18000*(1+'1 - I TUOI 6 NUMERI'!$B$14)^17)/(1-'1 - I TUOI 6 NUMERI'!$B$15*(IF(I38&lt;=0,0,MEDIAN(0,(I38-J38)/I38,1))))))-(IF(I38&lt;=0,0,'1 - I TUOI 6 NUMERI'!$B$16*I38)))*(1+((1+0.03)*(1+'1 - I TUOI 6 NUMERI'!$B$14)-1)))</f>
        <v/>
      </c>
      <c r="J39" s="23">
        <f>MAX(0,J38-(IF(I38&lt;=0,0,(18000*(1+'1 - I TUOI 6 NUMERI'!$B$14)^17)/(1-'1 - I TUOI 6 NUMERI'!$B$15*(IF(I38&lt;=0,0,MEDIAN(0,(I38-J38)/I38,1))))))*(1-(IF(I38&lt;=0,0,MEDIAN(0,(I38-J38)/I38,1)))))</f>
        <v/>
      </c>
      <c r="K39" s="23">
        <f>IF(K38&lt;=0,0,(K38-(IF(K38&lt;=0,0,(18000*(1+'1 - I TUOI 6 NUMERI'!$B$14)^17)/(1-'1 - I TUOI 6 NUMERI'!$B$15*(IF(K38&lt;=0,0,MEDIAN(0,(K38-L38)/K38,1))))))-(IF(K38&lt;=0,0,'1 - I TUOI 6 NUMERI'!$B$16*K38)))*(1+((1+0.05)*(1+'1 - I TUOI 6 NUMERI'!$B$14)-1)))</f>
        <v/>
      </c>
      <c r="L39" s="23">
        <f>MAX(0,L38-(IF(K38&lt;=0,0,(18000*(1+'1 - I TUOI 6 NUMERI'!$B$14)^17)/(1-'1 - I TUOI 6 NUMERI'!$B$15*(IF(K38&lt;=0,0,MEDIAN(0,(K38-L38)/K38,1))))))*(1-(IF(K38&lt;=0,0,MEDIAN(0,(K38-L38)/K38,1)))))</f>
        <v/>
      </c>
      <c r="M39" s="23">
        <f>IF(M38&lt;=0,0,(M38-(IF(M38&lt;=0,0,(24000*(1+'1 - I TUOI 6 NUMERI'!$B$14)^17)/(1-'1 - I TUOI 6 NUMERI'!$B$15*(IF(M38&lt;=0,0,MEDIAN(0,(M38-N38)/M38,1))))))-(IF(M38&lt;=0,0,'1 - I TUOI 6 NUMERI'!$B$16*M38)))*(1+((1+0.01)*(1+'1 - I TUOI 6 NUMERI'!$B$14)-1)))</f>
        <v/>
      </c>
      <c r="N39" s="23">
        <f>MAX(0,N38-(IF(M38&lt;=0,0,(24000*(1+'1 - I TUOI 6 NUMERI'!$B$14)^17)/(1-'1 - I TUOI 6 NUMERI'!$B$15*(IF(M38&lt;=0,0,MEDIAN(0,(M38-N38)/M38,1))))))*(1-(IF(M38&lt;=0,0,MEDIAN(0,(M38-N38)/M38,1)))))</f>
        <v/>
      </c>
      <c r="O39" s="23">
        <f>IF(O38&lt;=0,0,(O38-(IF(O38&lt;=0,0,(24000*(1+'1 - I TUOI 6 NUMERI'!$B$14)^17)/(1-'1 - I TUOI 6 NUMERI'!$B$15*(IF(O38&lt;=0,0,MEDIAN(0,(O38-P38)/O38,1))))))-(IF(O38&lt;=0,0,'1 - I TUOI 6 NUMERI'!$B$16*O38)))*(1+((1+0.03)*(1+'1 - I TUOI 6 NUMERI'!$B$14)-1)))</f>
        <v/>
      </c>
      <c r="P39" s="23">
        <f>MAX(0,P38-(IF(O38&lt;=0,0,(24000*(1+'1 - I TUOI 6 NUMERI'!$B$14)^17)/(1-'1 - I TUOI 6 NUMERI'!$B$15*(IF(O38&lt;=0,0,MEDIAN(0,(O38-P38)/O38,1))))))*(1-(IF(O38&lt;=0,0,MEDIAN(0,(O38-P38)/O38,1)))))</f>
        <v/>
      </c>
      <c r="Q39" s="23">
        <f>IF(Q38&lt;=0,0,(Q38-(IF(Q38&lt;=0,0,(24000*(1+'1 - I TUOI 6 NUMERI'!$B$14)^17)/(1-'1 - I TUOI 6 NUMERI'!$B$15*(IF(Q38&lt;=0,0,MEDIAN(0,(Q38-R38)/Q38,1))))))-(IF(Q38&lt;=0,0,'1 - I TUOI 6 NUMERI'!$B$16*Q38)))*(1+((1+0.05)*(1+'1 - I TUOI 6 NUMERI'!$B$14)-1)))</f>
        <v/>
      </c>
      <c r="R39" s="23">
        <f>MAX(0,R38-(IF(Q38&lt;=0,0,(24000*(1+'1 - I TUOI 6 NUMERI'!$B$14)^17)/(1-'1 - I TUOI 6 NUMERI'!$B$15*(IF(Q38&lt;=0,0,MEDIAN(0,(Q38-R38)/Q38,1))))))*(1-(IF(Q38&lt;=0,0,MEDIAN(0,(Q38-R38)/Q38,1)))))</f>
        <v/>
      </c>
      <c r="S39" s="23">
        <f>IF(S38&lt;=0,0,(S38-(IF(S38&lt;=0,0,(30000*(1+'1 - I TUOI 6 NUMERI'!$B$14)^17)/(1-'1 - I TUOI 6 NUMERI'!$B$15*(IF(S38&lt;=0,0,MEDIAN(0,(S38-T38)/S38,1))))))-(IF(S38&lt;=0,0,'1 - I TUOI 6 NUMERI'!$B$16*S38)))*(1+((1+0.01)*(1+'1 - I TUOI 6 NUMERI'!$B$14)-1)))</f>
        <v/>
      </c>
      <c r="T39" s="23">
        <f>MAX(0,T38-(IF(S38&lt;=0,0,(30000*(1+'1 - I TUOI 6 NUMERI'!$B$14)^17)/(1-'1 - I TUOI 6 NUMERI'!$B$15*(IF(S38&lt;=0,0,MEDIAN(0,(S38-T38)/S38,1))))))*(1-(IF(S38&lt;=0,0,MEDIAN(0,(S38-T38)/S38,1)))))</f>
        <v/>
      </c>
      <c r="U39" s="23">
        <f>IF(U38&lt;=0,0,(U38-(IF(U38&lt;=0,0,(30000*(1+'1 - I TUOI 6 NUMERI'!$B$14)^17)/(1-'1 - I TUOI 6 NUMERI'!$B$15*(IF(U38&lt;=0,0,MEDIAN(0,(U38-V38)/U38,1))))))-(IF(U38&lt;=0,0,'1 - I TUOI 6 NUMERI'!$B$16*U38)))*(1+((1+0.03)*(1+'1 - I TUOI 6 NUMERI'!$B$14)-1)))</f>
        <v/>
      </c>
      <c r="V39" s="23">
        <f>MAX(0,V38-(IF(U38&lt;=0,0,(30000*(1+'1 - I TUOI 6 NUMERI'!$B$14)^17)/(1-'1 - I TUOI 6 NUMERI'!$B$15*(IF(U38&lt;=0,0,MEDIAN(0,(U38-V38)/U38,1))))))*(1-(IF(U38&lt;=0,0,MEDIAN(0,(U38-V38)/U38,1)))))</f>
        <v/>
      </c>
      <c r="W39" s="23">
        <f>IF(W38&lt;=0,0,(W38-(IF(W38&lt;=0,0,(30000*(1+'1 - I TUOI 6 NUMERI'!$B$14)^17)/(1-'1 - I TUOI 6 NUMERI'!$B$15*(IF(W38&lt;=0,0,MEDIAN(0,(W38-X38)/W38,1))))))-(IF(W38&lt;=0,0,'1 - I TUOI 6 NUMERI'!$B$16*W38)))*(1+((1+0.05)*(1+'1 - I TUOI 6 NUMERI'!$B$14)-1)))</f>
        <v/>
      </c>
      <c r="X39" s="23">
        <f>MAX(0,X38-(IF(W38&lt;=0,0,(30000*(1+'1 - I TUOI 6 NUMERI'!$B$14)^17)/(1-'1 - I TUOI 6 NUMERI'!$B$15*(IF(W38&lt;=0,0,MEDIAN(0,(W38-X38)/W38,1))))))*(1-(IF(W38&lt;=0,0,MEDIAN(0,(W38-X38)/W38,1)))))</f>
        <v/>
      </c>
      <c r="Y39" s="23">
        <f>IF(Y38&lt;=0,0,(Y38-(IF(Y38&lt;=0,0,(36000*(1+'1 - I TUOI 6 NUMERI'!$B$14)^17)/(1-'1 - I TUOI 6 NUMERI'!$B$15*(IF(Y38&lt;=0,0,MEDIAN(0,(Y38-Z38)/Y38,1))))))-(IF(Y38&lt;=0,0,'1 - I TUOI 6 NUMERI'!$B$16*Y38)))*(1+((1+0.01)*(1+'1 - I TUOI 6 NUMERI'!$B$14)-1)))</f>
        <v/>
      </c>
      <c r="Z39" s="23">
        <f>MAX(0,Z38-(IF(Y38&lt;=0,0,(36000*(1+'1 - I TUOI 6 NUMERI'!$B$14)^17)/(1-'1 - I TUOI 6 NUMERI'!$B$15*(IF(Y38&lt;=0,0,MEDIAN(0,(Y38-Z38)/Y38,1))))))*(1-(IF(Y38&lt;=0,0,MEDIAN(0,(Y38-Z38)/Y38,1)))))</f>
        <v/>
      </c>
      <c r="AA39" s="23">
        <f>IF(AA38&lt;=0,0,(AA38-(IF(AA38&lt;=0,0,(36000*(1+'1 - I TUOI 6 NUMERI'!$B$14)^17)/(1-'1 - I TUOI 6 NUMERI'!$B$15*(IF(AA38&lt;=0,0,MEDIAN(0,(AA38-AB38)/AA38,1))))))-(IF(AA38&lt;=0,0,'1 - I TUOI 6 NUMERI'!$B$16*AA38)))*(1+((1+0.03)*(1+'1 - I TUOI 6 NUMERI'!$B$14)-1)))</f>
        <v/>
      </c>
      <c r="AB39" s="23">
        <f>MAX(0,AB38-(IF(AA38&lt;=0,0,(36000*(1+'1 - I TUOI 6 NUMERI'!$B$14)^17)/(1-'1 - I TUOI 6 NUMERI'!$B$15*(IF(AA38&lt;=0,0,MEDIAN(0,(AA38-AB38)/AA38,1))))))*(1-(IF(AA38&lt;=0,0,MEDIAN(0,(AA38-AB38)/AA38,1)))))</f>
        <v/>
      </c>
      <c r="AC39" s="23">
        <f>IF(AC38&lt;=0,0,(AC38-(IF(AC38&lt;=0,0,(36000*(1+'1 - I TUOI 6 NUMERI'!$B$14)^17)/(1-'1 - I TUOI 6 NUMERI'!$B$15*(IF(AC38&lt;=0,0,MEDIAN(0,(AC38-AD38)/AC38,1))))))-(IF(AC38&lt;=0,0,'1 - I TUOI 6 NUMERI'!$B$16*AC38)))*(1+((1+0.05)*(1+'1 - I TUOI 6 NUMERI'!$B$14)-1)))</f>
        <v/>
      </c>
      <c r="AD39" s="23">
        <f>MAX(0,AD38-(IF(AC38&lt;=0,0,(36000*(1+'1 - I TUOI 6 NUMERI'!$B$14)^17)/(1-'1 - I TUOI 6 NUMERI'!$B$15*(IF(AC38&lt;=0,0,MEDIAN(0,(AC38-AD38)/AC38,1))))))*(1-(IF(AC38&lt;=0,0,MEDIAN(0,(AC38-AD38)/AC38,1)))))</f>
        <v/>
      </c>
    </row>
    <row r="40">
      <c r="F40" s="6" t="n">
        <v>18</v>
      </c>
      <c r="G40" s="23">
        <f>IF(G39&lt;=0,0,(G39-(IF(G39&lt;=0,0,(18000*(1+'1 - I TUOI 6 NUMERI'!$B$14)^18)/(1-'1 - I TUOI 6 NUMERI'!$B$15*(IF(G39&lt;=0,0,MEDIAN(0,(G39-H39)/G39,1))))))-(IF(G39&lt;=0,0,'1 - I TUOI 6 NUMERI'!$B$16*G39)))*(1+((1+0.01)*(1+'1 - I TUOI 6 NUMERI'!$B$14)-1)))</f>
        <v/>
      </c>
      <c r="H40" s="23">
        <f>MAX(0,H39-(IF(G39&lt;=0,0,(18000*(1+'1 - I TUOI 6 NUMERI'!$B$14)^18)/(1-'1 - I TUOI 6 NUMERI'!$B$15*(IF(G39&lt;=0,0,MEDIAN(0,(G39-H39)/G39,1))))))*(1-(IF(G39&lt;=0,0,MEDIAN(0,(G39-H39)/G39,1)))))</f>
        <v/>
      </c>
      <c r="I40" s="23">
        <f>IF(I39&lt;=0,0,(I39-(IF(I39&lt;=0,0,(18000*(1+'1 - I TUOI 6 NUMERI'!$B$14)^18)/(1-'1 - I TUOI 6 NUMERI'!$B$15*(IF(I39&lt;=0,0,MEDIAN(0,(I39-J39)/I39,1))))))-(IF(I39&lt;=0,0,'1 - I TUOI 6 NUMERI'!$B$16*I39)))*(1+((1+0.03)*(1+'1 - I TUOI 6 NUMERI'!$B$14)-1)))</f>
        <v/>
      </c>
      <c r="J40" s="23">
        <f>MAX(0,J39-(IF(I39&lt;=0,0,(18000*(1+'1 - I TUOI 6 NUMERI'!$B$14)^18)/(1-'1 - I TUOI 6 NUMERI'!$B$15*(IF(I39&lt;=0,0,MEDIAN(0,(I39-J39)/I39,1))))))*(1-(IF(I39&lt;=0,0,MEDIAN(0,(I39-J39)/I39,1)))))</f>
        <v/>
      </c>
      <c r="K40" s="23">
        <f>IF(K39&lt;=0,0,(K39-(IF(K39&lt;=0,0,(18000*(1+'1 - I TUOI 6 NUMERI'!$B$14)^18)/(1-'1 - I TUOI 6 NUMERI'!$B$15*(IF(K39&lt;=0,0,MEDIAN(0,(K39-L39)/K39,1))))))-(IF(K39&lt;=0,0,'1 - I TUOI 6 NUMERI'!$B$16*K39)))*(1+((1+0.05)*(1+'1 - I TUOI 6 NUMERI'!$B$14)-1)))</f>
        <v/>
      </c>
      <c r="L40" s="23">
        <f>MAX(0,L39-(IF(K39&lt;=0,0,(18000*(1+'1 - I TUOI 6 NUMERI'!$B$14)^18)/(1-'1 - I TUOI 6 NUMERI'!$B$15*(IF(K39&lt;=0,0,MEDIAN(0,(K39-L39)/K39,1))))))*(1-(IF(K39&lt;=0,0,MEDIAN(0,(K39-L39)/K39,1)))))</f>
        <v/>
      </c>
      <c r="M40" s="23">
        <f>IF(M39&lt;=0,0,(M39-(IF(M39&lt;=0,0,(24000*(1+'1 - I TUOI 6 NUMERI'!$B$14)^18)/(1-'1 - I TUOI 6 NUMERI'!$B$15*(IF(M39&lt;=0,0,MEDIAN(0,(M39-N39)/M39,1))))))-(IF(M39&lt;=0,0,'1 - I TUOI 6 NUMERI'!$B$16*M39)))*(1+((1+0.01)*(1+'1 - I TUOI 6 NUMERI'!$B$14)-1)))</f>
        <v/>
      </c>
      <c r="N40" s="23">
        <f>MAX(0,N39-(IF(M39&lt;=0,0,(24000*(1+'1 - I TUOI 6 NUMERI'!$B$14)^18)/(1-'1 - I TUOI 6 NUMERI'!$B$15*(IF(M39&lt;=0,0,MEDIAN(0,(M39-N39)/M39,1))))))*(1-(IF(M39&lt;=0,0,MEDIAN(0,(M39-N39)/M39,1)))))</f>
        <v/>
      </c>
      <c r="O40" s="23">
        <f>IF(O39&lt;=0,0,(O39-(IF(O39&lt;=0,0,(24000*(1+'1 - I TUOI 6 NUMERI'!$B$14)^18)/(1-'1 - I TUOI 6 NUMERI'!$B$15*(IF(O39&lt;=0,0,MEDIAN(0,(O39-P39)/O39,1))))))-(IF(O39&lt;=0,0,'1 - I TUOI 6 NUMERI'!$B$16*O39)))*(1+((1+0.03)*(1+'1 - I TUOI 6 NUMERI'!$B$14)-1)))</f>
        <v/>
      </c>
      <c r="P40" s="23">
        <f>MAX(0,P39-(IF(O39&lt;=0,0,(24000*(1+'1 - I TUOI 6 NUMERI'!$B$14)^18)/(1-'1 - I TUOI 6 NUMERI'!$B$15*(IF(O39&lt;=0,0,MEDIAN(0,(O39-P39)/O39,1))))))*(1-(IF(O39&lt;=0,0,MEDIAN(0,(O39-P39)/O39,1)))))</f>
        <v/>
      </c>
      <c r="Q40" s="23">
        <f>IF(Q39&lt;=0,0,(Q39-(IF(Q39&lt;=0,0,(24000*(1+'1 - I TUOI 6 NUMERI'!$B$14)^18)/(1-'1 - I TUOI 6 NUMERI'!$B$15*(IF(Q39&lt;=0,0,MEDIAN(0,(Q39-R39)/Q39,1))))))-(IF(Q39&lt;=0,0,'1 - I TUOI 6 NUMERI'!$B$16*Q39)))*(1+((1+0.05)*(1+'1 - I TUOI 6 NUMERI'!$B$14)-1)))</f>
        <v/>
      </c>
      <c r="R40" s="23">
        <f>MAX(0,R39-(IF(Q39&lt;=0,0,(24000*(1+'1 - I TUOI 6 NUMERI'!$B$14)^18)/(1-'1 - I TUOI 6 NUMERI'!$B$15*(IF(Q39&lt;=0,0,MEDIAN(0,(Q39-R39)/Q39,1))))))*(1-(IF(Q39&lt;=0,0,MEDIAN(0,(Q39-R39)/Q39,1)))))</f>
        <v/>
      </c>
      <c r="S40" s="23">
        <f>IF(S39&lt;=0,0,(S39-(IF(S39&lt;=0,0,(30000*(1+'1 - I TUOI 6 NUMERI'!$B$14)^18)/(1-'1 - I TUOI 6 NUMERI'!$B$15*(IF(S39&lt;=0,0,MEDIAN(0,(S39-T39)/S39,1))))))-(IF(S39&lt;=0,0,'1 - I TUOI 6 NUMERI'!$B$16*S39)))*(1+((1+0.01)*(1+'1 - I TUOI 6 NUMERI'!$B$14)-1)))</f>
        <v/>
      </c>
      <c r="T40" s="23">
        <f>MAX(0,T39-(IF(S39&lt;=0,0,(30000*(1+'1 - I TUOI 6 NUMERI'!$B$14)^18)/(1-'1 - I TUOI 6 NUMERI'!$B$15*(IF(S39&lt;=0,0,MEDIAN(0,(S39-T39)/S39,1))))))*(1-(IF(S39&lt;=0,0,MEDIAN(0,(S39-T39)/S39,1)))))</f>
        <v/>
      </c>
      <c r="U40" s="23">
        <f>IF(U39&lt;=0,0,(U39-(IF(U39&lt;=0,0,(30000*(1+'1 - I TUOI 6 NUMERI'!$B$14)^18)/(1-'1 - I TUOI 6 NUMERI'!$B$15*(IF(U39&lt;=0,0,MEDIAN(0,(U39-V39)/U39,1))))))-(IF(U39&lt;=0,0,'1 - I TUOI 6 NUMERI'!$B$16*U39)))*(1+((1+0.03)*(1+'1 - I TUOI 6 NUMERI'!$B$14)-1)))</f>
        <v/>
      </c>
      <c r="V40" s="23">
        <f>MAX(0,V39-(IF(U39&lt;=0,0,(30000*(1+'1 - I TUOI 6 NUMERI'!$B$14)^18)/(1-'1 - I TUOI 6 NUMERI'!$B$15*(IF(U39&lt;=0,0,MEDIAN(0,(U39-V39)/U39,1))))))*(1-(IF(U39&lt;=0,0,MEDIAN(0,(U39-V39)/U39,1)))))</f>
        <v/>
      </c>
      <c r="W40" s="23">
        <f>IF(W39&lt;=0,0,(W39-(IF(W39&lt;=0,0,(30000*(1+'1 - I TUOI 6 NUMERI'!$B$14)^18)/(1-'1 - I TUOI 6 NUMERI'!$B$15*(IF(W39&lt;=0,0,MEDIAN(0,(W39-X39)/W39,1))))))-(IF(W39&lt;=0,0,'1 - I TUOI 6 NUMERI'!$B$16*W39)))*(1+((1+0.05)*(1+'1 - I TUOI 6 NUMERI'!$B$14)-1)))</f>
        <v/>
      </c>
      <c r="X40" s="23">
        <f>MAX(0,X39-(IF(W39&lt;=0,0,(30000*(1+'1 - I TUOI 6 NUMERI'!$B$14)^18)/(1-'1 - I TUOI 6 NUMERI'!$B$15*(IF(W39&lt;=0,0,MEDIAN(0,(W39-X39)/W39,1))))))*(1-(IF(W39&lt;=0,0,MEDIAN(0,(W39-X39)/W39,1)))))</f>
        <v/>
      </c>
      <c r="Y40" s="23">
        <f>IF(Y39&lt;=0,0,(Y39-(IF(Y39&lt;=0,0,(36000*(1+'1 - I TUOI 6 NUMERI'!$B$14)^18)/(1-'1 - I TUOI 6 NUMERI'!$B$15*(IF(Y39&lt;=0,0,MEDIAN(0,(Y39-Z39)/Y39,1))))))-(IF(Y39&lt;=0,0,'1 - I TUOI 6 NUMERI'!$B$16*Y39)))*(1+((1+0.01)*(1+'1 - I TUOI 6 NUMERI'!$B$14)-1)))</f>
        <v/>
      </c>
      <c r="Z40" s="23">
        <f>MAX(0,Z39-(IF(Y39&lt;=0,0,(36000*(1+'1 - I TUOI 6 NUMERI'!$B$14)^18)/(1-'1 - I TUOI 6 NUMERI'!$B$15*(IF(Y39&lt;=0,0,MEDIAN(0,(Y39-Z39)/Y39,1))))))*(1-(IF(Y39&lt;=0,0,MEDIAN(0,(Y39-Z39)/Y39,1)))))</f>
        <v/>
      </c>
      <c r="AA40" s="23">
        <f>IF(AA39&lt;=0,0,(AA39-(IF(AA39&lt;=0,0,(36000*(1+'1 - I TUOI 6 NUMERI'!$B$14)^18)/(1-'1 - I TUOI 6 NUMERI'!$B$15*(IF(AA39&lt;=0,0,MEDIAN(0,(AA39-AB39)/AA39,1))))))-(IF(AA39&lt;=0,0,'1 - I TUOI 6 NUMERI'!$B$16*AA39)))*(1+((1+0.03)*(1+'1 - I TUOI 6 NUMERI'!$B$14)-1)))</f>
        <v/>
      </c>
      <c r="AB40" s="23">
        <f>MAX(0,AB39-(IF(AA39&lt;=0,0,(36000*(1+'1 - I TUOI 6 NUMERI'!$B$14)^18)/(1-'1 - I TUOI 6 NUMERI'!$B$15*(IF(AA39&lt;=0,0,MEDIAN(0,(AA39-AB39)/AA39,1))))))*(1-(IF(AA39&lt;=0,0,MEDIAN(0,(AA39-AB39)/AA39,1)))))</f>
        <v/>
      </c>
      <c r="AC40" s="23">
        <f>IF(AC39&lt;=0,0,(AC39-(IF(AC39&lt;=0,0,(36000*(1+'1 - I TUOI 6 NUMERI'!$B$14)^18)/(1-'1 - I TUOI 6 NUMERI'!$B$15*(IF(AC39&lt;=0,0,MEDIAN(0,(AC39-AD39)/AC39,1))))))-(IF(AC39&lt;=0,0,'1 - I TUOI 6 NUMERI'!$B$16*AC39)))*(1+((1+0.05)*(1+'1 - I TUOI 6 NUMERI'!$B$14)-1)))</f>
        <v/>
      </c>
      <c r="AD40" s="23">
        <f>MAX(0,AD39-(IF(AC39&lt;=0,0,(36000*(1+'1 - I TUOI 6 NUMERI'!$B$14)^18)/(1-'1 - I TUOI 6 NUMERI'!$B$15*(IF(AC39&lt;=0,0,MEDIAN(0,(AC39-AD39)/AC39,1))))))*(1-(IF(AC39&lt;=0,0,MEDIAN(0,(AC39-AD39)/AC39,1)))))</f>
        <v/>
      </c>
    </row>
    <row r="41">
      <c r="F41" s="6" t="n">
        <v>19</v>
      </c>
      <c r="G41" s="23">
        <f>IF(G40&lt;=0,0,(G40-(IF(G40&lt;=0,0,(18000*(1+'1 - I TUOI 6 NUMERI'!$B$14)^19)/(1-'1 - I TUOI 6 NUMERI'!$B$15*(IF(G40&lt;=0,0,MEDIAN(0,(G40-H40)/G40,1))))))-(IF(G40&lt;=0,0,'1 - I TUOI 6 NUMERI'!$B$16*G40)))*(1+((1+0.01)*(1+'1 - I TUOI 6 NUMERI'!$B$14)-1)))</f>
        <v/>
      </c>
      <c r="H41" s="23">
        <f>MAX(0,H40-(IF(G40&lt;=0,0,(18000*(1+'1 - I TUOI 6 NUMERI'!$B$14)^19)/(1-'1 - I TUOI 6 NUMERI'!$B$15*(IF(G40&lt;=0,0,MEDIAN(0,(G40-H40)/G40,1))))))*(1-(IF(G40&lt;=0,0,MEDIAN(0,(G40-H40)/G40,1)))))</f>
        <v/>
      </c>
      <c r="I41" s="23">
        <f>IF(I40&lt;=0,0,(I40-(IF(I40&lt;=0,0,(18000*(1+'1 - I TUOI 6 NUMERI'!$B$14)^19)/(1-'1 - I TUOI 6 NUMERI'!$B$15*(IF(I40&lt;=0,0,MEDIAN(0,(I40-J40)/I40,1))))))-(IF(I40&lt;=0,0,'1 - I TUOI 6 NUMERI'!$B$16*I40)))*(1+((1+0.03)*(1+'1 - I TUOI 6 NUMERI'!$B$14)-1)))</f>
        <v/>
      </c>
      <c r="J41" s="23">
        <f>MAX(0,J40-(IF(I40&lt;=0,0,(18000*(1+'1 - I TUOI 6 NUMERI'!$B$14)^19)/(1-'1 - I TUOI 6 NUMERI'!$B$15*(IF(I40&lt;=0,0,MEDIAN(0,(I40-J40)/I40,1))))))*(1-(IF(I40&lt;=0,0,MEDIAN(0,(I40-J40)/I40,1)))))</f>
        <v/>
      </c>
      <c r="K41" s="23">
        <f>IF(K40&lt;=0,0,(K40-(IF(K40&lt;=0,0,(18000*(1+'1 - I TUOI 6 NUMERI'!$B$14)^19)/(1-'1 - I TUOI 6 NUMERI'!$B$15*(IF(K40&lt;=0,0,MEDIAN(0,(K40-L40)/K40,1))))))-(IF(K40&lt;=0,0,'1 - I TUOI 6 NUMERI'!$B$16*K40)))*(1+((1+0.05)*(1+'1 - I TUOI 6 NUMERI'!$B$14)-1)))</f>
        <v/>
      </c>
      <c r="L41" s="23">
        <f>MAX(0,L40-(IF(K40&lt;=0,0,(18000*(1+'1 - I TUOI 6 NUMERI'!$B$14)^19)/(1-'1 - I TUOI 6 NUMERI'!$B$15*(IF(K40&lt;=0,0,MEDIAN(0,(K40-L40)/K40,1))))))*(1-(IF(K40&lt;=0,0,MEDIAN(0,(K40-L40)/K40,1)))))</f>
        <v/>
      </c>
      <c r="M41" s="23">
        <f>IF(M40&lt;=0,0,(M40-(IF(M40&lt;=0,0,(24000*(1+'1 - I TUOI 6 NUMERI'!$B$14)^19)/(1-'1 - I TUOI 6 NUMERI'!$B$15*(IF(M40&lt;=0,0,MEDIAN(0,(M40-N40)/M40,1))))))-(IF(M40&lt;=0,0,'1 - I TUOI 6 NUMERI'!$B$16*M40)))*(1+((1+0.01)*(1+'1 - I TUOI 6 NUMERI'!$B$14)-1)))</f>
        <v/>
      </c>
      <c r="N41" s="23">
        <f>MAX(0,N40-(IF(M40&lt;=0,0,(24000*(1+'1 - I TUOI 6 NUMERI'!$B$14)^19)/(1-'1 - I TUOI 6 NUMERI'!$B$15*(IF(M40&lt;=0,0,MEDIAN(0,(M40-N40)/M40,1))))))*(1-(IF(M40&lt;=0,0,MEDIAN(0,(M40-N40)/M40,1)))))</f>
        <v/>
      </c>
      <c r="O41" s="23">
        <f>IF(O40&lt;=0,0,(O40-(IF(O40&lt;=0,0,(24000*(1+'1 - I TUOI 6 NUMERI'!$B$14)^19)/(1-'1 - I TUOI 6 NUMERI'!$B$15*(IF(O40&lt;=0,0,MEDIAN(0,(O40-P40)/O40,1))))))-(IF(O40&lt;=0,0,'1 - I TUOI 6 NUMERI'!$B$16*O40)))*(1+((1+0.03)*(1+'1 - I TUOI 6 NUMERI'!$B$14)-1)))</f>
        <v/>
      </c>
      <c r="P41" s="23">
        <f>MAX(0,P40-(IF(O40&lt;=0,0,(24000*(1+'1 - I TUOI 6 NUMERI'!$B$14)^19)/(1-'1 - I TUOI 6 NUMERI'!$B$15*(IF(O40&lt;=0,0,MEDIAN(0,(O40-P40)/O40,1))))))*(1-(IF(O40&lt;=0,0,MEDIAN(0,(O40-P40)/O40,1)))))</f>
        <v/>
      </c>
      <c r="Q41" s="23">
        <f>IF(Q40&lt;=0,0,(Q40-(IF(Q40&lt;=0,0,(24000*(1+'1 - I TUOI 6 NUMERI'!$B$14)^19)/(1-'1 - I TUOI 6 NUMERI'!$B$15*(IF(Q40&lt;=0,0,MEDIAN(0,(Q40-R40)/Q40,1))))))-(IF(Q40&lt;=0,0,'1 - I TUOI 6 NUMERI'!$B$16*Q40)))*(1+((1+0.05)*(1+'1 - I TUOI 6 NUMERI'!$B$14)-1)))</f>
        <v/>
      </c>
      <c r="R41" s="23">
        <f>MAX(0,R40-(IF(Q40&lt;=0,0,(24000*(1+'1 - I TUOI 6 NUMERI'!$B$14)^19)/(1-'1 - I TUOI 6 NUMERI'!$B$15*(IF(Q40&lt;=0,0,MEDIAN(0,(Q40-R40)/Q40,1))))))*(1-(IF(Q40&lt;=0,0,MEDIAN(0,(Q40-R40)/Q40,1)))))</f>
        <v/>
      </c>
      <c r="S41" s="23">
        <f>IF(S40&lt;=0,0,(S40-(IF(S40&lt;=0,0,(30000*(1+'1 - I TUOI 6 NUMERI'!$B$14)^19)/(1-'1 - I TUOI 6 NUMERI'!$B$15*(IF(S40&lt;=0,0,MEDIAN(0,(S40-T40)/S40,1))))))-(IF(S40&lt;=0,0,'1 - I TUOI 6 NUMERI'!$B$16*S40)))*(1+((1+0.01)*(1+'1 - I TUOI 6 NUMERI'!$B$14)-1)))</f>
        <v/>
      </c>
      <c r="T41" s="23">
        <f>MAX(0,T40-(IF(S40&lt;=0,0,(30000*(1+'1 - I TUOI 6 NUMERI'!$B$14)^19)/(1-'1 - I TUOI 6 NUMERI'!$B$15*(IF(S40&lt;=0,0,MEDIAN(0,(S40-T40)/S40,1))))))*(1-(IF(S40&lt;=0,0,MEDIAN(0,(S40-T40)/S40,1)))))</f>
        <v/>
      </c>
      <c r="U41" s="23">
        <f>IF(U40&lt;=0,0,(U40-(IF(U40&lt;=0,0,(30000*(1+'1 - I TUOI 6 NUMERI'!$B$14)^19)/(1-'1 - I TUOI 6 NUMERI'!$B$15*(IF(U40&lt;=0,0,MEDIAN(0,(U40-V40)/U40,1))))))-(IF(U40&lt;=0,0,'1 - I TUOI 6 NUMERI'!$B$16*U40)))*(1+((1+0.03)*(1+'1 - I TUOI 6 NUMERI'!$B$14)-1)))</f>
        <v/>
      </c>
      <c r="V41" s="23">
        <f>MAX(0,V40-(IF(U40&lt;=0,0,(30000*(1+'1 - I TUOI 6 NUMERI'!$B$14)^19)/(1-'1 - I TUOI 6 NUMERI'!$B$15*(IF(U40&lt;=0,0,MEDIAN(0,(U40-V40)/U40,1))))))*(1-(IF(U40&lt;=0,0,MEDIAN(0,(U40-V40)/U40,1)))))</f>
        <v/>
      </c>
      <c r="W41" s="23">
        <f>IF(W40&lt;=0,0,(W40-(IF(W40&lt;=0,0,(30000*(1+'1 - I TUOI 6 NUMERI'!$B$14)^19)/(1-'1 - I TUOI 6 NUMERI'!$B$15*(IF(W40&lt;=0,0,MEDIAN(0,(W40-X40)/W40,1))))))-(IF(W40&lt;=0,0,'1 - I TUOI 6 NUMERI'!$B$16*W40)))*(1+((1+0.05)*(1+'1 - I TUOI 6 NUMERI'!$B$14)-1)))</f>
        <v/>
      </c>
      <c r="X41" s="23">
        <f>MAX(0,X40-(IF(W40&lt;=0,0,(30000*(1+'1 - I TUOI 6 NUMERI'!$B$14)^19)/(1-'1 - I TUOI 6 NUMERI'!$B$15*(IF(W40&lt;=0,0,MEDIAN(0,(W40-X40)/W40,1))))))*(1-(IF(W40&lt;=0,0,MEDIAN(0,(W40-X40)/W40,1)))))</f>
        <v/>
      </c>
      <c r="Y41" s="23">
        <f>IF(Y40&lt;=0,0,(Y40-(IF(Y40&lt;=0,0,(36000*(1+'1 - I TUOI 6 NUMERI'!$B$14)^19)/(1-'1 - I TUOI 6 NUMERI'!$B$15*(IF(Y40&lt;=0,0,MEDIAN(0,(Y40-Z40)/Y40,1))))))-(IF(Y40&lt;=0,0,'1 - I TUOI 6 NUMERI'!$B$16*Y40)))*(1+((1+0.01)*(1+'1 - I TUOI 6 NUMERI'!$B$14)-1)))</f>
        <v/>
      </c>
      <c r="Z41" s="23">
        <f>MAX(0,Z40-(IF(Y40&lt;=0,0,(36000*(1+'1 - I TUOI 6 NUMERI'!$B$14)^19)/(1-'1 - I TUOI 6 NUMERI'!$B$15*(IF(Y40&lt;=0,0,MEDIAN(0,(Y40-Z40)/Y40,1))))))*(1-(IF(Y40&lt;=0,0,MEDIAN(0,(Y40-Z40)/Y40,1)))))</f>
        <v/>
      </c>
      <c r="AA41" s="23">
        <f>IF(AA40&lt;=0,0,(AA40-(IF(AA40&lt;=0,0,(36000*(1+'1 - I TUOI 6 NUMERI'!$B$14)^19)/(1-'1 - I TUOI 6 NUMERI'!$B$15*(IF(AA40&lt;=0,0,MEDIAN(0,(AA40-AB40)/AA40,1))))))-(IF(AA40&lt;=0,0,'1 - I TUOI 6 NUMERI'!$B$16*AA40)))*(1+((1+0.03)*(1+'1 - I TUOI 6 NUMERI'!$B$14)-1)))</f>
        <v/>
      </c>
      <c r="AB41" s="23">
        <f>MAX(0,AB40-(IF(AA40&lt;=0,0,(36000*(1+'1 - I TUOI 6 NUMERI'!$B$14)^19)/(1-'1 - I TUOI 6 NUMERI'!$B$15*(IF(AA40&lt;=0,0,MEDIAN(0,(AA40-AB40)/AA40,1))))))*(1-(IF(AA40&lt;=0,0,MEDIAN(0,(AA40-AB40)/AA40,1)))))</f>
        <v/>
      </c>
      <c r="AC41" s="23">
        <f>IF(AC40&lt;=0,0,(AC40-(IF(AC40&lt;=0,0,(36000*(1+'1 - I TUOI 6 NUMERI'!$B$14)^19)/(1-'1 - I TUOI 6 NUMERI'!$B$15*(IF(AC40&lt;=0,0,MEDIAN(0,(AC40-AD40)/AC40,1))))))-(IF(AC40&lt;=0,0,'1 - I TUOI 6 NUMERI'!$B$16*AC40)))*(1+((1+0.05)*(1+'1 - I TUOI 6 NUMERI'!$B$14)-1)))</f>
        <v/>
      </c>
      <c r="AD41" s="23">
        <f>MAX(0,AD40-(IF(AC40&lt;=0,0,(36000*(1+'1 - I TUOI 6 NUMERI'!$B$14)^19)/(1-'1 - I TUOI 6 NUMERI'!$B$15*(IF(AC40&lt;=0,0,MEDIAN(0,(AC40-AD40)/AC40,1))))))*(1-(IF(AC40&lt;=0,0,MEDIAN(0,(AC40-AD40)/AC40,1)))))</f>
        <v/>
      </c>
    </row>
    <row r="42">
      <c r="F42" s="6" t="n">
        <v>20</v>
      </c>
      <c r="G42" s="23">
        <f>IF(G41&lt;=0,0,(G41-(IF(G41&lt;=0,0,(18000*(1+'1 - I TUOI 6 NUMERI'!$B$14)^20)/(1-'1 - I TUOI 6 NUMERI'!$B$15*(IF(G41&lt;=0,0,MEDIAN(0,(G41-H41)/G41,1))))))-(IF(G41&lt;=0,0,'1 - I TUOI 6 NUMERI'!$B$16*G41)))*(1+((1+0.01)*(1+'1 - I TUOI 6 NUMERI'!$B$14)-1)))</f>
        <v/>
      </c>
      <c r="H42" s="23">
        <f>MAX(0,H41-(IF(G41&lt;=0,0,(18000*(1+'1 - I TUOI 6 NUMERI'!$B$14)^20)/(1-'1 - I TUOI 6 NUMERI'!$B$15*(IF(G41&lt;=0,0,MEDIAN(0,(G41-H41)/G41,1))))))*(1-(IF(G41&lt;=0,0,MEDIAN(0,(G41-H41)/G41,1)))))</f>
        <v/>
      </c>
      <c r="I42" s="23">
        <f>IF(I41&lt;=0,0,(I41-(IF(I41&lt;=0,0,(18000*(1+'1 - I TUOI 6 NUMERI'!$B$14)^20)/(1-'1 - I TUOI 6 NUMERI'!$B$15*(IF(I41&lt;=0,0,MEDIAN(0,(I41-J41)/I41,1))))))-(IF(I41&lt;=0,0,'1 - I TUOI 6 NUMERI'!$B$16*I41)))*(1+((1+0.03)*(1+'1 - I TUOI 6 NUMERI'!$B$14)-1)))</f>
        <v/>
      </c>
      <c r="J42" s="23">
        <f>MAX(0,J41-(IF(I41&lt;=0,0,(18000*(1+'1 - I TUOI 6 NUMERI'!$B$14)^20)/(1-'1 - I TUOI 6 NUMERI'!$B$15*(IF(I41&lt;=0,0,MEDIAN(0,(I41-J41)/I41,1))))))*(1-(IF(I41&lt;=0,0,MEDIAN(0,(I41-J41)/I41,1)))))</f>
        <v/>
      </c>
      <c r="K42" s="23">
        <f>IF(K41&lt;=0,0,(K41-(IF(K41&lt;=0,0,(18000*(1+'1 - I TUOI 6 NUMERI'!$B$14)^20)/(1-'1 - I TUOI 6 NUMERI'!$B$15*(IF(K41&lt;=0,0,MEDIAN(0,(K41-L41)/K41,1))))))-(IF(K41&lt;=0,0,'1 - I TUOI 6 NUMERI'!$B$16*K41)))*(1+((1+0.05)*(1+'1 - I TUOI 6 NUMERI'!$B$14)-1)))</f>
        <v/>
      </c>
      <c r="L42" s="23">
        <f>MAX(0,L41-(IF(K41&lt;=0,0,(18000*(1+'1 - I TUOI 6 NUMERI'!$B$14)^20)/(1-'1 - I TUOI 6 NUMERI'!$B$15*(IF(K41&lt;=0,0,MEDIAN(0,(K41-L41)/K41,1))))))*(1-(IF(K41&lt;=0,0,MEDIAN(0,(K41-L41)/K41,1)))))</f>
        <v/>
      </c>
      <c r="M42" s="23">
        <f>IF(M41&lt;=0,0,(M41-(IF(M41&lt;=0,0,(24000*(1+'1 - I TUOI 6 NUMERI'!$B$14)^20)/(1-'1 - I TUOI 6 NUMERI'!$B$15*(IF(M41&lt;=0,0,MEDIAN(0,(M41-N41)/M41,1))))))-(IF(M41&lt;=0,0,'1 - I TUOI 6 NUMERI'!$B$16*M41)))*(1+((1+0.01)*(1+'1 - I TUOI 6 NUMERI'!$B$14)-1)))</f>
        <v/>
      </c>
      <c r="N42" s="23">
        <f>MAX(0,N41-(IF(M41&lt;=0,0,(24000*(1+'1 - I TUOI 6 NUMERI'!$B$14)^20)/(1-'1 - I TUOI 6 NUMERI'!$B$15*(IF(M41&lt;=0,0,MEDIAN(0,(M41-N41)/M41,1))))))*(1-(IF(M41&lt;=0,0,MEDIAN(0,(M41-N41)/M41,1)))))</f>
        <v/>
      </c>
      <c r="O42" s="23">
        <f>IF(O41&lt;=0,0,(O41-(IF(O41&lt;=0,0,(24000*(1+'1 - I TUOI 6 NUMERI'!$B$14)^20)/(1-'1 - I TUOI 6 NUMERI'!$B$15*(IF(O41&lt;=0,0,MEDIAN(0,(O41-P41)/O41,1))))))-(IF(O41&lt;=0,0,'1 - I TUOI 6 NUMERI'!$B$16*O41)))*(1+((1+0.03)*(1+'1 - I TUOI 6 NUMERI'!$B$14)-1)))</f>
        <v/>
      </c>
      <c r="P42" s="23">
        <f>MAX(0,P41-(IF(O41&lt;=0,0,(24000*(1+'1 - I TUOI 6 NUMERI'!$B$14)^20)/(1-'1 - I TUOI 6 NUMERI'!$B$15*(IF(O41&lt;=0,0,MEDIAN(0,(O41-P41)/O41,1))))))*(1-(IF(O41&lt;=0,0,MEDIAN(0,(O41-P41)/O41,1)))))</f>
        <v/>
      </c>
      <c r="Q42" s="23">
        <f>IF(Q41&lt;=0,0,(Q41-(IF(Q41&lt;=0,0,(24000*(1+'1 - I TUOI 6 NUMERI'!$B$14)^20)/(1-'1 - I TUOI 6 NUMERI'!$B$15*(IF(Q41&lt;=0,0,MEDIAN(0,(Q41-R41)/Q41,1))))))-(IF(Q41&lt;=0,0,'1 - I TUOI 6 NUMERI'!$B$16*Q41)))*(1+((1+0.05)*(1+'1 - I TUOI 6 NUMERI'!$B$14)-1)))</f>
        <v/>
      </c>
      <c r="R42" s="23">
        <f>MAX(0,R41-(IF(Q41&lt;=0,0,(24000*(1+'1 - I TUOI 6 NUMERI'!$B$14)^20)/(1-'1 - I TUOI 6 NUMERI'!$B$15*(IF(Q41&lt;=0,0,MEDIAN(0,(Q41-R41)/Q41,1))))))*(1-(IF(Q41&lt;=0,0,MEDIAN(0,(Q41-R41)/Q41,1)))))</f>
        <v/>
      </c>
      <c r="S42" s="23">
        <f>IF(S41&lt;=0,0,(S41-(IF(S41&lt;=0,0,(30000*(1+'1 - I TUOI 6 NUMERI'!$B$14)^20)/(1-'1 - I TUOI 6 NUMERI'!$B$15*(IF(S41&lt;=0,0,MEDIAN(0,(S41-T41)/S41,1))))))-(IF(S41&lt;=0,0,'1 - I TUOI 6 NUMERI'!$B$16*S41)))*(1+((1+0.01)*(1+'1 - I TUOI 6 NUMERI'!$B$14)-1)))</f>
        <v/>
      </c>
      <c r="T42" s="23">
        <f>MAX(0,T41-(IF(S41&lt;=0,0,(30000*(1+'1 - I TUOI 6 NUMERI'!$B$14)^20)/(1-'1 - I TUOI 6 NUMERI'!$B$15*(IF(S41&lt;=0,0,MEDIAN(0,(S41-T41)/S41,1))))))*(1-(IF(S41&lt;=0,0,MEDIAN(0,(S41-T41)/S41,1)))))</f>
        <v/>
      </c>
      <c r="U42" s="23">
        <f>IF(U41&lt;=0,0,(U41-(IF(U41&lt;=0,0,(30000*(1+'1 - I TUOI 6 NUMERI'!$B$14)^20)/(1-'1 - I TUOI 6 NUMERI'!$B$15*(IF(U41&lt;=0,0,MEDIAN(0,(U41-V41)/U41,1))))))-(IF(U41&lt;=0,0,'1 - I TUOI 6 NUMERI'!$B$16*U41)))*(1+((1+0.03)*(1+'1 - I TUOI 6 NUMERI'!$B$14)-1)))</f>
        <v/>
      </c>
      <c r="V42" s="23">
        <f>MAX(0,V41-(IF(U41&lt;=0,0,(30000*(1+'1 - I TUOI 6 NUMERI'!$B$14)^20)/(1-'1 - I TUOI 6 NUMERI'!$B$15*(IF(U41&lt;=0,0,MEDIAN(0,(U41-V41)/U41,1))))))*(1-(IF(U41&lt;=0,0,MEDIAN(0,(U41-V41)/U41,1)))))</f>
        <v/>
      </c>
      <c r="W42" s="23">
        <f>IF(W41&lt;=0,0,(W41-(IF(W41&lt;=0,0,(30000*(1+'1 - I TUOI 6 NUMERI'!$B$14)^20)/(1-'1 - I TUOI 6 NUMERI'!$B$15*(IF(W41&lt;=0,0,MEDIAN(0,(W41-X41)/W41,1))))))-(IF(W41&lt;=0,0,'1 - I TUOI 6 NUMERI'!$B$16*W41)))*(1+((1+0.05)*(1+'1 - I TUOI 6 NUMERI'!$B$14)-1)))</f>
        <v/>
      </c>
      <c r="X42" s="23">
        <f>MAX(0,X41-(IF(W41&lt;=0,0,(30000*(1+'1 - I TUOI 6 NUMERI'!$B$14)^20)/(1-'1 - I TUOI 6 NUMERI'!$B$15*(IF(W41&lt;=0,0,MEDIAN(0,(W41-X41)/W41,1))))))*(1-(IF(W41&lt;=0,0,MEDIAN(0,(W41-X41)/W41,1)))))</f>
        <v/>
      </c>
      <c r="Y42" s="23">
        <f>IF(Y41&lt;=0,0,(Y41-(IF(Y41&lt;=0,0,(36000*(1+'1 - I TUOI 6 NUMERI'!$B$14)^20)/(1-'1 - I TUOI 6 NUMERI'!$B$15*(IF(Y41&lt;=0,0,MEDIAN(0,(Y41-Z41)/Y41,1))))))-(IF(Y41&lt;=0,0,'1 - I TUOI 6 NUMERI'!$B$16*Y41)))*(1+((1+0.01)*(1+'1 - I TUOI 6 NUMERI'!$B$14)-1)))</f>
        <v/>
      </c>
      <c r="Z42" s="23">
        <f>MAX(0,Z41-(IF(Y41&lt;=0,0,(36000*(1+'1 - I TUOI 6 NUMERI'!$B$14)^20)/(1-'1 - I TUOI 6 NUMERI'!$B$15*(IF(Y41&lt;=0,0,MEDIAN(0,(Y41-Z41)/Y41,1))))))*(1-(IF(Y41&lt;=0,0,MEDIAN(0,(Y41-Z41)/Y41,1)))))</f>
        <v/>
      </c>
      <c r="AA42" s="23">
        <f>IF(AA41&lt;=0,0,(AA41-(IF(AA41&lt;=0,0,(36000*(1+'1 - I TUOI 6 NUMERI'!$B$14)^20)/(1-'1 - I TUOI 6 NUMERI'!$B$15*(IF(AA41&lt;=0,0,MEDIAN(0,(AA41-AB41)/AA41,1))))))-(IF(AA41&lt;=0,0,'1 - I TUOI 6 NUMERI'!$B$16*AA41)))*(1+((1+0.03)*(1+'1 - I TUOI 6 NUMERI'!$B$14)-1)))</f>
        <v/>
      </c>
      <c r="AB42" s="23">
        <f>MAX(0,AB41-(IF(AA41&lt;=0,0,(36000*(1+'1 - I TUOI 6 NUMERI'!$B$14)^20)/(1-'1 - I TUOI 6 NUMERI'!$B$15*(IF(AA41&lt;=0,0,MEDIAN(0,(AA41-AB41)/AA41,1))))))*(1-(IF(AA41&lt;=0,0,MEDIAN(0,(AA41-AB41)/AA41,1)))))</f>
        <v/>
      </c>
      <c r="AC42" s="23">
        <f>IF(AC41&lt;=0,0,(AC41-(IF(AC41&lt;=0,0,(36000*(1+'1 - I TUOI 6 NUMERI'!$B$14)^20)/(1-'1 - I TUOI 6 NUMERI'!$B$15*(IF(AC41&lt;=0,0,MEDIAN(0,(AC41-AD41)/AC41,1))))))-(IF(AC41&lt;=0,0,'1 - I TUOI 6 NUMERI'!$B$16*AC41)))*(1+((1+0.05)*(1+'1 - I TUOI 6 NUMERI'!$B$14)-1)))</f>
        <v/>
      </c>
      <c r="AD42" s="23">
        <f>MAX(0,AD41-(IF(AC41&lt;=0,0,(36000*(1+'1 - I TUOI 6 NUMERI'!$B$14)^20)/(1-'1 - I TUOI 6 NUMERI'!$B$15*(IF(AC41&lt;=0,0,MEDIAN(0,(AC41-AD41)/AC41,1))))))*(1-(IF(AC41&lt;=0,0,MEDIAN(0,(AC41-AD41)/AC41,1)))))</f>
        <v/>
      </c>
    </row>
    <row r="43">
      <c r="F43" s="6" t="n">
        <v>21</v>
      </c>
      <c r="G43" s="23">
        <f>IF(G42&lt;=0,0,(G42-(IF(G42&lt;=0,0,(18000*(1+'1 - I TUOI 6 NUMERI'!$B$14)^21)/(1-'1 - I TUOI 6 NUMERI'!$B$15*(IF(G42&lt;=0,0,MEDIAN(0,(G42-H42)/G42,1))))))-(IF(G42&lt;=0,0,'1 - I TUOI 6 NUMERI'!$B$16*G42)))*(1+((1+0.01)*(1+'1 - I TUOI 6 NUMERI'!$B$14)-1)))</f>
        <v/>
      </c>
      <c r="H43" s="23">
        <f>MAX(0,H42-(IF(G42&lt;=0,0,(18000*(1+'1 - I TUOI 6 NUMERI'!$B$14)^21)/(1-'1 - I TUOI 6 NUMERI'!$B$15*(IF(G42&lt;=0,0,MEDIAN(0,(G42-H42)/G42,1))))))*(1-(IF(G42&lt;=0,0,MEDIAN(0,(G42-H42)/G42,1)))))</f>
        <v/>
      </c>
      <c r="I43" s="23">
        <f>IF(I42&lt;=0,0,(I42-(IF(I42&lt;=0,0,(18000*(1+'1 - I TUOI 6 NUMERI'!$B$14)^21)/(1-'1 - I TUOI 6 NUMERI'!$B$15*(IF(I42&lt;=0,0,MEDIAN(0,(I42-J42)/I42,1))))))-(IF(I42&lt;=0,0,'1 - I TUOI 6 NUMERI'!$B$16*I42)))*(1+((1+0.03)*(1+'1 - I TUOI 6 NUMERI'!$B$14)-1)))</f>
        <v/>
      </c>
      <c r="J43" s="23">
        <f>MAX(0,J42-(IF(I42&lt;=0,0,(18000*(1+'1 - I TUOI 6 NUMERI'!$B$14)^21)/(1-'1 - I TUOI 6 NUMERI'!$B$15*(IF(I42&lt;=0,0,MEDIAN(0,(I42-J42)/I42,1))))))*(1-(IF(I42&lt;=0,0,MEDIAN(0,(I42-J42)/I42,1)))))</f>
        <v/>
      </c>
      <c r="K43" s="23">
        <f>IF(K42&lt;=0,0,(K42-(IF(K42&lt;=0,0,(18000*(1+'1 - I TUOI 6 NUMERI'!$B$14)^21)/(1-'1 - I TUOI 6 NUMERI'!$B$15*(IF(K42&lt;=0,0,MEDIAN(0,(K42-L42)/K42,1))))))-(IF(K42&lt;=0,0,'1 - I TUOI 6 NUMERI'!$B$16*K42)))*(1+((1+0.05)*(1+'1 - I TUOI 6 NUMERI'!$B$14)-1)))</f>
        <v/>
      </c>
      <c r="L43" s="23">
        <f>MAX(0,L42-(IF(K42&lt;=0,0,(18000*(1+'1 - I TUOI 6 NUMERI'!$B$14)^21)/(1-'1 - I TUOI 6 NUMERI'!$B$15*(IF(K42&lt;=0,0,MEDIAN(0,(K42-L42)/K42,1))))))*(1-(IF(K42&lt;=0,0,MEDIAN(0,(K42-L42)/K42,1)))))</f>
        <v/>
      </c>
      <c r="M43" s="23">
        <f>IF(M42&lt;=0,0,(M42-(IF(M42&lt;=0,0,(24000*(1+'1 - I TUOI 6 NUMERI'!$B$14)^21)/(1-'1 - I TUOI 6 NUMERI'!$B$15*(IF(M42&lt;=0,0,MEDIAN(0,(M42-N42)/M42,1))))))-(IF(M42&lt;=0,0,'1 - I TUOI 6 NUMERI'!$B$16*M42)))*(1+((1+0.01)*(1+'1 - I TUOI 6 NUMERI'!$B$14)-1)))</f>
        <v/>
      </c>
      <c r="N43" s="23">
        <f>MAX(0,N42-(IF(M42&lt;=0,0,(24000*(1+'1 - I TUOI 6 NUMERI'!$B$14)^21)/(1-'1 - I TUOI 6 NUMERI'!$B$15*(IF(M42&lt;=0,0,MEDIAN(0,(M42-N42)/M42,1))))))*(1-(IF(M42&lt;=0,0,MEDIAN(0,(M42-N42)/M42,1)))))</f>
        <v/>
      </c>
      <c r="O43" s="23">
        <f>IF(O42&lt;=0,0,(O42-(IF(O42&lt;=0,0,(24000*(1+'1 - I TUOI 6 NUMERI'!$B$14)^21)/(1-'1 - I TUOI 6 NUMERI'!$B$15*(IF(O42&lt;=0,0,MEDIAN(0,(O42-P42)/O42,1))))))-(IF(O42&lt;=0,0,'1 - I TUOI 6 NUMERI'!$B$16*O42)))*(1+((1+0.03)*(1+'1 - I TUOI 6 NUMERI'!$B$14)-1)))</f>
        <v/>
      </c>
      <c r="P43" s="23">
        <f>MAX(0,P42-(IF(O42&lt;=0,0,(24000*(1+'1 - I TUOI 6 NUMERI'!$B$14)^21)/(1-'1 - I TUOI 6 NUMERI'!$B$15*(IF(O42&lt;=0,0,MEDIAN(0,(O42-P42)/O42,1))))))*(1-(IF(O42&lt;=0,0,MEDIAN(0,(O42-P42)/O42,1)))))</f>
        <v/>
      </c>
      <c r="Q43" s="23">
        <f>IF(Q42&lt;=0,0,(Q42-(IF(Q42&lt;=0,0,(24000*(1+'1 - I TUOI 6 NUMERI'!$B$14)^21)/(1-'1 - I TUOI 6 NUMERI'!$B$15*(IF(Q42&lt;=0,0,MEDIAN(0,(Q42-R42)/Q42,1))))))-(IF(Q42&lt;=0,0,'1 - I TUOI 6 NUMERI'!$B$16*Q42)))*(1+((1+0.05)*(1+'1 - I TUOI 6 NUMERI'!$B$14)-1)))</f>
        <v/>
      </c>
      <c r="R43" s="23">
        <f>MAX(0,R42-(IF(Q42&lt;=0,0,(24000*(1+'1 - I TUOI 6 NUMERI'!$B$14)^21)/(1-'1 - I TUOI 6 NUMERI'!$B$15*(IF(Q42&lt;=0,0,MEDIAN(0,(Q42-R42)/Q42,1))))))*(1-(IF(Q42&lt;=0,0,MEDIAN(0,(Q42-R42)/Q42,1)))))</f>
        <v/>
      </c>
      <c r="S43" s="23">
        <f>IF(S42&lt;=0,0,(S42-(IF(S42&lt;=0,0,(30000*(1+'1 - I TUOI 6 NUMERI'!$B$14)^21)/(1-'1 - I TUOI 6 NUMERI'!$B$15*(IF(S42&lt;=0,0,MEDIAN(0,(S42-T42)/S42,1))))))-(IF(S42&lt;=0,0,'1 - I TUOI 6 NUMERI'!$B$16*S42)))*(1+((1+0.01)*(1+'1 - I TUOI 6 NUMERI'!$B$14)-1)))</f>
        <v/>
      </c>
      <c r="T43" s="23">
        <f>MAX(0,T42-(IF(S42&lt;=0,0,(30000*(1+'1 - I TUOI 6 NUMERI'!$B$14)^21)/(1-'1 - I TUOI 6 NUMERI'!$B$15*(IF(S42&lt;=0,0,MEDIAN(0,(S42-T42)/S42,1))))))*(1-(IF(S42&lt;=0,0,MEDIAN(0,(S42-T42)/S42,1)))))</f>
        <v/>
      </c>
      <c r="U43" s="23">
        <f>IF(U42&lt;=0,0,(U42-(IF(U42&lt;=0,0,(30000*(1+'1 - I TUOI 6 NUMERI'!$B$14)^21)/(1-'1 - I TUOI 6 NUMERI'!$B$15*(IF(U42&lt;=0,0,MEDIAN(0,(U42-V42)/U42,1))))))-(IF(U42&lt;=0,0,'1 - I TUOI 6 NUMERI'!$B$16*U42)))*(1+((1+0.03)*(1+'1 - I TUOI 6 NUMERI'!$B$14)-1)))</f>
        <v/>
      </c>
      <c r="V43" s="23">
        <f>MAX(0,V42-(IF(U42&lt;=0,0,(30000*(1+'1 - I TUOI 6 NUMERI'!$B$14)^21)/(1-'1 - I TUOI 6 NUMERI'!$B$15*(IF(U42&lt;=0,0,MEDIAN(0,(U42-V42)/U42,1))))))*(1-(IF(U42&lt;=0,0,MEDIAN(0,(U42-V42)/U42,1)))))</f>
        <v/>
      </c>
      <c r="W43" s="23">
        <f>IF(W42&lt;=0,0,(W42-(IF(W42&lt;=0,0,(30000*(1+'1 - I TUOI 6 NUMERI'!$B$14)^21)/(1-'1 - I TUOI 6 NUMERI'!$B$15*(IF(W42&lt;=0,0,MEDIAN(0,(W42-X42)/W42,1))))))-(IF(W42&lt;=0,0,'1 - I TUOI 6 NUMERI'!$B$16*W42)))*(1+((1+0.05)*(1+'1 - I TUOI 6 NUMERI'!$B$14)-1)))</f>
        <v/>
      </c>
      <c r="X43" s="23">
        <f>MAX(0,X42-(IF(W42&lt;=0,0,(30000*(1+'1 - I TUOI 6 NUMERI'!$B$14)^21)/(1-'1 - I TUOI 6 NUMERI'!$B$15*(IF(W42&lt;=0,0,MEDIAN(0,(W42-X42)/W42,1))))))*(1-(IF(W42&lt;=0,0,MEDIAN(0,(W42-X42)/W42,1)))))</f>
        <v/>
      </c>
      <c r="Y43" s="23">
        <f>IF(Y42&lt;=0,0,(Y42-(IF(Y42&lt;=0,0,(36000*(1+'1 - I TUOI 6 NUMERI'!$B$14)^21)/(1-'1 - I TUOI 6 NUMERI'!$B$15*(IF(Y42&lt;=0,0,MEDIAN(0,(Y42-Z42)/Y42,1))))))-(IF(Y42&lt;=0,0,'1 - I TUOI 6 NUMERI'!$B$16*Y42)))*(1+((1+0.01)*(1+'1 - I TUOI 6 NUMERI'!$B$14)-1)))</f>
        <v/>
      </c>
      <c r="Z43" s="23">
        <f>MAX(0,Z42-(IF(Y42&lt;=0,0,(36000*(1+'1 - I TUOI 6 NUMERI'!$B$14)^21)/(1-'1 - I TUOI 6 NUMERI'!$B$15*(IF(Y42&lt;=0,0,MEDIAN(0,(Y42-Z42)/Y42,1))))))*(1-(IF(Y42&lt;=0,0,MEDIAN(0,(Y42-Z42)/Y42,1)))))</f>
        <v/>
      </c>
      <c r="AA43" s="23">
        <f>IF(AA42&lt;=0,0,(AA42-(IF(AA42&lt;=0,0,(36000*(1+'1 - I TUOI 6 NUMERI'!$B$14)^21)/(1-'1 - I TUOI 6 NUMERI'!$B$15*(IF(AA42&lt;=0,0,MEDIAN(0,(AA42-AB42)/AA42,1))))))-(IF(AA42&lt;=0,0,'1 - I TUOI 6 NUMERI'!$B$16*AA42)))*(1+((1+0.03)*(1+'1 - I TUOI 6 NUMERI'!$B$14)-1)))</f>
        <v/>
      </c>
      <c r="AB43" s="23">
        <f>MAX(0,AB42-(IF(AA42&lt;=0,0,(36000*(1+'1 - I TUOI 6 NUMERI'!$B$14)^21)/(1-'1 - I TUOI 6 NUMERI'!$B$15*(IF(AA42&lt;=0,0,MEDIAN(0,(AA42-AB42)/AA42,1))))))*(1-(IF(AA42&lt;=0,0,MEDIAN(0,(AA42-AB42)/AA42,1)))))</f>
        <v/>
      </c>
      <c r="AC43" s="23">
        <f>IF(AC42&lt;=0,0,(AC42-(IF(AC42&lt;=0,0,(36000*(1+'1 - I TUOI 6 NUMERI'!$B$14)^21)/(1-'1 - I TUOI 6 NUMERI'!$B$15*(IF(AC42&lt;=0,0,MEDIAN(0,(AC42-AD42)/AC42,1))))))-(IF(AC42&lt;=0,0,'1 - I TUOI 6 NUMERI'!$B$16*AC42)))*(1+((1+0.05)*(1+'1 - I TUOI 6 NUMERI'!$B$14)-1)))</f>
        <v/>
      </c>
      <c r="AD43" s="23">
        <f>MAX(0,AD42-(IF(AC42&lt;=0,0,(36000*(1+'1 - I TUOI 6 NUMERI'!$B$14)^21)/(1-'1 - I TUOI 6 NUMERI'!$B$15*(IF(AC42&lt;=0,0,MEDIAN(0,(AC42-AD42)/AC42,1))))))*(1-(IF(AC42&lt;=0,0,MEDIAN(0,(AC42-AD42)/AC42,1)))))</f>
        <v/>
      </c>
    </row>
    <row r="44">
      <c r="F44" s="6" t="n">
        <v>22</v>
      </c>
      <c r="G44" s="23">
        <f>IF(G43&lt;=0,0,(G43-(IF(G43&lt;=0,0,(18000*(1+'1 - I TUOI 6 NUMERI'!$B$14)^22)/(1-'1 - I TUOI 6 NUMERI'!$B$15*(IF(G43&lt;=0,0,MEDIAN(0,(G43-H43)/G43,1))))))-(IF(G43&lt;=0,0,'1 - I TUOI 6 NUMERI'!$B$16*G43)))*(1+((1+0.01)*(1+'1 - I TUOI 6 NUMERI'!$B$14)-1)))</f>
        <v/>
      </c>
      <c r="H44" s="23">
        <f>MAX(0,H43-(IF(G43&lt;=0,0,(18000*(1+'1 - I TUOI 6 NUMERI'!$B$14)^22)/(1-'1 - I TUOI 6 NUMERI'!$B$15*(IF(G43&lt;=0,0,MEDIAN(0,(G43-H43)/G43,1))))))*(1-(IF(G43&lt;=0,0,MEDIAN(0,(G43-H43)/G43,1)))))</f>
        <v/>
      </c>
      <c r="I44" s="23">
        <f>IF(I43&lt;=0,0,(I43-(IF(I43&lt;=0,0,(18000*(1+'1 - I TUOI 6 NUMERI'!$B$14)^22)/(1-'1 - I TUOI 6 NUMERI'!$B$15*(IF(I43&lt;=0,0,MEDIAN(0,(I43-J43)/I43,1))))))-(IF(I43&lt;=0,0,'1 - I TUOI 6 NUMERI'!$B$16*I43)))*(1+((1+0.03)*(1+'1 - I TUOI 6 NUMERI'!$B$14)-1)))</f>
        <v/>
      </c>
      <c r="J44" s="23">
        <f>MAX(0,J43-(IF(I43&lt;=0,0,(18000*(1+'1 - I TUOI 6 NUMERI'!$B$14)^22)/(1-'1 - I TUOI 6 NUMERI'!$B$15*(IF(I43&lt;=0,0,MEDIAN(0,(I43-J43)/I43,1))))))*(1-(IF(I43&lt;=0,0,MEDIAN(0,(I43-J43)/I43,1)))))</f>
        <v/>
      </c>
      <c r="K44" s="23">
        <f>IF(K43&lt;=0,0,(K43-(IF(K43&lt;=0,0,(18000*(1+'1 - I TUOI 6 NUMERI'!$B$14)^22)/(1-'1 - I TUOI 6 NUMERI'!$B$15*(IF(K43&lt;=0,0,MEDIAN(0,(K43-L43)/K43,1))))))-(IF(K43&lt;=0,0,'1 - I TUOI 6 NUMERI'!$B$16*K43)))*(1+((1+0.05)*(1+'1 - I TUOI 6 NUMERI'!$B$14)-1)))</f>
        <v/>
      </c>
      <c r="L44" s="23">
        <f>MAX(0,L43-(IF(K43&lt;=0,0,(18000*(1+'1 - I TUOI 6 NUMERI'!$B$14)^22)/(1-'1 - I TUOI 6 NUMERI'!$B$15*(IF(K43&lt;=0,0,MEDIAN(0,(K43-L43)/K43,1))))))*(1-(IF(K43&lt;=0,0,MEDIAN(0,(K43-L43)/K43,1)))))</f>
        <v/>
      </c>
      <c r="M44" s="23">
        <f>IF(M43&lt;=0,0,(M43-(IF(M43&lt;=0,0,(24000*(1+'1 - I TUOI 6 NUMERI'!$B$14)^22)/(1-'1 - I TUOI 6 NUMERI'!$B$15*(IF(M43&lt;=0,0,MEDIAN(0,(M43-N43)/M43,1))))))-(IF(M43&lt;=0,0,'1 - I TUOI 6 NUMERI'!$B$16*M43)))*(1+((1+0.01)*(1+'1 - I TUOI 6 NUMERI'!$B$14)-1)))</f>
        <v/>
      </c>
      <c r="N44" s="23">
        <f>MAX(0,N43-(IF(M43&lt;=0,0,(24000*(1+'1 - I TUOI 6 NUMERI'!$B$14)^22)/(1-'1 - I TUOI 6 NUMERI'!$B$15*(IF(M43&lt;=0,0,MEDIAN(0,(M43-N43)/M43,1))))))*(1-(IF(M43&lt;=0,0,MEDIAN(0,(M43-N43)/M43,1)))))</f>
        <v/>
      </c>
      <c r="O44" s="23">
        <f>IF(O43&lt;=0,0,(O43-(IF(O43&lt;=0,0,(24000*(1+'1 - I TUOI 6 NUMERI'!$B$14)^22)/(1-'1 - I TUOI 6 NUMERI'!$B$15*(IF(O43&lt;=0,0,MEDIAN(0,(O43-P43)/O43,1))))))-(IF(O43&lt;=0,0,'1 - I TUOI 6 NUMERI'!$B$16*O43)))*(1+((1+0.03)*(1+'1 - I TUOI 6 NUMERI'!$B$14)-1)))</f>
        <v/>
      </c>
      <c r="P44" s="23">
        <f>MAX(0,P43-(IF(O43&lt;=0,0,(24000*(1+'1 - I TUOI 6 NUMERI'!$B$14)^22)/(1-'1 - I TUOI 6 NUMERI'!$B$15*(IF(O43&lt;=0,0,MEDIAN(0,(O43-P43)/O43,1))))))*(1-(IF(O43&lt;=0,0,MEDIAN(0,(O43-P43)/O43,1)))))</f>
        <v/>
      </c>
      <c r="Q44" s="23">
        <f>IF(Q43&lt;=0,0,(Q43-(IF(Q43&lt;=0,0,(24000*(1+'1 - I TUOI 6 NUMERI'!$B$14)^22)/(1-'1 - I TUOI 6 NUMERI'!$B$15*(IF(Q43&lt;=0,0,MEDIAN(0,(Q43-R43)/Q43,1))))))-(IF(Q43&lt;=0,0,'1 - I TUOI 6 NUMERI'!$B$16*Q43)))*(1+((1+0.05)*(1+'1 - I TUOI 6 NUMERI'!$B$14)-1)))</f>
        <v/>
      </c>
      <c r="R44" s="23">
        <f>MAX(0,R43-(IF(Q43&lt;=0,0,(24000*(1+'1 - I TUOI 6 NUMERI'!$B$14)^22)/(1-'1 - I TUOI 6 NUMERI'!$B$15*(IF(Q43&lt;=0,0,MEDIAN(0,(Q43-R43)/Q43,1))))))*(1-(IF(Q43&lt;=0,0,MEDIAN(0,(Q43-R43)/Q43,1)))))</f>
        <v/>
      </c>
      <c r="S44" s="23">
        <f>IF(S43&lt;=0,0,(S43-(IF(S43&lt;=0,0,(30000*(1+'1 - I TUOI 6 NUMERI'!$B$14)^22)/(1-'1 - I TUOI 6 NUMERI'!$B$15*(IF(S43&lt;=0,0,MEDIAN(0,(S43-T43)/S43,1))))))-(IF(S43&lt;=0,0,'1 - I TUOI 6 NUMERI'!$B$16*S43)))*(1+((1+0.01)*(1+'1 - I TUOI 6 NUMERI'!$B$14)-1)))</f>
        <v/>
      </c>
      <c r="T44" s="23">
        <f>MAX(0,T43-(IF(S43&lt;=0,0,(30000*(1+'1 - I TUOI 6 NUMERI'!$B$14)^22)/(1-'1 - I TUOI 6 NUMERI'!$B$15*(IF(S43&lt;=0,0,MEDIAN(0,(S43-T43)/S43,1))))))*(1-(IF(S43&lt;=0,0,MEDIAN(0,(S43-T43)/S43,1)))))</f>
        <v/>
      </c>
      <c r="U44" s="23">
        <f>IF(U43&lt;=0,0,(U43-(IF(U43&lt;=0,0,(30000*(1+'1 - I TUOI 6 NUMERI'!$B$14)^22)/(1-'1 - I TUOI 6 NUMERI'!$B$15*(IF(U43&lt;=0,0,MEDIAN(0,(U43-V43)/U43,1))))))-(IF(U43&lt;=0,0,'1 - I TUOI 6 NUMERI'!$B$16*U43)))*(1+((1+0.03)*(1+'1 - I TUOI 6 NUMERI'!$B$14)-1)))</f>
        <v/>
      </c>
      <c r="V44" s="23">
        <f>MAX(0,V43-(IF(U43&lt;=0,0,(30000*(1+'1 - I TUOI 6 NUMERI'!$B$14)^22)/(1-'1 - I TUOI 6 NUMERI'!$B$15*(IF(U43&lt;=0,0,MEDIAN(0,(U43-V43)/U43,1))))))*(1-(IF(U43&lt;=0,0,MEDIAN(0,(U43-V43)/U43,1)))))</f>
        <v/>
      </c>
      <c r="W44" s="23">
        <f>IF(W43&lt;=0,0,(W43-(IF(W43&lt;=0,0,(30000*(1+'1 - I TUOI 6 NUMERI'!$B$14)^22)/(1-'1 - I TUOI 6 NUMERI'!$B$15*(IF(W43&lt;=0,0,MEDIAN(0,(W43-X43)/W43,1))))))-(IF(W43&lt;=0,0,'1 - I TUOI 6 NUMERI'!$B$16*W43)))*(1+((1+0.05)*(1+'1 - I TUOI 6 NUMERI'!$B$14)-1)))</f>
        <v/>
      </c>
      <c r="X44" s="23">
        <f>MAX(0,X43-(IF(W43&lt;=0,0,(30000*(1+'1 - I TUOI 6 NUMERI'!$B$14)^22)/(1-'1 - I TUOI 6 NUMERI'!$B$15*(IF(W43&lt;=0,0,MEDIAN(0,(W43-X43)/W43,1))))))*(1-(IF(W43&lt;=0,0,MEDIAN(0,(W43-X43)/W43,1)))))</f>
        <v/>
      </c>
      <c r="Y44" s="23">
        <f>IF(Y43&lt;=0,0,(Y43-(IF(Y43&lt;=0,0,(36000*(1+'1 - I TUOI 6 NUMERI'!$B$14)^22)/(1-'1 - I TUOI 6 NUMERI'!$B$15*(IF(Y43&lt;=0,0,MEDIAN(0,(Y43-Z43)/Y43,1))))))-(IF(Y43&lt;=0,0,'1 - I TUOI 6 NUMERI'!$B$16*Y43)))*(1+((1+0.01)*(1+'1 - I TUOI 6 NUMERI'!$B$14)-1)))</f>
        <v/>
      </c>
      <c r="Z44" s="23">
        <f>MAX(0,Z43-(IF(Y43&lt;=0,0,(36000*(1+'1 - I TUOI 6 NUMERI'!$B$14)^22)/(1-'1 - I TUOI 6 NUMERI'!$B$15*(IF(Y43&lt;=0,0,MEDIAN(0,(Y43-Z43)/Y43,1))))))*(1-(IF(Y43&lt;=0,0,MEDIAN(0,(Y43-Z43)/Y43,1)))))</f>
        <v/>
      </c>
      <c r="AA44" s="23">
        <f>IF(AA43&lt;=0,0,(AA43-(IF(AA43&lt;=0,0,(36000*(1+'1 - I TUOI 6 NUMERI'!$B$14)^22)/(1-'1 - I TUOI 6 NUMERI'!$B$15*(IF(AA43&lt;=0,0,MEDIAN(0,(AA43-AB43)/AA43,1))))))-(IF(AA43&lt;=0,0,'1 - I TUOI 6 NUMERI'!$B$16*AA43)))*(1+((1+0.03)*(1+'1 - I TUOI 6 NUMERI'!$B$14)-1)))</f>
        <v/>
      </c>
      <c r="AB44" s="23">
        <f>MAX(0,AB43-(IF(AA43&lt;=0,0,(36000*(1+'1 - I TUOI 6 NUMERI'!$B$14)^22)/(1-'1 - I TUOI 6 NUMERI'!$B$15*(IF(AA43&lt;=0,0,MEDIAN(0,(AA43-AB43)/AA43,1))))))*(1-(IF(AA43&lt;=0,0,MEDIAN(0,(AA43-AB43)/AA43,1)))))</f>
        <v/>
      </c>
      <c r="AC44" s="23">
        <f>IF(AC43&lt;=0,0,(AC43-(IF(AC43&lt;=0,0,(36000*(1+'1 - I TUOI 6 NUMERI'!$B$14)^22)/(1-'1 - I TUOI 6 NUMERI'!$B$15*(IF(AC43&lt;=0,0,MEDIAN(0,(AC43-AD43)/AC43,1))))))-(IF(AC43&lt;=0,0,'1 - I TUOI 6 NUMERI'!$B$16*AC43)))*(1+((1+0.05)*(1+'1 - I TUOI 6 NUMERI'!$B$14)-1)))</f>
        <v/>
      </c>
      <c r="AD44" s="23">
        <f>MAX(0,AD43-(IF(AC43&lt;=0,0,(36000*(1+'1 - I TUOI 6 NUMERI'!$B$14)^22)/(1-'1 - I TUOI 6 NUMERI'!$B$15*(IF(AC43&lt;=0,0,MEDIAN(0,(AC43-AD43)/AC43,1))))))*(1-(IF(AC43&lt;=0,0,MEDIAN(0,(AC43-AD43)/AC43,1)))))</f>
        <v/>
      </c>
    </row>
    <row r="45">
      <c r="F45" s="6" t="n">
        <v>23</v>
      </c>
      <c r="G45" s="23">
        <f>IF(G44&lt;=0,0,(G44-(IF(G44&lt;=0,0,(18000*(1+'1 - I TUOI 6 NUMERI'!$B$14)^23)/(1-'1 - I TUOI 6 NUMERI'!$B$15*(IF(G44&lt;=0,0,MEDIAN(0,(G44-H44)/G44,1))))))-(IF(G44&lt;=0,0,'1 - I TUOI 6 NUMERI'!$B$16*G44)))*(1+((1+0.01)*(1+'1 - I TUOI 6 NUMERI'!$B$14)-1)))</f>
        <v/>
      </c>
      <c r="H45" s="23">
        <f>MAX(0,H44-(IF(G44&lt;=0,0,(18000*(1+'1 - I TUOI 6 NUMERI'!$B$14)^23)/(1-'1 - I TUOI 6 NUMERI'!$B$15*(IF(G44&lt;=0,0,MEDIAN(0,(G44-H44)/G44,1))))))*(1-(IF(G44&lt;=0,0,MEDIAN(0,(G44-H44)/G44,1)))))</f>
        <v/>
      </c>
      <c r="I45" s="23">
        <f>IF(I44&lt;=0,0,(I44-(IF(I44&lt;=0,0,(18000*(1+'1 - I TUOI 6 NUMERI'!$B$14)^23)/(1-'1 - I TUOI 6 NUMERI'!$B$15*(IF(I44&lt;=0,0,MEDIAN(0,(I44-J44)/I44,1))))))-(IF(I44&lt;=0,0,'1 - I TUOI 6 NUMERI'!$B$16*I44)))*(1+((1+0.03)*(1+'1 - I TUOI 6 NUMERI'!$B$14)-1)))</f>
        <v/>
      </c>
      <c r="J45" s="23">
        <f>MAX(0,J44-(IF(I44&lt;=0,0,(18000*(1+'1 - I TUOI 6 NUMERI'!$B$14)^23)/(1-'1 - I TUOI 6 NUMERI'!$B$15*(IF(I44&lt;=0,0,MEDIAN(0,(I44-J44)/I44,1))))))*(1-(IF(I44&lt;=0,0,MEDIAN(0,(I44-J44)/I44,1)))))</f>
        <v/>
      </c>
      <c r="K45" s="23">
        <f>IF(K44&lt;=0,0,(K44-(IF(K44&lt;=0,0,(18000*(1+'1 - I TUOI 6 NUMERI'!$B$14)^23)/(1-'1 - I TUOI 6 NUMERI'!$B$15*(IF(K44&lt;=0,0,MEDIAN(0,(K44-L44)/K44,1))))))-(IF(K44&lt;=0,0,'1 - I TUOI 6 NUMERI'!$B$16*K44)))*(1+((1+0.05)*(1+'1 - I TUOI 6 NUMERI'!$B$14)-1)))</f>
        <v/>
      </c>
      <c r="L45" s="23">
        <f>MAX(0,L44-(IF(K44&lt;=0,0,(18000*(1+'1 - I TUOI 6 NUMERI'!$B$14)^23)/(1-'1 - I TUOI 6 NUMERI'!$B$15*(IF(K44&lt;=0,0,MEDIAN(0,(K44-L44)/K44,1))))))*(1-(IF(K44&lt;=0,0,MEDIAN(0,(K44-L44)/K44,1)))))</f>
        <v/>
      </c>
      <c r="M45" s="23">
        <f>IF(M44&lt;=0,0,(M44-(IF(M44&lt;=0,0,(24000*(1+'1 - I TUOI 6 NUMERI'!$B$14)^23)/(1-'1 - I TUOI 6 NUMERI'!$B$15*(IF(M44&lt;=0,0,MEDIAN(0,(M44-N44)/M44,1))))))-(IF(M44&lt;=0,0,'1 - I TUOI 6 NUMERI'!$B$16*M44)))*(1+((1+0.01)*(1+'1 - I TUOI 6 NUMERI'!$B$14)-1)))</f>
        <v/>
      </c>
      <c r="N45" s="23">
        <f>MAX(0,N44-(IF(M44&lt;=0,0,(24000*(1+'1 - I TUOI 6 NUMERI'!$B$14)^23)/(1-'1 - I TUOI 6 NUMERI'!$B$15*(IF(M44&lt;=0,0,MEDIAN(0,(M44-N44)/M44,1))))))*(1-(IF(M44&lt;=0,0,MEDIAN(0,(M44-N44)/M44,1)))))</f>
        <v/>
      </c>
      <c r="O45" s="23">
        <f>IF(O44&lt;=0,0,(O44-(IF(O44&lt;=0,0,(24000*(1+'1 - I TUOI 6 NUMERI'!$B$14)^23)/(1-'1 - I TUOI 6 NUMERI'!$B$15*(IF(O44&lt;=0,0,MEDIAN(0,(O44-P44)/O44,1))))))-(IF(O44&lt;=0,0,'1 - I TUOI 6 NUMERI'!$B$16*O44)))*(1+((1+0.03)*(1+'1 - I TUOI 6 NUMERI'!$B$14)-1)))</f>
        <v/>
      </c>
      <c r="P45" s="23">
        <f>MAX(0,P44-(IF(O44&lt;=0,0,(24000*(1+'1 - I TUOI 6 NUMERI'!$B$14)^23)/(1-'1 - I TUOI 6 NUMERI'!$B$15*(IF(O44&lt;=0,0,MEDIAN(0,(O44-P44)/O44,1))))))*(1-(IF(O44&lt;=0,0,MEDIAN(0,(O44-P44)/O44,1)))))</f>
        <v/>
      </c>
      <c r="Q45" s="23">
        <f>IF(Q44&lt;=0,0,(Q44-(IF(Q44&lt;=0,0,(24000*(1+'1 - I TUOI 6 NUMERI'!$B$14)^23)/(1-'1 - I TUOI 6 NUMERI'!$B$15*(IF(Q44&lt;=0,0,MEDIAN(0,(Q44-R44)/Q44,1))))))-(IF(Q44&lt;=0,0,'1 - I TUOI 6 NUMERI'!$B$16*Q44)))*(1+((1+0.05)*(1+'1 - I TUOI 6 NUMERI'!$B$14)-1)))</f>
        <v/>
      </c>
      <c r="R45" s="23">
        <f>MAX(0,R44-(IF(Q44&lt;=0,0,(24000*(1+'1 - I TUOI 6 NUMERI'!$B$14)^23)/(1-'1 - I TUOI 6 NUMERI'!$B$15*(IF(Q44&lt;=0,0,MEDIAN(0,(Q44-R44)/Q44,1))))))*(1-(IF(Q44&lt;=0,0,MEDIAN(0,(Q44-R44)/Q44,1)))))</f>
        <v/>
      </c>
      <c r="S45" s="23">
        <f>IF(S44&lt;=0,0,(S44-(IF(S44&lt;=0,0,(30000*(1+'1 - I TUOI 6 NUMERI'!$B$14)^23)/(1-'1 - I TUOI 6 NUMERI'!$B$15*(IF(S44&lt;=0,0,MEDIAN(0,(S44-T44)/S44,1))))))-(IF(S44&lt;=0,0,'1 - I TUOI 6 NUMERI'!$B$16*S44)))*(1+((1+0.01)*(1+'1 - I TUOI 6 NUMERI'!$B$14)-1)))</f>
        <v/>
      </c>
      <c r="T45" s="23">
        <f>MAX(0,T44-(IF(S44&lt;=0,0,(30000*(1+'1 - I TUOI 6 NUMERI'!$B$14)^23)/(1-'1 - I TUOI 6 NUMERI'!$B$15*(IF(S44&lt;=0,0,MEDIAN(0,(S44-T44)/S44,1))))))*(1-(IF(S44&lt;=0,0,MEDIAN(0,(S44-T44)/S44,1)))))</f>
        <v/>
      </c>
      <c r="U45" s="23">
        <f>IF(U44&lt;=0,0,(U44-(IF(U44&lt;=0,0,(30000*(1+'1 - I TUOI 6 NUMERI'!$B$14)^23)/(1-'1 - I TUOI 6 NUMERI'!$B$15*(IF(U44&lt;=0,0,MEDIAN(0,(U44-V44)/U44,1))))))-(IF(U44&lt;=0,0,'1 - I TUOI 6 NUMERI'!$B$16*U44)))*(1+((1+0.03)*(1+'1 - I TUOI 6 NUMERI'!$B$14)-1)))</f>
        <v/>
      </c>
      <c r="V45" s="23">
        <f>MAX(0,V44-(IF(U44&lt;=0,0,(30000*(1+'1 - I TUOI 6 NUMERI'!$B$14)^23)/(1-'1 - I TUOI 6 NUMERI'!$B$15*(IF(U44&lt;=0,0,MEDIAN(0,(U44-V44)/U44,1))))))*(1-(IF(U44&lt;=0,0,MEDIAN(0,(U44-V44)/U44,1)))))</f>
        <v/>
      </c>
      <c r="W45" s="23">
        <f>IF(W44&lt;=0,0,(W44-(IF(W44&lt;=0,0,(30000*(1+'1 - I TUOI 6 NUMERI'!$B$14)^23)/(1-'1 - I TUOI 6 NUMERI'!$B$15*(IF(W44&lt;=0,0,MEDIAN(0,(W44-X44)/W44,1))))))-(IF(W44&lt;=0,0,'1 - I TUOI 6 NUMERI'!$B$16*W44)))*(1+((1+0.05)*(1+'1 - I TUOI 6 NUMERI'!$B$14)-1)))</f>
        <v/>
      </c>
      <c r="X45" s="23">
        <f>MAX(0,X44-(IF(W44&lt;=0,0,(30000*(1+'1 - I TUOI 6 NUMERI'!$B$14)^23)/(1-'1 - I TUOI 6 NUMERI'!$B$15*(IF(W44&lt;=0,0,MEDIAN(0,(W44-X44)/W44,1))))))*(1-(IF(W44&lt;=0,0,MEDIAN(0,(W44-X44)/W44,1)))))</f>
        <v/>
      </c>
      <c r="Y45" s="23">
        <f>IF(Y44&lt;=0,0,(Y44-(IF(Y44&lt;=0,0,(36000*(1+'1 - I TUOI 6 NUMERI'!$B$14)^23)/(1-'1 - I TUOI 6 NUMERI'!$B$15*(IF(Y44&lt;=0,0,MEDIAN(0,(Y44-Z44)/Y44,1))))))-(IF(Y44&lt;=0,0,'1 - I TUOI 6 NUMERI'!$B$16*Y44)))*(1+((1+0.01)*(1+'1 - I TUOI 6 NUMERI'!$B$14)-1)))</f>
        <v/>
      </c>
      <c r="Z45" s="23">
        <f>MAX(0,Z44-(IF(Y44&lt;=0,0,(36000*(1+'1 - I TUOI 6 NUMERI'!$B$14)^23)/(1-'1 - I TUOI 6 NUMERI'!$B$15*(IF(Y44&lt;=0,0,MEDIAN(0,(Y44-Z44)/Y44,1))))))*(1-(IF(Y44&lt;=0,0,MEDIAN(0,(Y44-Z44)/Y44,1)))))</f>
        <v/>
      </c>
      <c r="AA45" s="23">
        <f>IF(AA44&lt;=0,0,(AA44-(IF(AA44&lt;=0,0,(36000*(1+'1 - I TUOI 6 NUMERI'!$B$14)^23)/(1-'1 - I TUOI 6 NUMERI'!$B$15*(IF(AA44&lt;=0,0,MEDIAN(0,(AA44-AB44)/AA44,1))))))-(IF(AA44&lt;=0,0,'1 - I TUOI 6 NUMERI'!$B$16*AA44)))*(1+((1+0.03)*(1+'1 - I TUOI 6 NUMERI'!$B$14)-1)))</f>
        <v/>
      </c>
      <c r="AB45" s="23">
        <f>MAX(0,AB44-(IF(AA44&lt;=0,0,(36000*(1+'1 - I TUOI 6 NUMERI'!$B$14)^23)/(1-'1 - I TUOI 6 NUMERI'!$B$15*(IF(AA44&lt;=0,0,MEDIAN(0,(AA44-AB44)/AA44,1))))))*(1-(IF(AA44&lt;=0,0,MEDIAN(0,(AA44-AB44)/AA44,1)))))</f>
        <v/>
      </c>
      <c r="AC45" s="23">
        <f>IF(AC44&lt;=0,0,(AC44-(IF(AC44&lt;=0,0,(36000*(1+'1 - I TUOI 6 NUMERI'!$B$14)^23)/(1-'1 - I TUOI 6 NUMERI'!$B$15*(IF(AC44&lt;=0,0,MEDIAN(0,(AC44-AD44)/AC44,1))))))-(IF(AC44&lt;=0,0,'1 - I TUOI 6 NUMERI'!$B$16*AC44)))*(1+((1+0.05)*(1+'1 - I TUOI 6 NUMERI'!$B$14)-1)))</f>
        <v/>
      </c>
      <c r="AD45" s="23">
        <f>MAX(0,AD44-(IF(AC44&lt;=0,0,(36000*(1+'1 - I TUOI 6 NUMERI'!$B$14)^23)/(1-'1 - I TUOI 6 NUMERI'!$B$15*(IF(AC44&lt;=0,0,MEDIAN(0,(AC44-AD44)/AC44,1))))))*(1-(IF(AC44&lt;=0,0,MEDIAN(0,(AC44-AD44)/AC44,1)))))</f>
        <v/>
      </c>
    </row>
    <row r="46">
      <c r="F46" s="6" t="n">
        <v>24</v>
      </c>
      <c r="G46" s="23">
        <f>IF(G45&lt;=0,0,(G45-(IF(G45&lt;=0,0,(18000*(1+'1 - I TUOI 6 NUMERI'!$B$14)^24)/(1-'1 - I TUOI 6 NUMERI'!$B$15*(IF(G45&lt;=0,0,MEDIAN(0,(G45-H45)/G45,1))))))-(IF(G45&lt;=0,0,'1 - I TUOI 6 NUMERI'!$B$16*G45)))*(1+((1+0.01)*(1+'1 - I TUOI 6 NUMERI'!$B$14)-1)))</f>
        <v/>
      </c>
      <c r="H46" s="23">
        <f>MAX(0,H45-(IF(G45&lt;=0,0,(18000*(1+'1 - I TUOI 6 NUMERI'!$B$14)^24)/(1-'1 - I TUOI 6 NUMERI'!$B$15*(IF(G45&lt;=0,0,MEDIAN(0,(G45-H45)/G45,1))))))*(1-(IF(G45&lt;=0,0,MEDIAN(0,(G45-H45)/G45,1)))))</f>
        <v/>
      </c>
      <c r="I46" s="23">
        <f>IF(I45&lt;=0,0,(I45-(IF(I45&lt;=0,0,(18000*(1+'1 - I TUOI 6 NUMERI'!$B$14)^24)/(1-'1 - I TUOI 6 NUMERI'!$B$15*(IF(I45&lt;=0,0,MEDIAN(0,(I45-J45)/I45,1))))))-(IF(I45&lt;=0,0,'1 - I TUOI 6 NUMERI'!$B$16*I45)))*(1+((1+0.03)*(1+'1 - I TUOI 6 NUMERI'!$B$14)-1)))</f>
        <v/>
      </c>
      <c r="J46" s="23">
        <f>MAX(0,J45-(IF(I45&lt;=0,0,(18000*(1+'1 - I TUOI 6 NUMERI'!$B$14)^24)/(1-'1 - I TUOI 6 NUMERI'!$B$15*(IF(I45&lt;=0,0,MEDIAN(0,(I45-J45)/I45,1))))))*(1-(IF(I45&lt;=0,0,MEDIAN(0,(I45-J45)/I45,1)))))</f>
        <v/>
      </c>
      <c r="K46" s="23">
        <f>IF(K45&lt;=0,0,(K45-(IF(K45&lt;=0,0,(18000*(1+'1 - I TUOI 6 NUMERI'!$B$14)^24)/(1-'1 - I TUOI 6 NUMERI'!$B$15*(IF(K45&lt;=0,0,MEDIAN(0,(K45-L45)/K45,1))))))-(IF(K45&lt;=0,0,'1 - I TUOI 6 NUMERI'!$B$16*K45)))*(1+((1+0.05)*(1+'1 - I TUOI 6 NUMERI'!$B$14)-1)))</f>
        <v/>
      </c>
      <c r="L46" s="23">
        <f>MAX(0,L45-(IF(K45&lt;=0,0,(18000*(1+'1 - I TUOI 6 NUMERI'!$B$14)^24)/(1-'1 - I TUOI 6 NUMERI'!$B$15*(IF(K45&lt;=0,0,MEDIAN(0,(K45-L45)/K45,1))))))*(1-(IF(K45&lt;=0,0,MEDIAN(0,(K45-L45)/K45,1)))))</f>
        <v/>
      </c>
      <c r="M46" s="23">
        <f>IF(M45&lt;=0,0,(M45-(IF(M45&lt;=0,0,(24000*(1+'1 - I TUOI 6 NUMERI'!$B$14)^24)/(1-'1 - I TUOI 6 NUMERI'!$B$15*(IF(M45&lt;=0,0,MEDIAN(0,(M45-N45)/M45,1))))))-(IF(M45&lt;=0,0,'1 - I TUOI 6 NUMERI'!$B$16*M45)))*(1+((1+0.01)*(1+'1 - I TUOI 6 NUMERI'!$B$14)-1)))</f>
        <v/>
      </c>
      <c r="N46" s="23">
        <f>MAX(0,N45-(IF(M45&lt;=0,0,(24000*(1+'1 - I TUOI 6 NUMERI'!$B$14)^24)/(1-'1 - I TUOI 6 NUMERI'!$B$15*(IF(M45&lt;=0,0,MEDIAN(0,(M45-N45)/M45,1))))))*(1-(IF(M45&lt;=0,0,MEDIAN(0,(M45-N45)/M45,1)))))</f>
        <v/>
      </c>
      <c r="O46" s="23">
        <f>IF(O45&lt;=0,0,(O45-(IF(O45&lt;=0,0,(24000*(1+'1 - I TUOI 6 NUMERI'!$B$14)^24)/(1-'1 - I TUOI 6 NUMERI'!$B$15*(IF(O45&lt;=0,0,MEDIAN(0,(O45-P45)/O45,1))))))-(IF(O45&lt;=0,0,'1 - I TUOI 6 NUMERI'!$B$16*O45)))*(1+((1+0.03)*(1+'1 - I TUOI 6 NUMERI'!$B$14)-1)))</f>
        <v/>
      </c>
      <c r="P46" s="23">
        <f>MAX(0,P45-(IF(O45&lt;=0,0,(24000*(1+'1 - I TUOI 6 NUMERI'!$B$14)^24)/(1-'1 - I TUOI 6 NUMERI'!$B$15*(IF(O45&lt;=0,0,MEDIAN(0,(O45-P45)/O45,1))))))*(1-(IF(O45&lt;=0,0,MEDIAN(0,(O45-P45)/O45,1)))))</f>
        <v/>
      </c>
      <c r="Q46" s="23">
        <f>IF(Q45&lt;=0,0,(Q45-(IF(Q45&lt;=0,0,(24000*(1+'1 - I TUOI 6 NUMERI'!$B$14)^24)/(1-'1 - I TUOI 6 NUMERI'!$B$15*(IF(Q45&lt;=0,0,MEDIAN(0,(Q45-R45)/Q45,1))))))-(IF(Q45&lt;=0,0,'1 - I TUOI 6 NUMERI'!$B$16*Q45)))*(1+((1+0.05)*(1+'1 - I TUOI 6 NUMERI'!$B$14)-1)))</f>
        <v/>
      </c>
      <c r="R46" s="23">
        <f>MAX(0,R45-(IF(Q45&lt;=0,0,(24000*(1+'1 - I TUOI 6 NUMERI'!$B$14)^24)/(1-'1 - I TUOI 6 NUMERI'!$B$15*(IF(Q45&lt;=0,0,MEDIAN(0,(Q45-R45)/Q45,1))))))*(1-(IF(Q45&lt;=0,0,MEDIAN(0,(Q45-R45)/Q45,1)))))</f>
        <v/>
      </c>
      <c r="S46" s="23">
        <f>IF(S45&lt;=0,0,(S45-(IF(S45&lt;=0,0,(30000*(1+'1 - I TUOI 6 NUMERI'!$B$14)^24)/(1-'1 - I TUOI 6 NUMERI'!$B$15*(IF(S45&lt;=0,0,MEDIAN(0,(S45-T45)/S45,1))))))-(IF(S45&lt;=0,0,'1 - I TUOI 6 NUMERI'!$B$16*S45)))*(1+((1+0.01)*(1+'1 - I TUOI 6 NUMERI'!$B$14)-1)))</f>
        <v/>
      </c>
      <c r="T46" s="23">
        <f>MAX(0,T45-(IF(S45&lt;=0,0,(30000*(1+'1 - I TUOI 6 NUMERI'!$B$14)^24)/(1-'1 - I TUOI 6 NUMERI'!$B$15*(IF(S45&lt;=0,0,MEDIAN(0,(S45-T45)/S45,1))))))*(1-(IF(S45&lt;=0,0,MEDIAN(0,(S45-T45)/S45,1)))))</f>
        <v/>
      </c>
      <c r="U46" s="23">
        <f>IF(U45&lt;=0,0,(U45-(IF(U45&lt;=0,0,(30000*(1+'1 - I TUOI 6 NUMERI'!$B$14)^24)/(1-'1 - I TUOI 6 NUMERI'!$B$15*(IF(U45&lt;=0,0,MEDIAN(0,(U45-V45)/U45,1))))))-(IF(U45&lt;=0,0,'1 - I TUOI 6 NUMERI'!$B$16*U45)))*(1+((1+0.03)*(1+'1 - I TUOI 6 NUMERI'!$B$14)-1)))</f>
        <v/>
      </c>
      <c r="V46" s="23">
        <f>MAX(0,V45-(IF(U45&lt;=0,0,(30000*(1+'1 - I TUOI 6 NUMERI'!$B$14)^24)/(1-'1 - I TUOI 6 NUMERI'!$B$15*(IF(U45&lt;=0,0,MEDIAN(0,(U45-V45)/U45,1))))))*(1-(IF(U45&lt;=0,0,MEDIAN(0,(U45-V45)/U45,1)))))</f>
        <v/>
      </c>
      <c r="W46" s="23">
        <f>IF(W45&lt;=0,0,(W45-(IF(W45&lt;=0,0,(30000*(1+'1 - I TUOI 6 NUMERI'!$B$14)^24)/(1-'1 - I TUOI 6 NUMERI'!$B$15*(IF(W45&lt;=0,0,MEDIAN(0,(W45-X45)/W45,1))))))-(IF(W45&lt;=0,0,'1 - I TUOI 6 NUMERI'!$B$16*W45)))*(1+((1+0.05)*(1+'1 - I TUOI 6 NUMERI'!$B$14)-1)))</f>
        <v/>
      </c>
      <c r="X46" s="23">
        <f>MAX(0,X45-(IF(W45&lt;=0,0,(30000*(1+'1 - I TUOI 6 NUMERI'!$B$14)^24)/(1-'1 - I TUOI 6 NUMERI'!$B$15*(IF(W45&lt;=0,0,MEDIAN(0,(W45-X45)/W45,1))))))*(1-(IF(W45&lt;=0,0,MEDIAN(0,(W45-X45)/W45,1)))))</f>
        <v/>
      </c>
      <c r="Y46" s="23">
        <f>IF(Y45&lt;=0,0,(Y45-(IF(Y45&lt;=0,0,(36000*(1+'1 - I TUOI 6 NUMERI'!$B$14)^24)/(1-'1 - I TUOI 6 NUMERI'!$B$15*(IF(Y45&lt;=0,0,MEDIAN(0,(Y45-Z45)/Y45,1))))))-(IF(Y45&lt;=0,0,'1 - I TUOI 6 NUMERI'!$B$16*Y45)))*(1+((1+0.01)*(1+'1 - I TUOI 6 NUMERI'!$B$14)-1)))</f>
        <v/>
      </c>
      <c r="Z46" s="23">
        <f>MAX(0,Z45-(IF(Y45&lt;=0,0,(36000*(1+'1 - I TUOI 6 NUMERI'!$B$14)^24)/(1-'1 - I TUOI 6 NUMERI'!$B$15*(IF(Y45&lt;=0,0,MEDIAN(0,(Y45-Z45)/Y45,1))))))*(1-(IF(Y45&lt;=0,0,MEDIAN(0,(Y45-Z45)/Y45,1)))))</f>
        <v/>
      </c>
      <c r="AA46" s="23">
        <f>IF(AA45&lt;=0,0,(AA45-(IF(AA45&lt;=0,0,(36000*(1+'1 - I TUOI 6 NUMERI'!$B$14)^24)/(1-'1 - I TUOI 6 NUMERI'!$B$15*(IF(AA45&lt;=0,0,MEDIAN(0,(AA45-AB45)/AA45,1))))))-(IF(AA45&lt;=0,0,'1 - I TUOI 6 NUMERI'!$B$16*AA45)))*(1+((1+0.03)*(1+'1 - I TUOI 6 NUMERI'!$B$14)-1)))</f>
        <v/>
      </c>
      <c r="AB46" s="23">
        <f>MAX(0,AB45-(IF(AA45&lt;=0,0,(36000*(1+'1 - I TUOI 6 NUMERI'!$B$14)^24)/(1-'1 - I TUOI 6 NUMERI'!$B$15*(IF(AA45&lt;=0,0,MEDIAN(0,(AA45-AB45)/AA45,1))))))*(1-(IF(AA45&lt;=0,0,MEDIAN(0,(AA45-AB45)/AA45,1)))))</f>
        <v/>
      </c>
      <c r="AC46" s="23">
        <f>IF(AC45&lt;=0,0,(AC45-(IF(AC45&lt;=0,0,(36000*(1+'1 - I TUOI 6 NUMERI'!$B$14)^24)/(1-'1 - I TUOI 6 NUMERI'!$B$15*(IF(AC45&lt;=0,0,MEDIAN(0,(AC45-AD45)/AC45,1))))))-(IF(AC45&lt;=0,0,'1 - I TUOI 6 NUMERI'!$B$16*AC45)))*(1+((1+0.05)*(1+'1 - I TUOI 6 NUMERI'!$B$14)-1)))</f>
        <v/>
      </c>
      <c r="AD46" s="23">
        <f>MAX(0,AD45-(IF(AC45&lt;=0,0,(36000*(1+'1 - I TUOI 6 NUMERI'!$B$14)^24)/(1-'1 - I TUOI 6 NUMERI'!$B$15*(IF(AC45&lt;=0,0,MEDIAN(0,(AC45-AD45)/AC45,1))))))*(1-(IF(AC45&lt;=0,0,MEDIAN(0,(AC45-AD45)/AC45,1)))))</f>
        <v/>
      </c>
    </row>
    <row r="47">
      <c r="F47" s="6" t="n">
        <v>25</v>
      </c>
      <c r="G47" s="23">
        <f>IF(G46&lt;=0,0,(G46-(IF(G46&lt;=0,0,(18000*(1+'1 - I TUOI 6 NUMERI'!$B$14)^25)/(1-'1 - I TUOI 6 NUMERI'!$B$15*(IF(G46&lt;=0,0,MEDIAN(0,(G46-H46)/G46,1))))))-(IF(G46&lt;=0,0,'1 - I TUOI 6 NUMERI'!$B$16*G46)))*(1+((1+0.01)*(1+'1 - I TUOI 6 NUMERI'!$B$14)-1)))</f>
        <v/>
      </c>
      <c r="H47" s="23">
        <f>MAX(0,H46-(IF(G46&lt;=0,0,(18000*(1+'1 - I TUOI 6 NUMERI'!$B$14)^25)/(1-'1 - I TUOI 6 NUMERI'!$B$15*(IF(G46&lt;=0,0,MEDIAN(0,(G46-H46)/G46,1))))))*(1-(IF(G46&lt;=0,0,MEDIAN(0,(G46-H46)/G46,1)))))</f>
        <v/>
      </c>
      <c r="I47" s="23">
        <f>IF(I46&lt;=0,0,(I46-(IF(I46&lt;=0,0,(18000*(1+'1 - I TUOI 6 NUMERI'!$B$14)^25)/(1-'1 - I TUOI 6 NUMERI'!$B$15*(IF(I46&lt;=0,0,MEDIAN(0,(I46-J46)/I46,1))))))-(IF(I46&lt;=0,0,'1 - I TUOI 6 NUMERI'!$B$16*I46)))*(1+((1+0.03)*(1+'1 - I TUOI 6 NUMERI'!$B$14)-1)))</f>
        <v/>
      </c>
      <c r="J47" s="23">
        <f>MAX(0,J46-(IF(I46&lt;=0,0,(18000*(1+'1 - I TUOI 6 NUMERI'!$B$14)^25)/(1-'1 - I TUOI 6 NUMERI'!$B$15*(IF(I46&lt;=0,0,MEDIAN(0,(I46-J46)/I46,1))))))*(1-(IF(I46&lt;=0,0,MEDIAN(0,(I46-J46)/I46,1)))))</f>
        <v/>
      </c>
      <c r="K47" s="23">
        <f>IF(K46&lt;=0,0,(K46-(IF(K46&lt;=0,0,(18000*(1+'1 - I TUOI 6 NUMERI'!$B$14)^25)/(1-'1 - I TUOI 6 NUMERI'!$B$15*(IF(K46&lt;=0,0,MEDIAN(0,(K46-L46)/K46,1))))))-(IF(K46&lt;=0,0,'1 - I TUOI 6 NUMERI'!$B$16*K46)))*(1+((1+0.05)*(1+'1 - I TUOI 6 NUMERI'!$B$14)-1)))</f>
        <v/>
      </c>
      <c r="L47" s="23">
        <f>MAX(0,L46-(IF(K46&lt;=0,0,(18000*(1+'1 - I TUOI 6 NUMERI'!$B$14)^25)/(1-'1 - I TUOI 6 NUMERI'!$B$15*(IF(K46&lt;=0,0,MEDIAN(0,(K46-L46)/K46,1))))))*(1-(IF(K46&lt;=0,0,MEDIAN(0,(K46-L46)/K46,1)))))</f>
        <v/>
      </c>
      <c r="M47" s="23">
        <f>IF(M46&lt;=0,0,(M46-(IF(M46&lt;=0,0,(24000*(1+'1 - I TUOI 6 NUMERI'!$B$14)^25)/(1-'1 - I TUOI 6 NUMERI'!$B$15*(IF(M46&lt;=0,0,MEDIAN(0,(M46-N46)/M46,1))))))-(IF(M46&lt;=0,0,'1 - I TUOI 6 NUMERI'!$B$16*M46)))*(1+((1+0.01)*(1+'1 - I TUOI 6 NUMERI'!$B$14)-1)))</f>
        <v/>
      </c>
      <c r="N47" s="23">
        <f>MAX(0,N46-(IF(M46&lt;=0,0,(24000*(1+'1 - I TUOI 6 NUMERI'!$B$14)^25)/(1-'1 - I TUOI 6 NUMERI'!$B$15*(IF(M46&lt;=0,0,MEDIAN(0,(M46-N46)/M46,1))))))*(1-(IF(M46&lt;=0,0,MEDIAN(0,(M46-N46)/M46,1)))))</f>
        <v/>
      </c>
      <c r="O47" s="23">
        <f>IF(O46&lt;=0,0,(O46-(IF(O46&lt;=0,0,(24000*(1+'1 - I TUOI 6 NUMERI'!$B$14)^25)/(1-'1 - I TUOI 6 NUMERI'!$B$15*(IF(O46&lt;=0,0,MEDIAN(0,(O46-P46)/O46,1))))))-(IF(O46&lt;=0,0,'1 - I TUOI 6 NUMERI'!$B$16*O46)))*(1+((1+0.03)*(1+'1 - I TUOI 6 NUMERI'!$B$14)-1)))</f>
        <v/>
      </c>
      <c r="P47" s="23">
        <f>MAX(0,P46-(IF(O46&lt;=0,0,(24000*(1+'1 - I TUOI 6 NUMERI'!$B$14)^25)/(1-'1 - I TUOI 6 NUMERI'!$B$15*(IF(O46&lt;=0,0,MEDIAN(0,(O46-P46)/O46,1))))))*(1-(IF(O46&lt;=0,0,MEDIAN(0,(O46-P46)/O46,1)))))</f>
        <v/>
      </c>
      <c r="Q47" s="23">
        <f>IF(Q46&lt;=0,0,(Q46-(IF(Q46&lt;=0,0,(24000*(1+'1 - I TUOI 6 NUMERI'!$B$14)^25)/(1-'1 - I TUOI 6 NUMERI'!$B$15*(IF(Q46&lt;=0,0,MEDIAN(0,(Q46-R46)/Q46,1))))))-(IF(Q46&lt;=0,0,'1 - I TUOI 6 NUMERI'!$B$16*Q46)))*(1+((1+0.05)*(1+'1 - I TUOI 6 NUMERI'!$B$14)-1)))</f>
        <v/>
      </c>
      <c r="R47" s="23">
        <f>MAX(0,R46-(IF(Q46&lt;=0,0,(24000*(1+'1 - I TUOI 6 NUMERI'!$B$14)^25)/(1-'1 - I TUOI 6 NUMERI'!$B$15*(IF(Q46&lt;=0,0,MEDIAN(0,(Q46-R46)/Q46,1))))))*(1-(IF(Q46&lt;=0,0,MEDIAN(0,(Q46-R46)/Q46,1)))))</f>
        <v/>
      </c>
      <c r="S47" s="23">
        <f>IF(S46&lt;=0,0,(S46-(IF(S46&lt;=0,0,(30000*(1+'1 - I TUOI 6 NUMERI'!$B$14)^25)/(1-'1 - I TUOI 6 NUMERI'!$B$15*(IF(S46&lt;=0,0,MEDIAN(0,(S46-T46)/S46,1))))))-(IF(S46&lt;=0,0,'1 - I TUOI 6 NUMERI'!$B$16*S46)))*(1+((1+0.01)*(1+'1 - I TUOI 6 NUMERI'!$B$14)-1)))</f>
        <v/>
      </c>
      <c r="T47" s="23">
        <f>MAX(0,T46-(IF(S46&lt;=0,0,(30000*(1+'1 - I TUOI 6 NUMERI'!$B$14)^25)/(1-'1 - I TUOI 6 NUMERI'!$B$15*(IF(S46&lt;=0,0,MEDIAN(0,(S46-T46)/S46,1))))))*(1-(IF(S46&lt;=0,0,MEDIAN(0,(S46-T46)/S46,1)))))</f>
        <v/>
      </c>
      <c r="U47" s="23">
        <f>IF(U46&lt;=0,0,(U46-(IF(U46&lt;=0,0,(30000*(1+'1 - I TUOI 6 NUMERI'!$B$14)^25)/(1-'1 - I TUOI 6 NUMERI'!$B$15*(IF(U46&lt;=0,0,MEDIAN(0,(U46-V46)/U46,1))))))-(IF(U46&lt;=0,0,'1 - I TUOI 6 NUMERI'!$B$16*U46)))*(1+((1+0.03)*(1+'1 - I TUOI 6 NUMERI'!$B$14)-1)))</f>
        <v/>
      </c>
      <c r="V47" s="23">
        <f>MAX(0,V46-(IF(U46&lt;=0,0,(30000*(1+'1 - I TUOI 6 NUMERI'!$B$14)^25)/(1-'1 - I TUOI 6 NUMERI'!$B$15*(IF(U46&lt;=0,0,MEDIAN(0,(U46-V46)/U46,1))))))*(1-(IF(U46&lt;=0,0,MEDIAN(0,(U46-V46)/U46,1)))))</f>
        <v/>
      </c>
      <c r="W47" s="23">
        <f>IF(W46&lt;=0,0,(W46-(IF(W46&lt;=0,0,(30000*(1+'1 - I TUOI 6 NUMERI'!$B$14)^25)/(1-'1 - I TUOI 6 NUMERI'!$B$15*(IF(W46&lt;=0,0,MEDIAN(0,(W46-X46)/W46,1))))))-(IF(W46&lt;=0,0,'1 - I TUOI 6 NUMERI'!$B$16*W46)))*(1+((1+0.05)*(1+'1 - I TUOI 6 NUMERI'!$B$14)-1)))</f>
        <v/>
      </c>
      <c r="X47" s="23">
        <f>MAX(0,X46-(IF(W46&lt;=0,0,(30000*(1+'1 - I TUOI 6 NUMERI'!$B$14)^25)/(1-'1 - I TUOI 6 NUMERI'!$B$15*(IF(W46&lt;=0,0,MEDIAN(0,(W46-X46)/W46,1))))))*(1-(IF(W46&lt;=0,0,MEDIAN(0,(W46-X46)/W46,1)))))</f>
        <v/>
      </c>
      <c r="Y47" s="23">
        <f>IF(Y46&lt;=0,0,(Y46-(IF(Y46&lt;=0,0,(36000*(1+'1 - I TUOI 6 NUMERI'!$B$14)^25)/(1-'1 - I TUOI 6 NUMERI'!$B$15*(IF(Y46&lt;=0,0,MEDIAN(0,(Y46-Z46)/Y46,1))))))-(IF(Y46&lt;=0,0,'1 - I TUOI 6 NUMERI'!$B$16*Y46)))*(1+((1+0.01)*(1+'1 - I TUOI 6 NUMERI'!$B$14)-1)))</f>
        <v/>
      </c>
      <c r="Z47" s="23">
        <f>MAX(0,Z46-(IF(Y46&lt;=0,0,(36000*(1+'1 - I TUOI 6 NUMERI'!$B$14)^25)/(1-'1 - I TUOI 6 NUMERI'!$B$15*(IF(Y46&lt;=0,0,MEDIAN(0,(Y46-Z46)/Y46,1))))))*(1-(IF(Y46&lt;=0,0,MEDIAN(0,(Y46-Z46)/Y46,1)))))</f>
        <v/>
      </c>
      <c r="AA47" s="23">
        <f>IF(AA46&lt;=0,0,(AA46-(IF(AA46&lt;=0,0,(36000*(1+'1 - I TUOI 6 NUMERI'!$B$14)^25)/(1-'1 - I TUOI 6 NUMERI'!$B$15*(IF(AA46&lt;=0,0,MEDIAN(0,(AA46-AB46)/AA46,1))))))-(IF(AA46&lt;=0,0,'1 - I TUOI 6 NUMERI'!$B$16*AA46)))*(1+((1+0.03)*(1+'1 - I TUOI 6 NUMERI'!$B$14)-1)))</f>
        <v/>
      </c>
      <c r="AB47" s="23">
        <f>MAX(0,AB46-(IF(AA46&lt;=0,0,(36000*(1+'1 - I TUOI 6 NUMERI'!$B$14)^25)/(1-'1 - I TUOI 6 NUMERI'!$B$15*(IF(AA46&lt;=0,0,MEDIAN(0,(AA46-AB46)/AA46,1))))))*(1-(IF(AA46&lt;=0,0,MEDIAN(0,(AA46-AB46)/AA46,1)))))</f>
        <v/>
      </c>
      <c r="AC47" s="23">
        <f>IF(AC46&lt;=0,0,(AC46-(IF(AC46&lt;=0,0,(36000*(1+'1 - I TUOI 6 NUMERI'!$B$14)^25)/(1-'1 - I TUOI 6 NUMERI'!$B$15*(IF(AC46&lt;=0,0,MEDIAN(0,(AC46-AD46)/AC46,1))))))-(IF(AC46&lt;=0,0,'1 - I TUOI 6 NUMERI'!$B$16*AC46)))*(1+((1+0.05)*(1+'1 - I TUOI 6 NUMERI'!$B$14)-1)))</f>
        <v/>
      </c>
      <c r="AD47" s="23">
        <f>MAX(0,AD46-(IF(AC46&lt;=0,0,(36000*(1+'1 - I TUOI 6 NUMERI'!$B$14)^25)/(1-'1 - I TUOI 6 NUMERI'!$B$15*(IF(AC46&lt;=0,0,MEDIAN(0,(AC46-AD46)/AC46,1))))))*(1-(IF(AC46&lt;=0,0,MEDIAN(0,(AC46-AD46)/AC46,1)))))</f>
        <v/>
      </c>
    </row>
    <row r="48">
      <c r="F48" s="6" t="n">
        <v>26</v>
      </c>
      <c r="G48" s="23">
        <f>IF(G47&lt;=0,0,(G47-(IF(G47&lt;=0,0,(18000*(1+'1 - I TUOI 6 NUMERI'!$B$14)^26)/(1-'1 - I TUOI 6 NUMERI'!$B$15*(IF(G47&lt;=0,0,MEDIAN(0,(G47-H47)/G47,1))))))-(IF(G47&lt;=0,0,'1 - I TUOI 6 NUMERI'!$B$16*G47)))*(1+((1+0.01)*(1+'1 - I TUOI 6 NUMERI'!$B$14)-1)))</f>
        <v/>
      </c>
      <c r="H48" s="23">
        <f>MAX(0,H47-(IF(G47&lt;=0,0,(18000*(1+'1 - I TUOI 6 NUMERI'!$B$14)^26)/(1-'1 - I TUOI 6 NUMERI'!$B$15*(IF(G47&lt;=0,0,MEDIAN(0,(G47-H47)/G47,1))))))*(1-(IF(G47&lt;=0,0,MEDIAN(0,(G47-H47)/G47,1)))))</f>
        <v/>
      </c>
      <c r="I48" s="23">
        <f>IF(I47&lt;=0,0,(I47-(IF(I47&lt;=0,0,(18000*(1+'1 - I TUOI 6 NUMERI'!$B$14)^26)/(1-'1 - I TUOI 6 NUMERI'!$B$15*(IF(I47&lt;=0,0,MEDIAN(0,(I47-J47)/I47,1))))))-(IF(I47&lt;=0,0,'1 - I TUOI 6 NUMERI'!$B$16*I47)))*(1+((1+0.03)*(1+'1 - I TUOI 6 NUMERI'!$B$14)-1)))</f>
        <v/>
      </c>
      <c r="J48" s="23">
        <f>MAX(0,J47-(IF(I47&lt;=0,0,(18000*(1+'1 - I TUOI 6 NUMERI'!$B$14)^26)/(1-'1 - I TUOI 6 NUMERI'!$B$15*(IF(I47&lt;=0,0,MEDIAN(0,(I47-J47)/I47,1))))))*(1-(IF(I47&lt;=0,0,MEDIAN(0,(I47-J47)/I47,1)))))</f>
        <v/>
      </c>
      <c r="K48" s="23">
        <f>IF(K47&lt;=0,0,(K47-(IF(K47&lt;=0,0,(18000*(1+'1 - I TUOI 6 NUMERI'!$B$14)^26)/(1-'1 - I TUOI 6 NUMERI'!$B$15*(IF(K47&lt;=0,0,MEDIAN(0,(K47-L47)/K47,1))))))-(IF(K47&lt;=0,0,'1 - I TUOI 6 NUMERI'!$B$16*K47)))*(1+((1+0.05)*(1+'1 - I TUOI 6 NUMERI'!$B$14)-1)))</f>
        <v/>
      </c>
      <c r="L48" s="23">
        <f>MAX(0,L47-(IF(K47&lt;=0,0,(18000*(1+'1 - I TUOI 6 NUMERI'!$B$14)^26)/(1-'1 - I TUOI 6 NUMERI'!$B$15*(IF(K47&lt;=0,0,MEDIAN(0,(K47-L47)/K47,1))))))*(1-(IF(K47&lt;=0,0,MEDIAN(0,(K47-L47)/K47,1)))))</f>
        <v/>
      </c>
      <c r="M48" s="23">
        <f>IF(M47&lt;=0,0,(M47-(IF(M47&lt;=0,0,(24000*(1+'1 - I TUOI 6 NUMERI'!$B$14)^26)/(1-'1 - I TUOI 6 NUMERI'!$B$15*(IF(M47&lt;=0,0,MEDIAN(0,(M47-N47)/M47,1))))))-(IF(M47&lt;=0,0,'1 - I TUOI 6 NUMERI'!$B$16*M47)))*(1+((1+0.01)*(1+'1 - I TUOI 6 NUMERI'!$B$14)-1)))</f>
        <v/>
      </c>
      <c r="N48" s="23">
        <f>MAX(0,N47-(IF(M47&lt;=0,0,(24000*(1+'1 - I TUOI 6 NUMERI'!$B$14)^26)/(1-'1 - I TUOI 6 NUMERI'!$B$15*(IF(M47&lt;=0,0,MEDIAN(0,(M47-N47)/M47,1))))))*(1-(IF(M47&lt;=0,0,MEDIAN(0,(M47-N47)/M47,1)))))</f>
        <v/>
      </c>
      <c r="O48" s="23">
        <f>IF(O47&lt;=0,0,(O47-(IF(O47&lt;=0,0,(24000*(1+'1 - I TUOI 6 NUMERI'!$B$14)^26)/(1-'1 - I TUOI 6 NUMERI'!$B$15*(IF(O47&lt;=0,0,MEDIAN(0,(O47-P47)/O47,1))))))-(IF(O47&lt;=0,0,'1 - I TUOI 6 NUMERI'!$B$16*O47)))*(1+((1+0.03)*(1+'1 - I TUOI 6 NUMERI'!$B$14)-1)))</f>
        <v/>
      </c>
      <c r="P48" s="23">
        <f>MAX(0,P47-(IF(O47&lt;=0,0,(24000*(1+'1 - I TUOI 6 NUMERI'!$B$14)^26)/(1-'1 - I TUOI 6 NUMERI'!$B$15*(IF(O47&lt;=0,0,MEDIAN(0,(O47-P47)/O47,1))))))*(1-(IF(O47&lt;=0,0,MEDIAN(0,(O47-P47)/O47,1)))))</f>
        <v/>
      </c>
      <c r="Q48" s="23">
        <f>IF(Q47&lt;=0,0,(Q47-(IF(Q47&lt;=0,0,(24000*(1+'1 - I TUOI 6 NUMERI'!$B$14)^26)/(1-'1 - I TUOI 6 NUMERI'!$B$15*(IF(Q47&lt;=0,0,MEDIAN(0,(Q47-R47)/Q47,1))))))-(IF(Q47&lt;=0,0,'1 - I TUOI 6 NUMERI'!$B$16*Q47)))*(1+((1+0.05)*(1+'1 - I TUOI 6 NUMERI'!$B$14)-1)))</f>
        <v/>
      </c>
      <c r="R48" s="23">
        <f>MAX(0,R47-(IF(Q47&lt;=0,0,(24000*(1+'1 - I TUOI 6 NUMERI'!$B$14)^26)/(1-'1 - I TUOI 6 NUMERI'!$B$15*(IF(Q47&lt;=0,0,MEDIAN(0,(Q47-R47)/Q47,1))))))*(1-(IF(Q47&lt;=0,0,MEDIAN(0,(Q47-R47)/Q47,1)))))</f>
        <v/>
      </c>
      <c r="S48" s="23">
        <f>IF(S47&lt;=0,0,(S47-(IF(S47&lt;=0,0,(30000*(1+'1 - I TUOI 6 NUMERI'!$B$14)^26)/(1-'1 - I TUOI 6 NUMERI'!$B$15*(IF(S47&lt;=0,0,MEDIAN(0,(S47-T47)/S47,1))))))-(IF(S47&lt;=0,0,'1 - I TUOI 6 NUMERI'!$B$16*S47)))*(1+((1+0.01)*(1+'1 - I TUOI 6 NUMERI'!$B$14)-1)))</f>
        <v/>
      </c>
      <c r="T48" s="23">
        <f>MAX(0,T47-(IF(S47&lt;=0,0,(30000*(1+'1 - I TUOI 6 NUMERI'!$B$14)^26)/(1-'1 - I TUOI 6 NUMERI'!$B$15*(IF(S47&lt;=0,0,MEDIAN(0,(S47-T47)/S47,1))))))*(1-(IF(S47&lt;=0,0,MEDIAN(0,(S47-T47)/S47,1)))))</f>
        <v/>
      </c>
      <c r="U48" s="23">
        <f>IF(U47&lt;=0,0,(U47-(IF(U47&lt;=0,0,(30000*(1+'1 - I TUOI 6 NUMERI'!$B$14)^26)/(1-'1 - I TUOI 6 NUMERI'!$B$15*(IF(U47&lt;=0,0,MEDIAN(0,(U47-V47)/U47,1))))))-(IF(U47&lt;=0,0,'1 - I TUOI 6 NUMERI'!$B$16*U47)))*(1+((1+0.03)*(1+'1 - I TUOI 6 NUMERI'!$B$14)-1)))</f>
        <v/>
      </c>
      <c r="V48" s="23">
        <f>MAX(0,V47-(IF(U47&lt;=0,0,(30000*(1+'1 - I TUOI 6 NUMERI'!$B$14)^26)/(1-'1 - I TUOI 6 NUMERI'!$B$15*(IF(U47&lt;=0,0,MEDIAN(0,(U47-V47)/U47,1))))))*(1-(IF(U47&lt;=0,0,MEDIAN(0,(U47-V47)/U47,1)))))</f>
        <v/>
      </c>
      <c r="W48" s="23">
        <f>IF(W47&lt;=0,0,(W47-(IF(W47&lt;=0,0,(30000*(1+'1 - I TUOI 6 NUMERI'!$B$14)^26)/(1-'1 - I TUOI 6 NUMERI'!$B$15*(IF(W47&lt;=0,0,MEDIAN(0,(W47-X47)/W47,1))))))-(IF(W47&lt;=0,0,'1 - I TUOI 6 NUMERI'!$B$16*W47)))*(1+((1+0.05)*(1+'1 - I TUOI 6 NUMERI'!$B$14)-1)))</f>
        <v/>
      </c>
      <c r="X48" s="23">
        <f>MAX(0,X47-(IF(W47&lt;=0,0,(30000*(1+'1 - I TUOI 6 NUMERI'!$B$14)^26)/(1-'1 - I TUOI 6 NUMERI'!$B$15*(IF(W47&lt;=0,0,MEDIAN(0,(W47-X47)/W47,1))))))*(1-(IF(W47&lt;=0,0,MEDIAN(0,(W47-X47)/W47,1)))))</f>
        <v/>
      </c>
      <c r="Y48" s="23">
        <f>IF(Y47&lt;=0,0,(Y47-(IF(Y47&lt;=0,0,(36000*(1+'1 - I TUOI 6 NUMERI'!$B$14)^26)/(1-'1 - I TUOI 6 NUMERI'!$B$15*(IF(Y47&lt;=0,0,MEDIAN(0,(Y47-Z47)/Y47,1))))))-(IF(Y47&lt;=0,0,'1 - I TUOI 6 NUMERI'!$B$16*Y47)))*(1+((1+0.01)*(1+'1 - I TUOI 6 NUMERI'!$B$14)-1)))</f>
        <v/>
      </c>
      <c r="Z48" s="23">
        <f>MAX(0,Z47-(IF(Y47&lt;=0,0,(36000*(1+'1 - I TUOI 6 NUMERI'!$B$14)^26)/(1-'1 - I TUOI 6 NUMERI'!$B$15*(IF(Y47&lt;=0,0,MEDIAN(0,(Y47-Z47)/Y47,1))))))*(1-(IF(Y47&lt;=0,0,MEDIAN(0,(Y47-Z47)/Y47,1)))))</f>
        <v/>
      </c>
      <c r="AA48" s="23">
        <f>IF(AA47&lt;=0,0,(AA47-(IF(AA47&lt;=0,0,(36000*(1+'1 - I TUOI 6 NUMERI'!$B$14)^26)/(1-'1 - I TUOI 6 NUMERI'!$B$15*(IF(AA47&lt;=0,0,MEDIAN(0,(AA47-AB47)/AA47,1))))))-(IF(AA47&lt;=0,0,'1 - I TUOI 6 NUMERI'!$B$16*AA47)))*(1+((1+0.03)*(1+'1 - I TUOI 6 NUMERI'!$B$14)-1)))</f>
        <v/>
      </c>
      <c r="AB48" s="23">
        <f>MAX(0,AB47-(IF(AA47&lt;=0,0,(36000*(1+'1 - I TUOI 6 NUMERI'!$B$14)^26)/(1-'1 - I TUOI 6 NUMERI'!$B$15*(IF(AA47&lt;=0,0,MEDIAN(0,(AA47-AB47)/AA47,1))))))*(1-(IF(AA47&lt;=0,0,MEDIAN(0,(AA47-AB47)/AA47,1)))))</f>
        <v/>
      </c>
      <c r="AC48" s="23">
        <f>IF(AC47&lt;=0,0,(AC47-(IF(AC47&lt;=0,0,(36000*(1+'1 - I TUOI 6 NUMERI'!$B$14)^26)/(1-'1 - I TUOI 6 NUMERI'!$B$15*(IF(AC47&lt;=0,0,MEDIAN(0,(AC47-AD47)/AC47,1))))))-(IF(AC47&lt;=0,0,'1 - I TUOI 6 NUMERI'!$B$16*AC47)))*(1+((1+0.05)*(1+'1 - I TUOI 6 NUMERI'!$B$14)-1)))</f>
        <v/>
      </c>
      <c r="AD48" s="23">
        <f>MAX(0,AD47-(IF(AC47&lt;=0,0,(36000*(1+'1 - I TUOI 6 NUMERI'!$B$14)^26)/(1-'1 - I TUOI 6 NUMERI'!$B$15*(IF(AC47&lt;=0,0,MEDIAN(0,(AC47-AD47)/AC47,1))))))*(1-(IF(AC47&lt;=0,0,MEDIAN(0,(AC47-AD47)/AC47,1)))))</f>
        <v/>
      </c>
    </row>
    <row r="49">
      <c r="F49" s="6" t="n">
        <v>27</v>
      </c>
      <c r="G49" s="23">
        <f>IF(G48&lt;=0,0,(G48-(IF(G48&lt;=0,0,(18000*(1+'1 - I TUOI 6 NUMERI'!$B$14)^27)/(1-'1 - I TUOI 6 NUMERI'!$B$15*(IF(G48&lt;=0,0,MEDIAN(0,(G48-H48)/G48,1))))))-(IF(G48&lt;=0,0,'1 - I TUOI 6 NUMERI'!$B$16*G48)))*(1+((1+0.01)*(1+'1 - I TUOI 6 NUMERI'!$B$14)-1)))</f>
        <v/>
      </c>
      <c r="H49" s="23">
        <f>MAX(0,H48-(IF(G48&lt;=0,0,(18000*(1+'1 - I TUOI 6 NUMERI'!$B$14)^27)/(1-'1 - I TUOI 6 NUMERI'!$B$15*(IF(G48&lt;=0,0,MEDIAN(0,(G48-H48)/G48,1))))))*(1-(IF(G48&lt;=0,0,MEDIAN(0,(G48-H48)/G48,1)))))</f>
        <v/>
      </c>
      <c r="I49" s="23">
        <f>IF(I48&lt;=0,0,(I48-(IF(I48&lt;=0,0,(18000*(1+'1 - I TUOI 6 NUMERI'!$B$14)^27)/(1-'1 - I TUOI 6 NUMERI'!$B$15*(IF(I48&lt;=0,0,MEDIAN(0,(I48-J48)/I48,1))))))-(IF(I48&lt;=0,0,'1 - I TUOI 6 NUMERI'!$B$16*I48)))*(1+((1+0.03)*(1+'1 - I TUOI 6 NUMERI'!$B$14)-1)))</f>
        <v/>
      </c>
      <c r="J49" s="23">
        <f>MAX(0,J48-(IF(I48&lt;=0,0,(18000*(1+'1 - I TUOI 6 NUMERI'!$B$14)^27)/(1-'1 - I TUOI 6 NUMERI'!$B$15*(IF(I48&lt;=0,0,MEDIAN(0,(I48-J48)/I48,1))))))*(1-(IF(I48&lt;=0,0,MEDIAN(0,(I48-J48)/I48,1)))))</f>
        <v/>
      </c>
      <c r="K49" s="23">
        <f>IF(K48&lt;=0,0,(K48-(IF(K48&lt;=0,0,(18000*(1+'1 - I TUOI 6 NUMERI'!$B$14)^27)/(1-'1 - I TUOI 6 NUMERI'!$B$15*(IF(K48&lt;=0,0,MEDIAN(0,(K48-L48)/K48,1))))))-(IF(K48&lt;=0,0,'1 - I TUOI 6 NUMERI'!$B$16*K48)))*(1+((1+0.05)*(1+'1 - I TUOI 6 NUMERI'!$B$14)-1)))</f>
        <v/>
      </c>
      <c r="L49" s="23">
        <f>MAX(0,L48-(IF(K48&lt;=0,0,(18000*(1+'1 - I TUOI 6 NUMERI'!$B$14)^27)/(1-'1 - I TUOI 6 NUMERI'!$B$15*(IF(K48&lt;=0,0,MEDIAN(0,(K48-L48)/K48,1))))))*(1-(IF(K48&lt;=0,0,MEDIAN(0,(K48-L48)/K48,1)))))</f>
        <v/>
      </c>
      <c r="M49" s="23">
        <f>IF(M48&lt;=0,0,(M48-(IF(M48&lt;=0,0,(24000*(1+'1 - I TUOI 6 NUMERI'!$B$14)^27)/(1-'1 - I TUOI 6 NUMERI'!$B$15*(IF(M48&lt;=0,0,MEDIAN(0,(M48-N48)/M48,1))))))-(IF(M48&lt;=0,0,'1 - I TUOI 6 NUMERI'!$B$16*M48)))*(1+((1+0.01)*(1+'1 - I TUOI 6 NUMERI'!$B$14)-1)))</f>
        <v/>
      </c>
      <c r="N49" s="23">
        <f>MAX(0,N48-(IF(M48&lt;=0,0,(24000*(1+'1 - I TUOI 6 NUMERI'!$B$14)^27)/(1-'1 - I TUOI 6 NUMERI'!$B$15*(IF(M48&lt;=0,0,MEDIAN(0,(M48-N48)/M48,1))))))*(1-(IF(M48&lt;=0,0,MEDIAN(0,(M48-N48)/M48,1)))))</f>
        <v/>
      </c>
      <c r="O49" s="23">
        <f>IF(O48&lt;=0,0,(O48-(IF(O48&lt;=0,0,(24000*(1+'1 - I TUOI 6 NUMERI'!$B$14)^27)/(1-'1 - I TUOI 6 NUMERI'!$B$15*(IF(O48&lt;=0,0,MEDIAN(0,(O48-P48)/O48,1))))))-(IF(O48&lt;=0,0,'1 - I TUOI 6 NUMERI'!$B$16*O48)))*(1+((1+0.03)*(1+'1 - I TUOI 6 NUMERI'!$B$14)-1)))</f>
        <v/>
      </c>
      <c r="P49" s="23">
        <f>MAX(0,P48-(IF(O48&lt;=0,0,(24000*(1+'1 - I TUOI 6 NUMERI'!$B$14)^27)/(1-'1 - I TUOI 6 NUMERI'!$B$15*(IF(O48&lt;=0,0,MEDIAN(0,(O48-P48)/O48,1))))))*(1-(IF(O48&lt;=0,0,MEDIAN(0,(O48-P48)/O48,1)))))</f>
        <v/>
      </c>
      <c r="Q49" s="23">
        <f>IF(Q48&lt;=0,0,(Q48-(IF(Q48&lt;=0,0,(24000*(1+'1 - I TUOI 6 NUMERI'!$B$14)^27)/(1-'1 - I TUOI 6 NUMERI'!$B$15*(IF(Q48&lt;=0,0,MEDIAN(0,(Q48-R48)/Q48,1))))))-(IF(Q48&lt;=0,0,'1 - I TUOI 6 NUMERI'!$B$16*Q48)))*(1+((1+0.05)*(1+'1 - I TUOI 6 NUMERI'!$B$14)-1)))</f>
        <v/>
      </c>
      <c r="R49" s="23">
        <f>MAX(0,R48-(IF(Q48&lt;=0,0,(24000*(1+'1 - I TUOI 6 NUMERI'!$B$14)^27)/(1-'1 - I TUOI 6 NUMERI'!$B$15*(IF(Q48&lt;=0,0,MEDIAN(0,(Q48-R48)/Q48,1))))))*(1-(IF(Q48&lt;=0,0,MEDIAN(0,(Q48-R48)/Q48,1)))))</f>
        <v/>
      </c>
      <c r="S49" s="23">
        <f>IF(S48&lt;=0,0,(S48-(IF(S48&lt;=0,0,(30000*(1+'1 - I TUOI 6 NUMERI'!$B$14)^27)/(1-'1 - I TUOI 6 NUMERI'!$B$15*(IF(S48&lt;=0,0,MEDIAN(0,(S48-T48)/S48,1))))))-(IF(S48&lt;=0,0,'1 - I TUOI 6 NUMERI'!$B$16*S48)))*(1+((1+0.01)*(1+'1 - I TUOI 6 NUMERI'!$B$14)-1)))</f>
        <v/>
      </c>
      <c r="T49" s="23">
        <f>MAX(0,T48-(IF(S48&lt;=0,0,(30000*(1+'1 - I TUOI 6 NUMERI'!$B$14)^27)/(1-'1 - I TUOI 6 NUMERI'!$B$15*(IF(S48&lt;=0,0,MEDIAN(0,(S48-T48)/S48,1))))))*(1-(IF(S48&lt;=0,0,MEDIAN(0,(S48-T48)/S48,1)))))</f>
        <v/>
      </c>
      <c r="U49" s="23">
        <f>IF(U48&lt;=0,0,(U48-(IF(U48&lt;=0,0,(30000*(1+'1 - I TUOI 6 NUMERI'!$B$14)^27)/(1-'1 - I TUOI 6 NUMERI'!$B$15*(IF(U48&lt;=0,0,MEDIAN(0,(U48-V48)/U48,1))))))-(IF(U48&lt;=0,0,'1 - I TUOI 6 NUMERI'!$B$16*U48)))*(1+((1+0.03)*(1+'1 - I TUOI 6 NUMERI'!$B$14)-1)))</f>
        <v/>
      </c>
      <c r="V49" s="23">
        <f>MAX(0,V48-(IF(U48&lt;=0,0,(30000*(1+'1 - I TUOI 6 NUMERI'!$B$14)^27)/(1-'1 - I TUOI 6 NUMERI'!$B$15*(IF(U48&lt;=0,0,MEDIAN(0,(U48-V48)/U48,1))))))*(1-(IF(U48&lt;=0,0,MEDIAN(0,(U48-V48)/U48,1)))))</f>
        <v/>
      </c>
      <c r="W49" s="23">
        <f>IF(W48&lt;=0,0,(W48-(IF(W48&lt;=0,0,(30000*(1+'1 - I TUOI 6 NUMERI'!$B$14)^27)/(1-'1 - I TUOI 6 NUMERI'!$B$15*(IF(W48&lt;=0,0,MEDIAN(0,(W48-X48)/W48,1))))))-(IF(W48&lt;=0,0,'1 - I TUOI 6 NUMERI'!$B$16*W48)))*(1+((1+0.05)*(1+'1 - I TUOI 6 NUMERI'!$B$14)-1)))</f>
        <v/>
      </c>
      <c r="X49" s="23">
        <f>MAX(0,X48-(IF(W48&lt;=0,0,(30000*(1+'1 - I TUOI 6 NUMERI'!$B$14)^27)/(1-'1 - I TUOI 6 NUMERI'!$B$15*(IF(W48&lt;=0,0,MEDIAN(0,(W48-X48)/W48,1))))))*(1-(IF(W48&lt;=0,0,MEDIAN(0,(W48-X48)/W48,1)))))</f>
        <v/>
      </c>
      <c r="Y49" s="23">
        <f>IF(Y48&lt;=0,0,(Y48-(IF(Y48&lt;=0,0,(36000*(1+'1 - I TUOI 6 NUMERI'!$B$14)^27)/(1-'1 - I TUOI 6 NUMERI'!$B$15*(IF(Y48&lt;=0,0,MEDIAN(0,(Y48-Z48)/Y48,1))))))-(IF(Y48&lt;=0,0,'1 - I TUOI 6 NUMERI'!$B$16*Y48)))*(1+((1+0.01)*(1+'1 - I TUOI 6 NUMERI'!$B$14)-1)))</f>
        <v/>
      </c>
      <c r="Z49" s="23">
        <f>MAX(0,Z48-(IF(Y48&lt;=0,0,(36000*(1+'1 - I TUOI 6 NUMERI'!$B$14)^27)/(1-'1 - I TUOI 6 NUMERI'!$B$15*(IF(Y48&lt;=0,0,MEDIAN(0,(Y48-Z48)/Y48,1))))))*(1-(IF(Y48&lt;=0,0,MEDIAN(0,(Y48-Z48)/Y48,1)))))</f>
        <v/>
      </c>
      <c r="AA49" s="23">
        <f>IF(AA48&lt;=0,0,(AA48-(IF(AA48&lt;=0,0,(36000*(1+'1 - I TUOI 6 NUMERI'!$B$14)^27)/(1-'1 - I TUOI 6 NUMERI'!$B$15*(IF(AA48&lt;=0,0,MEDIAN(0,(AA48-AB48)/AA48,1))))))-(IF(AA48&lt;=0,0,'1 - I TUOI 6 NUMERI'!$B$16*AA48)))*(1+((1+0.03)*(1+'1 - I TUOI 6 NUMERI'!$B$14)-1)))</f>
        <v/>
      </c>
      <c r="AB49" s="23">
        <f>MAX(0,AB48-(IF(AA48&lt;=0,0,(36000*(1+'1 - I TUOI 6 NUMERI'!$B$14)^27)/(1-'1 - I TUOI 6 NUMERI'!$B$15*(IF(AA48&lt;=0,0,MEDIAN(0,(AA48-AB48)/AA48,1))))))*(1-(IF(AA48&lt;=0,0,MEDIAN(0,(AA48-AB48)/AA48,1)))))</f>
        <v/>
      </c>
      <c r="AC49" s="23">
        <f>IF(AC48&lt;=0,0,(AC48-(IF(AC48&lt;=0,0,(36000*(1+'1 - I TUOI 6 NUMERI'!$B$14)^27)/(1-'1 - I TUOI 6 NUMERI'!$B$15*(IF(AC48&lt;=0,0,MEDIAN(0,(AC48-AD48)/AC48,1))))))-(IF(AC48&lt;=0,0,'1 - I TUOI 6 NUMERI'!$B$16*AC48)))*(1+((1+0.05)*(1+'1 - I TUOI 6 NUMERI'!$B$14)-1)))</f>
        <v/>
      </c>
      <c r="AD49" s="23">
        <f>MAX(0,AD48-(IF(AC48&lt;=0,0,(36000*(1+'1 - I TUOI 6 NUMERI'!$B$14)^27)/(1-'1 - I TUOI 6 NUMERI'!$B$15*(IF(AC48&lt;=0,0,MEDIAN(0,(AC48-AD48)/AC48,1))))))*(1-(IF(AC48&lt;=0,0,MEDIAN(0,(AC48-AD48)/AC48,1)))))</f>
        <v/>
      </c>
    </row>
    <row r="50">
      <c r="F50" s="6" t="n">
        <v>28</v>
      </c>
      <c r="G50" s="23">
        <f>IF(G49&lt;=0,0,(G49-(IF(G49&lt;=0,0,(18000*(1+'1 - I TUOI 6 NUMERI'!$B$14)^28)/(1-'1 - I TUOI 6 NUMERI'!$B$15*(IF(G49&lt;=0,0,MEDIAN(0,(G49-H49)/G49,1))))))-(IF(G49&lt;=0,0,'1 - I TUOI 6 NUMERI'!$B$16*G49)))*(1+((1+0.01)*(1+'1 - I TUOI 6 NUMERI'!$B$14)-1)))</f>
        <v/>
      </c>
      <c r="H50" s="23">
        <f>MAX(0,H49-(IF(G49&lt;=0,0,(18000*(1+'1 - I TUOI 6 NUMERI'!$B$14)^28)/(1-'1 - I TUOI 6 NUMERI'!$B$15*(IF(G49&lt;=0,0,MEDIAN(0,(G49-H49)/G49,1))))))*(1-(IF(G49&lt;=0,0,MEDIAN(0,(G49-H49)/G49,1)))))</f>
        <v/>
      </c>
      <c r="I50" s="23">
        <f>IF(I49&lt;=0,0,(I49-(IF(I49&lt;=0,0,(18000*(1+'1 - I TUOI 6 NUMERI'!$B$14)^28)/(1-'1 - I TUOI 6 NUMERI'!$B$15*(IF(I49&lt;=0,0,MEDIAN(0,(I49-J49)/I49,1))))))-(IF(I49&lt;=0,0,'1 - I TUOI 6 NUMERI'!$B$16*I49)))*(1+((1+0.03)*(1+'1 - I TUOI 6 NUMERI'!$B$14)-1)))</f>
        <v/>
      </c>
      <c r="J50" s="23">
        <f>MAX(0,J49-(IF(I49&lt;=0,0,(18000*(1+'1 - I TUOI 6 NUMERI'!$B$14)^28)/(1-'1 - I TUOI 6 NUMERI'!$B$15*(IF(I49&lt;=0,0,MEDIAN(0,(I49-J49)/I49,1))))))*(1-(IF(I49&lt;=0,0,MEDIAN(0,(I49-J49)/I49,1)))))</f>
        <v/>
      </c>
      <c r="K50" s="23">
        <f>IF(K49&lt;=0,0,(K49-(IF(K49&lt;=0,0,(18000*(1+'1 - I TUOI 6 NUMERI'!$B$14)^28)/(1-'1 - I TUOI 6 NUMERI'!$B$15*(IF(K49&lt;=0,0,MEDIAN(0,(K49-L49)/K49,1))))))-(IF(K49&lt;=0,0,'1 - I TUOI 6 NUMERI'!$B$16*K49)))*(1+((1+0.05)*(1+'1 - I TUOI 6 NUMERI'!$B$14)-1)))</f>
        <v/>
      </c>
      <c r="L50" s="23">
        <f>MAX(0,L49-(IF(K49&lt;=0,0,(18000*(1+'1 - I TUOI 6 NUMERI'!$B$14)^28)/(1-'1 - I TUOI 6 NUMERI'!$B$15*(IF(K49&lt;=0,0,MEDIAN(0,(K49-L49)/K49,1))))))*(1-(IF(K49&lt;=0,0,MEDIAN(0,(K49-L49)/K49,1)))))</f>
        <v/>
      </c>
      <c r="M50" s="23">
        <f>IF(M49&lt;=0,0,(M49-(IF(M49&lt;=0,0,(24000*(1+'1 - I TUOI 6 NUMERI'!$B$14)^28)/(1-'1 - I TUOI 6 NUMERI'!$B$15*(IF(M49&lt;=0,0,MEDIAN(0,(M49-N49)/M49,1))))))-(IF(M49&lt;=0,0,'1 - I TUOI 6 NUMERI'!$B$16*M49)))*(1+((1+0.01)*(1+'1 - I TUOI 6 NUMERI'!$B$14)-1)))</f>
        <v/>
      </c>
      <c r="N50" s="23">
        <f>MAX(0,N49-(IF(M49&lt;=0,0,(24000*(1+'1 - I TUOI 6 NUMERI'!$B$14)^28)/(1-'1 - I TUOI 6 NUMERI'!$B$15*(IF(M49&lt;=0,0,MEDIAN(0,(M49-N49)/M49,1))))))*(1-(IF(M49&lt;=0,0,MEDIAN(0,(M49-N49)/M49,1)))))</f>
        <v/>
      </c>
      <c r="O50" s="23">
        <f>IF(O49&lt;=0,0,(O49-(IF(O49&lt;=0,0,(24000*(1+'1 - I TUOI 6 NUMERI'!$B$14)^28)/(1-'1 - I TUOI 6 NUMERI'!$B$15*(IF(O49&lt;=0,0,MEDIAN(0,(O49-P49)/O49,1))))))-(IF(O49&lt;=0,0,'1 - I TUOI 6 NUMERI'!$B$16*O49)))*(1+((1+0.03)*(1+'1 - I TUOI 6 NUMERI'!$B$14)-1)))</f>
        <v/>
      </c>
      <c r="P50" s="23">
        <f>MAX(0,P49-(IF(O49&lt;=0,0,(24000*(1+'1 - I TUOI 6 NUMERI'!$B$14)^28)/(1-'1 - I TUOI 6 NUMERI'!$B$15*(IF(O49&lt;=0,0,MEDIAN(0,(O49-P49)/O49,1))))))*(1-(IF(O49&lt;=0,0,MEDIAN(0,(O49-P49)/O49,1)))))</f>
        <v/>
      </c>
      <c r="Q50" s="23">
        <f>IF(Q49&lt;=0,0,(Q49-(IF(Q49&lt;=0,0,(24000*(1+'1 - I TUOI 6 NUMERI'!$B$14)^28)/(1-'1 - I TUOI 6 NUMERI'!$B$15*(IF(Q49&lt;=0,0,MEDIAN(0,(Q49-R49)/Q49,1))))))-(IF(Q49&lt;=0,0,'1 - I TUOI 6 NUMERI'!$B$16*Q49)))*(1+((1+0.05)*(1+'1 - I TUOI 6 NUMERI'!$B$14)-1)))</f>
        <v/>
      </c>
      <c r="R50" s="23">
        <f>MAX(0,R49-(IF(Q49&lt;=0,0,(24000*(1+'1 - I TUOI 6 NUMERI'!$B$14)^28)/(1-'1 - I TUOI 6 NUMERI'!$B$15*(IF(Q49&lt;=0,0,MEDIAN(0,(Q49-R49)/Q49,1))))))*(1-(IF(Q49&lt;=0,0,MEDIAN(0,(Q49-R49)/Q49,1)))))</f>
        <v/>
      </c>
      <c r="S50" s="23">
        <f>IF(S49&lt;=0,0,(S49-(IF(S49&lt;=0,0,(30000*(1+'1 - I TUOI 6 NUMERI'!$B$14)^28)/(1-'1 - I TUOI 6 NUMERI'!$B$15*(IF(S49&lt;=0,0,MEDIAN(0,(S49-T49)/S49,1))))))-(IF(S49&lt;=0,0,'1 - I TUOI 6 NUMERI'!$B$16*S49)))*(1+((1+0.01)*(1+'1 - I TUOI 6 NUMERI'!$B$14)-1)))</f>
        <v/>
      </c>
      <c r="T50" s="23">
        <f>MAX(0,T49-(IF(S49&lt;=0,0,(30000*(1+'1 - I TUOI 6 NUMERI'!$B$14)^28)/(1-'1 - I TUOI 6 NUMERI'!$B$15*(IF(S49&lt;=0,0,MEDIAN(0,(S49-T49)/S49,1))))))*(1-(IF(S49&lt;=0,0,MEDIAN(0,(S49-T49)/S49,1)))))</f>
        <v/>
      </c>
      <c r="U50" s="23">
        <f>IF(U49&lt;=0,0,(U49-(IF(U49&lt;=0,0,(30000*(1+'1 - I TUOI 6 NUMERI'!$B$14)^28)/(1-'1 - I TUOI 6 NUMERI'!$B$15*(IF(U49&lt;=0,0,MEDIAN(0,(U49-V49)/U49,1))))))-(IF(U49&lt;=0,0,'1 - I TUOI 6 NUMERI'!$B$16*U49)))*(1+((1+0.03)*(1+'1 - I TUOI 6 NUMERI'!$B$14)-1)))</f>
        <v/>
      </c>
      <c r="V50" s="23">
        <f>MAX(0,V49-(IF(U49&lt;=0,0,(30000*(1+'1 - I TUOI 6 NUMERI'!$B$14)^28)/(1-'1 - I TUOI 6 NUMERI'!$B$15*(IF(U49&lt;=0,0,MEDIAN(0,(U49-V49)/U49,1))))))*(1-(IF(U49&lt;=0,0,MEDIAN(0,(U49-V49)/U49,1)))))</f>
        <v/>
      </c>
      <c r="W50" s="23">
        <f>IF(W49&lt;=0,0,(W49-(IF(W49&lt;=0,0,(30000*(1+'1 - I TUOI 6 NUMERI'!$B$14)^28)/(1-'1 - I TUOI 6 NUMERI'!$B$15*(IF(W49&lt;=0,0,MEDIAN(0,(W49-X49)/W49,1))))))-(IF(W49&lt;=0,0,'1 - I TUOI 6 NUMERI'!$B$16*W49)))*(1+((1+0.05)*(1+'1 - I TUOI 6 NUMERI'!$B$14)-1)))</f>
        <v/>
      </c>
      <c r="X50" s="23">
        <f>MAX(0,X49-(IF(W49&lt;=0,0,(30000*(1+'1 - I TUOI 6 NUMERI'!$B$14)^28)/(1-'1 - I TUOI 6 NUMERI'!$B$15*(IF(W49&lt;=0,0,MEDIAN(0,(W49-X49)/W49,1))))))*(1-(IF(W49&lt;=0,0,MEDIAN(0,(W49-X49)/W49,1)))))</f>
        <v/>
      </c>
      <c r="Y50" s="23">
        <f>IF(Y49&lt;=0,0,(Y49-(IF(Y49&lt;=0,0,(36000*(1+'1 - I TUOI 6 NUMERI'!$B$14)^28)/(1-'1 - I TUOI 6 NUMERI'!$B$15*(IF(Y49&lt;=0,0,MEDIAN(0,(Y49-Z49)/Y49,1))))))-(IF(Y49&lt;=0,0,'1 - I TUOI 6 NUMERI'!$B$16*Y49)))*(1+((1+0.01)*(1+'1 - I TUOI 6 NUMERI'!$B$14)-1)))</f>
        <v/>
      </c>
      <c r="Z50" s="23">
        <f>MAX(0,Z49-(IF(Y49&lt;=0,0,(36000*(1+'1 - I TUOI 6 NUMERI'!$B$14)^28)/(1-'1 - I TUOI 6 NUMERI'!$B$15*(IF(Y49&lt;=0,0,MEDIAN(0,(Y49-Z49)/Y49,1))))))*(1-(IF(Y49&lt;=0,0,MEDIAN(0,(Y49-Z49)/Y49,1)))))</f>
        <v/>
      </c>
      <c r="AA50" s="23">
        <f>IF(AA49&lt;=0,0,(AA49-(IF(AA49&lt;=0,0,(36000*(1+'1 - I TUOI 6 NUMERI'!$B$14)^28)/(1-'1 - I TUOI 6 NUMERI'!$B$15*(IF(AA49&lt;=0,0,MEDIAN(0,(AA49-AB49)/AA49,1))))))-(IF(AA49&lt;=0,0,'1 - I TUOI 6 NUMERI'!$B$16*AA49)))*(1+((1+0.03)*(1+'1 - I TUOI 6 NUMERI'!$B$14)-1)))</f>
        <v/>
      </c>
      <c r="AB50" s="23">
        <f>MAX(0,AB49-(IF(AA49&lt;=0,0,(36000*(1+'1 - I TUOI 6 NUMERI'!$B$14)^28)/(1-'1 - I TUOI 6 NUMERI'!$B$15*(IF(AA49&lt;=0,0,MEDIAN(0,(AA49-AB49)/AA49,1))))))*(1-(IF(AA49&lt;=0,0,MEDIAN(0,(AA49-AB49)/AA49,1)))))</f>
        <v/>
      </c>
      <c r="AC50" s="23">
        <f>IF(AC49&lt;=0,0,(AC49-(IF(AC49&lt;=0,0,(36000*(1+'1 - I TUOI 6 NUMERI'!$B$14)^28)/(1-'1 - I TUOI 6 NUMERI'!$B$15*(IF(AC49&lt;=0,0,MEDIAN(0,(AC49-AD49)/AC49,1))))))-(IF(AC49&lt;=0,0,'1 - I TUOI 6 NUMERI'!$B$16*AC49)))*(1+((1+0.05)*(1+'1 - I TUOI 6 NUMERI'!$B$14)-1)))</f>
        <v/>
      </c>
      <c r="AD50" s="23">
        <f>MAX(0,AD49-(IF(AC49&lt;=0,0,(36000*(1+'1 - I TUOI 6 NUMERI'!$B$14)^28)/(1-'1 - I TUOI 6 NUMERI'!$B$15*(IF(AC49&lt;=0,0,MEDIAN(0,(AC49-AD49)/AC49,1))))))*(1-(IF(AC49&lt;=0,0,MEDIAN(0,(AC49-AD49)/AC49,1)))))</f>
        <v/>
      </c>
    </row>
    <row r="51">
      <c r="F51" s="6" t="n">
        <v>29</v>
      </c>
      <c r="G51" s="23">
        <f>IF(G50&lt;=0,0,(G50-(IF(G50&lt;=0,0,(18000*(1+'1 - I TUOI 6 NUMERI'!$B$14)^29)/(1-'1 - I TUOI 6 NUMERI'!$B$15*(IF(G50&lt;=0,0,MEDIAN(0,(G50-H50)/G50,1))))))-(IF(G50&lt;=0,0,'1 - I TUOI 6 NUMERI'!$B$16*G50)))*(1+((1+0.01)*(1+'1 - I TUOI 6 NUMERI'!$B$14)-1)))</f>
        <v/>
      </c>
      <c r="H51" s="23">
        <f>MAX(0,H50-(IF(G50&lt;=0,0,(18000*(1+'1 - I TUOI 6 NUMERI'!$B$14)^29)/(1-'1 - I TUOI 6 NUMERI'!$B$15*(IF(G50&lt;=0,0,MEDIAN(0,(G50-H50)/G50,1))))))*(1-(IF(G50&lt;=0,0,MEDIAN(0,(G50-H50)/G50,1)))))</f>
        <v/>
      </c>
      <c r="I51" s="23">
        <f>IF(I50&lt;=0,0,(I50-(IF(I50&lt;=0,0,(18000*(1+'1 - I TUOI 6 NUMERI'!$B$14)^29)/(1-'1 - I TUOI 6 NUMERI'!$B$15*(IF(I50&lt;=0,0,MEDIAN(0,(I50-J50)/I50,1))))))-(IF(I50&lt;=0,0,'1 - I TUOI 6 NUMERI'!$B$16*I50)))*(1+((1+0.03)*(1+'1 - I TUOI 6 NUMERI'!$B$14)-1)))</f>
        <v/>
      </c>
      <c r="J51" s="23">
        <f>MAX(0,J50-(IF(I50&lt;=0,0,(18000*(1+'1 - I TUOI 6 NUMERI'!$B$14)^29)/(1-'1 - I TUOI 6 NUMERI'!$B$15*(IF(I50&lt;=0,0,MEDIAN(0,(I50-J50)/I50,1))))))*(1-(IF(I50&lt;=0,0,MEDIAN(0,(I50-J50)/I50,1)))))</f>
        <v/>
      </c>
      <c r="K51" s="23">
        <f>IF(K50&lt;=0,0,(K50-(IF(K50&lt;=0,0,(18000*(1+'1 - I TUOI 6 NUMERI'!$B$14)^29)/(1-'1 - I TUOI 6 NUMERI'!$B$15*(IF(K50&lt;=0,0,MEDIAN(0,(K50-L50)/K50,1))))))-(IF(K50&lt;=0,0,'1 - I TUOI 6 NUMERI'!$B$16*K50)))*(1+((1+0.05)*(1+'1 - I TUOI 6 NUMERI'!$B$14)-1)))</f>
        <v/>
      </c>
      <c r="L51" s="23">
        <f>MAX(0,L50-(IF(K50&lt;=0,0,(18000*(1+'1 - I TUOI 6 NUMERI'!$B$14)^29)/(1-'1 - I TUOI 6 NUMERI'!$B$15*(IF(K50&lt;=0,0,MEDIAN(0,(K50-L50)/K50,1))))))*(1-(IF(K50&lt;=0,0,MEDIAN(0,(K50-L50)/K50,1)))))</f>
        <v/>
      </c>
      <c r="M51" s="23">
        <f>IF(M50&lt;=0,0,(M50-(IF(M50&lt;=0,0,(24000*(1+'1 - I TUOI 6 NUMERI'!$B$14)^29)/(1-'1 - I TUOI 6 NUMERI'!$B$15*(IF(M50&lt;=0,0,MEDIAN(0,(M50-N50)/M50,1))))))-(IF(M50&lt;=0,0,'1 - I TUOI 6 NUMERI'!$B$16*M50)))*(1+((1+0.01)*(1+'1 - I TUOI 6 NUMERI'!$B$14)-1)))</f>
        <v/>
      </c>
      <c r="N51" s="23">
        <f>MAX(0,N50-(IF(M50&lt;=0,0,(24000*(1+'1 - I TUOI 6 NUMERI'!$B$14)^29)/(1-'1 - I TUOI 6 NUMERI'!$B$15*(IF(M50&lt;=0,0,MEDIAN(0,(M50-N50)/M50,1))))))*(1-(IF(M50&lt;=0,0,MEDIAN(0,(M50-N50)/M50,1)))))</f>
        <v/>
      </c>
      <c r="O51" s="23">
        <f>IF(O50&lt;=0,0,(O50-(IF(O50&lt;=0,0,(24000*(1+'1 - I TUOI 6 NUMERI'!$B$14)^29)/(1-'1 - I TUOI 6 NUMERI'!$B$15*(IF(O50&lt;=0,0,MEDIAN(0,(O50-P50)/O50,1))))))-(IF(O50&lt;=0,0,'1 - I TUOI 6 NUMERI'!$B$16*O50)))*(1+((1+0.03)*(1+'1 - I TUOI 6 NUMERI'!$B$14)-1)))</f>
        <v/>
      </c>
      <c r="P51" s="23">
        <f>MAX(0,P50-(IF(O50&lt;=0,0,(24000*(1+'1 - I TUOI 6 NUMERI'!$B$14)^29)/(1-'1 - I TUOI 6 NUMERI'!$B$15*(IF(O50&lt;=0,0,MEDIAN(0,(O50-P50)/O50,1))))))*(1-(IF(O50&lt;=0,0,MEDIAN(0,(O50-P50)/O50,1)))))</f>
        <v/>
      </c>
      <c r="Q51" s="23">
        <f>IF(Q50&lt;=0,0,(Q50-(IF(Q50&lt;=0,0,(24000*(1+'1 - I TUOI 6 NUMERI'!$B$14)^29)/(1-'1 - I TUOI 6 NUMERI'!$B$15*(IF(Q50&lt;=0,0,MEDIAN(0,(Q50-R50)/Q50,1))))))-(IF(Q50&lt;=0,0,'1 - I TUOI 6 NUMERI'!$B$16*Q50)))*(1+((1+0.05)*(1+'1 - I TUOI 6 NUMERI'!$B$14)-1)))</f>
        <v/>
      </c>
      <c r="R51" s="23">
        <f>MAX(0,R50-(IF(Q50&lt;=0,0,(24000*(1+'1 - I TUOI 6 NUMERI'!$B$14)^29)/(1-'1 - I TUOI 6 NUMERI'!$B$15*(IF(Q50&lt;=0,0,MEDIAN(0,(Q50-R50)/Q50,1))))))*(1-(IF(Q50&lt;=0,0,MEDIAN(0,(Q50-R50)/Q50,1)))))</f>
        <v/>
      </c>
      <c r="S51" s="23">
        <f>IF(S50&lt;=0,0,(S50-(IF(S50&lt;=0,0,(30000*(1+'1 - I TUOI 6 NUMERI'!$B$14)^29)/(1-'1 - I TUOI 6 NUMERI'!$B$15*(IF(S50&lt;=0,0,MEDIAN(0,(S50-T50)/S50,1))))))-(IF(S50&lt;=0,0,'1 - I TUOI 6 NUMERI'!$B$16*S50)))*(1+((1+0.01)*(1+'1 - I TUOI 6 NUMERI'!$B$14)-1)))</f>
        <v/>
      </c>
      <c r="T51" s="23">
        <f>MAX(0,T50-(IF(S50&lt;=0,0,(30000*(1+'1 - I TUOI 6 NUMERI'!$B$14)^29)/(1-'1 - I TUOI 6 NUMERI'!$B$15*(IF(S50&lt;=0,0,MEDIAN(0,(S50-T50)/S50,1))))))*(1-(IF(S50&lt;=0,0,MEDIAN(0,(S50-T50)/S50,1)))))</f>
        <v/>
      </c>
      <c r="U51" s="23">
        <f>IF(U50&lt;=0,0,(U50-(IF(U50&lt;=0,0,(30000*(1+'1 - I TUOI 6 NUMERI'!$B$14)^29)/(1-'1 - I TUOI 6 NUMERI'!$B$15*(IF(U50&lt;=0,0,MEDIAN(0,(U50-V50)/U50,1))))))-(IF(U50&lt;=0,0,'1 - I TUOI 6 NUMERI'!$B$16*U50)))*(1+((1+0.03)*(1+'1 - I TUOI 6 NUMERI'!$B$14)-1)))</f>
        <v/>
      </c>
      <c r="V51" s="23">
        <f>MAX(0,V50-(IF(U50&lt;=0,0,(30000*(1+'1 - I TUOI 6 NUMERI'!$B$14)^29)/(1-'1 - I TUOI 6 NUMERI'!$B$15*(IF(U50&lt;=0,0,MEDIAN(0,(U50-V50)/U50,1))))))*(1-(IF(U50&lt;=0,0,MEDIAN(0,(U50-V50)/U50,1)))))</f>
        <v/>
      </c>
      <c r="W51" s="23">
        <f>IF(W50&lt;=0,0,(W50-(IF(W50&lt;=0,0,(30000*(1+'1 - I TUOI 6 NUMERI'!$B$14)^29)/(1-'1 - I TUOI 6 NUMERI'!$B$15*(IF(W50&lt;=0,0,MEDIAN(0,(W50-X50)/W50,1))))))-(IF(W50&lt;=0,0,'1 - I TUOI 6 NUMERI'!$B$16*W50)))*(1+((1+0.05)*(1+'1 - I TUOI 6 NUMERI'!$B$14)-1)))</f>
        <v/>
      </c>
      <c r="X51" s="23">
        <f>MAX(0,X50-(IF(W50&lt;=0,0,(30000*(1+'1 - I TUOI 6 NUMERI'!$B$14)^29)/(1-'1 - I TUOI 6 NUMERI'!$B$15*(IF(W50&lt;=0,0,MEDIAN(0,(W50-X50)/W50,1))))))*(1-(IF(W50&lt;=0,0,MEDIAN(0,(W50-X50)/W50,1)))))</f>
        <v/>
      </c>
      <c r="Y51" s="23">
        <f>IF(Y50&lt;=0,0,(Y50-(IF(Y50&lt;=0,0,(36000*(1+'1 - I TUOI 6 NUMERI'!$B$14)^29)/(1-'1 - I TUOI 6 NUMERI'!$B$15*(IF(Y50&lt;=0,0,MEDIAN(0,(Y50-Z50)/Y50,1))))))-(IF(Y50&lt;=0,0,'1 - I TUOI 6 NUMERI'!$B$16*Y50)))*(1+((1+0.01)*(1+'1 - I TUOI 6 NUMERI'!$B$14)-1)))</f>
        <v/>
      </c>
      <c r="Z51" s="23">
        <f>MAX(0,Z50-(IF(Y50&lt;=0,0,(36000*(1+'1 - I TUOI 6 NUMERI'!$B$14)^29)/(1-'1 - I TUOI 6 NUMERI'!$B$15*(IF(Y50&lt;=0,0,MEDIAN(0,(Y50-Z50)/Y50,1))))))*(1-(IF(Y50&lt;=0,0,MEDIAN(0,(Y50-Z50)/Y50,1)))))</f>
        <v/>
      </c>
      <c r="AA51" s="23">
        <f>IF(AA50&lt;=0,0,(AA50-(IF(AA50&lt;=0,0,(36000*(1+'1 - I TUOI 6 NUMERI'!$B$14)^29)/(1-'1 - I TUOI 6 NUMERI'!$B$15*(IF(AA50&lt;=0,0,MEDIAN(0,(AA50-AB50)/AA50,1))))))-(IF(AA50&lt;=0,0,'1 - I TUOI 6 NUMERI'!$B$16*AA50)))*(1+((1+0.03)*(1+'1 - I TUOI 6 NUMERI'!$B$14)-1)))</f>
        <v/>
      </c>
      <c r="AB51" s="23">
        <f>MAX(0,AB50-(IF(AA50&lt;=0,0,(36000*(1+'1 - I TUOI 6 NUMERI'!$B$14)^29)/(1-'1 - I TUOI 6 NUMERI'!$B$15*(IF(AA50&lt;=0,0,MEDIAN(0,(AA50-AB50)/AA50,1))))))*(1-(IF(AA50&lt;=0,0,MEDIAN(0,(AA50-AB50)/AA50,1)))))</f>
        <v/>
      </c>
      <c r="AC51" s="23">
        <f>IF(AC50&lt;=0,0,(AC50-(IF(AC50&lt;=0,0,(36000*(1+'1 - I TUOI 6 NUMERI'!$B$14)^29)/(1-'1 - I TUOI 6 NUMERI'!$B$15*(IF(AC50&lt;=0,0,MEDIAN(0,(AC50-AD50)/AC50,1))))))-(IF(AC50&lt;=0,0,'1 - I TUOI 6 NUMERI'!$B$16*AC50)))*(1+((1+0.05)*(1+'1 - I TUOI 6 NUMERI'!$B$14)-1)))</f>
        <v/>
      </c>
      <c r="AD51" s="23">
        <f>MAX(0,AD50-(IF(AC50&lt;=0,0,(36000*(1+'1 - I TUOI 6 NUMERI'!$B$14)^29)/(1-'1 - I TUOI 6 NUMERI'!$B$15*(IF(AC50&lt;=0,0,MEDIAN(0,(AC50-AD50)/AC50,1))))))*(1-(IF(AC50&lt;=0,0,MEDIAN(0,(AC50-AD50)/AC50,1)))))</f>
        <v/>
      </c>
    </row>
    <row r="52">
      <c r="F52" s="6" t="n">
        <v>30</v>
      </c>
      <c r="G52" s="23">
        <f>IF(G51&lt;=0,0,(G51-(IF(G51&lt;=0,0,(18000*(1+'1 - I TUOI 6 NUMERI'!$B$14)^30)/(1-'1 - I TUOI 6 NUMERI'!$B$15*(IF(G51&lt;=0,0,MEDIAN(0,(G51-H51)/G51,1))))))-(IF(G51&lt;=0,0,'1 - I TUOI 6 NUMERI'!$B$16*G51)))*(1+((1+0.01)*(1+'1 - I TUOI 6 NUMERI'!$B$14)-1)))</f>
        <v/>
      </c>
      <c r="H52" s="23">
        <f>MAX(0,H51-(IF(G51&lt;=0,0,(18000*(1+'1 - I TUOI 6 NUMERI'!$B$14)^30)/(1-'1 - I TUOI 6 NUMERI'!$B$15*(IF(G51&lt;=0,0,MEDIAN(0,(G51-H51)/G51,1))))))*(1-(IF(G51&lt;=0,0,MEDIAN(0,(G51-H51)/G51,1)))))</f>
        <v/>
      </c>
      <c r="I52" s="23">
        <f>IF(I51&lt;=0,0,(I51-(IF(I51&lt;=0,0,(18000*(1+'1 - I TUOI 6 NUMERI'!$B$14)^30)/(1-'1 - I TUOI 6 NUMERI'!$B$15*(IF(I51&lt;=0,0,MEDIAN(0,(I51-J51)/I51,1))))))-(IF(I51&lt;=0,0,'1 - I TUOI 6 NUMERI'!$B$16*I51)))*(1+((1+0.03)*(1+'1 - I TUOI 6 NUMERI'!$B$14)-1)))</f>
        <v/>
      </c>
      <c r="J52" s="23">
        <f>MAX(0,J51-(IF(I51&lt;=0,0,(18000*(1+'1 - I TUOI 6 NUMERI'!$B$14)^30)/(1-'1 - I TUOI 6 NUMERI'!$B$15*(IF(I51&lt;=0,0,MEDIAN(0,(I51-J51)/I51,1))))))*(1-(IF(I51&lt;=0,0,MEDIAN(0,(I51-J51)/I51,1)))))</f>
        <v/>
      </c>
      <c r="K52" s="23">
        <f>IF(K51&lt;=0,0,(K51-(IF(K51&lt;=0,0,(18000*(1+'1 - I TUOI 6 NUMERI'!$B$14)^30)/(1-'1 - I TUOI 6 NUMERI'!$B$15*(IF(K51&lt;=0,0,MEDIAN(0,(K51-L51)/K51,1))))))-(IF(K51&lt;=0,0,'1 - I TUOI 6 NUMERI'!$B$16*K51)))*(1+((1+0.05)*(1+'1 - I TUOI 6 NUMERI'!$B$14)-1)))</f>
        <v/>
      </c>
      <c r="L52" s="23">
        <f>MAX(0,L51-(IF(K51&lt;=0,0,(18000*(1+'1 - I TUOI 6 NUMERI'!$B$14)^30)/(1-'1 - I TUOI 6 NUMERI'!$B$15*(IF(K51&lt;=0,0,MEDIAN(0,(K51-L51)/K51,1))))))*(1-(IF(K51&lt;=0,0,MEDIAN(0,(K51-L51)/K51,1)))))</f>
        <v/>
      </c>
      <c r="M52" s="23">
        <f>IF(M51&lt;=0,0,(M51-(IF(M51&lt;=0,0,(24000*(1+'1 - I TUOI 6 NUMERI'!$B$14)^30)/(1-'1 - I TUOI 6 NUMERI'!$B$15*(IF(M51&lt;=0,0,MEDIAN(0,(M51-N51)/M51,1))))))-(IF(M51&lt;=0,0,'1 - I TUOI 6 NUMERI'!$B$16*M51)))*(1+((1+0.01)*(1+'1 - I TUOI 6 NUMERI'!$B$14)-1)))</f>
        <v/>
      </c>
      <c r="N52" s="23">
        <f>MAX(0,N51-(IF(M51&lt;=0,0,(24000*(1+'1 - I TUOI 6 NUMERI'!$B$14)^30)/(1-'1 - I TUOI 6 NUMERI'!$B$15*(IF(M51&lt;=0,0,MEDIAN(0,(M51-N51)/M51,1))))))*(1-(IF(M51&lt;=0,0,MEDIAN(0,(M51-N51)/M51,1)))))</f>
        <v/>
      </c>
      <c r="O52" s="23">
        <f>IF(O51&lt;=0,0,(O51-(IF(O51&lt;=0,0,(24000*(1+'1 - I TUOI 6 NUMERI'!$B$14)^30)/(1-'1 - I TUOI 6 NUMERI'!$B$15*(IF(O51&lt;=0,0,MEDIAN(0,(O51-P51)/O51,1))))))-(IF(O51&lt;=0,0,'1 - I TUOI 6 NUMERI'!$B$16*O51)))*(1+((1+0.03)*(1+'1 - I TUOI 6 NUMERI'!$B$14)-1)))</f>
        <v/>
      </c>
      <c r="P52" s="23">
        <f>MAX(0,P51-(IF(O51&lt;=0,0,(24000*(1+'1 - I TUOI 6 NUMERI'!$B$14)^30)/(1-'1 - I TUOI 6 NUMERI'!$B$15*(IF(O51&lt;=0,0,MEDIAN(0,(O51-P51)/O51,1))))))*(1-(IF(O51&lt;=0,0,MEDIAN(0,(O51-P51)/O51,1)))))</f>
        <v/>
      </c>
      <c r="Q52" s="23">
        <f>IF(Q51&lt;=0,0,(Q51-(IF(Q51&lt;=0,0,(24000*(1+'1 - I TUOI 6 NUMERI'!$B$14)^30)/(1-'1 - I TUOI 6 NUMERI'!$B$15*(IF(Q51&lt;=0,0,MEDIAN(0,(Q51-R51)/Q51,1))))))-(IF(Q51&lt;=0,0,'1 - I TUOI 6 NUMERI'!$B$16*Q51)))*(1+((1+0.05)*(1+'1 - I TUOI 6 NUMERI'!$B$14)-1)))</f>
        <v/>
      </c>
      <c r="R52" s="23">
        <f>MAX(0,R51-(IF(Q51&lt;=0,0,(24000*(1+'1 - I TUOI 6 NUMERI'!$B$14)^30)/(1-'1 - I TUOI 6 NUMERI'!$B$15*(IF(Q51&lt;=0,0,MEDIAN(0,(Q51-R51)/Q51,1))))))*(1-(IF(Q51&lt;=0,0,MEDIAN(0,(Q51-R51)/Q51,1)))))</f>
        <v/>
      </c>
      <c r="S52" s="23">
        <f>IF(S51&lt;=0,0,(S51-(IF(S51&lt;=0,0,(30000*(1+'1 - I TUOI 6 NUMERI'!$B$14)^30)/(1-'1 - I TUOI 6 NUMERI'!$B$15*(IF(S51&lt;=0,0,MEDIAN(0,(S51-T51)/S51,1))))))-(IF(S51&lt;=0,0,'1 - I TUOI 6 NUMERI'!$B$16*S51)))*(1+((1+0.01)*(1+'1 - I TUOI 6 NUMERI'!$B$14)-1)))</f>
        <v/>
      </c>
      <c r="T52" s="23">
        <f>MAX(0,T51-(IF(S51&lt;=0,0,(30000*(1+'1 - I TUOI 6 NUMERI'!$B$14)^30)/(1-'1 - I TUOI 6 NUMERI'!$B$15*(IF(S51&lt;=0,0,MEDIAN(0,(S51-T51)/S51,1))))))*(1-(IF(S51&lt;=0,0,MEDIAN(0,(S51-T51)/S51,1)))))</f>
        <v/>
      </c>
      <c r="U52" s="23">
        <f>IF(U51&lt;=0,0,(U51-(IF(U51&lt;=0,0,(30000*(1+'1 - I TUOI 6 NUMERI'!$B$14)^30)/(1-'1 - I TUOI 6 NUMERI'!$B$15*(IF(U51&lt;=0,0,MEDIAN(0,(U51-V51)/U51,1))))))-(IF(U51&lt;=0,0,'1 - I TUOI 6 NUMERI'!$B$16*U51)))*(1+((1+0.03)*(1+'1 - I TUOI 6 NUMERI'!$B$14)-1)))</f>
        <v/>
      </c>
      <c r="V52" s="23">
        <f>MAX(0,V51-(IF(U51&lt;=0,0,(30000*(1+'1 - I TUOI 6 NUMERI'!$B$14)^30)/(1-'1 - I TUOI 6 NUMERI'!$B$15*(IF(U51&lt;=0,0,MEDIAN(0,(U51-V51)/U51,1))))))*(1-(IF(U51&lt;=0,0,MEDIAN(0,(U51-V51)/U51,1)))))</f>
        <v/>
      </c>
      <c r="W52" s="23">
        <f>IF(W51&lt;=0,0,(W51-(IF(W51&lt;=0,0,(30000*(1+'1 - I TUOI 6 NUMERI'!$B$14)^30)/(1-'1 - I TUOI 6 NUMERI'!$B$15*(IF(W51&lt;=0,0,MEDIAN(0,(W51-X51)/W51,1))))))-(IF(W51&lt;=0,0,'1 - I TUOI 6 NUMERI'!$B$16*W51)))*(1+((1+0.05)*(1+'1 - I TUOI 6 NUMERI'!$B$14)-1)))</f>
        <v/>
      </c>
      <c r="X52" s="23">
        <f>MAX(0,X51-(IF(W51&lt;=0,0,(30000*(1+'1 - I TUOI 6 NUMERI'!$B$14)^30)/(1-'1 - I TUOI 6 NUMERI'!$B$15*(IF(W51&lt;=0,0,MEDIAN(0,(W51-X51)/W51,1))))))*(1-(IF(W51&lt;=0,0,MEDIAN(0,(W51-X51)/W51,1)))))</f>
        <v/>
      </c>
      <c r="Y52" s="23">
        <f>IF(Y51&lt;=0,0,(Y51-(IF(Y51&lt;=0,0,(36000*(1+'1 - I TUOI 6 NUMERI'!$B$14)^30)/(1-'1 - I TUOI 6 NUMERI'!$B$15*(IF(Y51&lt;=0,0,MEDIAN(0,(Y51-Z51)/Y51,1))))))-(IF(Y51&lt;=0,0,'1 - I TUOI 6 NUMERI'!$B$16*Y51)))*(1+((1+0.01)*(1+'1 - I TUOI 6 NUMERI'!$B$14)-1)))</f>
        <v/>
      </c>
      <c r="Z52" s="23">
        <f>MAX(0,Z51-(IF(Y51&lt;=0,0,(36000*(1+'1 - I TUOI 6 NUMERI'!$B$14)^30)/(1-'1 - I TUOI 6 NUMERI'!$B$15*(IF(Y51&lt;=0,0,MEDIAN(0,(Y51-Z51)/Y51,1))))))*(1-(IF(Y51&lt;=0,0,MEDIAN(0,(Y51-Z51)/Y51,1)))))</f>
        <v/>
      </c>
      <c r="AA52" s="23">
        <f>IF(AA51&lt;=0,0,(AA51-(IF(AA51&lt;=0,0,(36000*(1+'1 - I TUOI 6 NUMERI'!$B$14)^30)/(1-'1 - I TUOI 6 NUMERI'!$B$15*(IF(AA51&lt;=0,0,MEDIAN(0,(AA51-AB51)/AA51,1))))))-(IF(AA51&lt;=0,0,'1 - I TUOI 6 NUMERI'!$B$16*AA51)))*(1+((1+0.03)*(1+'1 - I TUOI 6 NUMERI'!$B$14)-1)))</f>
        <v/>
      </c>
      <c r="AB52" s="23">
        <f>MAX(0,AB51-(IF(AA51&lt;=0,0,(36000*(1+'1 - I TUOI 6 NUMERI'!$B$14)^30)/(1-'1 - I TUOI 6 NUMERI'!$B$15*(IF(AA51&lt;=0,0,MEDIAN(0,(AA51-AB51)/AA51,1))))))*(1-(IF(AA51&lt;=0,0,MEDIAN(0,(AA51-AB51)/AA51,1)))))</f>
        <v/>
      </c>
      <c r="AC52" s="23">
        <f>IF(AC51&lt;=0,0,(AC51-(IF(AC51&lt;=0,0,(36000*(1+'1 - I TUOI 6 NUMERI'!$B$14)^30)/(1-'1 - I TUOI 6 NUMERI'!$B$15*(IF(AC51&lt;=0,0,MEDIAN(0,(AC51-AD51)/AC51,1))))))-(IF(AC51&lt;=0,0,'1 - I TUOI 6 NUMERI'!$B$16*AC51)))*(1+((1+0.05)*(1+'1 - I TUOI 6 NUMERI'!$B$14)-1)))</f>
        <v/>
      </c>
      <c r="AD52" s="23">
        <f>MAX(0,AD51-(IF(AC51&lt;=0,0,(36000*(1+'1 - I TUOI 6 NUMERI'!$B$14)^30)/(1-'1 - I TUOI 6 NUMERI'!$B$15*(IF(AC51&lt;=0,0,MEDIAN(0,(AC51-AD51)/AC51,1))))))*(1-(IF(AC51&lt;=0,0,MEDIAN(0,(AC51-AD51)/AC51,1)))))</f>
        <v/>
      </c>
    </row>
    <row r="53">
      <c r="F53" s="6" t="n">
        <v>31</v>
      </c>
      <c r="G53" s="23">
        <f>IF(G52&lt;=0,0,(G52-(IF(G52&lt;=0,0,(18000*(1+'1 - I TUOI 6 NUMERI'!$B$14)^31)/(1-'1 - I TUOI 6 NUMERI'!$B$15*(IF(G52&lt;=0,0,MEDIAN(0,(G52-H52)/G52,1))))))-(IF(G52&lt;=0,0,'1 - I TUOI 6 NUMERI'!$B$16*G52)))*(1+((1+0.01)*(1+'1 - I TUOI 6 NUMERI'!$B$14)-1)))</f>
        <v/>
      </c>
      <c r="H53" s="23">
        <f>MAX(0,H52-(IF(G52&lt;=0,0,(18000*(1+'1 - I TUOI 6 NUMERI'!$B$14)^31)/(1-'1 - I TUOI 6 NUMERI'!$B$15*(IF(G52&lt;=0,0,MEDIAN(0,(G52-H52)/G52,1))))))*(1-(IF(G52&lt;=0,0,MEDIAN(0,(G52-H52)/G52,1)))))</f>
        <v/>
      </c>
      <c r="I53" s="23">
        <f>IF(I52&lt;=0,0,(I52-(IF(I52&lt;=0,0,(18000*(1+'1 - I TUOI 6 NUMERI'!$B$14)^31)/(1-'1 - I TUOI 6 NUMERI'!$B$15*(IF(I52&lt;=0,0,MEDIAN(0,(I52-J52)/I52,1))))))-(IF(I52&lt;=0,0,'1 - I TUOI 6 NUMERI'!$B$16*I52)))*(1+((1+0.03)*(1+'1 - I TUOI 6 NUMERI'!$B$14)-1)))</f>
        <v/>
      </c>
      <c r="J53" s="23">
        <f>MAX(0,J52-(IF(I52&lt;=0,0,(18000*(1+'1 - I TUOI 6 NUMERI'!$B$14)^31)/(1-'1 - I TUOI 6 NUMERI'!$B$15*(IF(I52&lt;=0,0,MEDIAN(0,(I52-J52)/I52,1))))))*(1-(IF(I52&lt;=0,0,MEDIAN(0,(I52-J52)/I52,1)))))</f>
        <v/>
      </c>
      <c r="K53" s="23">
        <f>IF(K52&lt;=0,0,(K52-(IF(K52&lt;=0,0,(18000*(1+'1 - I TUOI 6 NUMERI'!$B$14)^31)/(1-'1 - I TUOI 6 NUMERI'!$B$15*(IF(K52&lt;=0,0,MEDIAN(0,(K52-L52)/K52,1))))))-(IF(K52&lt;=0,0,'1 - I TUOI 6 NUMERI'!$B$16*K52)))*(1+((1+0.05)*(1+'1 - I TUOI 6 NUMERI'!$B$14)-1)))</f>
        <v/>
      </c>
      <c r="L53" s="23">
        <f>MAX(0,L52-(IF(K52&lt;=0,0,(18000*(1+'1 - I TUOI 6 NUMERI'!$B$14)^31)/(1-'1 - I TUOI 6 NUMERI'!$B$15*(IF(K52&lt;=0,0,MEDIAN(0,(K52-L52)/K52,1))))))*(1-(IF(K52&lt;=0,0,MEDIAN(0,(K52-L52)/K52,1)))))</f>
        <v/>
      </c>
      <c r="M53" s="23">
        <f>IF(M52&lt;=0,0,(M52-(IF(M52&lt;=0,0,(24000*(1+'1 - I TUOI 6 NUMERI'!$B$14)^31)/(1-'1 - I TUOI 6 NUMERI'!$B$15*(IF(M52&lt;=0,0,MEDIAN(0,(M52-N52)/M52,1))))))-(IF(M52&lt;=0,0,'1 - I TUOI 6 NUMERI'!$B$16*M52)))*(1+((1+0.01)*(1+'1 - I TUOI 6 NUMERI'!$B$14)-1)))</f>
        <v/>
      </c>
      <c r="N53" s="23">
        <f>MAX(0,N52-(IF(M52&lt;=0,0,(24000*(1+'1 - I TUOI 6 NUMERI'!$B$14)^31)/(1-'1 - I TUOI 6 NUMERI'!$B$15*(IF(M52&lt;=0,0,MEDIAN(0,(M52-N52)/M52,1))))))*(1-(IF(M52&lt;=0,0,MEDIAN(0,(M52-N52)/M52,1)))))</f>
        <v/>
      </c>
      <c r="O53" s="23">
        <f>IF(O52&lt;=0,0,(O52-(IF(O52&lt;=0,0,(24000*(1+'1 - I TUOI 6 NUMERI'!$B$14)^31)/(1-'1 - I TUOI 6 NUMERI'!$B$15*(IF(O52&lt;=0,0,MEDIAN(0,(O52-P52)/O52,1))))))-(IF(O52&lt;=0,0,'1 - I TUOI 6 NUMERI'!$B$16*O52)))*(1+((1+0.03)*(1+'1 - I TUOI 6 NUMERI'!$B$14)-1)))</f>
        <v/>
      </c>
      <c r="P53" s="23">
        <f>MAX(0,P52-(IF(O52&lt;=0,0,(24000*(1+'1 - I TUOI 6 NUMERI'!$B$14)^31)/(1-'1 - I TUOI 6 NUMERI'!$B$15*(IF(O52&lt;=0,0,MEDIAN(0,(O52-P52)/O52,1))))))*(1-(IF(O52&lt;=0,0,MEDIAN(0,(O52-P52)/O52,1)))))</f>
        <v/>
      </c>
      <c r="Q53" s="23">
        <f>IF(Q52&lt;=0,0,(Q52-(IF(Q52&lt;=0,0,(24000*(1+'1 - I TUOI 6 NUMERI'!$B$14)^31)/(1-'1 - I TUOI 6 NUMERI'!$B$15*(IF(Q52&lt;=0,0,MEDIAN(0,(Q52-R52)/Q52,1))))))-(IF(Q52&lt;=0,0,'1 - I TUOI 6 NUMERI'!$B$16*Q52)))*(1+((1+0.05)*(1+'1 - I TUOI 6 NUMERI'!$B$14)-1)))</f>
        <v/>
      </c>
      <c r="R53" s="23">
        <f>MAX(0,R52-(IF(Q52&lt;=0,0,(24000*(1+'1 - I TUOI 6 NUMERI'!$B$14)^31)/(1-'1 - I TUOI 6 NUMERI'!$B$15*(IF(Q52&lt;=0,0,MEDIAN(0,(Q52-R52)/Q52,1))))))*(1-(IF(Q52&lt;=0,0,MEDIAN(0,(Q52-R52)/Q52,1)))))</f>
        <v/>
      </c>
      <c r="S53" s="23">
        <f>IF(S52&lt;=0,0,(S52-(IF(S52&lt;=0,0,(30000*(1+'1 - I TUOI 6 NUMERI'!$B$14)^31)/(1-'1 - I TUOI 6 NUMERI'!$B$15*(IF(S52&lt;=0,0,MEDIAN(0,(S52-T52)/S52,1))))))-(IF(S52&lt;=0,0,'1 - I TUOI 6 NUMERI'!$B$16*S52)))*(1+((1+0.01)*(1+'1 - I TUOI 6 NUMERI'!$B$14)-1)))</f>
        <v/>
      </c>
      <c r="T53" s="23">
        <f>MAX(0,T52-(IF(S52&lt;=0,0,(30000*(1+'1 - I TUOI 6 NUMERI'!$B$14)^31)/(1-'1 - I TUOI 6 NUMERI'!$B$15*(IF(S52&lt;=0,0,MEDIAN(0,(S52-T52)/S52,1))))))*(1-(IF(S52&lt;=0,0,MEDIAN(0,(S52-T52)/S52,1)))))</f>
        <v/>
      </c>
      <c r="U53" s="23">
        <f>IF(U52&lt;=0,0,(U52-(IF(U52&lt;=0,0,(30000*(1+'1 - I TUOI 6 NUMERI'!$B$14)^31)/(1-'1 - I TUOI 6 NUMERI'!$B$15*(IF(U52&lt;=0,0,MEDIAN(0,(U52-V52)/U52,1))))))-(IF(U52&lt;=0,0,'1 - I TUOI 6 NUMERI'!$B$16*U52)))*(1+((1+0.03)*(1+'1 - I TUOI 6 NUMERI'!$B$14)-1)))</f>
        <v/>
      </c>
      <c r="V53" s="23">
        <f>MAX(0,V52-(IF(U52&lt;=0,0,(30000*(1+'1 - I TUOI 6 NUMERI'!$B$14)^31)/(1-'1 - I TUOI 6 NUMERI'!$B$15*(IF(U52&lt;=0,0,MEDIAN(0,(U52-V52)/U52,1))))))*(1-(IF(U52&lt;=0,0,MEDIAN(0,(U52-V52)/U52,1)))))</f>
        <v/>
      </c>
      <c r="W53" s="23">
        <f>IF(W52&lt;=0,0,(W52-(IF(W52&lt;=0,0,(30000*(1+'1 - I TUOI 6 NUMERI'!$B$14)^31)/(1-'1 - I TUOI 6 NUMERI'!$B$15*(IF(W52&lt;=0,0,MEDIAN(0,(W52-X52)/W52,1))))))-(IF(W52&lt;=0,0,'1 - I TUOI 6 NUMERI'!$B$16*W52)))*(1+((1+0.05)*(1+'1 - I TUOI 6 NUMERI'!$B$14)-1)))</f>
        <v/>
      </c>
      <c r="X53" s="23">
        <f>MAX(0,X52-(IF(W52&lt;=0,0,(30000*(1+'1 - I TUOI 6 NUMERI'!$B$14)^31)/(1-'1 - I TUOI 6 NUMERI'!$B$15*(IF(W52&lt;=0,0,MEDIAN(0,(W52-X52)/W52,1))))))*(1-(IF(W52&lt;=0,0,MEDIAN(0,(W52-X52)/W52,1)))))</f>
        <v/>
      </c>
      <c r="Y53" s="23">
        <f>IF(Y52&lt;=0,0,(Y52-(IF(Y52&lt;=0,0,(36000*(1+'1 - I TUOI 6 NUMERI'!$B$14)^31)/(1-'1 - I TUOI 6 NUMERI'!$B$15*(IF(Y52&lt;=0,0,MEDIAN(0,(Y52-Z52)/Y52,1))))))-(IF(Y52&lt;=0,0,'1 - I TUOI 6 NUMERI'!$B$16*Y52)))*(1+((1+0.01)*(1+'1 - I TUOI 6 NUMERI'!$B$14)-1)))</f>
        <v/>
      </c>
      <c r="Z53" s="23">
        <f>MAX(0,Z52-(IF(Y52&lt;=0,0,(36000*(1+'1 - I TUOI 6 NUMERI'!$B$14)^31)/(1-'1 - I TUOI 6 NUMERI'!$B$15*(IF(Y52&lt;=0,0,MEDIAN(0,(Y52-Z52)/Y52,1))))))*(1-(IF(Y52&lt;=0,0,MEDIAN(0,(Y52-Z52)/Y52,1)))))</f>
        <v/>
      </c>
      <c r="AA53" s="23">
        <f>IF(AA52&lt;=0,0,(AA52-(IF(AA52&lt;=0,0,(36000*(1+'1 - I TUOI 6 NUMERI'!$B$14)^31)/(1-'1 - I TUOI 6 NUMERI'!$B$15*(IF(AA52&lt;=0,0,MEDIAN(0,(AA52-AB52)/AA52,1))))))-(IF(AA52&lt;=0,0,'1 - I TUOI 6 NUMERI'!$B$16*AA52)))*(1+((1+0.03)*(1+'1 - I TUOI 6 NUMERI'!$B$14)-1)))</f>
        <v/>
      </c>
      <c r="AB53" s="23">
        <f>MAX(0,AB52-(IF(AA52&lt;=0,0,(36000*(1+'1 - I TUOI 6 NUMERI'!$B$14)^31)/(1-'1 - I TUOI 6 NUMERI'!$B$15*(IF(AA52&lt;=0,0,MEDIAN(0,(AA52-AB52)/AA52,1))))))*(1-(IF(AA52&lt;=0,0,MEDIAN(0,(AA52-AB52)/AA52,1)))))</f>
        <v/>
      </c>
      <c r="AC53" s="23">
        <f>IF(AC52&lt;=0,0,(AC52-(IF(AC52&lt;=0,0,(36000*(1+'1 - I TUOI 6 NUMERI'!$B$14)^31)/(1-'1 - I TUOI 6 NUMERI'!$B$15*(IF(AC52&lt;=0,0,MEDIAN(0,(AC52-AD52)/AC52,1))))))-(IF(AC52&lt;=0,0,'1 - I TUOI 6 NUMERI'!$B$16*AC52)))*(1+((1+0.05)*(1+'1 - I TUOI 6 NUMERI'!$B$14)-1)))</f>
        <v/>
      </c>
      <c r="AD53" s="23">
        <f>MAX(0,AD52-(IF(AC52&lt;=0,0,(36000*(1+'1 - I TUOI 6 NUMERI'!$B$14)^31)/(1-'1 - I TUOI 6 NUMERI'!$B$15*(IF(AC52&lt;=0,0,MEDIAN(0,(AC52-AD52)/AC52,1))))))*(1-(IF(AC52&lt;=0,0,MEDIAN(0,(AC52-AD52)/AC52,1)))))</f>
        <v/>
      </c>
    </row>
    <row r="54">
      <c r="F54" s="6" t="n">
        <v>32</v>
      </c>
      <c r="G54" s="23">
        <f>IF(G53&lt;=0,0,(G53-(IF(G53&lt;=0,0,(18000*(1+'1 - I TUOI 6 NUMERI'!$B$14)^32)/(1-'1 - I TUOI 6 NUMERI'!$B$15*(IF(G53&lt;=0,0,MEDIAN(0,(G53-H53)/G53,1))))))-(IF(G53&lt;=0,0,'1 - I TUOI 6 NUMERI'!$B$16*G53)))*(1+((1+0.01)*(1+'1 - I TUOI 6 NUMERI'!$B$14)-1)))</f>
        <v/>
      </c>
      <c r="H54" s="23">
        <f>MAX(0,H53-(IF(G53&lt;=0,0,(18000*(1+'1 - I TUOI 6 NUMERI'!$B$14)^32)/(1-'1 - I TUOI 6 NUMERI'!$B$15*(IF(G53&lt;=0,0,MEDIAN(0,(G53-H53)/G53,1))))))*(1-(IF(G53&lt;=0,0,MEDIAN(0,(G53-H53)/G53,1)))))</f>
        <v/>
      </c>
      <c r="I54" s="23">
        <f>IF(I53&lt;=0,0,(I53-(IF(I53&lt;=0,0,(18000*(1+'1 - I TUOI 6 NUMERI'!$B$14)^32)/(1-'1 - I TUOI 6 NUMERI'!$B$15*(IF(I53&lt;=0,0,MEDIAN(0,(I53-J53)/I53,1))))))-(IF(I53&lt;=0,0,'1 - I TUOI 6 NUMERI'!$B$16*I53)))*(1+((1+0.03)*(1+'1 - I TUOI 6 NUMERI'!$B$14)-1)))</f>
        <v/>
      </c>
      <c r="J54" s="23">
        <f>MAX(0,J53-(IF(I53&lt;=0,0,(18000*(1+'1 - I TUOI 6 NUMERI'!$B$14)^32)/(1-'1 - I TUOI 6 NUMERI'!$B$15*(IF(I53&lt;=0,0,MEDIAN(0,(I53-J53)/I53,1))))))*(1-(IF(I53&lt;=0,0,MEDIAN(0,(I53-J53)/I53,1)))))</f>
        <v/>
      </c>
      <c r="K54" s="23">
        <f>IF(K53&lt;=0,0,(K53-(IF(K53&lt;=0,0,(18000*(1+'1 - I TUOI 6 NUMERI'!$B$14)^32)/(1-'1 - I TUOI 6 NUMERI'!$B$15*(IF(K53&lt;=0,0,MEDIAN(0,(K53-L53)/K53,1))))))-(IF(K53&lt;=0,0,'1 - I TUOI 6 NUMERI'!$B$16*K53)))*(1+((1+0.05)*(1+'1 - I TUOI 6 NUMERI'!$B$14)-1)))</f>
        <v/>
      </c>
      <c r="L54" s="23">
        <f>MAX(0,L53-(IF(K53&lt;=0,0,(18000*(1+'1 - I TUOI 6 NUMERI'!$B$14)^32)/(1-'1 - I TUOI 6 NUMERI'!$B$15*(IF(K53&lt;=0,0,MEDIAN(0,(K53-L53)/K53,1))))))*(1-(IF(K53&lt;=0,0,MEDIAN(0,(K53-L53)/K53,1)))))</f>
        <v/>
      </c>
      <c r="M54" s="23">
        <f>IF(M53&lt;=0,0,(M53-(IF(M53&lt;=0,0,(24000*(1+'1 - I TUOI 6 NUMERI'!$B$14)^32)/(1-'1 - I TUOI 6 NUMERI'!$B$15*(IF(M53&lt;=0,0,MEDIAN(0,(M53-N53)/M53,1))))))-(IF(M53&lt;=0,0,'1 - I TUOI 6 NUMERI'!$B$16*M53)))*(1+((1+0.01)*(1+'1 - I TUOI 6 NUMERI'!$B$14)-1)))</f>
        <v/>
      </c>
      <c r="N54" s="23">
        <f>MAX(0,N53-(IF(M53&lt;=0,0,(24000*(1+'1 - I TUOI 6 NUMERI'!$B$14)^32)/(1-'1 - I TUOI 6 NUMERI'!$B$15*(IF(M53&lt;=0,0,MEDIAN(0,(M53-N53)/M53,1))))))*(1-(IF(M53&lt;=0,0,MEDIAN(0,(M53-N53)/M53,1)))))</f>
        <v/>
      </c>
      <c r="O54" s="23">
        <f>IF(O53&lt;=0,0,(O53-(IF(O53&lt;=0,0,(24000*(1+'1 - I TUOI 6 NUMERI'!$B$14)^32)/(1-'1 - I TUOI 6 NUMERI'!$B$15*(IF(O53&lt;=0,0,MEDIAN(0,(O53-P53)/O53,1))))))-(IF(O53&lt;=0,0,'1 - I TUOI 6 NUMERI'!$B$16*O53)))*(1+((1+0.03)*(1+'1 - I TUOI 6 NUMERI'!$B$14)-1)))</f>
        <v/>
      </c>
      <c r="P54" s="23">
        <f>MAX(0,P53-(IF(O53&lt;=0,0,(24000*(1+'1 - I TUOI 6 NUMERI'!$B$14)^32)/(1-'1 - I TUOI 6 NUMERI'!$B$15*(IF(O53&lt;=0,0,MEDIAN(0,(O53-P53)/O53,1))))))*(1-(IF(O53&lt;=0,0,MEDIAN(0,(O53-P53)/O53,1)))))</f>
        <v/>
      </c>
      <c r="Q54" s="23">
        <f>IF(Q53&lt;=0,0,(Q53-(IF(Q53&lt;=0,0,(24000*(1+'1 - I TUOI 6 NUMERI'!$B$14)^32)/(1-'1 - I TUOI 6 NUMERI'!$B$15*(IF(Q53&lt;=0,0,MEDIAN(0,(Q53-R53)/Q53,1))))))-(IF(Q53&lt;=0,0,'1 - I TUOI 6 NUMERI'!$B$16*Q53)))*(1+((1+0.05)*(1+'1 - I TUOI 6 NUMERI'!$B$14)-1)))</f>
        <v/>
      </c>
      <c r="R54" s="23">
        <f>MAX(0,R53-(IF(Q53&lt;=0,0,(24000*(1+'1 - I TUOI 6 NUMERI'!$B$14)^32)/(1-'1 - I TUOI 6 NUMERI'!$B$15*(IF(Q53&lt;=0,0,MEDIAN(0,(Q53-R53)/Q53,1))))))*(1-(IF(Q53&lt;=0,0,MEDIAN(0,(Q53-R53)/Q53,1)))))</f>
        <v/>
      </c>
      <c r="S54" s="23">
        <f>IF(S53&lt;=0,0,(S53-(IF(S53&lt;=0,0,(30000*(1+'1 - I TUOI 6 NUMERI'!$B$14)^32)/(1-'1 - I TUOI 6 NUMERI'!$B$15*(IF(S53&lt;=0,0,MEDIAN(0,(S53-T53)/S53,1))))))-(IF(S53&lt;=0,0,'1 - I TUOI 6 NUMERI'!$B$16*S53)))*(1+((1+0.01)*(1+'1 - I TUOI 6 NUMERI'!$B$14)-1)))</f>
        <v/>
      </c>
      <c r="T54" s="23">
        <f>MAX(0,T53-(IF(S53&lt;=0,0,(30000*(1+'1 - I TUOI 6 NUMERI'!$B$14)^32)/(1-'1 - I TUOI 6 NUMERI'!$B$15*(IF(S53&lt;=0,0,MEDIAN(0,(S53-T53)/S53,1))))))*(1-(IF(S53&lt;=0,0,MEDIAN(0,(S53-T53)/S53,1)))))</f>
        <v/>
      </c>
      <c r="U54" s="23">
        <f>IF(U53&lt;=0,0,(U53-(IF(U53&lt;=0,0,(30000*(1+'1 - I TUOI 6 NUMERI'!$B$14)^32)/(1-'1 - I TUOI 6 NUMERI'!$B$15*(IF(U53&lt;=0,0,MEDIAN(0,(U53-V53)/U53,1))))))-(IF(U53&lt;=0,0,'1 - I TUOI 6 NUMERI'!$B$16*U53)))*(1+((1+0.03)*(1+'1 - I TUOI 6 NUMERI'!$B$14)-1)))</f>
        <v/>
      </c>
      <c r="V54" s="23">
        <f>MAX(0,V53-(IF(U53&lt;=0,0,(30000*(1+'1 - I TUOI 6 NUMERI'!$B$14)^32)/(1-'1 - I TUOI 6 NUMERI'!$B$15*(IF(U53&lt;=0,0,MEDIAN(0,(U53-V53)/U53,1))))))*(1-(IF(U53&lt;=0,0,MEDIAN(0,(U53-V53)/U53,1)))))</f>
        <v/>
      </c>
      <c r="W54" s="23">
        <f>IF(W53&lt;=0,0,(W53-(IF(W53&lt;=0,0,(30000*(1+'1 - I TUOI 6 NUMERI'!$B$14)^32)/(1-'1 - I TUOI 6 NUMERI'!$B$15*(IF(W53&lt;=0,0,MEDIAN(0,(W53-X53)/W53,1))))))-(IF(W53&lt;=0,0,'1 - I TUOI 6 NUMERI'!$B$16*W53)))*(1+((1+0.05)*(1+'1 - I TUOI 6 NUMERI'!$B$14)-1)))</f>
        <v/>
      </c>
      <c r="X54" s="23">
        <f>MAX(0,X53-(IF(W53&lt;=0,0,(30000*(1+'1 - I TUOI 6 NUMERI'!$B$14)^32)/(1-'1 - I TUOI 6 NUMERI'!$B$15*(IF(W53&lt;=0,0,MEDIAN(0,(W53-X53)/W53,1))))))*(1-(IF(W53&lt;=0,0,MEDIAN(0,(W53-X53)/W53,1)))))</f>
        <v/>
      </c>
      <c r="Y54" s="23">
        <f>IF(Y53&lt;=0,0,(Y53-(IF(Y53&lt;=0,0,(36000*(1+'1 - I TUOI 6 NUMERI'!$B$14)^32)/(1-'1 - I TUOI 6 NUMERI'!$B$15*(IF(Y53&lt;=0,0,MEDIAN(0,(Y53-Z53)/Y53,1))))))-(IF(Y53&lt;=0,0,'1 - I TUOI 6 NUMERI'!$B$16*Y53)))*(1+((1+0.01)*(1+'1 - I TUOI 6 NUMERI'!$B$14)-1)))</f>
        <v/>
      </c>
      <c r="Z54" s="23">
        <f>MAX(0,Z53-(IF(Y53&lt;=0,0,(36000*(1+'1 - I TUOI 6 NUMERI'!$B$14)^32)/(1-'1 - I TUOI 6 NUMERI'!$B$15*(IF(Y53&lt;=0,0,MEDIAN(0,(Y53-Z53)/Y53,1))))))*(1-(IF(Y53&lt;=0,0,MEDIAN(0,(Y53-Z53)/Y53,1)))))</f>
        <v/>
      </c>
      <c r="AA54" s="23">
        <f>IF(AA53&lt;=0,0,(AA53-(IF(AA53&lt;=0,0,(36000*(1+'1 - I TUOI 6 NUMERI'!$B$14)^32)/(1-'1 - I TUOI 6 NUMERI'!$B$15*(IF(AA53&lt;=0,0,MEDIAN(0,(AA53-AB53)/AA53,1))))))-(IF(AA53&lt;=0,0,'1 - I TUOI 6 NUMERI'!$B$16*AA53)))*(1+((1+0.03)*(1+'1 - I TUOI 6 NUMERI'!$B$14)-1)))</f>
        <v/>
      </c>
      <c r="AB54" s="23">
        <f>MAX(0,AB53-(IF(AA53&lt;=0,0,(36000*(1+'1 - I TUOI 6 NUMERI'!$B$14)^32)/(1-'1 - I TUOI 6 NUMERI'!$B$15*(IF(AA53&lt;=0,0,MEDIAN(0,(AA53-AB53)/AA53,1))))))*(1-(IF(AA53&lt;=0,0,MEDIAN(0,(AA53-AB53)/AA53,1)))))</f>
        <v/>
      </c>
      <c r="AC54" s="23">
        <f>IF(AC53&lt;=0,0,(AC53-(IF(AC53&lt;=0,0,(36000*(1+'1 - I TUOI 6 NUMERI'!$B$14)^32)/(1-'1 - I TUOI 6 NUMERI'!$B$15*(IF(AC53&lt;=0,0,MEDIAN(0,(AC53-AD53)/AC53,1))))))-(IF(AC53&lt;=0,0,'1 - I TUOI 6 NUMERI'!$B$16*AC53)))*(1+((1+0.05)*(1+'1 - I TUOI 6 NUMERI'!$B$14)-1)))</f>
        <v/>
      </c>
      <c r="AD54" s="23">
        <f>MAX(0,AD53-(IF(AC53&lt;=0,0,(36000*(1+'1 - I TUOI 6 NUMERI'!$B$14)^32)/(1-'1 - I TUOI 6 NUMERI'!$B$15*(IF(AC53&lt;=0,0,MEDIAN(0,(AC53-AD53)/AC53,1))))))*(1-(IF(AC53&lt;=0,0,MEDIAN(0,(AC53-AD53)/AC53,1)))))</f>
        <v/>
      </c>
    </row>
    <row r="55">
      <c r="F55" s="6" t="n">
        <v>33</v>
      </c>
      <c r="G55" s="23">
        <f>IF(G54&lt;=0,0,(G54-(IF(G54&lt;=0,0,(18000*(1+'1 - I TUOI 6 NUMERI'!$B$14)^33)/(1-'1 - I TUOI 6 NUMERI'!$B$15*(IF(G54&lt;=0,0,MEDIAN(0,(G54-H54)/G54,1))))))-(IF(G54&lt;=0,0,'1 - I TUOI 6 NUMERI'!$B$16*G54)))*(1+((1+0.01)*(1+'1 - I TUOI 6 NUMERI'!$B$14)-1)))</f>
        <v/>
      </c>
      <c r="H55" s="23">
        <f>MAX(0,H54-(IF(G54&lt;=0,0,(18000*(1+'1 - I TUOI 6 NUMERI'!$B$14)^33)/(1-'1 - I TUOI 6 NUMERI'!$B$15*(IF(G54&lt;=0,0,MEDIAN(0,(G54-H54)/G54,1))))))*(1-(IF(G54&lt;=0,0,MEDIAN(0,(G54-H54)/G54,1)))))</f>
        <v/>
      </c>
      <c r="I55" s="23">
        <f>IF(I54&lt;=0,0,(I54-(IF(I54&lt;=0,0,(18000*(1+'1 - I TUOI 6 NUMERI'!$B$14)^33)/(1-'1 - I TUOI 6 NUMERI'!$B$15*(IF(I54&lt;=0,0,MEDIAN(0,(I54-J54)/I54,1))))))-(IF(I54&lt;=0,0,'1 - I TUOI 6 NUMERI'!$B$16*I54)))*(1+((1+0.03)*(1+'1 - I TUOI 6 NUMERI'!$B$14)-1)))</f>
        <v/>
      </c>
      <c r="J55" s="23">
        <f>MAX(0,J54-(IF(I54&lt;=0,0,(18000*(1+'1 - I TUOI 6 NUMERI'!$B$14)^33)/(1-'1 - I TUOI 6 NUMERI'!$B$15*(IF(I54&lt;=0,0,MEDIAN(0,(I54-J54)/I54,1))))))*(1-(IF(I54&lt;=0,0,MEDIAN(0,(I54-J54)/I54,1)))))</f>
        <v/>
      </c>
      <c r="K55" s="23">
        <f>IF(K54&lt;=0,0,(K54-(IF(K54&lt;=0,0,(18000*(1+'1 - I TUOI 6 NUMERI'!$B$14)^33)/(1-'1 - I TUOI 6 NUMERI'!$B$15*(IF(K54&lt;=0,0,MEDIAN(0,(K54-L54)/K54,1))))))-(IF(K54&lt;=0,0,'1 - I TUOI 6 NUMERI'!$B$16*K54)))*(1+((1+0.05)*(1+'1 - I TUOI 6 NUMERI'!$B$14)-1)))</f>
        <v/>
      </c>
      <c r="L55" s="23">
        <f>MAX(0,L54-(IF(K54&lt;=0,0,(18000*(1+'1 - I TUOI 6 NUMERI'!$B$14)^33)/(1-'1 - I TUOI 6 NUMERI'!$B$15*(IF(K54&lt;=0,0,MEDIAN(0,(K54-L54)/K54,1))))))*(1-(IF(K54&lt;=0,0,MEDIAN(0,(K54-L54)/K54,1)))))</f>
        <v/>
      </c>
      <c r="M55" s="23">
        <f>IF(M54&lt;=0,0,(M54-(IF(M54&lt;=0,0,(24000*(1+'1 - I TUOI 6 NUMERI'!$B$14)^33)/(1-'1 - I TUOI 6 NUMERI'!$B$15*(IF(M54&lt;=0,0,MEDIAN(0,(M54-N54)/M54,1))))))-(IF(M54&lt;=0,0,'1 - I TUOI 6 NUMERI'!$B$16*M54)))*(1+((1+0.01)*(1+'1 - I TUOI 6 NUMERI'!$B$14)-1)))</f>
        <v/>
      </c>
      <c r="N55" s="23">
        <f>MAX(0,N54-(IF(M54&lt;=0,0,(24000*(1+'1 - I TUOI 6 NUMERI'!$B$14)^33)/(1-'1 - I TUOI 6 NUMERI'!$B$15*(IF(M54&lt;=0,0,MEDIAN(0,(M54-N54)/M54,1))))))*(1-(IF(M54&lt;=0,0,MEDIAN(0,(M54-N54)/M54,1)))))</f>
        <v/>
      </c>
      <c r="O55" s="23">
        <f>IF(O54&lt;=0,0,(O54-(IF(O54&lt;=0,0,(24000*(1+'1 - I TUOI 6 NUMERI'!$B$14)^33)/(1-'1 - I TUOI 6 NUMERI'!$B$15*(IF(O54&lt;=0,0,MEDIAN(0,(O54-P54)/O54,1))))))-(IF(O54&lt;=0,0,'1 - I TUOI 6 NUMERI'!$B$16*O54)))*(1+((1+0.03)*(1+'1 - I TUOI 6 NUMERI'!$B$14)-1)))</f>
        <v/>
      </c>
      <c r="P55" s="23">
        <f>MAX(0,P54-(IF(O54&lt;=0,0,(24000*(1+'1 - I TUOI 6 NUMERI'!$B$14)^33)/(1-'1 - I TUOI 6 NUMERI'!$B$15*(IF(O54&lt;=0,0,MEDIAN(0,(O54-P54)/O54,1))))))*(1-(IF(O54&lt;=0,0,MEDIAN(0,(O54-P54)/O54,1)))))</f>
        <v/>
      </c>
      <c r="Q55" s="23">
        <f>IF(Q54&lt;=0,0,(Q54-(IF(Q54&lt;=0,0,(24000*(1+'1 - I TUOI 6 NUMERI'!$B$14)^33)/(1-'1 - I TUOI 6 NUMERI'!$B$15*(IF(Q54&lt;=0,0,MEDIAN(0,(Q54-R54)/Q54,1))))))-(IF(Q54&lt;=0,0,'1 - I TUOI 6 NUMERI'!$B$16*Q54)))*(1+((1+0.05)*(1+'1 - I TUOI 6 NUMERI'!$B$14)-1)))</f>
        <v/>
      </c>
      <c r="R55" s="23">
        <f>MAX(0,R54-(IF(Q54&lt;=0,0,(24000*(1+'1 - I TUOI 6 NUMERI'!$B$14)^33)/(1-'1 - I TUOI 6 NUMERI'!$B$15*(IF(Q54&lt;=0,0,MEDIAN(0,(Q54-R54)/Q54,1))))))*(1-(IF(Q54&lt;=0,0,MEDIAN(0,(Q54-R54)/Q54,1)))))</f>
        <v/>
      </c>
      <c r="S55" s="23">
        <f>IF(S54&lt;=0,0,(S54-(IF(S54&lt;=0,0,(30000*(1+'1 - I TUOI 6 NUMERI'!$B$14)^33)/(1-'1 - I TUOI 6 NUMERI'!$B$15*(IF(S54&lt;=0,0,MEDIAN(0,(S54-T54)/S54,1))))))-(IF(S54&lt;=0,0,'1 - I TUOI 6 NUMERI'!$B$16*S54)))*(1+((1+0.01)*(1+'1 - I TUOI 6 NUMERI'!$B$14)-1)))</f>
        <v/>
      </c>
      <c r="T55" s="23">
        <f>MAX(0,T54-(IF(S54&lt;=0,0,(30000*(1+'1 - I TUOI 6 NUMERI'!$B$14)^33)/(1-'1 - I TUOI 6 NUMERI'!$B$15*(IF(S54&lt;=0,0,MEDIAN(0,(S54-T54)/S54,1))))))*(1-(IF(S54&lt;=0,0,MEDIAN(0,(S54-T54)/S54,1)))))</f>
        <v/>
      </c>
      <c r="U55" s="23">
        <f>IF(U54&lt;=0,0,(U54-(IF(U54&lt;=0,0,(30000*(1+'1 - I TUOI 6 NUMERI'!$B$14)^33)/(1-'1 - I TUOI 6 NUMERI'!$B$15*(IF(U54&lt;=0,0,MEDIAN(0,(U54-V54)/U54,1))))))-(IF(U54&lt;=0,0,'1 - I TUOI 6 NUMERI'!$B$16*U54)))*(1+((1+0.03)*(1+'1 - I TUOI 6 NUMERI'!$B$14)-1)))</f>
        <v/>
      </c>
      <c r="V55" s="23">
        <f>MAX(0,V54-(IF(U54&lt;=0,0,(30000*(1+'1 - I TUOI 6 NUMERI'!$B$14)^33)/(1-'1 - I TUOI 6 NUMERI'!$B$15*(IF(U54&lt;=0,0,MEDIAN(0,(U54-V54)/U54,1))))))*(1-(IF(U54&lt;=0,0,MEDIAN(0,(U54-V54)/U54,1)))))</f>
        <v/>
      </c>
      <c r="W55" s="23">
        <f>IF(W54&lt;=0,0,(W54-(IF(W54&lt;=0,0,(30000*(1+'1 - I TUOI 6 NUMERI'!$B$14)^33)/(1-'1 - I TUOI 6 NUMERI'!$B$15*(IF(W54&lt;=0,0,MEDIAN(0,(W54-X54)/W54,1))))))-(IF(W54&lt;=0,0,'1 - I TUOI 6 NUMERI'!$B$16*W54)))*(1+((1+0.05)*(1+'1 - I TUOI 6 NUMERI'!$B$14)-1)))</f>
        <v/>
      </c>
      <c r="X55" s="23">
        <f>MAX(0,X54-(IF(W54&lt;=0,0,(30000*(1+'1 - I TUOI 6 NUMERI'!$B$14)^33)/(1-'1 - I TUOI 6 NUMERI'!$B$15*(IF(W54&lt;=0,0,MEDIAN(0,(W54-X54)/W54,1))))))*(1-(IF(W54&lt;=0,0,MEDIAN(0,(W54-X54)/W54,1)))))</f>
        <v/>
      </c>
      <c r="Y55" s="23">
        <f>IF(Y54&lt;=0,0,(Y54-(IF(Y54&lt;=0,0,(36000*(1+'1 - I TUOI 6 NUMERI'!$B$14)^33)/(1-'1 - I TUOI 6 NUMERI'!$B$15*(IF(Y54&lt;=0,0,MEDIAN(0,(Y54-Z54)/Y54,1))))))-(IF(Y54&lt;=0,0,'1 - I TUOI 6 NUMERI'!$B$16*Y54)))*(1+((1+0.01)*(1+'1 - I TUOI 6 NUMERI'!$B$14)-1)))</f>
        <v/>
      </c>
      <c r="Z55" s="23">
        <f>MAX(0,Z54-(IF(Y54&lt;=0,0,(36000*(1+'1 - I TUOI 6 NUMERI'!$B$14)^33)/(1-'1 - I TUOI 6 NUMERI'!$B$15*(IF(Y54&lt;=0,0,MEDIAN(0,(Y54-Z54)/Y54,1))))))*(1-(IF(Y54&lt;=0,0,MEDIAN(0,(Y54-Z54)/Y54,1)))))</f>
        <v/>
      </c>
      <c r="AA55" s="23">
        <f>IF(AA54&lt;=0,0,(AA54-(IF(AA54&lt;=0,0,(36000*(1+'1 - I TUOI 6 NUMERI'!$B$14)^33)/(1-'1 - I TUOI 6 NUMERI'!$B$15*(IF(AA54&lt;=0,0,MEDIAN(0,(AA54-AB54)/AA54,1))))))-(IF(AA54&lt;=0,0,'1 - I TUOI 6 NUMERI'!$B$16*AA54)))*(1+((1+0.03)*(1+'1 - I TUOI 6 NUMERI'!$B$14)-1)))</f>
        <v/>
      </c>
      <c r="AB55" s="23">
        <f>MAX(0,AB54-(IF(AA54&lt;=0,0,(36000*(1+'1 - I TUOI 6 NUMERI'!$B$14)^33)/(1-'1 - I TUOI 6 NUMERI'!$B$15*(IF(AA54&lt;=0,0,MEDIAN(0,(AA54-AB54)/AA54,1))))))*(1-(IF(AA54&lt;=0,0,MEDIAN(0,(AA54-AB54)/AA54,1)))))</f>
        <v/>
      </c>
      <c r="AC55" s="23">
        <f>IF(AC54&lt;=0,0,(AC54-(IF(AC54&lt;=0,0,(36000*(1+'1 - I TUOI 6 NUMERI'!$B$14)^33)/(1-'1 - I TUOI 6 NUMERI'!$B$15*(IF(AC54&lt;=0,0,MEDIAN(0,(AC54-AD54)/AC54,1))))))-(IF(AC54&lt;=0,0,'1 - I TUOI 6 NUMERI'!$B$16*AC54)))*(1+((1+0.05)*(1+'1 - I TUOI 6 NUMERI'!$B$14)-1)))</f>
        <v/>
      </c>
      <c r="AD55" s="23">
        <f>MAX(0,AD54-(IF(AC54&lt;=0,0,(36000*(1+'1 - I TUOI 6 NUMERI'!$B$14)^33)/(1-'1 - I TUOI 6 NUMERI'!$B$15*(IF(AC54&lt;=0,0,MEDIAN(0,(AC54-AD54)/AC54,1))))))*(1-(IF(AC54&lt;=0,0,MEDIAN(0,(AC54-AD54)/AC54,1)))))</f>
        <v/>
      </c>
    </row>
    <row r="56">
      <c r="F56" s="6" t="n">
        <v>34</v>
      </c>
      <c r="G56" s="23">
        <f>IF(G55&lt;=0,0,(G55-(IF(G55&lt;=0,0,(18000*(1+'1 - I TUOI 6 NUMERI'!$B$14)^34)/(1-'1 - I TUOI 6 NUMERI'!$B$15*(IF(G55&lt;=0,0,MEDIAN(0,(G55-H55)/G55,1))))))-(IF(G55&lt;=0,0,'1 - I TUOI 6 NUMERI'!$B$16*G55)))*(1+((1+0.01)*(1+'1 - I TUOI 6 NUMERI'!$B$14)-1)))</f>
        <v/>
      </c>
      <c r="H56" s="23">
        <f>MAX(0,H55-(IF(G55&lt;=0,0,(18000*(1+'1 - I TUOI 6 NUMERI'!$B$14)^34)/(1-'1 - I TUOI 6 NUMERI'!$B$15*(IF(G55&lt;=0,0,MEDIAN(0,(G55-H55)/G55,1))))))*(1-(IF(G55&lt;=0,0,MEDIAN(0,(G55-H55)/G55,1)))))</f>
        <v/>
      </c>
      <c r="I56" s="23">
        <f>IF(I55&lt;=0,0,(I55-(IF(I55&lt;=0,0,(18000*(1+'1 - I TUOI 6 NUMERI'!$B$14)^34)/(1-'1 - I TUOI 6 NUMERI'!$B$15*(IF(I55&lt;=0,0,MEDIAN(0,(I55-J55)/I55,1))))))-(IF(I55&lt;=0,0,'1 - I TUOI 6 NUMERI'!$B$16*I55)))*(1+((1+0.03)*(1+'1 - I TUOI 6 NUMERI'!$B$14)-1)))</f>
        <v/>
      </c>
      <c r="J56" s="23">
        <f>MAX(0,J55-(IF(I55&lt;=0,0,(18000*(1+'1 - I TUOI 6 NUMERI'!$B$14)^34)/(1-'1 - I TUOI 6 NUMERI'!$B$15*(IF(I55&lt;=0,0,MEDIAN(0,(I55-J55)/I55,1))))))*(1-(IF(I55&lt;=0,0,MEDIAN(0,(I55-J55)/I55,1)))))</f>
        <v/>
      </c>
      <c r="K56" s="23">
        <f>IF(K55&lt;=0,0,(K55-(IF(K55&lt;=0,0,(18000*(1+'1 - I TUOI 6 NUMERI'!$B$14)^34)/(1-'1 - I TUOI 6 NUMERI'!$B$15*(IF(K55&lt;=0,0,MEDIAN(0,(K55-L55)/K55,1))))))-(IF(K55&lt;=0,0,'1 - I TUOI 6 NUMERI'!$B$16*K55)))*(1+((1+0.05)*(1+'1 - I TUOI 6 NUMERI'!$B$14)-1)))</f>
        <v/>
      </c>
      <c r="L56" s="23">
        <f>MAX(0,L55-(IF(K55&lt;=0,0,(18000*(1+'1 - I TUOI 6 NUMERI'!$B$14)^34)/(1-'1 - I TUOI 6 NUMERI'!$B$15*(IF(K55&lt;=0,0,MEDIAN(0,(K55-L55)/K55,1))))))*(1-(IF(K55&lt;=0,0,MEDIAN(0,(K55-L55)/K55,1)))))</f>
        <v/>
      </c>
      <c r="M56" s="23">
        <f>IF(M55&lt;=0,0,(M55-(IF(M55&lt;=0,0,(24000*(1+'1 - I TUOI 6 NUMERI'!$B$14)^34)/(1-'1 - I TUOI 6 NUMERI'!$B$15*(IF(M55&lt;=0,0,MEDIAN(0,(M55-N55)/M55,1))))))-(IF(M55&lt;=0,0,'1 - I TUOI 6 NUMERI'!$B$16*M55)))*(1+((1+0.01)*(1+'1 - I TUOI 6 NUMERI'!$B$14)-1)))</f>
        <v/>
      </c>
      <c r="N56" s="23">
        <f>MAX(0,N55-(IF(M55&lt;=0,0,(24000*(1+'1 - I TUOI 6 NUMERI'!$B$14)^34)/(1-'1 - I TUOI 6 NUMERI'!$B$15*(IF(M55&lt;=0,0,MEDIAN(0,(M55-N55)/M55,1))))))*(1-(IF(M55&lt;=0,0,MEDIAN(0,(M55-N55)/M55,1)))))</f>
        <v/>
      </c>
      <c r="O56" s="23">
        <f>IF(O55&lt;=0,0,(O55-(IF(O55&lt;=0,0,(24000*(1+'1 - I TUOI 6 NUMERI'!$B$14)^34)/(1-'1 - I TUOI 6 NUMERI'!$B$15*(IF(O55&lt;=0,0,MEDIAN(0,(O55-P55)/O55,1))))))-(IF(O55&lt;=0,0,'1 - I TUOI 6 NUMERI'!$B$16*O55)))*(1+((1+0.03)*(1+'1 - I TUOI 6 NUMERI'!$B$14)-1)))</f>
        <v/>
      </c>
      <c r="P56" s="23">
        <f>MAX(0,P55-(IF(O55&lt;=0,0,(24000*(1+'1 - I TUOI 6 NUMERI'!$B$14)^34)/(1-'1 - I TUOI 6 NUMERI'!$B$15*(IF(O55&lt;=0,0,MEDIAN(0,(O55-P55)/O55,1))))))*(1-(IF(O55&lt;=0,0,MEDIAN(0,(O55-P55)/O55,1)))))</f>
        <v/>
      </c>
      <c r="Q56" s="23">
        <f>IF(Q55&lt;=0,0,(Q55-(IF(Q55&lt;=0,0,(24000*(1+'1 - I TUOI 6 NUMERI'!$B$14)^34)/(1-'1 - I TUOI 6 NUMERI'!$B$15*(IF(Q55&lt;=0,0,MEDIAN(0,(Q55-R55)/Q55,1))))))-(IF(Q55&lt;=0,0,'1 - I TUOI 6 NUMERI'!$B$16*Q55)))*(1+((1+0.05)*(1+'1 - I TUOI 6 NUMERI'!$B$14)-1)))</f>
        <v/>
      </c>
      <c r="R56" s="23">
        <f>MAX(0,R55-(IF(Q55&lt;=0,0,(24000*(1+'1 - I TUOI 6 NUMERI'!$B$14)^34)/(1-'1 - I TUOI 6 NUMERI'!$B$15*(IF(Q55&lt;=0,0,MEDIAN(0,(Q55-R55)/Q55,1))))))*(1-(IF(Q55&lt;=0,0,MEDIAN(0,(Q55-R55)/Q55,1)))))</f>
        <v/>
      </c>
      <c r="S56" s="23">
        <f>IF(S55&lt;=0,0,(S55-(IF(S55&lt;=0,0,(30000*(1+'1 - I TUOI 6 NUMERI'!$B$14)^34)/(1-'1 - I TUOI 6 NUMERI'!$B$15*(IF(S55&lt;=0,0,MEDIAN(0,(S55-T55)/S55,1))))))-(IF(S55&lt;=0,0,'1 - I TUOI 6 NUMERI'!$B$16*S55)))*(1+((1+0.01)*(1+'1 - I TUOI 6 NUMERI'!$B$14)-1)))</f>
        <v/>
      </c>
      <c r="T56" s="23">
        <f>MAX(0,T55-(IF(S55&lt;=0,0,(30000*(1+'1 - I TUOI 6 NUMERI'!$B$14)^34)/(1-'1 - I TUOI 6 NUMERI'!$B$15*(IF(S55&lt;=0,0,MEDIAN(0,(S55-T55)/S55,1))))))*(1-(IF(S55&lt;=0,0,MEDIAN(0,(S55-T55)/S55,1)))))</f>
        <v/>
      </c>
      <c r="U56" s="23">
        <f>IF(U55&lt;=0,0,(U55-(IF(U55&lt;=0,0,(30000*(1+'1 - I TUOI 6 NUMERI'!$B$14)^34)/(1-'1 - I TUOI 6 NUMERI'!$B$15*(IF(U55&lt;=0,0,MEDIAN(0,(U55-V55)/U55,1))))))-(IF(U55&lt;=0,0,'1 - I TUOI 6 NUMERI'!$B$16*U55)))*(1+((1+0.03)*(1+'1 - I TUOI 6 NUMERI'!$B$14)-1)))</f>
        <v/>
      </c>
      <c r="V56" s="23">
        <f>MAX(0,V55-(IF(U55&lt;=0,0,(30000*(1+'1 - I TUOI 6 NUMERI'!$B$14)^34)/(1-'1 - I TUOI 6 NUMERI'!$B$15*(IF(U55&lt;=0,0,MEDIAN(0,(U55-V55)/U55,1))))))*(1-(IF(U55&lt;=0,0,MEDIAN(0,(U55-V55)/U55,1)))))</f>
        <v/>
      </c>
      <c r="W56" s="23">
        <f>IF(W55&lt;=0,0,(W55-(IF(W55&lt;=0,0,(30000*(1+'1 - I TUOI 6 NUMERI'!$B$14)^34)/(1-'1 - I TUOI 6 NUMERI'!$B$15*(IF(W55&lt;=0,0,MEDIAN(0,(W55-X55)/W55,1))))))-(IF(W55&lt;=0,0,'1 - I TUOI 6 NUMERI'!$B$16*W55)))*(1+((1+0.05)*(1+'1 - I TUOI 6 NUMERI'!$B$14)-1)))</f>
        <v/>
      </c>
      <c r="X56" s="23">
        <f>MAX(0,X55-(IF(W55&lt;=0,0,(30000*(1+'1 - I TUOI 6 NUMERI'!$B$14)^34)/(1-'1 - I TUOI 6 NUMERI'!$B$15*(IF(W55&lt;=0,0,MEDIAN(0,(W55-X55)/W55,1))))))*(1-(IF(W55&lt;=0,0,MEDIAN(0,(W55-X55)/W55,1)))))</f>
        <v/>
      </c>
      <c r="Y56" s="23">
        <f>IF(Y55&lt;=0,0,(Y55-(IF(Y55&lt;=0,0,(36000*(1+'1 - I TUOI 6 NUMERI'!$B$14)^34)/(1-'1 - I TUOI 6 NUMERI'!$B$15*(IF(Y55&lt;=0,0,MEDIAN(0,(Y55-Z55)/Y55,1))))))-(IF(Y55&lt;=0,0,'1 - I TUOI 6 NUMERI'!$B$16*Y55)))*(1+((1+0.01)*(1+'1 - I TUOI 6 NUMERI'!$B$14)-1)))</f>
        <v/>
      </c>
      <c r="Z56" s="23">
        <f>MAX(0,Z55-(IF(Y55&lt;=0,0,(36000*(1+'1 - I TUOI 6 NUMERI'!$B$14)^34)/(1-'1 - I TUOI 6 NUMERI'!$B$15*(IF(Y55&lt;=0,0,MEDIAN(0,(Y55-Z55)/Y55,1))))))*(1-(IF(Y55&lt;=0,0,MEDIAN(0,(Y55-Z55)/Y55,1)))))</f>
        <v/>
      </c>
      <c r="AA56" s="23">
        <f>IF(AA55&lt;=0,0,(AA55-(IF(AA55&lt;=0,0,(36000*(1+'1 - I TUOI 6 NUMERI'!$B$14)^34)/(1-'1 - I TUOI 6 NUMERI'!$B$15*(IF(AA55&lt;=0,0,MEDIAN(0,(AA55-AB55)/AA55,1))))))-(IF(AA55&lt;=0,0,'1 - I TUOI 6 NUMERI'!$B$16*AA55)))*(1+((1+0.03)*(1+'1 - I TUOI 6 NUMERI'!$B$14)-1)))</f>
        <v/>
      </c>
      <c r="AB56" s="23">
        <f>MAX(0,AB55-(IF(AA55&lt;=0,0,(36000*(1+'1 - I TUOI 6 NUMERI'!$B$14)^34)/(1-'1 - I TUOI 6 NUMERI'!$B$15*(IF(AA55&lt;=0,0,MEDIAN(0,(AA55-AB55)/AA55,1))))))*(1-(IF(AA55&lt;=0,0,MEDIAN(0,(AA55-AB55)/AA55,1)))))</f>
        <v/>
      </c>
      <c r="AC56" s="23">
        <f>IF(AC55&lt;=0,0,(AC55-(IF(AC55&lt;=0,0,(36000*(1+'1 - I TUOI 6 NUMERI'!$B$14)^34)/(1-'1 - I TUOI 6 NUMERI'!$B$15*(IF(AC55&lt;=0,0,MEDIAN(0,(AC55-AD55)/AC55,1))))))-(IF(AC55&lt;=0,0,'1 - I TUOI 6 NUMERI'!$B$16*AC55)))*(1+((1+0.05)*(1+'1 - I TUOI 6 NUMERI'!$B$14)-1)))</f>
        <v/>
      </c>
      <c r="AD56" s="23">
        <f>MAX(0,AD55-(IF(AC55&lt;=0,0,(36000*(1+'1 - I TUOI 6 NUMERI'!$B$14)^34)/(1-'1 - I TUOI 6 NUMERI'!$B$15*(IF(AC55&lt;=0,0,MEDIAN(0,(AC55-AD55)/AC55,1))))))*(1-(IF(AC55&lt;=0,0,MEDIAN(0,(AC55-AD55)/AC55,1)))))</f>
        <v/>
      </c>
    </row>
    <row r="57">
      <c r="F57" s="6" t="n">
        <v>35</v>
      </c>
      <c r="G57" s="23">
        <f>IF(G56&lt;=0,0,(G56-(IF(G56&lt;=0,0,(18000*(1+'1 - I TUOI 6 NUMERI'!$B$14)^35)/(1-'1 - I TUOI 6 NUMERI'!$B$15*(IF(G56&lt;=0,0,MEDIAN(0,(G56-H56)/G56,1))))))-(IF(G56&lt;=0,0,'1 - I TUOI 6 NUMERI'!$B$16*G56)))*(1+((1+0.01)*(1+'1 - I TUOI 6 NUMERI'!$B$14)-1)))</f>
        <v/>
      </c>
      <c r="H57" s="23">
        <f>MAX(0,H56-(IF(G56&lt;=0,0,(18000*(1+'1 - I TUOI 6 NUMERI'!$B$14)^35)/(1-'1 - I TUOI 6 NUMERI'!$B$15*(IF(G56&lt;=0,0,MEDIAN(0,(G56-H56)/G56,1))))))*(1-(IF(G56&lt;=0,0,MEDIAN(0,(G56-H56)/G56,1)))))</f>
        <v/>
      </c>
      <c r="I57" s="23">
        <f>IF(I56&lt;=0,0,(I56-(IF(I56&lt;=0,0,(18000*(1+'1 - I TUOI 6 NUMERI'!$B$14)^35)/(1-'1 - I TUOI 6 NUMERI'!$B$15*(IF(I56&lt;=0,0,MEDIAN(0,(I56-J56)/I56,1))))))-(IF(I56&lt;=0,0,'1 - I TUOI 6 NUMERI'!$B$16*I56)))*(1+((1+0.03)*(1+'1 - I TUOI 6 NUMERI'!$B$14)-1)))</f>
        <v/>
      </c>
      <c r="J57" s="23">
        <f>MAX(0,J56-(IF(I56&lt;=0,0,(18000*(1+'1 - I TUOI 6 NUMERI'!$B$14)^35)/(1-'1 - I TUOI 6 NUMERI'!$B$15*(IF(I56&lt;=0,0,MEDIAN(0,(I56-J56)/I56,1))))))*(1-(IF(I56&lt;=0,0,MEDIAN(0,(I56-J56)/I56,1)))))</f>
        <v/>
      </c>
      <c r="K57" s="23">
        <f>IF(K56&lt;=0,0,(K56-(IF(K56&lt;=0,0,(18000*(1+'1 - I TUOI 6 NUMERI'!$B$14)^35)/(1-'1 - I TUOI 6 NUMERI'!$B$15*(IF(K56&lt;=0,0,MEDIAN(0,(K56-L56)/K56,1))))))-(IF(K56&lt;=0,0,'1 - I TUOI 6 NUMERI'!$B$16*K56)))*(1+((1+0.05)*(1+'1 - I TUOI 6 NUMERI'!$B$14)-1)))</f>
        <v/>
      </c>
      <c r="L57" s="23">
        <f>MAX(0,L56-(IF(K56&lt;=0,0,(18000*(1+'1 - I TUOI 6 NUMERI'!$B$14)^35)/(1-'1 - I TUOI 6 NUMERI'!$B$15*(IF(K56&lt;=0,0,MEDIAN(0,(K56-L56)/K56,1))))))*(1-(IF(K56&lt;=0,0,MEDIAN(0,(K56-L56)/K56,1)))))</f>
        <v/>
      </c>
      <c r="M57" s="23">
        <f>IF(M56&lt;=0,0,(M56-(IF(M56&lt;=0,0,(24000*(1+'1 - I TUOI 6 NUMERI'!$B$14)^35)/(1-'1 - I TUOI 6 NUMERI'!$B$15*(IF(M56&lt;=0,0,MEDIAN(0,(M56-N56)/M56,1))))))-(IF(M56&lt;=0,0,'1 - I TUOI 6 NUMERI'!$B$16*M56)))*(1+((1+0.01)*(1+'1 - I TUOI 6 NUMERI'!$B$14)-1)))</f>
        <v/>
      </c>
      <c r="N57" s="23">
        <f>MAX(0,N56-(IF(M56&lt;=0,0,(24000*(1+'1 - I TUOI 6 NUMERI'!$B$14)^35)/(1-'1 - I TUOI 6 NUMERI'!$B$15*(IF(M56&lt;=0,0,MEDIAN(0,(M56-N56)/M56,1))))))*(1-(IF(M56&lt;=0,0,MEDIAN(0,(M56-N56)/M56,1)))))</f>
        <v/>
      </c>
      <c r="O57" s="23">
        <f>IF(O56&lt;=0,0,(O56-(IF(O56&lt;=0,0,(24000*(1+'1 - I TUOI 6 NUMERI'!$B$14)^35)/(1-'1 - I TUOI 6 NUMERI'!$B$15*(IF(O56&lt;=0,0,MEDIAN(0,(O56-P56)/O56,1))))))-(IF(O56&lt;=0,0,'1 - I TUOI 6 NUMERI'!$B$16*O56)))*(1+((1+0.03)*(1+'1 - I TUOI 6 NUMERI'!$B$14)-1)))</f>
        <v/>
      </c>
      <c r="P57" s="23">
        <f>MAX(0,P56-(IF(O56&lt;=0,0,(24000*(1+'1 - I TUOI 6 NUMERI'!$B$14)^35)/(1-'1 - I TUOI 6 NUMERI'!$B$15*(IF(O56&lt;=0,0,MEDIAN(0,(O56-P56)/O56,1))))))*(1-(IF(O56&lt;=0,0,MEDIAN(0,(O56-P56)/O56,1)))))</f>
        <v/>
      </c>
      <c r="Q57" s="23">
        <f>IF(Q56&lt;=0,0,(Q56-(IF(Q56&lt;=0,0,(24000*(1+'1 - I TUOI 6 NUMERI'!$B$14)^35)/(1-'1 - I TUOI 6 NUMERI'!$B$15*(IF(Q56&lt;=0,0,MEDIAN(0,(Q56-R56)/Q56,1))))))-(IF(Q56&lt;=0,0,'1 - I TUOI 6 NUMERI'!$B$16*Q56)))*(1+((1+0.05)*(1+'1 - I TUOI 6 NUMERI'!$B$14)-1)))</f>
        <v/>
      </c>
      <c r="R57" s="23">
        <f>MAX(0,R56-(IF(Q56&lt;=0,0,(24000*(1+'1 - I TUOI 6 NUMERI'!$B$14)^35)/(1-'1 - I TUOI 6 NUMERI'!$B$15*(IF(Q56&lt;=0,0,MEDIAN(0,(Q56-R56)/Q56,1))))))*(1-(IF(Q56&lt;=0,0,MEDIAN(0,(Q56-R56)/Q56,1)))))</f>
        <v/>
      </c>
      <c r="S57" s="23">
        <f>IF(S56&lt;=0,0,(S56-(IF(S56&lt;=0,0,(30000*(1+'1 - I TUOI 6 NUMERI'!$B$14)^35)/(1-'1 - I TUOI 6 NUMERI'!$B$15*(IF(S56&lt;=0,0,MEDIAN(0,(S56-T56)/S56,1))))))-(IF(S56&lt;=0,0,'1 - I TUOI 6 NUMERI'!$B$16*S56)))*(1+((1+0.01)*(1+'1 - I TUOI 6 NUMERI'!$B$14)-1)))</f>
        <v/>
      </c>
      <c r="T57" s="23">
        <f>MAX(0,T56-(IF(S56&lt;=0,0,(30000*(1+'1 - I TUOI 6 NUMERI'!$B$14)^35)/(1-'1 - I TUOI 6 NUMERI'!$B$15*(IF(S56&lt;=0,0,MEDIAN(0,(S56-T56)/S56,1))))))*(1-(IF(S56&lt;=0,0,MEDIAN(0,(S56-T56)/S56,1)))))</f>
        <v/>
      </c>
      <c r="U57" s="23">
        <f>IF(U56&lt;=0,0,(U56-(IF(U56&lt;=0,0,(30000*(1+'1 - I TUOI 6 NUMERI'!$B$14)^35)/(1-'1 - I TUOI 6 NUMERI'!$B$15*(IF(U56&lt;=0,0,MEDIAN(0,(U56-V56)/U56,1))))))-(IF(U56&lt;=0,0,'1 - I TUOI 6 NUMERI'!$B$16*U56)))*(1+((1+0.03)*(1+'1 - I TUOI 6 NUMERI'!$B$14)-1)))</f>
        <v/>
      </c>
      <c r="V57" s="23">
        <f>MAX(0,V56-(IF(U56&lt;=0,0,(30000*(1+'1 - I TUOI 6 NUMERI'!$B$14)^35)/(1-'1 - I TUOI 6 NUMERI'!$B$15*(IF(U56&lt;=0,0,MEDIAN(0,(U56-V56)/U56,1))))))*(1-(IF(U56&lt;=0,0,MEDIAN(0,(U56-V56)/U56,1)))))</f>
        <v/>
      </c>
      <c r="W57" s="23">
        <f>IF(W56&lt;=0,0,(W56-(IF(W56&lt;=0,0,(30000*(1+'1 - I TUOI 6 NUMERI'!$B$14)^35)/(1-'1 - I TUOI 6 NUMERI'!$B$15*(IF(W56&lt;=0,0,MEDIAN(0,(W56-X56)/W56,1))))))-(IF(W56&lt;=0,0,'1 - I TUOI 6 NUMERI'!$B$16*W56)))*(1+((1+0.05)*(1+'1 - I TUOI 6 NUMERI'!$B$14)-1)))</f>
        <v/>
      </c>
      <c r="X57" s="23">
        <f>MAX(0,X56-(IF(W56&lt;=0,0,(30000*(1+'1 - I TUOI 6 NUMERI'!$B$14)^35)/(1-'1 - I TUOI 6 NUMERI'!$B$15*(IF(W56&lt;=0,0,MEDIAN(0,(W56-X56)/W56,1))))))*(1-(IF(W56&lt;=0,0,MEDIAN(0,(W56-X56)/W56,1)))))</f>
        <v/>
      </c>
      <c r="Y57" s="23">
        <f>IF(Y56&lt;=0,0,(Y56-(IF(Y56&lt;=0,0,(36000*(1+'1 - I TUOI 6 NUMERI'!$B$14)^35)/(1-'1 - I TUOI 6 NUMERI'!$B$15*(IF(Y56&lt;=0,0,MEDIAN(0,(Y56-Z56)/Y56,1))))))-(IF(Y56&lt;=0,0,'1 - I TUOI 6 NUMERI'!$B$16*Y56)))*(1+((1+0.01)*(1+'1 - I TUOI 6 NUMERI'!$B$14)-1)))</f>
        <v/>
      </c>
      <c r="Z57" s="23">
        <f>MAX(0,Z56-(IF(Y56&lt;=0,0,(36000*(1+'1 - I TUOI 6 NUMERI'!$B$14)^35)/(1-'1 - I TUOI 6 NUMERI'!$B$15*(IF(Y56&lt;=0,0,MEDIAN(0,(Y56-Z56)/Y56,1))))))*(1-(IF(Y56&lt;=0,0,MEDIAN(0,(Y56-Z56)/Y56,1)))))</f>
        <v/>
      </c>
      <c r="AA57" s="23">
        <f>IF(AA56&lt;=0,0,(AA56-(IF(AA56&lt;=0,0,(36000*(1+'1 - I TUOI 6 NUMERI'!$B$14)^35)/(1-'1 - I TUOI 6 NUMERI'!$B$15*(IF(AA56&lt;=0,0,MEDIAN(0,(AA56-AB56)/AA56,1))))))-(IF(AA56&lt;=0,0,'1 - I TUOI 6 NUMERI'!$B$16*AA56)))*(1+((1+0.03)*(1+'1 - I TUOI 6 NUMERI'!$B$14)-1)))</f>
        <v/>
      </c>
      <c r="AB57" s="23">
        <f>MAX(0,AB56-(IF(AA56&lt;=0,0,(36000*(1+'1 - I TUOI 6 NUMERI'!$B$14)^35)/(1-'1 - I TUOI 6 NUMERI'!$B$15*(IF(AA56&lt;=0,0,MEDIAN(0,(AA56-AB56)/AA56,1))))))*(1-(IF(AA56&lt;=0,0,MEDIAN(0,(AA56-AB56)/AA56,1)))))</f>
        <v/>
      </c>
      <c r="AC57" s="23">
        <f>IF(AC56&lt;=0,0,(AC56-(IF(AC56&lt;=0,0,(36000*(1+'1 - I TUOI 6 NUMERI'!$B$14)^35)/(1-'1 - I TUOI 6 NUMERI'!$B$15*(IF(AC56&lt;=0,0,MEDIAN(0,(AC56-AD56)/AC56,1))))))-(IF(AC56&lt;=0,0,'1 - I TUOI 6 NUMERI'!$B$16*AC56)))*(1+((1+0.05)*(1+'1 - I TUOI 6 NUMERI'!$B$14)-1)))</f>
        <v/>
      </c>
      <c r="AD57" s="23">
        <f>MAX(0,AD56-(IF(AC56&lt;=0,0,(36000*(1+'1 - I TUOI 6 NUMERI'!$B$14)^35)/(1-'1 - I TUOI 6 NUMERI'!$B$15*(IF(AC56&lt;=0,0,MEDIAN(0,(AC56-AD56)/AC56,1))))))*(1-(IF(AC56&lt;=0,0,MEDIAN(0,(AC56-AD56)/AC56,1)))))</f>
        <v/>
      </c>
    </row>
    <row r="58">
      <c r="F58" s="6" t="n">
        <v>36</v>
      </c>
      <c r="G58" s="23">
        <f>IF(G57&lt;=0,0,(G57-(IF(G57&lt;=0,0,(18000*(1+'1 - I TUOI 6 NUMERI'!$B$14)^36)/(1-'1 - I TUOI 6 NUMERI'!$B$15*(IF(G57&lt;=0,0,MEDIAN(0,(G57-H57)/G57,1))))))-(IF(G57&lt;=0,0,'1 - I TUOI 6 NUMERI'!$B$16*G57)))*(1+((1+0.01)*(1+'1 - I TUOI 6 NUMERI'!$B$14)-1)))</f>
        <v/>
      </c>
      <c r="H58" s="23">
        <f>MAX(0,H57-(IF(G57&lt;=0,0,(18000*(1+'1 - I TUOI 6 NUMERI'!$B$14)^36)/(1-'1 - I TUOI 6 NUMERI'!$B$15*(IF(G57&lt;=0,0,MEDIAN(0,(G57-H57)/G57,1))))))*(1-(IF(G57&lt;=0,0,MEDIAN(0,(G57-H57)/G57,1)))))</f>
        <v/>
      </c>
      <c r="I58" s="23">
        <f>IF(I57&lt;=0,0,(I57-(IF(I57&lt;=0,0,(18000*(1+'1 - I TUOI 6 NUMERI'!$B$14)^36)/(1-'1 - I TUOI 6 NUMERI'!$B$15*(IF(I57&lt;=0,0,MEDIAN(0,(I57-J57)/I57,1))))))-(IF(I57&lt;=0,0,'1 - I TUOI 6 NUMERI'!$B$16*I57)))*(1+((1+0.03)*(1+'1 - I TUOI 6 NUMERI'!$B$14)-1)))</f>
        <v/>
      </c>
      <c r="J58" s="23">
        <f>MAX(0,J57-(IF(I57&lt;=0,0,(18000*(1+'1 - I TUOI 6 NUMERI'!$B$14)^36)/(1-'1 - I TUOI 6 NUMERI'!$B$15*(IF(I57&lt;=0,0,MEDIAN(0,(I57-J57)/I57,1))))))*(1-(IF(I57&lt;=0,0,MEDIAN(0,(I57-J57)/I57,1)))))</f>
        <v/>
      </c>
      <c r="K58" s="23">
        <f>IF(K57&lt;=0,0,(K57-(IF(K57&lt;=0,0,(18000*(1+'1 - I TUOI 6 NUMERI'!$B$14)^36)/(1-'1 - I TUOI 6 NUMERI'!$B$15*(IF(K57&lt;=0,0,MEDIAN(0,(K57-L57)/K57,1))))))-(IF(K57&lt;=0,0,'1 - I TUOI 6 NUMERI'!$B$16*K57)))*(1+((1+0.05)*(1+'1 - I TUOI 6 NUMERI'!$B$14)-1)))</f>
        <v/>
      </c>
      <c r="L58" s="23">
        <f>MAX(0,L57-(IF(K57&lt;=0,0,(18000*(1+'1 - I TUOI 6 NUMERI'!$B$14)^36)/(1-'1 - I TUOI 6 NUMERI'!$B$15*(IF(K57&lt;=0,0,MEDIAN(0,(K57-L57)/K57,1))))))*(1-(IF(K57&lt;=0,0,MEDIAN(0,(K57-L57)/K57,1)))))</f>
        <v/>
      </c>
      <c r="M58" s="23">
        <f>IF(M57&lt;=0,0,(M57-(IF(M57&lt;=0,0,(24000*(1+'1 - I TUOI 6 NUMERI'!$B$14)^36)/(1-'1 - I TUOI 6 NUMERI'!$B$15*(IF(M57&lt;=0,0,MEDIAN(0,(M57-N57)/M57,1))))))-(IF(M57&lt;=0,0,'1 - I TUOI 6 NUMERI'!$B$16*M57)))*(1+((1+0.01)*(1+'1 - I TUOI 6 NUMERI'!$B$14)-1)))</f>
        <v/>
      </c>
      <c r="N58" s="23">
        <f>MAX(0,N57-(IF(M57&lt;=0,0,(24000*(1+'1 - I TUOI 6 NUMERI'!$B$14)^36)/(1-'1 - I TUOI 6 NUMERI'!$B$15*(IF(M57&lt;=0,0,MEDIAN(0,(M57-N57)/M57,1))))))*(1-(IF(M57&lt;=0,0,MEDIAN(0,(M57-N57)/M57,1)))))</f>
        <v/>
      </c>
      <c r="O58" s="23">
        <f>IF(O57&lt;=0,0,(O57-(IF(O57&lt;=0,0,(24000*(1+'1 - I TUOI 6 NUMERI'!$B$14)^36)/(1-'1 - I TUOI 6 NUMERI'!$B$15*(IF(O57&lt;=0,0,MEDIAN(0,(O57-P57)/O57,1))))))-(IF(O57&lt;=0,0,'1 - I TUOI 6 NUMERI'!$B$16*O57)))*(1+((1+0.03)*(1+'1 - I TUOI 6 NUMERI'!$B$14)-1)))</f>
        <v/>
      </c>
      <c r="P58" s="23">
        <f>MAX(0,P57-(IF(O57&lt;=0,0,(24000*(1+'1 - I TUOI 6 NUMERI'!$B$14)^36)/(1-'1 - I TUOI 6 NUMERI'!$B$15*(IF(O57&lt;=0,0,MEDIAN(0,(O57-P57)/O57,1))))))*(1-(IF(O57&lt;=0,0,MEDIAN(0,(O57-P57)/O57,1)))))</f>
        <v/>
      </c>
      <c r="Q58" s="23">
        <f>IF(Q57&lt;=0,0,(Q57-(IF(Q57&lt;=0,0,(24000*(1+'1 - I TUOI 6 NUMERI'!$B$14)^36)/(1-'1 - I TUOI 6 NUMERI'!$B$15*(IF(Q57&lt;=0,0,MEDIAN(0,(Q57-R57)/Q57,1))))))-(IF(Q57&lt;=0,0,'1 - I TUOI 6 NUMERI'!$B$16*Q57)))*(1+((1+0.05)*(1+'1 - I TUOI 6 NUMERI'!$B$14)-1)))</f>
        <v/>
      </c>
      <c r="R58" s="23">
        <f>MAX(0,R57-(IF(Q57&lt;=0,0,(24000*(1+'1 - I TUOI 6 NUMERI'!$B$14)^36)/(1-'1 - I TUOI 6 NUMERI'!$B$15*(IF(Q57&lt;=0,0,MEDIAN(0,(Q57-R57)/Q57,1))))))*(1-(IF(Q57&lt;=0,0,MEDIAN(0,(Q57-R57)/Q57,1)))))</f>
        <v/>
      </c>
      <c r="S58" s="23">
        <f>IF(S57&lt;=0,0,(S57-(IF(S57&lt;=0,0,(30000*(1+'1 - I TUOI 6 NUMERI'!$B$14)^36)/(1-'1 - I TUOI 6 NUMERI'!$B$15*(IF(S57&lt;=0,0,MEDIAN(0,(S57-T57)/S57,1))))))-(IF(S57&lt;=0,0,'1 - I TUOI 6 NUMERI'!$B$16*S57)))*(1+((1+0.01)*(1+'1 - I TUOI 6 NUMERI'!$B$14)-1)))</f>
        <v/>
      </c>
      <c r="T58" s="23">
        <f>MAX(0,T57-(IF(S57&lt;=0,0,(30000*(1+'1 - I TUOI 6 NUMERI'!$B$14)^36)/(1-'1 - I TUOI 6 NUMERI'!$B$15*(IF(S57&lt;=0,0,MEDIAN(0,(S57-T57)/S57,1))))))*(1-(IF(S57&lt;=0,0,MEDIAN(0,(S57-T57)/S57,1)))))</f>
        <v/>
      </c>
      <c r="U58" s="23">
        <f>IF(U57&lt;=0,0,(U57-(IF(U57&lt;=0,0,(30000*(1+'1 - I TUOI 6 NUMERI'!$B$14)^36)/(1-'1 - I TUOI 6 NUMERI'!$B$15*(IF(U57&lt;=0,0,MEDIAN(0,(U57-V57)/U57,1))))))-(IF(U57&lt;=0,0,'1 - I TUOI 6 NUMERI'!$B$16*U57)))*(1+((1+0.03)*(1+'1 - I TUOI 6 NUMERI'!$B$14)-1)))</f>
        <v/>
      </c>
      <c r="V58" s="23">
        <f>MAX(0,V57-(IF(U57&lt;=0,0,(30000*(1+'1 - I TUOI 6 NUMERI'!$B$14)^36)/(1-'1 - I TUOI 6 NUMERI'!$B$15*(IF(U57&lt;=0,0,MEDIAN(0,(U57-V57)/U57,1))))))*(1-(IF(U57&lt;=0,0,MEDIAN(0,(U57-V57)/U57,1)))))</f>
        <v/>
      </c>
      <c r="W58" s="23">
        <f>IF(W57&lt;=0,0,(W57-(IF(W57&lt;=0,0,(30000*(1+'1 - I TUOI 6 NUMERI'!$B$14)^36)/(1-'1 - I TUOI 6 NUMERI'!$B$15*(IF(W57&lt;=0,0,MEDIAN(0,(W57-X57)/W57,1))))))-(IF(W57&lt;=0,0,'1 - I TUOI 6 NUMERI'!$B$16*W57)))*(1+((1+0.05)*(1+'1 - I TUOI 6 NUMERI'!$B$14)-1)))</f>
        <v/>
      </c>
      <c r="X58" s="23">
        <f>MAX(0,X57-(IF(W57&lt;=0,0,(30000*(1+'1 - I TUOI 6 NUMERI'!$B$14)^36)/(1-'1 - I TUOI 6 NUMERI'!$B$15*(IF(W57&lt;=0,0,MEDIAN(0,(W57-X57)/W57,1))))))*(1-(IF(W57&lt;=0,0,MEDIAN(0,(W57-X57)/W57,1)))))</f>
        <v/>
      </c>
      <c r="Y58" s="23">
        <f>IF(Y57&lt;=0,0,(Y57-(IF(Y57&lt;=0,0,(36000*(1+'1 - I TUOI 6 NUMERI'!$B$14)^36)/(1-'1 - I TUOI 6 NUMERI'!$B$15*(IF(Y57&lt;=0,0,MEDIAN(0,(Y57-Z57)/Y57,1))))))-(IF(Y57&lt;=0,0,'1 - I TUOI 6 NUMERI'!$B$16*Y57)))*(1+((1+0.01)*(1+'1 - I TUOI 6 NUMERI'!$B$14)-1)))</f>
        <v/>
      </c>
      <c r="Z58" s="23">
        <f>MAX(0,Z57-(IF(Y57&lt;=0,0,(36000*(1+'1 - I TUOI 6 NUMERI'!$B$14)^36)/(1-'1 - I TUOI 6 NUMERI'!$B$15*(IF(Y57&lt;=0,0,MEDIAN(0,(Y57-Z57)/Y57,1))))))*(1-(IF(Y57&lt;=0,0,MEDIAN(0,(Y57-Z57)/Y57,1)))))</f>
        <v/>
      </c>
      <c r="AA58" s="23">
        <f>IF(AA57&lt;=0,0,(AA57-(IF(AA57&lt;=0,0,(36000*(1+'1 - I TUOI 6 NUMERI'!$B$14)^36)/(1-'1 - I TUOI 6 NUMERI'!$B$15*(IF(AA57&lt;=0,0,MEDIAN(0,(AA57-AB57)/AA57,1))))))-(IF(AA57&lt;=0,0,'1 - I TUOI 6 NUMERI'!$B$16*AA57)))*(1+((1+0.03)*(1+'1 - I TUOI 6 NUMERI'!$B$14)-1)))</f>
        <v/>
      </c>
      <c r="AB58" s="23">
        <f>MAX(0,AB57-(IF(AA57&lt;=0,0,(36000*(1+'1 - I TUOI 6 NUMERI'!$B$14)^36)/(1-'1 - I TUOI 6 NUMERI'!$B$15*(IF(AA57&lt;=0,0,MEDIAN(0,(AA57-AB57)/AA57,1))))))*(1-(IF(AA57&lt;=0,0,MEDIAN(0,(AA57-AB57)/AA57,1)))))</f>
        <v/>
      </c>
      <c r="AC58" s="23">
        <f>IF(AC57&lt;=0,0,(AC57-(IF(AC57&lt;=0,0,(36000*(1+'1 - I TUOI 6 NUMERI'!$B$14)^36)/(1-'1 - I TUOI 6 NUMERI'!$B$15*(IF(AC57&lt;=0,0,MEDIAN(0,(AC57-AD57)/AC57,1))))))-(IF(AC57&lt;=0,0,'1 - I TUOI 6 NUMERI'!$B$16*AC57)))*(1+((1+0.05)*(1+'1 - I TUOI 6 NUMERI'!$B$14)-1)))</f>
        <v/>
      </c>
      <c r="AD58" s="23">
        <f>MAX(0,AD57-(IF(AC57&lt;=0,0,(36000*(1+'1 - I TUOI 6 NUMERI'!$B$14)^36)/(1-'1 - I TUOI 6 NUMERI'!$B$15*(IF(AC57&lt;=0,0,MEDIAN(0,(AC57-AD57)/AC57,1))))))*(1-(IF(AC57&lt;=0,0,MEDIAN(0,(AC57-AD57)/AC57,1)))))</f>
        <v/>
      </c>
    </row>
    <row r="59">
      <c r="F59" s="6" t="n">
        <v>37</v>
      </c>
      <c r="G59" s="23">
        <f>IF(G58&lt;=0,0,(G58-(IF(G58&lt;=0,0,(18000*(1+'1 - I TUOI 6 NUMERI'!$B$14)^37)/(1-'1 - I TUOI 6 NUMERI'!$B$15*(IF(G58&lt;=0,0,MEDIAN(0,(G58-H58)/G58,1))))))-(IF(G58&lt;=0,0,'1 - I TUOI 6 NUMERI'!$B$16*G58)))*(1+((1+0.01)*(1+'1 - I TUOI 6 NUMERI'!$B$14)-1)))</f>
        <v/>
      </c>
      <c r="H59" s="23">
        <f>MAX(0,H58-(IF(G58&lt;=0,0,(18000*(1+'1 - I TUOI 6 NUMERI'!$B$14)^37)/(1-'1 - I TUOI 6 NUMERI'!$B$15*(IF(G58&lt;=0,0,MEDIAN(0,(G58-H58)/G58,1))))))*(1-(IF(G58&lt;=0,0,MEDIAN(0,(G58-H58)/G58,1)))))</f>
        <v/>
      </c>
      <c r="I59" s="23">
        <f>IF(I58&lt;=0,0,(I58-(IF(I58&lt;=0,0,(18000*(1+'1 - I TUOI 6 NUMERI'!$B$14)^37)/(1-'1 - I TUOI 6 NUMERI'!$B$15*(IF(I58&lt;=0,0,MEDIAN(0,(I58-J58)/I58,1))))))-(IF(I58&lt;=0,0,'1 - I TUOI 6 NUMERI'!$B$16*I58)))*(1+((1+0.03)*(1+'1 - I TUOI 6 NUMERI'!$B$14)-1)))</f>
        <v/>
      </c>
      <c r="J59" s="23">
        <f>MAX(0,J58-(IF(I58&lt;=0,0,(18000*(1+'1 - I TUOI 6 NUMERI'!$B$14)^37)/(1-'1 - I TUOI 6 NUMERI'!$B$15*(IF(I58&lt;=0,0,MEDIAN(0,(I58-J58)/I58,1))))))*(1-(IF(I58&lt;=0,0,MEDIAN(0,(I58-J58)/I58,1)))))</f>
        <v/>
      </c>
      <c r="K59" s="23">
        <f>IF(K58&lt;=0,0,(K58-(IF(K58&lt;=0,0,(18000*(1+'1 - I TUOI 6 NUMERI'!$B$14)^37)/(1-'1 - I TUOI 6 NUMERI'!$B$15*(IF(K58&lt;=0,0,MEDIAN(0,(K58-L58)/K58,1))))))-(IF(K58&lt;=0,0,'1 - I TUOI 6 NUMERI'!$B$16*K58)))*(1+((1+0.05)*(1+'1 - I TUOI 6 NUMERI'!$B$14)-1)))</f>
        <v/>
      </c>
      <c r="L59" s="23">
        <f>MAX(0,L58-(IF(K58&lt;=0,0,(18000*(1+'1 - I TUOI 6 NUMERI'!$B$14)^37)/(1-'1 - I TUOI 6 NUMERI'!$B$15*(IF(K58&lt;=0,0,MEDIAN(0,(K58-L58)/K58,1))))))*(1-(IF(K58&lt;=0,0,MEDIAN(0,(K58-L58)/K58,1)))))</f>
        <v/>
      </c>
      <c r="M59" s="23">
        <f>IF(M58&lt;=0,0,(M58-(IF(M58&lt;=0,0,(24000*(1+'1 - I TUOI 6 NUMERI'!$B$14)^37)/(1-'1 - I TUOI 6 NUMERI'!$B$15*(IF(M58&lt;=0,0,MEDIAN(0,(M58-N58)/M58,1))))))-(IF(M58&lt;=0,0,'1 - I TUOI 6 NUMERI'!$B$16*M58)))*(1+((1+0.01)*(1+'1 - I TUOI 6 NUMERI'!$B$14)-1)))</f>
        <v/>
      </c>
      <c r="N59" s="23">
        <f>MAX(0,N58-(IF(M58&lt;=0,0,(24000*(1+'1 - I TUOI 6 NUMERI'!$B$14)^37)/(1-'1 - I TUOI 6 NUMERI'!$B$15*(IF(M58&lt;=0,0,MEDIAN(0,(M58-N58)/M58,1))))))*(1-(IF(M58&lt;=0,0,MEDIAN(0,(M58-N58)/M58,1)))))</f>
        <v/>
      </c>
      <c r="O59" s="23">
        <f>IF(O58&lt;=0,0,(O58-(IF(O58&lt;=0,0,(24000*(1+'1 - I TUOI 6 NUMERI'!$B$14)^37)/(1-'1 - I TUOI 6 NUMERI'!$B$15*(IF(O58&lt;=0,0,MEDIAN(0,(O58-P58)/O58,1))))))-(IF(O58&lt;=0,0,'1 - I TUOI 6 NUMERI'!$B$16*O58)))*(1+((1+0.03)*(1+'1 - I TUOI 6 NUMERI'!$B$14)-1)))</f>
        <v/>
      </c>
      <c r="P59" s="23">
        <f>MAX(0,P58-(IF(O58&lt;=0,0,(24000*(1+'1 - I TUOI 6 NUMERI'!$B$14)^37)/(1-'1 - I TUOI 6 NUMERI'!$B$15*(IF(O58&lt;=0,0,MEDIAN(0,(O58-P58)/O58,1))))))*(1-(IF(O58&lt;=0,0,MEDIAN(0,(O58-P58)/O58,1)))))</f>
        <v/>
      </c>
      <c r="Q59" s="23">
        <f>IF(Q58&lt;=0,0,(Q58-(IF(Q58&lt;=0,0,(24000*(1+'1 - I TUOI 6 NUMERI'!$B$14)^37)/(1-'1 - I TUOI 6 NUMERI'!$B$15*(IF(Q58&lt;=0,0,MEDIAN(0,(Q58-R58)/Q58,1))))))-(IF(Q58&lt;=0,0,'1 - I TUOI 6 NUMERI'!$B$16*Q58)))*(1+((1+0.05)*(1+'1 - I TUOI 6 NUMERI'!$B$14)-1)))</f>
        <v/>
      </c>
      <c r="R59" s="23">
        <f>MAX(0,R58-(IF(Q58&lt;=0,0,(24000*(1+'1 - I TUOI 6 NUMERI'!$B$14)^37)/(1-'1 - I TUOI 6 NUMERI'!$B$15*(IF(Q58&lt;=0,0,MEDIAN(0,(Q58-R58)/Q58,1))))))*(1-(IF(Q58&lt;=0,0,MEDIAN(0,(Q58-R58)/Q58,1)))))</f>
        <v/>
      </c>
      <c r="S59" s="23">
        <f>IF(S58&lt;=0,0,(S58-(IF(S58&lt;=0,0,(30000*(1+'1 - I TUOI 6 NUMERI'!$B$14)^37)/(1-'1 - I TUOI 6 NUMERI'!$B$15*(IF(S58&lt;=0,0,MEDIAN(0,(S58-T58)/S58,1))))))-(IF(S58&lt;=0,0,'1 - I TUOI 6 NUMERI'!$B$16*S58)))*(1+((1+0.01)*(1+'1 - I TUOI 6 NUMERI'!$B$14)-1)))</f>
        <v/>
      </c>
      <c r="T59" s="23">
        <f>MAX(0,T58-(IF(S58&lt;=0,0,(30000*(1+'1 - I TUOI 6 NUMERI'!$B$14)^37)/(1-'1 - I TUOI 6 NUMERI'!$B$15*(IF(S58&lt;=0,0,MEDIAN(0,(S58-T58)/S58,1))))))*(1-(IF(S58&lt;=0,0,MEDIAN(0,(S58-T58)/S58,1)))))</f>
        <v/>
      </c>
      <c r="U59" s="23">
        <f>IF(U58&lt;=0,0,(U58-(IF(U58&lt;=0,0,(30000*(1+'1 - I TUOI 6 NUMERI'!$B$14)^37)/(1-'1 - I TUOI 6 NUMERI'!$B$15*(IF(U58&lt;=0,0,MEDIAN(0,(U58-V58)/U58,1))))))-(IF(U58&lt;=0,0,'1 - I TUOI 6 NUMERI'!$B$16*U58)))*(1+((1+0.03)*(1+'1 - I TUOI 6 NUMERI'!$B$14)-1)))</f>
        <v/>
      </c>
      <c r="V59" s="23">
        <f>MAX(0,V58-(IF(U58&lt;=0,0,(30000*(1+'1 - I TUOI 6 NUMERI'!$B$14)^37)/(1-'1 - I TUOI 6 NUMERI'!$B$15*(IF(U58&lt;=0,0,MEDIAN(0,(U58-V58)/U58,1))))))*(1-(IF(U58&lt;=0,0,MEDIAN(0,(U58-V58)/U58,1)))))</f>
        <v/>
      </c>
      <c r="W59" s="23">
        <f>IF(W58&lt;=0,0,(W58-(IF(W58&lt;=0,0,(30000*(1+'1 - I TUOI 6 NUMERI'!$B$14)^37)/(1-'1 - I TUOI 6 NUMERI'!$B$15*(IF(W58&lt;=0,0,MEDIAN(0,(W58-X58)/W58,1))))))-(IF(W58&lt;=0,0,'1 - I TUOI 6 NUMERI'!$B$16*W58)))*(1+((1+0.05)*(1+'1 - I TUOI 6 NUMERI'!$B$14)-1)))</f>
        <v/>
      </c>
      <c r="X59" s="23">
        <f>MAX(0,X58-(IF(W58&lt;=0,0,(30000*(1+'1 - I TUOI 6 NUMERI'!$B$14)^37)/(1-'1 - I TUOI 6 NUMERI'!$B$15*(IF(W58&lt;=0,0,MEDIAN(0,(W58-X58)/W58,1))))))*(1-(IF(W58&lt;=0,0,MEDIAN(0,(W58-X58)/W58,1)))))</f>
        <v/>
      </c>
      <c r="Y59" s="23">
        <f>IF(Y58&lt;=0,0,(Y58-(IF(Y58&lt;=0,0,(36000*(1+'1 - I TUOI 6 NUMERI'!$B$14)^37)/(1-'1 - I TUOI 6 NUMERI'!$B$15*(IF(Y58&lt;=0,0,MEDIAN(0,(Y58-Z58)/Y58,1))))))-(IF(Y58&lt;=0,0,'1 - I TUOI 6 NUMERI'!$B$16*Y58)))*(1+((1+0.01)*(1+'1 - I TUOI 6 NUMERI'!$B$14)-1)))</f>
        <v/>
      </c>
      <c r="Z59" s="23">
        <f>MAX(0,Z58-(IF(Y58&lt;=0,0,(36000*(1+'1 - I TUOI 6 NUMERI'!$B$14)^37)/(1-'1 - I TUOI 6 NUMERI'!$B$15*(IF(Y58&lt;=0,0,MEDIAN(0,(Y58-Z58)/Y58,1))))))*(1-(IF(Y58&lt;=0,0,MEDIAN(0,(Y58-Z58)/Y58,1)))))</f>
        <v/>
      </c>
      <c r="AA59" s="23">
        <f>IF(AA58&lt;=0,0,(AA58-(IF(AA58&lt;=0,0,(36000*(1+'1 - I TUOI 6 NUMERI'!$B$14)^37)/(1-'1 - I TUOI 6 NUMERI'!$B$15*(IF(AA58&lt;=0,0,MEDIAN(0,(AA58-AB58)/AA58,1))))))-(IF(AA58&lt;=0,0,'1 - I TUOI 6 NUMERI'!$B$16*AA58)))*(1+((1+0.03)*(1+'1 - I TUOI 6 NUMERI'!$B$14)-1)))</f>
        <v/>
      </c>
      <c r="AB59" s="23">
        <f>MAX(0,AB58-(IF(AA58&lt;=0,0,(36000*(1+'1 - I TUOI 6 NUMERI'!$B$14)^37)/(1-'1 - I TUOI 6 NUMERI'!$B$15*(IF(AA58&lt;=0,0,MEDIAN(0,(AA58-AB58)/AA58,1))))))*(1-(IF(AA58&lt;=0,0,MEDIAN(0,(AA58-AB58)/AA58,1)))))</f>
        <v/>
      </c>
      <c r="AC59" s="23">
        <f>IF(AC58&lt;=0,0,(AC58-(IF(AC58&lt;=0,0,(36000*(1+'1 - I TUOI 6 NUMERI'!$B$14)^37)/(1-'1 - I TUOI 6 NUMERI'!$B$15*(IF(AC58&lt;=0,0,MEDIAN(0,(AC58-AD58)/AC58,1))))))-(IF(AC58&lt;=0,0,'1 - I TUOI 6 NUMERI'!$B$16*AC58)))*(1+((1+0.05)*(1+'1 - I TUOI 6 NUMERI'!$B$14)-1)))</f>
        <v/>
      </c>
      <c r="AD59" s="23">
        <f>MAX(0,AD58-(IF(AC58&lt;=0,0,(36000*(1+'1 - I TUOI 6 NUMERI'!$B$14)^37)/(1-'1 - I TUOI 6 NUMERI'!$B$15*(IF(AC58&lt;=0,0,MEDIAN(0,(AC58-AD58)/AC58,1))))))*(1-(IF(AC58&lt;=0,0,MEDIAN(0,(AC58-AD58)/AC58,1)))))</f>
        <v/>
      </c>
    </row>
    <row r="60">
      <c r="F60" s="6" t="n">
        <v>38</v>
      </c>
      <c r="G60" s="23">
        <f>IF(G59&lt;=0,0,(G59-(IF(G59&lt;=0,0,(18000*(1+'1 - I TUOI 6 NUMERI'!$B$14)^38)/(1-'1 - I TUOI 6 NUMERI'!$B$15*(IF(G59&lt;=0,0,MEDIAN(0,(G59-H59)/G59,1))))))-(IF(G59&lt;=0,0,'1 - I TUOI 6 NUMERI'!$B$16*G59)))*(1+((1+0.01)*(1+'1 - I TUOI 6 NUMERI'!$B$14)-1)))</f>
        <v/>
      </c>
      <c r="H60" s="23">
        <f>MAX(0,H59-(IF(G59&lt;=0,0,(18000*(1+'1 - I TUOI 6 NUMERI'!$B$14)^38)/(1-'1 - I TUOI 6 NUMERI'!$B$15*(IF(G59&lt;=0,0,MEDIAN(0,(G59-H59)/G59,1))))))*(1-(IF(G59&lt;=0,0,MEDIAN(0,(G59-H59)/G59,1)))))</f>
        <v/>
      </c>
      <c r="I60" s="23">
        <f>IF(I59&lt;=0,0,(I59-(IF(I59&lt;=0,0,(18000*(1+'1 - I TUOI 6 NUMERI'!$B$14)^38)/(1-'1 - I TUOI 6 NUMERI'!$B$15*(IF(I59&lt;=0,0,MEDIAN(0,(I59-J59)/I59,1))))))-(IF(I59&lt;=0,0,'1 - I TUOI 6 NUMERI'!$B$16*I59)))*(1+((1+0.03)*(1+'1 - I TUOI 6 NUMERI'!$B$14)-1)))</f>
        <v/>
      </c>
      <c r="J60" s="23">
        <f>MAX(0,J59-(IF(I59&lt;=0,0,(18000*(1+'1 - I TUOI 6 NUMERI'!$B$14)^38)/(1-'1 - I TUOI 6 NUMERI'!$B$15*(IF(I59&lt;=0,0,MEDIAN(0,(I59-J59)/I59,1))))))*(1-(IF(I59&lt;=0,0,MEDIAN(0,(I59-J59)/I59,1)))))</f>
        <v/>
      </c>
      <c r="K60" s="23">
        <f>IF(K59&lt;=0,0,(K59-(IF(K59&lt;=0,0,(18000*(1+'1 - I TUOI 6 NUMERI'!$B$14)^38)/(1-'1 - I TUOI 6 NUMERI'!$B$15*(IF(K59&lt;=0,0,MEDIAN(0,(K59-L59)/K59,1))))))-(IF(K59&lt;=0,0,'1 - I TUOI 6 NUMERI'!$B$16*K59)))*(1+((1+0.05)*(1+'1 - I TUOI 6 NUMERI'!$B$14)-1)))</f>
        <v/>
      </c>
      <c r="L60" s="23">
        <f>MAX(0,L59-(IF(K59&lt;=0,0,(18000*(1+'1 - I TUOI 6 NUMERI'!$B$14)^38)/(1-'1 - I TUOI 6 NUMERI'!$B$15*(IF(K59&lt;=0,0,MEDIAN(0,(K59-L59)/K59,1))))))*(1-(IF(K59&lt;=0,0,MEDIAN(0,(K59-L59)/K59,1)))))</f>
        <v/>
      </c>
      <c r="M60" s="23">
        <f>IF(M59&lt;=0,0,(M59-(IF(M59&lt;=0,0,(24000*(1+'1 - I TUOI 6 NUMERI'!$B$14)^38)/(1-'1 - I TUOI 6 NUMERI'!$B$15*(IF(M59&lt;=0,0,MEDIAN(0,(M59-N59)/M59,1))))))-(IF(M59&lt;=0,0,'1 - I TUOI 6 NUMERI'!$B$16*M59)))*(1+((1+0.01)*(1+'1 - I TUOI 6 NUMERI'!$B$14)-1)))</f>
        <v/>
      </c>
      <c r="N60" s="23">
        <f>MAX(0,N59-(IF(M59&lt;=0,0,(24000*(1+'1 - I TUOI 6 NUMERI'!$B$14)^38)/(1-'1 - I TUOI 6 NUMERI'!$B$15*(IF(M59&lt;=0,0,MEDIAN(0,(M59-N59)/M59,1))))))*(1-(IF(M59&lt;=0,0,MEDIAN(0,(M59-N59)/M59,1)))))</f>
        <v/>
      </c>
      <c r="O60" s="23">
        <f>IF(O59&lt;=0,0,(O59-(IF(O59&lt;=0,0,(24000*(1+'1 - I TUOI 6 NUMERI'!$B$14)^38)/(1-'1 - I TUOI 6 NUMERI'!$B$15*(IF(O59&lt;=0,0,MEDIAN(0,(O59-P59)/O59,1))))))-(IF(O59&lt;=0,0,'1 - I TUOI 6 NUMERI'!$B$16*O59)))*(1+((1+0.03)*(1+'1 - I TUOI 6 NUMERI'!$B$14)-1)))</f>
        <v/>
      </c>
      <c r="P60" s="23">
        <f>MAX(0,P59-(IF(O59&lt;=0,0,(24000*(1+'1 - I TUOI 6 NUMERI'!$B$14)^38)/(1-'1 - I TUOI 6 NUMERI'!$B$15*(IF(O59&lt;=0,0,MEDIAN(0,(O59-P59)/O59,1))))))*(1-(IF(O59&lt;=0,0,MEDIAN(0,(O59-P59)/O59,1)))))</f>
        <v/>
      </c>
      <c r="Q60" s="23">
        <f>IF(Q59&lt;=0,0,(Q59-(IF(Q59&lt;=0,0,(24000*(1+'1 - I TUOI 6 NUMERI'!$B$14)^38)/(1-'1 - I TUOI 6 NUMERI'!$B$15*(IF(Q59&lt;=0,0,MEDIAN(0,(Q59-R59)/Q59,1))))))-(IF(Q59&lt;=0,0,'1 - I TUOI 6 NUMERI'!$B$16*Q59)))*(1+((1+0.05)*(1+'1 - I TUOI 6 NUMERI'!$B$14)-1)))</f>
        <v/>
      </c>
      <c r="R60" s="23">
        <f>MAX(0,R59-(IF(Q59&lt;=0,0,(24000*(1+'1 - I TUOI 6 NUMERI'!$B$14)^38)/(1-'1 - I TUOI 6 NUMERI'!$B$15*(IF(Q59&lt;=0,0,MEDIAN(0,(Q59-R59)/Q59,1))))))*(1-(IF(Q59&lt;=0,0,MEDIAN(0,(Q59-R59)/Q59,1)))))</f>
        <v/>
      </c>
      <c r="S60" s="23">
        <f>IF(S59&lt;=0,0,(S59-(IF(S59&lt;=0,0,(30000*(1+'1 - I TUOI 6 NUMERI'!$B$14)^38)/(1-'1 - I TUOI 6 NUMERI'!$B$15*(IF(S59&lt;=0,0,MEDIAN(0,(S59-T59)/S59,1))))))-(IF(S59&lt;=0,0,'1 - I TUOI 6 NUMERI'!$B$16*S59)))*(1+((1+0.01)*(1+'1 - I TUOI 6 NUMERI'!$B$14)-1)))</f>
        <v/>
      </c>
      <c r="T60" s="23">
        <f>MAX(0,T59-(IF(S59&lt;=0,0,(30000*(1+'1 - I TUOI 6 NUMERI'!$B$14)^38)/(1-'1 - I TUOI 6 NUMERI'!$B$15*(IF(S59&lt;=0,0,MEDIAN(0,(S59-T59)/S59,1))))))*(1-(IF(S59&lt;=0,0,MEDIAN(0,(S59-T59)/S59,1)))))</f>
        <v/>
      </c>
      <c r="U60" s="23">
        <f>IF(U59&lt;=0,0,(U59-(IF(U59&lt;=0,0,(30000*(1+'1 - I TUOI 6 NUMERI'!$B$14)^38)/(1-'1 - I TUOI 6 NUMERI'!$B$15*(IF(U59&lt;=0,0,MEDIAN(0,(U59-V59)/U59,1))))))-(IF(U59&lt;=0,0,'1 - I TUOI 6 NUMERI'!$B$16*U59)))*(1+((1+0.03)*(1+'1 - I TUOI 6 NUMERI'!$B$14)-1)))</f>
        <v/>
      </c>
      <c r="V60" s="23">
        <f>MAX(0,V59-(IF(U59&lt;=0,0,(30000*(1+'1 - I TUOI 6 NUMERI'!$B$14)^38)/(1-'1 - I TUOI 6 NUMERI'!$B$15*(IF(U59&lt;=0,0,MEDIAN(0,(U59-V59)/U59,1))))))*(1-(IF(U59&lt;=0,0,MEDIAN(0,(U59-V59)/U59,1)))))</f>
        <v/>
      </c>
      <c r="W60" s="23">
        <f>IF(W59&lt;=0,0,(W59-(IF(W59&lt;=0,0,(30000*(1+'1 - I TUOI 6 NUMERI'!$B$14)^38)/(1-'1 - I TUOI 6 NUMERI'!$B$15*(IF(W59&lt;=0,0,MEDIAN(0,(W59-X59)/W59,1))))))-(IF(W59&lt;=0,0,'1 - I TUOI 6 NUMERI'!$B$16*W59)))*(1+((1+0.05)*(1+'1 - I TUOI 6 NUMERI'!$B$14)-1)))</f>
        <v/>
      </c>
      <c r="X60" s="23">
        <f>MAX(0,X59-(IF(W59&lt;=0,0,(30000*(1+'1 - I TUOI 6 NUMERI'!$B$14)^38)/(1-'1 - I TUOI 6 NUMERI'!$B$15*(IF(W59&lt;=0,0,MEDIAN(0,(W59-X59)/W59,1))))))*(1-(IF(W59&lt;=0,0,MEDIAN(0,(W59-X59)/W59,1)))))</f>
        <v/>
      </c>
      <c r="Y60" s="23">
        <f>IF(Y59&lt;=0,0,(Y59-(IF(Y59&lt;=0,0,(36000*(1+'1 - I TUOI 6 NUMERI'!$B$14)^38)/(1-'1 - I TUOI 6 NUMERI'!$B$15*(IF(Y59&lt;=0,0,MEDIAN(0,(Y59-Z59)/Y59,1))))))-(IF(Y59&lt;=0,0,'1 - I TUOI 6 NUMERI'!$B$16*Y59)))*(1+((1+0.01)*(1+'1 - I TUOI 6 NUMERI'!$B$14)-1)))</f>
        <v/>
      </c>
      <c r="Z60" s="23">
        <f>MAX(0,Z59-(IF(Y59&lt;=0,0,(36000*(1+'1 - I TUOI 6 NUMERI'!$B$14)^38)/(1-'1 - I TUOI 6 NUMERI'!$B$15*(IF(Y59&lt;=0,0,MEDIAN(0,(Y59-Z59)/Y59,1))))))*(1-(IF(Y59&lt;=0,0,MEDIAN(0,(Y59-Z59)/Y59,1)))))</f>
        <v/>
      </c>
      <c r="AA60" s="23">
        <f>IF(AA59&lt;=0,0,(AA59-(IF(AA59&lt;=0,0,(36000*(1+'1 - I TUOI 6 NUMERI'!$B$14)^38)/(1-'1 - I TUOI 6 NUMERI'!$B$15*(IF(AA59&lt;=0,0,MEDIAN(0,(AA59-AB59)/AA59,1))))))-(IF(AA59&lt;=0,0,'1 - I TUOI 6 NUMERI'!$B$16*AA59)))*(1+((1+0.03)*(1+'1 - I TUOI 6 NUMERI'!$B$14)-1)))</f>
        <v/>
      </c>
      <c r="AB60" s="23">
        <f>MAX(0,AB59-(IF(AA59&lt;=0,0,(36000*(1+'1 - I TUOI 6 NUMERI'!$B$14)^38)/(1-'1 - I TUOI 6 NUMERI'!$B$15*(IF(AA59&lt;=0,0,MEDIAN(0,(AA59-AB59)/AA59,1))))))*(1-(IF(AA59&lt;=0,0,MEDIAN(0,(AA59-AB59)/AA59,1)))))</f>
        <v/>
      </c>
      <c r="AC60" s="23">
        <f>IF(AC59&lt;=0,0,(AC59-(IF(AC59&lt;=0,0,(36000*(1+'1 - I TUOI 6 NUMERI'!$B$14)^38)/(1-'1 - I TUOI 6 NUMERI'!$B$15*(IF(AC59&lt;=0,0,MEDIAN(0,(AC59-AD59)/AC59,1))))))-(IF(AC59&lt;=0,0,'1 - I TUOI 6 NUMERI'!$B$16*AC59)))*(1+((1+0.05)*(1+'1 - I TUOI 6 NUMERI'!$B$14)-1)))</f>
        <v/>
      </c>
      <c r="AD60" s="23">
        <f>MAX(0,AD59-(IF(AC59&lt;=0,0,(36000*(1+'1 - I TUOI 6 NUMERI'!$B$14)^38)/(1-'1 - I TUOI 6 NUMERI'!$B$15*(IF(AC59&lt;=0,0,MEDIAN(0,(AC59-AD59)/AC59,1))))))*(1-(IF(AC59&lt;=0,0,MEDIAN(0,(AC59-AD59)/AC59,1)))))</f>
        <v/>
      </c>
    </row>
    <row r="61">
      <c r="F61" s="6" t="n">
        <v>39</v>
      </c>
      <c r="G61" s="23">
        <f>IF(G60&lt;=0,0,(G60-(IF(G60&lt;=0,0,(18000*(1+'1 - I TUOI 6 NUMERI'!$B$14)^39)/(1-'1 - I TUOI 6 NUMERI'!$B$15*(IF(G60&lt;=0,0,MEDIAN(0,(G60-H60)/G60,1))))))-(IF(G60&lt;=0,0,'1 - I TUOI 6 NUMERI'!$B$16*G60)))*(1+((1+0.01)*(1+'1 - I TUOI 6 NUMERI'!$B$14)-1)))</f>
        <v/>
      </c>
      <c r="H61" s="23">
        <f>MAX(0,H60-(IF(G60&lt;=0,0,(18000*(1+'1 - I TUOI 6 NUMERI'!$B$14)^39)/(1-'1 - I TUOI 6 NUMERI'!$B$15*(IF(G60&lt;=0,0,MEDIAN(0,(G60-H60)/G60,1))))))*(1-(IF(G60&lt;=0,0,MEDIAN(0,(G60-H60)/G60,1)))))</f>
        <v/>
      </c>
      <c r="I61" s="23">
        <f>IF(I60&lt;=0,0,(I60-(IF(I60&lt;=0,0,(18000*(1+'1 - I TUOI 6 NUMERI'!$B$14)^39)/(1-'1 - I TUOI 6 NUMERI'!$B$15*(IF(I60&lt;=0,0,MEDIAN(0,(I60-J60)/I60,1))))))-(IF(I60&lt;=0,0,'1 - I TUOI 6 NUMERI'!$B$16*I60)))*(1+((1+0.03)*(1+'1 - I TUOI 6 NUMERI'!$B$14)-1)))</f>
        <v/>
      </c>
      <c r="J61" s="23">
        <f>MAX(0,J60-(IF(I60&lt;=0,0,(18000*(1+'1 - I TUOI 6 NUMERI'!$B$14)^39)/(1-'1 - I TUOI 6 NUMERI'!$B$15*(IF(I60&lt;=0,0,MEDIAN(0,(I60-J60)/I60,1))))))*(1-(IF(I60&lt;=0,0,MEDIAN(0,(I60-J60)/I60,1)))))</f>
        <v/>
      </c>
      <c r="K61" s="23">
        <f>IF(K60&lt;=0,0,(K60-(IF(K60&lt;=0,0,(18000*(1+'1 - I TUOI 6 NUMERI'!$B$14)^39)/(1-'1 - I TUOI 6 NUMERI'!$B$15*(IF(K60&lt;=0,0,MEDIAN(0,(K60-L60)/K60,1))))))-(IF(K60&lt;=0,0,'1 - I TUOI 6 NUMERI'!$B$16*K60)))*(1+((1+0.05)*(1+'1 - I TUOI 6 NUMERI'!$B$14)-1)))</f>
        <v/>
      </c>
      <c r="L61" s="23">
        <f>MAX(0,L60-(IF(K60&lt;=0,0,(18000*(1+'1 - I TUOI 6 NUMERI'!$B$14)^39)/(1-'1 - I TUOI 6 NUMERI'!$B$15*(IF(K60&lt;=0,0,MEDIAN(0,(K60-L60)/K60,1))))))*(1-(IF(K60&lt;=0,0,MEDIAN(0,(K60-L60)/K60,1)))))</f>
        <v/>
      </c>
      <c r="M61" s="23">
        <f>IF(M60&lt;=0,0,(M60-(IF(M60&lt;=0,0,(24000*(1+'1 - I TUOI 6 NUMERI'!$B$14)^39)/(1-'1 - I TUOI 6 NUMERI'!$B$15*(IF(M60&lt;=0,0,MEDIAN(0,(M60-N60)/M60,1))))))-(IF(M60&lt;=0,0,'1 - I TUOI 6 NUMERI'!$B$16*M60)))*(1+((1+0.01)*(1+'1 - I TUOI 6 NUMERI'!$B$14)-1)))</f>
        <v/>
      </c>
      <c r="N61" s="23">
        <f>MAX(0,N60-(IF(M60&lt;=0,0,(24000*(1+'1 - I TUOI 6 NUMERI'!$B$14)^39)/(1-'1 - I TUOI 6 NUMERI'!$B$15*(IF(M60&lt;=0,0,MEDIAN(0,(M60-N60)/M60,1))))))*(1-(IF(M60&lt;=0,0,MEDIAN(0,(M60-N60)/M60,1)))))</f>
        <v/>
      </c>
      <c r="O61" s="23">
        <f>IF(O60&lt;=0,0,(O60-(IF(O60&lt;=0,0,(24000*(1+'1 - I TUOI 6 NUMERI'!$B$14)^39)/(1-'1 - I TUOI 6 NUMERI'!$B$15*(IF(O60&lt;=0,0,MEDIAN(0,(O60-P60)/O60,1))))))-(IF(O60&lt;=0,0,'1 - I TUOI 6 NUMERI'!$B$16*O60)))*(1+((1+0.03)*(1+'1 - I TUOI 6 NUMERI'!$B$14)-1)))</f>
        <v/>
      </c>
      <c r="P61" s="23">
        <f>MAX(0,P60-(IF(O60&lt;=0,0,(24000*(1+'1 - I TUOI 6 NUMERI'!$B$14)^39)/(1-'1 - I TUOI 6 NUMERI'!$B$15*(IF(O60&lt;=0,0,MEDIAN(0,(O60-P60)/O60,1))))))*(1-(IF(O60&lt;=0,0,MEDIAN(0,(O60-P60)/O60,1)))))</f>
        <v/>
      </c>
      <c r="Q61" s="23">
        <f>IF(Q60&lt;=0,0,(Q60-(IF(Q60&lt;=0,0,(24000*(1+'1 - I TUOI 6 NUMERI'!$B$14)^39)/(1-'1 - I TUOI 6 NUMERI'!$B$15*(IF(Q60&lt;=0,0,MEDIAN(0,(Q60-R60)/Q60,1))))))-(IF(Q60&lt;=0,0,'1 - I TUOI 6 NUMERI'!$B$16*Q60)))*(1+((1+0.05)*(1+'1 - I TUOI 6 NUMERI'!$B$14)-1)))</f>
        <v/>
      </c>
      <c r="R61" s="23">
        <f>MAX(0,R60-(IF(Q60&lt;=0,0,(24000*(1+'1 - I TUOI 6 NUMERI'!$B$14)^39)/(1-'1 - I TUOI 6 NUMERI'!$B$15*(IF(Q60&lt;=0,0,MEDIAN(0,(Q60-R60)/Q60,1))))))*(1-(IF(Q60&lt;=0,0,MEDIAN(0,(Q60-R60)/Q60,1)))))</f>
        <v/>
      </c>
      <c r="S61" s="23">
        <f>IF(S60&lt;=0,0,(S60-(IF(S60&lt;=0,0,(30000*(1+'1 - I TUOI 6 NUMERI'!$B$14)^39)/(1-'1 - I TUOI 6 NUMERI'!$B$15*(IF(S60&lt;=0,0,MEDIAN(0,(S60-T60)/S60,1))))))-(IF(S60&lt;=0,0,'1 - I TUOI 6 NUMERI'!$B$16*S60)))*(1+((1+0.01)*(1+'1 - I TUOI 6 NUMERI'!$B$14)-1)))</f>
        <v/>
      </c>
      <c r="T61" s="23">
        <f>MAX(0,T60-(IF(S60&lt;=0,0,(30000*(1+'1 - I TUOI 6 NUMERI'!$B$14)^39)/(1-'1 - I TUOI 6 NUMERI'!$B$15*(IF(S60&lt;=0,0,MEDIAN(0,(S60-T60)/S60,1))))))*(1-(IF(S60&lt;=0,0,MEDIAN(0,(S60-T60)/S60,1)))))</f>
        <v/>
      </c>
      <c r="U61" s="23">
        <f>IF(U60&lt;=0,0,(U60-(IF(U60&lt;=0,0,(30000*(1+'1 - I TUOI 6 NUMERI'!$B$14)^39)/(1-'1 - I TUOI 6 NUMERI'!$B$15*(IF(U60&lt;=0,0,MEDIAN(0,(U60-V60)/U60,1))))))-(IF(U60&lt;=0,0,'1 - I TUOI 6 NUMERI'!$B$16*U60)))*(1+((1+0.03)*(1+'1 - I TUOI 6 NUMERI'!$B$14)-1)))</f>
        <v/>
      </c>
      <c r="V61" s="23">
        <f>MAX(0,V60-(IF(U60&lt;=0,0,(30000*(1+'1 - I TUOI 6 NUMERI'!$B$14)^39)/(1-'1 - I TUOI 6 NUMERI'!$B$15*(IF(U60&lt;=0,0,MEDIAN(0,(U60-V60)/U60,1))))))*(1-(IF(U60&lt;=0,0,MEDIAN(0,(U60-V60)/U60,1)))))</f>
        <v/>
      </c>
      <c r="W61" s="23">
        <f>IF(W60&lt;=0,0,(W60-(IF(W60&lt;=0,0,(30000*(1+'1 - I TUOI 6 NUMERI'!$B$14)^39)/(1-'1 - I TUOI 6 NUMERI'!$B$15*(IF(W60&lt;=0,0,MEDIAN(0,(W60-X60)/W60,1))))))-(IF(W60&lt;=0,0,'1 - I TUOI 6 NUMERI'!$B$16*W60)))*(1+((1+0.05)*(1+'1 - I TUOI 6 NUMERI'!$B$14)-1)))</f>
        <v/>
      </c>
      <c r="X61" s="23">
        <f>MAX(0,X60-(IF(W60&lt;=0,0,(30000*(1+'1 - I TUOI 6 NUMERI'!$B$14)^39)/(1-'1 - I TUOI 6 NUMERI'!$B$15*(IF(W60&lt;=0,0,MEDIAN(0,(W60-X60)/W60,1))))))*(1-(IF(W60&lt;=0,0,MEDIAN(0,(W60-X60)/W60,1)))))</f>
        <v/>
      </c>
      <c r="Y61" s="23">
        <f>IF(Y60&lt;=0,0,(Y60-(IF(Y60&lt;=0,0,(36000*(1+'1 - I TUOI 6 NUMERI'!$B$14)^39)/(1-'1 - I TUOI 6 NUMERI'!$B$15*(IF(Y60&lt;=0,0,MEDIAN(0,(Y60-Z60)/Y60,1))))))-(IF(Y60&lt;=0,0,'1 - I TUOI 6 NUMERI'!$B$16*Y60)))*(1+((1+0.01)*(1+'1 - I TUOI 6 NUMERI'!$B$14)-1)))</f>
        <v/>
      </c>
      <c r="Z61" s="23">
        <f>MAX(0,Z60-(IF(Y60&lt;=0,0,(36000*(1+'1 - I TUOI 6 NUMERI'!$B$14)^39)/(1-'1 - I TUOI 6 NUMERI'!$B$15*(IF(Y60&lt;=0,0,MEDIAN(0,(Y60-Z60)/Y60,1))))))*(1-(IF(Y60&lt;=0,0,MEDIAN(0,(Y60-Z60)/Y60,1)))))</f>
        <v/>
      </c>
      <c r="AA61" s="23">
        <f>IF(AA60&lt;=0,0,(AA60-(IF(AA60&lt;=0,0,(36000*(1+'1 - I TUOI 6 NUMERI'!$B$14)^39)/(1-'1 - I TUOI 6 NUMERI'!$B$15*(IF(AA60&lt;=0,0,MEDIAN(0,(AA60-AB60)/AA60,1))))))-(IF(AA60&lt;=0,0,'1 - I TUOI 6 NUMERI'!$B$16*AA60)))*(1+((1+0.03)*(1+'1 - I TUOI 6 NUMERI'!$B$14)-1)))</f>
        <v/>
      </c>
      <c r="AB61" s="23">
        <f>MAX(0,AB60-(IF(AA60&lt;=0,0,(36000*(1+'1 - I TUOI 6 NUMERI'!$B$14)^39)/(1-'1 - I TUOI 6 NUMERI'!$B$15*(IF(AA60&lt;=0,0,MEDIAN(0,(AA60-AB60)/AA60,1))))))*(1-(IF(AA60&lt;=0,0,MEDIAN(0,(AA60-AB60)/AA60,1)))))</f>
        <v/>
      </c>
      <c r="AC61" s="23">
        <f>IF(AC60&lt;=0,0,(AC60-(IF(AC60&lt;=0,0,(36000*(1+'1 - I TUOI 6 NUMERI'!$B$14)^39)/(1-'1 - I TUOI 6 NUMERI'!$B$15*(IF(AC60&lt;=0,0,MEDIAN(0,(AC60-AD60)/AC60,1))))))-(IF(AC60&lt;=0,0,'1 - I TUOI 6 NUMERI'!$B$16*AC60)))*(1+((1+0.05)*(1+'1 - I TUOI 6 NUMERI'!$B$14)-1)))</f>
        <v/>
      </c>
      <c r="AD61" s="23">
        <f>MAX(0,AD60-(IF(AC60&lt;=0,0,(36000*(1+'1 - I TUOI 6 NUMERI'!$B$14)^39)/(1-'1 - I TUOI 6 NUMERI'!$B$15*(IF(AC60&lt;=0,0,MEDIAN(0,(AC60-AD60)/AC60,1))))))*(1-(IF(AC60&lt;=0,0,MEDIAN(0,(AC60-AD60)/AC60,1)))))</f>
        <v/>
      </c>
    </row>
    <row r="62">
      <c r="F62" s="6" t="n">
        <v>40</v>
      </c>
      <c r="G62" s="23">
        <f>IF(G61&lt;=0,0,(G61-(IF(G61&lt;=0,0,(18000*(1+'1 - I TUOI 6 NUMERI'!$B$14)^40)/(1-'1 - I TUOI 6 NUMERI'!$B$15*(IF(G61&lt;=0,0,MEDIAN(0,(G61-H61)/G61,1))))))-(IF(G61&lt;=0,0,'1 - I TUOI 6 NUMERI'!$B$16*G61)))*(1+((1+0.01)*(1+'1 - I TUOI 6 NUMERI'!$B$14)-1)))</f>
        <v/>
      </c>
      <c r="H62" s="23">
        <f>MAX(0,H61-(IF(G61&lt;=0,0,(18000*(1+'1 - I TUOI 6 NUMERI'!$B$14)^40)/(1-'1 - I TUOI 6 NUMERI'!$B$15*(IF(G61&lt;=0,0,MEDIAN(0,(G61-H61)/G61,1))))))*(1-(IF(G61&lt;=0,0,MEDIAN(0,(G61-H61)/G61,1)))))</f>
        <v/>
      </c>
      <c r="I62" s="23">
        <f>IF(I61&lt;=0,0,(I61-(IF(I61&lt;=0,0,(18000*(1+'1 - I TUOI 6 NUMERI'!$B$14)^40)/(1-'1 - I TUOI 6 NUMERI'!$B$15*(IF(I61&lt;=0,0,MEDIAN(0,(I61-J61)/I61,1))))))-(IF(I61&lt;=0,0,'1 - I TUOI 6 NUMERI'!$B$16*I61)))*(1+((1+0.03)*(1+'1 - I TUOI 6 NUMERI'!$B$14)-1)))</f>
        <v/>
      </c>
      <c r="J62" s="23">
        <f>MAX(0,J61-(IF(I61&lt;=0,0,(18000*(1+'1 - I TUOI 6 NUMERI'!$B$14)^40)/(1-'1 - I TUOI 6 NUMERI'!$B$15*(IF(I61&lt;=0,0,MEDIAN(0,(I61-J61)/I61,1))))))*(1-(IF(I61&lt;=0,0,MEDIAN(0,(I61-J61)/I61,1)))))</f>
        <v/>
      </c>
      <c r="K62" s="23">
        <f>IF(K61&lt;=0,0,(K61-(IF(K61&lt;=0,0,(18000*(1+'1 - I TUOI 6 NUMERI'!$B$14)^40)/(1-'1 - I TUOI 6 NUMERI'!$B$15*(IF(K61&lt;=0,0,MEDIAN(0,(K61-L61)/K61,1))))))-(IF(K61&lt;=0,0,'1 - I TUOI 6 NUMERI'!$B$16*K61)))*(1+((1+0.05)*(1+'1 - I TUOI 6 NUMERI'!$B$14)-1)))</f>
        <v/>
      </c>
      <c r="L62" s="23">
        <f>MAX(0,L61-(IF(K61&lt;=0,0,(18000*(1+'1 - I TUOI 6 NUMERI'!$B$14)^40)/(1-'1 - I TUOI 6 NUMERI'!$B$15*(IF(K61&lt;=0,0,MEDIAN(0,(K61-L61)/K61,1))))))*(1-(IF(K61&lt;=0,0,MEDIAN(0,(K61-L61)/K61,1)))))</f>
        <v/>
      </c>
      <c r="M62" s="23">
        <f>IF(M61&lt;=0,0,(M61-(IF(M61&lt;=0,0,(24000*(1+'1 - I TUOI 6 NUMERI'!$B$14)^40)/(1-'1 - I TUOI 6 NUMERI'!$B$15*(IF(M61&lt;=0,0,MEDIAN(0,(M61-N61)/M61,1))))))-(IF(M61&lt;=0,0,'1 - I TUOI 6 NUMERI'!$B$16*M61)))*(1+((1+0.01)*(1+'1 - I TUOI 6 NUMERI'!$B$14)-1)))</f>
        <v/>
      </c>
      <c r="N62" s="23">
        <f>MAX(0,N61-(IF(M61&lt;=0,0,(24000*(1+'1 - I TUOI 6 NUMERI'!$B$14)^40)/(1-'1 - I TUOI 6 NUMERI'!$B$15*(IF(M61&lt;=0,0,MEDIAN(0,(M61-N61)/M61,1))))))*(1-(IF(M61&lt;=0,0,MEDIAN(0,(M61-N61)/M61,1)))))</f>
        <v/>
      </c>
      <c r="O62" s="23">
        <f>IF(O61&lt;=0,0,(O61-(IF(O61&lt;=0,0,(24000*(1+'1 - I TUOI 6 NUMERI'!$B$14)^40)/(1-'1 - I TUOI 6 NUMERI'!$B$15*(IF(O61&lt;=0,0,MEDIAN(0,(O61-P61)/O61,1))))))-(IF(O61&lt;=0,0,'1 - I TUOI 6 NUMERI'!$B$16*O61)))*(1+((1+0.03)*(1+'1 - I TUOI 6 NUMERI'!$B$14)-1)))</f>
        <v/>
      </c>
      <c r="P62" s="23">
        <f>MAX(0,P61-(IF(O61&lt;=0,0,(24000*(1+'1 - I TUOI 6 NUMERI'!$B$14)^40)/(1-'1 - I TUOI 6 NUMERI'!$B$15*(IF(O61&lt;=0,0,MEDIAN(0,(O61-P61)/O61,1))))))*(1-(IF(O61&lt;=0,0,MEDIAN(0,(O61-P61)/O61,1)))))</f>
        <v/>
      </c>
      <c r="Q62" s="23">
        <f>IF(Q61&lt;=0,0,(Q61-(IF(Q61&lt;=0,0,(24000*(1+'1 - I TUOI 6 NUMERI'!$B$14)^40)/(1-'1 - I TUOI 6 NUMERI'!$B$15*(IF(Q61&lt;=0,0,MEDIAN(0,(Q61-R61)/Q61,1))))))-(IF(Q61&lt;=0,0,'1 - I TUOI 6 NUMERI'!$B$16*Q61)))*(1+((1+0.05)*(1+'1 - I TUOI 6 NUMERI'!$B$14)-1)))</f>
        <v/>
      </c>
      <c r="R62" s="23">
        <f>MAX(0,R61-(IF(Q61&lt;=0,0,(24000*(1+'1 - I TUOI 6 NUMERI'!$B$14)^40)/(1-'1 - I TUOI 6 NUMERI'!$B$15*(IF(Q61&lt;=0,0,MEDIAN(0,(Q61-R61)/Q61,1))))))*(1-(IF(Q61&lt;=0,0,MEDIAN(0,(Q61-R61)/Q61,1)))))</f>
        <v/>
      </c>
      <c r="S62" s="23">
        <f>IF(S61&lt;=0,0,(S61-(IF(S61&lt;=0,0,(30000*(1+'1 - I TUOI 6 NUMERI'!$B$14)^40)/(1-'1 - I TUOI 6 NUMERI'!$B$15*(IF(S61&lt;=0,0,MEDIAN(0,(S61-T61)/S61,1))))))-(IF(S61&lt;=0,0,'1 - I TUOI 6 NUMERI'!$B$16*S61)))*(1+((1+0.01)*(1+'1 - I TUOI 6 NUMERI'!$B$14)-1)))</f>
        <v/>
      </c>
      <c r="T62" s="23">
        <f>MAX(0,T61-(IF(S61&lt;=0,0,(30000*(1+'1 - I TUOI 6 NUMERI'!$B$14)^40)/(1-'1 - I TUOI 6 NUMERI'!$B$15*(IF(S61&lt;=0,0,MEDIAN(0,(S61-T61)/S61,1))))))*(1-(IF(S61&lt;=0,0,MEDIAN(0,(S61-T61)/S61,1)))))</f>
        <v/>
      </c>
      <c r="U62" s="23">
        <f>IF(U61&lt;=0,0,(U61-(IF(U61&lt;=0,0,(30000*(1+'1 - I TUOI 6 NUMERI'!$B$14)^40)/(1-'1 - I TUOI 6 NUMERI'!$B$15*(IF(U61&lt;=0,0,MEDIAN(0,(U61-V61)/U61,1))))))-(IF(U61&lt;=0,0,'1 - I TUOI 6 NUMERI'!$B$16*U61)))*(1+((1+0.03)*(1+'1 - I TUOI 6 NUMERI'!$B$14)-1)))</f>
        <v/>
      </c>
      <c r="V62" s="23">
        <f>MAX(0,V61-(IF(U61&lt;=0,0,(30000*(1+'1 - I TUOI 6 NUMERI'!$B$14)^40)/(1-'1 - I TUOI 6 NUMERI'!$B$15*(IF(U61&lt;=0,0,MEDIAN(0,(U61-V61)/U61,1))))))*(1-(IF(U61&lt;=0,0,MEDIAN(0,(U61-V61)/U61,1)))))</f>
        <v/>
      </c>
      <c r="W62" s="23">
        <f>IF(W61&lt;=0,0,(W61-(IF(W61&lt;=0,0,(30000*(1+'1 - I TUOI 6 NUMERI'!$B$14)^40)/(1-'1 - I TUOI 6 NUMERI'!$B$15*(IF(W61&lt;=0,0,MEDIAN(0,(W61-X61)/W61,1))))))-(IF(W61&lt;=0,0,'1 - I TUOI 6 NUMERI'!$B$16*W61)))*(1+((1+0.05)*(1+'1 - I TUOI 6 NUMERI'!$B$14)-1)))</f>
        <v/>
      </c>
      <c r="X62" s="23">
        <f>MAX(0,X61-(IF(W61&lt;=0,0,(30000*(1+'1 - I TUOI 6 NUMERI'!$B$14)^40)/(1-'1 - I TUOI 6 NUMERI'!$B$15*(IF(W61&lt;=0,0,MEDIAN(0,(W61-X61)/W61,1))))))*(1-(IF(W61&lt;=0,0,MEDIAN(0,(W61-X61)/W61,1)))))</f>
        <v/>
      </c>
      <c r="Y62" s="23">
        <f>IF(Y61&lt;=0,0,(Y61-(IF(Y61&lt;=0,0,(36000*(1+'1 - I TUOI 6 NUMERI'!$B$14)^40)/(1-'1 - I TUOI 6 NUMERI'!$B$15*(IF(Y61&lt;=0,0,MEDIAN(0,(Y61-Z61)/Y61,1))))))-(IF(Y61&lt;=0,0,'1 - I TUOI 6 NUMERI'!$B$16*Y61)))*(1+((1+0.01)*(1+'1 - I TUOI 6 NUMERI'!$B$14)-1)))</f>
        <v/>
      </c>
      <c r="Z62" s="23">
        <f>MAX(0,Z61-(IF(Y61&lt;=0,0,(36000*(1+'1 - I TUOI 6 NUMERI'!$B$14)^40)/(1-'1 - I TUOI 6 NUMERI'!$B$15*(IF(Y61&lt;=0,0,MEDIAN(0,(Y61-Z61)/Y61,1))))))*(1-(IF(Y61&lt;=0,0,MEDIAN(0,(Y61-Z61)/Y61,1)))))</f>
        <v/>
      </c>
      <c r="AA62" s="23">
        <f>IF(AA61&lt;=0,0,(AA61-(IF(AA61&lt;=0,0,(36000*(1+'1 - I TUOI 6 NUMERI'!$B$14)^40)/(1-'1 - I TUOI 6 NUMERI'!$B$15*(IF(AA61&lt;=0,0,MEDIAN(0,(AA61-AB61)/AA61,1))))))-(IF(AA61&lt;=0,0,'1 - I TUOI 6 NUMERI'!$B$16*AA61)))*(1+((1+0.03)*(1+'1 - I TUOI 6 NUMERI'!$B$14)-1)))</f>
        <v/>
      </c>
      <c r="AB62" s="23">
        <f>MAX(0,AB61-(IF(AA61&lt;=0,0,(36000*(1+'1 - I TUOI 6 NUMERI'!$B$14)^40)/(1-'1 - I TUOI 6 NUMERI'!$B$15*(IF(AA61&lt;=0,0,MEDIAN(0,(AA61-AB61)/AA61,1))))))*(1-(IF(AA61&lt;=0,0,MEDIAN(0,(AA61-AB61)/AA61,1)))))</f>
        <v/>
      </c>
      <c r="AC62" s="23">
        <f>IF(AC61&lt;=0,0,(AC61-(IF(AC61&lt;=0,0,(36000*(1+'1 - I TUOI 6 NUMERI'!$B$14)^40)/(1-'1 - I TUOI 6 NUMERI'!$B$15*(IF(AC61&lt;=0,0,MEDIAN(0,(AC61-AD61)/AC61,1))))))-(IF(AC61&lt;=0,0,'1 - I TUOI 6 NUMERI'!$B$16*AC61)))*(1+((1+0.05)*(1+'1 - I TUOI 6 NUMERI'!$B$14)-1)))</f>
        <v/>
      </c>
      <c r="AD62" s="23">
        <f>MAX(0,AD61-(IF(AC61&lt;=0,0,(36000*(1+'1 - I TUOI 6 NUMERI'!$B$14)^40)/(1-'1 - I TUOI 6 NUMERI'!$B$15*(IF(AC61&lt;=0,0,MEDIAN(0,(AC61-AD61)/AC61,1))))))*(1-(IF(AC61&lt;=0,0,MEDIAN(0,(AC61-AD61)/AC61,1)))))</f>
        <v/>
      </c>
    </row>
    <row r="63">
      <c r="F63" s="6" t="n">
        <v>41</v>
      </c>
      <c r="G63" s="23">
        <f>IF(G62&lt;=0,0,(G62-(IF(G62&lt;=0,0,(18000*(1+'1 - I TUOI 6 NUMERI'!$B$14)^41)/(1-'1 - I TUOI 6 NUMERI'!$B$15*(IF(G62&lt;=0,0,MEDIAN(0,(G62-H62)/G62,1))))))-(IF(G62&lt;=0,0,'1 - I TUOI 6 NUMERI'!$B$16*G62)))*(1+((1+0.01)*(1+'1 - I TUOI 6 NUMERI'!$B$14)-1)))</f>
        <v/>
      </c>
      <c r="H63" s="23">
        <f>MAX(0,H62-(IF(G62&lt;=0,0,(18000*(1+'1 - I TUOI 6 NUMERI'!$B$14)^41)/(1-'1 - I TUOI 6 NUMERI'!$B$15*(IF(G62&lt;=0,0,MEDIAN(0,(G62-H62)/G62,1))))))*(1-(IF(G62&lt;=0,0,MEDIAN(0,(G62-H62)/G62,1)))))</f>
        <v/>
      </c>
      <c r="I63" s="23">
        <f>IF(I62&lt;=0,0,(I62-(IF(I62&lt;=0,0,(18000*(1+'1 - I TUOI 6 NUMERI'!$B$14)^41)/(1-'1 - I TUOI 6 NUMERI'!$B$15*(IF(I62&lt;=0,0,MEDIAN(0,(I62-J62)/I62,1))))))-(IF(I62&lt;=0,0,'1 - I TUOI 6 NUMERI'!$B$16*I62)))*(1+((1+0.03)*(1+'1 - I TUOI 6 NUMERI'!$B$14)-1)))</f>
        <v/>
      </c>
      <c r="J63" s="23">
        <f>MAX(0,J62-(IF(I62&lt;=0,0,(18000*(1+'1 - I TUOI 6 NUMERI'!$B$14)^41)/(1-'1 - I TUOI 6 NUMERI'!$B$15*(IF(I62&lt;=0,0,MEDIAN(0,(I62-J62)/I62,1))))))*(1-(IF(I62&lt;=0,0,MEDIAN(0,(I62-J62)/I62,1)))))</f>
        <v/>
      </c>
      <c r="K63" s="23">
        <f>IF(K62&lt;=0,0,(K62-(IF(K62&lt;=0,0,(18000*(1+'1 - I TUOI 6 NUMERI'!$B$14)^41)/(1-'1 - I TUOI 6 NUMERI'!$B$15*(IF(K62&lt;=0,0,MEDIAN(0,(K62-L62)/K62,1))))))-(IF(K62&lt;=0,0,'1 - I TUOI 6 NUMERI'!$B$16*K62)))*(1+((1+0.05)*(1+'1 - I TUOI 6 NUMERI'!$B$14)-1)))</f>
        <v/>
      </c>
      <c r="L63" s="23">
        <f>MAX(0,L62-(IF(K62&lt;=0,0,(18000*(1+'1 - I TUOI 6 NUMERI'!$B$14)^41)/(1-'1 - I TUOI 6 NUMERI'!$B$15*(IF(K62&lt;=0,0,MEDIAN(0,(K62-L62)/K62,1))))))*(1-(IF(K62&lt;=0,0,MEDIAN(0,(K62-L62)/K62,1)))))</f>
        <v/>
      </c>
      <c r="M63" s="23">
        <f>IF(M62&lt;=0,0,(M62-(IF(M62&lt;=0,0,(24000*(1+'1 - I TUOI 6 NUMERI'!$B$14)^41)/(1-'1 - I TUOI 6 NUMERI'!$B$15*(IF(M62&lt;=0,0,MEDIAN(0,(M62-N62)/M62,1))))))-(IF(M62&lt;=0,0,'1 - I TUOI 6 NUMERI'!$B$16*M62)))*(1+((1+0.01)*(1+'1 - I TUOI 6 NUMERI'!$B$14)-1)))</f>
        <v/>
      </c>
      <c r="N63" s="23">
        <f>MAX(0,N62-(IF(M62&lt;=0,0,(24000*(1+'1 - I TUOI 6 NUMERI'!$B$14)^41)/(1-'1 - I TUOI 6 NUMERI'!$B$15*(IF(M62&lt;=0,0,MEDIAN(0,(M62-N62)/M62,1))))))*(1-(IF(M62&lt;=0,0,MEDIAN(0,(M62-N62)/M62,1)))))</f>
        <v/>
      </c>
      <c r="O63" s="23">
        <f>IF(O62&lt;=0,0,(O62-(IF(O62&lt;=0,0,(24000*(1+'1 - I TUOI 6 NUMERI'!$B$14)^41)/(1-'1 - I TUOI 6 NUMERI'!$B$15*(IF(O62&lt;=0,0,MEDIAN(0,(O62-P62)/O62,1))))))-(IF(O62&lt;=0,0,'1 - I TUOI 6 NUMERI'!$B$16*O62)))*(1+((1+0.03)*(1+'1 - I TUOI 6 NUMERI'!$B$14)-1)))</f>
        <v/>
      </c>
      <c r="P63" s="23">
        <f>MAX(0,P62-(IF(O62&lt;=0,0,(24000*(1+'1 - I TUOI 6 NUMERI'!$B$14)^41)/(1-'1 - I TUOI 6 NUMERI'!$B$15*(IF(O62&lt;=0,0,MEDIAN(0,(O62-P62)/O62,1))))))*(1-(IF(O62&lt;=0,0,MEDIAN(0,(O62-P62)/O62,1)))))</f>
        <v/>
      </c>
      <c r="Q63" s="23">
        <f>IF(Q62&lt;=0,0,(Q62-(IF(Q62&lt;=0,0,(24000*(1+'1 - I TUOI 6 NUMERI'!$B$14)^41)/(1-'1 - I TUOI 6 NUMERI'!$B$15*(IF(Q62&lt;=0,0,MEDIAN(0,(Q62-R62)/Q62,1))))))-(IF(Q62&lt;=0,0,'1 - I TUOI 6 NUMERI'!$B$16*Q62)))*(1+((1+0.05)*(1+'1 - I TUOI 6 NUMERI'!$B$14)-1)))</f>
        <v/>
      </c>
      <c r="R63" s="23">
        <f>MAX(0,R62-(IF(Q62&lt;=0,0,(24000*(1+'1 - I TUOI 6 NUMERI'!$B$14)^41)/(1-'1 - I TUOI 6 NUMERI'!$B$15*(IF(Q62&lt;=0,0,MEDIAN(0,(Q62-R62)/Q62,1))))))*(1-(IF(Q62&lt;=0,0,MEDIAN(0,(Q62-R62)/Q62,1)))))</f>
        <v/>
      </c>
      <c r="S63" s="23">
        <f>IF(S62&lt;=0,0,(S62-(IF(S62&lt;=0,0,(30000*(1+'1 - I TUOI 6 NUMERI'!$B$14)^41)/(1-'1 - I TUOI 6 NUMERI'!$B$15*(IF(S62&lt;=0,0,MEDIAN(0,(S62-T62)/S62,1))))))-(IF(S62&lt;=0,0,'1 - I TUOI 6 NUMERI'!$B$16*S62)))*(1+((1+0.01)*(1+'1 - I TUOI 6 NUMERI'!$B$14)-1)))</f>
        <v/>
      </c>
      <c r="T63" s="23">
        <f>MAX(0,T62-(IF(S62&lt;=0,0,(30000*(1+'1 - I TUOI 6 NUMERI'!$B$14)^41)/(1-'1 - I TUOI 6 NUMERI'!$B$15*(IF(S62&lt;=0,0,MEDIAN(0,(S62-T62)/S62,1))))))*(1-(IF(S62&lt;=0,0,MEDIAN(0,(S62-T62)/S62,1)))))</f>
        <v/>
      </c>
      <c r="U63" s="23">
        <f>IF(U62&lt;=0,0,(U62-(IF(U62&lt;=0,0,(30000*(1+'1 - I TUOI 6 NUMERI'!$B$14)^41)/(1-'1 - I TUOI 6 NUMERI'!$B$15*(IF(U62&lt;=0,0,MEDIAN(0,(U62-V62)/U62,1))))))-(IF(U62&lt;=0,0,'1 - I TUOI 6 NUMERI'!$B$16*U62)))*(1+((1+0.03)*(1+'1 - I TUOI 6 NUMERI'!$B$14)-1)))</f>
        <v/>
      </c>
      <c r="V63" s="23">
        <f>MAX(0,V62-(IF(U62&lt;=0,0,(30000*(1+'1 - I TUOI 6 NUMERI'!$B$14)^41)/(1-'1 - I TUOI 6 NUMERI'!$B$15*(IF(U62&lt;=0,0,MEDIAN(0,(U62-V62)/U62,1))))))*(1-(IF(U62&lt;=0,0,MEDIAN(0,(U62-V62)/U62,1)))))</f>
        <v/>
      </c>
      <c r="W63" s="23">
        <f>IF(W62&lt;=0,0,(W62-(IF(W62&lt;=0,0,(30000*(1+'1 - I TUOI 6 NUMERI'!$B$14)^41)/(1-'1 - I TUOI 6 NUMERI'!$B$15*(IF(W62&lt;=0,0,MEDIAN(0,(W62-X62)/W62,1))))))-(IF(W62&lt;=0,0,'1 - I TUOI 6 NUMERI'!$B$16*W62)))*(1+((1+0.05)*(1+'1 - I TUOI 6 NUMERI'!$B$14)-1)))</f>
        <v/>
      </c>
      <c r="X63" s="23">
        <f>MAX(0,X62-(IF(W62&lt;=0,0,(30000*(1+'1 - I TUOI 6 NUMERI'!$B$14)^41)/(1-'1 - I TUOI 6 NUMERI'!$B$15*(IF(W62&lt;=0,0,MEDIAN(0,(W62-X62)/W62,1))))))*(1-(IF(W62&lt;=0,0,MEDIAN(0,(W62-X62)/W62,1)))))</f>
        <v/>
      </c>
      <c r="Y63" s="23">
        <f>IF(Y62&lt;=0,0,(Y62-(IF(Y62&lt;=0,0,(36000*(1+'1 - I TUOI 6 NUMERI'!$B$14)^41)/(1-'1 - I TUOI 6 NUMERI'!$B$15*(IF(Y62&lt;=0,0,MEDIAN(0,(Y62-Z62)/Y62,1))))))-(IF(Y62&lt;=0,0,'1 - I TUOI 6 NUMERI'!$B$16*Y62)))*(1+((1+0.01)*(1+'1 - I TUOI 6 NUMERI'!$B$14)-1)))</f>
        <v/>
      </c>
      <c r="Z63" s="23">
        <f>MAX(0,Z62-(IF(Y62&lt;=0,0,(36000*(1+'1 - I TUOI 6 NUMERI'!$B$14)^41)/(1-'1 - I TUOI 6 NUMERI'!$B$15*(IF(Y62&lt;=0,0,MEDIAN(0,(Y62-Z62)/Y62,1))))))*(1-(IF(Y62&lt;=0,0,MEDIAN(0,(Y62-Z62)/Y62,1)))))</f>
        <v/>
      </c>
      <c r="AA63" s="23">
        <f>IF(AA62&lt;=0,0,(AA62-(IF(AA62&lt;=0,0,(36000*(1+'1 - I TUOI 6 NUMERI'!$B$14)^41)/(1-'1 - I TUOI 6 NUMERI'!$B$15*(IF(AA62&lt;=0,0,MEDIAN(0,(AA62-AB62)/AA62,1))))))-(IF(AA62&lt;=0,0,'1 - I TUOI 6 NUMERI'!$B$16*AA62)))*(1+((1+0.03)*(1+'1 - I TUOI 6 NUMERI'!$B$14)-1)))</f>
        <v/>
      </c>
      <c r="AB63" s="23">
        <f>MAX(0,AB62-(IF(AA62&lt;=0,0,(36000*(1+'1 - I TUOI 6 NUMERI'!$B$14)^41)/(1-'1 - I TUOI 6 NUMERI'!$B$15*(IF(AA62&lt;=0,0,MEDIAN(0,(AA62-AB62)/AA62,1))))))*(1-(IF(AA62&lt;=0,0,MEDIAN(0,(AA62-AB62)/AA62,1)))))</f>
        <v/>
      </c>
      <c r="AC63" s="23">
        <f>IF(AC62&lt;=0,0,(AC62-(IF(AC62&lt;=0,0,(36000*(1+'1 - I TUOI 6 NUMERI'!$B$14)^41)/(1-'1 - I TUOI 6 NUMERI'!$B$15*(IF(AC62&lt;=0,0,MEDIAN(0,(AC62-AD62)/AC62,1))))))-(IF(AC62&lt;=0,0,'1 - I TUOI 6 NUMERI'!$B$16*AC62)))*(1+((1+0.05)*(1+'1 - I TUOI 6 NUMERI'!$B$14)-1)))</f>
        <v/>
      </c>
      <c r="AD63" s="23">
        <f>MAX(0,AD62-(IF(AC62&lt;=0,0,(36000*(1+'1 - I TUOI 6 NUMERI'!$B$14)^41)/(1-'1 - I TUOI 6 NUMERI'!$B$15*(IF(AC62&lt;=0,0,MEDIAN(0,(AC62-AD62)/AC62,1))))))*(1-(IF(AC62&lt;=0,0,MEDIAN(0,(AC62-AD62)/AC62,1)))))</f>
        <v/>
      </c>
    </row>
    <row r="64">
      <c r="F64" s="6" t="n">
        <v>42</v>
      </c>
      <c r="G64" s="23">
        <f>IF(G63&lt;=0,0,(G63-(IF(G63&lt;=0,0,(18000*(1+'1 - I TUOI 6 NUMERI'!$B$14)^42)/(1-'1 - I TUOI 6 NUMERI'!$B$15*(IF(G63&lt;=0,0,MEDIAN(0,(G63-H63)/G63,1))))))-(IF(G63&lt;=0,0,'1 - I TUOI 6 NUMERI'!$B$16*G63)))*(1+((1+0.01)*(1+'1 - I TUOI 6 NUMERI'!$B$14)-1)))</f>
        <v/>
      </c>
      <c r="H64" s="23">
        <f>MAX(0,H63-(IF(G63&lt;=0,0,(18000*(1+'1 - I TUOI 6 NUMERI'!$B$14)^42)/(1-'1 - I TUOI 6 NUMERI'!$B$15*(IF(G63&lt;=0,0,MEDIAN(0,(G63-H63)/G63,1))))))*(1-(IF(G63&lt;=0,0,MEDIAN(0,(G63-H63)/G63,1)))))</f>
        <v/>
      </c>
      <c r="I64" s="23">
        <f>IF(I63&lt;=0,0,(I63-(IF(I63&lt;=0,0,(18000*(1+'1 - I TUOI 6 NUMERI'!$B$14)^42)/(1-'1 - I TUOI 6 NUMERI'!$B$15*(IF(I63&lt;=0,0,MEDIAN(0,(I63-J63)/I63,1))))))-(IF(I63&lt;=0,0,'1 - I TUOI 6 NUMERI'!$B$16*I63)))*(1+((1+0.03)*(1+'1 - I TUOI 6 NUMERI'!$B$14)-1)))</f>
        <v/>
      </c>
      <c r="J64" s="23">
        <f>MAX(0,J63-(IF(I63&lt;=0,0,(18000*(1+'1 - I TUOI 6 NUMERI'!$B$14)^42)/(1-'1 - I TUOI 6 NUMERI'!$B$15*(IF(I63&lt;=0,0,MEDIAN(0,(I63-J63)/I63,1))))))*(1-(IF(I63&lt;=0,0,MEDIAN(0,(I63-J63)/I63,1)))))</f>
        <v/>
      </c>
      <c r="K64" s="23">
        <f>IF(K63&lt;=0,0,(K63-(IF(K63&lt;=0,0,(18000*(1+'1 - I TUOI 6 NUMERI'!$B$14)^42)/(1-'1 - I TUOI 6 NUMERI'!$B$15*(IF(K63&lt;=0,0,MEDIAN(0,(K63-L63)/K63,1))))))-(IF(K63&lt;=0,0,'1 - I TUOI 6 NUMERI'!$B$16*K63)))*(1+((1+0.05)*(1+'1 - I TUOI 6 NUMERI'!$B$14)-1)))</f>
        <v/>
      </c>
      <c r="L64" s="23">
        <f>MAX(0,L63-(IF(K63&lt;=0,0,(18000*(1+'1 - I TUOI 6 NUMERI'!$B$14)^42)/(1-'1 - I TUOI 6 NUMERI'!$B$15*(IF(K63&lt;=0,0,MEDIAN(0,(K63-L63)/K63,1))))))*(1-(IF(K63&lt;=0,0,MEDIAN(0,(K63-L63)/K63,1)))))</f>
        <v/>
      </c>
      <c r="M64" s="23">
        <f>IF(M63&lt;=0,0,(M63-(IF(M63&lt;=0,0,(24000*(1+'1 - I TUOI 6 NUMERI'!$B$14)^42)/(1-'1 - I TUOI 6 NUMERI'!$B$15*(IF(M63&lt;=0,0,MEDIAN(0,(M63-N63)/M63,1))))))-(IF(M63&lt;=0,0,'1 - I TUOI 6 NUMERI'!$B$16*M63)))*(1+((1+0.01)*(1+'1 - I TUOI 6 NUMERI'!$B$14)-1)))</f>
        <v/>
      </c>
      <c r="N64" s="23">
        <f>MAX(0,N63-(IF(M63&lt;=0,0,(24000*(1+'1 - I TUOI 6 NUMERI'!$B$14)^42)/(1-'1 - I TUOI 6 NUMERI'!$B$15*(IF(M63&lt;=0,0,MEDIAN(0,(M63-N63)/M63,1))))))*(1-(IF(M63&lt;=0,0,MEDIAN(0,(M63-N63)/M63,1)))))</f>
        <v/>
      </c>
      <c r="O64" s="23">
        <f>IF(O63&lt;=0,0,(O63-(IF(O63&lt;=0,0,(24000*(1+'1 - I TUOI 6 NUMERI'!$B$14)^42)/(1-'1 - I TUOI 6 NUMERI'!$B$15*(IF(O63&lt;=0,0,MEDIAN(0,(O63-P63)/O63,1))))))-(IF(O63&lt;=0,0,'1 - I TUOI 6 NUMERI'!$B$16*O63)))*(1+((1+0.03)*(1+'1 - I TUOI 6 NUMERI'!$B$14)-1)))</f>
        <v/>
      </c>
      <c r="P64" s="23">
        <f>MAX(0,P63-(IF(O63&lt;=0,0,(24000*(1+'1 - I TUOI 6 NUMERI'!$B$14)^42)/(1-'1 - I TUOI 6 NUMERI'!$B$15*(IF(O63&lt;=0,0,MEDIAN(0,(O63-P63)/O63,1))))))*(1-(IF(O63&lt;=0,0,MEDIAN(0,(O63-P63)/O63,1)))))</f>
        <v/>
      </c>
      <c r="Q64" s="23">
        <f>IF(Q63&lt;=0,0,(Q63-(IF(Q63&lt;=0,0,(24000*(1+'1 - I TUOI 6 NUMERI'!$B$14)^42)/(1-'1 - I TUOI 6 NUMERI'!$B$15*(IF(Q63&lt;=0,0,MEDIAN(0,(Q63-R63)/Q63,1))))))-(IF(Q63&lt;=0,0,'1 - I TUOI 6 NUMERI'!$B$16*Q63)))*(1+((1+0.05)*(1+'1 - I TUOI 6 NUMERI'!$B$14)-1)))</f>
        <v/>
      </c>
      <c r="R64" s="23">
        <f>MAX(0,R63-(IF(Q63&lt;=0,0,(24000*(1+'1 - I TUOI 6 NUMERI'!$B$14)^42)/(1-'1 - I TUOI 6 NUMERI'!$B$15*(IF(Q63&lt;=0,0,MEDIAN(0,(Q63-R63)/Q63,1))))))*(1-(IF(Q63&lt;=0,0,MEDIAN(0,(Q63-R63)/Q63,1)))))</f>
        <v/>
      </c>
      <c r="S64" s="23">
        <f>IF(S63&lt;=0,0,(S63-(IF(S63&lt;=0,0,(30000*(1+'1 - I TUOI 6 NUMERI'!$B$14)^42)/(1-'1 - I TUOI 6 NUMERI'!$B$15*(IF(S63&lt;=0,0,MEDIAN(0,(S63-T63)/S63,1))))))-(IF(S63&lt;=0,0,'1 - I TUOI 6 NUMERI'!$B$16*S63)))*(1+((1+0.01)*(1+'1 - I TUOI 6 NUMERI'!$B$14)-1)))</f>
        <v/>
      </c>
      <c r="T64" s="23">
        <f>MAX(0,T63-(IF(S63&lt;=0,0,(30000*(1+'1 - I TUOI 6 NUMERI'!$B$14)^42)/(1-'1 - I TUOI 6 NUMERI'!$B$15*(IF(S63&lt;=0,0,MEDIAN(0,(S63-T63)/S63,1))))))*(1-(IF(S63&lt;=0,0,MEDIAN(0,(S63-T63)/S63,1)))))</f>
        <v/>
      </c>
      <c r="U64" s="23">
        <f>IF(U63&lt;=0,0,(U63-(IF(U63&lt;=0,0,(30000*(1+'1 - I TUOI 6 NUMERI'!$B$14)^42)/(1-'1 - I TUOI 6 NUMERI'!$B$15*(IF(U63&lt;=0,0,MEDIAN(0,(U63-V63)/U63,1))))))-(IF(U63&lt;=0,0,'1 - I TUOI 6 NUMERI'!$B$16*U63)))*(1+((1+0.03)*(1+'1 - I TUOI 6 NUMERI'!$B$14)-1)))</f>
        <v/>
      </c>
      <c r="V64" s="23">
        <f>MAX(0,V63-(IF(U63&lt;=0,0,(30000*(1+'1 - I TUOI 6 NUMERI'!$B$14)^42)/(1-'1 - I TUOI 6 NUMERI'!$B$15*(IF(U63&lt;=0,0,MEDIAN(0,(U63-V63)/U63,1))))))*(1-(IF(U63&lt;=0,0,MEDIAN(0,(U63-V63)/U63,1)))))</f>
        <v/>
      </c>
      <c r="W64" s="23">
        <f>IF(W63&lt;=0,0,(W63-(IF(W63&lt;=0,0,(30000*(1+'1 - I TUOI 6 NUMERI'!$B$14)^42)/(1-'1 - I TUOI 6 NUMERI'!$B$15*(IF(W63&lt;=0,0,MEDIAN(0,(W63-X63)/W63,1))))))-(IF(W63&lt;=0,0,'1 - I TUOI 6 NUMERI'!$B$16*W63)))*(1+((1+0.05)*(1+'1 - I TUOI 6 NUMERI'!$B$14)-1)))</f>
        <v/>
      </c>
      <c r="X64" s="23">
        <f>MAX(0,X63-(IF(W63&lt;=0,0,(30000*(1+'1 - I TUOI 6 NUMERI'!$B$14)^42)/(1-'1 - I TUOI 6 NUMERI'!$B$15*(IF(W63&lt;=0,0,MEDIAN(0,(W63-X63)/W63,1))))))*(1-(IF(W63&lt;=0,0,MEDIAN(0,(W63-X63)/W63,1)))))</f>
        <v/>
      </c>
      <c r="Y64" s="23">
        <f>IF(Y63&lt;=0,0,(Y63-(IF(Y63&lt;=0,0,(36000*(1+'1 - I TUOI 6 NUMERI'!$B$14)^42)/(1-'1 - I TUOI 6 NUMERI'!$B$15*(IF(Y63&lt;=0,0,MEDIAN(0,(Y63-Z63)/Y63,1))))))-(IF(Y63&lt;=0,0,'1 - I TUOI 6 NUMERI'!$B$16*Y63)))*(1+((1+0.01)*(1+'1 - I TUOI 6 NUMERI'!$B$14)-1)))</f>
        <v/>
      </c>
      <c r="Z64" s="23">
        <f>MAX(0,Z63-(IF(Y63&lt;=0,0,(36000*(1+'1 - I TUOI 6 NUMERI'!$B$14)^42)/(1-'1 - I TUOI 6 NUMERI'!$B$15*(IF(Y63&lt;=0,0,MEDIAN(0,(Y63-Z63)/Y63,1))))))*(1-(IF(Y63&lt;=0,0,MEDIAN(0,(Y63-Z63)/Y63,1)))))</f>
        <v/>
      </c>
      <c r="AA64" s="23">
        <f>IF(AA63&lt;=0,0,(AA63-(IF(AA63&lt;=0,0,(36000*(1+'1 - I TUOI 6 NUMERI'!$B$14)^42)/(1-'1 - I TUOI 6 NUMERI'!$B$15*(IF(AA63&lt;=0,0,MEDIAN(0,(AA63-AB63)/AA63,1))))))-(IF(AA63&lt;=0,0,'1 - I TUOI 6 NUMERI'!$B$16*AA63)))*(1+((1+0.03)*(1+'1 - I TUOI 6 NUMERI'!$B$14)-1)))</f>
        <v/>
      </c>
      <c r="AB64" s="23">
        <f>MAX(0,AB63-(IF(AA63&lt;=0,0,(36000*(1+'1 - I TUOI 6 NUMERI'!$B$14)^42)/(1-'1 - I TUOI 6 NUMERI'!$B$15*(IF(AA63&lt;=0,0,MEDIAN(0,(AA63-AB63)/AA63,1))))))*(1-(IF(AA63&lt;=0,0,MEDIAN(0,(AA63-AB63)/AA63,1)))))</f>
        <v/>
      </c>
      <c r="AC64" s="23">
        <f>IF(AC63&lt;=0,0,(AC63-(IF(AC63&lt;=0,0,(36000*(1+'1 - I TUOI 6 NUMERI'!$B$14)^42)/(1-'1 - I TUOI 6 NUMERI'!$B$15*(IF(AC63&lt;=0,0,MEDIAN(0,(AC63-AD63)/AC63,1))))))-(IF(AC63&lt;=0,0,'1 - I TUOI 6 NUMERI'!$B$16*AC63)))*(1+((1+0.05)*(1+'1 - I TUOI 6 NUMERI'!$B$14)-1)))</f>
        <v/>
      </c>
      <c r="AD64" s="23">
        <f>MAX(0,AD63-(IF(AC63&lt;=0,0,(36000*(1+'1 - I TUOI 6 NUMERI'!$B$14)^42)/(1-'1 - I TUOI 6 NUMERI'!$B$15*(IF(AC63&lt;=0,0,MEDIAN(0,(AC63-AD63)/AC63,1))))))*(1-(IF(AC63&lt;=0,0,MEDIAN(0,(AC63-AD63)/AC63,1)))))</f>
        <v/>
      </c>
    </row>
    <row r="65">
      <c r="F65" s="6" t="n">
        <v>43</v>
      </c>
      <c r="G65" s="23">
        <f>IF(G64&lt;=0,0,(G64-(IF(G64&lt;=0,0,(18000*(1+'1 - I TUOI 6 NUMERI'!$B$14)^43)/(1-'1 - I TUOI 6 NUMERI'!$B$15*(IF(G64&lt;=0,0,MEDIAN(0,(G64-H64)/G64,1))))))-(IF(G64&lt;=0,0,'1 - I TUOI 6 NUMERI'!$B$16*G64)))*(1+((1+0.01)*(1+'1 - I TUOI 6 NUMERI'!$B$14)-1)))</f>
        <v/>
      </c>
      <c r="H65" s="23">
        <f>MAX(0,H64-(IF(G64&lt;=0,0,(18000*(1+'1 - I TUOI 6 NUMERI'!$B$14)^43)/(1-'1 - I TUOI 6 NUMERI'!$B$15*(IF(G64&lt;=0,0,MEDIAN(0,(G64-H64)/G64,1))))))*(1-(IF(G64&lt;=0,0,MEDIAN(0,(G64-H64)/G64,1)))))</f>
        <v/>
      </c>
      <c r="I65" s="23">
        <f>IF(I64&lt;=0,0,(I64-(IF(I64&lt;=0,0,(18000*(1+'1 - I TUOI 6 NUMERI'!$B$14)^43)/(1-'1 - I TUOI 6 NUMERI'!$B$15*(IF(I64&lt;=0,0,MEDIAN(0,(I64-J64)/I64,1))))))-(IF(I64&lt;=0,0,'1 - I TUOI 6 NUMERI'!$B$16*I64)))*(1+((1+0.03)*(1+'1 - I TUOI 6 NUMERI'!$B$14)-1)))</f>
        <v/>
      </c>
      <c r="J65" s="23">
        <f>MAX(0,J64-(IF(I64&lt;=0,0,(18000*(1+'1 - I TUOI 6 NUMERI'!$B$14)^43)/(1-'1 - I TUOI 6 NUMERI'!$B$15*(IF(I64&lt;=0,0,MEDIAN(0,(I64-J64)/I64,1))))))*(1-(IF(I64&lt;=0,0,MEDIAN(0,(I64-J64)/I64,1)))))</f>
        <v/>
      </c>
      <c r="K65" s="23">
        <f>IF(K64&lt;=0,0,(K64-(IF(K64&lt;=0,0,(18000*(1+'1 - I TUOI 6 NUMERI'!$B$14)^43)/(1-'1 - I TUOI 6 NUMERI'!$B$15*(IF(K64&lt;=0,0,MEDIAN(0,(K64-L64)/K64,1))))))-(IF(K64&lt;=0,0,'1 - I TUOI 6 NUMERI'!$B$16*K64)))*(1+((1+0.05)*(1+'1 - I TUOI 6 NUMERI'!$B$14)-1)))</f>
        <v/>
      </c>
      <c r="L65" s="23">
        <f>MAX(0,L64-(IF(K64&lt;=0,0,(18000*(1+'1 - I TUOI 6 NUMERI'!$B$14)^43)/(1-'1 - I TUOI 6 NUMERI'!$B$15*(IF(K64&lt;=0,0,MEDIAN(0,(K64-L64)/K64,1))))))*(1-(IF(K64&lt;=0,0,MEDIAN(0,(K64-L64)/K64,1)))))</f>
        <v/>
      </c>
      <c r="M65" s="23">
        <f>IF(M64&lt;=0,0,(M64-(IF(M64&lt;=0,0,(24000*(1+'1 - I TUOI 6 NUMERI'!$B$14)^43)/(1-'1 - I TUOI 6 NUMERI'!$B$15*(IF(M64&lt;=0,0,MEDIAN(0,(M64-N64)/M64,1))))))-(IF(M64&lt;=0,0,'1 - I TUOI 6 NUMERI'!$B$16*M64)))*(1+((1+0.01)*(1+'1 - I TUOI 6 NUMERI'!$B$14)-1)))</f>
        <v/>
      </c>
      <c r="N65" s="23">
        <f>MAX(0,N64-(IF(M64&lt;=0,0,(24000*(1+'1 - I TUOI 6 NUMERI'!$B$14)^43)/(1-'1 - I TUOI 6 NUMERI'!$B$15*(IF(M64&lt;=0,0,MEDIAN(0,(M64-N64)/M64,1))))))*(1-(IF(M64&lt;=0,0,MEDIAN(0,(M64-N64)/M64,1)))))</f>
        <v/>
      </c>
      <c r="O65" s="23">
        <f>IF(O64&lt;=0,0,(O64-(IF(O64&lt;=0,0,(24000*(1+'1 - I TUOI 6 NUMERI'!$B$14)^43)/(1-'1 - I TUOI 6 NUMERI'!$B$15*(IF(O64&lt;=0,0,MEDIAN(0,(O64-P64)/O64,1))))))-(IF(O64&lt;=0,0,'1 - I TUOI 6 NUMERI'!$B$16*O64)))*(1+((1+0.03)*(1+'1 - I TUOI 6 NUMERI'!$B$14)-1)))</f>
        <v/>
      </c>
      <c r="P65" s="23">
        <f>MAX(0,P64-(IF(O64&lt;=0,0,(24000*(1+'1 - I TUOI 6 NUMERI'!$B$14)^43)/(1-'1 - I TUOI 6 NUMERI'!$B$15*(IF(O64&lt;=0,0,MEDIAN(0,(O64-P64)/O64,1))))))*(1-(IF(O64&lt;=0,0,MEDIAN(0,(O64-P64)/O64,1)))))</f>
        <v/>
      </c>
      <c r="Q65" s="23">
        <f>IF(Q64&lt;=0,0,(Q64-(IF(Q64&lt;=0,0,(24000*(1+'1 - I TUOI 6 NUMERI'!$B$14)^43)/(1-'1 - I TUOI 6 NUMERI'!$B$15*(IF(Q64&lt;=0,0,MEDIAN(0,(Q64-R64)/Q64,1))))))-(IF(Q64&lt;=0,0,'1 - I TUOI 6 NUMERI'!$B$16*Q64)))*(1+((1+0.05)*(1+'1 - I TUOI 6 NUMERI'!$B$14)-1)))</f>
        <v/>
      </c>
      <c r="R65" s="23">
        <f>MAX(0,R64-(IF(Q64&lt;=0,0,(24000*(1+'1 - I TUOI 6 NUMERI'!$B$14)^43)/(1-'1 - I TUOI 6 NUMERI'!$B$15*(IF(Q64&lt;=0,0,MEDIAN(0,(Q64-R64)/Q64,1))))))*(1-(IF(Q64&lt;=0,0,MEDIAN(0,(Q64-R64)/Q64,1)))))</f>
        <v/>
      </c>
      <c r="S65" s="23">
        <f>IF(S64&lt;=0,0,(S64-(IF(S64&lt;=0,0,(30000*(1+'1 - I TUOI 6 NUMERI'!$B$14)^43)/(1-'1 - I TUOI 6 NUMERI'!$B$15*(IF(S64&lt;=0,0,MEDIAN(0,(S64-T64)/S64,1))))))-(IF(S64&lt;=0,0,'1 - I TUOI 6 NUMERI'!$B$16*S64)))*(1+((1+0.01)*(1+'1 - I TUOI 6 NUMERI'!$B$14)-1)))</f>
        <v/>
      </c>
      <c r="T65" s="23">
        <f>MAX(0,T64-(IF(S64&lt;=0,0,(30000*(1+'1 - I TUOI 6 NUMERI'!$B$14)^43)/(1-'1 - I TUOI 6 NUMERI'!$B$15*(IF(S64&lt;=0,0,MEDIAN(0,(S64-T64)/S64,1))))))*(1-(IF(S64&lt;=0,0,MEDIAN(0,(S64-T64)/S64,1)))))</f>
        <v/>
      </c>
      <c r="U65" s="23">
        <f>IF(U64&lt;=0,0,(U64-(IF(U64&lt;=0,0,(30000*(1+'1 - I TUOI 6 NUMERI'!$B$14)^43)/(1-'1 - I TUOI 6 NUMERI'!$B$15*(IF(U64&lt;=0,0,MEDIAN(0,(U64-V64)/U64,1))))))-(IF(U64&lt;=0,0,'1 - I TUOI 6 NUMERI'!$B$16*U64)))*(1+((1+0.03)*(1+'1 - I TUOI 6 NUMERI'!$B$14)-1)))</f>
        <v/>
      </c>
      <c r="V65" s="23">
        <f>MAX(0,V64-(IF(U64&lt;=0,0,(30000*(1+'1 - I TUOI 6 NUMERI'!$B$14)^43)/(1-'1 - I TUOI 6 NUMERI'!$B$15*(IF(U64&lt;=0,0,MEDIAN(0,(U64-V64)/U64,1))))))*(1-(IF(U64&lt;=0,0,MEDIAN(0,(U64-V64)/U64,1)))))</f>
        <v/>
      </c>
      <c r="W65" s="23">
        <f>IF(W64&lt;=0,0,(W64-(IF(W64&lt;=0,0,(30000*(1+'1 - I TUOI 6 NUMERI'!$B$14)^43)/(1-'1 - I TUOI 6 NUMERI'!$B$15*(IF(W64&lt;=0,0,MEDIAN(0,(W64-X64)/W64,1))))))-(IF(W64&lt;=0,0,'1 - I TUOI 6 NUMERI'!$B$16*W64)))*(1+((1+0.05)*(1+'1 - I TUOI 6 NUMERI'!$B$14)-1)))</f>
        <v/>
      </c>
      <c r="X65" s="23">
        <f>MAX(0,X64-(IF(W64&lt;=0,0,(30000*(1+'1 - I TUOI 6 NUMERI'!$B$14)^43)/(1-'1 - I TUOI 6 NUMERI'!$B$15*(IF(W64&lt;=0,0,MEDIAN(0,(W64-X64)/W64,1))))))*(1-(IF(W64&lt;=0,0,MEDIAN(0,(W64-X64)/W64,1)))))</f>
        <v/>
      </c>
      <c r="Y65" s="23">
        <f>IF(Y64&lt;=0,0,(Y64-(IF(Y64&lt;=0,0,(36000*(1+'1 - I TUOI 6 NUMERI'!$B$14)^43)/(1-'1 - I TUOI 6 NUMERI'!$B$15*(IF(Y64&lt;=0,0,MEDIAN(0,(Y64-Z64)/Y64,1))))))-(IF(Y64&lt;=0,0,'1 - I TUOI 6 NUMERI'!$B$16*Y64)))*(1+((1+0.01)*(1+'1 - I TUOI 6 NUMERI'!$B$14)-1)))</f>
        <v/>
      </c>
      <c r="Z65" s="23">
        <f>MAX(0,Z64-(IF(Y64&lt;=0,0,(36000*(1+'1 - I TUOI 6 NUMERI'!$B$14)^43)/(1-'1 - I TUOI 6 NUMERI'!$B$15*(IF(Y64&lt;=0,0,MEDIAN(0,(Y64-Z64)/Y64,1))))))*(1-(IF(Y64&lt;=0,0,MEDIAN(0,(Y64-Z64)/Y64,1)))))</f>
        <v/>
      </c>
      <c r="AA65" s="23">
        <f>IF(AA64&lt;=0,0,(AA64-(IF(AA64&lt;=0,0,(36000*(1+'1 - I TUOI 6 NUMERI'!$B$14)^43)/(1-'1 - I TUOI 6 NUMERI'!$B$15*(IF(AA64&lt;=0,0,MEDIAN(0,(AA64-AB64)/AA64,1))))))-(IF(AA64&lt;=0,0,'1 - I TUOI 6 NUMERI'!$B$16*AA64)))*(1+((1+0.03)*(1+'1 - I TUOI 6 NUMERI'!$B$14)-1)))</f>
        <v/>
      </c>
      <c r="AB65" s="23">
        <f>MAX(0,AB64-(IF(AA64&lt;=0,0,(36000*(1+'1 - I TUOI 6 NUMERI'!$B$14)^43)/(1-'1 - I TUOI 6 NUMERI'!$B$15*(IF(AA64&lt;=0,0,MEDIAN(0,(AA64-AB64)/AA64,1))))))*(1-(IF(AA64&lt;=0,0,MEDIAN(0,(AA64-AB64)/AA64,1)))))</f>
        <v/>
      </c>
      <c r="AC65" s="23">
        <f>IF(AC64&lt;=0,0,(AC64-(IF(AC64&lt;=0,0,(36000*(1+'1 - I TUOI 6 NUMERI'!$B$14)^43)/(1-'1 - I TUOI 6 NUMERI'!$B$15*(IF(AC64&lt;=0,0,MEDIAN(0,(AC64-AD64)/AC64,1))))))-(IF(AC64&lt;=0,0,'1 - I TUOI 6 NUMERI'!$B$16*AC64)))*(1+((1+0.05)*(1+'1 - I TUOI 6 NUMERI'!$B$14)-1)))</f>
        <v/>
      </c>
      <c r="AD65" s="23">
        <f>MAX(0,AD64-(IF(AC64&lt;=0,0,(36000*(1+'1 - I TUOI 6 NUMERI'!$B$14)^43)/(1-'1 - I TUOI 6 NUMERI'!$B$15*(IF(AC64&lt;=0,0,MEDIAN(0,(AC64-AD64)/AC64,1))))))*(1-(IF(AC64&lt;=0,0,MEDIAN(0,(AC64-AD64)/AC64,1)))))</f>
        <v/>
      </c>
    </row>
    <row r="66">
      <c r="F66" s="6" t="n">
        <v>44</v>
      </c>
      <c r="G66" s="23">
        <f>IF(G65&lt;=0,0,(G65-(IF(G65&lt;=0,0,(18000*(1+'1 - I TUOI 6 NUMERI'!$B$14)^44)/(1-'1 - I TUOI 6 NUMERI'!$B$15*(IF(G65&lt;=0,0,MEDIAN(0,(G65-H65)/G65,1))))))-(IF(G65&lt;=0,0,'1 - I TUOI 6 NUMERI'!$B$16*G65)))*(1+((1+0.01)*(1+'1 - I TUOI 6 NUMERI'!$B$14)-1)))</f>
        <v/>
      </c>
      <c r="H66" s="23">
        <f>MAX(0,H65-(IF(G65&lt;=0,0,(18000*(1+'1 - I TUOI 6 NUMERI'!$B$14)^44)/(1-'1 - I TUOI 6 NUMERI'!$B$15*(IF(G65&lt;=0,0,MEDIAN(0,(G65-H65)/G65,1))))))*(1-(IF(G65&lt;=0,0,MEDIAN(0,(G65-H65)/G65,1)))))</f>
        <v/>
      </c>
      <c r="I66" s="23">
        <f>IF(I65&lt;=0,0,(I65-(IF(I65&lt;=0,0,(18000*(1+'1 - I TUOI 6 NUMERI'!$B$14)^44)/(1-'1 - I TUOI 6 NUMERI'!$B$15*(IF(I65&lt;=0,0,MEDIAN(0,(I65-J65)/I65,1))))))-(IF(I65&lt;=0,0,'1 - I TUOI 6 NUMERI'!$B$16*I65)))*(1+((1+0.03)*(1+'1 - I TUOI 6 NUMERI'!$B$14)-1)))</f>
        <v/>
      </c>
      <c r="J66" s="23">
        <f>MAX(0,J65-(IF(I65&lt;=0,0,(18000*(1+'1 - I TUOI 6 NUMERI'!$B$14)^44)/(1-'1 - I TUOI 6 NUMERI'!$B$15*(IF(I65&lt;=0,0,MEDIAN(0,(I65-J65)/I65,1))))))*(1-(IF(I65&lt;=0,0,MEDIAN(0,(I65-J65)/I65,1)))))</f>
        <v/>
      </c>
      <c r="K66" s="23">
        <f>IF(K65&lt;=0,0,(K65-(IF(K65&lt;=0,0,(18000*(1+'1 - I TUOI 6 NUMERI'!$B$14)^44)/(1-'1 - I TUOI 6 NUMERI'!$B$15*(IF(K65&lt;=0,0,MEDIAN(0,(K65-L65)/K65,1))))))-(IF(K65&lt;=0,0,'1 - I TUOI 6 NUMERI'!$B$16*K65)))*(1+((1+0.05)*(1+'1 - I TUOI 6 NUMERI'!$B$14)-1)))</f>
        <v/>
      </c>
      <c r="L66" s="23">
        <f>MAX(0,L65-(IF(K65&lt;=0,0,(18000*(1+'1 - I TUOI 6 NUMERI'!$B$14)^44)/(1-'1 - I TUOI 6 NUMERI'!$B$15*(IF(K65&lt;=0,0,MEDIAN(0,(K65-L65)/K65,1))))))*(1-(IF(K65&lt;=0,0,MEDIAN(0,(K65-L65)/K65,1)))))</f>
        <v/>
      </c>
      <c r="M66" s="23">
        <f>IF(M65&lt;=0,0,(M65-(IF(M65&lt;=0,0,(24000*(1+'1 - I TUOI 6 NUMERI'!$B$14)^44)/(1-'1 - I TUOI 6 NUMERI'!$B$15*(IF(M65&lt;=0,0,MEDIAN(0,(M65-N65)/M65,1))))))-(IF(M65&lt;=0,0,'1 - I TUOI 6 NUMERI'!$B$16*M65)))*(1+((1+0.01)*(1+'1 - I TUOI 6 NUMERI'!$B$14)-1)))</f>
        <v/>
      </c>
      <c r="N66" s="23">
        <f>MAX(0,N65-(IF(M65&lt;=0,0,(24000*(1+'1 - I TUOI 6 NUMERI'!$B$14)^44)/(1-'1 - I TUOI 6 NUMERI'!$B$15*(IF(M65&lt;=0,0,MEDIAN(0,(M65-N65)/M65,1))))))*(1-(IF(M65&lt;=0,0,MEDIAN(0,(M65-N65)/M65,1)))))</f>
        <v/>
      </c>
      <c r="O66" s="23">
        <f>IF(O65&lt;=0,0,(O65-(IF(O65&lt;=0,0,(24000*(1+'1 - I TUOI 6 NUMERI'!$B$14)^44)/(1-'1 - I TUOI 6 NUMERI'!$B$15*(IF(O65&lt;=0,0,MEDIAN(0,(O65-P65)/O65,1))))))-(IF(O65&lt;=0,0,'1 - I TUOI 6 NUMERI'!$B$16*O65)))*(1+((1+0.03)*(1+'1 - I TUOI 6 NUMERI'!$B$14)-1)))</f>
        <v/>
      </c>
      <c r="P66" s="23">
        <f>MAX(0,P65-(IF(O65&lt;=0,0,(24000*(1+'1 - I TUOI 6 NUMERI'!$B$14)^44)/(1-'1 - I TUOI 6 NUMERI'!$B$15*(IF(O65&lt;=0,0,MEDIAN(0,(O65-P65)/O65,1))))))*(1-(IF(O65&lt;=0,0,MEDIAN(0,(O65-P65)/O65,1)))))</f>
        <v/>
      </c>
      <c r="Q66" s="23">
        <f>IF(Q65&lt;=0,0,(Q65-(IF(Q65&lt;=0,0,(24000*(1+'1 - I TUOI 6 NUMERI'!$B$14)^44)/(1-'1 - I TUOI 6 NUMERI'!$B$15*(IF(Q65&lt;=0,0,MEDIAN(0,(Q65-R65)/Q65,1))))))-(IF(Q65&lt;=0,0,'1 - I TUOI 6 NUMERI'!$B$16*Q65)))*(1+((1+0.05)*(1+'1 - I TUOI 6 NUMERI'!$B$14)-1)))</f>
        <v/>
      </c>
      <c r="R66" s="23">
        <f>MAX(0,R65-(IF(Q65&lt;=0,0,(24000*(1+'1 - I TUOI 6 NUMERI'!$B$14)^44)/(1-'1 - I TUOI 6 NUMERI'!$B$15*(IF(Q65&lt;=0,0,MEDIAN(0,(Q65-R65)/Q65,1))))))*(1-(IF(Q65&lt;=0,0,MEDIAN(0,(Q65-R65)/Q65,1)))))</f>
        <v/>
      </c>
      <c r="S66" s="23">
        <f>IF(S65&lt;=0,0,(S65-(IF(S65&lt;=0,0,(30000*(1+'1 - I TUOI 6 NUMERI'!$B$14)^44)/(1-'1 - I TUOI 6 NUMERI'!$B$15*(IF(S65&lt;=0,0,MEDIAN(0,(S65-T65)/S65,1))))))-(IF(S65&lt;=0,0,'1 - I TUOI 6 NUMERI'!$B$16*S65)))*(1+((1+0.01)*(1+'1 - I TUOI 6 NUMERI'!$B$14)-1)))</f>
        <v/>
      </c>
      <c r="T66" s="23">
        <f>MAX(0,T65-(IF(S65&lt;=0,0,(30000*(1+'1 - I TUOI 6 NUMERI'!$B$14)^44)/(1-'1 - I TUOI 6 NUMERI'!$B$15*(IF(S65&lt;=0,0,MEDIAN(0,(S65-T65)/S65,1))))))*(1-(IF(S65&lt;=0,0,MEDIAN(0,(S65-T65)/S65,1)))))</f>
        <v/>
      </c>
      <c r="U66" s="23">
        <f>IF(U65&lt;=0,0,(U65-(IF(U65&lt;=0,0,(30000*(1+'1 - I TUOI 6 NUMERI'!$B$14)^44)/(1-'1 - I TUOI 6 NUMERI'!$B$15*(IF(U65&lt;=0,0,MEDIAN(0,(U65-V65)/U65,1))))))-(IF(U65&lt;=0,0,'1 - I TUOI 6 NUMERI'!$B$16*U65)))*(1+((1+0.03)*(1+'1 - I TUOI 6 NUMERI'!$B$14)-1)))</f>
        <v/>
      </c>
      <c r="V66" s="23">
        <f>MAX(0,V65-(IF(U65&lt;=0,0,(30000*(1+'1 - I TUOI 6 NUMERI'!$B$14)^44)/(1-'1 - I TUOI 6 NUMERI'!$B$15*(IF(U65&lt;=0,0,MEDIAN(0,(U65-V65)/U65,1))))))*(1-(IF(U65&lt;=0,0,MEDIAN(0,(U65-V65)/U65,1)))))</f>
        <v/>
      </c>
      <c r="W66" s="23">
        <f>IF(W65&lt;=0,0,(W65-(IF(W65&lt;=0,0,(30000*(1+'1 - I TUOI 6 NUMERI'!$B$14)^44)/(1-'1 - I TUOI 6 NUMERI'!$B$15*(IF(W65&lt;=0,0,MEDIAN(0,(W65-X65)/W65,1))))))-(IF(W65&lt;=0,0,'1 - I TUOI 6 NUMERI'!$B$16*W65)))*(1+((1+0.05)*(1+'1 - I TUOI 6 NUMERI'!$B$14)-1)))</f>
        <v/>
      </c>
      <c r="X66" s="23">
        <f>MAX(0,X65-(IF(W65&lt;=0,0,(30000*(1+'1 - I TUOI 6 NUMERI'!$B$14)^44)/(1-'1 - I TUOI 6 NUMERI'!$B$15*(IF(W65&lt;=0,0,MEDIAN(0,(W65-X65)/W65,1))))))*(1-(IF(W65&lt;=0,0,MEDIAN(0,(W65-X65)/W65,1)))))</f>
        <v/>
      </c>
      <c r="Y66" s="23">
        <f>IF(Y65&lt;=0,0,(Y65-(IF(Y65&lt;=0,0,(36000*(1+'1 - I TUOI 6 NUMERI'!$B$14)^44)/(1-'1 - I TUOI 6 NUMERI'!$B$15*(IF(Y65&lt;=0,0,MEDIAN(0,(Y65-Z65)/Y65,1))))))-(IF(Y65&lt;=0,0,'1 - I TUOI 6 NUMERI'!$B$16*Y65)))*(1+((1+0.01)*(1+'1 - I TUOI 6 NUMERI'!$B$14)-1)))</f>
        <v/>
      </c>
      <c r="Z66" s="23">
        <f>MAX(0,Z65-(IF(Y65&lt;=0,0,(36000*(1+'1 - I TUOI 6 NUMERI'!$B$14)^44)/(1-'1 - I TUOI 6 NUMERI'!$B$15*(IF(Y65&lt;=0,0,MEDIAN(0,(Y65-Z65)/Y65,1))))))*(1-(IF(Y65&lt;=0,0,MEDIAN(0,(Y65-Z65)/Y65,1)))))</f>
        <v/>
      </c>
      <c r="AA66" s="23">
        <f>IF(AA65&lt;=0,0,(AA65-(IF(AA65&lt;=0,0,(36000*(1+'1 - I TUOI 6 NUMERI'!$B$14)^44)/(1-'1 - I TUOI 6 NUMERI'!$B$15*(IF(AA65&lt;=0,0,MEDIAN(0,(AA65-AB65)/AA65,1))))))-(IF(AA65&lt;=0,0,'1 - I TUOI 6 NUMERI'!$B$16*AA65)))*(1+((1+0.03)*(1+'1 - I TUOI 6 NUMERI'!$B$14)-1)))</f>
        <v/>
      </c>
      <c r="AB66" s="23">
        <f>MAX(0,AB65-(IF(AA65&lt;=0,0,(36000*(1+'1 - I TUOI 6 NUMERI'!$B$14)^44)/(1-'1 - I TUOI 6 NUMERI'!$B$15*(IF(AA65&lt;=0,0,MEDIAN(0,(AA65-AB65)/AA65,1))))))*(1-(IF(AA65&lt;=0,0,MEDIAN(0,(AA65-AB65)/AA65,1)))))</f>
        <v/>
      </c>
      <c r="AC66" s="23">
        <f>IF(AC65&lt;=0,0,(AC65-(IF(AC65&lt;=0,0,(36000*(1+'1 - I TUOI 6 NUMERI'!$B$14)^44)/(1-'1 - I TUOI 6 NUMERI'!$B$15*(IF(AC65&lt;=0,0,MEDIAN(0,(AC65-AD65)/AC65,1))))))-(IF(AC65&lt;=0,0,'1 - I TUOI 6 NUMERI'!$B$16*AC65)))*(1+((1+0.05)*(1+'1 - I TUOI 6 NUMERI'!$B$14)-1)))</f>
        <v/>
      </c>
      <c r="AD66" s="23">
        <f>MAX(0,AD65-(IF(AC65&lt;=0,0,(36000*(1+'1 - I TUOI 6 NUMERI'!$B$14)^44)/(1-'1 - I TUOI 6 NUMERI'!$B$15*(IF(AC65&lt;=0,0,MEDIAN(0,(AC65-AD65)/AC65,1))))))*(1-(IF(AC65&lt;=0,0,MEDIAN(0,(AC65-AD65)/AC65,1)))))</f>
        <v/>
      </c>
    </row>
    <row r="67">
      <c r="F67" s="6" t="n">
        <v>45</v>
      </c>
      <c r="G67" s="23">
        <f>IF(G66&lt;=0,0,(G66-(IF(G66&lt;=0,0,(18000*(1+'1 - I TUOI 6 NUMERI'!$B$14)^45)/(1-'1 - I TUOI 6 NUMERI'!$B$15*(IF(G66&lt;=0,0,MEDIAN(0,(G66-H66)/G66,1))))))-(IF(G66&lt;=0,0,'1 - I TUOI 6 NUMERI'!$B$16*G66)))*(1+((1+0.01)*(1+'1 - I TUOI 6 NUMERI'!$B$14)-1)))</f>
        <v/>
      </c>
      <c r="H67" s="23">
        <f>MAX(0,H66-(IF(G66&lt;=0,0,(18000*(1+'1 - I TUOI 6 NUMERI'!$B$14)^45)/(1-'1 - I TUOI 6 NUMERI'!$B$15*(IF(G66&lt;=0,0,MEDIAN(0,(G66-H66)/G66,1))))))*(1-(IF(G66&lt;=0,0,MEDIAN(0,(G66-H66)/G66,1)))))</f>
        <v/>
      </c>
      <c r="I67" s="23">
        <f>IF(I66&lt;=0,0,(I66-(IF(I66&lt;=0,0,(18000*(1+'1 - I TUOI 6 NUMERI'!$B$14)^45)/(1-'1 - I TUOI 6 NUMERI'!$B$15*(IF(I66&lt;=0,0,MEDIAN(0,(I66-J66)/I66,1))))))-(IF(I66&lt;=0,0,'1 - I TUOI 6 NUMERI'!$B$16*I66)))*(1+((1+0.03)*(1+'1 - I TUOI 6 NUMERI'!$B$14)-1)))</f>
        <v/>
      </c>
      <c r="J67" s="23">
        <f>MAX(0,J66-(IF(I66&lt;=0,0,(18000*(1+'1 - I TUOI 6 NUMERI'!$B$14)^45)/(1-'1 - I TUOI 6 NUMERI'!$B$15*(IF(I66&lt;=0,0,MEDIAN(0,(I66-J66)/I66,1))))))*(1-(IF(I66&lt;=0,0,MEDIAN(0,(I66-J66)/I66,1)))))</f>
        <v/>
      </c>
      <c r="K67" s="23">
        <f>IF(K66&lt;=0,0,(K66-(IF(K66&lt;=0,0,(18000*(1+'1 - I TUOI 6 NUMERI'!$B$14)^45)/(1-'1 - I TUOI 6 NUMERI'!$B$15*(IF(K66&lt;=0,0,MEDIAN(0,(K66-L66)/K66,1))))))-(IF(K66&lt;=0,0,'1 - I TUOI 6 NUMERI'!$B$16*K66)))*(1+((1+0.05)*(1+'1 - I TUOI 6 NUMERI'!$B$14)-1)))</f>
        <v/>
      </c>
      <c r="L67" s="23">
        <f>MAX(0,L66-(IF(K66&lt;=0,0,(18000*(1+'1 - I TUOI 6 NUMERI'!$B$14)^45)/(1-'1 - I TUOI 6 NUMERI'!$B$15*(IF(K66&lt;=0,0,MEDIAN(0,(K66-L66)/K66,1))))))*(1-(IF(K66&lt;=0,0,MEDIAN(0,(K66-L66)/K66,1)))))</f>
        <v/>
      </c>
      <c r="M67" s="23">
        <f>IF(M66&lt;=0,0,(M66-(IF(M66&lt;=0,0,(24000*(1+'1 - I TUOI 6 NUMERI'!$B$14)^45)/(1-'1 - I TUOI 6 NUMERI'!$B$15*(IF(M66&lt;=0,0,MEDIAN(0,(M66-N66)/M66,1))))))-(IF(M66&lt;=0,0,'1 - I TUOI 6 NUMERI'!$B$16*M66)))*(1+((1+0.01)*(1+'1 - I TUOI 6 NUMERI'!$B$14)-1)))</f>
        <v/>
      </c>
      <c r="N67" s="23">
        <f>MAX(0,N66-(IF(M66&lt;=0,0,(24000*(1+'1 - I TUOI 6 NUMERI'!$B$14)^45)/(1-'1 - I TUOI 6 NUMERI'!$B$15*(IF(M66&lt;=0,0,MEDIAN(0,(M66-N66)/M66,1))))))*(1-(IF(M66&lt;=0,0,MEDIAN(0,(M66-N66)/M66,1)))))</f>
        <v/>
      </c>
      <c r="O67" s="23">
        <f>IF(O66&lt;=0,0,(O66-(IF(O66&lt;=0,0,(24000*(1+'1 - I TUOI 6 NUMERI'!$B$14)^45)/(1-'1 - I TUOI 6 NUMERI'!$B$15*(IF(O66&lt;=0,0,MEDIAN(0,(O66-P66)/O66,1))))))-(IF(O66&lt;=0,0,'1 - I TUOI 6 NUMERI'!$B$16*O66)))*(1+((1+0.03)*(1+'1 - I TUOI 6 NUMERI'!$B$14)-1)))</f>
        <v/>
      </c>
      <c r="P67" s="23">
        <f>MAX(0,P66-(IF(O66&lt;=0,0,(24000*(1+'1 - I TUOI 6 NUMERI'!$B$14)^45)/(1-'1 - I TUOI 6 NUMERI'!$B$15*(IF(O66&lt;=0,0,MEDIAN(0,(O66-P66)/O66,1))))))*(1-(IF(O66&lt;=0,0,MEDIAN(0,(O66-P66)/O66,1)))))</f>
        <v/>
      </c>
      <c r="Q67" s="23">
        <f>IF(Q66&lt;=0,0,(Q66-(IF(Q66&lt;=0,0,(24000*(1+'1 - I TUOI 6 NUMERI'!$B$14)^45)/(1-'1 - I TUOI 6 NUMERI'!$B$15*(IF(Q66&lt;=0,0,MEDIAN(0,(Q66-R66)/Q66,1))))))-(IF(Q66&lt;=0,0,'1 - I TUOI 6 NUMERI'!$B$16*Q66)))*(1+((1+0.05)*(1+'1 - I TUOI 6 NUMERI'!$B$14)-1)))</f>
        <v/>
      </c>
      <c r="R67" s="23">
        <f>MAX(0,R66-(IF(Q66&lt;=0,0,(24000*(1+'1 - I TUOI 6 NUMERI'!$B$14)^45)/(1-'1 - I TUOI 6 NUMERI'!$B$15*(IF(Q66&lt;=0,0,MEDIAN(0,(Q66-R66)/Q66,1))))))*(1-(IF(Q66&lt;=0,0,MEDIAN(0,(Q66-R66)/Q66,1)))))</f>
        <v/>
      </c>
      <c r="S67" s="23">
        <f>IF(S66&lt;=0,0,(S66-(IF(S66&lt;=0,0,(30000*(1+'1 - I TUOI 6 NUMERI'!$B$14)^45)/(1-'1 - I TUOI 6 NUMERI'!$B$15*(IF(S66&lt;=0,0,MEDIAN(0,(S66-T66)/S66,1))))))-(IF(S66&lt;=0,0,'1 - I TUOI 6 NUMERI'!$B$16*S66)))*(1+((1+0.01)*(1+'1 - I TUOI 6 NUMERI'!$B$14)-1)))</f>
        <v/>
      </c>
      <c r="T67" s="23">
        <f>MAX(0,T66-(IF(S66&lt;=0,0,(30000*(1+'1 - I TUOI 6 NUMERI'!$B$14)^45)/(1-'1 - I TUOI 6 NUMERI'!$B$15*(IF(S66&lt;=0,0,MEDIAN(0,(S66-T66)/S66,1))))))*(1-(IF(S66&lt;=0,0,MEDIAN(0,(S66-T66)/S66,1)))))</f>
        <v/>
      </c>
      <c r="U67" s="23">
        <f>IF(U66&lt;=0,0,(U66-(IF(U66&lt;=0,0,(30000*(1+'1 - I TUOI 6 NUMERI'!$B$14)^45)/(1-'1 - I TUOI 6 NUMERI'!$B$15*(IF(U66&lt;=0,0,MEDIAN(0,(U66-V66)/U66,1))))))-(IF(U66&lt;=0,0,'1 - I TUOI 6 NUMERI'!$B$16*U66)))*(1+((1+0.03)*(1+'1 - I TUOI 6 NUMERI'!$B$14)-1)))</f>
        <v/>
      </c>
      <c r="V67" s="23">
        <f>MAX(0,V66-(IF(U66&lt;=0,0,(30000*(1+'1 - I TUOI 6 NUMERI'!$B$14)^45)/(1-'1 - I TUOI 6 NUMERI'!$B$15*(IF(U66&lt;=0,0,MEDIAN(0,(U66-V66)/U66,1))))))*(1-(IF(U66&lt;=0,0,MEDIAN(0,(U66-V66)/U66,1)))))</f>
        <v/>
      </c>
      <c r="W67" s="23">
        <f>IF(W66&lt;=0,0,(W66-(IF(W66&lt;=0,0,(30000*(1+'1 - I TUOI 6 NUMERI'!$B$14)^45)/(1-'1 - I TUOI 6 NUMERI'!$B$15*(IF(W66&lt;=0,0,MEDIAN(0,(W66-X66)/W66,1))))))-(IF(W66&lt;=0,0,'1 - I TUOI 6 NUMERI'!$B$16*W66)))*(1+((1+0.05)*(1+'1 - I TUOI 6 NUMERI'!$B$14)-1)))</f>
        <v/>
      </c>
      <c r="X67" s="23">
        <f>MAX(0,X66-(IF(W66&lt;=0,0,(30000*(1+'1 - I TUOI 6 NUMERI'!$B$14)^45)/(1-'1 - I TUOI 6 NUMERI'!$B$15*(IF(W66&lt;=0,0,MEDIAN(0,(W66-X66)/W66,1))))))*(1-(IF(W66&lt;=0,0,MEDIAN(0,(W66-X66)/W66,1)))))</f>
        <v/>
      </c>
      <c r="Y67" s="23">
        <f>IF(Y66&lt;=0,0,(Y66-(IF(Y66&lt;=0,0,(36000*(1+'1 - I TUOI 6 NUMERI'!$B$14)^45)/(1-'1 - I TUOI 6 NUMERI'!$B$15*(IF(Y66&lt;=0,0,MEDIAN(0,(Y66-Z66)/Y66,1))))))-(IF(Y66&lt;=0,0,'1 - I TUOI 6 NUMERI'!$B$16*Y66)))*(1+((1+0.01)*(1+'1 - I TUOI 6 NUMERI'!$B$14)-1)))</f>
        <v/>
      </c>
      <c r="Z67" s="23">
        <f>MAX(0,Z66-(IF(Y66&lt;=0,0,(36000*(1+'1 - I TUOI 6 NUMERI'!$B$14)^45)/(1-'1 - I TUOI 6 NUMERI'!$B$15*(IF(Y66&lt;=0,0,MEDIAN(0,(Y66-Z66)/Y66,1))))))*(1-(IF(Y66&lt;=0,0,MEDIAN(0,(Y66-Z66)/Y66,1)))))</f>
        <v/>
      </c>
      <c r="AA67" s="23">
        <f>IF(AA66&lt;=0,0,(AA66-(IF(AA66&lt;=0,0,(36000*(1+'1 - I TUOI 6 NUMERI'!$B$14)^45)/(1-'1 - I TUOI 6 NUMERI'!$B$15*(IF(AA66&lt;=0,0,MEDIAN(0,(AA66-AB66)/AA66,1))))))-(IF(AA66&lt;=0,0,'1 - I TUOI 6 NUMERI'!$B$16*AA66)))*(1+((1+0.03)*(1+'1 - I TUOI 6 NUMERI'!$B$14)-1)))</f>
        <v/>
      </c>
      <c r="AB67" s="23">
        <f>MAX(0,AB66-(IF(AA66&lt;=0,0,(36000*(1+'1 - I TUOI 6 NUMERI'!$B$14)^45)/(1-'1 - I TUOI 6 NUMERI'!$B$15*(IF(AA66&lt;=0,0,MEDIAN(0,(AA66-AB66)/AA66,1))))))*(1-(IF(AA66&lt;=0,0,MEDIAN(0,(AA66-AB66)/AA66,1)))))</f>
        <v/>
      </c>
      <c r="AC67" s="23">
        <f>IF(AC66&lt;=0,0,(AC66-(IF(AC66&lt;=0,0,(36000*(1+'1 - I TUOI 6 NUMERI'!$B$14)^45)/(1-'1 - I TUOI 6 NUMERI'!$B$15*(IF(AC66&lt;=0,0,MEDIAN(0,(AC66-AD66)/AC66,1))))))-(IF(AC66&lt;=0,0,'1 - I TUOI 6 NUMERI'!$B$16*AC66)))*(1+((1+0.05)*(1+'1 - I TUOI 6 NUMERI'!$B$14)-1)))</f>
        <v/>
      </c>
      <c r="AD67" s="23">
        <f>MAX(0,AD66-(IF(AC66&lt;=0,0,(36000*(1+'1 - I TUOI 6 NUMERI'!$B$14)^45)/(1-'1 - I TUOI 6 NUMERI'!$B$15*(IF(AC66&lt;=0,0,MEDIAN(0,(AC66-AD66)/AC66,1))))))*(1-(IF(AC66&lt;=0,0,MEDIAN(0,(AC66-AD66)/AC66,1)))))</f>
        <v/>
      </c>
    </row>
  </sheetData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6" customWidth="1" min="10" max="10"/>
    <col width="12" customWidth="1" min="11" max="11"/>
    <col width="12" customWidth="1" min="12" max="12"/>
  </cols>
  <sheetData>
    <row r="1" ht="25" customHeight="1">
      <c r="A1" s="1" t="inlineStr">
        <is>
          <t>Stesso rendimento medio, due ordini diversi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 ht="60" customHeight="1">
      <c r="A3" s="12" t="inlineStr">
        <is>
          <t>Le due colonne di rendimento contengono ESATTAMENTE gli stessi numeri, in ordine inverso: media geometrica identica, 3% reale in entrambi i casi. Cambia solo QUANDO arrivano i cattivi. Chi va in pensione all'inizio di un mercato negativo vende quote a prezzi bassi per vivere, e quelle quote non tornano più: è il rischio di sequenza dei rendimenti.</t>
        </is>
      </c>
    </row>
    <row r="5" ht="30" customHeight="1">
      <c r="A5" s="8" t="inlineStr">
        <is>
          <t>Spesa annua netta usata qui</t>
        </is>
      </c>
      <c r="B5" s="10" t="n">
        <v>24000</v>
      </c>
      <c r="D5" s="12" t="inlineStr">
        <is>
          <t>Capitale e plusvalenza latente vengono dal foglio 1.</t>
        </is>
      </c>
    </row>
    <row r="7">
      <c r="A7" s="18" t="inlineStr">
        <is>
          <t>Anno</t>
        </is>
      </c>
      <c r="B7" s="18" t="inlineStr">
        <is>
          <t>Età</t>
        </is>
      </c>
      <c r="C7" s="18" t="inlineStr">
        <is>
          <t>Rend. reale A</t>
        </is>
      </c>
      <c r="D7" s="18" t="inlineStr">
        <is>
          <t>Capitale A</t>
        </is>
      </c>
      <c r="E7" s="18" t="inlineStr">
        <is>
          <t>Base A</t>
        </is>
      </c>
      <c r="G7" s="18" t="inlineStr">
        <is>
          <t>Rend. reale B</t>
        </is>
      </c>
      <c r="H7" s="18" t="inlineStr">
        <is>
          <t>Capitale B</t>
        </is>
      </c>
      <c r="I7" s="18" t="inlineStr">
        <is>
          <t>Base B</t>
        </is>
      </c>
      <c r="K7" s="18" t="inlineStr">
        <is>
          <t>Montante A</t>
        </is>
      </c>
      <c r="L7" s="18" t="inlineStr">
        <is>
          <t>Montante B</t>
        </is>
      </c>
    </row>
    <row r="8">
      <c r="A8" s="20">
        <f>2026+0</f>
        <v/>
      </c>
      <c r="B8" s="20">
        <f>'1 - I TUOI 6 NUMERI'!$B$5+0</f>
        <v/>
      </c>
      <c r="C8" s="11" t="n">
        <v>-0.18</v>
      </c>
      <c r="D8" s="13">
        <f>IF('1 - I TUOI 6 NUMERI'!$B$6&lt;=0,0,('1 - I TUOI 6 NUMERI'!$B$6-(IF('1 - I TUOI 6 NUMERI'!$B$6&lt;=0,0,($B$5*(1+'1 - I TUOI 6 NUMERI'!$B$14)^0)/(1-'1 - I TUOI 6 NUMERI'!$B$15*(IF('1 - I TUOI 6 NUMERI'!$B$6&lt;=0,0,MEDIAN(0,('1 - I TUOI 6 NUMERI'!$B$6-'1 - I TUOI 6 NUMERI'!$B$17)/'1 - I TUOI 6 NUMERI'!$B$6,1))))))-(IF('1 - I TUOI 6 NUMERI'!$B$6&lt;=0,0,'1 - I TUOI 6 NUMERI'!$B$16*'1 - I TUOI 6 NUMERI'!$B$6)))*(1+((1+C8)*(1+'1 - I TUOI 6 NUMERI'!$B$14)-1)))</f>
        <v/>
      </c>
      <c r="E8" s="13">
        <f>MAX(0,'1 - I TUOI 6 NUMERI'!$B$17-(IF('1 - I TUOI 6 NUMERI'!$B$6&lt;=0,0,($B$5*(1+'1 - I TUOI 6 NUMERI'!$B$14)^0)/(1-'1 - I TUOI 6 NUMERI'!$B$15*(IF('1 - I TUOI 6 NUMERI'!$B$6&lt;=0,0,MEDIAN(0,('1 - I TUOI 6 NUMERI'!$B$6-'1 - I TUOI 6 NUMERI'!$B$17)/'1 - I TUOI 6 NUMERI'!$B$6,1))))))*(1-(IF('1 - I TUOI 6 NUMERI'!$B$6&lt;=0,0,MEDIAN(0,('1 - I TUOI 6 NUMERI'!$B$6-'1 - I TUOI 6 NUMERI'!$B$17)/'1 - I TUOI 6 NUMERI'!$B$6,1)))))</f>
        <v/>
      </c>
      <c r="G8" s="11" t="n">
        <v>0.059306</v>
      </c>
      <c r="H8" s="13">
        <f>IF('1 - I TUOI 6 NUMERI'!$B$6&lt;=0,0,('1 - I TUOI 6 NUMERI'!$B$6-(IF('1 - I TUOI 6 NUMERI'!$B$6&lt;=0,0,($B$5*(1+'1 - I TUOI 6 NUMERI'!$B$14)^0)/(1-'1 - I TUOI 6 NUMERI'!$B$15*(IF('1 - I TUOI 6 NUMERI'!$B$6&lt;=0,0,MEDIAN(0,('1 - I TUOI 6 NUMERI'!$B$6-'1 - I TUOI 6 NUMERI'!$B$17)/'1 - I TUOI 6 NUMERI'!$B$6,1))))))-(IF('1 - I TUOI 6 NUMERI'!$B$6&lt;=0,0,'1 - I TUOI 6 NUMERI'!$B$16*'1 - I TUOI 6 NUMERI'!$B$6)))*(1+((1+G8)*(1+'1 - I TUOI 6 NUMERI'!$B$14)-1)))</f>
        <v/>
      </c>
      <c r="I8" s="13">
        <f>MAX(0,'1 - I TUOI 6 NUMERI'!$B$17-(IF('1 - I TUOI 6 NUMERI'!$B$6&lt;=0,0,($B$5*(1+'1 - I TUOI 6 NUMERI'!$B$14)^0)/(1-'1 - I TUOI 6 NUMERI'!$B$15*(IF('1 - I TUOI 6 NUMERI'!$B$6&lt;=0,0,MEDIAN(0,('1 - I TUOI 6 NUMERI'!$B$6-'1 - I TUOI 6 NUMERI'!$B$17)/'1 - I TUOI 6 NUMERI'!$B$6,1))))))*(1-(IF('1 - I TUOI 6 NUMERI'!$B$6&lt;=0,0,MEDIAN(0,('1 - I TUOI 6 NUMERI'!$B$6-'1 - I TUOI 6 NUMERI'!$B$17)/'1 - I TUOI 6 NUMERI'!$B$6,1)))))</f>
        <v/>
      </c>
      <c r="K8" s="24">
        <f>1*(1+C8)</f>
        <v/>
      </c>
      <c r="L8" s="24">
        <f>1*(1+G8)</f>
        <v/>
      </c>
    </row>
    <row r="9">
      <c r="A9" s="20">
        <f>2026+1</f>
        <v/>
      </c>
      <c r="B9" s="20">
        <f>'1 - I TUOI 6 NUMERI'!$B$5+1</f>
        <v/>
      </c>
      <c r="C9" s="11" t="n">
        <v>-0.12</v>
      </c>
      <c r="D9" s="13">
        <f>IF(D8&lt;=0,0,(D8-(IF(D8&lt;=0,0,($B$5*(1+'1 - I TUOI 6 NUMERI'!$B$14)^1)/(1-'1 - I TUOI 6 NUMERI'!$B$15*(IF(D8&lt;=0,0,MEDIAN(0,(D8-E8)/D8,1))))))-(IF(D8&lt;=0,0,'1 - I TUOI 6 NUMERI'!$B$16*D8)))*(1+((1+C9)*(1+'1 - I TUOI 6 NUMERI'!$B$14)-1)))</f>
        <v/>
      </c>
      <c r="E9" s="13">
        <f>MAX(0,E8-(IF(D8&lt;=0,0,($B$5*(1+'1 - I TUOI 6 NUMERI'!$B$14)^1)/(1-'1 - I TUOI 6 NUMERI'!$B$15*(IF(D8&lt;=0,0,MEDIAN(0,(D8-E8)/D8,1))))))*(1-(IF(D8&lt;=0,0,MEDIAN(0,(D8-E8)/D8,1)))))</f>
        <v/>
      </c>
      <c r="G9" s="11" t="n">
        <v>0.059306</v>
      </c>
      <c r="H9" s="13">
        <f>IF(H8&lt;=0,0,(H8-(IF(H8&lt;=0,0,($B$5*(1+'1 - I TUOI 6 NUMERI'!$B$14)^1)/(1-'1 - I TUOI 6 NUMERI'!$B$15*(IF(H8&lt;=0,0,MEDIAN(0,(H8-I8)/H8,1))))))-(IF(H8&lt;=0,0,'1 - I TUOI 6 NUMERI'!$B$16*H8)))*(1+((1+G9)*(1+'1 - I TUOI 6 NUMERI'!$B$14)-1)))</f>
        <v/>
      </c>
      <c r="I9" s="13">
        <f>MAX(0,I8-(IF(H8&lt;=0,0,($B$5*(1+'1 - I TUOI 6 NUMERI'!$B$14)^1)/(1-'1 - I TUOI 6 NUMERI'!$B$15*(IF(H8&lt;=0,0,MEDIAN(0,(H8-I8)/H8,1))))))*(1-(IF(H8&lt;=0,0,MEDIAN(0,(H8-I8)/H8,1)))))</f>
        <v/>
      </c>
      <c r="K9" s="24">
        <f>K8*(1+C9)</f>
        <v/>
      </c>
      <c r="L9" s="24">
        <f>L8*(1+G9)</f>
        <v/>
      </c>
    </row>
    <row r="10">
      <c r="A10" s="20">
        <f>2026+2</f>
        <v/>
      </c>
      <c r="B10" s="20">
        <f>'1 - I TUOI 6 NUMERI'!$B$5+2</f>
        <v/>
      </c>
      <c r="C10" s="11" t="n">
        <v>-0.06</v>
      </c>
      <c r="D10" s="13">
        <f>IF(D9&lt;=0,0,(D9-(IF(D9&lt;=0,0,($B$5*(1+'1 - I TUOI 6 NUMERI'!$B$14)^2)/(1-'1 - I TUOI 6 NUMERI'!$B$15*(IF(D9&lt;=0,0,MEDIAN(0,(D9-E9)/D9,1))))))-(IF(D9&lt;=0,0,'1 - I TUOI 6 NUMERI'!$B$16*D9)))*(1+((1+C10)*(1+'1 - I TUOI 6 NUMERI'!$B$14)-1)))</f>
        <v/>
      </c>
      <c r="E10" s="13">
        <f>MAX(0,E9-(IF(D9&lt;=0,0,($B$5*(1+'1 - I TUOI 6 NUMERI'!$B$14)^2)/(1-'1 - I TUOI 6 NUMERI'!$B$15*(IF(D9&lt;=0,0,MEDIAN(0,(D9-E9)/D9,1))))))*(1-(IF(D9&lt;=0,0,MEDIAN(0,(D9-E9)/D9,1)))))</f>
        <v/>
      </c>
      <c r="G10" s="11" t="n">
        <v>0.059306</v>
      </c>
      <c r="H10" s="13">
        <f>IF(H9&lt;=0,0,(H9-(IF(H9&lt;=0,0,($B$5*(1+'1 - I TUOI 6 NUMERI'!$B$14)^2)/(1-'1 - I TUOI 6 NUMERI'!$B$15*(IF(H9&lt;=0,0,MEDIAN(0,(H9-I9)/H9,1))))))-(IF(H9&lt;=0,0,'1 - I TUOI 6 NUMERI'!$B$16*H9)))*(1+((1+G10)*(1+'1 - I TUOI 6 NUMERI'!$B$14)-1)))</f>
        <v/>
      </c>
      <c r="I10" s="13">
        <f>MAX(0,I9-(IF(H9&lt;=0,0,($B$5*(1+'1 - I TUOI 6 NUMERI'!$B$14)^2)/(1-'1 - I TUOI 6 NUMERI'!$B$15*(IF(H9&lt;=0,0,MEDIAN(0,(H9-I9)/H9,1))))))*(1-(IF(H9&lt;=0,0,MEDIAN(0,(H9-I9)/H9,1)))))</f>
        <v/>
      </c>
      <c r="K10" s="24">
        <f>K9*(1+C10)</f>
        <v/>
      </c>
      <c r="L10" s="24">
        <f>L9*(1+G10)</f>
        <v/>
      </c>
    </row>
    <row r="11">
      <c r="A11" s="20">
        <f>2026+3</f>
        <v/>
      </c>
      <c r="B11" s="20">
        <f>'1 - I TUOI 6 NUMERI'!$B$5+3</f>
        <v/>
      </c>
      <c r="C11" s="11" t="n">
        <v>0.02</v>
      </c>
      <c r="D11" s="13">
        <f>IF(D10&lt;=0,0,(D10-(IF(D10&lt;=0,0,($B$5*(1+'1 - I TUOI 6 NUMERI'!$B$14)^3)/(1-'1 - I TUOI 6 NUMERI'!$B$15*(IF(D10&lt;=0,0,MEDIAN(0,(D10-E10)/D10,1))))))-(IF(D10&lt;=0,0,'1 - I TUOI 6 NUMERI'!$B$16*D10)))*(1+((1+C11)*(1+'1 - I TUOI 6 NUMERI'!$B$14)-1)))</f>
        <v/>
      </c>
      <c r="E11" s="13">
        <f>MAX(0,E10-(IF(D10&lt;=0,0,($B$5*(1+'1 - I TUOI 6 NUMERI'!$B$14)^3)/(1-'1 - I TUOI 6 NUMERI'!$B$15*(IF(D10&lt;=0,0,MEDIAN(0,(D10-E10)/D10,1))))))*(1-(IF(D10&lt;=0,0,MEDIAN(0,(D10-E10)/D10,1)))))</f>
        <v/>
      </c>
      <c r="G11" s="11" t="n">
        <v>0.059306</v>
      </c>
      <c r="H11" s="13">
        <f>IF(H10&lt;=0,0,(H10-(IF(H10&lt;=0,0,($B$5*(1+'1 - I TUOI 6 NUMERI'!$B$14)^3)/(1-'1 - I TUOI 6 NUMERI'!$B$15*(IF(H10&lt;=0,0,MEDIAN(0,(H10-I10)/H10,1))))))-(IF(H10&lt;=0,0,'1 - I TUOI 6 NUMERI'!$B$16*H10)))*(1+((1+G11)*(1+'1 - I TUOI 6 NUMERI'!$B$14)-1)))</f>
        <v/>
      </c>
      <c r="I11" s="13">
        <f>MAX(0,I10-(IF(H10&lt;=0,0,($B$5*(1+'1 - I TUOI 6 NUMERI'!$B$14)^3)/(1-'1 - I TUOI 6 NUMERI'!$B$15*(IF(H10&lt;=0,0,MEDIAN(0,(H10-I10)/H10,1))))))*(1-(IF(H10&lt;=0,0,MEDIAN(0,(H10-I10)/H10,1)))))</f>
        <v/>
      </c>
      <c r="K11" s="24">
        <f>K10*(1+C11)</f>
        <v/>
      </c>
      <c r="L11" s="24">
        <f>L10*(1+G11)</f>
        <v/>
      </c>
    </row>
    <row r="12">
      <c r="A12" s="20">
        <f>2026+4</f>
        <v/>
      </c>
      <c r="B12" s="20">
        <f>'1 - I TUOI 6 NUMERI'!$B$5+4</f>
        <v/>
      </c>
      <c r="C12" s="11" t="n">
        <v>0.04</v>
      </c>
      <c r="D12" s="13">
        <f>IF(D11&lt;=0,0,(D11-(IF(D11&lt;=0,0,($B$5*(1+'1 - I TUOI 6 NUMERI'!$B$14)^4)/(1-'1 - I TUOI 6 NUMERI'!$B$15*(IF(D11&lt;=0,0,MEDIAN(0,(D11-E11)/D11,1))))))-(IF(D11&lt;=0,0,'1 - I TUOI 6 NUMERI'!$B$16*D11)))*(1+((1+C12)*(1+'1 - I TUOI 6 NUMERI'!$B$14)-1)))</f>
        <v/>
      </c>
      <c r="E12" s="13">
        <f>MAX(0,E11-(IF(D11&lt;=0,0,($B$5*(1+'1 - I TUOI 6 NUMERI'!$B$14)^4)/(1-'1 - I TUOI 6 NUMERI'!$B$15*(IF(D11&lt;=0,0,MEDIAN(0,(D11-E11)/D11,1))))))*(1-(IF(D11&lt;=0,0,MEDIAN(0,(D11-E11)/D11,1)))))</f>
        <v/>
      </c>
      <c r="G12" s="11" t="n">
        <v>0.059306</v>
      </c>
      <c r="H12" s="13">
        <f>IF(H11&lt;=0,0,(H11-(IF(H11&lt;=0,0,($B$5*(1+'1 - I TUOI 6 NUMERI'!$B$14)^4)/(1-'1 - I TUOI 6 NUMERI'!$B$15*(IF(H11&lt;=0,0,MEDIAN(0,(H11-I11)/H11,1))))))-(IF(H11&lt;=0,0,'1 - I TUOI 6 NUMERI'!$B$16*H11)))*(1+((1+G12)*(1+'1 - I TUOI 6 NUMERI'!$B$14)-1)))</f>
        <v/>
      </c>
      <c r="I12" s="13">
        <f>MAX(0,I11-(IF(H11&lt;=0,0,($B$5*(1+'1 - I TUOI 6 NUMERI'!$B$14)^4)/(1-'1 - I TUOI 6 NUMERI'!$B$15*(IF(H11&lt;=0,0,MEDIAN(0,(H11-I11)/H11,1))))))*(1-(IF(H11&lt;=0,0,MEDIAN(0,(H11-I11)/H11,1)))))</f>
        <v/>
      </c>
      <c r="K12" s="24">
        <f>K11*(1+C12)</f>
        <v/>
      </c>
      <c r="L12" s="24">
        <f>L11*(1+G12)</f>
        <v/>
      </c>
    </row>
    <row r="13">
      <c r="A13" s="20">
        <f>2026+5</f>
        <v/>
      </c>
      <c r="B13" s="20">
        <f>'1 - I TUOI 6 NUMERI'!$B$5+5</f>
        <v/>
      </c>
      <c r="C13" s="11" t="n">
        <v>0.059306</v>
      </c>
      <c r="D13" s="13">
        <f>IF(D12&lt;=0,0,(D12-(IF(D12&lt;=0,0,($B$5*(1+'1 - I TUOI 6 NUMERI'!$B$14)^5)/(1-'1 - I TUOI 6 NUMERI'!$B$15*(IF(D12&lt;=0,0,MEDIAN(0,(D12-E12)/D12,1))))))-(IF(D12&lt;=0,0,'1 - I TUOI 6 NUMERI'!$B$16*D12)))*(1+((1+C13)*(1+'1 - I TUOI 6 NUMERI'!$B$14)-1)))</f>
        <v/>
      </c>
      <c r="E13" s="13">
        <f>MAX(0,E12-(IF(D12&lt;=0,0,($B$5*(1+'1 - I TUOI 6 NUMERI'!$B$14)^5)/(1-'1 - I TUOI 6 NUMERI'!$B$15*(IF(D12&lt;=0,0,MEDIAN(0,(D12-E12)/D12,1))))))*(1-(IF(D12&lt;=0,0,MEDIAN(0,(D12-E12)/D12,1)))))</f>
        <v/>
      </c>
      <c r="G13" s="11" t="n">
        <v>0.059306</v>
      </c>
      <c r="H13" s="13">
        <f>IF(H12&lt;=0,0,(H12-(IF(H12&lt;=0,0,($B$5*(1+'1 - I TUOI 6 NUMERI'!$B$14)^5)/(1-'1 - I TUOI 6 NUMERI'!$B$15*(IF(H12&lt;=0,0,MEDIAN(0,(H12-I12)/H12,1))))))-(IF(H12&lt;=0,0,'1 - I TUOI 6 NUMERI'!$B$16*H12)))*(1+((1+G13)*(1+'1 - I TUOI 6 NUMERI'!$B$14)-1)))</f>
        <v/>
      </c>
      <c r="I13" s="13">
        <f>MAX(0,I12-(IF(H12&lt;=0,0,($B$5*(1+'1 - I TUOI 6 NUMERI'!$B$14)^5)/(1-'1 - I TUOI 6 NUMERI'!$B$15*(IF(H12&lt;=0,0,MEDIAN(0,(H12-I12)/H12,1))))))*(1-(IF(H12&lt;=0,0,MEDIAN(0,(H12-I12)/H12,1)))))</f>
        <v/>
      </c>
      <c r="K13" s="24">
        <f>K12*(1+C13)</f>
        <v/>
      </c>
      <c r="L13" s="24">
        <f>L12*(1+G13)</f>
        <v/>
      </c>
    </row>
    <row r="14">
      <c r="A14" s="20">
        <f>2026+6</f>
        <v/>
      </c>
      <c r="B14" s="20">
        <f>'1 - I TUOI 6 NUMERI'!$B$5+6</f>
        <v/>
      </c>
      <c r="C14" s="11" t="n">
        <v>0.059306</v>
      </c>
      <c r="D14" s="13">
        <f>IF(D13&lt;=0,0,(D13-(IF(D13&lt;=0,0,($B$5*(1+'1 - I TUOI 6 NUMERI'!$B$14)^6)/(1-'1 - I TUOI 6 NUMERI'!$B$15*(IF(D13&lt;=0,0,MEDIAN(0,(D13-E13)/D13,1))))))-(IF(D13&lt;=0,0,'1 - I TUOI 6 NUMERI'!$B$16*D13)))*(1+((1+C14)*(1+'1 - I TUOI 6 NUMERI'!$B$14)-1)))</f>
        <v/>
      </c>
      <c r="E14" s="13">
        <f>MAX(0,E13-(IF(D13&lt;=0,0,($B$5*(1+'1 - I TUOI 6 NUMERI'!$B$14)^6)/(1-'1 - I TUOI 6 NUMERI'!$B$15*(IF(D13&lt;=0,0,MEDIAN(0,(D13-E13)/D13,1))))))*(1-(IF(D13&lt;=0,0,MEDIAN(0,(D13-E13)/D13,1)))))</f>
        <v/>
      </c>
      <c r="G14" s="11" t="n">
        <v>0.059306</v>
      </c>
      <c r="H14" s="13">
        <f>IF(H13&lt;=0,0,(H13-(IF(H13&lt;=0,0,($B$5*(1+'1 - I TUOI 6 NUMERI'!$B$14)^6)/(1-'1 - I TUOI 6 NUMERI'!$B$15*(IF(H13&lt;=0,0,MEDIAN(0,(H13-I13)/H13,1))))))-(IF(H13&lt;=0,0,'1 - I TUOI 6 NUMERI'!$B$16*H13)))*(1+((1+G14)*(1+'1 - I TUOI 6 NUMERI'!$B$14)-1)))</f>
        <v/>
      </c>
      <c r="I14" s="13">
        <f>MAX(0,I13-(IF(H13&lt;=0,0,($B$5*(1+'1 - I TUOI 6 NUMERI'!$B$14)^6)/(1-'1 - I TUOI 6 NUMERI'!$B$15*(IF(H13&lt;=0,0,MEDIAN(0,(H13-I13)/H13,1))))))*(1-(IF(H13&lt;=0,0,MEDIAN(0,(H13-I13)/H13,1)))))</f>
        <v/>
      </c>
      <c r="K14" s="24">
        <f>K13*(1+C14)</f>
        <v/>
      </c>
      <c r="L14" s="24">
        <f>L13*(1+G14)</f>
        <v/>
      </c>
    </row>
    <row r="15">
      <c r="A15" s="20">
        <f>2026+7</f>
        <v/>
      </c>
      <c r="B15" s="20">
        <f>'1 - I TUOI 6 NUMERI'!$B$5+7</f>
        <v/>
      </c>
      <c r="C15" s="11" t="n">
        <v>0.059306</v>
      </c>
      <c r="D15" s="13">
        <f>IF(D14&lt;=0,0,(D14-(IF(D14&lt;=0,0,($B$5*(1+'1 - I TUOI 6 NUMERI'!$B$14)^7)/(1-'1 - I TUOI 6 NUMERI'!$B$15*(IF(D14&lt;=0,0,MEDIAN(0,(D14-E14)/D14,1))))))-(IF(D14&lt;=0,0,'1 - I TUOI 6 NUMERI'!$B$16*D14)))*(1+((1+C15)*(1+'1 - I TUOI 6 NUMERI'!$B$14)-1)))</f>
        <v/>
      </c>
      <c r="E15" s="13">
        <f>MAX(0,E14-(IF(D14&lt;=0,0,($B$5*(1+'1 - I TUOI 6 NUMERI'!$B$14)^7)/(1-'1 - I TUOI 6 NUMERI'!$B$15*(IF(D14&lt;=0,0,MEDIAN(0,(D14-E14)/D14,1))))))*(1-(IF(D14&lt;=0,0,MEDIAN(0,(D14-E14)/D14,1)))))</f>
        <v/>
      </c>
      <c r="G15" s="11" t="n">
        <v>0.059306</v>
      </c>
      <c r="H15" s="13">
        <f>IF(H14&lt;=0,0,(H14-(IF(H14&lt;=0,0,($B$5*(1+'1 - I TUOI 6 NUMERI'!$B$14)^7)/(1-'1 - I TUOI 6 NUMERI'!$B$15*(IF(H14&lt;=0,0,MEDIAN(0,(H14-I14)/H14,1))))))-(IF(H14&lt;=0,0,'1 - I TUOI 6 NUMERI'!$B$16*H14)))*(1+((1+G15)*(1+'1 - I TUOI 6 NUMERI'!$B$14)-1)))</f>
        <v/>
      </c>
      <c r="I15" s="13">
        <f>MAX(0,I14-(IF(H14&lt;=0,0,($B$5*(1+'1 - I TUOI 6 NUMERI'!$B$14)^7)/(1-'1 - I TUOI 6 NUMERI'!$B$15*(IF(H14&lt;=0,0,MEDIAN(0,(H14-I14)/H14,1))))))*(1-(IF(H14&lt;=0,0,MEDIAN(0,(H14-I14)/H14,1)))))</f>
        <v/>
      </c>
      <c r="K15" s="24">
        <f>K14*(1+C15)</f>
        <v/>
      </c>
      <c r="L15" s="24">
        <f>L14*(1+G15)</f>
        <v/>
      </c>
    </row>
    <row r="16">
      <c r="A16" s="20">
        <f>2026+8</f>
        <v/>
      </c>
      <c r="B16" s="20">
        <f>'1 - I TUOI 6 NUMERI'!$B$5+8</f>
        <v/>
      </c>
      <c r="C16" s="11" t="n">
        <v>0.059306</v>
      </c>
      <c r="D16" s="13">
        <f>IF(D15&lt;=0,0,(D15-(IF(D15&lt;=0,0,($B$5*(1+'1 - I TUOI 6 NUMERI'!$B$14)^8)/(1-'1 - I TUOI 6 NUMERI'!$B$15*(IF(D15&lt;=0,0,MEDIAN(0,(D15-E15)/D15,1))))))-(IF(D15&lt;=0,0,'1 - I TUOI 6 NUMERI'!$B$16*D15)))*(1+((1+C16)*(1+'1 - I TUOI 6 NUMERI'!$B$14)-1)))</f>
        <v/>
      </c>
      <c r="E16" s="13">
        <f>MAX(0,E15-(IF(D15&lt;=0,0,($B$5*(1+'1 - I TUOI 6 NUMERI'!$B$14)^8)/(1-'1 - I TUOI 6 NUMERI'!$B$15*(IF(D15&lt;=0,0,MEDIAN(0,(D15-E15)/D15,1))))))*(1-(IF(D15&lt;=0,0,MEDIAN(0,(D15-E15)/D15,1)))))</f>
        <v/>
      </c>
      <c r="G16" s="11" t="n">
        <v>0.059306</v>
      </c>
      <c r="H16" s="13">
        <f>IF(H15&lt;=0,0,(H15-(IF(H15&lt;=0,0,($B$5*(1+'1 - I TUOI 6 NUMERI'!$B$14)^8)/(1-'1 - I TUOI 6 NUMERI'!$B$15*(IF(H15&lt;=0,0,MEDIAN(0,(H15-I15)/H15,1))))))-(IF(H15&lt;=0,0,'1 - I TUOI 6 NUMERI'!$B$16*H15)))*(1+((1+G16)*(1+'1 - I TUOI 6 NUMERI'!$B$14)-1)))</f>
        <v/>
      </c>
      <c r="I16" s="13">
        <f>MAX(0,I15-(IF(H15&lt;=0,0,($B$5*(1+'1 - I TUOI 6 NUMERI'!$B$14)^8)/(1-'1 - I TUOI 6 NUMERI'!$B$15*(IF(H15&lt;=0,0,MEDIAN(0,(H15-I15)/H15,1))))))*(1-(IF(H15&lt;=0,0,MEDIAN(0,(H15-I15)/H15,1)))))</f>
        <v/>
      </c>
      <c r="K16" s="24">
        <f>K15*(1+C16)</f>
        <v/>
      </c>
      <c r="L16" s="24">
        <f>L15*(1+G16)</f>
        <v/>
      </c>
    </row>
    <row r="17">
      <c r="A17" s="20">
        <f>2026+9</f>
        <v/>
      </c>
      <c r="B17" s="20">
        <f>'1 - I TUOI 6 NUMERI'!$B$5+9</f>
        <v/>
      </c>
      <c r="C17" s="11" t="n">
        <v>0.059306</v>
      </c>
      <c r="D17" s="13">
        <f>IF(D16&lt;=0,0,(D16-(IF(D16&lt;=0,0,($B$5*(1+'1 - I TUOI 6 NUMERI'!$B$14)^9)/(1-'1 - I TUOI 6 NUMERI'!$B$15*(IF(D16&lt;=0,0,MEDIAN(0,(D16-E16)/D16,1))))))-(IF(D16&lt;=0,0,'1 - I TUOI 6 NUMERI'!$B$16*D16)))*(1+((1+C17)*(1+'1 - I TUOI 6 NUMERI'!$B$14)-1)))</f>
        <v/>
      </c>
      <c r="E17" s="13">
        <f>MAX(0,E16-(IF(D16&lt;=0,0,($B$5*(1+'1 - I TUOI 6 NUMERI'!$B$14)^9)/(1-'1 - I TUOI 6 NUMERI'!$B$15*(IF(D16&lt;=0,0,MEDIAN(0,(D16-E16)/D16,1))))))*(1-(IF(D16&lt;=0,0,MEDIAN(0,(D16-E16)/D16,1)))))</f>
        <v/>
      </c>
      <c r="G17" s="11" t="n">
        <v>0.059306</v>
      </c>
      <c r="H17" s="13">
        <f>IF(H16&lt;=0,0,(H16-(IF(H16&lt;=0,0,($B$5*(1+'1 - I TUOI 6 NUMERI'!$B$14)^9)/(1-'1 - I TUOI 6 NUMERI'!$B$15*(IF(H16&lt;=0,0,MEDIAN(0,(H16-I16)/H16,1))))))-(IF(H16&lt;=0,0,'1 - I TUOI 6 NUMERI'!$B$16*H16)))*(1+((1+G17)*(1+'1 - I TUOI 6 NUMERI'!$B$14)-1)))</f>
        <v/>
      </c>
      <c r="I17" s="13">
        <f>MAX(0,I16-(IF(H16&lt;=0,0,($B$5*(1+'1 - I TUOI 6 NUMERI'!$B$14)^9)/(1-'1 - I TUOI 6 NUMERI'!$B$15*(IF(H16&lt;=0,0,MEDIAN(0,(H16-I16)/H16,1))))))*(1-(IF(H16&lt;=0,0,MEDIAN(0,(H16-I16)/H16,1)))))</f>
        <v/>
      </c>
      <c r="K17" s="24">
        <f>K16*(1+C17)</f>
        <v/>
      </c>
      <c r="L17" s="24">
        <f>L16*(1+G17)</f>
        <v/>
      </c>
    </row>
    <row r="18">
      <c r="A18" s="20">
        <f>2026+10</f>
        <v/>
      </c>
      <c r="B18" s="20">
        <f>'1 - I TUOI 6 NUMERI'!$B$5+10</f>
        <v/>
      </c>
      <c r="C18" s="11" t="n">
        <v>0.059306</v>
      </c>
      <c r="D18" s="13">
        <f>IF(D17&lt;=0,0,(D17-(IF(D17&lt;=0,0,($B$5*(1+'1 - I TUOI 6 NUMERI'!$B$14)^10)/(1-'1 - I TUOI 6 NUMERI'!$B$15*(IF(D17&lt;=0,0,MEDIAN(0,(D17-E17)/D17,1))))))-(IF(D17&lt;=0,0,'1 - I TUOI 6 NUMERI'!$B$16*D17)))*(1+((1+C18)*(1+'1 - I TUOI 6 NUMERI'!$B$14)-1)))</f>
        <v/>
      </c>
      <c r="E18" s="13">
        <f>MAX(0,E17-(IF(D17&lt;=0,0,($B$5*(1+'1 - I TUOI 6 NUMERI'!$B$14)^10)/(1-'1 - I TUOI 6 NUMERI'!$B$15*(IF(D17&lt;=0,0,MEDIAN(0,(D17-E17)/D17,1))))))*(1-(IF(D17&lt;=0,0,MEDIAN(0,(D17-E17)/D17,1)))))</f>
        <v/>
      </c>
      <c r="G18" s="11" t="n">
        <v>0.059306</v>
      </c>
      <c r="H18" s="13">
        <f>IF(H17&lt;=0,0,(H17-(IF(H17&lt;=0,0,($B$5*(1+'1 - I TUOI 6 NUMERI'!$B$14)^10)/(1-'1 - I TUOI 6 NUMERI'!$B$15*(IF(H17&lt;=0,0,MEDIAN(0,(H17-I17)/H17,1))))))-(IF(H17&lt;=0,0,'1 - I TUOI 6 NUMERI'!$B$16*H17)))*(1+((1+G18)*(1+'1 - I TUOI 6 NUMERI'!$B$14)-1)))</f>
        <v/>
      </c>
      <c r="I18" s="13">
        <f>MAX(0,I17-(IF(H17&lt;=0,0,($B$5*(1+'1 - I TUOI 6 NUMERI'!$B$14)^10)/(1-'1 - I TUOI 6 NUMERI'!$B$15*(IF(H17&lt;=0,0,MEDIAN(0,(H17-I17)/H17,1))))))*(1-(IF(H17&lt;=0,0,MEDIAN(0,(H17-I17)/H17,1)))))</f>
        <v/>
      </c>
      <c r="K18" s="24">
        <f>K17*(1+C18)</f>
        <v/>
      </c>
      <c r="L18" s="24">
        <f>L17*(1+G18)</f>
        <v/>
      </c>
    </row>
    <row r="19">
      <c r="A19" s="20">
        <f>2026+11</f>
        <v/>
      </c>
      <c r="B19" s="20">
        <f>'1 - I TUOI 6 NUMERI'!$B$5+11</f>
        <v/>
      </c>
      <c r="C19" s="11" t="n">
        <v>0.059306</v>
      </c>
      <c r="D19" s="13">
        <f>IF(D18&lt;=0,0,(D18-(IF(D18&lt;=0,0,($B$5*(1+'1 - I TUOI 6 NUMERI'!$B$14)^11)/(1-'1 - I TUOI 6 NUMERI'!$B$15*(IF(D18&lt;=0,0,MEDIAN(0,(D18-E18)/D18,1))))))-(IF(D18&lt;=0,0,'1 - I TUOI 6 NUMERI'!$B$16*D18)))*(1+((1+C19)*(1+'1 - I TUOI 6 NUMERI'!$B$14)-1)))</f>
        <v/>
      </c>
      <c r="E19" s="13">
        <f>MAX(0,E18-(IF(D18&lt;=0,0,($B$5*(1+'1 - I TUOI 6 NUMERI'!$B$14)^11)/(1-'1 - I TUOI 6 NUMERI'!$B$15*(IF(D18&lt;=0,0,MEDIAN(0,(D18-E18)/D18,1))))))*(1-(IF(D18&lt;=0,0,MEDIAN(0,(D18-E18)/D18,1)))))</f>
        <v/>
      </c>
      <c r="G19" s="11" t="n">
        <v>0.059306</v>
      </c>
      <c r="H19" s="13">
        <f>IF(H18&lt;=0,0,(H18-(IF(H18&lt;=0,0,($B$5*(1+'1 - I TUOI 6 NUMERI'!$B$14)^11)/(1-'1 - I TUOI 6 NUMERI'!$B$15*(IF(H18&lt;=0,0,MEDIAN(0,(H18-I18)/H18,1))))))-(IF(H18&lt;=0,0,'1 - I TUOI 6 NUMERI'!$B$16*H18)))*(1+((1+G19)*(1+'1 - I TUOI 6 NUMERI'!$B$14)-1)))</f>
        <v/>
      </c>
      <c r="I19" s="13">
        <f>MAX(0,I18-(IF(H18&lt;=0,0,($B$5*(1+'1 - I TUOI 6 NUMERI'!$B$14)^11)/(1-'1 - I TUOI 6 NUMERI'!$B$15*(IF(H18&lt;=0,0,MEDIAN(0,(H18-I18)/H18,1))))))*(1-(IF(H18&lt;=0,0,MEDIAN(0,(H18-I18)/H18,1)))))</f>
        <v/>
      </c>
      <c r="K19" s="24">
        <f>K18*(1+C19)</f>
        <v/>
      </c>
      <c r="L19" s="24">
        <f>L18*(1+G19)</f>
        <v/>
      </c>
    </row>
    <row r="20">
      <c r="A20" s="20">
        <f>2026+12</f>
        <v/>
      </c>
      <c r="B20" s="20">
        <f>'1 - I TUOI 6 NUMERI'!$B$5+12</f>
        <v/>
      </c>
      <c r="C20" s="11" t="n">
        <v>0.059306</v>
      </c>
      <c r="D20" s="13">
        <f>IF(D19&lt;=0,0,(D19-(IF(D19&lt;=0,0,($B$5*(1+'1 - I TUOI 6 NUMERI'!$B$14)^12)/(1-'1 - I TUOI 6 NUMERI'!$B$15*(IF(D19&lt;=0,0,MEDIAN(0,(D19-E19)/D19,1))))))-(IF(D19&lt;=0,0,'1 - I TUOI 6 NUMERI'!$B$16*D19)))*(1+((1+C20)*(1+'1 - I TUOI 6 NUMERI'!$B$14)-1)))</f>
        <v/>
      </c>
      <c r="E20" s="13">
        <f>MAX(0,E19-(IF(D19&lt;=0,0,($B$5*(1+'1 - I TUOI 6 NUMERI'!$B$14)^12)/(1-'1 - I TUOI 6 NUMERI'!$B$15*(IF(D19&lt;=0,0,MEDIAN(0,(D19-E19)/D19,1))))))*(1-(IF(D19&lt;=0,0,MEDIAN(0,(D19-E19)/D19,1)))))</f>
        <v/>
      </c>
      <c r="G20" s="11" t="n">
        <v>0.059306</v>
      </c>
      <c r="H20" s="13">
        <f>IF(H19&lt;=0,0,(H19-(IF(H19&lt;=0,0,($B$5*(1+'1 - I TUOI 6 NUMERI'!$B$14)^12)/(1-'1 - I TUOI 6 NUMERI'!$B$15*(IF(H19&lt;=0,0,MEDIAN(0,(H19-I19)/H19,1))))))-(IF(H19&lt;=0,0,'1 - I TUOI 6 NUMERI'!$B$16*H19)))*(1+((1+G20)*(1+'1 - I TUOI 6 NUMERI'!$B$14)-1)))</f>
        <v/>
      </c>
      <c r="I20" s="13">
        <f>MAX(0,I19-(IF(H19&lt;=0,0,($B$5*(1+'1 - I TUOI 6 NUMERI'!$B$14)^12)/(1-'1 - I TUOI 6 NUMERI'!$B$15*(IF(H19&lt;=0,0,MEDIAN(0,(H19-I19)/H19,1))))))*(1-(IF(H19&lt;=0,0,MEDIAN(0,(H19-I19)/H19,1)))))</f>
        <v/>
      </c>
      <c r="K20" s="24">
        <f>K19*(1+C20)</f>
        <v/>
      </c>
      <c r="L20" s="24">
        <f>L19*(1+G20)</f>
        <v/>
      </c>
    </row>
    <row r="21">
      <c r="A21" s="20">
        <f>2026+13</f>
        <v/>
      </c>
      <c r="B21" s="20">
        <f>'1 - I TUOI 6 NUMERI'!$B$5+13</f>
        <v/>
      </c>
      <c r="C21" s="11" t="n">
        <v>0.059306</v>
      </c>
      <c r="D21" s="13">
        <f>IF(D20&lt;=0,0,(D20-(IF(D20&lt;=0,0,($B$5*(1+'1 - I TUOI 6 NUMERI'!$B$14)^13)/(1-'1 - I TUOI 6 NUMERI'!$B$15*(IF(D20&lt;=0,0,MEDIAN(0,(D20-E20)/D20,1))))))-(IF(D20&lt;=0,0,'1 - I TUOI 6 NUMERI'!$B$16*D20)))*(1+((1+C21)*(1+'1 - I TUOI 6 NUMERI'!$B$14)-1)))</f>
        <v/>
      </c>
      <c r="E21" s="13">
        <f>MAX(0,E20-(IF(D20&lt;=0,0,($B$5*(1+'1 - I TUOI 6 NUMERI'!$B$14)^13)/(1-'1 - I TUOI 6 NUMERI'!$B$15*(IF(D20&lt;=0,0,MEDIAN(0,(D20-E20)/D20,1))))))*(1-(IF(D20&lt;=0,0,MEDIAN(0,(D20-E20)/D20,1)))))</f>
        <v/>
      </c>
      <c r="G21" s="11" t="n">
        <v>0.059306</v>
      </c>
      <c r="H21" s="13">
        <f>IF(H20&lt;=0,0,(H20-(IF(H20&lt;=0,0,($B$5*(1+'1 - I TUOI 6 NUMERI'!$B$14)^13)/(1-'1 - I TUOI 6 NUMERI'!$B$15*(IF(H20&lt;=0,0,MEDIAN(0,(H20-I20)/H20,1))))))-(IF(H20&lt;=0,0,'1 - I TUOI 6 NUMERI'!$B$16*H20)))*(1+((1+G21)*(1+'1 - I TUOI 6 NUMERI'!$B$14)-1)))</f>
        <v/>
      </c>
      <c r="I21" s="13">
        <f>MAX(0,I20-(IF(H20&lt;=0,0,($B$5*(1+'1 - I TUOI 6 NUMERI'!$B$14)^13)/(1-'1 - I TUOI 6 NUMERI'!$B$15*(IF(H20&lt;=0,0,MEDIAN(0,(H20-I20)/H20,1))))))*(1-(IF(H20&lt;=0,0,MEDIAN(0,(H20-I20)/H20,1)))))</f>
        <v/>
      </c>
      <c r="K21" s="24">
        <f>K20*(1+C21)</f>
        <v/>
      </c>
      <c r="L21" s="24">
        <f>L20*(1+G21)</f>
        <v/>
      </c>
    </row>
    <row r="22">
      <c r="A22" s="20">
        <f>2026+14</f>
        <v/>
      </c>
      <c r="B22" s="20">
        <f>'1 - I TUOI 6 NUMERI'!$B$5+14</f>
        <v/>
      </c>
      <c r="C22" s="11" t="n">
        <v>0.059306</v>
      </c>
      <c r="D22" s="13">
        <f>IF(D21&lt;=0,0,(D21-(IF(D21&lt;=0,0,($B$5*(1+'1 - I TUOI 6 NUMERI'!$B$14)^14)/(1-'1 - I TUOI 6 NUMERI'!$B$15*(IF(D21&lt;=0,0,MEDIAN(0,(D21-E21)/D21,1))))))-(IF(D21&lt;=0,0,'1 - I TUOI 6 NUMERI'!$B$16*D21)))*(1+((1+C22)*(1+'1 - I TUOI 6 NUMERI'!$B$14)-1)))</f>
        <v/>
      </c>
      <c r="E22" s="13">
        <f>MAX(0,E21-(IF(D21&lt;=0,0,($B$5*(1+'1 - I TUOI 6 NUMERI'!$B$14)^14)/(1-'1 - I TUOI 6 NUMERI'!$B$15*(IF(D21&lt;=0,0,MEDIAN(0,(D21-E21)/D21,1))))))*(1-(IF(D21&lt;=0,0,MEDIAN(0,(D21-E21)/D21,1)))))</f>
        <v/>
      </c>
      <c r="G22" s="11" t="n">
        <v>0.059306</v>
      </c>
      <c r="H22" s="13">
        <f>IF(H21&lt;=0,0,(H21-(IF(H21&lt;=0,0,($B$5*(1+'1 - I TUOI 6 NUMERI'!$B$14)^14)/(1-'1 - I TUOI 6 NUMERI'!$B$15*(IF(H21&lt;=0,0,MEDIAN(0,(H21-I21)/H21,1))))))-(IF(H21&lt;=0,0,'1 - I TUOI 6 NUMERI'!$B$16*H21)))*(1+((1+G22)*(1+'1 - I TUOI 6 NUMERI'!$B$14)-1)))</f>
        <v/>
      </c>
      <c r="I22" s="13">
        <f>MAX(0,I21-(IF(H21&lt;=0,0,($B$5*(1+'1 - I TUOI 6 NUMERI'!$B$14)^14)/(1-'1 - I TUOI 6 NUMERI'!$B$15*(IF(H21&lt;=0,0,MEDIAN(0,(H21-I21)/H21,1))))))*(1-(IF(H21&lt;=0,0,MEDIAN(0,(H21-I21)/H21,1)))))</f>
        <v/>
      </c>
      <c r="K22" s="24">
        <f>K21*(1+C22)</f>
        <v/>
      </c>
      <c r="L22" s="24">
        <f>L21*(1+G22)</f>
        <v/>
      </c>
    </row>
    <row r="23">
      <c r="A23" s="20">
        <f>2026+15</f>
        <v/>
      </c>
      <c r="B23" s="20">
        <f>'1 - I TUOI 6 NUMERI'!$B$5+15</f>
        <v/>
      </c>
      <c r="C23" s="11" t="n">
        <v>0.059306</v>
      </c>
      <c r="D23" s="13">
        <f>IF(D22&lt;=0,0,(D22-(IF(D22&lt;=0,0,($B$5*(1+'1 - I TUOI 6 NUMERI'!$B$14)^15)/(1-'1 - I TUOI 6 NUMERI'!$B$15*(IF(D22&lt;=0,0,MEDIAN(0,(D22-E22)/D22,1))))))-(IF(D22&lt;=0,0,'1 - I TUOI 6 NUMERI'!$B$16*D22)))*(1+((1+C23)*(1+'1 - I TUOI 6 NUMERI'!$B$14)-1)))</f>
        <v/>
      </c>
      <c r="E23" s="13">
        <f>MAX(0,E22-(IF(D22&lt;=0,0,($B$5*(1+'1 - I TUOI 6 NUMERI'!$B$14)^15)/(1-'1 - I TUOI 6 NUMERI'!$B$15*(IF(D22&lt;=0,0,MEDIAN(0,(D22-E22)/D22,1))))))*(1-(IF(D22&lt;=0,0,MEDIAN(0,(D22-E22)/D22,1)))))</f>
        <v/>
      </c>
      <c r="G23" s="11" t="n">
        <v>0.059306</v>
      </c>
      <c r="H23" s="13">
        <f>IF(H22&lt;=0,0,(H22-(IF(H22&lt;=0,0,($B$5*(1+'1 - I TUOI 6 NUMERI'!$B$14)^15)/(1-'1 - I TUOI 6 NUMERI'!$B$15*(IF(H22&lt;=0,0,MEDIAN(0,(H22-I22)/H22,1))))))-(IF(H22&lt;=0,0,'1 - I TUOI 6 NUMERI'!$B$16*H22)))*(1+((1+G23)*(1+'1 - I TUOI 6 NUMERI'!$B$14)-1)))</f>
        <v/>
      </c>
      <c r="I23" s="13">
        <f>MAX(0,I22-(IF(H22&lt;=0,0,($B$5*(1+'1 - I TUOI 6 NUMERI'!$B$14)^15)/(1-'1 - I TUOI 6 NUMERI'!$B$15*(IF(H22&lt;=0,0,MEDIAN(0,(H22-I22)/H22,1))))))*(1-(IF(H22&lt;=0,0,MEDIAN(0,(H22-I22)/H22,1)))))</f>
        <v/>
      </c>
      <c r="K23" s="24">
        <f>K22*(1+C23)</f>
        <v/>
      </c>
      <c r="L23" s="24">
        <f>L22*(1+G23)</f>
        <v/>
      </c>
    </row>
    <row r="24">
      <c r="A24" s="20">
        <f>2026+16</f>
        <v/>
      </c>
      <c r="B24" s="20">
        <f>'1 - I TUOI 6 NUMERI'!$B$5+16</f>
        <v/>
      </c>
      <c r="C24" s="11" t="n">
        <v>0.059306</v>
      </c>
      <c r="D24" s="13">
        <f>IF(D23&lt;=0,0,(D23-(IF(D23&lt;=0,0,($B$5*(1+'1 - I TUOI 6 NUMERI'!$B$14)^16)/(1-'1 - I TUOI 6 NUMERI'!$B$15*(IF(D23&lt;=0,0,MEDIAN(0,(D23-E23)/D23,1))))))-(IF(D23&lt;=0,0,'1 - I TUOI 6 NUMERI'!$B$16*D23)))*(1+((1+C24)*(1+'1 - I TUOI 6 NUMERI'!$B$14)-1)))</f>
        <v/>
      </c>
      <c r="E24" s="13">
        <f>MAX(0,E23-(IF(D23&lt;=0,0,($B$5*(1+'1 - I TUOI 6 NUMERI'!$B$14)^16)/(1-'1 - I TUOI 6 NUMERI'!$B$15*(IF(D23&lt;=0,0,MEDIAN(0,(D23-E23)/D23,1))))))*(1-(IF(D23&lt;=0,0,MEDIAN(0,(D23-E23)/D23,1)))))</f>
        <v/>
      </c>
      <c r="G24" s="11" t="n">
        <v>0.059306</v>
      </c>
      <c r="H24" s="13">
        <f>IF(H23&lt;=0,0,(H23-(IF(H23&lt;=0,0,($B$5*(1+'1 - I TUOI 6 NUMERI'!$B$14)^16)/(1-'1 - I TUOI 6 NUMERI'!$B$15*(IF(H23&lt;=0,0,MEDIAN(0,(H23-I23)/H23,1))))))-(IF(H23&lt;=0,0,'1 - I TUOI 6 NUMERI'!$B$16*H23)))*(1+((1+G24)*(1+'1 - I TUOI 6 NUMERI'!$B$14)-1)))</f>
        <v/>
      </c>
      <c r="I24" s="13">
        <f>MAX(0,I23-(IF(H23&lt;=0,0,($B$5*(1+'1 - I TUOI 6 NUMERI'!$B$14)^16)/(1-'1 - I TUOI 6 NUMERI'!$B$15*(IF(H23&lt;=0,0,MEDIAN(0,(H23-I23)/H23,1))))))*(1-(IF(H23&lt;=0,0,MEDIAN(0,(H23-I23)/H23,1)))))</f>
        <v/>
      </c>
      <c r="K24" s="24">
        <f>K23*(1+C24)</f>
        <v/>
      </c>
      <c r="L24" s="24">
        <f>L23*(1+G24)</f>
        <v/>
      </c>
    </row>
    <row r="25">
      <c r="A25" s="20">
        <f>2026+17</f>
        <v/>
      </c>
      <c r="B25" s="20">
        <f>'1 - I TUOI 6 NUMERI'!$B$5+17</f>
        <v/>
      </c>
      <c r="C25" s="11" t="n">
        <v>0.059306</v>
      </c>
      <c r="D25" s="13">
        <f>IF(D24&lt;=0,0,(D24-(IF(D24&lt;=0,0,($B$5*(1+'1 - I TUOI 6 NUMERI'!$B$14)^17)/(1-'1 - I TUOI 6 NUMERI'!$B$15*(IF(D24&lt;=0,0,MEDIAN(0,(D24-E24)/D24,1))))))-(IF(D24&lt;=0,0,'1 - I TUOI 6 NUMERI'!$B$16*D24)))*(1+((1+C25)*(1+'1 - I TUOI 6 NUMERI'!$B$14)-1)))</f>
        <v/>
      </c>
      <c r="E25" s="13">
        <f>MAX(0,E24-(IF(D24&lt;=0,0,($B$5*(1+'1 - I TUOI 6 NUMERI'!$B$14)^17)/(1-'1 - I TUOI 6 NUMERI'!$B$15*(IF(D24&lt;=0,0,MEDIAN(0,(D24-E24)/D24,1))))))*(1-(IF(D24&lt;=0,0,MEDIAN(0,(D24-E24)/D24,1)))))</f>
        <v/>
      </c>
      <c r="G25" s="11" t="n">
        <v>0.04</v>
      </c>
      <c r="H25" s="13">
        <f>IF(H24&lt;=0,0,(H24-(IF(H24&lt;=0,0,($B$5*(1+'1 - I TUOI 6 NUMERI'!$B$14)^17)/(1-'1 - I TUOI 6 NUMERI'!$B$15*(IF(H24&lt;=0,0,MEDIAN(0,(H24-I24)/H24,1))))))-(IF(H24&lt;=0,0,'1 - I TUOI 6 NUMERI'!$B$16*H24)))*(1+((1+G25)*(1+'1 - I TUOI 6 NUMERI'!$B$14)-1)))</f>
        <v/>
      </c>
      <c r="I25" s="13">
        <f>MAX(0,I24-(IF(H24&lt;=0,0,($B$5*(1+'1 - I TUOI 6 NUMERI'!$B$14)^17)/(1-'1 - I TUOI 6 NUMERI'!$B$15*(IF(H24&lt;=0,0,MEDIAN(0,(H24-I24)/H24,1))))))*(1-(IF(H24&lt;=0,0,MEDIAN(0,(H24-I24)/H24,1)))))</f>
        <v/>
      </c>
      <c r="K25" s="24">
        <f>K24*(1+C25)</f>
        <v/>
      </c>
      <c r="L25" s="24">
        <f>L24*(1+G25)</f>
        <v/>
      </c>
    </row>
    <row r="26">
      <c r="A26" s="20">
        <f>2026+18</f>
        <v/>
      </c>
      <c r="B26" s="20">
        <f>'1 - I TUOI 6 NUMERI'!$B$5+18</f>
        <v/>
      </c>
      <c r="C26" s="11" t="n">
        <v>0.059306</v>
      </c>
      <c r="D26" s="13">
        <f>IF(D25&lt;=0,0,(D25-(IF(D25&lt;=0,0,($B$5*(1+'1 - I TUOI 6 NUMERI'!$B$14)^18)/(1-'1 - I TUOI 6 NUMERI'!$B$15*(IF(D25&lt;=0,0,MEDIAN(0,(D25-E25)/D25,1))))))-(IF(D25&lt;=0,0,'1 - I TUOI 6 NUMERI'!$B$16*D25)))*(1+((1+C26)*(1+'1 - I TUOI 6 NUMERI'!$B$14)-1)))</f>
        <v/>
      </c>
      <c r="E26" s="13">
        <f>MAX(0,E25-(IF(D25&lt;=0,0,($B$5*(1+'1 - I TUOI 6 NUMERI'!$B$14)^18)/(1-'1 - I TUOI 6 NUMERI'!$B$15*(IF(D25&lt;=0,0,MEDIAN(0,(D25-E25)/D25,1))))))*(1-(IF(D25&lt;=0,0,MEDIAN(0,(D25-E25)/D25,1)))))</f>
        <v/>
      </c>
      <c r="G26" s="11" t="n">
        <v>0.02</v>
      </c>
      <c r="H26" s="13">
        <f>IF(H25&lt;=0,0,(H25-(IF(H25&lt;=0,0,($B$5*(1+'1 - I TUOI 6 NUMERI'!$B$14)^18)/(1-'1 - I TUOI 6 NUMERI'!$B$15*(IF(H25&lt;=0,0,MEDIAN(0,(H25-I25)/H25,1))))))-(IF(H25&lt;=0,0,'1 - I TUOI 6 NUMERI'!$B$16*H25)))*(1+((1+G26)*(1+'1 - I TUOI 6 NUMERI'!$B$14)-1)))</f>
        <v/>
      </c>
      <c r="I26" s="13">
        <f>MAX(0,I25-(IF(H25&lt;=0,0,($B$5*(1+'1 - I TUOI 6 NUMERI'!$B$14)^18)/(1-'1 - I TUOI 6 NUMERI'!$B$15*(IF(H25&lt;=0,0,MEDIAN(0,(H25-I25)/H25,1))))))*(1-(IF(H25&lt;=0,0,MEDIAN(0,(H25-I25)/H25,1)))))</f>
        <v/>
      </c>
      <c r="K26" s="24">
        <f>K25*(1+C26)</f>
        <v/>
      </c>
      <c r="L26" s="24">
        <f>L25*(1+G26)</f>
        <v/>
      </c>
    </row>
    <row r="27">
      <c r="A27" s="20">
        <f>2026+19</f>
        <v/>
      </c>
      <c r="B27" s="20">
        <f>'1 - I TUOI 6 NUMERI'!$B$5+19</f>
        <v/>
      </c>
      <c r="C27" s="11" t="n">
        <v>0.059306</v>
      </c>
      <c r="D27" s="13">
        <f>IF(D26&lt;=0,0,(D26-(IF(D26&lt;=0,0,($B$5*(1+'1 - I TUOI 6 NUMERI'!$B$14)^19)/(1-'1 - I TUOI 6 NUMERI'!$B$15*(IF(D26&lt;=0,0,MEDIAN(0,(D26-E26)/D26,1))))))-(IF(D26&lt;=0,0,'1 - I TUOI 6 NUMERI'!$B$16*D26)))*(1+((1+C27)*(1+'1 - I TUOI 6 NUMERI'!$B$14)-1)))</f>
        <v/>
      </c>
      <c r="E27" s="13">
        <f>MAX(0,E26-(IF(D26&lt;=0,0,($B$5*(1+'1 - I TUOI 6 NUMERI'!$B$14)^19)/(1-'1 - I TUOI 6 NUMERI'!$B$15*(IF(D26&lt;=0,0,MEDIAN(0,(D26-E26)/D26,1))))))*(1-(IF(D26&lt;=0,0,MEDIAN(0,(D26-E26)/D26,1)))))</f>
        <v/>
      </c>
      <c r="G27" s="11" t="n">
        <v>-0.06</v>
      </c>
      <c r="H27" s="13">
        <f>IF(H26&lt;=0,0,(H26-(IF(H26&lt;=0,0,($B$5*(1+'1 - I TUOI 6 NUMERI'!$B$14)^19)/(1-'1 - I TUOI 6 NUMERI'!$B$15*(IF(H26&lt;=0,0,MEDIAN(0,(H26-I26)/H26,1))))))-(IF(H26&lt;=0,0,'1 - I TUOI 6 NUMERI'!$B$16*H26)))*(1+((1+G27)*(1+'1 - I TUOI 6 NUMERI'!$B$14)-1)))</f>
        <v/>
      </c>
      <c r="I27" s="13">
        <f>MAX(0,I26-(IF(H26&lt;=0,0,($B$5*(1+'1 - I TUOI 6 NUMERI'!$B$14)^19)/(1-'1 - I TUOI 6 NUMERI'!$B$15*(IF(H26&lt;=0,0,MEDIAN(0,(H26-I26)/H26,1))))))*(1-(IF(H26&lt;=0,0,MEDIAN(0,(H26-I26)/H26,1)))))</f>
        <v/>
      </c>
      <c r="K27" s="24">
        <f>K26*(1+C27)</f>
        <v/>
      </c>
      <c r="L27" s="24">
        <f>L26*(1+G27)</f>
        <v/>
      </c>
    </row>
    <row r="28">
      <c r="A28" s="20">
        <f>2026+20</f>
        <v/>
      </c>
      <c r="B28" s="20">
        <f>'1 - I TUOI 6 NUMERI'!$B$5+20</f>
        <v/>
      </c>
      <c r="C28" s="11" t="n">
        <v>0.059306</v>
      </c>
      <c r="D28" s="13">
        <f>IF(D27&lt;=0,0,(D27-(IF(D27&lt;=0,0,($B$5*(1+'1 - I TUOI 6 NUMERI'!$B$14)^20)/(1-'1 - I TUOI 6 NUMERI'!$B$15*(IF(D27&lt;=0,0,MEDIAN(0,(D27-E27)/D27,1))))))-(IF(D27&lt;=0,0,'1 - I TUOI 6 NUMERI'!$B$16*D27)))*(1+((1+C28)*(1+'1 - I TUOI 6 NUMERI'!$B$14)-1)))</f>
        <v/>
      </c>
      <c r="E28" s="13">
        <f>MAX(0,E27-(IF(D27&lt;=0,0,($B$5*(1+'1 - I TUOI 6 NUMERI'!$B$14)^20)/(1-'1 - I TUOI 6 NUMERI'!$B$15*(IF(D27&lt;=0,0,MEDIAN(0,(D27-E27)/D27,1))))))*(1-(IF(D27&lt;=0,0,MEDIAN(0,(D27-E27)/D27,1)))))</f>
        <v/>
      </c>
      <c r="G28" s="11" t="n">
        <v>-0.12</v>
      </c>
      <c r="H28" s="13">
        <f>IF(H27&lt;=0,0,(H27-(IF(H27&lt;=0,0,($B$5*(1+'1 - I TUOI 6 NUMERI'!$B$14)^20)/(1-'1 - I TUOI 6 NUMERI'!$B$15*(IF(H27&lt;=0,0,MEDIAN(0,(H27-I27)/H27,1))))))-(IF(H27&lt;=0,0,'1 - I TUOI 6 NUMERI'!$B$16*H27)))*(1+((1+G28)*(1+'1 - I TUOI 6 NUMERI'!$B$14)-1)))</f>
        <v/>
      </c>
      <c r="I28" s="13">
        <f>MAX(0,I27-(IF(H27&lt;=0,0,($B$5*(1+'1 - I TUOI 6 NUMERI'!$B$14)^20)/(1-'1 - I TUOI 6 NUMERI'!$B$15*(IF(H27&lt;=0,0,MEDIAN(0,(H27-I27)/H27,1))))))*(1-(IF(H27&lt;=0,0,MEDIAN(0,(H27-I27)/H27,1)))))</f>
        <v/>
      </c>
      <c r="K28" s="24">
        <f>K27*(1+C28)</f>
        <v/>
      </c>
      <c r="L28" s="24">
        <f>L27*(1+G28)</f>
        <v/>
      </c>
    </row>
    <row r="29">
      <c r="A29" s="20">
        <f>2026+21</f>
        <v/>
      </c>
      <c r="B29" s="20">
        <f>'1 - I TUOI 6 NUMERI'!$B$5+21</f>
        <v/>
      </c>
      <c r="C29" s="11" t="n">
        <v>0.059306</v>
      </c>
      <c r="D29" s="13">
        <f>IF(D28&lt;=0,0,(D28-(IF(D28&lt;=0,0,($B$5*(1+'1 - I TUOI 6 NUMERI'!$B$14)^21)/(1-'1 - I TUOI 6 NUMERI'!$B$15*(IF(D28&lt;=0,0,MEDIAN(0,(D28-E28)/D28,1))))))-(IF(D28&lt;=0,0,'1 - I TUOI 6 NUMERI'!$B$16*D28)))*(1+((1+C29)*(1+'1 - I TUOI 6 NUMERI'!$B$14)-1)))</f>
        <v/>
      </c>
      <c r="E29" s="13">
        <f>MAX(0,E28-(IF(D28&lt;=0,0,($B$5*(1+'1 - I TUOI 6 NUMERI'!$B$14)^21)/(1-'1 - I TUOI 6 NUMERI'!$B$15*(IF(D28&lt;=0,0,MEDIAN(0,(D28-E28)/D28,1))))))*(1-(IF(D28&lt;=0,0,MEDIAN(0,(D28-E28)/D28,1)))))</f>
        <v/>
      </c>
      <c r="G29" s="11" t="n">
        <v>-0.18</v>
      </c>
      <c r="H29" s="13">
        <f>IF(H28&lt;=0,0,(H28-(IF(H28&lt;=0,0,($B$5*(1+'1 - I TUOI 6 NUMERI'!$B$14)^21)/(1-'1 - I TUOI 6 NUMERI'!$B$15*(IF(H28&lt;=0,0,MEDIAN(0,(H28-I28)/H28,1))))))-(IF(H28&lt;=0,0,'1 - I TUOI 6 NUMERI'!$B$16*H28)))*(1+((1+G29)*(1+'1 - I TUOI 6 NUMERI'!$B$14)-1)))</f>
        <v/>
      </c>
      <c r="I29" s="13">
        <f>MAX(0,I28-(IF(H28&lt;=0,0,($B$5*(1+'1 - I TUOI 6 NUMERI'!$B$14)^21)/(1-'1 - I TUOI 6 NUMERI'!$B$15*(IF(H28&lt;=0,0,MEDIAN(0,(H28-I28)/H28,1))))))*(1-(IF(H28&lt;=0,0,MEDIAN(0,(H28-I28)/H28,1)))))</f>
        <v/>
      </c>
      <c r="K29" s="24">
        <f>K28*(1+C29)</f>
        <v/>
      </c>
      <c r="L29" s="24">
        <f>L28*(1+G29)</f>
        <v/>
      </c>
    </row>
    <row r="31">
      <c r="A31" s="8" t="inlineStr">
        <is>
          <t>Anni di autonomia — sequenza A (crolli subito)</t>
        </is>
      </c>
      <c r="D31" s="15">
        <f>COUNTIF(D8:D29,"&gt;0")</f>
        <v/>
      </c>
    </row>
    <row r="32">
      <c r="A32" s="8" t="inlineStr">
        <is>
          <t>Anni di autonomia — sequenza B (crolli alla fine)</t>
        </is>
      </c>
      <c r="D32" s="15">
        <f>COUNTIF(H8:H29,"&gt;0")</f>
        <v/>
      </c>
    </row>
    <row r="33">
      <c r="A33" s="8" t="inlineStr">
        <is>
          <t>Differenza, in anni di libertà</t>
        </is>
      </c>
      <c r="D33" s="15">
        <f>D32-D31</f>
        <v/>
      </c>
    </row>
    <row r="34">
      <c r="A34" s="8" t="inlineStr">
        <is>
          <t>Media geometrica dei rendimenti (identica)</t>
        </is>
      </c>
      <c r="D34" s="14">
        <f>K29^(1/22)-1</f>
        <v/>
      </c>
      <c r="H34" s="14">
        <f>L29^(1/22)-1</f>
        <v/>
      </c>
    </row>
    <row r="36" ht="45" customHeight="1">
      <c r="A36" s="12" t="inlineStr">
        <is>
          <t>Cosa ci si fa con questo numero: non si prevede la sequenza, la si assorbe. I due modi che la ricerca sul decumulo indica sono tenere due o tre anni di spese fuori dal mercato e ridurre il prelievo negli anni negativi invece di tenerlo fisso. Entrambi costano rendimento atteso: sono un'assicurazione, non un pasto gratis.</t>
        </is>
      </c>
    </row>
  </sheetData>
  <mergeCells count="5">
    <mergeCell ref="A2:I2"/>
    <mergeCell ref="D5:F5"/>
    <mergeCell ref="A36:I36"/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2026-08-02T15:29:50Z</dcterms:created>
  <dcterms:modified xmlns:dcterms="http://purl.org/dc/terms/" xmlns:xsi="http://www.w3.org/2001/XMLSchema-instance" xsi:type="dcterms:W3CDTF">2026-08-02T15:29:50Z</dcterms:modified>
</cp:coreProperties>
</file>