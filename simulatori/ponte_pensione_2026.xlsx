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SOGLIA 64" sheetId="2" state="visible" r:id="rId2"/>
    <sheet name="2 - VIE USCITA" sheetId="3" state="visible" r:id="rId3"/>
    <sheet name="3 - PONTE" sheetId="4" state="visible" r:id="rId4"/>
    <sheet name="4 - VOLONTARI" sheetId="5" state="visible" r:id="rId5"/>
    <sheet name="5 - PART-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 €&quot;"/>
    <numFmt numFmtId="165" formatCode="#,##0.00&quot; €&quot;"/>
    <numFmt numFmtId="166" formatCode="0.000%"/>
    <numFmt numFmtId="167" formatCode="0.0&quot;x&quot;"/>
    <numFmt numFmtId="168" formatCode="0.0&quot; anni&quot;"/>
    <numFmt numFmtId="169" formatCode="0.0"/>
    <numFmt numFmtId="170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7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0" fontId="5" fillId="4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Ponte Pensione 2026 (uscire a 64 anni)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SOGLIA 64</t>
        </is>
      </c>
      <c r="B5" s="5" t="inlineStr">
        <is>
          <t>Montante, assegno, soglia 3,0x (3,2x dal 2030) ed esito</t>
        </is>
      </c>
    </row>
    <row r="6" ht="22" customHeight="1">
      <c r="A6" s="4" t="inlineStr">
        <is>
          <t>2 - VIE USCITA</t>
        </is>
      </c>
      <c r="B6" s="5" t="inlineStr">
        <is>
          <t>Tutte le vie 2026-2028, condizioni e regole NASpI</t>
        </is>
      </c>
    </row>
    <row r="7" ht="22" customHeight="1">
      <c r="A7" s="4" t="inlineStr">
        <is>
          <t>3 - PONTE</t>
        </is>
      </c>
      <c r="B7" s="5" t="inlineStr">
        <is>
          <t>Mesi da coprire, capitale bruciato e residuo alla prima rata</t>
        </is>
      </c>
    </row>
    <row r="8" ht="22" customHeight="1">
      <c r="A8" s="4" t="inlineStr">
        <is>
          <t>4 - VOLONTARI</t>
        </is>
      </c>
      <c r="B8" s="5" t="inlineStr">
        <is>
          <t>Costo, beneficio e pareggio nei tre profili fiscali</t>
        </is>
      </c>
    </row>
    <row r="9" ht="22" customHeight="1">
      <c r="A9" s="4" t="inlineStr">
        <is>
          <t>5 - PART-TIME</t>
        </is>
      </c>
      <c r="B9" s="5" t="inlineStr">
        <is>
          <t>Costo permanente del part-time e tassi di sostituzione</t>
        </is>
      </c>
    </row>
    <row r="11">
      <c r="A11" s="3" t="inlineStr">
        <is>
          <t>Come usare</t>
        </is>
      </c>
    </row>
    <row r="12">
      <c r="A12" s="5" t="inlineStr">
        <is>
          <t>1. Le celle GIALLE sono input — modificale coi tuoi numeri.</t>
        </is>
      </c>
    </row>
    <row r="13">
      <c r="A13" s="5" t="inlineStr">
        <is>
          <t>2. Le celle VERDI sono output — si aggiornano automaticamente.</t>
        </is>
      </c>
    </row>
    <row r="14">
      <c r="A14" s="5" t="inlineStr">
        <is>
          <t>3. Tutti i numeri di default sono al 2026 da fonti pubbliche.</t>
        </is>
      </c>
    </row>
    <row r="15">
      <c r="A15" s="5" t="inlineStr">
        <is>
          <t>4. Niente codice nascosto: l'Excel è solo formule modificabili.</t>
        </is>
      </c>
    </row>
    <row r="17">
      <c r="A17" s="3" t="inlineStr">
        <is>
          <t>Fonti dati</t>
        </is>
      </c>
    </row>
    <row r="18">
      <c r="A18" s="5" t="inlineStr">
        <is>
          <t>• D.L. 201/2011 art. 24 c. 11 (conv. L. 214/2011), testo vigente — anticipata contributiva: 64 anni, 20 anni effettivi, soglia 3,0x l'assegno sociale (3,2x dal 1/1/2030), tetto 5x il trattamento minimo, finestra 3 mesi</t>
        </is>
      </c>
    </row>
    <row r="19">
      <c r="A19" s="5" t="inlineStr">
        <is>
          <t>• L. 199/2025 art. 1 c. 195 (G.U. 301 del 30/12/2025, S.O. 42) — abrogato il comma 7-bis (computo della rendita del fondo pensione) e soppresso l'ultimo periodo del comma 11</t>
        </is>
      </c>
    </row>
    <row r="20">
      <c r="A20" s="5" t="inlineStr">
        <is>
          <t>• L. 199/2025 art. 1 c. 185 — adeguamento alla speranza di vita: +1 mese nel 2027, +2 mesi ulteriori nel 2028</t>
        </is>
      </c>
    </row>
    <row r="21">
      <c r="A21" s="5" t="inlineStr">
        <is>
          <t>• INPS, circolare n. 19 del 25/02/2026 — istruzioni applicative; APE sociale prorogata (63 anni e 5 mesi); Opzione Donna e anticipata flessibile non prorogate</t>
        </is>
      </c>
    </row>
    <row r="22">
      <c r="A22" s="5" t="inlineStr">
        <is>
          <t>• INPS, circolare n. 153 del 19/12/2025 — assegno sociale 2026: 546,24 €/mese; trattamento minimo 2026: 611,85 €/mese</t>
        </is>
      </c>
    </row>
    <row r="23">
      <c r="A23" s="5" t="inlineStr">
        <is>
          <t>• D.M. 20 novembre 2024 — coefficienti di trasformazione 2025-2026: 5,088% a 64 anni, 5,608% a 67 anni</t>
        </is>
      </c>
    </row>
    <row r="24">
      <c r="A24" s="5" t="inlineStr">
        <is>
          <t>• INPS, circolare n. 27 dell'11/03/2026 — contributi volontari 2026: aliquota 33%, retribuzione minima settimanale 244,74 €</t>
        </is>
      </c>
    </row>
    <row r="25">
      <c r="A25" s="5" t="inlineStr">
        <is>
          <t>• D.Lgs. 184/1997 art. 6 — requisiti per l'autorizzazione alla prosecuzione volontaria</t>
        </is>
      </c>
    </row>
    <row r="26">
      <c r="A26" s="5" t="inlineStr">
        <is>
          <t>• D.Lgs. 22/2015 artt. 3-5 e INPS circ. n. 4 del 28/01/2026 — NASpI 2026: massimo 1.584,70 €/mese</t>
        </is>
      </c>
    </row>
    <row r="27">
      <c r="A27" s="5" t="inlineStr">
        <is>
          <t>• MEF — Ragioneria Generale dello Stato, «Le tendenze di medio-lungo periodo del sistema pensionistico e socio-sanitario», Aggiornamento 2025 (Rapporto n. 26), Tab. 6.1.a e 6.3.a</t>
        </is>
      </c>
    </row>
    <row r="29">
      <c r="A29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" customWidth="1" min="3" max="3"/>
    <col width="40" customWidth="1" min="4" max="4"/>
    <col width="18" customWidth="1" min="5" max="5"/>
  </cols>
  <sheetData>
    <row r="1" ht="25" customHeight="1">
      <c r="A1" s="1" t="inlineStr">
        <is>
          <t>Superi la soglia per uscire a 64 anni?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cambia solo le celle gialle</t>
        </is>
      </c>
    </row>
    <row r="5">
      <c r="A5" s="8" t="inlineStr">
        <is>
          <t>Il tuo montante contributivo (€) — da estratto conto INPS</t>
        </is>
      </c>
      <c r="B5" s="9" t="n">
        <v>350000</v>
      </c>
    </row>
    <row r="6">
      <c r="A6" s="8" t="inlineStr">
        <is>
          <t>Anno in cui vorresti uscire</t>
        </is>
      </c>
      <c r="B6" s="10" t="n">
        <v>2026</v>
      </c>
    </row>
    <row r="7">
      <c r="A7" s="8" t="inlineStr">
        <is>
          <t>Figli (solo lavoratrici madri; 0 = regola generale)</t>
        </is>
      </c>
      <c r="B7" s="10" t="n">
        <v>0</v>
      </c>
    </row>
    <row r="8">
      <c r="A8" s="8" t="inlineStr">
        <is>
          <t>Assegno sociale mensile (€) — INPS circ. 153/2025</t>
        </is>
      </c>
      <c r="B8" s="11" t="n">
        <v>546.24</v>
      </c>
    </row>
    <row r="9">
      <c r="A9" s="8" t="inlineStr">
        <is>
          <t>Coefficiente di trasformazione a 64 anni</t>
        </is>
      </c>
      <c r="B9" s="12" t="n">
        <v>0.05088</v>
      </c>
    </row>
    <row r="10">
      <c r="A10" s="8" t="inlineStr">
        <is>
          <t>Trattamento minimo mensile (€) — INPS circ. 153/2025</t>
        </is>
      </c>
      <c r="B10" s="11" t="n">
        <v>611.85</v>
      </c>
    </row>
    <row r="11">
      <c r="A11" s="8" t="inlineStr">
        <is>
          <t>Anni di contribuzione EFFETTIVA già maturati</t>
        </is>
      </c>
      <c r="B11" s="10" t="n">
        <v>20</v>
      </c>
    </row>
    <row r="12" ht="90" customHeight="1">
      <c r="A12" s="13" t="inlineStr">
        <is>
          <t>Il montante NON è il tuo capitale in banca: è la somma dei contributi versati da te e dal datore di lavoro, rivalutata anno per anno con la media quinquennale del PIL nominale. Lo leggi sull'estratto conto contributivo INPS. Il coefficiente 5,088% vale per il biennio 2025-2026 (D.M. 20/11/2024) e per l'uscita esattamente a 64 anni.</t>
        </is>
      </c>
    </row>
    <row r="14">
      <c r="A14" s="7" t="inlineStr">
        <is>
          <t>LA SOGLIA CHE DEVI SUPERARE</t>
        </is>
      </c>
    </row>
    <row r="15">
      <c r="A15" s="8" t="inlineStr">
        <is>
          <t>Moltiplicatore applicabile</t>
        </is>
      </c>
      <c r="B15" s="14">
        <f>IF(B7&gt;=2,2.6,IF(B7=1,2.8,IF(B6&gt;=2030,3.2,3)))</f>
        <v/>
      </c>
    </row>
    <row r="16">
      <c r="A16" s="8" t="inlineStr">
        <is>
          <t>Soglia MENSILE lorda (€)</t>
        </is>
      </c>
      <c r="B16" s="15">
        <f>B8*B15</f>
        <v/>
      </c>
    </row>
    <row r="17">
      <c r="A17" s="8" t="inlineStr">
        <is>
          <t>Soglia ANNUA lorda (13 mensilità) (€)</t>
        </is>
      </c>
      <c r="B17" s="15">
        <f>B16*13</f>
        <v/>
      </c>
    </row>
    <row r="18">
      <c r="A18" s="8" t="inlineStr">
        <is>
          <t>Montante MINIMO che serve (€)</t>
        </is>
      </c>
      <c r="B18" s="16">
        <f>IFERROR(B17/B9,NA())</f>
        <v/>
      </c>
    </row>
    <row r="19" ht="60" customHeight="1">
      <c r="A19" s="13" t="inlineStr">
        <is>
          <t>Dal 1° gennaio 2030 il moltiplicatore della regola generale sale da 3,0 a 3,2 volte l'assegno sociale (art. 24 c. 11 D.L. 201/2011, penultimo periodo: NON è stato toccato dalla L. 199/2025). Le soglie ridotte per le lavoratrici madri restano 2,8x e 2,6x.</t>
        </is>
      </c>
    </row>
    <row r="21">
      <c r="A21" s="7" t="inlineStr">
        <is>
          <t>IL TUO ASSEGNO</t>
        </is>
      </c>
    </row>
    <row r="22">
      <c r="A22" s="8" t="inlineStr">
        <is>
          <t>Assegno LORDO annuo (montante × coefficiente)</t>
        </is>
      </c>
      <c r="B22" s="15">
        <f>B5*B9</f>
        <v/>
      </c>
    </row>
    <row r="23">
      <c r="A23" s="8" t="inlineStr">
        <is>
          <t>Assegno LORDO mensile (13 mensilità)</t>
        </is>
      </c>
      <c r="B23" s="15">
        <f>B22/13</f>
        <v/>
      </c>
    </row>
    <row r="24">
      <c r="A24" s="8" t="inlineStr">
        <is>
          <t>Differenza rispetto alla soglia (€/mese)</t>
        </is>
      </c>
      <c r="B24" s="15">
        <f>B23-B16</f>
        <v/>
      </c>
    </row>
    <row r="25">
      <c r="A25" s="8" t="inlineStr">
        <is>
          <t>ESITO</t>
        </is>
      </c>
      <c r="B25" s="17">
        <f>IF(B11&lt;20,"NO — mancano anni di contribuzione effettiva",IF(B23&gt;=B16,"SOPRA SOGLIA — porta aperta","SOTTO SOGLIA — porta chiusa"))</f>
        <v/>
      </c>
    </row>
    <row r="26">
      <c r="A26" s="8" t="inlineStr">
        <is>
          <t>Montante ancora mancante (€)</t>
        </is>
      </c>
      <c r="B26" s="16">
        <f>IFERROR(MAX(0,(B17-B22)/B9),NA())</f>
        <v/>
      </c>
    </row>
    <row r="27">
      <c r="A27" s="8" t="inlineStr">
        <is>
          <t>Anni di contribuzione effettiva mancanti</t>
        </is>
      </c>
      <c r="B27" s="18">
        <f>MAX(0,20-B11)</f>
        <v/>
      </c>
    </row>
    <row r="29">
      <c r="A29" s="7" t="inlineStr">
        <is>
          <t>TETTO SULLE MENSILITÀ DI ANTICIPO (fino a 67 anni)</t>
        </is>
      </c>
    </row>
    <row r="30">
      <c r="A30" s="8" t="inlineStr">
        <is>
          <t>Massimo erogabile: 5 × trattamento minimo (€/mese)</t>
        </is>
      </c>
      <c r="B30" s="15">
        <f>B10*5</f>
        <v/>
      </c>
    </row>
    <row r="31">
      <c r="A31" s="8" t="inlineStr">
        <is>
          <t>Il tuo assegno supera il tetto?</t>
        </is>
      </c>
      <c r="B31" s="17">
        <f>IF(B23&gt;B30,"SÌ — fino a 67 anni ricevi al massimo il tetto","No")</f>
        <v/>
      </c>
    </row>
    <row r="33">
      <c r="A33" s="7" t="inlineStr">
        <is>
          <t>MONTANTE MINIMO per ciascuna soglia (valori 2026)</t>
        </is>
      </c>
    </row>
    <row r="34">
      <c r="A34" s="19" t="inlineStr">
        <is>
          <t>Soglia</t>
        </is>
      </c>
      <c r="B34" s="19" t="inlineStr">
        <is>
          <t>Moltiplicatore</t>
        </is>
      </c>
      <c r="C34" s="19" t="inlineStr">
        <is>
          <t>€/mese</t>
        </is>
      </c>
      <c r="D34" s="19" t="inlineStr">
        <is>
          <t>Montante minimo</t>
        </is>
      </c>
    </row>
    <row r="35">
      <c r="A35" s="8" t="inlineStr">
        <is>
          <t>Regola generale (fino al 2029)</t>
        </is>
      </c>
      <c r="B35" s="14">
        <f>3.0</f>
        <v/>
      </c>
      <c r="C35" s="15">
        <f>$B$8*3.0</f>
        <v/>
      </c>
      <c r="D35" s="16">
        <f>IFERROR($B$8*3.0*13/$B$9,NA())</f>
        <v/>
      </c>
    </row>
    <row r="36">
      <c r="A36" s="8" t="inlineStr">
        <is>
          <t>Regola generale (dal 2030)</t>
        </is>
      </c>
      <c r="B36" s="14">
        <f>3.2</f>
        <v/>
      </c>
      <c r="C36" s="15">
        <f>$B$8*3.2</f>
        <v/>
      </c>
      <c r="D36" s="16">
        <f>IFERROR($B$8*3.2*13/$B$9,NA())</f>
        <v/>
      </c>
    </row>
    <row r="37">
      <c r="A37" s="8" t="inlineStr">
        <is>
          <t>Lavoratrice madre, 1 figlio</t>
        </is>
      </c>
      <c r="B37" s="14">
        <f>2.8</f>
        <v/>
      </c>
      <c r="C37" s="15">
        <f>$B$8*2.8</f>
        <v/>
      </c>
      <c r="D37" s="16">
        <f>IFERROR($B$8*2.8*13/$B$9,NA())</f>
        <v/>
      </c>
    </row>
    <row r="38">
      <c r="A38" s="8" t="inlineStr">
        <is>
          <t>Lavoratrice madre, 2+ figli</t>
        </is>
      </c>
      <c r="B38" s="14">
        <f>2.6</f>
        <v/>
      </c>
      <c r="C38" s="15">
        <f>$B$8*2.6</f>
        <v/>
      </c>
      <c r="D38" s="16">
        <f>IFERROR($B$8*2.6*13/$B$9,NA())</f>
        <v/>
      </c>
    </row>
    <row r="40" ht="90" customHeight="1">
      <c r="A40" s="13" t="inlineStr">
        <is>
          <t>ATTENZIONE — novità 2026: fino al 31/12/2025 l'art. 24 c. 7-bis del D.L. 201/2011 avrebbe consentito di sommare il valore teorico della rendita di un fondo pensione per raggiungere la soglia. Quel comma è stato ABROGATO dall'art. 1 c. 195 della L. 199/2025 e non era comunque mai diventato operativo (mancava il decreto attuativo). Oggi la soglia si raggiunge SOLO con l'assegno pubblico. In compenso è caduto anche il requisito contributivo maggiorato (25 anni, 30 dal 2030) e il divieto di lavorare dopo l'uscita, che erano il prezzo di quella facoltà.</t>
        </is>
      </c>
    </row>
  </sheetData>
  <mergeCells count="10">
    <mergeCell ref="A1:D1"/>
    <mergeCell ref="A40:D40"/>
    <mergeCell ref="A4:D4"/>
    <mergeCell ref="A19:B19"/>
    <mergeCell ref="A21:D21"/>
    <mergeCell ref="A29:D29"/>
    <mergeCell ref="A2:D2"/>
    <mergeCell ref="A33:D33"/>
    <mergeCell ref="A14:D14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34" customWidth="1" min="4" max="4"/>
    <col width="16" customWidth="1" min="5" max="5"/>
  </cols>
  <sheetData>
    <row r="1" ht="25" customHeight="1">
      <c r="A1" s="1" t="inlineStr">
        <is>
          <t>Le vie d'uscita e come si muovono nel 2027-2028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REQUISITI PER ANNO</t>
        </is>
      </c>
    </row>
    <row r="5">
      <c r="A5" s="19" t="inlineStr">
        <is>
          <t>Via d'uscita</t>
        </is>
      </c>
      <c r="B5" s="19" t="inlineStr">
        <is>
          <t>2026</t>
        </is>
      </c>
      <c r="C5" s="19" t="inlineStr">
        <is>
          <t>2027</t>
        </is>
      </c>
      <c r="D5" s="19" t="inlineStr">
        <is>
          <t>2028</t>
        </is>
      </c>
      <c r="E5" s="19" t="inlineStr">
        <is>
          <t>Finestra</t>
        </is>
      </c>
    </row>
    <row r="6">
      <c r="A6" s="8" t="inlineStr">
        <is>
          <t>Vecchiaia</t>
        </is>
      </c>
      <c r="B6" s="8" t="inlineStr">
        <is>
          <t>67 anni + 20 anni</t>
        </is>
      </c>
      <c r="C6" s="8" t="inlineStr">
        <is>
          <t>67 anni e 1 mese + 20</t>
        </is>
      </c>
      <c r="D6" s="8" t="inlineStr">
        <is>
          <t>67 anni e 3 mesi + 20</t>
        </is>
      </c>
      <c r="E6" s="8" t="inlineStr">
        <is>
          <t>—</t>
        </is>
      </c>
    </row>
    <row r="7">
      <c r="A7" s="8" t="inlineStr">
        <is>
          <t>Anticipata ordinaria (uomini)</t>
        </is>
      </c>
      <c r="B7" s="8" t="inlineStr">
        <is>
          <t>42 anni e 10 mesi</t>
        </is>
      </c>
      <c r="C7" s="8" t="inlineStr">
        <is>
          <t>42 anni e 11 mesi</t>
        </is>
      </c>
      <c r="D7" s="8" t="inlineStr">
        <is>
          <t>43 anni e 1 mese</t>
        </is>
      </c>
      <c r="E7" s="8" t="inlineStr">
        <is>
          <t>3 mesi</t>
        </is>
      </c>
    </row>
    <row r="8">
      <c r="A8" s="8" t="inlineStr">
        <is>
          <t>Anticipata ordinaria (donne)</t>
        </is>
      </c>
      <c r="B8" s="8" t="inlineStr">
        <is>
          <t>41 anni e 10 mesi</t>
        </is>
      </c>
      <c r="C8" s="8" t="inlineStr">
        <is>
          <t>41 anni e 11 mesi</t>
        </is>
      </c>
      <c r="D8" s="8" t="inlineStr">
        <is>
          <t>42 anni e 1 mese</t>
        </is>
      </c>
      <c r="E8" s="8" t="inlineStr">
        <is>
          <t>3 mesi</t>
        </is>
      </c>
    </row>
    <row r="9">
      <c r="A9" s="8" t="inlineStr">
        <is>
          <t>Anticipata contributiva</t>
        </is>
      </c>
      <c r="B9" s="8" t="inlineStr">
        <is>
          <t>64 anni + 20 effettivi</t>
        </is>
      </c>
      <c r="C9" s="8" t="inlineStr">
        <is>
          <t>64 anni e 1 mese + 20 e 1</t>
        </is>
      </c>
      <c r="D9" s="8" t="inlineStr">
        <is>
          <t>64 anni e 3 mesi + 20 e 3</t>
        </is>
      </c>
      <c r="E9" s="8" t="inlineStr">
        <is>
          <t>3 mesi</t>
        </is>
      </c>
    </row>
    <row r="10">
      <c r="A10" s="8" t="inlineStr">
        <is>
          <t>APE sociale</t>
        </is>
      </c>
      <c r="B10" s="8" t="inlineStr">
        <is>
          <t>63 anni e 5 mesi</t>
        </is>
      </c>
      <c r="C10" s="8" t="inlineStr">
        <is>
          <t>prorogata al 31/12/2026</t>
        </is>
      </c>
      <c r="D10" s="8" t="inlineStr">
        <is>
          <t>da verificare</t>
        </is>
      </c>
      <c r="E10" s="8" t="inlineStr">
        <is>
          <t>—</t>
        </is>
      </c>
    </row>
    <row r="11">
      <c r="A11" s="8" t="inlineStr">
        <is>
          <t>Opzione Donna</t>
        </is>
      </c>
      <c r="B11" s="8" t="inlineStr">
        <is>
          <t>NON prorogata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</row>
    <row r="12">
      <c r="A12" s="8" t="inlineStr">
        <is>
          <t>Anticipata flessibile (Quota 103)</t>
        </is>
      </c>
      <c r="B12" s="8" t="inlineStr">
        <is>
          <t>NON prorogata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</row>
    <row r="14" ht="45" customHeight="1">
      <c r="A14" s="13" t="inlineStr">
        <is>
          <t>L'adeguamento alla speranza di vita è stato graduato dall'art. 1 c. 185 della L. 199/2025: +1 mese nel 2027 e ulteriori +2 mesi nel 2028. Nella via contributiva si muove ANCHE il requisito contributivo, non solo l'età: nel 2028 servono 20 anni e 3 mesi di contribuzione effettiva.</t>
        </is>
      </c>
    </row>
    <row r="16">
      <c r="A16" s="7" t="inlineStr">
        <is>
          <t>CONDIZIONI DELLA VIA CONTRIBUTIVA (art. 24 c. 11)</t>
        </is>
      </c>
    </row>
    <row r="17">
      <c r="A17" s="8" t="inlineStr">
        <is>
          <t>Primo accredito contributivo</t>
        </is>
      </c>
      <c r="B17" s="8" t="inlineStr">
        <is>
          <t>successivo al 1° gennaio 1996</t>
        </is>
      </c>
      <c r="C17" s="20" t="n"/>
      <c r="D17" s="20" t="n"/>
      <c r="E17" s="21" t="n"/>
    </row>
    <row r="18">
      <c r="A18" s="8" t="inlineStr">
        <is>
          <t>Contribuzione effettiva</t>
        </is>
      </c>
      <c r="B18" s="8" t="inlineStr">
        <is>
          <t>almeno 20 anni (2026)</t>
        </is>
      </c>
      <c r="C18" s="20" t="n"/>
      <c r="D18" s="20" t="n"/>
      <c r="E18" s="21" t="n"/>
    </row>
    <row r="19">
      <c r="A19" s="8" t="inlineStr">
        <is>
          <t>Cosa NON conta</t>
        </is>
      </c>
      <c r="B19" s="8" t="inlineStr">
        <is>
          <t>la contribuzione figurativa (NASpI, malattia, ecc.)</t>
        </is>
      </c>
      <c r="C19" s="20" t="n"/>
      <c r="D19" s="20" t="n"/>
      <c r="E19" s="21" t="n"/>
    </row>
    <row r="20">
      <c r="A20" s="8" t="inlineStr">
        <is>
          <t>Cosa conta</t>
        </is>
      </c>
      <c r="B20" s="8" t="inlineStr">
        <is>
          <t>obbligatoria da lavoro, volontaria, da riscatto</t>
        </is>
      </c>
      <c r="C20" s="20" t="n"/>
      <c r="D20" s="20" t="n"/>
      <c r="E20" s="21" t="n"/>
    </row>
    <row r="21">
      <c r="A21" s="8" t="inlineStr">
        <is>
          <t>Importo prima rata</t>
        </is>
      </c>
      <c r="B21" s="8" t="inlineStr">
        <is>
          <t>≥ 3,0 volte l'assegno sociale (2,8 / 2,6 madri)</t>
        </is>
      </c>
      <c r="C21" s="20" t="n"/>
      <c r="D21" s="20" t="n"/>
      <c r="E21" s="21" t="n"/>
    </row>
    <row r="22">
      <c r="A22" s="8" t="inlineStr">
        <is>
          <t>Tetto fino a 67 anni</t>
        </is>
      </c>
      <c r="B22" s="8" t="inlineStr">
        <is>
          <t>5 volte il trattamento minimo</t>
        </is>
      </c>
      <c r="C22" s="20" t="n"/>
      <c r="D22" s="20" t="n"/>
      <c r="E22" s="21" t="n"/>
    </row>
    <row r="23">
      <c r="A23" s="8" t="inlineStr">
        <is>
          <t>Decorrenza</t>
        </is>
      </c>
      <c r="B23" s="8" t="inlineStr">
        <is>
          <t>trascorsi 3 mesi dalla maturazione dei requisiti</t>
        </is>
      </c>
      <c r="C23" s="20" t="n"/>
      <c r="D23" s="20" t="n"/>
      <c r="E23" s="21" t="n"/>
    </row>
    <row r="24">
      <c r="A24" s="8" t="inlineStr">
        <is>
          <t>Rendita del fondo pensione</t>
        </is>
      </c>
      <c r="B24" s="8" t="inlineStr">
        <is>
          <t>NON computabile dal 1/1/2026 (L. 199/2025 c. 195)</t>
        </is>
      </c>
      <c r="C24" s="20" t="n"/>
      <c r="D24" s="20" t="n"/>
      <c r="E24" s="21" t="n"/>
    </row>
    <row r="26">
      <c r="A26" s="7" t="inlineStr">
        <is>
          <t>NASpI 2026 — solo per chi perde il lavoro involontariamente</t>
        </is>
      </c>
    </row>
    <row r="27">
      <c r="A27" s="8" t="inlineStr">
        <is>
          <t>Presupposto di legge</t>
        </is>
      </c>
      <c r="B27" s="8" t="inlineStr">
        <is>
          <t>cessazione INVOLONTARIA del rapporto (D.Lgs. 22/2015 art. 3)</t>
        </is>
      </c>
      <c r="C27" s="20" t="n"/>
      <c r="D27" s="20" t="n"/>
      <c r="E27" s="21" t="n"/>
    </row>
    <row r="28">
      <c r="A28" s="8" t="inlineStr">
        <is>
          <t>Requisito contributivo</t>
        </is>
      </c>
      <c r="B28" s="8" t="inlineStr">
        <is>
          <t>13 settimane di contribuzione nei 4 anni precedenti</t>
        </is>
      </c>
      <c r="C28" s="20" t="n"/>
      <c r="D28" s="20" t="n"/>
      <c r="E28" s="21" t="n"/>
    </row>
    <row r="29">
      <c r="A29" s="8" t="inlineStr">
        <is>
          <t>Durata</t>
        </is>
      </c>
      <c r="B29" s="8" t="inlineStr">
        <is>
          <t>metà delle settimane contributive degli ultimi 4 anni, max 24 mesi</t>
        </is>
      </c>
      <c r="C29" s="20" t="n"/>
      <c r="D29" s="20" t="n"/>
      <c r="E29" s="21" t="n"/>
    </row>
    <row r="30">
      <c r="A30" s="8" t="inlineStr">
        <is>
          <t>Importo</t>
        </is>
      </c>
      <c r="B30" s="8" t="inlineStr">
        <is>
          <t>75% della retribuzione fino a 1.456,72 € + 25% dell'eccedenza</t>
        </is>
      </c>
      <c r="C30" s="20" t="n"/>
      <c r="D30" s="20" t="n"/>
      <c r="E30" s="21" t="n"/>
    </row>
    <row r="31">
      <c r="A31" s="8" t="inlineStr">
        <is>
          <t>Importo massimo 2026</t>
        </is>
      </c>
      <c r="B31" s="8" t="inlineStr">
        <is>
          <t>1.584,70 €/mese (INPS circ. 4/2026)</t>
        </is>
      </c>
      <c r="C31" s="20" t="n"/>
      <c r="D31" s="20" t="n"/>
      <c r="E31" s="21" t="n"/>
    </row>
    <row r="32">
      <c r="A32" s="8" t="inlineStr">
        <is>
          <t>Riduzione</t>
        </is>
      </c>
      <c r="B32" s="8" t="inlineStr">
        <is>
          <t>-3% al mese dal 6° mese (dall'8° se 55 anni compiuti alla domanda)</t>
        </is>
      </c>
      <c r="C32" s="20" t="n"/>
      <c r="D32" s="20" t="n"/>
      <c r="E32" s="21" t="n"/>
    </row>
    <row r="33">
      <c r="A33" s="8" t="inlineStr">
        <is>
          <t>Effetto previdenziale</t>
        </is>
      </c>
      <c r="B33" s="8" t="inlineStr">
        <is>
          <t>contribuzione FIGURATIVA: non vale per i 20 anni effettivi</t>
        </is>
      </c>
      <c r="C33" s="20" t="n"/>
      <c r="D33" s="20" t="n"/>
      <c r="E33" s="21" t="n"/>
    </row>
    <row r="35" ht="30" customHeight="1">
      <c r="A35" s="13" t="inlineStr">
        <is>
          <t>Questa sezione è puramente descrittiva della norma. Le dimissioni volontarie non danno diritto alla NASpI: il foglio serve a calcolare durata e importo a chi la NASpI spetta già, non a pianificare un'uscita.</t>
        </is>
      </c>
    </row>
  </sheetData>
  <mergeCells count="22">
    <mergeCell ref="B30:E30"/>
    <mergeCell ref="B33:E33"/>
    <mergeCell ref="A1:E1"/>
    <mergeCell ref="B24:E24"/>
    <mergeCell ref="B20:E20"/>
    <mergeCell ref="B32:E32"/>
    <mergeCell ref="A16:E16"/>
    <mergeCell ref="B22:E22"/>
    <mergeCell ref="B31:E31"/>
    <mergeCell ref="B18:E18"/>
    <mergeCell ref="B27:E27"/>
    <mergeCell ref="A26:E26"/>
    <mergeCell ref="A2:E2"/>
    <mergeCell ref="B21:E21"/>
    <mergeCell ref="A14:E14"/>
    <mergeCell ref="B17:E17"/>
    <mergeCell ref="B23:E23"/>
    <mergeCell ref="A4:E4"/>
    <mergeCell ref="A35:E35"/>
    <mergeCell ref="B29:E29"/>
    <mergeCell ref="B19:E19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Il ponte: quanto ti costa arrivare alla prima rata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Età a cui vuoi smettere di lavorare</t>
        </is>
      </c>
      <c r="B5" s="10" t="n">
        <v>60</v>
      </c>
    </row>
    <row r="6">
      <c r="A6" s="8" t="inlineStr">
        <is>
          <t>Età di maturazione dei requisiti (64 nel 2026)</t>
        </is>
      </c>
      <c r="B6" s="10" t="n">
        <v>64</v>
      </c>
    </row>
    <row r="7">
      <c r="A7" s="8" t="inlineStr">
        <is>
          <t>Mesi di finestra (3 per la via contributiva)</t>
        </is>
      </c>
      <c r="B7" s="10" t="n">
        <v>3</v>
      </c>
    </row>
    <row r="8">
      <c r="A8" s="8" t="inlineStr">
        <is>
          <t>Spesa annua da coprire (€)</t>
        </is>
      </c>
      <c r="B8" s="9" t="n">
        <v>24000</v>
      </c>
    </row>
    <row r="9">
      <c r="A9" s="8" t="inlineStr">
        <is>
          <t>Capitale disponibile per il ponte (€)</t>
        </is>
      </c>
      <c r="B9" s="9" t="n">
        <v>150000</v>
      </c>
    </row>
    <row r="10">
      <c r="A10" s="8" t="inlineStr">
        <is>
          <t>Rendimento REALE netto ipotizzato (%)</t>
        </is>
      </c>
      <c r="B10" s="22" t="n">
        <v>0.01</v>
      </c>
    </row>
    <row r="11" ht="75" customHeight="1">
      <c r="A11" s="13" t="inlineStr">
        <is>
          <t>Rendimento REALE = al netto di inflazione, imposte e costi. L'1% è una ipotesi prudente per un portafoglio difensivo in fase di prelievo. Non usare rendimenti nominali: rivaluteresti il capitale e non le spese, che è l'errore più comune in queste simulazioni.</t>
        </is>
      </c>
    </row>
    <row r="13">
      <c r="A13" s="7" t="inlineStr">
        <is>
          <t>QUANTO DURA E QUANTO COSTA IL PONTE</t>
        </is>
      </c>
    </row>
    <row r="14">
      <c r="A14" s="8" t="inlineStr">
        <is>
          <t>Mesi da coprire da solo</t>
        </is>
      </c>
      <c r="B14" s="18">
        <f>MAX(0,(B6-B5)*12+B7)</f>
        <v/>
      </c>
    </row>
    <row r="15">
      <c r="A15" s="8" t="inlineStr">
        <is>
          <t>Anni equivalenti</t>
        </is>
      </c>
      <c r="B15" s="23">
        <f>B14/12</f>
        <v/>
      </c>
    </row>
    <row r="16">
      <c r="A16" s="8" t="inlineStr">
        <is>
          <t>Capitale bruciato, senza rendimenti (€)</t>
        </is>
      </c>
      <c r="B16" s="16">
        <f>B8/12*B14</f>
        <v/>
      </c>
    </row>
    <row r="17">
      <c r="A17" s="8" t="inlineStr">
        <is>
          <t>Capitale residuo alla prima rata (con rendimento) (€)</t>
        </is>
      </c>
      <c r="B17" s="16">
        <f>F30</f>
        <v/>
      </c>
    </row>
    <row r="18">
      <c r="A18" s="8" t="inlineStr">
        <is>
          <t>Il capitale basta?</t>
        </is>
      </c>
      <c r="B18" s="17">
        <f>IF(F30&gt;0,"SÌ","NO — il ponte non regge")</f>
        <v/>
      </c>
    </row>
    <row r="19">
      <c r="A19" s="8" t="inlineStr">
        <is>
          <t>Capitale minimo necessario, senza rendimenti (€)</t>
        </is>
      </c>
      <c r="B19" s="16">
        <f>B16</f>
        <v/>
      </c>
    </row>
    <row r="21">
      <c r="A21" s="7" t="inlineStr">
        <is>
          <t>PIANO ANNO PER ANNO</t>
        </is>
      </c>
    </row>
    <row r="22">
      <c r="A22" s="19" t="inlineStr">
        <is>
          <t>Anno del ponte</t>
        </is>
      </c>
      <c r="B22" s="19" t="inlineStr">
        <is>
          <t>Mesi coperti</t>
        </is>
      </c>
      <c r="C22" s="19" t="inlineStr">
        <is>
          <t>Spesa dell'anno</t>
        </is>
      </c>
      <c r="D22" s="19" t="inlineStr">
        <is>
          <t>Capitale iniziale</t>
        </is>
      </c>
      <c r="E22" s="19" t="inlineStr">
        <is>
          <t>Rendimento</t>
        </is>
      </c>
      <c r="F22" s="19" t="inlineStr">
        <is>
          <t>Capitale finale</t>
        </is>
      </c>
    </row>
    <row r="23">
      <c r="A23" s="8" t="inlineStr">
        <is>
          <t>Anno 1</t>
        </is>
      </c>
      <c r="B23" s="18">
        <f>MAX(0,MIN(12,$B$14-0))</f>
        <v/>
      </c>
      <c r="C23" s="16">
        <f>$B$8/12*B23</f>
        <v/>
      </c>
      <c r="D23" s="16">
        <f>$B$9</f>
        <v/>
      </c>
      <c r="E23" s="16">
        <f>IF(B23=0,0,($B$9-C23)*$B$10)</f>
        <v/>
      </c>
      <c r="F23" s="16">
        <f>IF(B23=0,$B$9,$B$9-C23+E23)</f>
        <v/>
      </c>
    </row>
    <row r="24">
      <c r="A24" s="8" t="inlineStr">
        <is>
          <t>Anno 2</t>
        </is>
      </c>
      <c r="B24" s="18">
        <f>MAX(0,MIN(12,$B$14-12))</f>
        <v/>
      </c>
      <c r="C24" s="16">
        <f>$B$8/12*B24</f>
        <v/>
      </c>
      <c r="D24" s="16">
        <f>F23</f>
        <v/>
      </c>
      <c r="E24" s="16">
        <f>IF(B24=0,0,(F23-C24)*$B$10)</f>
        <v/>
      </c>
      <c r="F24" s="16">
        <f>IF(B24=0,F23,F23-C24+E24)</f>
        <v/>
      </c>
    </row>
    <row r="25">
      <c r="A25" s="8" t="inlineStr">
        <is>
          <t>Anno 3</t>
        </is>
      </c>
      <c r="B25" s="18">
        <f>MAX(0,MIN(12,$B$14-24))</f>
        <v/>
      </c>
      <c r="C25" s="16">
        <f>$B$8/12*B25</f>
        <v/>
      </c>
      <c r="D25" s="16">
        <f>F24</f>
        <v/>
      </c>
      <c r="E25" s="16">
        <f>IF(B25=0,0,(F24-C25)*$B$10)</f>
        <v/>
      </c>
      <c r="F25" s="16">
        <f>IF(B25=0,F24,F24-C25+E25)</f>
        <v/>
      </c>
    </row>
    <row r="26">
      <c r="A26" s="8" t="inlineStr">
        <is>
          <t>Anno 4</t>
        </is>
      </c>
      <c r="B26" s="18">
        <f>MAX(0,MIN(12,$B$14-36))</f>
        <v/>
      </c>
      <c r="C26" s="16">
        <f>$B$8/12*B26</f>
        <v/>
      </c>
      <c r="D26" s="16">
        <f>F25</f>
        <v/>
      </c>
      <c r="E26" s="16">
        <f>IF(B26=0,0,(F25-C26)*$B$10)</f>
        <v/>
      </c>
      <c r="F26" s="16">
        <f>IF(B26=0,F25,F25-C26+E26)</f>
        <v/>
      </c>
    </row>
    <row r="27">
      <c r="A27" s="8" t="inlineStr">
        <is>
          <t>Anno 5</t>
        </is>
      </c>
      <c r="B27" s="18">
        <f>MAX(0,MIN(12,$B$14-48))</f>
        <v/>
      </c>
      <c r="C27" s="16">
        <f>$B$8/12*B27</f>
        <v/>
      </c>
      <c r="D27" s="16">
        <f>F26</f>
        <v/>
      </c>
      <c r="E27" s="16">
        <f>IF(B27=0,0,(F26-C27)*$B$10)</f>
        <v/>
      </c>
      <c r="F27" s="16">
        <f>IF(B27=0,F26,F26-C27+E27)</f>
        <v/>
      </c>
    </row>
    <row r="28">
      <c r="A28" s="8" t="inlineStr">
        <is>
          <t>Anno 6</t>
        </is>
      </c>
      <c r="B28" s="18">
        <f>MAX(0,MIN(12,$B$14-60))</f>
        <v/>
      </c>
      <c r="C28" s="16">
        <f>$B$8/12*B28</f>
        <v/>
      </c>
      <c r="D28" s="16">
        <f>F27</f>
        <v/>
      </c>
      <c r="E28" s="16">
        <f>IF(B28=0,0,(F27-C28)*$B$10)</f>
        <v/>
      </c>
      <c r="F28" s="16">
        <f>IF(B28=0,F27,F27-C28+E28)</f>
        <v/>
      </c>
    </row>
    <row r="29">
      <c r="A29" s="8" t="inlineStr">
        <is>
          <t>Anno 7</t>
        </is>
      </c>
      <c r="B29" s="18">
        <f>MAX(0,MIN(12,$B$14-72))</f>
        <v/>
      </c>
      <c r="C29" s="16">
        <f>$B$8/12*B29</f>
        <v/>
      </c>
      <c r="D29" s="16">
        <f>F28</f>
        <v/>
      </c>
      <c r="E29" s="16">
        <f>IF(B29=0,0,(F28-C29)*$B$10)</f>
        <v/>
      </c>
      <c r="F29" s="16">
        <f>IF(B29=0,F28,F28-C29+E29)</f>
        <v/>
      </c>
    </row>
    <row r="30">
      <c r="A30" s="8" t="inlineStr">
        <is>
          <t>Anno 8</t>
        </is>
      </c>
      <c r="B30" s="18">
        <f>MAX(0,MIN(12,$B$14-84))</f>
        <v/>
      </c>
      <c r="C30" s="16">
        <f>$B$8/12*B30</f>
        <v/>
      </c>
      <c r="D30" s="16">
        <f>F29</f>
        <v/>
      </c>
      <c r="E30" s="16">
        <f>IF(B30=0,0,(F29-C30)*$B$10)</f>
        <v/>
      </c>
      <c r="F30" s="16">
        <f>IF(B30=0,F29,F29-C30+E30)</f>
        <v/>
      </c>
    </row>
    <row r="31">
      <c r="A31" s="8" t="inlineStr">
        <is>
          <t>TOTALE speso nel ponte</t>
        </is>
      </c>
      <c r="C31" s="16">
        <f>SUM(C23:C30)</f>
        <v/>
      </c>
      <c r="D31" s="8" t="inlineStr">
        <is>
          <t>Residuo alla prima rata</t>
        </is>
      </c>
      <c r="F31" s="16">
        <f>F30</f>
        <v/>
      </c>
    </row>
    <row r="33" ht="45" customHeight="1">
      <c r="A33" s="13" t="inlineStr">
        <is>
          <t>Il piano copre fino a 8 anni di ponte: se ne servono di più, il residuo va letto come indicativo. Ricorda che nei mesi del ponte non versi contributi: se non hai ancora i 20 anni di contribuzione effettiva, il ponte da solo non ti porta alla pensione. Vedi il foglio 4.</t>
        </is>
      </c>
    </row>
    <row r="35">
      <c r="A35" s="7" t="inlineStr">
        <is>
          <t>RIEPILOGO — contributi volontari (dal foglio 4)</t>
        </is>
      </c>
    </row>
    <row r="36">
      <c r="A36" s="8" t="inlineStr">
        <is>
          <t>Costo di 1 anno di contributi volontari (€)</t>
        </is>
      </c>
      <c r="B36" s="15">
        <f>'4 - VOLONTARI'!B15</f>
        <v/>
      </c>
    </row>
    <row r="37">
      <c r="A37" s="8" t="inlineStr">
        <is>
          <t>Anni per rientrare, deducendo al 43% e tassando al 33%</t>
        </is>
      </c>
      <c r="B37" s="24">
        <f>'4 - VOLONTARI'!B24</f>
        <v/>
      </c>
    </row>
    <row r="38">
      <c r="A38" s="8" t="inlineStr">
        <is>
          <t>Anni per rientrare SENZA redditi da dedurre</t>
        </is>
      </c>
      <c r="B38" s="24">
        <f>'4 - VOLONTARI'!B26</f>
        <v/>
      </c>
    </row>
  </sheetData>
  <mergeCells count="8">
    <mergeCell ref="A2:F2"/>
    <mergeCell ref="A33:F33"/>
    <mergeCell ref="A13:F13"/>
    <mergeCell ref="A11:B11"/>
    <mergeCell ref="A1:F1"/>
    <mergeCell ref="A35:F35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" customWidth="1" min="3" max="3"/>
    <col width="40" customWidth="1" min="4" max="4"/>
    <col width="18" customWidth="1" min="5" max="5"/>
  </cols>
  <sheetData>
    <row r="1" ht="25" customHeight="1">
      <c r="A1" s="1" t="inlineStr">
        <is>
          <t>Contributi volontari: il conto vero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Retribuzione lorda annua di riferimento (€)</t>
        </is>
      </c>
      <c r="B5" s="9" t="n">
        <v>35000</v>
      </c>
    </row>
    <row r="6">
      <c r="A6" s="8" t="inlineStr">
        <is>
          <t>Aliquota contributiva volontaria (%) — INPS circ. 27/2026</t>
        </is>
      </c>
      <c r="B6" s="22" t="n">
        <v>0.33</v>
      </c>
    </row>
    <row r="7">
      <c r="A7" s="8" t="inlineStr">
        <is>
          <t>Retribuzione minima settimanale imponibile 2026 (€)</t>
        </is>
      </c>
      <c r="B7" s="11" t="n">
        <v>244.74</v>
      </c>
    </row>
    <row r="8">
      <c r="A8" s="8" t="inlineStr">
        <is>
          <t>Anni di versamento volontario previsti</t>
        </is>
      </c>
      <c r="B8" s="10" t="n">
        <v>1</v>
      </c>
    </row>
    <row r="9">
      <c r="A9" s="8" t="inlineStr">
        <is>
          <t>Coefficiente di trasformazione a 64 anni</t>
        </is>
      </c>
      <c r="B9" s="12" t="n">
        <v>0.05088</v>
      </c>
    </row>
    <row r="10">
      <c r="A10" s="8" t="inlineStr">
        <is>
          <t>Aliquota marginale con cui DEDUCI oggi (%)</t>
        </is>
      </c>
      <c r="B10" s="22" t="n">
        <v>0.43</v>
      </c>
    </row>
    <row r="11">
      <c r="A11" s="8" t="inlineStr">
        <is>
          <t>Aliquota con cui tasserai la pensione (%)</t>
        </is>
      </c>
      <c r="B11" s="22" t="n">
        <v>0.33</v>
      </c>
    </row>
    <row r="13">
      <c r="A13" s="7" t="inlineStr">
        <is>
          <t>COSTO</t>
        </is>
      </c>
    </row>
    <row r="14">
      <c r="A14" s="8" t="inlineStr">
        <is>
          <t>Contributo settimanale (€)</t>
        </is>
      </c>
      <c r="B14" s="15">
        <f>MAX(B5/52,B7)*B6</f>
        <v/>
      </c>
    </row>
    <row r="15">
      <c r="A15" s="8" t="inlineStr">
        <is>
          <t>Costo LORDO di 1 anno (52 settimane) (€)</t>
        </is>
      </c>
      <c r="B15" s="15">
        <f>B14*52</f>
        <v/>
      </c>
    </row>
    <row r="16">
      <c r="A16" s="8" t="inlineStr">
        <is>
          <t>Costo LORDO totale (€)</t>
        </is>
      </c>
      <c r="B16" s="15">
        <f>B15*B8</f>
        <v/>
      </c>
    </row>
    <row r="17">
      <c r="A17" s="8" t="inlineStr">
        <is>
          <t>Deduzione IRPEF (art. 10 c. 1 lett. e TUIR) (€)</t>
        </is>
      </c>
      <c r="B17" s="15">
        <f>B16*B10</f>
        <v/>
      </c>
    </row>
    <row r="18">
      <c r="A18" s="8" t="inlineStr">
        <is>
          <t>COSTO NETTO se hai redditi capienti (€)</t>
        </is>
      </c>
      <c r="B18" s="15">
        <f>B16-B17</f>
        <v/>
      </c>
    </row>
    <row r="19">
      <c r="A19" s="8" t="inlineStr">
        <is>
          <t>Costo minimo di legge, 1 anno (retribuzione minima) (€)</t>
        </is>
      </c>
      <c r="B19" s="15">
        <f>B7*B6*52</f>
        <v/>
      </c>
    </row>
    <row r="21">
      <c r="A21" s="7" t="inlineStr">
        <is>
          <t>BENEFICIO E PAREGGIO</t>
        </is>
      </c>
    </row>
    <row r="22">
      <c r="A22" s="8" t="inlineStr">
        <is>
          <t>Pensione LORDA annua in più (€)</t>
        </is>
      </c>
      <c r="B22" s="15">
        <f>B16*B9</f>
        <v/>
      </c>
    </row>
    <row r="23">
      <c r="A23" s="8" t="inlineStr">
        <is>
          <t>Pensione lorda mensile in più (13 mensilità) (€)</t>
        </is>
      </c>
      <c r="B23" s="15">
        <f>B22/13</f>
        <v/>
      </c>
    </row>
    <row r="24">
      <c r="A24" s="8" t="inlineStr">
        <is>
          <t>Anni per rientrare — deduci oggi, tassi da pensionato</t>
        </is>
      </c>
      <c r="B24" s="25">
        <f>IFERROR(B18/(B22*(1-B11)),NA())</f>
        <v/>
      </c>
    </row>
    <row r="25">
      <c r="A25" s="8" t="inlineStr">
        <is>
          <t>Anni per rientrare — al lordo (nessun effetto fiscale)</t>
        </is>
      </c>
      <c r="B25" s="25">
        <f>IFERROR(B16/B22,NA())</f>
        <v/>
      </c>
    </row>
    <row r="26">
      <c r="A26" s="8" t="inlineStr">
        <is>
          <t>Anni per rientrare — SENZA redditi da dedurre</t>
        </is>
      </c>
      <c r="B26" s="25">
        <f>IFERROR(B16/(B22*(1-B11)),NA())</f>
        <v/>
      </c>
    </row>
    <row r="27">
      <c r="A27" s="8" t="inlineStr">
        <is>
          <t>Verdetto</t>
        </is>
      </c>
      <c r="B27" s="17">
        <f>IF(B24&lt;=15,"Conviene","Pareggio troppo lontano: usali per l'accesso, non per l'importo")</f>
        <v/>
      </c>
    </row>
    <row r="28" ht="75" customHeight="1">
      <c r="A28" s="13" t="inlineStr">
        <is>
          <t>Ipotesi prudenziale: il montante non viene rivalutato (in realtà si rivaluta con la media quinquennale del PIL nominale, che negli ultimi anni è stata positiva). Con la rivalutazione il pareggio si accorcia di 1-3 anni, non di più. Il punto resta: i volontari hanno senso per comprare gli ANNI mancanti, non per alzare l'importo.</t>
        </is>
      </c>
    </row>
    <row r="30">
      <c r="A30" s="7" t="inlineStr">
        <is>
          <t>PAREGGIO al variare del profilo fiscale</t>
        </is>
      </c>
    </row>
    <row r="31">
      <c r="A31" s="19" t="inlineStr">
        <is>
          <t>Situazione</t>
        </is>
      </c>
      <c r="B31" s="19" t="inlineStr">
        <is>
          <t>Costo netto</t>
        </is>
      </c>
      <c r="C31" s="19" t="inlineStr">
        <is>
          <t>Beneficio netto/anno</t>
        </is>
      </c>
      <c r="D31" s="19" t="inlineStr">
        <is>
          <t>Anni per rientrare</t>
        </is>
      </c>
    </row>
    <row r="32">
      <c r="A32" s="8" t="inlineStr">
        <is>
          <t>Deduci al 43%, tassi al 33%</t>
        </is>
      </c>
      <c r="B32" s="16">
        <f>$B$16*(1-0.43)</f>
        <v/>
      </c>
      <c r="C32" s="16">
        <f>$B$22*(1-$B$11)</f>
        <v/>
      </c>
      <c r="D32" s="25">
        <f>IFERROR($B$16*(1-0.43)/($B$22*(1-$B$11)),NA())</f>
        <v/>
      </c>
    </row>
    <row r="33">
      <c r="A33" s="8" t="inlineStr">
        <is>
          <t>Deduci al 33%, tassi al 33%</t>
        </is>
      </c>
      <c r="B33" s="16">
        <f>$B$16*(1-0.33)</f>
        <v/>
      </c>
      <c r="C33" s="16">
        <f>$B$22*(1-$B$11)</f>
        <v/>
      </c>
      <c r="D33" s="25">
        <f>IFERROR($B$16*(1-0.33)/($B$22*(1-$B$11)),NA())</f>
        <v/>
      </c>
    </row>
    <row r="34">
      <c r="A34" s="8" t="inlineStr">
        <is>
          <t>Deduci al 23%, tassi al 23%</t>
        </is>
      </c>
      <c r="B34" s="16">
        <f>$B$16*(1-0.23)</f>
        <v/>
      </c>
      <c r="C34" s="16">
        <f>$B$22*(1-$B$11)</f>
        <v/>
      </c>
      <c r="D34" s="25">
        <f>IFERROR($B$16*(1-0.23)/($B$22*(1-$B$11)),NA())</f>
        <v/>
      </c>
    </row>
    <row r="35">
      <c r="A35" s="8" t="inlineStr">
        <is>
          <t>Nessun reddito da dedurre</t>
        </is>
      </c>
      <c r="B35" s="16">
        <f>$B$16*(1-0.0)</f>
        <v/>
      </c>
      <c r="C35" s="16">
        <f>$B$22*(1-$B$11)</f>
        <v/>
      </c>
      <c r="D35" s="25">
        <f>IFERROR($B$16*(1-0.0)/($B$22*(1-$B$11)),NA())</f>
        <v/>
      </c>
    </row>
    <row r="37">
      <c r="A37" s="7" t="inlineStr">
        <is>
          <t>REQUISITI PER L'AUTORIZZAZIONE (D.Lgs. 184/1997 art. 6)</t>
        </is>
      </c>
    </row>
    <row r="38">
      <c r="A38" s="8" t="inlineStr">
        <is>
          <t>Opzione A</t>
        </is>
      </c>
      <c r="B38" s="8" t="inlineStr">
        <is>
          <t>260 contributi settimanali (5 anni) in qualunque epoca</t>
        </is>
      </c>
      <c r="C38" s="20" t="n"/>
      <c r="D38" s="20" t="n"/>
      <c r="E38" s="21" t="n"/>
    </row>
    <row r="39">
      <c r="A39" s="8" t="inlineStr">
        <is>
          <t>Opzione B</t>
        </is>
      </c>
      <c r="B39" s="8" t="inlineStr">
        <is>
          <t>156 settimane (3 anni) nel quinquennio precedente la domanda</t>
        </is>
      </c>
      <c r="C39" s="20" t="n"/>
      <c r="D39" s="20" t="n"/>
      <c r="E39" s="21" t="n"/>
    </row>
    <row r="40">
      <c r="A40" s="8" t="inlineStr">
        <is>
          <t>Contribuzione utile</t>
        </is>
      </c>
      <c r="B40" s="8" t="inlineStr">
        <is>
          <t>solo effettiva: obbligatoria, volontaria, da riscatto</t>
        </is>
      </c>
      <c r="C40" s="20" t="n"/>
      <c r="D40" s="20" t="n"/>
      <c r="E40" s="21" t="n"/>
    </row>
    <row r="41">
      <c r="A41" s="8" t="inlineStr">
        <is>
          <t>Esclusa</t>
        </is>
      </c>
      <c r="B41" s="8" t="inlineStr">
        <is>
          <t>qualsiasi contribuzione figurativa</t>
        </is>
      </c>
      <c r="C41" s="20" t="n"/>
      <c r="D41" s="20" t="n"/>
      <c r="E41" s="21" t="n"/>
    </row>
    <row r="42">
      <c r="A42" s="8" t="inlineStr">
        <is>
          <t>Incompatibilità</t>
        </is>
      </c>
      <c r="B42" s="8" t="inlineStr">
        <is>
          <t>i volontari non si versano nei periodi già coperti da lavoro</t>
        </is>
      </c>
      <c r="C42" s="20" t="n"/>
      <c r="D42" s="20" t="n"/>
      <c r="E42" s="21" t="n"/>
    </row>
  </sheetData>
  <mergeCells count="13">
    <mergeCell ref="A1:D1"/>
    <mergeCell ref="A37:D37"/>
    <mergeCell ref="B40:E40"/>
    <mergeCell ref="B41:E41"/>
    <mergeCell ref="A4:D4"/>
    <mergeCell ref="A21:D21"/>
    <mergeCell ref="A28:B28"/>
    <mergeCell ref="A30:D30"/>
    <mergeCell ref="B38:E38"/>
    <mergeCell ref="B39:E39"/>
    <mergeCell ref="A2:D2"/>
    <mergeCell ref="B42:E4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" customWidth="1" min="3" max="3"/>
    <col width="40" customWidth="1" min="4" max="4"/>
    <col width="18" customWidth="1" min="5" max="5"/>
  </cols>
  <sheetData>
    <row r="1" ht="25" customHeight="1">
      <c r="A1" s="1" t="inlineStr">
        <is>
          <t>La strategia part-time: quanto costa davvero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Imponibile attuale a tempo pieno (€/anno)</t>
        </is>
      </c>
      <c r="B5" s="9" t="n">
        <v>35000</v>
      </c>
    </row>
    <row r="6">
      <c r="A6" s="8" t="inlineStr">
        <is>
          <t>Imponibile a part-time (€/anno)</t>
        </is>
      </c>
      <c r="B6" s="9" t="n">
        <v>20000</v>
      </c>
    </row>
    <row r="7">
      <c r="A7" s="8" t="inlineStr">
        <is>
          <t>Per quanti anni</t>
        </is>
      </c>
      <c r="B7" s="10" t="n">
        <v>10</v>
      </c>
    </row>
    <row r="8">
      <c r="A8" s="8" t="inlineStr">
        <is>
          <t>Aliquota di computo IVS (%)</t>
        </is>
      </c>
      <c r="B8" s="22" t="n">
        <v>0.33</v>
      </c>
    </row>
    <row r="9">
      <c r="A9" s="8" t="inlineStr">
        <is>
          <t>Coefficiente di trasformazione a 64 anni</t>
        </is>
      </c>
      <c r="B9" s="12" t="n">
        <v>0.05088</v>
      </c>
    </row>
    <row r="11">
      <c r="A11" s="7" t="inlineStr">
        <is>
          <t>EFFETTO SULLA PENSIONE</t>
        </is>
      </c>
    </row>
    <row r="12">
      <c r="A12" s="8" t="inlineStr">
        <is>
          <t>Montante accantonato a tempo pieno (€)</t>
        </is>
      </c>
      <c r="B12" s="16">
        <f>B5*B8*B7</f>
        <v/>
      </c>
    </row>
    <row r="13">
      <c r="A13" s="8" t="inlineStr">
        <is>
          <t>Montante accantonato a part-time (€)</t>
        </is>
      </c>
      <c r="B13" s="16">
        <f>B6*B8*B7</f>
        <v/>
      </c>
    </row>
    <row r="14">
      <c r="A14" s="8" t="inlineStr">
        <is>
          <t>Montante PERSO (€)</t>
        </is>
      </c>
      <c r="B14" s="16">
        <f>B12-B13</f>
        <v/>
      </c>
    </row>
    <row r="15">
      <c r="A15" s="8" t="inlineStr">
        <is>
          <t>Assegno annuo perso (€)</t>
        </is>
      </c>
      <c r="B15" s="15">
        <f>B14*B9</f>
        <v/>
      </c>
    </row>
    <row r="16">
      <c r="A16" s="8" t="inlineStr">
        <is>
          <t>Assegno mensile perso, a vita (€)</t>
        </is>
      </c>
      <c r="B16" s="15">
        <f>B15/13</f>
        <v/>
      </c>
    </row>
    <row r="18">
      <c r="A18" s="7" t="inlineStr">
        <is>
          <t>IMPATTO SULLA SOGLIA DEI 64 ANNI</t>
        </is>
      </c>
    </row>
    <row r="19">
      <c r="A19" s="8" t="inlineStr">
        <is>
          <t>Assegno mensile senza part-time (foglio 1) (€)</t>
        </is>
      </c>
      <c r="B19" s="15">
        <f>'1 - SOGLIA 64'!B23</f>
        <v/>
      </c>
    </row>
    <row r="20">
      <c r="A20" s="8" t="inlineStr">
        <is>
          <t>Assegno mensile dopo il part-time (€)</t>
        </is>
      </c>
      <c r="B20" s="15">
        <f>B19-B16</f>
        <v/>
      </c>
    </row>
    <row r="21">
      <c r="A21" s="8" t="inlineStr">
        <is>
          <t>Soglia da superare (foglio 1) (€)</t>
        </is>
      </c>
      <c r="B21" s="15">
        <f>'1 - SOGLIA 64'!B16</f>
        <v/>
      </c>
    </row>
    <row r="22">
      <c r="A22" s="8" t="inlineStr">
        <is>
          <t>Il part-time ti fa scendere sotto soglia?</t>
        </is>
      </c>
      <c r="B22" s="17">
        <f>IF(AND(B19&gt;=B21,B20&lt;B21),"SÌ — ti chiude la porta dei 64 anni",IF(B20&lt;B21,"Eri già sotto soglia","No, resti sopra"))</f>
        <v/>
      </c>
    </row>
    <row r="24" ht="75" customHeight="1">
      <c r="A24" s="13" t="inlineStr">
        <is>
          <t>Il part-time riduce il montante in modo proporzionale all'imponibile, e l'effetto è permanente: te lo porti dietro per tutta la pensione. Va confrontato con il valore del tempo libero guadagnato, che questo foglio non può misurare. Ma il costo va conosciuto prima, non dopo.</t>
        </is>
      </c>
    </row>
    <row r="26">
      <c r="A26" s="7" t="inlineStr">
        <is>
          <t>TASSI DI SOSTITUZIONE — dipendenti privati, 2030 (RGS 2025)</t>
        </is>
      </c>
    </row>
    <row r="27">
      <c r="A27" s="19" t="inlineStr">
        <is>
          <t>Canale di uscita</t>
        </is>
      </c>
      <c r="B27" s="19" t="inlineStr">
        <is>
          <t>Lordo</t>
        </is>
      </c>
      <c r="C27" s="19" t="inlineStr">
        <is>
          <t>Netto</t>
        </is>
      </c>
    </row>
    <row r="28">
      <c r="A28" s="8" t="inlineStr">
        <is>
          <t>Pensione di vecchiaia</t>
        </is>
      </c>
      <c r="B28" s="26">
        <f>0.708</f>
        <v/>
      </c>
      <c r="C28" s="26">
        <f>0.758</f>
        <v/>
      </c>
    </row>
    <row r="29">
      <c r="A29" s="8" t="inlineStr">
        <is>
          <t>Pensionamento anticipato contributivo</t>
        </is>
      </c>
      <c r="B29" s="26">
        <f>0.594</f>
        <v/>
      </c>
      <c r="C29" s="26">
        <f>0.651</f>
        <v/>
      </c>
    </row>
    <row r="30">
      <c r="A30" s="8" t="inlineStr">
        <is>
          <t>Differenza</t>
        </is>
      </c>
      <c r="B30" s="26">
        <f>B29-B28</f>
        <v/>
      </c>
      <c r="C30" s="26">
        <f>C29-C28</f>
        <v/>
      </c>
    </row>
    <row r="32" ht="60" customHeight="1">
      <c r="A32" s="13" t="inlineStr">
        <is>
          <t>Fonte: MEF — Ragioneria Generale dello Stato, «Le tendenze di medio-lungo periodo del sistema pensionistico e socio-sanitario», Aggiornamento 2025 (Rapporto n. 26), Tab. 6.1.a e 6.3.a, scenario nazionale base, anno 2030. Per i lavoratori autonomi lo stesso rapporto stima un tasso lordo del 39,5% e definisce l'accesso alla via contributiva «un'eventualità poco probabile».</t>
        </is>
      </c>
    </row>
  </sheetData>
  <mergeCells count="8">
    <mergeCell ref="A1:D1"/>
    <mergeCell ref="A18:D18"/>
    <mergeCell ref="A24:B24"/>
    <mergeCell ref="A4:D4"/>
    <mergeCell ref="A26:D26"/>
    <mergeCell ref="A2:D2"/>
    <mergeCell ref="A11:D1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2026-08-02T15:30:52Z</dcterms:created>
  <dcterms:modified xsi:type="dcterms:W3CDTF">2026-08-02T15:30:52Z</dcterms:modified>
</cp:coreProperties>
</file>