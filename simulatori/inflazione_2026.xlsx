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/>
  </bookViews>
  <sheets>
    <sheet name="0 - Indice" sheetId="1" r:id="rId1"/>
    <sheet name="1 - La tua inflazione" sheetId="2" r:id="rId2"/>
    <sheet name="2 - Reale netto" sheetId="3" r:id="rId3"/>
    <sheet name="3 - Buono vs BTP indicizzato" sheetId="4" r:id="rId4"/>
    <sheet name="4 - Fondo pensione reale" sheetId="5" r:id="rId5"/>
    <sheet name="5 - Sequenza inflazione" sheetId="6" r:id="rId6"/>
  </sheets>
  <calcPr calcId="144525"/>
</workbook>
</file>

<file path=xl/calcChain.xml><?xml version="1.0" encoding="utf-8"?>
<calcChain xmlns="http://schemas.openxmlformats.org/spreadsheetml/2006/main">
  <c r="D56" i="6" l="1"/>
  <c r="D46" i="6"/>
  <c r="C46" i="6"/>
  <c r="B46" i="6"/>
  <c r="D45" i="6"/>
  <c r="C45" i="6"/>
  <c r="B45" i="6"/>
  <c r="D44" i="6"/>
  <c r="C44" i="6"/>
  <c r="B44" i="6"/>
  <c r="D43" i="6"/>
  <c r="C43" i="6"/>
  <c r="B43" i="6"/>
  <c r="D42" i="6"/>
  <c r="C42" i="6"/>
  <c r="B42" i="6"/>
  <c r="D41" i="6"/>
  <c r="C41" i="6"/>
  <c r="B41" i="6"/>
  <c r="D40" i="6"/>
  <c r="C40" i="6"/>
  <c r="B40" i="6"/>
  <c r="D39" i="6"/>
  <c r="C39" i="6"/>
  <c r="B39" i="6"/>
  <c r="D38" i="6"/>
  <c r="C38" i="6"/>
  <c r="B38" i="6"/>
  <c r="D37" i="6"/>
  <c r="C37" i="6"/>
  <c r="B37" i="6"/>
  <c r="D36" i="6"/>
  <c r="C36" i="6"/>
  <c r="B36" i="6"/>
  <c r="D35" i="6"/>
  <c r="C35" i="6"/>
  <c r="B35" i="6"/>
  <c r="D34" i="6"/>
  <c r="C34" i="6"/>
  <c r="B34" i="6"/>
  <c r="D33" i="6"/>
  <c r="C33" i="6"/>
  <c r="B33" i="6"/>
  <c r="D32" i="6"/>
  <c r="C32" i="6"/>
  <c r="B32" i="6"/>
  <c r="D31" i="6"/>
  <c r="C31" i="6"/>
  <c r="B31" i="6"/>
  <c r="D30" i="6"/>
  <c r="C30" i="6"/>
  <c r="B30" i="6"/>
  <c r="D29" i="6"/>
  <c r="C29" i="6"/>
  <c r="B29" i="6"/>
  <c r="D28" i="6"/>
  <c r="C28" i="6"/>
  <c r="B28" i="6"/>
  <c r="D27" i="6"/>
  <c r="C27" i="6"/>
  <c r="B27" i="6"/>
  <c r="D26" i="6"/>
  <c r="C26" i="6"/>
  <c r="B26" i="6"/>
  <c r="D25" i="6"/>
  <c r="C25" i="6"/>
  <c r="B25" i="6"/>
  <c r="D24" i="6"/>
  <c r="C24" i="6"/>
  <c r="B24" i="6"/>
  <c r="D23" i="6"/>
  <c r="C23" i="6"/>
  <c r="B23" i="6"/>
  <c r="D22" i="6"/>
  <c r="C22" i="6"/>
  <c r="B22" i="6"/>
  <c r="D21" i="6"/>
  <c r="C21" i="6"/>
  <c r="B21" i="6"/>
  <c r="D20" i="6"/>
  <c r="C20" i="6"/>
  <c r="B20" i="6"/>
  <c r="D19" i="6"/>
  <c r="C19" i="6"/>
  <c r="B19" i="6"/>
  <c r="D18" i="6"/>
  <c r="C18" i="6"/>
  <c r="B18" i="6"/>
  <c r="I17" i="6"/>
  <c r="G17" i="6"/>
  <c r="E17" i="6"/>
  <c r="D17" i="6"/>
  <c r="C17" i="6"/>
  <c r="B17" i="6"/>
  <c r="E42" i="5"/>
  <c r="D42" i="5"/>
  <c r="C42" i="5"/>
  <c r="B42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D21" i="5"/>
  <c r="B21" i="5"/>
  <c r="B20" i="5"/>
  <c r="C20" i="5" s="1"/>
  <c r="D19" i="5"/>
  <c r="E19" i="5" s="1"/>
  <c r="F19" i="5" s="1"/>
  <c r="C19" i="5"/>
  <c r="D18" i="5"/>
  <c r="E18" i="5" s="1"/>
  <c r="F18" i="5" s="1"/>
  <c r="C18" i="5"/>
  <c r="D17" i="5"/>
  <c r="G17" i="5" s="1"/>
  <c r="C17" i="5"/>
  <c r="D16" i="5"/>
  <c r="G16" i="5" s="1"/>
  <c r="C16" i="5"/>
  <c r="D15" i="5"/>
  <c r="G15" i="5" s="1"/>
  <c r="C15" i="5"/>
  <c r="H25" i="4"/>
  <c r="G25" i="4"/>
  <c r="E25" i="4"/>
  <c r="C25" i="4"/>
  <c r="D25" i="4" s="1"/>
  <c r="F25" i="4" s="1"/>
  <c r="I25" i="4" s="1"/>
  <c r="B30" i="4" s="1"/>
  <c r="H24" i="4"/>
  <c r="G24" i="4"/>
  <c r="J24" i="4" s="1"/>
  <c r="E24" i="4"/>
  <c r="C24" i="4"/>
  <c r="D24" i="4" s="1"/>
  <c r="F24" i="4" s="1"/>
  <c r="H23" i="4"/>
  <c r="G23" i="4"/>
  <c r="J23" i="4" s="1"/>
  <c r="E23" i="4"/>
  <c r="C23" i="4"/>
  <c r="K23" i="4" s="1"/>
  <c r="H22" i="4"/>
  <c r="G22" i="4"/>
  <c r="J22" i="4" s="1"/>
  <c r="E22" i="4"/>
  <c r="C22" i="4"/>
  <c r="D22" i="4" s="1"/>
  <c r="F22" i="4" s="1"/>
  <c r="I22" i="4" s="1"/>
  <c r="H21" i="4"/>
  <c r="G21" i="4"/>
  <c r="J21" i="4" s="1"/>
  <c r="E21" i="4"/>
  <c r="C21" i="4"/>
  <c r="K21" i="4" s="1"/>
  <c r="H20" i="4"/>
  <c r="G20" i="4"/>
  <c r="E20" i="4"/>
  <c r="C20" i="4"/>
  <c r="D20" i="4" s="1"/>
  <c r="F20" i="4" s="1"/>
  <c r="I20" i="4" s="1"/>
  <c r="H19" i="4"/>
  <c r="G19" i="4"/>
  <c r="J19" i="4" s="1"/>
  <c r="E19" i="4"/>
  <c r="C19" i="4"/>
  <c r="K19" i="4" s="1"/>
  <c r="H18" i="4"/>
  <c r="G18" i="4"/>
  <c r="J18" i="4" s="1"/>
  <c r="E18" i="4"/>
  <c r="C18" i="4"/>
  <c r="K18" i="4" s="1"/>
  <c r="H17" i="4"/>
  <c r="G17" i="4"/>
  <c r="J17" i="4" s="1"/>
  <c r="E17" i="4"/>
  <c r="C17" i="4"/>
  <c r="D17" i="4" s="1"/>
  <c r="F17" i="4" s="1"/>
  <c r="I17" i="4" s="1"/>
  <c r="H16" i="4"/>
  <c r="G16" i="4"/>
  <c r="J16" i="4" s="1"/>
  <c r="E16" i="4"/>
  <c r="C16" i="4"/>
  <c r="K16" i="4" s="1"/>
  <c r="I24" i="3"/>
  <c r="I25" i="3" s="1"/>
  <c r="I26" i="3" s="1"/>
  <c r="I27" i="3" s="1"/>
  <c r="H24" i="3"/>
  <c r="H25" i="3" s="1"/>
  <c r="H26" i="3" s="1"/>
  <c r="H27" i="3" s="1"/>
  <c r="G24" i="3"/>
  <c r="G25" i="3" s="1"/>
  <c r="G26" i="3" s="1"/>
  <c r="G27" i="3" s="1"/>
  <c r="F24" i="3"/>
  <c r="F25" i="3" s="1"/>
  <c r="F26" i="3" s="1"/>
  <c r="F27" i="3" s="1"/>
  <c r="I23" i="3"/>
  <c r="H23" i="3"/>
  <c r="G23" i="3"/>
  <c r="F23" i="3"/>
  <c r="E14" i="3"/>
  <c r="G14" i="3" s="1"/>
  <c r="E13" i="3"/>
  <c r="I13" i="3" s="1"/>
  <c r="E12" i="3"/>
  <c r="F12" i="3" s="1"/>
  <c r="E11" i="3"/>
  <c r="I11" i="3" s="1"/>
  <c r="I10" i="3"/>
  <c r="H10" i="3"/>
  <c r="G10" i="3"/>
  <c r="F10" i="3"/>
  <c r="B28" i="2"/>
  <c r="D20" i="2"/>
  <c r="E18" i="2" s="1"/>
  <c r="H18" i="2" s="1"/>
  <c r="B20" i="2"/>
  <c r="I20" i="2" s="1"/>
  <c r="G19" i="2"/>
  <c r="C19" i="2"/>
  <c r="G18" i="2"/>
  <c r="C18" i="2"/>
  <c r="G17" i="2"/>
  <c r="C17" i="2"/>
  <c r="G16" i="2"/>
  <c r="C16" i="2"/>
  <c r="G15" i="2"/>
  <c r="C15" i="2"/>
  <c r="G14" i="2"/>
  <c r="C14" i="2"/>
  <c r="G13" i="2"/>
  <c r="C13" i="2"/>
  <c r="G12" i="2"/>
  <c r="C12" i="2"/>
  <c r="G11" i="2"/>
  <c r="C11" i="2"/>
  <c r="G10" i="2"/>
  <c r="C10" i="2"/>
  <c r="K24" i="4" l="1"/>
  <c r="B51" i="6"/>
  <c r="D51" i="6"/>
  <c r="E16" i="2"/>
  <c r="H16" i="2" s="1"/>
  <c r="K17" i="4"/>
  <c r="E12" i="2"/>
  <c r="H12" i="2" s="1"/>
  <c r="E19" i="2"/>
  <c r="H19" i="2" s="1"/>
  <c r="E15" i="2"/>
  <c r="H15" i="2" s="1"/>
  <c r="E11" i="2"/>
  <c r="H11" i="2" s="1"/>
  <c r="G20" i="2"/>
  <c r="B23" i="2" s="1"/>
  <c r="B24" i="2" s="1"/>
  <c r="G12" i="3"/>
  <c r="H12" i="3"/>
  <c r="J12" i="3" s="1"/>
  <c r="B50" i="6"/>
  <c r="C41" i="5"/>
  <c r="H13" i="3"/>
  <c r="J13" i="3" s="1"/>
  <c r="J20" i="4"/>
  <c r="D19" i="4"/>
  <c r="F19" i="4" s="1"/>
  <c r="I19" i="4" s="1"/>
  <c r="C50" i="6"/>
  <c r="F13" i="3"/>
  <c r="K22" i="4"/>
  <c r="G13" i="3"/>
  <c r="I24" i="4"/>
  <c r="C51" i="6"/>
  <c r="D50" i="6"/>
  <c r="I18" i="6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D16" i="4"/>
  <c r="F16" i="4" s="1"/>
  <c r="I16" i="4" s="1"/>
  <c r="J17" i="6"/>
  <c r="I12" i="3"/>
  <c r="B41" i="5"/>
  <c r="D41" i="5"/>
  <c r="E41" i="5"/>
  <c r="K20" i="4"/>
  <c r="B29" i="4"/>
  <c r="D21" i="4"/>
  <c r="F21" i="4" s="1"/>
  <c r="I21" i="4" s="1"/>
  <c r="E15" i="5"/>
  <c r="F15" i="5" s="1"/>
  <c r="H17" i="6"/>
  <c r="D23" i="4"/>
  <c r="F23" i="4" s="1"/>
  <c r="I23" i="4" s="1"/>
  <c r="G18" i="5"/>
  <c r="C20" i="2"/>
  <c r="E20" i="2"/>
  <c r="G19" i="5"/>
  <c r="E18" i="6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F17" i="6"/>
  <c r="F14" i="3"/>
  <c r="D18" i="4"/>
  <c r="F18" i="4" s="1"/>
  <c r="I18" i="4" s="1"/>
  <c r="E13" i="2"/>
  <c r="H13" i="2" s="1"/>
  <c r="E17" i="2"/>
  <c r="H17" i="2" s="1"/>
  <c r="H11" i="3"/>
  <c r="J11" i="3" s="1"/>
  <c r="G18" i="6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E16" i="5"/>
  <c r="F16" i="5" s="1"/>
  <c r="J25" i="4"/>
  <c r="D20" i="5"/>
  <c r="E20" i="5" s="1"/>
  <c r="F20" i="5" s="1"/>
  <c r="H14" i="3"/>
  <c r="J14" i="3" s="1"/>
  <c r="K25" i="4"/>
  <c r="B31" i="4" s="1"/>
  <c r="E17" i="5"/>
  <c r="F17" i="5" s="1"/>
  <c r="F11" i="3"/>
  <c r="G11" i="3"/>
  <c r="I14" i="3"/>
  <c r="E10" i="2"/>
  <c r="H10" i="2" s="1"/>
  <c r="E14" i="2"/>
  <c r="H14" i="2" s="1"/>
  <c r="J18" i="6" l="1"/>
  <c r="J19" i="6" s="1"/>
  <c r="J20" i="6" s="1"/>
  <c r="J21" i="6" s="1"/>
  <c r="J22" i="6" s="1"/>
  <c r="J23" i="6" s="1"/>
  <c r="J24" i="6" s="1"/>
  <c r="J25" i="6" s="1"/>
  <c r="J26" i="6" s="1"/>
  <c r="J27" i="6" s="1"/>
  <c r="J28" i="6" s="1"/>
  <c r="J29" i="6" s="1"/>
  <c r="J30" i="6" s="1"/>
  <c r="J31" i="6" s="1"/>
  <c r="J32" i="6" s="1"/>
  <c r="J33" i="6" s="1"/>
  <c r="J34" i="6" s="1"/>
  <c r="J35" i="6" s="1"/>
  <c r="J36" i="6" s="1"/>
  <c r="J37" i="6" s="1"/>
  <c r="J38" i="6" s="1"/>
  <c r="J39" i="6" s="1"/>
  <c r="J40" i="6" s="1"/>
  <c r="J41" i="6" s="1"/>
  <c r="J42" i="6" s="1"/>
  <c r="J43" i="6" s="1"/>
  <c r="J44" i="6" s="1"/>
  <c r="J45" i="6" s="1"/>
  <c r="J46" i="6" s="1"/>
  <c r="D53" i="6" s="1"/>
  <c r="D54" i="6" s="1"/>
  <c r="F18" i="6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B53" i="6" s="1"/>
  <c r="H18" i="6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C53" i="6" s="1"/>
  <c r="C52" i="6"/>
  <c r="D52" i="6"/>
  <c r="H20" i="2"/>
  <c r="B25" i="2" s="1"/>
  <c r="B52" i="6"/>
  <c r="D55" i="6" l="1"/>
  <c r="C55" i="6"/>
  <c r="C56" i="6"/>
  <c r="C54" i="6"/>
  <c r="B55" i="6"/>
  <c r="B26" i="2"/>
  <c r="B27" i="2"/>
  <c r="B29" i="2" s="1"/>
  <c r="B54" i="6"/>
  <c r="B56" i="6"/>
</calcChain>
</file>

<file path=xl/sharedStrings.xml><?xml version="1.0" encoding="utf-8"?>
<sst xmlns="http://schemas.openxmlformats.org/spreadsheetml/2006/main" count="253" uniqueCount="222">
  <si>
    <t>Speciale inflazione 2026 — il simulatore</t>
  </si>
  <si>
    <t>Strumento informativo / divulgativo. NON è consulenza finanziaria. I valori sono indicativi al 2026 e vanno verificati col tuo consulente.</t>
  </si>
  <si>
    <t>Indice</t>
  </si>
  <si>
    <t>1 - La tua inflazione</t>
  </si>
  <si>
    <t>Il paniere ISTAT contro il tuo: la tua inflazione personale</t>
  </si>
  <si>
    <t>2 - Reale netto</t>
  </si>
  <si>
    <t>Dal rendimento lordo al reale netto, su 4 scenari di inflazione</t>
  </si>
  <si>
    <t>3 - Buono vs BTP indicizzato</t>
  </si>
  <si>
    <t>Buono postale indicizzato vs titolo di Stato indicizzato, 1-10 anni</t>
  </si>
  <si>
    <t>4 - Fondo pensione reale</t>
  </si>
  <si>
    <t>Comparti COVIP × anni × inflazione, e il TFR lasciato in azienda</t>
  </si>
  <si>
    <t>5 - Sequenza inflazione</t>
  </si>
  <si>
    <t>Stessa media, tre sequenze: 30 anni di decumulo a confronto</t>
  </si>
  <si>
    <t>Come usare</t>
  </si>
  <si>
    <t>1. Le celle GIALLE sono input — modificale coi tuoi numeri.</t>
  </si>
  <si>
    <t>2. Le celle VERDI sono output — si aggiornano automaticamente.</t>
  </si>
  <si>
    <t>3. Tutti i numeri di default sono al 2026 da fonti pubbliche.</t>
  </si>
  <si>
    <t>4. Niente codice nascosto: l'Excel è solo formule modificabili.</t>
  </si>
  <si>
    <t>Fonti dati</t>
  </si>
  <si>
    <t>• ISTAT — Prezzi al consumo, agosto 2026 (dati definitivi, 16-09-2026): NIC +3,3%; carrello della spesa +0,9%; energetici regolamentati +18,6% / non regolamentati +17,0%; inflazione di fondo +1,5%; beni +4,1% / servizi +2,4%; FOI ex tabacchi +3,4%; inflazione acquisita 2026 +2,9%</t>
  </si>
  <si>
    <t>• ISTAT — struttura del paniere NIC: i pesi delle voci principali sono espressi su 1.000.000. Le voci marcate 'riparto residuale' nel foglio 1 NON sono pesi ufficiali: chiudono la somma a 1.000.000 e vanno verificate sul comunicato ISTAT prima di essere citate come tali</t>
  </si>
  <si>
    <t>• MEF — comunicato asta BOT 12 mesi del 09-09-2026: rendimento medio ponderato 2,967% lordo</t>
  </si>
  <si>
    <t>• Banca d'Italia — 'Banche e moneta: serie nazionali' (09-09-2026): tasso medio sul complesso dei depositi in essere 0,69% (luglio 2026)</t>
  </si>
  <si>
    <t>• Conto deposito vincolato 12 mesi: 3,25% lordo, migliore offerta rilevata ad agosto 2026 (rilevazione di mercato, non fonte istituzionale)</t>
  </si>
  <si>
    <t>• CDP / Poste Italiane — foglio informativo del buono postale indicizzato all'inflazione: tassi fissi lordi da 0,00% (1 anno) a 0,60% (10 anni), coefficiente CI = max(1; FOI(2i−3)/FOI(−3)), lag 3 mesi, nessuna rivalutazione nei primi 18 mesi, imposta 12,5%, bollo 0,20% annuo oltre 5.000 €</t>
  </si>
  <si>
    <t>• MEF / Dipartimento del Tesoro — titolo di Stato retail indicizzato al FOI, emissione giugno 2026: tasso reale 1,60%, premio finale 0,60%, durata 5 anni, cedola sul capitale nominale, rimborso a 100, imposta 12,5%</t>
  </si>
  <si>
    <t>• Banca d'Italia — risultati aste 10-09-2026: BTP 3 anni 3,43% (+45 pb), BTP 7 anni 3,98% (+48 pb): rendimenti in salita = prezzi in discesa per chi vende prima della scadenza</t>
  </si>
  <si>
    <t>• COVIP — La previdenza complementare, dati statistici giugno 2026, Tav. 4 (rendimenti netti medi a 10 anni 2015-2025, fondi negoziali): garantiti 0,7%, obbligazionari puri 0,5%, obbligazionari misti 2,6%, bilanciati 2,7%, azionari 4,8%; rivalutazione TFR 2,5%; inflazione FOI 2,0%</t>
  </si>
  <si>
    <t>• Art. 2120 c.c. — rivalutazione del TFR: 1,5% fisso + 75% della variazione dell'indice FOI; imposta sostitutiva del 17% sulla rivalutazione</t>
  </si>
  <si>
    <t>• D.Lgs. 252/2005 — tassazione della prestazione da fondo pensione: 15%, ridotta di 0,30 punti per ogni anno oltre il 15° di partecipazione, fino al 9%</t>
  </si>
  <si>
    <t>• BCE — proiezioni staff settembre 2026: HICP area euro 3,0% (2026) / 2,5% (2027) / 2,1% (2028), picco atteso 3,6% nel Q4-2026; deposit facility al 2,50% dal 10-09-2026</t>
  </si>
  <si>
    <t>• I fogli 3, 4 e 5 contengono MODELLI SEMPLIFICATI di calcolo proprio, non dati pubblicati: le ipotesi sono scritte nelle note in fondo a ogni foglio e sono tutte modificabili</t>
  </si>
  <si>
    <t>Aggiornamenti: github.com/marcofire-it/marco-fire-simulatori</t>
  </si>
  <si>
    <t>La tua inflazione — il paniere ISTAT contro il tuo</t>
  </si>
  <si>
    <t>INPUT GENERALI (celle gialle)</t>
  </si>
  <si>
    <t>Spesa annua della tua famiglia (€)</t>
  </si>
  <si>
    <t>Inflazione nazionale ufficiale — NIC agosto 2026</t>
  </si>
  <si>
    <t>IL PANIERE — pesi ufficiali (su 1.000.000) e pesi TUOI</t>
  </si>
  <si>
    <t>Categoria di spesa</t>
  </si>
  <si>
    <t>Peso ISTAT</t>
  </si>
  <si>
    <t>Peso ISTAT %</t>
  </si>
  <si>
    <t>Peso TUO</t>
  </si>
  <si>
    <t>Peso tuo %</t>
  </si>
  <si>
    <t>Var. prezzi ago-2026</t>
  </si>
  <si>
    <t>Contributo ISTAT</t>
  </si>
  <si>
    <t>Contributo TUO</t>
  </si>
  <si>
    <t>Fonte / nota sulla variazione</t>
  </si>
  <si>
    <t>Alimentari e bevande analcoliche</t>
  </si>
  <si>
    <t>ISTAT ago-2026: 'carrello della spesa' +0,9%</t>
  </si>
  <si>
    <t>Energia: elettricità, gas, carburanti</t>
  </si>
  <si>
    <t>ISTAT ago-2026: energetici regolamentati +18,6%, non regolamentati +17,0%</t>
  </si>
  <si>
    <t>Trasporti (mezzi, manutenzione, biglietti)</t>
  </si>
  <si>
    <t>proxy: aggregato servizi +2,4% (ISTAT ago-2026)</t>
  </si>
  <si>
    <t>Abitazione: affitto/mutuo, acqua, manutenzione</t>
  </si>
  <si>
    <t>proxy: inflazione di fondo +1,5% (ISTAT ago-2026)</t>
  </si>
  <si>
    <t>Tempo libero, cultura e servizi ricreativi</t>
  </si>
  <si>
    <t>Ristorazione e alloggio</t>
  </si>
  <si>
    <t>riparto residuale — proxy servizi +2,4%</t>
  </si>
  <si>
    <t>Abbigliamento e calzature</t>
  </si>
  <si>
    <t>riparto residuale — proxy inflazione di fondo +1,5%</t>
  </si>
  <si>
    <t>Salute e spese mediche</t>
  </si>
  <si>
    <t>Comunicazioni (telefonia, internet)</t>
  </si>
  <si>
    <t>Altri beni e servizi</t>
  </si>
  <si>
    <t>TOTALE</t>
  </si>
  <si>
    <t>RISULTATO — quanto vale l'inflazione PER TE</t>
  </si>
  <si>
    <t>Inflazione ricalcolata col paniere NAZIONALE</t>
  </si>
  <si>
    <t>Scarto vs dato ufficiale ISTAT (punti percentuali)</t>
  </si>
  <si>
    <t>LA TUA INFLAZIONE PERSONALE</t>
  </si>
  <si>
    <t>Differenza: tua inflazione − inflazione ufficiale</t>
  </si>
  <si>
    <t>Costo dell'inflazione in 1 anno, con i TUOI pesi (€)</t>
  </si>
  <si>
    <t>Costo dell'inflazione in 1 anno, col dato ufficiale (€)</t>
  </si>
  <si>
    <t>Differenza in € all'anno (quanto ti costa il TUO paniere)</t>
  </si>
  <si>
    <t>COME SI USA: la colonna 'Peso TUO' parte identica a quella ISTAT. Modificala coi tuoi numeri (quanto pesa DAVVERO ogni voce sulla tua spesa annua): non serve che chiuda a 1.000.000, il foglio normalizza da solo. Se guidi molto e riscaldi una casa grande, alza 'Energia' e 'Trasporti' e guarda cosa succede alla tua inflazione personale.</t>
  </si>
  <si>
    <t>LIMITI DEI DATI: le variazioni di prezzo pubblicate da ISTAT per agosto 2026 e usate qui come dato puntuale sono il totale NIC (+3,3%), il 'carrello della spesa' (+0,9%), i beni energetici (+18,6% regolamentati / +17,0% non regolamentati), l'inflazione di fondo (+1,5%) e gli aggregati beni (+4,1%) / servizi (+2,4%). Le altre righe usano quegli aggregati come PROXY: per questo la somma ponderata non coincide al centesimo col 3,3% ufficiale (lo scarto è mostrato sopra). I pesi delle 5 voci principali sono quelli del brief redazionale; le voci marcate 'riparto residuale' servono a chiudere a 1.000.000 e vanno riviste sul comunicato ISTAT prima di citarle come pesi ufficiali.</t>
  </si>
  <si>
    <t>IL PUNTO: l'inflazione 'media' non esiste per nessuno. Esiste la TUA. Nel 2026 lo shock è energetico, quindi colpisce chi guida e riscalda molto più di chi fa la spesa al supermercato.</t>
  </si>
  <si>
    <t>Rendimento REALE netto — lordo, tasse, bollo, inflazione</t>
  </si>
  <si>
    <t>INPUT — capitale e scenari di inflazione (celle gialle)</t>
  </si>
  <si>
    <t>Capitale investito (€)</t>
  </si>
  <si>
    <t>Scenari di inflazione annua →</t>
  </si>
  <si>
    <t>1 — bassa</t>
  </si>
  <si>
    <t>2 — target BCE</t>
  </si>
  <si>
    <t>3 — ISTAT ago-2026</t>
  </si>
  <si>
    <t>4 — alta</t>
  </si>
  <si>
    <t>1) STRUMENTI A TASSO NOMINALE (il fisco tassa anche la parte che compensa l'inflazione)</t>
  </si>
  <si>
    <t>Strumento</t>
  </si>
  <si>
    <t>Rend. lordo</t>
  </si>
  <si>
    <t>Aliquota</t>
  </si>
  <si>
    <t>Bollo annuo</t>
  </si>
  <si>
    <t>Rend. NETTO</t>
  </si>
  <si>
    <t>€ reali/anno @ scen.3</t>
  </si>
  <si>
    <t>Fonte / nota</t>
  </si>
  <si>
    <t>Titolo di Stato a breve (12 mesi), asta set-2026</t>
  </si>
  <si>
    <t>MEF, asta 09-09-2026: rendimento medio ponderato 2,967% lordo</t>
  </si>
  <si>
    <t>Conto deposito vincolato 12 mesi (migliore offerta)</t>
  </si>
  <si>
    <t>migliore offerta rilevata ad agosto 2026, 3,25% lordo</t>
  </si>
  <si>
    <t>Liquidità sul conto: media dei depositi in essere</t>
  </si>
  <si>
    <t>Banca d'Italia, lug-2026: 0,69%. Sul c/c il bollo è fisso (34,20 €), non 0,2%</t>
  </si>
  <si>
    <t>Il tuo strumento (modifica le celle gialle)</t>
  </si>
  <si>
    <t>riga libera: metti il TUO rendimento, la TUA aliquota, il TUO bollo</t>
  </si>
  <si>
    <t>2) STRUMENTO INDICIZZATO ALL'INFLAZIONE (la cedola contiene l'inflazione)</t>
  </si>
  <si>
    <t>Tasso reale annuo lordo</t>
  </si>
  <si>
    <t>titolo di Stato retail indicizzato al FOI, emissione giugno 2026</t>
  </si>
  <si>
    <t>Premio finale a scadenza (lordo)</t>
  </si>
  <si>
    <t>Durata (anni), su cui si spalma il premio</t>
  </si>
  <si>
    <t>Voce</t>
  </si>
  <si>
    <t>Rendimento LORDO (inflazione + reale + premio/anno)</t>
  </si>
  <si>
    <t>Rendimento netto (tasse + bollo)</t>
  </si>
  <si>
    <t>Rendimento REALE netto</t>
  </si>
  <si>
    <t>€ reali all'anno sul capitale</t>
  </si>
  <si>
    <t>LA REGOLA: rendimento netto = lordo × (1 − aliquota) − bollo. Rendimento reale = (1 + netto) / (1 + inflazione) − 1. Il fisco italiano tassa il rendimento NOMINALE: su 100 € di rendimento che serve solo a compensare l'inflazione paghi comunque 12,50 € (titoli di Stato, buoni postali) o 26 € (conti deposito, ETF, azioni). È per questo che con inflazione al 3,3% quasi tutti gli strumenti 'sicuri' hanno rendimento reale NEGATIVO.</t>
  </si>
  <si>
    <t>L'INDICIZZATO È DIVERSO: il suo rendimento lordo sale con l'inflazione, quindi il reale netto resta quasi costante a ogni scenario (scende un po' solo perché la tassa colpisce anche la componente inflazione). Non è magia: è il motivo per cui esiste. In cambio, se l'inflazione scende sotto le attese, guadagni meno di un tasso fisso. E se vendi prima della scadenza, incassi il prezzo di mercato: la garanzia di rimborso vale solo a scadenza.</t>
  </si>
  <si>
    <t>Il bollo dello 0,20% è quello su dossier titoli e conti deposito. Sul conto corrente l'imposta è invece fissa (34,20 €/anno, non dovuta sotto i 5.000 € di giacenza media): per questo la riga sui depositi in essere ha bollo 0,00%.</t>
  </si>
  <si>
    <t>Buono postale indicizzato vs titolo di Stato indicizzato</t>
  </si>
  <si>
    <t>INPUT (celle gialle)</t>
  </si>
  <si>
    <t>Inflazione FOI media annua attesa</t>
  </si>
  <si>
    <t>Aliquota su buoni e titoli di Stato</t>
  </si>
  <si>
    <t>Imposta di bollo annua</t>
  </si>
  <si>
    <t>Soglia di esenzione bollo sul buono (€)</t>
  </si>
  <si>
    <t>Tasso reale annuo del titolo indicizzato</t>
  </si>
  <si>
    <t>Premio finale del titolo indicizzato</t>
  </si>
  <si>
    <t>Durata del titolo indicizzato (anni)</t>
  </si>
  <si>
    <t>MONTANTE NETTO A CONFRONTO — da 1 a 10 anni di detenzione</t>
  </si>
  <si>
    <t>Anni</t>
  </si>
  <si>
    <t>Tasso fisso buono</t>
  </si>
  <si>
    <t>Anni di rivalutazione</t>
  </si>
  <si>
    <t>Montante lordo buono</t>
  </si>
  <si>
    <t>Bollo cumulato</t>
  </si>
  <si>
    <t>Montante NETTO buono</t>
  </si>
  <si>
    <t>Montante NETTO titolo indicizzato</t>
  </si>
  <si>
    <t>Capitale che conserva il potere d'acquisto</t>
  </si>
  <si>
    <t>Buono: guadagno reale</t>
  </si>
  <si>
    <t>Titolo: guadagno reale</t>
  </si>
  <si>
    <t>Soglia: inflazione MAX coperta (stima senza lag)</t>
  </si>
  <si>
    <t>Nota</t>
  </si>
  <si>
    <t>Primo anno: tasso fisso 0,00% E nessuna rivalutazione. Chi entra 'per difendersi dall'inflazione di adesso' e esce entro 18 mesi riprende esattamente il nominale.</t>
  </si>
  <si>
    <t>Il titolo indicizzato paga circa 1 punto reale in più all'anno, ma ha un prezzo di mercato: se vendi prima della scadenza puoi incassare meno di 100.</t>
  </si>
  <si>
    <t>A 10 anni il buono regge l'inflazione solo finché questa resta sotto la soglia in colonna K. Sopra, tassa e bollo se la mangiano.</t>
  </si>
  <si>
    <t>LETTURA RAPIDA</t>
  </si>
  <si>
    <t>Anni da confrontare</t>
  </si>
  <si>
    <t>Differenza NETTA titolo indicizzato − buono (€)</t>
  </si>
  <si>
    <t>Il buono conserva il potere d'acquisto?</t>
  </si>
  <si>
    <t>Soglia di inflazione coperta a quell'orizzonte (stima)</t>
  </si>
  <si>
    <t>COME FUNZIONA IL BUONO INDICIZZATO: il montante è capitale × (1 + tasso fisso)^anni × coefficiente di indicizzazione. Il coefficiente è max(1; FOI del mese 2i−3 / FOI base): c'è un ritardo di 3 mesi (per questo la colonna C toglie 0,25 anni) e resta bloccato a 1 per i primi 18 mesi (per questo a 1 anno la rivalutazione è zero). Il floor a 1 protegge dalla deflazione.</t>
  </si>
  <si>
    <t>COME FUNZIONA IL TITOLO INDICIZZATO qui modellato: cedola annua = tasso reale + inflazione del periodo, calcolata sul capitale NOMINALE (non rivalutato), rimborso a 100 e premio finale alla scadenza. Le cedole NON sono reinvestite: restano liquide. Oltre la durata si ipotizza il reinvestimento alle stesse condizioni — è una semplificazione, non una previsione.</t>
  </si>
  <si>
    <t>COME LEGGERE LA COLONNA K: è la soglia di inflazione oltre cui imposta (12,5%) e bollo (0,20% annuo) si mangiano tutta la rivalutazione. Risolve in forma chiusa la condizione 'montante netto ≥ capitale rivalutato' IGNORANDO il ritardo di 3 mesi, perché con il lag l'equazione non ha soluzione esplicita. Il conto ESATTO, lag compreso, è nelle colonne I e J. Per questo a 10 anni con inflazione al 3,3% la soglia dice ~4% ma la colonna I è appena sotto zero: quei tre mesi di rivalutazione che non arrivano mai valgono, da soli, il pareggio.</t>
  </si>
  <si>
    <t>LA DIFFERENZA VERA non è il rendimento, è il RISCHIO DI PREZZO: il buono non è quotato, quindi non può valere meno del nominale; il titolo indicizzato è quotato e nel 2026 i rendimenti d'asta italiani sono saliti (BTP 3 anni 3,43%, 7 anni 3,98% il 10-09-2026), cioè i prezzi sono scesi. Chi deve vendere prima della scadenza lo scopre in quel momento. Il buono protegge il NOMINALE; il potere d'acquisto lo protegge solo sugli orizzonti lunghi, come mostra la colonna K.</t>
  </si>
  <si>
    <t>Fondo pensione al netto dell'inflazione — e il TFR in azienda</t>
  </si>
  <si>
    <t>Posizione / capitale iniziale (€)</t>
  </si>
  <si>
    <t>Orizzonte (anni)</t>
  </si>
  <si>
    <t>Inflazione media annua attesa</t>
  </si>
  <si>
    <t>Aliquota sulla prestazione finale</t>
  </si>
  <si>
    <t>Imposta sostitutiva sulla rivalutazione del TFR</t>
  </si>
  <si>
    <t>TFR: quota fissa di legge</t>
  </si>
  <si>
    <t>TFR: quota di inflazione riconosciuta</t>
  </si>
  <si>
    <t>COMPARTI — rendimenti netti medi a 10 anni (COVIP, fondi negoziali 2015-2025)</t>
  </si>
  <si>
    <t>Comparto</t>
  </si>
  <si>
    <t>Rend. netto annuo</t>
  </si>
  <si>
    <t>Rend. REALE annuo</t>
  </si>
  <si>
    <t>Montante nominale</t>
  </si>
  <si>
    <t>Montante in € di oggi</t>
  </si>
  <si>
    <t>Δ potere d'acquisto</t>
  </si>
  <si>
    <t>In € di oggi, dopo tassa finale</t>
  </si>
  <si>
    <t>Garantito</t>
  </si>
  <si>
    <t>COVIP Tav.4, negoziali garantiti 10 anni 2015-2025: 0,7%</t>
  </si>
  <si>
    <t>Obbligazionario puro</t>
  </si>
  <si>
    <t>COVIP Tav.4, negoziali obbligazionari puri: 0,5%</t>
  </si>
  <si>
    <t>Obbligazionario misto</t>
  </si>
  <si>
    <t>COVIP Tav.4, negoziali obbligazionari misti: 2,6%</t>
  </si>
  <si>
    <t>Bilanciato</t>
  </si>
  <si>
    <t>COVIP Tav.4, negoziali bilanciati: 2,7%</t>
  </si>
  <si>
    <t>Azionario</t>
  </si>
  <si>
    <t>COVIP Tav.4, negoziali azionari: 4,8%</t>
  </si>
  <si>
    <t>TFR lasciato in azienda</t>
  </si>
  <si>
    <t>n.d.</t>
  </si>
  <si>
    <t>art. 2120 c.c.: 1,5% fisso + 75% della variazione FOI, imposta sostitutiva 17% sulla rivalutazione. Alla liquidazione si aggiunge la tassazione separata sul TFR: per questo la colonna G non è confrontabile e resta vuota.</t>
  </si>
  <si>
    <t>Inflazione (riferimento)</t>
  </si>
  <si>
    <t>questo è il capitale che serve, fra N anni, per comprare le stesse cose di oggi</t>
  </si>
  <si>
    <t>MATRICE 1 — rendimento REALE annuo, per scenario di inflazione</t>
  </si>
  <si>
    <t>Scenario di inflazione →</t>
  </si>
  <si>
    <t>MATRICE 2 — capitale finale in € di OGGI, per orizzonte (inflazione da B7)</t>
  </si>
  <si>
    <t>Orizzonte (anni) →</t>
  </si>
  <si>
    <t>Capitale di partenza (riferimento)</t>
  </si>
  <si>
    <t>IL PUNTO CHE QUASI NESSUNO DICE: il fondo pensione NON è indicizzato all'inflazione. Il montante cresce solo col rendimento del comparto che hai scelto. Il TFR in azienda, invece, è indicizzato per legge — ma solo al 75% dell'inflazione (più 1,5% fisso): copre tutta l'inflazione solo se questa resta sotto il 6%. Sopra, perde anche lui.</t>
  </si>
  <si>
    <t>Con inflazione al 3,3% il TFR rende circa il 3,3% netto, cioè pareggia. Il comparto garantito, che a 10 anni ha reso lo 0,7% netto medio, perde oltre 2,5 punti di potere d'acquisto ALL'ANNO. Eppure circa un iscritto su tre sta in un comparto garantito. Questo foglio serve a far vedere quanto costa quella scelta, non a dire che l'azionario è 'sicuro': l'azionario oscilla, e su orizzonti corti può perdere. La domanda giusta è quanti anni ti mancano alla pensione.</t>
  </si>
  <si>
    <t>I rendimenti COVIP sono già NETTI di costi di gestione e imposta sostitutiva del 20% in fase di accumulo. La colonna G applica in modo semplificato la tassazione finale sulla prestazione (15%, che scende di 0,30 punti per ogni anno oltre il 15° fino al 9%) alla sola base contributiva approssimata dal capitale iniziale. Per il TFR in azienda vale invece la tassazione separata: non sono grandezze omogenee, il confronto va letto sulle colonne C ed E.</t>
  </si>
  <si>
    <t>La sequenza dell'inflazione — stessa media, tre destini diversi</t>
  </si>
  <si>
    <t>Capitale iniziale (€)</t>
  </si>
  <si>
    <t>Prelievo del primo anno (€)</t>
  </si>
  <si>
    <t>Rendimento nominale annuo del portafoglio</t>
  </si>
  <si>
    <t>Inflazione negli anni 'normali'</t>
  </si>
  <si>
    <t>Inflazione negli anni di shock</t>
  </si>
  <si>
    <t>Durata dello shock (anni)</t>
  </si>
  <si>
    <t>Anno di inizio shock — Sequenza A (all'inizio)</t>
  </si>
  <si>
    <t>Anno di inizio shock — Sequenza B (al centro)</t>
  </si>
  <si>
    <t>Anno di inizio shock — Sequenza C (alla fine)</t>
  </si>
  <si>
    <t>30 ANNI DI DECUMULO — la media dell'inflazione è identica nelle tre sequenze</t>
  </si>
  <si>
    <t>Anno</t>
  </si>
  <si>
    <t>Infl. A</t>
  </si>
  <si>
    <t>Infl. B</t>
  </si>
  <si>
    <t>Infl. C</t>
  </si>
  <si>
    <t>Prelievo A</t>
  </si>
  <si>
    <t>Capitale A</t>
  </si>
  <si>
    <t>Prelievo B</t>
  </si>
  <si>
    <t>Capitale B</t>
  </si>
  <si>
    <t>Prelievo C</t>
  </si>
  <si>
    <t>Capitale C</t>
  </si>
  <si>
    <t>Il prelievo di ogni anno è quello dell'anno prima, adeguato all'inflazione dell'anno prima. È esattamente la regola del 4% 'adeguata all'inflazione'.</t>
  </si>
  <si>
    <t>Stesso shock, stessa durata, stessa media: cambia solo QUANDO arriva.</t>
  </si>
  <si>
    <t>RISULTATO — la media è uguale, il risultato no</t>
  </si>
  <si>
    <t>Sequenza A (inizio)</t>
  </si>
  <si>
    <t>Sequenza B (centro)</t>
  </si>
  <si>
    <t>Sequenza C (fine)</t>
  </si>
  <si>
    <t>Inflazione media aritmetica (30 anni)</t>
  </si>
  <si>
    <t>Inflazione cumulata su 30 anni</t>
  </si>
  <si>
    <t>Totale prelevato in 30 anni (€)</t>
  </si>
  <si>
    <t>CAPITALE FINALE nominale (€)</t>
  </si>
  <si>
    <t>Capitale finale in € di oggi</t>
  </si>
  <si>
    <t>Anno in cui il capitale si azzera</t>
  </si>
  <si>
    <t>Differenza sul capitale finale vs Sequenza C (€)</t>
  </si>
  <si>
    <t>COSA DIMOSTRA QUESTO FOGLIO: le tre sequenze hanno la STESSA inflazione media e la STESSA inflazione cumulata su 30 anni (il prodotto non cambia se cambi l'ordine dei fattori). Eppure il capitale finale è diverso. Il motivo: se lo shock arriva all'inizio, il prelievo si adegua all'inflazione quando il capitale è ancora tutto lì, e quel prelievo gonfiato resta gonfiato per tutti i 30 anni. Se arriva alla fine, il danno dura pochi anni.</t>
  </si>
  <si>
    <t>È il gemello del sequence of returns risk: non conta la media, conta l'ORDINE. Per questo un piano di decumulo non si giudica sulla media dell'inflazione attesa, ma su cosa succede se i primi cinque anni vanno male. Prova a spostare l'anno di inizio shock nelle celle gialle: la media non cambia mai, il capitale finale sì.</t>
  </si>
  <si>
    <t>DIFESA PRATICA (non consulenza): non è comprare 'lo strumento anti-inflazione'. È ridurre il prelievo negli anni di shock invece di adeguarlo automaticamente al 100%. Nel foglio puoi verificarlo abbassando la quota di inflazione riconosciuta al prelievo — qui è al 100% per costruzione, che è l'ipotesi più severa.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</si>
</sst>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&quot; €&quot;"/>
    <numFmt numFmtId="165" formatCode="0.0%"/>
    <numFmt numFmtId="166" formatCode="0.000%"/>
    <numFmt numFmtId="167" formatCode="#,##0.00&quot; €&quot;"/>
  </numFmts>
  <fonts count="8">
    <font>
      <sz val="11"/>
      <color theme="1"/>
      <name val="Calibri"/>
      <family val="2"/>
      <scheme val="minor"/>
    </font>
    <font>
      <b/>
      <sz val="16"/>
      <color rgb="FF1E40AF"/>
      <name val="Calibri"/>
    </font>
    <font>
      <i/>
      <sz val="10"/>
      <color rgb="FF991B1B"/>
      <name val="Calibri"/>
    </font>
    <font>
      <b/>
      <sz val="14"/>
      <name val="Calibri"/>
    </font>
    <font>
      <b/>
      <sz val="11"/>
      <name val="Calibri"/>
    </font>
    <font>
      <sz val="11"/>
      <name val="Calibri"/>
    </font>
    <font>
      <i/>
      <sz val="9"/>
      <color rgb="FF666666"/>
      <name val="Calibri"/>
    </font>
    <font>
      <b/>
      <sz val="13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1E40AF"/>
      </patternFill>
    </fill>
    <fill>
      <patternFill patternType="solid">
        <fgColor rgb="FFFFF59D"/>
      </patternFill>
    </fill>
    <fill>
      <patternFill patternType="solid">
        <fgColor rgb="FFDBEAFE"/>
      </patternFill>
    </fill>
    <fill>
      <patternFill patternType="solid">
        <fgColor rgb="FFC8E6C9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1" xfId="0" applyFont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right" vertical="center"/>
    </xf>
    <xf numFmtId="165" fontId="5" fillId="6" borderId="1" xfId="0" applyNumberFormat="1" applyFont="1" applyFill="1" applyBorder="1" applyAlignment="1">
      <alignment horizontal="right" vertical="center"/>
    </xf>
    <xf numFmtId="10" fontId="5" fillId="6" borderId="1" xfId="0" applyNumberFormat="1" applyFont="1" applyFill="1" applyBorder="1" applyAlignment="1">
      <alignment horizontal="right" vertical="center"/>
    </xf>
    <xf numFmtId="0" fontId="6" fillId="7" borderId="0" xfId="0" applyFont="1" applyFill="1" applyAlignment="1">
      <alignment horizontal="left" vertical="center" wrapText="1"/>
    </xf>
    <xf numFmtId="3" fontId="5" fillId="6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right" vertical="center"/>
    </xf>
    <xf numFmtId="164" fontId="5" fillId="6" borderId="1" xfId="0" applyNumberFormat="1" applyFont="1" applyFill="1" applyBorder="1" applyAlignment="1">
      <alignment horizontal="right" vertical="center"/>
    </xf>
    <xf numFmtId="166" fontId="5" fillId="4" borderId="1" xfId="0" applyNumberFormat="1" applyFont="1" applyFill="1" applyBorder="1" applyAlignment="1">
      <alignment horizontal="right" vertical="center"/>
    </xf>
    <xf numFmtId="10" fontId="5" fillId="4" borderId="1" xfId="0" applyNumberFormat="1" applyFont="1" applyFill="1" applyBorder="1" applyAlignment="1">
      <alignment horizontal="right" vertical="center"/>
    </xf>
    <xf numFmtId="166" fontId="5" fillId="6" borderId="1" xfId="0" applyNumberFormat="1" applyFont="1" applyFill="1" applyBorder="1" applyAlignment="1">
      <alignment horizontal="right" vertical="center"/>
    </xf>
    <xf numFmtId="167" fontId="5" fillId="6" borderId="1" xfId="0" applyNumberFormat="1" applyFont="1" applyFill="1" applyBorder="1" applyAlignment="1">
      <alignment horizontal="right" vertical="center"/>
    </xf>
    <xf numFmtId="1" fontId="5" fillId="4" borderId="1" xfId="0" applyNumberFormat="1" applyFont="1" applyFill="1" applyBorder="1" applyAlignment="1">
      <alignment horizontal="right" vertical="center"/>
    </xf>
    <xf numFmtId="2" fontId="5" fillId="6" borderId="1" xfId="0" applyNumberFormat="1" applyFont="1" applyFill="1" applyBorder="1" applyAlignment="1">
      <alignment horizontal="right" vertical="center"/>
    </xf>
    <xf numFmtId="1" fontId="5" fillId="6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 wrapText="1"/>
    </xf>
    <xf numFmtId="0" fontId="0" fillId="0" borderId="0" xfId="0"/>
    <xf numFmtId="0" fontId="1" fillId="0" borderId="0" xfId="0" applyFont="1"/>
    <xf numFmtId="0" fontId="6" fillId="7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>
      <selection sqref="A1:B1"/>
    </sheetView>
  </sheetViews>
  <sheetFormatPr defaultRowHeight="15"/>
  <cols>
    <col min="1" max="1" width="60" customWidth="1"/>
    <col min="2" max="2" width="30" customWidth="1"/>
  </cols>
  <sheetData>
    <row r="1" spans="1:2" ht="32.1" customHeight="1">
      <c r="A1" s="25" t="s">
        <v>0</v>
      </c>
      <c r="B1" s="24"/>
    </row>
    <row r="2" spans="1:2" ht="32.1" customHeight="1">
      <c r="A2" s="23" t="s">
        <v>1</v>
      </c>
      <c r="B2" s="24"/>
    </row>
    <row r="4" spans="1:2" ht="18.75">
      <c r="A4" s="1" t="s">
        <v>2</v>
      </c>
    </row>
    <row r="5" spans="1:2" ht="21.95" customHeight="1">
      <c r="A5" s="2" t="s">
        <v>3</v>
      </c>
      <c r="B5" s="3" t="s">
        <v>4</v>
      </c>
    </row>
    <row r="6" spans="1:2" ht="21.95" customHeight="1">
      <c r="A6" s="2" t="s">
        <v>5</v>
      </c>
      <c r="B6" s="3" t="s">
        <v>6</v>
      </c>
    </row>
    <row r="7" spans="1:2" ht="21.95" customHeight="1">
      <c r="A7" s="2" t="s">
        <v>7</v>
      </c>
      <c r="B7" s="3" t="s">
        <v>8</v>
      </c>
    </row>
    <row r="8" spans="1:2" ht="21.95" customHeight="1">
      <c r="A8" s="2" t="s">
        <v>9</v>
      </c>
      <c r="B8" s="3" t="s">
        <v>10</v>
      </c>
    </row>
    <row r="9" spans="1:2" ht="21.95" customHeight="1">
      <c r="A9" s="2" t="s">
        <v>11</v>
      </c>
      <c r="B9" s="3" t="s">
        <v>12</v>
      </c>
    </row>
    <row r="11" spans="1:2" ht="18.75">
      <c r="A11" s="1" t="s">
        <v>13</v>
      </c>
    </row>
    <row r="12" spans="1:2">
      <c r="A12" s="3" t="s">
        <v>14</v>
      </c>
    </row>
    <row r="13" spans="1:2">
      <c r="A13" s="3" t="s">
        <v>15</v>
      </c>
    </row>
    <row r="14" spans="1:2">
      <c r="A14" s="3" t="s">
        <v>16</v>
      </c>
    </row>
    <row r="15" spans="1:2">
      <c r="A15" s="3" t="s">
        <v>17</v>
      </c>
    </row>
    <row r="17" spans="1:1" ht="18.75">
      <c r="A17" s="1" t="s">
        <v>18</v>
      </c>
    </row>
    <row r="18" spans="1:1">
      <c r="A18" s="3" t="s">
        <v>19</v>
      </c>
    </row>
    <row r="19" spans="1:1">
      <c r="A19" s="3" t="s">
        <v>20</v>
      </c>
    </row>
    <row r="20" spans="1:1">
      <c r="A20" s="3" t="s">
        <v>21</v>
      </c>
    </row>
    <row r="21" spans="1:1">
      <c r="A21" s="3" t="s">
        <v>22</v>
      </c>
    </row>
    <row r="22" spans="1:1">
      <c r="A22" s="3" t="s">
        <v>23</v>
      </c>
    </row>
    <row r="23" spans="1:1">
      <c r="A23" s="3" t="s">
        <v>24</v>
      </c>
    </row>
    <row r="24" spans="1:1">
      <c r="A24" s="3" t="s">
        <v>25</v>
      </c>
    </row>
    <row r="25" spans="1:1">
      <c r="A25" s="3" t="s">
        <v>26</v>
      </c>
    </row>
    <row r="26" spans="1:1">
      <c r="A26" s="3" t="s">
        <v>27</v>
      </c>
    </row>
    <row r="27" spans="1:1">
      <c r="A27" s="3" t="s">
        <v>28</v>
      </c>
    </row>
    <row r="28" spans="1:1">
      <c r="A28" s="3" t="s">
        <v>29</v>
      </c>
    </row>
    <row r="29" spans="1:1">
      <c r="A29" s="3" t="s">
        <v>30</v>
      </c>
    </row>
    <row r="30" spans="1:1">
      <c r="A30" s="3" t="s">
        <v>31</v>
      </c>
    </row>
    <row r="32" spans="1:1">
      <c r="A32" s="4" t="s">
        <v>32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/>
  </sheetViews>
  <sheetFormatPr defaultRowHeight="15"/>
  <cols>
    <col min="1" max="1" width="44" customWidth="1"/>
    <col min="2" max="2" width="13" customWidth="1"/>
    <col min="3" max="3" width="11" customWidth="1"/>
    <col min="4" max="4" width="13" customWidth="1"/>
    <col min="5" max="5" width="11" customWidth="1"/>
    <col min="6" max="8" width="14" customWidth="1"/>
    <col min="9" max="9" width="56" customWidth="1"/>
  </cols>
  <sheetData>
    <row r="1" spans="1:9" ht="24.95" customHeight="1">
      <c r="A1" s="25" t="s">
        <v>33</v>
      </c>
      <c r="B1" s="24"/>
      <c r="C1" s="24"/>
      <c r="D1" s="24"/>
      <c r="E1" s="24"/>
      <c r="F1" s="24"/>
      <c r="G1" s="24"/>
      <c r="H1" s="24"/>
      <c r="I1" s="24"/>
    </row>
    <row r="2" spans="1:9" ht="32.1" customHeight="1">
      <c r="A2" s="23" t="s">
        <v>1</v>
      </c>
      <c r="B2" s="24"/>
      <c r="C2" s="24"/>
      <c r="D2" s="24"/>
      <c r="E2" s="24"/>
      <c r="F2" s="24"/>
      <c r="G2" s="24"/>
      <c r="H2" s="24"/>
      <c r="I2" s="24"/>
    </row>
    <row r="4" spans="1:9">
      <c r="A4" s="27" t="s">
        <v>34</v>
      </c>
      <c r="B4" s="24"/>
      <c r="C4" s="24"/>
      <c r="D4" s="24"/>
      <c r="E4" s="24"/>
      <c r="F4" s="24"/>
      <c r="G4" s="24"/>
      <c r="H4" s="24"/>
      <c r="I4" s="24"/>
    </row>
    <row r="5" spans="1:9">
      <c r="A5" s="5" t="s">
        <v>35</v>
      </c>
      <c r="B5" s="6">
        <v>30000</v>
      </c>
    </row>
    <row r="6" spans="1:9" ht="30">
      <c r="A6" s="5" t="s">
        <v>36</v>
      </c>
      <c r="B6" s="7">
        <v>3.3000000000000002E-2</v>
      </c>
    </row>
    <row r="8" spans="1:9">
      <c r="A8" s="27" t="s">
        <v>37</v>
      </c>
      <c r="B8" s="24"/>
      <c r="C8" s="24"/>
      <c r="D8" s="24"/>
      <c r="E8" s="24"/>
      <c r="F8" s="24"/>
      <c r="G8" s="24"/>
      <c r="H8" s="24"/>
      <c r="I8" s="24"/>
    </row>
    <row r="9" spans="1:9" ht="30">
      <c r="A9" s="8" t="s">
        <v>38</v>
      </c>
      <c r="B9" s="8" t="s">
        <v>39</v>
      </c>
      <c r="C9" s="8" t="s">
        <v>40</v>
      </c>
      <c r="D9" s="8" t="s">
        <v>41</v>
      </c>
      <c r="E9" s="8" t="s">
        <v>42</v>
      </c>
      <c r="F9" s="8" t="s">
        <v>43</v>
      </c>
      <c r="G9" s="8" t="s">
        <v>44</v>
      </c>
      <c r="H9" s="8" t="s">
        <v>45</v>
      </c>
      <c r="I9" s="8" t="s">
        <v>46</v>
      </c>
    </row>
    <row r="10" spans="1:9" ht="15" customHeight="1">
      <c r="A10" s="5" t="s">
        <v>47</v>
      </c>
      <c r="B10" s="9">
        <v>181055</v>
      </c>
      <c r="C10" s="10">
        <f t="shared" ref="C10:C20" si="0">B10/1000000</f>
        <v>0.18105499999999999</v>
      </c>
      <c r="D10" s="9">
        <v>181055</v>
      </c>
      <c r="E10" s="10">
        <f t="shared" ref="E10:E19" si="1">IF($D$20=0,0,D10/$D$20)</f>
        <v>0.18105499999999999</v>
      </c>
      <c r="F10" s="7">
        <v>8.9999999999999993E-3</v>
      </c>
      <c r="G10" s="11">
        <f t="shared" ref="G10:G19" si="2">B10/1000000*F10</f>
        <v>1.6294949999999999E-3</v>
      </c>
      <c r="H10" s="11">
        <f t="shared" ref="H10:H19" si="3">E10*F10</f>
        <v>1.6294949999999999E-3</v>
      </c>
      <c r="I10" s="12" t="s">
        <v>48</v>
      </c>
    </row>
    <row r="11" spans="1:9" ht="30" customHeight="1">
      <c r="A11" s="5" t="s">
        <v>49</v>
      </c>
      <c r="B11" s="9">
        <v>105124</v>
      </c>
      <c r="C11" s="10">
        <f t="shared" si="0"/>
        <v>0.105124</v>
      </c>
      <c r="D11" s="9">
        <v>105124</v>
      </c>
      <c r="E11" s="10">
        <f t="shared" si="1"/>
        <v>0.105124</v>
      </c>
      <c r="F11" s="7">
        <v>0.17100000000000001</v>
      </c>
      <c r="G11" s="11">
        <f t="shared" si="2"/>
        <v>1.7976203999999999E-2</v>
      </c>
      <c r="H11" s="11">
        <f t="shared" si="3"/>
        <v>1.7976203999999999E-2</v>
      </c>
      <c r="I11" s="12" t="s">
        <v>50</v>
      </c>
    </row>
    <row r="12" spans="1:9" ht="15" customHeight="1">
      <c r="A12" s="5" t="s">
        <v>51</v>
      </c>
      <c r="B12" s="9">
        <v>154540</v>
      </c>
      <c r="C12" s="10">
        <f t="shared" si="0"/>
        <v>0.15454000000000001</v>
      </c>
      <c r="D12" s="9">
        <v>154540</v>
      </c>
      <c r="E12" s="10">
        <f t="shared" si="1"/>
        <v>0.15454000000000001</v>
      </c>
      <c r="F12" s="7">
        <v>2.4E-2</v>
      </c>
      <c r="G12" s="11">
        <f t="shared" si="2"/>
        <v>3.7089600000000003E-3</v>
      </c>
      <c r="H12" s="11">
        <f t="shared" si="3"/>
        <v>3.7089600000000003E-3</v>
      </c>
      <c r="I12" s="12" t="s">
        <v>52</v>
      </c>
    </row>
    <row r="13" spans="1:9" ht="15" customHeight="1">
      <c r="A13" s="5" t="s">
        <v>53</v>
      </c>
      <c r="B13" s="9">
        <v>120000</v>
      </c>
      <c r="C13" s="10">
        <f t="shared" si="0"/>
        <v>0.12</v>
      </c>
      <c r="D13" s="9">
        <v>120000</v>
      </c>
      <c r="E13" s="10">
        <f t="shared" si="1"/>
        <v>0.12</v>
      </c>
      <c r="F13" s="7">
        <v>1.4999999999999999E-2</v>
      </c>
      <c r="G13" s="11">
        <f t="shared" si="2"/>
        <v>1.8E-3</v>
      </c>
      <c r="H13" s="11">
        <f t="shared" si="3"/>
        <v>1.8E-3</v>
      </c>
      <c r="I13" s="12" t="s">
        <v>54</v>
      </c>
    </row>
    <row r="14" spans="1:9" ht="15" customHeight="1">
      <c r="A14" s="5" t="s">
        <v>55</v>
      </c>
      <c r="B14" s="9">
        <v>173454</v>
      </c>
      <c r="C14" s="10">
        <f t="shared" si="0"/>
        <v>0.173454</v>
      </c>
      <c r="D14" s="9">
        <v>173454</v>
      </c>
      <c r="E14" s="10">
        <f t="shared" si="1"/>
        <v>0.173454</v>
      </c>
      <c r="F14" s="7">
        <v>2.4E-2</v>
      </c>
      <c r="G14" s="11">
        <f t="shared" si="2"/>
        <v>4.1628960000000001E-3</v>
      </c>
      <c r="H14" s="11">
        <f t="shared" si="3"/>
        <v>4.1628960000000001E-3</v>
      </c>
      <c r="I14" s="12" t="s">
        <v>52</v>
      </c>
    </row>
    <row r="15" spans="1:9" ht="15" customHeight="1">
      <c r="A15" s="5" t="s">
        <v>56</v>
      </c>
      <c r="B15" s="9">
        <v>80000</v>
      </c>
      <c r="C15" s="10">
        <f t="shared" si="0"/>
        <v>0.08</v>
      </c>
      <c r="D15" s="9">
        <v>80000</v>
      </c>
      <c r="E15" s="10">
        <f t="shared" si="1"/>
        <v>0.08</v>
      </c>
      <c r="F15" s="7">
        <v>2.4E-2</v>
      </c>
      <c r="G15" s="11">
        <f t="shared" si="2"/>
        <v>1.92E-3</v>
      </c>
      <c r="H15" s="11">
        <f t="shared" si="3"/>
        <v>1.92E-3</v>
      </c>
      <c r="I15" s="12" t="s">
        <v>57</v>
      </c>
    </row>
    <row r="16" spans="1:9" ht="15" customHeight="1">
      <c r="A16" s="5" t="s">
        <v>58</v>
      </c>
      <c r="B16" s="9">
        <v>60000</v>
      </c>
      <c r="C16" s="10">
        <f t="shared" si="0"/>
        <v>0.06</v>
      </c>
      <c r="D16" s="9">
        <v>60000</v>
      </c>
      <c r="E16" s="10">
        <f t="shared" si="1"/>
        <v>0.06</v>
      </c>
      <c r="F16" s="7">
        <v>1.4999999999999999E-2</v>
      </c>
      <c r="G16" s="11">
        <f t="shared" si="2"/>
        <v>8.9999999999999998E-4</v>
      </c>
      <c r="H16" s="11">
        <f t="shared" si="3"/>
        <v>8.9999999999999998E-4</v>
      </c>
      <c r="I16" s="12" t="s">
        <v>59</v>
      </c>
    </row>
    <row r="17" spans="1:9" ht="15" customHeight="1">
      <c r="A17" s="5" t="s">
        <v>60</v>
      </c>
      <c r="B17" s="9">
        <v>45000</v>
      </c>
      <c r="C17" s="10">
        <f t="shared" si="0"/>
        <v>4.4999999999999998E-2</v>
      </c>
      <c r="D17" s="9">
        <v>45000</v>
      </c>
      <c r="E17" s="10">
        <f t="shared" si="1"/>
        <v>4.4999999999999998E-2</v>
      </c>
      <c r="F17" s="7">
        <v>1.4999999999999999E-2</v>
      </c>
      <c r="G17" s="11">
        <f t="shared" si="2"/>
        <v>6.7499999999999993E-4</v>
      </c>
      <c r="H17" s="11">
        <f t="shared" si="3"/>
        <v>6.7499999999999993E-4</v>
      </c>
      <c r="I17" s="12" t="s">
        <v>59</v>
      </c>
    </row>
    <row r="18" spans="1:9" ht="15" customHeight="1">
      <c r="A18" s="5" t="s">
        <v>61</v>
      </c>
      <c r="B18" s="9">
        <v>25000</v>
      </c>
      <c r="C18" s="10">
        <f t="shared" si="0"/>
        <v>2.5000000000000001E-2</v>
      </c>
      <c r="D18" s="9">
        <v>25000</v>
      </c>
      <c r="E18" s="10">
        <f t="shared" si="1"/>
        <v>2.5000000000000001E-2</v>
      </c>
      <c r="F18" s="7">
        <v>1.4999999999999999E-2</v>
      </c>
      <c r="G18" s="11">
        <f t="shared" si="2"/>
        <v>3.7500000000000001E-4</v>
      </c>
      <c r="H18" s="11">
        <f t="shared" si="3"/>
        <v>3.7500000000000001E-4</v>
      </c>
      <c r="I18" s="12" t="s">
        <v>59</v>
      </c>
    </row>
    <row r="19" spans="1:9" ht="15" customHeight="1">
      <c r="A19" s="5" t="s">
        <v>62</v>
      </c>
      <c r="B19" s="9">
        <v>55827</v>
      </c>
      <c r="C19" s="10">
        <f t="shared" si="0"/>
        <v>5.5827000000000002E-2</v>
      </c>
      <c r="D19" s="9">
        <v>55827</v>
      </c>
      <c r="E19" s="10">
        <f t="shared" si="1"/>
        <v>5.5827000000000002E-2</v>
      </c>
      <c r="F19" s="7">
        <v>1.4999999999999999E-2</v>
      </c>
      <c r="G19" s="11">
        <f t="shared" si="2"/>
        <v>8.3740499999999994E-4</v>
      </c>
      <c r="H19" s="11">
        <f t="shared" si="3"/>
        <v>8.3740499999999994E-4</v>
      </c>
      <c r="I19" s="12" t="s">
        <v>59</v>
      </c>
    </row>
    <row r="20" spans="1:9">
      <c r="A20" s="5" t="s">
        <v>63</v>
      </c>
      <c r="B20" s="13">
        <f>SUM(B10:B19)</f>
        <v>1000000</v>
      </c>
      <c r="C20" s="10">
        <f t="shared" si="0"/>
        <v>1</v>
      </c>
      <c r="D20" s="13">
        <f>SUM(D10:D19)</f>
        <v>1000000</v>
      </c>
      <c r="E20" s="10">
        <f>IF(D20=0,0,1)</f>
        <v>1</v>
      </c>
      <c r="G20" s="11">
        <f>SUM(G10:G19)</f>
        <v>3.3984960000000002E-2</v>
      </c>
      <c r="H20" s="11">
        <f>SUM(H10:H19)</f>
        <v>3.3984960000000002E-2</v>
      </c>
      <c r="I20" s="14" t="str">
        <f>IF(B20=1000000,"Pesi ISTAT: OK (1.000.000)","Attenzione: i pesi ISTAT non chiudono a 1.000.000")</f>
        <v>Pesi ISTAT: OK (1.000.000)</v>
      </c>
    </row>
    <row r="22" spans="1:9">
      <c r="A22" s="27" t="s">
        <v>64</v>
      </c>
      <c r="B22" s="24"/>
      <c r="C22" s="24"/>
      <c r="D22" s="24"/>
      <c r="E22" s="24"/>
      <c r="F22" s="24"/>
      <c r="G22" s="24"/>
      <c r="H22" s="24"/>
      <c r="I22" s="24"/>
    </row>
    <row r="23" spans="1:9">
      <c r="A23" s="5" t="s">
        <v>65</v>
      </c>
      <c r="B23" s="11">
        <f>G20</f>
        <v>3.3984960000000002E-2</v>
      </c>
    </row>
    <row r="24" spans="1:9" ht="30">
      <c r="A24" s="5" t="s">
        <v>66</v>
      </c>
      <c r="B24" s="11">
        <f>B23-B6</f>
        <v>9.8496E-4</v>
      </c>
    </row>
    <row r="25" spans="1:9">
      <c r="A25" s="5" t="s">
        <v>67</v>
      </c>
      <c r="B25" s="11">
        <f>H20</f>
        <v>3.3984960000000002E-2</v>
      </c>
    </row>
    <row r="26" spans="1:9">
      <c r="A26" s="5" t="s">
        <v>68</v>
      </c>
      <c r="B26" s="11">
        <f>B25-B6</f>
        <v>9.8496E-4</v>
      </c>
    </row>
    <row r="27" spans="1:9" ht="30">
      <c r="A27" s="5" t="s">
        <v>69</v>
      </c>
      <c r="B27" s="15">
        <f>B5*B25</f>
        <v>1019.5488</v>
      </c>
    </row>
    <row r="28" spans="1:9" ht="30">
      <c r="A28" s="5" t="s">
        <v>70</v>
      </c>
      <c r="B28" s="15">
        <f>B5*B6</f>
        <v>990</v>
      </c>
    </row>
    <row r="29" spans="1:9" ht="30">
      <c r="A29" s="5" t="s">
        <v>71</v>
      </c>
      <c r="B29" s="15">
        <f>B27-B28</f>
        <v>29.548800000000028</v>
      </c>
    </row>
    <row r="31" spans="1:9" ht="30" customHeight="1">
      <c r="A31" s="26" t="s">
        <v>72</v>
      </c>
      <c r="B31" s="24"/>
      <c r="C31" s="24"/>
      <c r="D31" s="24"/>
      <c r="E31" s="24"/>
      <c r="F31" s="24"/>
      <c r="G31" s="24"/>
      <c r="H31" s="24"/>
      <c r="I31" s="24"/>
    </row>
    <row r="32" spans="1:9" ht="60" customHeight="1">
      <c r="A32" s="26" t="s">
        <v>73</v>
      </c>
      <c r="B32" s="24"/>
      <c r="C32" s="24"/>
      <c r="D32" s="24"/>
      <c r="E32" s="24"/>
      <c r="F32" s="24"/>
      <c r="G32" s="24"/>
      <c r="H32" s="24"/>
      <c r="I32" s="24"/>
    </row>
    <row r="33" spans="1:9" ht="30" customHeight="1">
      <c r="A33" s="26" t="s">
        <v>74</v>
      </c>
      <c r="B33" s="24"/>
      <c r="C33" s="24"/>
      <c r="D33" s="24"/>
      <c r="E33" s="24"/>
      <c r="F33" s="24"/>
      <c r="G33" s="24"/>
      <c r="H33" s="24"/>
      <c r="I33" s="24"/>
    </row>
  </sheetData>
  <mergeCells count="8">
    <mergeCell ref="A2:I2"/>
    <mergeCell ref="A33:I33"/>
    <mergeCell ref="A32:I32"/>
    <mergeCell ref="A1:I1"/>
    <mergeCell ref="A8:I8"/>
    <mergeCell ref="A31:I31"/>
    <mergeCell ref="A22:I22"/>
    <mergeCell ref="A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/>
  </sheetViews>
  <sheetFormatPr defaultRowHeight="15"/>
  <cols>
    <col min="1" max="1" width="42" customWidth="1"/>
    <col min="2" max="2" width="13" customWidth="1"/>
    <col min="3" max="3" width="11" customWidth="1"/>
    <col min="4" max="4" width="12" customWidth="1"/>
    <col min="5" max="5" width="13" customWidth="1"/>
    <col min="6" max="9" width="14" customWidth="1"/>
    <col min="10" max="10" width="16" customWidth="1"/>
    <col min="11" max="11" width="52" customWidth="1"/>
  </cols>
  <sheetData>
    <row r="1" spans="1:11" ht="24.95" customHeight="1">
      <c r="A1" s="25" t="s">
        <v>75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32.1" customHeight="1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4" spans="1:11">
      <c r="A4" s="27" t="s">
        <v>76</v>
      </c>
      <c r="B4" s="24"/>
      <c r="C4" s="24"/>
      <c r="D4" s="24"/>
      <c r="E4" s="24"/>
      <c r="F4" s="24"/>
      <c r="G4" s="24"/>
      <c r="H4" s="24"/>
      <c r="I4" s="24"/>
      <c r="J4" s="24"/>
      <c r="K4" s="24"/>
    </row>
    <row r="5" spans="1:11">
      <c r="A5" s="5" t="s">
        <v>77</v>
      </c>
      <c r="B5" s="6">
        <v>10000</v>
      </c>
    </row>
    <row r="6" spans="1:11" ht="30">
      <c r="A6" s="5" t="s">
        <v>78</v>
      </c>
      <c r="F6" s="8" t="s">
        <v>79</v>
      </c>
      <c r="G6" s="8" t="s">
        <v>80</v>
      </c>
      <c r="H6" s="8" t="s">
        <v>81</v>
      </c>
      <c r="I6" s="8" t="s">
        <v>82</v>
      </c>
    </row>
    <row r="7" spans="1:11">
      <c r="F7" s="7">
        <v>1.4999999999999999E-2</v>
      </c>
      <c r="G7" s="7">
        <v>2.5000000000000001E-2</v>
      </c>
      <c r="H7" s="7">
        <v>3.3000000000000002E-2</v>
      </c>
      <c r="I7" s="7">
        <v>4.4999999999999998E-2</v>
      </c>
    </row>
    <row r="9" spans="1:11">
      <c r="A9" s="27" t="s">
        <v>83</v>
      </c>
      <c r="B9" s="24"/>
      <c r="C9" s="24"/>
      <c r="D9" s="24"/>
      <c r="E9" s="24"/>
      <c r="F9" s="24"/>
      <c r="G9" s="24"/>
      <c r="H9" s="24"/>
      <c r="I9" s="24"/>
      <c r="J9" s="24"/>
      <c r="K9" s="24"/>
    </row>
    <row r="10" spans="1:11" ht="30">
      <c r="A10" s="8" t="s">
        <v>84</v>
      </c>
      <c r="B10" s="8" t="s">
        <v>85</v>
      </c>
      <c r="C10" s="8" t="s">
        <v>86</v>
      </c>
      <c r="D10" s="8" t="s">
        <v>87</v>
      </c>
      <c r="E10" s="8" t="s">
        <v>88</v>
      </c>
      <c r="F10" s="8" t="str">
        <f>"Reale @ "&amp;ROUND(F$7*100,1)&amp;"%"</f>
        <v>Reale @ 1,5%</v>
      </c>
      <c r="G10" s="8" t="str">
        <f>"Reale @ "&amp;ROUND(G$7*100,1)&amp;"%"</f>
        <v>Reale @ 2,5%</v>
      </c>
      <c r="H10" s="8" t="str">
        <f>"Reale @ "&amp;ROUND(H$7*100,1)&amp;"%"</f>
        <v>Reale @ 3,3%</v>
      </c>
      <c r="I10" s="8" t="str">
        <f>"Reale @ "&amp;ROUND(I$7*100,1)&amp;"%"</f>
        <v>Reale @ 4,5%</v>
      </c>
      <c r="J10" s="8" t="s">
        <v>89</v>
      </c>
      <c r="K10" s="8" t="s">
        <v>90</v>
      </c>
    </row>
    <row r="11" spans="1:11" ht="30" customHeight="1">
      <c r="A11" s="5" t="s">
        <v>91</v>
      </c>
      <c r="B11" s="16">
        <v>2.9669999999999998E-2</v>
      </c>
      <c r="C11" s="7">
        <v>0.125</v>
      </c>
      <c r="D11" s="17">
        <v>2E-3</v>
      </c>
      <c r="E11" s="18">
        <f>B11*(1-C11)-D11</f>
        <v>2.3961249999999996E-2</v>
      </c>
      <c r="F11" s="11">
        <f t="shared" ref="F11:I14" si="0">(1+$E11)/(1+F$7)-1</f>
        <v>8.8288177339901353E-3</v>
      </c>
      <c r="G11" s="11">
        <f t="shared" si="0"/>
        <v>-1.0134146341462813E-3</v>
      </c>
      <c r="H11" s="11">
        <f t="shared" si="0"/>
        <v>-8.7500000000000355E-3</v>
      </c>
      <c r="I11" s="11">
        <f t="shared" si="0"/>
        <v>-2.0132775119617197E-2</v>
      </c>
      <c r="J11" s="19">
        <f>$B$5*H11</f>
        <v>-87.500000000000355</v>
      </c>
      <c r="K11" s="12" t="s">
        <v>92</v>
      </c>
    </row>
    <row r="12" spans="1:11" ht="30" customHeight="1">
      <c r="A12" s="5" t="s">
        <v>93</v>
      </c>
      <c r="B12" s="16">
        <v>3.2500000000000001E-2</v>
      </c>
      <c r="C12" s="7">
        <v>0.26</v>
      </c>
      <c r="D12" s="17">
        <v>2E-3</v>
      </c>
      <c r="E12" s="18">
        <f>B12*(1-C12)-D12</f>
        <v>2.205E-2</v>
      </c>
      <c r="F12" s="11">
        <f t="shared" si="0"/>
        <v>6.9458128078818682E-3</v>
      </c>
      <c r="G12" s="11">
        <f t="shared" si="0"/>
        <v>-2.8780487804878074E-3</v>
      </c>
      <c r="H12" s="11">
        <f t="shared" si="0"/>
        <v>-1.060019361084219E-2</v>
      </c>
      <c r="I12" s="11">
        <f t="shared" si="0"/>
        <v>-2.1961722488038293E-2</v>
      </c>
      <c r="J12" s="19">
        <f>$B$5*H12</f>
        <v>-106.0019361084219</v>
      </c>
      <c r="K12" s="12" t="s">
        <v>94</v>
      </c>
    </row>
    <row r="13" spans="1:11" ht="30" customHeight="1">
      <c r="A13" s="5" t="s">
        <v>95</v>
      </c>
      <c r="B13" s="16">
        <v>6.8999999999999999E-3</v>
      </c>
      <c r="C13" s="7">
        <v>0.26</v>
      </c>
      <c r="D13" s="17">
        <v>0</v>
      </c>
      <c r="E13" s="18">
        <f>B13*(1-C13)-D13</f>
        <v>5.1059999999999994E-3</v>
      </c>
      <c r="F13" s="11">
        <f t="shared" si="0"/>
        <v>-9.7477832512313789E-3</v>
      </c>
      <c r="G13" s="11">
        <f t="shared" si="0"/>
        <v>-1.94087804878047E-2</v>
      </c>
      <c r="H13" s="11">
        <f t="shared" si="0"/>
        <v>-2.7002904162632957E-2</v>
      </c>
      <c r="I13" s="11">
        <f t="shared" si="0"/>
        <v>-3.8176076555023752E-2</v>
      </c>
      <c r="J13" s="19">
        <f>$B$5*H13</f>
        <v>-270.02904162632956</v>
      </c>
      <c r="K13" s="12" t="s">
        <v>96</v>
      </c>
    </row>
    <row r="14" spans="1:11" ht="30" customHeight="1">
      <c r="A14" s="5" t="s">
        <v>97</v>
      </c>
      <c r="B14" s="16">
        <v>0.03</v>
      </c>
      <c r="C14" s="7">
        <v>0.26</v>
      </c>
      <c r="D14" s="17">
        <v>2E-3</v>
      </c>
      <c r="E14" s="18">
        <f>B14*(1-C14)-D14</f>
        <v>2.0199999999999996E-2</v>
      </c>
      <c r="F14" s="11">
        <f t="shared" si="0"/>
        <v>5.1231527093595908E-3</v>
      </c>
      <c r="G14" s="11">
        <f t="shared" si="0"/>
        <v>-4.6829268292681858E-3</v>
      </c>
      <c r="H14" s="11">
        <f t="shared" si="0"/>
        <v>-1.2391093901258365E-2</v>
      </c>
      <c r="I14" s="11">
        <f t="shared" si="0"/>
        <v>-2.3732057416267827E-2</v>
      </c>
      <c r="J14" s="19">
        <f>$B$5*H14</f>
        <v>-123.91093901258365</v>
      </c>
      <c r="K14" s="12" t="s">
        <v>98</v>
      </c>
    </row>
    <row r="16" spans="1:11">
      <c r="A16" s="27" t="s">
        <v>99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</row>
    <row r="17" spans="1:11" ht="30" customHeight="1">
      <c r="A17" s="5" t="s">
        <v>100</v>
      </c>
      <c r="B17" s="17">
        <v>1.6E-2</v>
      </c>
      <c r="C17" s="26" t="s">
        <v>101</v>
      </c>
      <c r="D17" s="24"/>
      <c r="E17" s="24"/>
    </row>
    <row r="18" spans="1:11">
      <c r="A18" s="5" t="s">
        <v>102</v>
      </c>
      <c r="B18" s="17">
        <v>6.0000000000000001E-3</v>
      </c>
    </row>
    <row r="19" spans="1:11">
      <c r="A19" s="5" t="s">
        <v>103</v>
      </c>
      <c r="B19" s="20">
        <v>5</v>
      </c>
    </row>
    <row r="20" spans="1:11">
      <c r="A20" s="5" t="s">
        <v>86</v>
      </c>
      <c r="B20" s="7">
        <v>0.125</v>
      </c>
    </row>
    <row r="21" spans="1:11">
      <c r="A21" s="5" t="s">
        <v>87</v>
      </c>
      <c r="B21" s="17">
        <v>2E-3</v>
      </c>
    </row>
    <row r="23" spans="1:11">
      <c r="A23" s="8" t="s">
        <v>104</v>
      </c>
      <c r="F23" s="8" t="str">
        <f>"Inflazione "&amp;ROUND(F$7*100,1)&amp;"%"</f>
        <v>Inflazione 1,5%</v>
      </c>
      <c r="G23" s="8" t="str">
        <f>"Inflazione "&amp;ROUND(G$7*100,1)&amp;"%"</f>
        <v>Inflazione 2,5%</v>
      </c>
      <c r="H23" s="8" t="str">
        <f>"Inflazione "&amp;ROUND(H$7*100,1)&amp;"%"</f>
        <v>Inflazione 3,3%</v>
      </c>
      <c r="I23" s="8" t="str">
        <f>"Inflazione "&amp;ROUND(I$7*100,1)&amp;"%"</f>
        <v>Inflazione 4,5%</v>
      </c>
    </row>
    <row r="24" spans="1:11" ht="30">
      <c r="A24" s="5" t="s">
        <v>105</v>
      </c>
      <c r="F24" s="11">
        <f>F$7+$B$17+$B$18/$B$19</f>
        <v>3.2199999999999999E-2</v>
      </c>
      <c r="G24" s="11">
        <f>G$7+$B$17+$B$18/$B$19</f>
        <v>4.2200000000000001E-2</v>
      </c>
      <c r="H24" s="11">
        <f>H$7+$B$17+$B$18/$B$19</f>
        <v>5.0200000000000002E-2</v>
      </c>
      <c r="I24" s="11">
        <f>I$7+$B$17+$B$18/$B$19</f>
        <v>6.2199999999999998E-2</v>
      </c>
    </row>
    <row r="25" spans="1:11">
      <c r="A25" s="5" t="s">
        <v>106</v>
      </c>
      <c r="F25" s="11">
        <f>F24*(1-$B$20)-$B$21</f>
        <v>2.6174999999999997E-2</v>
      </c>
      <c r="G25" s="11">
        <f>G24*(1-$B$20)-$B$21</f>
        <v>3.4924999999999998E-2</v>
      </c>
      <c r="H25" s="11">
        <f>H24*(1-$B$20)-$B$21</f>
        <v>4.1924999999999997E-2</v>
      </c>
      <c r="I25" s="11">
        <f>I24*(1-$B$20)-$B$21</f>
        <v>5.2424999999999999E-2</v>
      </c>
    </row>
    <row r="26" spans="1:11">
      <c r="A26" s="5" t="s">
        <v>107</v>
      </c>
      <c r="F26" s="11">
        <f>(1+F25)/(1+F$7)-1</f>
        <v>1.1009852216748994E-2</v>
      </c>
      <c r="G26" s="11">
        <f>(1+G25)/(1+G$7)-1</f>
        <v>9.6829268292684123E-3</v>
      </c>
      <c r="H26" s="11">
        <f>(1+H25)/(1+H$7)-1</f>
        <v>8.639883833494677E-3</v>
      </c>
      <c r="I26" s="11">
        <f>(1+I25)/(1+I$7)-1</f>
        <v>7.1052631578947256E-3</v>
      </c>
    </row>
    <row r="27" spans="1:11">
      <c r="A27" s="5" t="s">
        <v>108</v>
      </c>
      <c r="F27" s="19">
        <f>$B$5*F26</f>
        <v>110.09852216748995</v>
      </c>
      <c r="G27" s="19">
        <f>$B$5*G26</f>
        <v>96.82926829268412</v>
      </c>
      <c r="H27" s="19">
        <f>$B$5*H26</f>
        <v>86.398838334946774</v>
      </c>
      <c r="I27" s="19">
        <f>$B$5*I26</f>
        <v>71.052631578947256</v>
      </c>
    </row>
    <row r="29" spans="1:11" ht="45" customHeight="1">
      <c r="A29" s="26" t="s">
        <v>109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</row>
    <row r="30" spans="1:11" ht="45" customHeight="1">
      <c r="A30" s="26" t="s">
        <v>110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spans="1:11" ht="30" customHeight="1">
      <c r="A31" s="26" t="s">
        <v>111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</row>
  </sheetData>
  <mergeCells count="9">
    <mergeCell ref="A1:K1"/>
    <mergeCell ref="A9:K9"/>
    <mergeCell ref="A31:K31"/>
    <mergeCell ref="A4:K4"/>
    <mergeCell ref="A30:K30"/>
    <mergeCell ref="A29:K29"/>
    <mergeCell ref="A2:K2"/>
    <mergeCell ref="A16:K16"/>
    <mergeCell ref="C17:E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/>
  </sheetViews>
  <sheetFormatPr defaultRowHeight="15"/>
  <cols>
    <col min="1" max="1" width="8" customWidth="1"/>
    <col min="2" max="3" width="15" customWidth="1"/>
    <col min="4" max="4" width="16" customWidth="1"/>
    <col min="5" max="5" width="14" customWidth="1"/>
    <col min="6" max="6" width="17" customWidth="1"/>
    <col min="7" max="7" width="19" customWidth="1"/>
    <col min="8" max="8" width="20" customWidth="1"/>
    <col min="9" max="10" width="15" customWidth="1"/>
    <col min="11" max="11" width="18" customWidth="1"/>
    <col min="12" max="12" width="46" customWidth="1"/>
  </cols>
  <sheetData>
    <row r="1" spans="1:12" ht="24.95" customHeight="1">
      <c r="A1" s="25" t="s">
        <v>112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32.1" customHeight="1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4" spans="1:12">
      <c r="A4" s="27" t="s">
        <v>113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2" ht="60">
      <c r="A5" s="5" t="s">
        <v>77</v>
      </c>
      <c r="B5" s="6">
        <v>10000</v>
      </c>
    </row>
    <row r="6" spans="1:12" ht="75">
      <c r="A6" s="5" t="s">
        <v>114</v>
      </c>
      <c r="B6" s="7">
        <v>3.3000000000000002E-2</v>
      </c>
    </row>
    <row r="7" spans="1:12" ht="75">
      <c r="A7" s="5" t="s">
        <v>115</v>
      </c>
      <c r="B7" s="7">
        <v>0.125</v>
      </c>
    </row>
    <row r="8" spans="1:12" ht="60">
      <c r="A8" s="5" t="s">
        <v>116</v>
      </c>
      <c r="B8" s="17">
        <v>2E-3</v>
      </c>
    </row>
    <row r="9" spans="1:12" ht="120">
      <c r="A9" s="5" t="s">
        <v>117</v>
      </c>
      <c r="B9" s="6">
        <v>5000</v>
      </c>
    </row>
    <row r="10" spans="1:12" ht="105">
      <c r="A10" s="5" t="s">
        <v>118</v>
      </c>
      <c r="B10" s="17">
        <v>1.6E-2</v>
      </c>
    </row>
    <row r="11" spans="1:12" ht="90">
      <c r="A11" s="5" t="s">
        <v>119</v>
      </c>
      <c r="B11" s="17">
        <v>6.0000000000000001E-3</v>
      </c>
    </row>
    <row r="12" spans="1:12" ht="90">
      <c r="A12" s="5" t="s">
        <v>120</v>
      </c>
      <c r="B12" s="20">
        <v>5</v>
      </c>
    </row>
    <row r="14" spans="1:12">
      <c r="A14" s="27" t="s">
        <v>121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12" ht="45">
      <c r="A15" s="8" t="s">
        <v>122</v>
      </c>
      <c r="B15" s="8" t="s">
        <v>123</v>
      </c>
      <c r="C15" s="8" t="s">
        <v>124</v>
      </c>
      <c r="D15" s="8" t="s">
        <v>125</v>
      </c>
      <c r="E15" s="8" t="s">
        <v>126</v>
      </c>
      <c r="F15" s="8" t="s">
        <v>127</v>
      </c>
      <c r="G15" s="8" t="s">
        <v>128</v>
      </c>
      <c r="H15" s="8" t="s">
        <v>129</v>
      </c>
      <c r="I15" s="8" t="s">
        <v>130</v>
      </c>
      <c r="J15" s="8" t="s">
        <v>131</v>
      </c>
      <c r="K15" s="8" t="s">
        <v>132</v>
      </c>
      <c r="L15" s="8" t="s">
        <v>133</v>
      </c>
    </row>
    <row r="16" spans="1:12" ht="60" customHeight="1">
      <c r="A16" s="20">
        <v>1</v>
      </c>
      <c r="B16" s="17">
        <v>0</v>
      </c>
      <c r="C16" s="21">
        <f t="shared" ref="C16:C25" si="0">IF(A16&lt;1.5,0,A16-0.25)</f>
        <v>0</v>
      </c>
      <c r="D16" s="19">
        <f t="shared" ref="D16:D25" si="1">$B$5*(1+B16)^A16*(1+$B$6)^C16</f>
        <v>10000</v>
      </c>
      <c r="E16" s="19">
        <f t="shared" ref="E16:E25" si="2">IF($B$5&gt;$B$9,$B$5*$B$8*A16,0)</f>
        <v>20</v>
      </c>
      <c r="F16" s="19">
        <f t="shared" ref="F16:F25" si="3">$B$5+(D16-$B$5)*(1-$B$7)-E16</f>
        <v>9980</v>
      </c>
      <c r="G16" s="19">
        <f t="shared" ref="G16:G25" si="4">$B$5+$B$5*($B$10+$B$6)*A16*(1-$B$7)+IF(A16&gt;=$B$12,$B$5*$B$11*(1-$B$7),0)-$B$5*$B$8*A16</f>
        <v>10408.75</v>
      </c>
      <c r="H16" s="19">
        <f t="shared" ref="H16:H25" si="5">$B$5*(1+$B$6)^A16</f>
        <v>10330</v>
      </c>
      <c r="I16" s="19">
        <f t="shared" ref="I16:I25" si="6">F16-H16</f>
        <v>-350</v>
      </c>
      <c r="J16" s="19">
        <f t="shared" ref="J16:J25" si="7">G16-H16</f>
        <v>78.75</v>
      </c>
      <c r="K16" s="11" t="str">
        <f t="shared" ref="K16:K25" si="8">IFERROR(IF(C16=0,"—",(($B$7-$B$8*A16*IF($B$5&gt;$B$9,1,0))/(1-(1-$B$7)*(1+B16)^A16))^(1/A16)-1),"—")</f>
        <v>—</v>
      </c>
      <c r="L16" s="12" t="s">
        <v>134</v>
      </c>
    </row>
    <row r="17" spans="1:12">
      <c r="A17" s="20">
        <v>2</v>
      </c>
      <c r="B17" s="17">
        <v>2.5000000000000001E-3</v>
      </c>
      <c r="C17" s="21">
        <f t="shared" si="0"/>
        <v>1.75</v>
      </c>
      <c r="D17" s="19">
        <f t="shared" si="1"/>
        <v>10637.616398633503</v>
      </c>
      <c r="E17" s="19">
        <f t="shared" si="2"/>
        <v>40</v>
      </c>
      <c r="F17" s="19">
        <f t="shared" si="3"/>
        <v>10517.914348804316</v>
      </c>
      <c r="G17" s="19">
        <f t="shared" si="4"/>
        <v>10817.5</v>
      </c>
      <c r="H17" s="19">
        <f t="shared" si="5"/>
        <v>10670.889999999998</v>
      </c>
      <c r="I17" s="19">
        <f t="shared" si="6"/>
        <v>-152.97565119568208</v>
      </c>
      <c r="J17" s="19">
        <f t="shared" si="7"/>
        <v>146.6100000000024</v>
      </c>
      <c r="K17" s="11">
        <f t="shared" si="8"/>
        <v>1.5759023074626288E-3</v>
      </c>
    </row>
    <row r="18" spans="1:12">
      <c r="A18" s="20">
        <v>3</v>
      </c>
      <c r="B18" s="17">
        <v>2.8E-3</v>
      </c>
      <c r="C18" s="21">
        <f t="shared" si="0"/>
        <v>2.75</v>
      </c>
      <c r="D18" s="19">
        <f t="shared" si="1"/>
        <v>11026.02213593765</v>
      </c>
      <c r="E18" s="19">
        <f t="shared" si="2"/>
        <v>60</v>
      </c>
      <c r="F18" s="19">
        <f t="shared" si="3"/>
        <v>10837.769368945445</v>
      </c>
      <c r="G18" s="19">
        <f t="shared" si="4"/>
        <v>11226.25</v>
      </c>
      <c r="H18" s="19">
        <f t="shared" si="5"/>
        <v>11023.029369999997</v>
      </c>
      <c r="I18" s="19">
        <f t="shared" si="6"/>
        <v>-185.26000105455205</v>
      </c>
      <c r="J18" s="19">
        <f t="shared" si="7"/>
        <v>203.22063000000344</v>
      </c>
      <c r="K18" s="11">
        <f t="shared" si="8"/>
        <v>3.8689592269034456E-3</v>
      </c>
    </row>
    <row r="19" spans="1:12">
      <c r="A19" s="20">
        <v>4</v>
      </c>
      <c r="B19" s="17">
        <v>3.0000000000000001E-3</v>
      </c>
      <c r="C19" s="21">
        <f t="shared" si="0"/>
        <v>3.75</v>
      </c>
      <c r="D19" s="19">
        <f t="shared" si="1"/>
        <v>11430.88716384395</v>
      </c>
      <c r="E19" s="19">
        <f t="shared" si="2"/>
        <v>80</v>
      </c>
      <c r="F19" s="19">
        <f t="shared" si="3"/>
        <v>11172.026268363457</v>
      </c>
      <c r="G19" s="19">
        <f t="shared" si="4"/>
        <v>11635</v>
      </c>
      <c r="H19" s="19">
        <f t="shared" si="5"/>
        <v>11386.789339209996</v>
      </c>
      <c r="I19" s="19">
        <f t="shared" si="6"/>
        <v>-214.76307084653854</v>
      </c>
      <c r="J19" s="19">
        <f t="shared" si="7"/>
        <v>248.21066079000411</v>
      </c>
      <c r="K19" s="11">
        <f t="shared" si="8"/>
        <v>5.5183420190674237E-3</v>
      </c>
    </row>
    <row r="20" spans="1:12" ht="60" customHeight="1">
      <c r="A20" s="20">
        <v>5</v>
      </c>
      <c r="B20" s="17">
        <v>3.3E-3</v>
      </c>
      <c r="C20" s="21">
        <f t="shared" si="0"/>
        <v>4.75</v>
      </c>
      <c r="D20" s="19">
        <f t="shared" si="1"/>
        <v>11861.253517910829</v>
      </c>
      <c r="E20" s="19">
        <f t="shared" si="2"/>
        <v>100</v>
      </c>
      <c r="F20" s="19">
        <f t="shared" si="3"/>
        <v>11528.596828171976</v>
      </c>
      <c r="G20" s="19">
        <f t="shared" si="4"/>
        <v>12096.25</v>
      </c>
      <c r="H20" s="19">
        <f t="shared" si="5"/>
        <v>11762.553387403925</v>
      </c>
      <c r="I20" s="19">
        <f t="shared" si="6"/>
        <v>-233.95655923194863</v>
      </c>
      <c r="J20" s="19">
        <f t="shared" si="7"/>
        <v>333.69661259607528</v>
      </c>
      <c r="K20" s="11">
        <f t="shared" si="8"/>
        <v>8.075678215966775E-3</v>
      </c>
      <c r="L20" s="12" t="s">
        <v>135</v>
      </c>
    </row>
    <row r="21" spans="1:12">
      <c r="A21" s="20">
        <v>6</v>
      </c>
      <c r="B21" s="17">
        <v>3.5999999999999999E-3</v>
      </c>
      <c r="C21" s="21">
        <f t="shared" si="0"/>
        <v>5.75</v>
      </c>
      <c r="D21" s="19">
        <f t="shared" si="1"/>
        <v>12315.180019189729</v>
      </c>
      <c r="E21" s="19">
        <f t="shared" si="2"/>
        <v>120</v>
      </c>
      <c r="F21" s="19">
        <f t="shared" si="3"/>
        <v>11905.782516791012</v>
      </c>
      <c r="G21" s="19">
        <f t="shared" si="4"/>
        <v>12505</v>
      </c>
      <c r="H21" s="19">
        <f t="shared" si="5"/>
        <v>12150.717649188251</v>
      </c>
      <c r="I21" s="19">
        <f t="shared" si="6"/>
        <v>-244.9351323972387</v>
      </c>
      <c r="J21" s="19">
        <f t="shared" si="7"/>
        <v>354.28235081174898</v>
      </c>
      <c r="K21" s="11">
        <f t="shared" si="8"/>
        <v>1.0827867052198403E-2</v>
      </c>
    </row>
    <row r="22" spans="1:12">
      <c r="A22" s="20">
        <v>7</v>
      </c>
      <c r="B22" s="17">
        <v>4.1000000000000003E-3</v>
      </c>
      <c r="C22" s="21">
        <f t="shared" si="0"/>
        <v>6.75</v>
      </c>
      <c r="D22" s="19">
        <f t="shared" si="1"/>
        <v>12811.970788648232</v>
      </c>
      <c r="E22" s="19">
        <f t="shared" si="2"/>
        <v>140</v>
      </c>
      <c r="F22" s="19">
        <f t="shared" si="3"/>
        <v>12320.474440067203</v>
      </c>
      <c r="G22" s="19">
        <f t="shared" si="4"/>
        <v>12913.75</v>
      </c>
      <c r="H22" s="19">
        <f t="shared" si="5"/>
        <v>12551.691331611462</v>
      </c>
      <c r="I22" s="19">
        <f t="shared" si="6"/>
        <v>-231.21689154425985</v>
      </c>
      <c r="J22" s="19">
        <f t="shared" si="7"/>
        <v>362.05866838853763</v>
      </c>
      <c r="K22" s="11">
        <f t="shared" si="8"/>
        <v>1.563584316429667E-2</v>
      </c>
    </row>
    <row r="23" spans="1:12">
      <c r="A23" s="20">
        <v>8</v>
      </c>
      <c r="B23" s="17">
        <v>4.7000000000000002E-3</v>
      </c>
      <c r="C23" s="21">
        <f t="shared" si="0"/>
        <v>7.75</v>
      </c>
      <c r="D23" s="19">
        <f t="shared" si="1"/>
        <v>13352.68826112143</v>
      </c>
      <c r="E23" s="19">
        <f t="shared" si="2"/>
        <v>160</v>
      </c>
      <c r="F23" s="19">
        <f t="shared" si="3"/>
        <v>12773.60222848125</v>
      </c>
      <c r="G23" s="19">
        <f t="shared" si="4"/>
        <v>13322.5</v>
      </c>
      <c r="H23" s="19">
        <f t="shared" si="5"/>
        <v>12965.89714555464</v>
      </c>
      <c r="I23" s="19">
        <f t="shared" si="6"/>
        <v>-192.29491707339002</v>
      </c>
      <c r="J23" s="19">
        <f t="shared" si="7"/>
        <v>356.60285444536021</v>
      </c>
      <c r="K23" s="11">
        <f t="shared" si="8"/>
        <v>2.2042223074340672E-2</v>
      </c>
    </row>
    <row r="24" spans="1:12">
      <c r="A24" s="20">
        <v>9</v>
      </c>
      <c r="B24" s="17">
        <v>5.3E-3</v>
      </c>
      <c r="C24" s="21">
        <f t="shared" si="0"/>
        <v>8.75</v>
      </c>
      <c r="D24" s="19">
        <f t="shared" si="1"/>
        <v>13932.817749594355</v>
      </c>
      <c r="E24" s="19">
        <f t="shared" si="2"/>
        <v>180</v>
      </c>
      <c r="F24" s="19">
        <f t="shared" si="3"/>
        <v>13261.215530895061</v>
      </c>
      <c r="G24" s="19">
        <f t="shared" si="4"/>
        <v>13731.25</v>
      </c>
      <c r="H24" s="19">
        <f t="shared" si="5"/>
        <v>13393.771751357941</v>
      </c>
      <c r="I24" s="19">
        <f t="shared" si="6"/>
        <v>-132.55622046288045</v>
      </c>
      <c r="J24" s="19">
        <f t="shared" si="7"/>
        <v>337.47824864205904</v>
      </c>
      <c r="K24" s="11">
        <f t="shared" si="8"/>
        <v>2.9498760733126517E-2</v>
      </c>
    </row>
    <row r="25" spans="1:12" ht="45" customHeight="1">
      <c r="A25" s="20">
        <v>10</v>
      </c>
      <c r="B25" s="17">
        <v>6.0000000000000001E-3</v>
      </c>
      <c r="C25" s="21">
        <f t="shared" si="0"/>
        <v>9.75</v>
      </c>
      <c r="D25" s="19">
        <f t="shared" si="1"/>
        <v>14569.945994982463</v>
      </c>
      <c r="E25" s="19">
        <f t="shared" si="2"/>
        <v>200</v>
      </c>
      <c r="F25" s="19">
        <f t="shared" si="3"/>
        <v>13798.702745609655</v>
      </c>
      <c r="G25" s="19">
        <f t="shared" si="4"/>
        <v>14140</v>
      </c>
      <c r="H25" s="19">
        <f t="shared" si="5"/>
        <v>13835.766219152751</v>
      </c>
      <c r="I25" s="19">
        <f t="shared" si="6"/>
        <v>-37.063473543095824</v>
      </c>
      <c r="J25" s="19">
        <f t="shared" si="7"/>
        <v>304.23378084724936</v>
      </c>
      <c r="K25" s="11">
        <f t="shared" si="8"/>
        <v>3.9816408015459936E-2</v>
      </c>
      <c r="L25" s="12" t="s">
        <v>136</v>
      </c>
    </row>
    <row r="27" spans="1:12">
      <c r="A27" s="27" t="s">
        <v>137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</row>
    <row r="28" spans="1:12" ht="45">
      <c r="A28" s="5" t="s">
        <v>138</v>
      </c>
      <c r="B28" s="20">
        <v>10</v>
      </c>
    </row>
    <row r="29" spans="1:12" ht="120">
      <c r="A29" s="5" t="s">
        <v>139</v>
      </c>
      <c r="B29" s="19">
        <f>INDEX(G16:G25,B28)-INDEX(F16:F25,B28)</f>
        <v>341.29725439034519</v>
      </c>
    </row>
    <row r="30" spans="1:12" ht="105">
      <c r="A30" s="5" t="s">
        <v>140</v>
      </c>
      <c r="B30" s="14" t="str">
        <f>IF(INDEX(I16:I25,B28)&gt;=0,"SÌ",IF(ABS(INDEX(I16:I25,B28))&lt;=$B$5*0.005,"quasi: scarto sotto lo 0,5% del capitale","NO"))</f>
        <v>quasi: scarto sotto lo 0,5% del capitale</v>
      </c>
    </row>
    <row r="31" spans="1:12" ht="135">
      <c r="A31" s="5" t="s">
        <v>141</v>
      </c>
      <c r="B31" s="11">
        <f>INDEX(K16:K25,B28)</f>
        <v>3.9816408015459936E-2</v>
      </c>
    </row>
    <row r="33" spans="1:12" ht="30" customHeight="1">
      <c r="A33" s="26" t="s">
        <v>142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</row>
    <row r="34" spans="1:12" ht="30" customHeight="1">
      <c r="A34" s="26" t="s">
        <v>143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</row>
    <row r="35" spans="1:12" ht="45" customHeight="1">
      <c r="A35" s="26" t="s">
        <v>144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</row>
    <row r="36" spans="1:12" ht="45" customHeight="1">
      <c r="A36" s="26" t="s">
        <v>145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</row>
  </sheetData>
  <mergeCells count="9">
    <mergeCell ref="A2:L2"/>
    <mergeCell ref="A33:L33"/>
    <mergeCell ref="A1:L1"/>
    <mergeCell ref="A36:L36"/>
    <mergeCell ref="A14:L14"/>
    <mergeCell ref="A27:L27"/>
    <mergeCell ref="A34:L34"/>
    <mergeCell ref="A35:L35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/>
  </sheetViews>
  <sheetFormatPr defaultRowHeight="15"/>
  <cols>
    <col min="1" max="1" width="34" customWidth="1"/>
    <col min="2" max="3" width="15" customWidth="1"/>
    <col min="4" max="4" width="17" customWidth="1"/>
    <col min="5" max="6" width="18" customWidth="1"/>
    <col min="7" max="7" width="20" customWidth="1"/>
    <col min="8" max="8" width="60" customWidth="1"/>
  </cols>
  <sheetData>
    <row r="1" spans="1:8" ht="24.95" customHeight="1">
      <c r="A1" s="25" t="s">
        <v>146</v>
      </c>
      <c r="B1" s="24"/>
      <c r="C1" s="24"/>
      <c r="D1" s="24"/>
      <c r="E1" s="24"/>
      <c r="F1" s="24"/>
      <c r="G1" s="24"/>
      <c r="H1" s="24"/>
    </row>
    <row r="2" spans="1:8" ht="32.1" customHeight="1">
      <c r="A2" s="23" t="s">
        <v>1</v>
      </c>
      <c r="B2" s="24"/>
      <c r="C2" s="24"/>
      <c r="D2" s="24"/>
      <c r="E2" s="24"/>
      <c r="F2" s="24"/>
      <c r="G2" s="24"/>
      <c r="H2" s="24"/>
    </row>
    <row r="4" spans="1:8">
      <c r="A4" s="27" t="s">
        <v>113</v>
      </c>
      <c r="B4" s="24"/>
      <c r="C4" s="24"/>
      <c r="D4" s="24"/>
      <c r="E4" s="24"/>
      <c r="F4" s="24"/>
      <c r="G4" s="24"/>
      <c r="H4" s="24"/>
    </row>
    <row r="5" spans="1:8">
      <c r="A5" s="5" t="s">
        <v>147</v>
      </c>
      <c r="B5" s="6">
        <v>30000</v>
      </c>
    </row>
    <row r="6" spans="1:8">
      <c r="A6" s="5" t="s">
        <v>148</v>
      </c>
      <c r="B6" s="20">
        <v>10</v>
      </c>
    </row>
    <row r="7" spans="1:8">
      <c r="A7" s="5" t="s">
        <v>149</v>
      </c>
      <c r="B7" s="7">
        <v>3.3000000000000002E-2</v>
      </c>
    </row>
    <row r="8" spans="1:8">
      <c r="A8" s="5" t="s">
        <v>150</v>
      </c>
      <c r="B8" s="7">
        <v>0.15</v>
      </c>
    </row>
    <row r="9" spans="1:8" ht="30">
      <c r="A9" s="5" t="s">
        <v>151</v>
      </c>
      <c r="B9" s="7">
        <v>0.17</v>
      </c>
    </row>
    <row r="10" spans="1:8">
      <c r="A10" s="5" t="s">
        <v>152</v>
      </c>
      <c r="B10" s="7">
        <v>1.4999999999999999E-2</v>
      </c>
    </row>
    <row r="11" spans="1:8">
      <c r="A11" s="5" t="s">
        <v>153</v>
      </c>
      <c r="B11" s="7">
        <v>0.75</v>
      </c>
    </row>
    <row r="13" spans="1:8">
      <c r="A13" s="27" t="s">
        <v>154</v>
      </c>
      <c r="B13" s="24"/>
      <c r="C13" s="24"/>
      <c r="D13" s="24"/>
      <c r="E13" s="24"/>
      <c r="F13" s="24"/>
      <c r="G13" s="24"/>
      <c r="H13" s="24"/>
    </row>
    <row r="14" spans="1:8" ht="30">
      <c r="A14" s="8" t="s">
        <v>155</v>
      </c>
      <c r="B14" s="8" t="s">
        <v>156</v>
      </c>
      <c r="C14" s="8" t="s">
        <v>157</v>
      </c>
      <c r="D14" s="8" t="s">
        <v>158</v>
      </c>
      <c r="E14" s="8" t="s">
        <v>159</v>
      </c>
      <c r="F14" s="8" t="s">
        <v>160</v>
      </c>
      <c r="G14" s="8" t="s">
        <v>161</v>
      </c>
      <c r="H14" s="8" t="s">
        <v>90</v>
      </c>
    </row>
    <row r="15" spans="1:8" ht="15" customHeight="1">
      <c r="A15" s="5" t="s">
        <v>162</v>
      </c>
      <c r="B15" s="7">
        <v>7.0000000000000001E-3</v>
      </c>
      <c r="C15" s="11">
        <f t="shared" ref="C15:C20" si="0">(1+B15)/(1+$B$7)-1</f>
        <v>-2.5169409486931249E-2</v>
      </c>
      <c r="D15" s="15">
        <f t="shared" ref="D15:D20" si="1">$B$5*(1+B15)^$B$6</f>
        <v>32167.400054105045</v>
      </c>
      <c r="E15" s="15">
        <f t="shared" ref="E15:E20" si="2">D15/(1+$B$7)^$B$6</f>
        <v>23249.453297046857</v>
      </c>
      <c r="F15" s="15">
        <f t="shared" ref="F15:F20" si="3">E15-$B$5</f>
        <v>-6750.5467029531428</v>
      </c>
      <c r="G15" s="15">
        <f>(D15-$B$5*$B$8)/(1+$B$7)^$B$6</f>
        <v>19997.013259594736</v>
      </c>
      <c r="H15" s="12" t="s">
        <v>163</v>
      </c>
    </row>
    <row r="16" spans="1:8" ht="15" customHeight="1">
      <c r="A16" s="5" t="s">
        <v>164</v>
      </c>
      <c r="B16" s="7">
        <v>5.0000000000000001E-3</v>
      </c>
      <c r="C16" s="11">
        <f t="shared" si="0"/>
        <v>-2.7105517909002952E-2</v>
      </c>
      <c r="D16" s="15">
        <f t="shared" si="1"/>
        <v>31534.203961223673</v>
      </c>
      <c r="E16" s="15">
        <f t="shared" si="2"/>
        <v>22791.801669481163</v>
      </c>
      <c r="F16" s="15">
        <f t="shared" si="3"/>
        <v>-7208.1983305188369</v>
      </c>
      <c r="G16" s="15">
        <f>(D16-$B$5*$B$8)/(1+$B$7)^$B$6</f>
        <v>19539.361632029038</v>
      </c>
      <c r="H16" s="12" t="s">
        <v>165</v>
      </c>
    </row>
    <row r="17" spans="1:8" ht="15" customHeight="1">
      <c r="A17" s="5" t="s">
        <v>166</v>
      </c>
      <c r="B17" s="7">
        <v>2.5999999999999999E-2</v>
      </c>
      <c r="C17" s="11">
        <f t="shared" si="0"/>
        <v>-6.7763794772506269E-3</v>
      </c>
      <c r="D17" s="15">
        <f t="shared" si="1"/>
        <v>38778.84434737001</v>
      </c>
      <c r="E17" s="15">
        <f t="shared" si="2"/>
        <v>28027.970213668934</v>
      </c>
      <c r="F17" s="15">
        <f t="shared" si="3"/>
        <v>-1972.0297863310661</v>
      </c>
      <c r="G17" s="15">
        <f>(D17-$B$5*$B$8)/(1+$B$7)^$B$6</f>
        <v>24775.530176216809</v>
      </c>
      <c r="H17" s="12" t="s">
        <v>167</v>
      </c>
    </row>
    <row r="18" spans="1:8" ht="15" customHeight="1">
      <c r="A18" s="5" t="s">
        <v>168</v>
      </c>
      <c r="B18" s="7">
        <v>2.7E-2</v>
      </c>
      <c r="C18" s="11">
        <f t="shared" si="0"/>
        <v>-5.8083252662148865E-3</v>
      </c>
      <c r="D18" s="15">
        <f t="shared" si="1"/>
        <v>39158.467834826806</v>
      </c>
      <c r="E18" s="15">
        <f t="shared" si="2"/>
        <v>28302.348575838198</v>
      </c>
      <c r="F18" s="15">
        <f t="shared" si="3"/>
        <v>-1697.6514241618024</v>
      </c>
      <c r="G18" s="15">
        <f>(D18-$B$5*$B$8)/(1+$B$7)^$B$6</f>
        <v>25049.908538386073</v>
      </c>
      <c r="H18" s="12" t="s">
        <v>169</v>
      </c>
    </row>
    <row r="19" spans="1:8" ht="15" customHeight="1">
      <c r="A19" s="5" t="s">
        <v>170</v>
      </c>
      <c r="B19" s="7">
        <v>4.8000000000000001E-2</v>
      </c>
      <c r="C19" s="11">
        <f t="shared" si="0"/>
        <v>1.4520813165537438E-2</v>
      </c>
      <c r="D19" s="15">
        <f t="shared" si="1"/>
        <v>47943.979743413831</v>
      </c>
      <c r="E19" s="15">
        <f t="shared" si="2"/>
        <v>34652.204282727274</v>
      </c>
      <c r="F19" s="15">
        <f t="shared" si="3"/>
        <v>4652.2042827272744</v>
      </c>
      <c r="G19" s="15">
        <f>(D19-$B$5*$B$8)/(1+$B$7)^$B$6</f>
        <v>31399.764245275153</v>
      </c>
      <c r="H19" s="12" t="s">
        <v>171</v>
      </c>
    </row>
    <row r="20" spans="1:8" ht="60" customHeight="1">
      <c r="A20" s="5" t="s">
        <v>172</v>
      </c>
      <c r="B20" s="11">
        <f>($B$10+$B$11*$B$7)*(1-$B$9)</f>
        <v>3.2992500000000001E-2</v>
      </c>
      <c r="C20" s="11">
        <f t="shared" si="0"/>
        <v>-7.2604065827208686E-6</v>
      </c>
      <c r="D20" s="15">
        <f t="shared" si="1"/>
        <v>41504.28515727209</v>
      </c>
      <c r="E20" s="15">
        <f t="shared" si="2"/>
        <v>29997.821949187037</v>
      </c>
      <c r="F20" s="15">
        <f t="shared" si="3"/>
        <v>-2.1780508129631926</v>
      </c>
      <c r="G20" s="14" t="s">
        <v>173</v>
      </c>
      <c r="H20" s="12" t="s">
        <v>174</v>
      </c>
    </row>
    <row r="21" spans="1:8" ht="30" customHeight="1">
      <c r="A21" s="5" t="s">
        <v>175</v>
      </c>
      <c r="B21" s="11">
        <f>$B$7</f>
        <v>3.3000000000000002E-2</v>
      </c>
      <c r="D21" s="15">
        <f>$B$5*(1+$B$7)^$B$6</f>
        <v>41507.298657458246</v>
      </c>
      <c r="H21" s="12" t="s">
        <v>176</v>
      </c>
    </row>
    <row r="23" spans="1:8">
      <c r="A23" s="27" t="s">
        <v>177</v>
      </c>
      <c r="B23" s="24"/>
      <c r="C23" s="24"/>
      <c r="D23" s="24"/>
      <c r="E23" s="24"/>
      <c r="F23" s="24"/>
      <c r="G23" s="24"/>
      <c r="H23" s="24"/>
    </row>
    <row r="24" spans="1:8">
      <c r="A24" s="5" t="s">
        <v>178</v>
      </c>
      <c r="B24" s="7">
        <v>1.4999999999999999E-2</v>
      </c>
      <c r="C24" s="7">
        <v>2.5000000000000001E-2</v>
      </c>
      <c r="D24" s="7">
        <v>3.3000000000000002E-2</v>
      </c>
      <c r="E24" s="7">
        <v>4.4999999999999998E-2</v>
      </c>
    </row>
    <row r="25" spans="1:8">
      <c r="A25" s="8" t="s">
        <v>155</v>
      </c>
      <c r="B25" s="8" t="str">
        <f>"Reale @ "&amp;ROUND(B$24*100,1)&amp;"%"</f>
        <v>Reale @ 1,5%</v>
      </c>
      <c r="C25" s="8" t="str">
        <f>"Reale @ "&amp;ROUND(C$24*100,1)&amp;"%"</f>
        <v>Reale @ 2,5%</v>
      </c>
      <c r="D25" s="8" t="str">
        <f>"Reale @ "&amp;ROUND(D$24*100,1)&amp;"%"</f>
        <v>Reale @ 3,3%</v>
      </c>
      <c r="E25" s="8" t="str">
        <f>"Reale @ "&amp;ROUND(E$24*100,1)&amp;"%"</f>
        <v>Reale @ 4,5%</v>
      </c>
    </row>
    <row r="26" spans="1:8">
      <c r="A26" s="5" t="s">
        <v>162</v>
      </c>
      <c r="B26" s="11">
        <f>(1+$B$15)/(1+B$24)-1</f>
        <v>-7.8817733990147465E-3</v>
      </c>
      <c r="C26" s="11">
        <f>(1+$B$15)/(1+C$24)-1</f>
        <v>-1.7560975609756113E-2</v>
      </c>
      <c r="D26" s="11">
        <f>(1+$B$15)/(1+D$24)-1</f>
        <v>-2.5169409486931249E-2</v>
      </c>
      <c r="E26" s="11">
        <f>(1+$B$15)/(1+E$24)-1</f>
        <v>-3.6363636363636376E-2</v>
      </c>
    </row>
    <row r="27" spans="1:8">
      <c r="A27" s="5" t="s">
        <v>164</v>
      </c>
      <c r="B27" s="11">
        <f>(1+$B$16)/(1+B$24)-1</f>
        <v>-9.8522167487684609E-3</v>
      </c>
      <c r="C27" s="11">
        <f>(1+$B$16)/(1+C$24)-1</f>
        <v>-1.9512195121951237E-2</v>
      </c>
      <c r="D27" s="11">
        <f>(1+$B$16)/(1+D$24)-1</f>
        <v>-2.7105517909002952E-2</v>
      </c>
      <c r="E27" s="11">
        <f>(1+$B$16)/(1+E$24)-1</f>
        <v>-3.8277511961722577E-2</v>
      </c>
    </row>
    <row r="28" spans="1:8">
      <c r="A28" s="5" t="s">
        <v>166</v>
      </c>
      <c r="B28" s="11">
        <f>(1+$B$17)/(1+B$24)-1</f>
        <v>1.0837438423645374E-2</v>
      </c>
      <c r="C28" s="11">
        <f>(1+$B$17)/(1+C$24)-1</f>
        <v>9.7560975609756184E-4</v>
      </c>
      <c r="D28" s="11">
        <f>(1+$B$17)/(1+D$24)-1</f>
        <v>-6.7763794772506269E-3</v>
      </c>
      <c r="E28" s="11">
        <f>(1+$B$17)/(1+E$24)-1</f>
        <v>-1.8181818181818077E-2</v>
      </c>
    </row>
    <row r="29" spans="1:8">
      <c r="A29" s="5" t="s">
        <v>168</v>
      </c>
      <c r="B29" s="11">
        <f>(1+$B$18)/(1+B$24)-1</f>
        <v>1.1822660098522286E-2</v>
      </c>
      <c r="C29" s="11">
        <f>(1+$B$18)/(1+C$24)-1</f>
        <v>1.9512195121951237E-3</v>
      </c>
      <c r="D29" s="11">
        <f>(1+$B$18)/(1+D$24)-1</f>
        <v>-5.8083252662148865E-3</v>
      </c>
      <c r="E29" s="11">
        <f>(1+$B$18)/(1+E$24)-1</f>
        <v>-1.7224880382775143E-2</v>
      </c>
    </row>
    <row r="30" spans="1:8">
      <c r="A30" s="5" t="s">
        <v>170</v>
      </c>
      <c r="B30" s="11">
        <f>(1+$B$19)/(1+B$24)-1</f>
        <v>3.2512315270936121E-2</v>
      </c>
      <c r="C30" s="11">
        <f>(1+$B$19)/(1+C$24)-1</f>
        <v>2.2439024390243922E-2</v>
      </c>
      <c r="D30" s="11">
        <f>(1+$B$19)/(1+D$24)-1</f>
        <v>1.4520813165537438E-2</v>
      </c>
      <c r="E30" s="11">
        <f>(1+$B$19)/(1+E$24)-1</f>
        <v>2.870813397129357E-3</v>
      </c>
    </row>
    <row r="31" spans="1:8">
      <c r="A31" s="5" t="s">
        <v>172</v>
      </c>
      <c r="B31" s="11">
        <f>(1+($B$10+$B$11*B$24)*(1-$B$9))/(1+B$24)-1</f>
        <v>6.6871921182267702E-3</v>
      </c>
      <c r="C31" s="11">
        <f>(1+($B$10+$B$11*C$24)*(1-$B$9))/(1+C$24)-1</f>
        <v>2.9390243902440716E-3</v>
      </c>
      <c r="D31" s="11">
        <f>(1+($B$10+$B$11*D$24)*(1-$B$9))/(1+D$24)-1</f>
        <v>-7.2604065827208686E-6</v>
      </c>
      <c r="E31" s="11">
        <f>(1+($B$10+$B$11*E$24)*(1-$B$9))/(1+E$24)-1</f>
        <v>-4.3421052631578139E-3</v>
      </c>
    </row>
    <row r="33" spans="1:8">
      <c r="A33" s="27" t="s">
        <v>179</v>
      </c>
      <c r="B33" s="24"/>
      <c r="C33" s="24"/>
      <c r="D33" s="24"/>
      <c r="E33" s="24"/>
      <c r="F33" s="24"/>
      <c r="G33" s="24"/>
      <c r="H33" s="24"/>
    </row>
    <row r="34" spans="1:8">
      <c r="A34" s="5" t="s">
        <v>180</v>
      </c>
      <c r="B34" s="20">
        <v>5</v>
      </c>
      <c r="C34" s="20">
        <v>10</v>
      </c>
      <c r="D34" s="20">
        <v>20</v>
      </c>
      <c r="E34" s="20">
        <v>30</v>
      </c>
    </row>
    <row r="35" spans="1:8">
      <c r="A35" s="8" t="s">
        <v>155</v>
      </c>
      <c r="B35" s="8" t="str">
        <f>"a "&amp;B$34&amp;" anni"</f>
        <v>a 5 anni</v>
      </c>
      <c r="C35" s="8" t="str">
        <f>"a "&amp;C$34&amp;" anni"</f>
        <v>a 10 anni</v>
      </c>
      <c r="D35" s="8" t="str">
        <f>"a "&amp;D$34&amp;" anni"</f>
        <v>a 20 anni</v>
      </c>
      <c r="E35" s="8" t="str">
        <f>"a "&amp;E$34&amp;" anni"</f>
        <v>a 30 anni</v>
      </c>
    </row>
    <row r="36" spans="1:8">
      <c r="A36" s="5" t="s">
        <v>162</v>
      </c>
      <c r="B36" s="15">
        <f>$B$5*(1+$B$15)^B$34/(1+$B$7)^B$34</f>
        <v>26409.914784251116</v>
      </c>
      <c r="C36" s="15">
        <f>$B$5*(1+$B$15)^C$34/(1+$B$7)^C$34</f>
        <v>23249.453297046857</v>
      </c>
      <c r="D36" s="15">
        <f>$B$5*(1+$B$15)^D$34/(1+$B$7)^D$34</f>
        <v>18017.90262038543</v>
      </c>
      <c r="E36" s="15">
        <f>$B$5*(1+$B$15)^E$34/(1+$B$7)^E$34</f>
        <v>13963.546182779643</v>
      </c>
    </row>
    <row r="37" spans="1:8">
      <c r="A37" s="5" t="s">
        <v>164</v>
      </c>
      <c r="B37" s="15">
        <f>$B$5*(1+$B$16)^B$34/(1+$B$7)^B$34</f>
        <v>26148.691173449475</v>
      </c>
      <c r="C37" s="15">
        <f>$B$5*(1+$B$16)^C$34/(1+$B$7)^C$34</f>
        <v>22791.801669481163</v>
      </c>
      <c r="D37" s="15">
        <f>$B$5*(1+$B$16)^D$34/(1+$B$7)^D$34</f>
        <v>17315.54077803214</v>
      </c>
      <c r="E37" s="15">
        <f>$B$5*(1+$B$16)^E$34/(1+$B$7)^E$34</f>
        <v>13155.079040424071</v>
      </c>
    </row>
    <row r="38" spans="1:8">
      <c r="A38" s="5" t="s">
        <v>166</v>
      </c>
      <c r="B38" s="15">
        <f>$B$5*(1+$B$17)^B$34/(1+$B$7)^B$34</f>
        <v>28997.225839898339</v>
      </c>
      <c r="C38" s="15">
        <f>$B$5*(1+$B$17)^C$34/(1+$B$7)^C$34</f>
        <v>28027.970213668934</v>
      </c>
      <c r="D38" s="15">
        <f>$B$5*(1+$B$17)^D$34/(1+$B$7)^D$34</f>
        <v>26185.570476610421</v>
      </c>
      <c r="E38" s="15">
        <f>$B$5*(1+$B$17)^E$34/(1+$B$7)^E$34</f>
        <v>24464.27964487885</v>
      </c>
    </row>
    <row r="39" spans="1:8">
      <c r="A39" s="5" t="s">
        <v>168</v>
      </c>
      <c r="B39" s="15">
        <f>$B$5*(1+$B$18)^B$34/(1+$B$7)^B$34</f>
        <v>29138.81358729531</v>
      </c>
      <c r="C39" s="15">
        <f>$B$5*(1+$B$18)^C$34/(1+$B$7)^C$34</f>
        <v>28302.348575838198</v>
      </c>
      <c r="D39" s="15">
        <f>$B$5*(1+$B$18)^D$34/(1+$B$7)^D$34</f>
        <v>26700.76449694168</v>
      </c>
      <c r="E39" s="15">
        <f>$B$5*(1+$B$18)^E$34/(1+$B$7)^E$34</f>
        <v>25189.811467793614</v>
      </c>
    </row>
    <row r="40" spans="1:8">
      <c r="A40" s="5" t="s">
        <v>170</v>
      </c>
      <c r="B40" s="15">
        <f>$B$5*(1+$B$19)^B$34/(1+$B$7)^B$34</f>
        <v>32242.303399134154</v>
      </c>
      <c r="C40" s="15">
        <f>$B$5*(1+$B$19)^C$34/(1+$B$7)^C$34</f>
        <v>34652.204282727274</v>
      </c>
      <c r="D40" s="15">
        <f>$B$5*(1+$B$19)^D$34/(1+$B$7)^D$34</f>
        <v>40025.842055062094</v>
      </c>
      <c r="E40" s="15">
        <f>$B$5*(1+$B$19)^E$34/(1+$B$7)^E$34</f>
        <v>46232.788516006272</v>
      </c>
    </row>
    <row r="41" spans="1:8">
      <c r="A41" s="5" t="s">
        <v>172</v>
      </c>
      <c r="B41" s="15">
        <f>$B$5*(1+$B$20)^B$34/(1+$B$7)^B$34</f>
        <v>29998.910954826526</v>
      </c>
      <c r="C41" s="15">
        <f>$B$5*(1+$B$20)^C$34/(1+$B$7)^C$34</f>
        <v>29997.821949187037</v>
      </c>
      <c r="D41" s="15">
        <f>$B$5*(1+$B$20)^D$34/(1+$B$7)^D$34</f>
        <v>29995.644056504243</v>
      </c>
      <c r="E41" s="15">
        <f>$B$5*(1+$B$20)^E$34/(1+$B$7)^E$34</f>
        <v>29993.466321940152</v>
      </c>
    </row>
    <row r="42" spans="1:8">
      <c r="A42" s="5" t="s">
        <v>181</v>
      </c>
      <c r="B42" s="15">
        <f>$B$5</f>
        <v>30000</v>
      </c>
      <c r="C42" s="15">
        <f>$B$5</f>
        <v>30000</v>
      </c>
      <c r="D42" s="15">
        <f>$B$5</f>
        <v>30000</v>
      </c>
      <c r="E42" s="15">
        <f>$B$5</f>
        <v>30000</v>
      </c>
    </row>
    <row r="44" spans="1:8" ht="30" customHeight="1">
      <c r="A44" s="26" t="s">
        <v>182</v>
      </c>
      <c r="B44" s="24"/>
      <c r="C44" s="24"/>
      <c r="D44" s="24"/>
      <c r="E44" s="24"/>
      <c r="F44" s="24"/>
      <c r="G44" s="24"/>
      <c r="H44" s="24"/>
    </row>
    <row r="45" spans="1:8" ht="45" customHeight="1">
      <c r="A45" s="26" t="s">
        <v>183</v>
      </c>
      <c r="B45" s="24"/>
      <c r="C45" s="24"/>
      <c r="D45" s="24"/>
      <c r="E45" s="24"/>
      <c r="F45" s="24"/>
      <c r="G45" s="24"/>
      <c r="H45" s="24"/>
    </row>
    <row r="46" spans="1:8" ht="45" customHeight="1">
      <c r="A46" s="26" t="s">
        <v>184</v>
      </c>
      <c r="B46" s="24"/>
      <c r="C46" s="24"/>
      <c r="D46" s="24"/>
      <c r="E46" s="24"/>
      <c r="F46" s="24"/>
      <c r="G46" s="24"/>
      <c r="H46" s="24"/>
    </row>
  </sheetData>
  <mergeCells count="9">
    <mergeCell ref="A1:H1"/>
    <mergeCell ref="A23:H23"/>
    <mergeCell ref="A45:H45"/>
    <mergeCell ref="A4:H4"/>
    <mergeCell ref="A46:H46"/>
    <mergeCell ref="A2:H2"/>
    <mergeCell ref="A13:H13"/>
    <mergeCell ref="A33:H33"/>
    <mergeCell ref="A44:H4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workbookViewId="0"/>
  </sheetViews>
  <sheetFormatPr defaultRowHeight="15"/>
  <cols>
    <col min="1" max="1" width="10" customWidth="1"/>
    <col min="2" max="4" width="12" customWidth="1"/>
    <col min="5" max="5" width="14" customWidth="1"/>
    <col min="6" max="6" width="16" customWidth="1"/>
    <col min="7" max="7" width="14" customWidth="1"/>
    <col min="8" max="8" width="16" customWidth="1"/>
    <col min="9" max="9" width="14" customWidth="1"/>
    <col min="10" max="10" width="16" customWidth="1"/>
    <col min="11" max="11" width="50" customWidth="1"/>
  </cols>
  <sheetData>
    <row r="1" spans="1:11" ht="24.95" customHeight="1">
      <c r="A1" s="25" t="s">
        <v>185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32.1" customHeight="1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4" spans="1:11">
      <c r="A4" s="27" t="s">
        <v>113</v>
      </c>
      <c r="B4" s="24"/>
      <c r="C4" s="24"/>
      <c r="D4" s="24"/>
      <c r="E4" s="24"/>
      <c r="F4" s="24"/>
      <c r="G4" s="24"/>
      <c r="H4" s="24"/>
      <c r="I4" s="24"/>
      <c r="J4" s="24"/>
      <c r="K4" s="24"/>
    </row>
    <row r="5" spans="1:11" ht="45">
      <c r="A5" s="5" t="s">
        <v>186</v>
      </c>
      <c r="B5" s="6">
        <v>500000</v>
      </c>
    </row>
    <row r="6" spans="1:11" ht="45">
      <c r="A6" s="5" t="s">
        <v>187</v>
      </c>
      <c r="B6" s="6">
        <v>20000</v>
      </c>
    </row>
    <row r="7" spans="1:11" ht="90">
      <c r="A7" s="5" t="s">
        <v>188</v>
      </c>
      <c r="B7" s="7">
        <v>0.05</v>
      </c>
    </row>
    <row r="8" spans="1:11" ht="45">
      <c r="A8" s="5" t="s">
        <v>189</v>
      </c>
      <c r="B8" s="7">
        <v>0.02</v>
      </c>
    </row>
    <row r="9" spans="1:11" ht="45">
      <c r="A9" s="5" t="s">
        <v>190</v>
      </c>
      <c r="B9" s="7">
        <v>0.08</v>
      </c>
    </row>
    <row r="10" spans="1:11" ht="60">
      <c r="A10" s="5" t="s">
        <v>191</v>
      </c>
      <c r="B10" s="20">
        <v>5</v>
      </c>
    </row>
    <row r="11" spans="1:11" ht="90">
      <c r="A11" s="5" t="s">
        <v>192</v>
      </c>
      <c r="B11" s="20">
        <v>1</v>
      </c>
    </row>
    <row r="12" spans="1:11" ht="90">
      <c r="A12" s="5" t="s">
        <v>193</v>
      </c>
      <c r="B12" s="20">
        <v>13</v>
      </c>
    </row>
    <row r="13" spans="1:11" ht="90">
      <c r="A13" s="5" t="s">
        <v>194</v>
      </c>
      <c r="B13" s="20">
        <v>26</v>
      </c>
    </row>
    <row r="15" spans="1:11">
      <c r="A15" s="27" t="s">
        <v>195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</row>
    <row r="16" spans="1:11">
      <c r="A16" s="8" t="s">
        <v>196</v>
      </c>
      <c r="B16" s="8" t="s">
        <v>197</v>
      </c>
      <c r="C16" s="8" t="s">
        <v>198</v>
      </c>
      <c r="D16" s="8" t="s">
        <v>199</v>
      </c>
      <c r="E16" s="8" t="s">
        <v>200</v>
      </c>
      <c r="F16" s="8" t="s">
        <v>201</v>
      </c>
      <c r="G16" s="8" t="s">
        <v>202</v>
      </c>
      <c r="H16" s="8" t="s">
        <v>203</v>
      </c>
      <c r="I16" s="8" t="s">
        <v>204</v>
      </c>
      <c r="J16" s="8" t="s">
        <v>205</v>
      </c>
      <c r="K16" s="8" t="s">
        <v>133</v>
      </c>
    </row>
    <row r="17" spans="1:11" ht="60" customHeight="1">
      <c r="A17" s="22">
        <v>1</v>
      </c>
      <c r="B17" s="10">
        <f t="shared" ref="B17:B46" si="0">IF(AND($A17&gt;=$B$11,$A17&lt;$B$11+$B$10),$B$9,$B$8)</f>
        <v>0.08</v>
      </c>
      <c r="C17" s="10">
        <f t="shared" ref="C17:C46" si="1">IF(AND($A17&gt;=$B$12,$A17&lt;$B$12+$B$10),$B$9,$B$8)</f>
        <v>0.02</v>
      </c>
      <c r="D17" s="10">
        <f t="shared" ref="D17:D46" si="2">IF(AND($A17&gt;=$B$13,$A17&lt;$B$13+$B$10),$B$9,$B$8)</f>
        <v>0.02</v>
      </c>
      <c r="E17" s="15">
        <f>$B$6</f>
        <v>20000</v>
      </c>
      <c r="F17" s="15">
        <f>MAX(0,$B$5-E17)*(1+$B$7)</f>
        <v>504000</v>
      </c>
      <c r="G17" s="15">
        <f>$B$6</f>
        <v>20000</v>
      </c>
      <c r="H17" s="15">
        <f>MAX(0,$B$5-G17)*(1+$B$7)</f>
        <v>504000</v>
      </c>
      <c r="I17" s="15">
        <f>$B$6</f>
        <v>20000</v>
      </c>
      <c r="J17" s="15">
        <f>MAX(0,$B$5-I17)*(1+$B$7)</f>
        <v>504000</v>
      </c>
      <c r="K17" s="12" t="s">
        <v>206</v>
      </c>
    </row>
    <row r="18" spans="1:11">
      <c r="A18" s="22">
        <v>2</v>
      </c>
      <c r="B18" s="10">
        <f t="shared" si="0"/>
        <v>0.08</v>
      </c>
      <c r="C18" s="10">
        <f t="shared" si="1"/>
        <v>0.02</v>
      </c>
      <c r="D18" s="10">
        <f t="shared" si="2"/>
        <v>0.02</v>
      </c>
      <c r="E18" s="15">
        <f t="shared" ref="E18:E46" si="3">E17*(1+B17)</f>
        <v>21600</v>
      </c>
      <c r="F18" s="15">
        <f t="shared" ref="F18:F46" si="4">MAX(0,F17-E18)*(1+$B$7)</f>
        <v>506520</v>
      </c>
      <c r="G18" s="15">
        <f t="shared" ref="G18:G46" si="5">G17*(1+C17)</f>
        <v>20400</v>
      </c>
      <c r="H18" s="15">
        <f t="shared" ref="H18:H46" si="6">MAX(0,H17-G18)*(1+$B$7)</f>
        <v>507780</v>
      </c>
      <c r="I18" s="15">
        <f t="shared" ref="I18:I46" si="7">I17*(1+D17)</f>
        <v>20400</v>
      </c>
      <c r="J18" s="15">
        <f t="shared" ref="J18:J46" si="8">MAX(0,J17-I18)*(1+$B$7)</f>
        <v>507780</v>
      </c>
    </row>
    <row r="19" spans="1:11">
      <c r="A19" s="22">
        <v>3</v>
      </c>
      <c r="B19" s="10">
        <f t="shared" si="0"/>
        <v>0.08</v>
      </c>
      <c r="C19" s="10">
        <f t="shared" si="1"/>
        <v>0.02</v>
      </c>
      <c r="D19" s="10">
        <f t="shared" si="2"/>
        <v>0.02</v>
      </c>
      <c r="E19" s="15">
        <f t="shared" si="3"/>
        <v>23328</v>
      </c>
      <c r="F19" s="15">
        <f t="shared" si="4"/>
        <v>507351.60000000003</v>
      </c>
      <c r="G19" s="15">
        <f t="shared" si="5"/>
        <v>20808</v>
      </c>
      <c r="H19" s="15">
        <f t="shared" si="6"/>
        <v>511320.60000000003</v>
      </c>
      <c r="I19" s="15">
        <f t="shared" si="7"/>
        <v>20808</v>
      </c>
      <c r="J19" s="15">
        <f t="shared" si="8"/>
        <v>511320.60000000003</v>
      </c>
    </row>
    <row r="20" spans="1:11">
      <c r="A20" s="22">
        <v>4</v>
      </c>
      <c r="B20" s="10">
        <f t="shared" si="0"/>
        <v>0.08</v>
      </c>
      <c r="C20" s="10">
        <f t="shared" si="1"/>
        <v>0.02</v>
      </c>
      <c r="D20" s="10">
        <f t="shared" si="2"/>
        <v>0.02</v>
      </c>
      <c r="E20" s="15">
        <f t="shared" si="3"/>
        <v>25194.240000000002</v>
      </c>
      <c r="F20" s="15">
        <f t="shared" si="4"/>
        <v>506265.22800000006</v>
      </c>
      <c r="G20" s="15">
        <f t="shared" si="5"/>
        <v>21224.16</v>
      </c>
      <c r="H20" s="15">
        <f t="shared" si="6"/>
        <v>514601.2620000001</v>
      </c>
      <c r="I20" s="15">
        <f t="shared" si="7"/>
        <v>21224.16</v>
      </c>
      <c r="J20" s="15">
        <f t="shared" si="8"/>
        <v>514601.2620000001</v>
      </c>
    </row>
    <row r="21" spans="1:11">
      <c r="A21" s="22">
        <v>5</v>
      </c>
      <c r="B21" s="10">
        <f t="shared" si="0"/>
        <v>0.08</v>
      </c>
      <c r="C21" s="10">
        <f t="shared" si="1"/>
        <v>0.02</v>
      </c>
      <c r="D21" s="10">
        <f t="shared" si="2"/>
        <v>0.02</v>
      </c>
      <c r="E21" s="15">
        <f t="shared" si="3"/>
        <v>27209.779200000004</v>
      </c>
      <c r="F21" s="15">
        <f t="shared" si="4"/>
        <v>503008.2212400001</v>
      </c>
      <c r="G21" s="15">
        <f t="shared" si="5"/>
        <v>21648.643199999999</v>
      </c>
      <c r="H21" s="15">
        <f t="shared" si="6"/>
        <v>517600.24974000012</v>
      </c>
      <c r="I21" s="15">
        <f t="shared" si="7"/>
        <v>21648.643199999999</v>
      </c>
      <c r="J21" s="15">
        <f t="shared" si="8"/>
        <v>517600.24974000012</v>
      </c>
    </row>
    <row r="22" spans="1:11">
      <c r="A22" s="22">
        <v>6</v>
      </c>
      <c r="B22" s="10">
        <f t="shared" si="0"/>
        <v>0.02</v>
      </c>
      <c r="C22" s="10">
        <f t="shared" si="1"/>
        <v>0.02</v>
      </c>
      <c r="D22" s="10">
        <f t="shared" si="2"/>
        <v>0.02</v>
      </c>
      <c r="E22" s="15">
        <f t="shared" si="3"/>
        <v>29386.561536000008</v>
      </c>
      <c r="F22" s="15">
        <f t="shared" si="4"/>
        <v>497302.74268920015</v>
      </c>
      <c r="G22" s="15">
        <f t="shared" si="5"/>
        <v>22081.616063999998</v>
      </c>
      <c r="H22" s="15">
        <f t="shared" si="6"/>
        <v>520294.56535980012</v>
      </c>
      <c r="I22" s="15">
        <f t="shared" si="7"/>
        <v>22081.616063999998</v>
      </c>
      <c r="J22" s="15">
        <f t="shared" si="8"/>
        <v>520294.56535980012</v>
      </c>
    </row>
    <row r="23" spans="1:11">
      <c r="A23" s="22">
        <v>7</v>
      </c>
      <c r="B23" s="10">
        <f t="shared" si="0"/>
        <v>0.02</v>
      </c>
      <c r="C23" s="10">
        <f t="shared" si="1"/>
        <v>0.02</v>
      </c>
      <c r="D23" s="10">
        <f t="shared" si="2"/>
        <v>0.02</v>
      </c>
      <c r="E23" s="15">
        <f t="shared" si="3"/>
        <v>29974.292766720009</v>
      </c>
      <c r="F23" s="15">
        <f t="shared" si="4"/>
        <v>490694.87241860421</v>
      </c>
      <c r="G23" s="15">
        <f t="shared" si="5"/>
        <v>22523.24838528</v>
      </c>
      <c r="H23" s="15">
        <f t="shared" si="6"/>
        <v>522659.88282324612</v>
      </c>
      <c r="I23" s="15">
        <f t="shared" si="7"/>
        <v>22523.24838528</v>
      </c>
      <c r="J23" s="15">
        <f t="shared" si="8"/>
        <v>522659.88282324612</v>
      </c>
    </row>
    <row r="24" spans="1:11">
      <c r="A24" s="22">
        <v>8</v>
      </c>
      <c r="B24" s="10">
        <f t="shared" si="0"/>
        <v>0.02</v>
      </c>
      <c r="C24" s="10">
        <f t="shared" si="1"/>
        <v>0.02</v>
      </c>
      <c r="D24" s="10">
        <f t="shared" si="2"/>
        <v>0.02</v>
      </c>
      <c r="E24" s="15">
        <f t="shared" si="3"/>
        <v>30573.778622054411</v>
      </c>
      <c r="F24" s="15">
        <f t="shared" si="4"/>
        <v>483127.14848637726</v>
      </c>
      <c r="G24" s="15">
        <f t="shared" si="5"/>
        <v>22973.7133529856</v>
      </c>
      <c r="H24" s="15">
        <f t="shared" si="6"/>
        <v>524670.4779437735</v>
      </c>
      <c r="I24" s="15">
        <f t="shared" si="7"/>
        <v>22973.7133529856</v>
      </c>
      <c r="J24" s="15">
        <f t="shared" si="8"/>
        <v>524670.4779437735</v>
      </c>
    </row>
    <row r="25" spans="1:11">
      <c r="A25" s="22">
        <v>9</v>
      </c>
      <c r="B25" s="10">
        <f t="shared" si="0"/>
        <v>0.02</v>
      </c>
      <c r="C25" s="10">
        <f t="shared" si="1"/>
        <v>0.02</v>
      </c>
      <c r="D25" s="10">
        <f t="shared" si="2"/>
        <v>0.02</v>
      </c>
      <c r="E25" s="15">
        <f t="shared" si="3"/>
        <v>31185.254194495501</v>
      </c>
      <c r="F25" s="15">
        <f t="shared" si="4"/>
        <v>474538.98900647589</v>
      </c>
      <c r="G25" s="15">
        <f t="shared" si="5"/>
        <v>23433.187620045312</v>
      </c>
      <c r="H25" s="15">
        <f t="shared" si="6"/>
        <v>526299.15483991464</v>
      </c>
      <c r="I25" s="15">
        <f t="shared" si="7"/>
        <v>23433.187620045312</v>
      </c>
      <c r="J25" s="15">
        <f t="shared" si="8"/>
        <v>526299.15483991464</v>
      </c>
    </row>
    <row r="26" spans="1:11">
      <c r="A26" s="22">
        <v>10</v>
      </c>
      <c r="B26" s="10">
        <f t="shared" si="0"/>
        <v>0.02</v>
      </c>
      <c r="C26" s="10">
        <f t="shared" si="1"/>
        <v>0.02</v>
      </c>
      <c r="D26" s="10">
        <f t="shared" si="2"/>
        <v>0.02</v>
      </c>
      <c r="E26" s="15">
        <f t="shared" si="3"/>
        <v>31808.959278385413</v>
      </c>
      <c r="F26" s="15">
        <f t="shared" si="4"/>
        <v>464866.53121449507</v>
      </c>
      <c r="G26" s="15">
        <f t="shared" si="5"/>
        <v>23901.851372446217</v>
      </c>
      <c r="H26" s="15">
        <f t="shared" si="6"/>
        <v>527517.16864084185</v>
      </c>
      <c r="I26" s="15">
        <f t="shared" si="7"/>
        <v>23901.851372446217</v>
      </c>
      <c r="J26" s="15">
        <f t="shared" si="8"/>
        <v>527517.16864084185</v>
      </c>
    </row>
    <row r="27" spans="1:11">
      <c r="A27" s="22">
        <v>11</v>
      </c>
      <c r="B27" s="10">
        <f t="shared" si="0"/>
        <v>0.02</v>
      </c>
      <c r="C27" s="10">
        <f t="shared" si="1"/>
        <v>0.02</v>
      </c>
      <c r="D27" s="10">
        <f t="shared" si="2"/>
        <v>0.02</v>
      </c>
      <c r="E27" s="15">
        <f t="shared" si="3"/>
        <v>32445.138463953121</v>
      </c>
      <c r="F27" s="15">
        <f t="shared" si="4"/>
        <v>454042.46238806908</v>
      </c>
      <c r="G27" s="15">
        <f t="shared" si="5"/>
        <v>24379.888399895142</v>
      </c>
      <c r="H27" s="15">
        <f t="shared" si="6"/>
        <v>528294.14425299398</v>
      </c>
      <c r="I27" s="15">
        <f t="shared" si="7"/>
        <v>24379.888399895142</v>
      </c>
      <c r="J27" s="15">
        <f t="shared" si="8"/>
        <v>528294.14425299398</v>
      </c>
    </row>
    <row r="28" spans="1:11">
      <c r="A28" s="22">
        <v>12</v>
      </c>
      <c r="B28" s="10">
        <f t="shared" si="0"/>
        <v>0.02</v>
      </c>
      <c r="C28" s="10">
        <f t="shared" si="1"/>
        <v>0.02</v>
      </c>
      <c r="D28" s="10">
        <f t="shared" si="2"/>
        <v>0.02</v>
      </c>
      <c r="E28" s="15">
        <f t="shared" si="3"/>
        <v>33094.041233232187</v>
      </c>
      <c r="F28" s="15">
        <f t="shared" si="4"/>
        <v>441995.84221257875</v>
      </c>
      <c r="G28" s="15">
        <f t="shared" si="5"/>
        <v>24867.486167893047</v>
      </c>
      <c r="H28" s="15">
        <f t="shared" si="6"/>
        <v>528597.99098935595</v>
      </c>
      <c r="I28" s="15">
        <f t="shared" si="7"/>
        <v>24867.486167893047</v>
      </c>
      <c r="J28" s="15">
        <f t="shared" si="8"/>
        <v>528597.99098935595</v>
      </c>
    </row>
    <row r="29" spans="1:11" ht="30" customHeight="1">
      <c r="A29" s="22">
        <v>13</v>
      </c>
      <c r="B29" s="10">
        <f t="shared" si="0"/>
        <v>0.02</v>
      </c>
      <c r="C29" s="10">
        <f t="shared" si="1"/>
        <v>0.08</v>
      </c>
      <c r="D29" s="10">
        <f t="shared" si="2"/>
        <v>0.02</v>
      </c>
      <c r="E29" s="15">
        <f t="shared" si="3"/>
        <v>33755.922057896831</v>
      </c>
      <c r="F29" s="15">
        <f t="shared" si="4"/>
        <v>428651.91616241599</v>
      </c>
      <c r="G29" s="15">
        <f t="shared" si="5"/>
        <v>25364.835891250907</v>
      </c>
      <c r="H29" s="15">
        <f t="shared" si="6"/>
        <v>528394.81285301025</v>
      </c>
      <c r="I29" s="15">
        <f t="shared" si="7"/>
        <v>25364.835891250907</v>
      </c>
      <c r="J29" s="15">
        <f t="shared" si="8"/>
        <v>528394.81285301025</v>
      </c>
      <c r="K29" s="12" t="s">
        <v>207</v>
      </c>
    </row>
    <row r="30" spans="1:11">
      <c r="A30" s="22">
        <v>14</v>
      </c>
      <c r="B30" s="10">
        <f t="shared" si="0"/>
        <v>0.02</v>
      </c>
      <c r="C30" s="10">
        <f t="shared" si="1"/>
        <v>0.08</v>
      </c>
      <c r="D30" s="10">
        <f t="shared" si="2"/>
        <v>0.02</v>
      </c>
      <c r="E30" s="15">
        <f t="shared" si="3"/>
        <v>34431.040499054769</v>
      </c>
      <c r="F30" s="15">
        <f t="shared" si="4"/>
        <v>413931.9194465293</v>
      </c>
      <c r="G30" s="15">
        <f t="shared" si="5"/>
        <v>27394.02276255098</v>
      </c>
      <c r="H30" s="15">
        <f t="shared" si="6"/>
        <v>526050.82959498232</v>
      </c>
      <c r="I30" s="15">
        <f t="shared" si="7"/>
        <v>25872.132609075925</v>
      </c>
      <c r="J30" s="15">
        <f t="shared" si="8"/>
        <v>527648.81425613107</v>
      </c>
    </row>
    <row r="31" spans="1:11">
      <c r="A31" s="22">
        <v>15</v>
      </c>
      <c r="B31" s="10">
        <f t="shared" si="0"/>
        <v>0.02</v>
      </c>
      <c r="C31" s="10">
        <f t="shared" si="1"/>
        <v>0.08</v>
      </c>
      <c r="D31" s="10">
        <f t="shared" si="2"/>
        <v>0.02</v>
      </c>
      <c r="E31" s="15">
        <f t="shared" si="3"/>
        <v>35119.661309035866</v>
      </c>
      <c r="F31" s="15">
        <f t="shared" si="4"/>
        <v>397752.87104436813</v>
      </c>
      <c r="G31" s="15">
        <f t="shared" si="5"/>
        <v>29585.54458355506</v>
      </c>
      <c r="H31" s="15">
        <f t="shared" si="6"/>
        <v>521288.54926199862</v>
      </c>
      <c r="I31" s="15">
        <f t="shared" si="7"/>
        <v>26389.575261257443</v>
      </c>
      <c r="J31" s="15">
        <f t="shared" si="8"/>
        <v>526322.20094461727</v>
      </c>
    </row>
    <row r="32" spans="1:11">
      <c r="A32" s="22">
        <v>16</v>
      </c>
      <c r="B32" s="10">
        <f t="shared" si="0"/>
        <v>0.02</v>
      </c>
      <c r="C32" s="10">
        <f t="shared" si="1"/>
        <v>0.08</v>
      </c>
      <c r="D32" s="10">
        <f t="shared" si="2"/>
        <v>0.02</v>
      </c>
      <c r="E32" s="15">
        <f t="shared" si="3"/>
        <v>35822.054535216586</v>
      </c>
      <c r="F32" s="15">
        <f t="shared" si="4"/>
        <v>380027.35733460914</v>
      </c>
      <c r="G32" s="15">
        <f t="shared" si="5"/>
        <v>31952.388150239465</v>
      </c>
      <c r="H32" s="15">
        <f t="shared" si="6"/>
        <v>513802.96916734712</v>
      </c>
      <c r="I32" s="15">
        <f t="shared" si="7"/>
        <v>26917.366766482592</v>
      </c>
      <c r="J32" s="15">
        <f t="shared" si="8"/>
        <v>524375.0758870414</v>
      </c>
    </row>
    <row r="33" spans="1:11">
      <c r="A33" s="22">
        <v>17</v>
      </c>
      <c r="B33" s="10">
        <f t="shared" si="0"/>
        <v>0.02</v>
      </c>
      <c r="C33" s="10">
        <f t="shared" si="1"/>
        <v>0.08</v>
      </c>
      <c r="D33" s="10">
        <f t="shared" si="2"/>
        <v>0.02</v>
      </c>
      <c r="E33" s="15">
        <f t="shared" si="3"/>
        <v>36538.495625920921</v>
      </c>
      <c r="F33" s="15">
        <f t="shared" si="4"/>
        <v>360663.30479412264</v>
      </c>
      <c r="G33" s="15">
        <f t="shared" si="5"/>
        <v>34508.579202258625</v>
      </c>
      <c r="H33" s="15">
        <f t="shared" si="6"/>
        <v>503259.10946334299</v>
      </c>
      <c r="I33" s="15">
        <f t="shared" si="7"/>
        <v>27455.714101812246</v>
      </c>
      <c r="J33" s="15">
        <f t="shared" si="8"/>
        <v>521765.32987449068</v>
      </c>
    </row>
    <row r="34" spans="1:11">
      <c r="A34" s="22">
        <v>18</v>
      </c>
      <c r="B34" s="10">
        <f t="shared" si="0"/>
        <v>0.02</v>
      </c>
      <c r="C34" s="10">
        <f t="shared" si="1"/>
        <v>0.02</v>
      </c>
      <c r="D34" s="10">
        <f t="shared" si="2"/>
        <v>0.02</v>
      </c>
      <c r="E34" s="15">
        <f t="shared" si="3"/>
        <v>37269.265538439344</v>
      </c>
      <c r="F34" s="15">
        <f t="shared" si="4"/>
        <v>339563.74121846748</v>
      </c>
      <c r="G34" s="15">
        <f t="shared" si="5"/>
        <v>37269.265538439315</v>
      </c>
      <c r="H34" s="15">
        <f t="shared" si="6"/>
        <v>489289.33612114884</v>
      </c>
      <c r="I34" s="15">
        <f t="shared" si="7"/>
        <v>28004.828383848489</v>
      </c>
      <c r="J34" s="15">
        <f t="shared" si="8"/>
        <v>518448.52656517434</v>
      </c>
    </row>
    <row r="35" spans="1:11">
      <c r="A35" s="22">
        <v>19</v>
      </c>
      <c r="B35" s="10">
        <f t="shared" si="0"/>
        <v>0.02</v>
      </c>
      <c r="C35" s="10">
        <f t="shared" si="1"/>
        <v>0.02</v>
      </c>
      <c r="D35" s="10">
        <f t="shared" si="2"/>
        <v>0.02</v>
      </c>
      <c r="E35" s="15">
        <f t="shared" si="3"/>
        <v>38014.650849208134</v>
      </c>
      <c r="F35" s="15">
        <f t="shared" si="4"/>
        <v>316626.54488772235</v>
      </c>
      <c r="G35" s="15">
        <f t="shared" si="5"/>
        <v>38014.650849208105</v>
      </c>
      <c r="H35" s="15">
        <f t="shared" si="6"/>
        <v>473838.41953553777</v>
      </c>
      <c r="I35" s="15">
        <f t="shared" si="7"/>
        <v>28564.92495152546</v>
      </c>
      <c r="J35" s="15">
        <f t="shared" si="8"/>
        <v>514377.78169433132</v>
      </c>
    </row>
    <row r="36" spans="1:11">
      <c r="A36" s="22">
        <v>20</v>
      </c>
      <c r="B36" s="10">
        <f t="shared" si="0"/>
        <v>0.02</v>
      </c>
      <c r="C36" s="10">
        <f t="shared" si="1"/>
        <v>0.02</v>
      </c>
      <c r="D36" s="10">
        <f t="shared" si="2"/>
        <v>0.02</v>
      </c>
      <c r="E36" s="15">
        <f t="shared" si="3"/>
        <v>38774.943866192298</v>
      </c>
      <c r="F36" s="15">
        <f t="shared" si="4"/>
        <v>291744.18107260659</v>
      </c>
      <c r="G36" s="15">
        <f t="shared" si="5"/>
        <v>38774.943866192269</v>
      </c>
      <c r="H36" s="15">
        <f t="shared" si="6"/>
        <v>456816.6494528128</v>
      </c>
      <c r="I36" s="15">
        <f t="shared" si="7"/>
        <v>29136.223450555968</v>
      </c>
      <c r="J36" s="15">
        <f t="shared" si="8"/>
        <v>509503.63615596411</v>
      </c>
    </row>
    <row r="37" spans="1:11">
      <c r="A37" s="22">
        <v>21</v>
      </c>
      <c r="B37" s="10">
        <f t="shared" si="0"/>
        <v>0.02</v>
      </c>
      <c r="C37" s="10">
        <f t="shared" si="1"/>
        <v>0.02</v>
      </c>
      <c r="D37" s="10">
        <f t="shared" si="2"/>
        <v>0.02</v>
      </c>
      <c r="E37" s="15">
        <f t="shared" si="3"/>
        <v>39550.442743516141</v>
      </c>
      <c r="F37" s="15">
        <f t="shared" si="4"/>
        <v>264803.42524554499</v>
      </c>
      <c r="G37" s="15">
        <f t="shared" si="5"/>
        <v>39550.442743516112</v>
      </c>
      <c r="H37" s="15">
        <f t="shared" si="6"/>
        <v>438129.51704476151</v>
      </c>
      <c r="I37" s="15">
        <f t="shared" si="7"/>
        <v>29718.947919567087</v>
      </c>
      <c r="J37" s="15">
        <f t="shared" si="8"/>
        <v>503773.92264821689</v>
      </c>
    </row>
    <row r="38" spans="1:11">
      <c r="A38" s="22">
        <v>22</v>
      </c>
      <c r="B38" s="10">
        <f t="shared" si="0"/>
        <v>0.02</v>
      </c>
      <c r="C38" s="10">
        <f t="shared" si="1"/>
        <v>0.02</v>
      </c>
      <c r="D38" s="10">
        <f t="shared" si="2"/>
        <v>0.02</v>
      </c>
      <c r="E38" s="15">
        <f t="shared" si="3"/>
        <v>40341.451598386462</v>
      </c>
      <c r="F38" s="15">
        <f t="shared" si="4"/>
        <v>235685.07232951646</v>
      </c>
      <c r="G38" s="15">
        <f t="shared" si="5"/>
        <v>40341.451598386433</v>
      </c>
      <c r="H38" s="15">
        <f t="shared" si="6"/>
        <v>417677.46871869382</v>
      </c>
      <c r="I38" s="15">
        <f t="shared" si="7"/>
        <v>30313.326877958429</v>
      </c>
      <c r="J38" s="15">
        <f t="shared" si="8"/>
        <v>497133.62555877143</v>
      </c>
    </row>
    <row r="39" spans="1:11">
      <c r="A39" s="22">
        <v>23</v>
      </c>
      <c r="B39" s="10">
        <f t="shared" si="0"/>
        <v>0.02</v>
      </c>
      <c r="C39" s="10">
        <f t="shared" si="1"/>
        <v>0.02</v>
      </c>
      <c r="D39" s="10">
        <f t="shared" si="2"/>
        <v>0.02</v>
      </c>
      <c r="E39" s="15">
        <f t="shared" si="3"/>
        <v>41148.280630354195</v>
      </c>
      <c r="F39" s="15">
        <f t="shared" si="4"/>
        <v>204263.63128412041</v>
      </c>
      <c r="G39" s="15">
        <f t="shared" si="5"/>
        <v>41148.280630354166</v>
      </c>
      <c r="H39" s="15">
        <f t="shared" si="6"/>
        <v>395355.64749275666</v>
      </c>
      <c r="I39" s="15">
        <f t="shared" si="7"/>
        <v>30919.593415517596</v>
      </c>
      <c r="J39" s="15">
        <f t="shared" si="8"/>
        <v>489524.73375041655</v>
      </c>
    </row>
    <row r="40" spans="1:11">
      <c r="A40" s="22">
        <v>24</v>
      </c>
      <c r="B40" s="10">
        <f t="shared" si="0"/>
        <v>0.02</v>
      </c>
      <c r="C40" s="10">
        <f t="shared" si="1"/>
        <v>0.02</v>
      </c>
      <c r="D40" s="10">
        <f t="shared" si="2"/>
        <v>0.02</v>
      </c>
      <c r="E40" s="15">
        <f t="shared" si="3"/>
        <v>41971.246242961279</v>
      </c>
      <c r="F40" s="15">
        <f t="shared" si="4"/>
        <v>170407.00429321706</v>
      </c>
      <c r="G40" s="15">
        <f t="shared" si="5"/>
        <v>41971.24624296125</v>
      </c>
      <c r="H40" s="15">
        <f t="shared" si="6"/>
        <v>371053.62131228519</v>
      </c>
      <c r="I40" s="15">
        <f t="shared" si="7"/>
        <v>31537.985283827948</v>
      </c>
      <c r="J40" s="15">
        <f t="shared" si="8"/>
        <v>480886.08588991809</v>
      </c>
    </row>
    <row r="41" spans="1:11">
      <c r="A41" s="22">
        <v>25</v>
      </c>
      <c r="B41" s="10">
        <f t="shared" si="0"/>
        <v>0.02</v>
      </c>
      <c r="C41" s="10">
        <f t="shared" si="1"/>
        <v>0.02</v>
      </c>
      <c r="D41" s="10">
        <f t="shared" si="2"/>
        <v>0.02</v>
      </c>
      <c r="E41" s="15">
        <f t="shared" si="3"/>
        <v>42810.671167820503</v>
      </c>
      <c r="F41" s="15">
        <f t="shared" si="4"/>
        <v>133976.14978166641</v>
      </c>
      <c r="G41" s="15">
        <f t="shared" si="5"/>
        <v>42810.671167820474</v>
      </c>
      <c r="H41" s="15">
        <f t="shared" si="6"/>
        <v>344655.09765168797</v>
      </c>
      <c r="I41" s="15">
        <f t="shared" si="7"/>
        <v>32168.744989504507</v>
      </c>
      <c r="J41" s="15">
        <f t="shared" si="8"/>
        <v>471153.20794543426</v>
      </c>
    </row>
    <row r="42" spans="1:11">
      <c r="A42" s="22">
        <v>26</v>
      </c>
      <c r="B42" s="10">
        <f t="shared" si="0"/>
        <v>0.02</v>
      </c>
      <c r="C42" s="10">
        <f t="shared" si="1"/>
        <v>0.02</v>
      </c>
      <c r="D42" s="10">
        <f t="shared" si="2"/>
        <v>0.08</v>
      </c>
      <c r="E42" s="15">
        <f t="shared" si="3"/>
        <v>43666.884591176917</v>
      </c>
      <c r="F42" s="15">
        <f t="shared" si="4"/>
        <v>94824.728450013965</v>
      </c>
      <c r="G42" s="15">
        <f t="shared" si="5"/>
        <v>43666.884591176888</v>
      </c>
      <c r="H42" s="15">
        <f t="shared" si="6"/>
        <v>316037.62371353665</v>
      </c>
      <c r="I42" s="15">
        <f t="shared" si="7"/>
        <v>32812.119889294598</v>
      </c>
      <c r="J42" s="15">
        <f t="shared" si="8"/>
        <v>460258.14245894668</v>
      </c>
    </row>
    <row r="43" spans="1:11">
      <c r="A43" s="22">
        <v>27</v>
      </c>
      <c r="B43" s="10">
        <f t="shared" si="0"/>
        <v>0.02</v>
      </c>
      <c r="C43" s="10">
        <f t="shared" si="1"/>
        <v>0.02</v>
      </c>
      <c r="D43" s="10">
        <f t="shared" si="2"/>
        <v>0.08</v>
      </c>
      <c r="E43" s="15">
        <f t="shared" si="3"/>
        <v>44540.222283000454</v>
      </c>
      <c r="F43" s="15">
        <f t="shared" si="4"/>
        <v>52798.731475364191</v>
      </c>
      <c r="G43" s="15">
        <f t="shared" si="5"/>
        <v>44540.222283000425</v>
      </c>
      <c r="H43" s="15">
        <f t="shared" si="6"/>
        <v>285072.27150206309</v>
      </c>
      <c r="I43" s="15">
        <f t="shared" si="7"/>
        <v>35437.089480438168</v>
      </c>
      <c r="J43" s="15">
        <f t="shared" si="8"/>
        <v>446062.10562743398</v>
      </c>
    </row>
    <row r="44" spans="1:11">
      <c r="A44" s="22">
        <v>28</v>
      </c>
      <c r="B44" s="10">
        <f t="shared" si="0"/>
        <v>0.02</v>
      </c>
      <c r="C44" s="10">
        <f t="shared" si="1"/>
        <v>0.02</v>
      </c>
      <c r="D44" s="10">
        <f t="shared" si="2"/>
        <v>0.08</v>
      </c>
      <c r="E44" s="15">
        <f t="shared" si="3"/>
        <v>45431.026728660465</v>
      </c>
      <c r="F44" s="15">
        <f t="shared" si="4"/>
        <v>7736.0899840389129</v>
      </c>
      <c r="G44" s="15">
        <f t="shared" si="5"/>
        <v>45431.026728660436</v>
      </c>
      <c r="H44" s="15">
        <f t="shared" si="6"/>
        <v>251623.30701207276</v>
      </c>
      <c r="I44" s="15">
        <f t="shared" si="7"/>
        <v>38272.056638873226</v>
      </c>
      <c r="J44" s="15">
        <f t="shared" si="8"/>
        <v>428179.55143798882</v>
      </c>
    </row>
    <row r="45" spans="1:11">
      <c r="A45" s="22">
        <v>29</v>
      </c>
      <c r="B45" s="10">
        <f t="shared" si="0"/>
        <v>0.02</v>
      </c>
      <c r="C45" s="10">
        <f t="shared" si="1"/>
        <v>0.02</v>
      </c>
      <c r="D45" s="10">
        <f t="shared" si="2"/>
        <v>0.08</v>
      </c>
      <c r="E45" s="15">
        <f t="shared" si="3"/>
        <v>46339.647263233674</v>
      </c>
      <c r="F45" s="15">
        <f t="shared" si="4"/>
        <v>0</v>
      </c>
      <c r="G45" s="15">
        <f t="shared" si="5"/>
        <v>46339.647263233644</v>
      </c>
      <c r="H45" s="15">
        <f t="shared" si="6"/>
        <v>215547.84273628111</v>
      </c>
      <c r="I45" s="15">
        <f t="shared" si="7"/>
        <v>41333.821169983086</v>
      </c>
      <c r="J45" s="15">
        <f t="shared" si="8"/>
        <v>406188.01678140607</v>
      </c>
    </row>
    <row r="46" spans="1:11">
      <c r="A46" s="22">
        <v>30</v>
      </c>
      <c r="B46" s="10">
        <f t="shared" si="0"/>
        <v>0.02</v>
      </c>
      <c r="C46" s="10">
        <f t="shared" si="1"/>
        <v>0.02</v>
      </c>
      <c r="D46" s="10">
        <f t="shared" si="2"/>
        <v>0.08</v>
      </c>
      <c r="E46" s="15">
        <f t="shared" si="3"/>
        <v>47266.440208498345</v>
      </c>
      <c r="F46" s="15">
        <f t="shared" si="4"/>
        <v>0</v>
      </c>
      <c r="G46" s="15">
        <f t="shared" si="5"/>
        <v>47266.440208498316</v>
      </c>
      <c r="H46" s="15">
        <f t="shared" si="6"/>
        <v>176695.47265417193</v>
      </c>
      <c r="I46" s="15">
        <f t="shared" si="7"/>
        <v>44640.526863581734</v>
      </c>
      <c r="J46" s="15">
        <f t="shared" si="8"/>
        <v>379624.86441371555</v>
      </c>
    </row>
    <row r="48" spans="1:11">
      <c r="A48" s="27" t="s">
        <v>208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</row>
    <row r="49" spans="1:11" ht="30">
      <c r="A49" s="8" t="s">
        <v>104</v>
      </c>
      <c r="B49" s="8" t="s">
        <v>209</v>
      </c>
      <c r="C49" s="8" t="s">
        <v>210</v>
      </c>
      <c r="D49" s="8" t="s">
        <v>211</v>
      </c>
    </row>
    <row r="50" spans="1:11" ht="60">
      <c r="A50" s="5" t="s">
        <v>212</v>
      </c>
      <c r="B50" s="11">
        <f>AVERAGE(B17:B46)</f>
        <v>3.0000000000000016E-2</v>
      </c>
      <c r="C50" s="11">
        <f>AVERAGE(C17:C46)</f>
        <v>3.0000000000000006E-2</v>
      </c>
      <c r="D50" s="11">
        <f>AVERAGE(D17:D46)</f>
        <v>2.9999999999999995E-2</v>
      </c>
    </row>
    <row r="51" spans="1:11" ht="45">
      <c r="A51" s="5" t="s">
        <v>213</v>
      </c>
      <c r="B51" s="10">
        <f>EXP(SUMPRODUCT(LN(1+B17:B46)))-1</f>
        <v>1.4105884506334161</v>
      </c>
      <c r="C51" s="10">
        <f>EXP(SUMPRODUCT(LN(1+C17:C46)))-1</f>
        <v>1.4105884506334156</v>
      </c>
      <c r="D51" s="10">
        <f>EXP(SUMPRODUCT(LN(1+D17:D46)))-1</f>
        <v>1.4105884506334143</v>
      </c>
    </row>
    <row r="52" spans="1:11" ht="60">
      <c r="A52" s="5" t="s">
        <v>214</v>
      </c>
      <c r="B52" s="15">
        <f>SUM(E17:E46)</f>
        <v>1058592.3930334137</v>
      </c>
      <c r="C52" s="15">
        <f>SUM(G17:G46)</f>
        <v>964172.33886384813</v>
      </c>
      <c r="D52" s="15">
        <f>SUM(I17:I46)</f>
        <v>833101.60850690061</v>
      </c>
    </row>
    <row r="53" spans="1:11" ht="60">
      <c r="A53" s="5" t="s">
        <v>215</v>
      </c>
      <c r="B53" s="15">
        <f>F46</f>
        <v>0</v>
      </c>
      <c r="C53" s="15">
        <f>H46</f>
        <v>176695.47265417193</v>
      </c>
      <c r="D53" s="15">
        <f>J46</f>
        <v>379624.86441371555</v>
      </c>
    </row>
    <row r="54" spans="1:11" ht="45">
      <c r="A54" s="5" t="s">
        <v>216</v>
      </c>
      <c r="B54" s="15">
        <f>B53/(1+B51)</f>
        <v>0</v>
      </c>
      <c r="C54" s="15">
        <f>C53/(1+C51)</f>
        <v>73299.725885496024</v>
      </c>
      <c r="D54" s="15">
        <f>D53/(1+D51)</f>
        <v>157482.2381290195</v>
      </c>
    </row>
    <row r="55" spans="1:11" ht="60">
      <c r="A55" s="5" t="s">
        <v>217</v>
      </c>
      <c r="B55" s="14">
        <f>IF(COUNTIF(F17:F46,0)=0,"mai",31-COUNTIF(F17:F46,0))</f>
        <v>29</v>
      </c>
      <c r="C55" s="14" t="str">
        <f>IF(COUNTIF(H17:H46,0)=0,"mai",31-COUNTIF(H17:H46,0))</f>
        <v>mai</v>
      </c>
      <c r="D55" s="14" t="str">
        <f>IF(COUNTIF(J17:J46,0)=0,"mai",31-COUNTIF(J17:J46,0))</f>
        <v>mai</v>
      </c>
    </row>
    <row r="56" spans="1:11" ht="90">
      <c r="A56" s="5" t="s">
        <v>218</v>
      </c>
      <c r="B56" s="15">
        <f>B53-D53</f>
        <v>-379624.86441371555</v>
      </c>
      <c r="C56" s="15">
        <f>C53-D53</f>
        <v>-202929.39175954362</v>
      </c>
      <c r="D56" s="15">
        <f>0</f>
        <v>0</v>
      </c>
    </row>
    <row r="58" spans="1:11" ht="45" customHeight="1">
      <c r="A58" s="26" t="s">
        <v>219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</row>
    <row r="59" spans="1:11" ht="30" customHeight="1">
      <c r="A59" s="26" t="s">
        <v>220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</row>
    <row r="60" spans="1:11" ht="30" customHeight="1">
      <c r="A60" s="26" t="s">
        <v>221</v>
      </c>
      <c r="B60" s="24"/>
      <c r="C60" s="24"/>
      <c r="D60" s="24"/>
      <c r="E60" s="24"/>
      <c r="F60" s="24"/>
      <c r="G60" s="24"/>
      <c r="H60" s="24"/>
      <c r="I60" s="24"/>
      <c r="J60" s="24"/>
      <c r="K60" s="24"/>
    </row>
  </sheetData>
  <mergeCells count="8">
    <mergeCell ref="A2:K2"/>
    <mergeCell ref="A60:K60"/>
    <mergeCell ref="A1:K1"/>
    <mergeCell ref="A58:K58"/>
    <mergeCell ref="A4:K4"/>
    <mergeCell ref="A48:K48"/>
    <mergeCell ref="A15:K15"/>
    <mergeCell ref="A59:K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0 - Indice</vt:lpstr>
      <vt:lpstr>1 - La tua inflazione</vt:lpstr>
      <vt:lpstr>2 - Reale netto</vt:lpstr>
      <vt:lpstr>3 - Buono vs BTP indicizzato</vt:lpstr>
      <vt:lpstr>4 - Fondo pensione reale</vt:lpstr>
      <vt:lpstr>5 - Sequenza inflazione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Ruggiero</cp:lastModifiedBy>
  <dcterms:created xsi:type="dcterms:W3CDTF">2026-09-21T21:34:06Z</dcterms:created>
  <dcterms:modified xsi:type="dcterms:W3CDTF">2026-09-21T21:34:07Z</dcterms:modified>
</cp:coreProperties>
</file>