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Scenario A vs B" sheetId="2" state="visible" r:id="rId2"/>
    <sheet name="2 - Break-even" sheetId="3" state="visible" r:id="rId3"/>
    <sheet name="3 - Detrazione interes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DBEAFE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Mutuo vs Investimento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Scenario A vs B</t>
        </is>
      </c>
      <c r="B5" s="5" t="inlineStr">
        <is>
          <t>Estingui vs investi + PAC con rata</t>
        </is>
      </c>
    </row>
    <row r="6" ht="22" customHeight="1">
      <c r="A6" s="4" t="inlineStr">
        <is>
          <t>2 - Break-even</t>
        </is>
      </c>
      <c r="B6" s="5" t="inlineStr">
        <is>
          <t>Rendimento minimo per cui conviene investire</t>
        </is>
      </c>
    </row>
    <row r="7" ht="22" customHeight="1">
      <c r="A7" s="4" t="inlineStr">
        <is>
          <t>3 - Detrazione interessi</t>
        </is>
      </c>
      <c r="B7" s="5" t="inlineStr">
        <is>
          <t>Calcolo risparmio fiscale 19%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Tassi mutuo Italia maggio 2026: TAN fisso ~2,99% / variabile ~2,25%</t>
        </is>
      </c>
    </row>
    <row r="17">
      <c r="A17" s="5" t="inlineStr">
        <is>
          <t>• Detrazione interessi mutuo prima casa 19% su max 4.000 €/anno (TUIR art. 15)</t>
        </is>
      </c>
    </row>
    <row r="18">
      <c r="A18" s="5" t="inlineStr">
        <is>
          <t>• Tassazione plusvalenze ETF 26% (azionari/corporate) / 12,5% (titoli Stato white-list)</t>
        </is>
      </c>
    </row>
    <row r="20">
      <c r="A20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Estingui mutuo vs Investi liquidità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Capitale residuo mutuo (€)</t>
        </is>
      </c>
      <c r="B5" s="9" t="n">
        <v>100000</v>
      </c>
    </row>
    <row r="6">
      <c r="A6" s="8" t="inlineStr">
        <is>
          <t>TAN fisso mutuo (%)</t>
        </is>
      </c>
      <c r="B6" s="10" t="n">
        <v>0.0299</v>
      </c>
    </row>
    <row r="7">
      <c r="A7" s="8" t="inlineStr">
        <is>
          <t>Anni residui mutuo</t>
        </is>
      </c>
      <c r="B7" s="11" t="n">
        <v>15</v>
      </c>
    </row>
    <row r="8">
      <c r="A8" s="8" t="inlineStr">
        <is>
          <t>Rata mensile attuale (€)</t>
        </is>
      </c>
      <c r="B8" s="9" t="n">
        <v>690</v>
      </c>
    </row>
    <row r="9">
      <c r="A9" s="8" t="inlineStr">
        <is>
          <t>Liquidità disponibile (€)</t>
        </is>
      </c>
      <c r="B9" s="9" t="n">
        <v>100000</v>
      </c>
    </row>
    <row r="10">
      <c r="A10" s="8" t="inlineStr">
        <is>
          <t>Rendimento PAC/lump (%)</t>
        </is>
      </c>
      <c r="B10" s="10" t="n">
        <v>0.07000000000000001</v>
      </c>
    </row>
    <row r="11">
      <c r="A11" s="8" t="inlineStr">
        <is>
          <t>Tassa capital gain (%)</t>
        </is>
      </c>
      <c r="B11" s="10" t="n">
        <v>0.26</v>
      </c>
    </row>
    <row r="13">
      <c r="A13" s="7" t="inlineStr">
        <is>
          <t>Scenario A — estingui + investi la rata</t>
        </is>
      </c>
    </row>
    <row r="14">
      <c r="A14" s="8" t="inlineStr">
        <is>
          <t>Liquidità usata per estinguere</t>
        </is>
      </c>
      <c r="B14" s="12">
        <f>MIN(B5,B9)</f>
        <v/>
      </c>
    </row>
    <row r="15">
      <c r="A15" s="8" t="inlineStr">
        <is>
          <t>PAC mensile (= rata risparmiata)</t>
        </is>
      </c>
      <c r="B15" s="12">
        <f>B8</f>
        <v/>
      </c>
    </row>
    <row r="16">
      <c r="A16" s="8" t="inlineStr">
        <is>
          <t>FV PAC lordo</t>
        </is>
      </c>
      <c r="B16" s="12">
        <f>B15*(((1+(1+B10)^(1/12)-1)^(B7*12)-1)/((1+B10)^(1/12)-1))</f>
        <v/>
      </c>
    </row>
    <row r="17">
      <c r="A17" s="8" t="inlineStr">
        <is>
          <t>Totale versato in PAC</t>
        </is>
      </c>
      <c r="B17" s="12">
        <f>B15*B7*12</f>
        <v/>
      </c>
    </row>
    <row r="18">
      <c r="A18" s="8" t="inlineStr">
        <is>
          <t>Plusvalenza PAC</t>
        </is>
      </c>
      <c r="B18" s="12">
        <f>B16-B17</f>
        <v/>
      </c>
    </row>
    <row r="19">
      <c r="A19" s="8" t="inlineStr">
        <is>
          <t>Capitale finale NETTO scenario A</t>
        </is>
      </c>
      <c r="B19" s="12">
        <f>B17+B18*(1-B11)</f>
        <v/>
      </c>
    </row>
    <row r="21">
      <c r="A21" s="7" t="inlineStr">
        <is>
          <t>Scenario B — tieni mutuo + investi 100k subito</t>
        </is>
      </c>
    </row>
    <row r="22">
      <c r="A22" s="8" t="inlineStr">
        <is>
          <t>Lump sum investito</t>
        </is>
      </c>
      <c r="B22" s="12">
        <f>B9</f>
        <v/>
      </c>
    </row>
    <row r="23">
      <c r="A23" s="8" t="inlineStr">
        <is>
          <t>FV lump sum lordo</t>
        </is>
      </c>
      <c r="B23" s="12">
        <f>B22*(1+B10)^B7</f>
        <v/>
      </c>
    </row>
    <row r="24">
      <c r="A24" s="8" t="inlineStr">
        <is>
          <t>Plusvalenza lump sum</t>
        </is>
      </c>
      <c r="B24" s="12">
        <f>B23-B22</f>
        <v/>
      </c>
    </row>
    <row r="25">
      <c r="A25" s="8" t="inlineStr">
        <is>
          <t>FV netto investimento</t>
        </is>
      </c>
      <c r="B25" s="12">
        <f>B22+B24*(1-B11)</f>
        <v/>
      </c>
    </row>
    <row r="26">
      <c r="A26" s="8" t="inlineStr">
        <is>
          <t>Interessi mutuo totali (orientativo)</t>
        </is>
      </c>
      <c r="B26" s="12">
        <f>B5*B6*B7/2</f>
        <v/>
      </c>
    </row>
    <row r="27">
      <c r="A27" s="8" t="inlineStr">
        <is>
          <t>Detrazione 19% su interessi (max 4k/y)</t>
        </is>
      </c>
      <c r="B27" s="12">
        <f>MIN(B26*0.19, B7*4000*0.19)</f>
        <v/>
      </c>
    </row>
    <row r="28">
      <c r="A28" s="8" t="inlineStr">
        <is>
          <t>Costo netto mutuo (interessi - detrazione)</t>
        </is>
      </c>
      <c r="B28" s="12">
        <f>B26-B27</f>
        <v/>
      </c>
    </row>
    <row r="29">
      <c r="A29" s="8" t="inlineStr">
        <is>
          <t>Capitale finale NETTO scenario B</t>
        </is>
      </c>
      <c r="B29" s="12">
        <f>B25-B28</f>
        <v/>
      </c>
    </row>
    <row r="31">
      <c r="A31" s="7" t="inlineStr">
        <is>
          <t>Confronto</t>
        </is>
      </c>
    </row>
    <row r="32">
      <c r="A32" s="8" t="inlineStr">
        <is>
          <t>Differenza B vs A</t>
        </is>
      </c>
      <c r="B32" s="12">
        <f>B29-B19</f>
        <v/>
      </c>
    </row>
    <row r="33">
      <c r="A33" s="8" t="inlineStr">
        <is>
          <t>Conviene</t>
        </is>
      </c>
      <c r="B33" s="13">
        <f>IF(B32&gt;0, "Investire (Scenario B)", IF(B32&lt;0, "Estinguere (Scenario A)", "Indifferente"))</f>
        <v/>
      </c>
    </row>
  </sheetData>
  <mergeCells count="6">
    <mergeCell ref="A1:D1"/>
    <mergeCell ref="A31:D31"/>
    <mergeCell ref="A4:D4"/>
    <mergeCell ref="A21:D21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25" customHeight="1">
      <c r="A1" s="1" t="inlineStr">
        <is>
          <t>Break-even del rendimento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Tabella: rendimenti netti A vs B per varie ipotesi</t>
        </is>
      </c>
    </row>
    <row r="5">
      <c r="A5" s="14" t="inlineStr">
        <is>
          <t>Rendimento PAC</t>
        </is>
      </c>
      <c r="B5" s="14" t="inlineStr">
        <is>
          <t>Netto A</t>
        </is>
      </c>
      <c r="C5" s="14" t="inlineStr">
        <is>
          <t>Netto B</t>
        </is>
      </c>
    </row>
    <row r="6">
      <c r="A6" s="8" t="inlineStr">
        <is>
          <t>2.00%</t>
        </is>
      </c>
      <c r="B6" s="12">
        <f>'1 - Scenario A vs B'!B15*(((1+(1+0.02)^(1/12)-1)^('1 - Scenario A vs B'!B7*12)-1)/((1+0.02)^(1/12)-1))</f>
        <v/>
      </c>
      <c r="C6" s="12">
        <f>'1 - Scenario A vs B'!B22*(1+0.02)^'1 - Scenario A vs B'!B7</f>
        <v/>
      </c>
    </row>
    <row r="7">
      <c r="A7" s="8" t="inlineStr">
        <is>
          <t>3.00%</t>
        </is>
      </c>
      <c r="B7" s="12">
        <f>'1 - Scenario A vs B'!B15*(((1+(1+0.03)^(1/12)-1)^('1 - Scenario A vs B'!B7*12)-1)/((1+0.03)^(1/12)-1))</f>
        <v/>
      </c>
      <c r="C7" s="12">
        <f>'1 - Scenario A vs B'!B22*(1+0.03)^'1 - Scenario A vs B'!B7</f>
        <v/>
      </c>
    </row>
    <row r="8">
      <c r="A8" s="8" t="inlineStr">
        <is>
          <t>3.45%</t>
        </is>
      </c>
      <c r="B8" s="12">
        <f>'1 - Scenario A vs B'!B15*(((1+(1+0.0345)^(1/12)-1)^('1 - Scenario A vs B'!B7*12)-1)/((1+0.0345)^(1/12)-1))</f>
        <v/>
      </c>
      <c r="C8" s="12">
        <f>'1 - Scenario A vs B'!B22*(1+0.0345)^'1 - Scenario A vs B'!B7</f>
        <v/>
      </c>
    </row>
    <row r="9">
      <c r="A9" s="8" t="inlineStr">
        <is>
          <t>4.00%</t>
        </is>
      </c>
      <c r="B9" s="12">
        <f>'1 - Scenario A vs B'!B15*(((1+(1+0.04)^(1/12)-1)^('1 - Scenario A vs B'!B7*12)-1)/((1+0.04)^(1/12)-1))</f>
        <v/>
      </c>
      <c r="C9" s="12">
        <f>'1 - Scenario A vs B'!B22*(1+0.04)^'1 - Scenario A vs B'!B7</f>
        <v/>
      </c>
    </row>
    <row r="10">
      <c r="A10" s="8" t="inlineStr">
        <is>
          <t>5.00%</t>
        </is>
      </c>
      <c r="B10" s="12">
        <f>'1 - Scenario A vs B'!B15*(((1+(1+0.05)^(1/12)-1)^('1 - Scenario A vs B'!B7*12)-1)/((1+0.05)^(1/12)-1))</f>
        <v/>
      </c>
      <c r="C10" s="12">
        <f>'1 - Scenario A vs B'!B22*(1+0.05)^'1 - Scenario A vs B'!B7</f>
        <v/>
      </c>
    </row>
    <row r="11">
      <c r="A11" s="8" t="inlineStr">
        <is>
          <t>6.00%</t>
        </is>
      </c>
      <c r="B11" s="12">
        <f>'1 - Scenario A vs B'!B15*(((1+(1+0.06)^(1/12)-1)^('1 - Scenario A vs B'!B7*12)-1)/((1+0.06)^(1/12)-1))</f>
        <v/>
      </c>
      <c r="C11" s="12">
        <f>'1 - Scenario A vs B'!B22*(1+0.06)^'1 - Scenario A vs B'!B7</f>
        <v/>
      </c>
    </row>
    <row r="12">
      <c r="A12" s="8" t="inlineStr">
        <is>
          <t>7.00%</t>
        </is>
      </c>
      <c r="B12" s="12">
        <f>'1 - Scenario A vs B'!B15*(((1+(1+0.07)^(1/12)-1)^('1 - Scenario A vs B'!B7*12)-1)/((1+0.07)^(1/12)-1))</f>
        <v/>
      </c>
      <c r="C12" s="12">
        <f>'1 - Scenario A vs B'!B22*(1+0.07)^'1 - Scenario A vs B'!B7</f>
        <v/>
      </c>
    </row>
    <row r="14" ht="30" customHeight="1">
      <c r="A14" s="15" t="inlineStr">
        <is>
          <t>Break-even tipico (mutuo 2,99% + tassa 26% + detrazione 19%): ≈ 3,3% netto annuo. Sopra, B (investi) vince; sotto, A (estingui).</t>
        </is>
      </c>
    </row>
  </sheetData>
  <mergeCells count="4">
    <mergeCell ref="A1:D1"/>
    <mergeCell ref="A4:D4"/>
    <mergeCell ref="A14:C1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Detrazione 19% interessi mutuo prima casa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Interessi pagati nell'anno (€)</t>
        </is>
      </c>
      <c r="B5" s="9" t="n">
        <v>3500</v>
      </c>
    </row>
    <row r="6">
      <c r="A6" s="8" t="inlineStr">
        <is>
          <t>Aliquota detrazione (%)</t>
        </is>
      </c>
      <c r="B6" s="10" t="n">
        <v>0.19</v>
      </c>
    </row>
    <row r="7">
      <c r="A7" s="8" t="inlineStr">
        <is>
          <t>Tetto annuo interessi detraibili (€)</t>
        </is>
      </c>
      <c r="B7" s="9" t="n">
        <v>4000</v>
      </c>
    </row>
    <row r="9">
      <c r="A9" s="7" t="inlineStr">
        <is>
          <t>OUTPUT</t>
        </is>
      </c>
    </row>
    <row r="10">
      <c r="A10" s="8" t="inlineStr">
        <is>
          <t>Quota detraibile (≤ tetto)</t>
        </is>
      </c>
      <c r="B10" s="12">
        <f>MIN(B5,B7)</f>
        <v/>
      </c>
    </row>
    <row r="11">
      <c r="A11" s="8" t="inlineStr">
        <is>
          <t>Detrazione fiscale (= 19% × quota)</t>
        </is>
      </c>
      <c r="B11" s="12">
        <f>B10*B6</f>
        <v/>
      </c>
    </row>
    <row r="12">
      <c r="A12" s="8" t="inlineStr">
        <is>
          <t>Costo netto interessi (interessi - detrazione)</t>
        </is>
      </c>
      <c r="B12" s="12">
        <f>B5-B11</f>
        <v/>
      </c>
    </row>
  </sheetData>
  <mergeCells count="4">
    <mergeCell ref="A1:D1"/>
    <mergeCell ref="A4:D4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