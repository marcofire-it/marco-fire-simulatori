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 - Indice" sheetId="1" state="visible" r:id="rId1"/>
    <sheet name="1 - PAC mensile" sheetId="2" state="visible" r:id="rId2"/>
    <sheet name="2 - PAC con step-up" sheetId="3" state="visible" r:id="rId3"/>
    <sheet name="3 - PAC vs lump sum" sheetId="4" state="visible" r:id="rId4"/>
    <sheet name="4 - PAC verso il FI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&quot; €&quot;"/>
    <numFmt numFmtId="165" formatCode="0.0000%"/>
    <numFmt numFmtId="166" formatCode="0.0"/>
  </numFmts>
  <fonts count="8">
    <font>
      <name val="Calibri"/>
      <family val="2"/>
      <color theme="1"/>
      <sz val="11"/>
      <scheme val="minor"/>
    </font>
    <font>
      <name val="Calibri"/>
      <b val="1"/>
      <color rgb="001E40AF"/>
      <sz val="16"/>
    </font>
    <font>
      <name val="Calibri"/>
      <i val="1"/>
      <color rgb="00991B1B"/>
      <sz val="10"/>
    </font>
    <font>
      <name val="Calibri"/>
      <b val="1"/>
      <sz val="14"/>
    </font>
    <font>
      <name val="Calibri"/>
      <b val="1"/>
      <sz val="11"/>
    </font>
    <font>
      <name val="Calibri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FEE2E2"/>
      </patternFill>
    </fill>
    <fill>
      <patternFill patternType="solid">
        <fgColor rgb="001E40AF"/>
      </patternFill>
    </fill>
    <fill>
      <patternFill patternType="solid">
        <fgColor rgb="00FFF59D"/>
      </patternFill>
    </fill>
    <fill>
      <patternFill patternType="solid">
        <fgColor rgb="00FAFAFA"/>
      </patternFill>
    </fill>
    <fill>
      <patternFill patternType="solid">
        <fgColor rgb="00C8E6C9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right" vertical="center"/>
    </xf>
    <xf numFmtId="1" fontId="5" fillId="4" borderId="1" applyAlignment="1" pivotButton="0" quotePrefix="0" xfId="0">
      <alignment horizontal="right" vertical="center"/>
    </xf>
    <xf numFmtId="10" fontId="5" fillId="4" borderId="1" applyAlignment="1" pivotButton="0" quotePrefix="0" xfId="0">
      <alignment horizontal="right" vertical="center"/>
    </xf>
    <xf numFmtId="0" fontId="6" fillId="5" borderId="0" applyAlignment="1" pivotButton="0" quotePrefix="0" xfId="0">
      <alignment horizontal="left" vertical="center" wrapText="1"/>
    </xf>
    <xf numFmtId="1" fontId="5" fillId="6" borderId="1" applyAlignment="1" pivotButton="0" quotePrefix="0" xfId="0">
      <alignment horizontal="right" vertical="center"/>
    </xf>
    <xf numFmtId="165" fontId="5" fillId="6" borderId="1" applyAlignment="1" pivotButton="0" quotePrefix="0" xfId="0">
      <alignment horizontal="right" vertical="center"/>
    </xf>
    <xf numFmtId="164" fontId="5" fillId="6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 wrapText="1"/>
    </xf>
    <xf numFmtId="10" fontId="5" fillId="6" borderId="1" applyAlignment="1" pivotButton="0" quotePrefix="0" xfId="0">
      <alignment horizontal="right" vertical="center"/>
    </xf>
    <xf numFmtId="166" fontId="5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</cols>
  <sheetData>
    <row r="1" ht="32" customHeight="1">
      <c r="A1" s="1" t="inlineStr">
        <is>
          <t>Marco FIRE — Simulatori PAC 2026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4">
      <c r="A4" s="3" t="inlineStr">
        <is>
          <t>Indice</t>
        </is>
      </c>
    </row>
    <row r="5" ht="22" customHeight="1">
      <c r="A5" s="4" t="inlineStr">
        <is>
          <t>1 - PAC mensile</t>
        </is>
      </c>
      <c r="B5" s="5" t="inlineStr">
        <is>
          <t>Calcolatore PAC con contributo costante</t>
        </is>
      </c>
    </row>
    <row r="6" ht="22" customHeight="1">
      <c r="A6" s="4" t="inlineStr">
        <is>
          <t>2 - PAC con step-up</t>
        </is>
      </c>
      <c r="B6" s="5" t="inlineStr">
        <is>
          <t>PAC con incremento annuo (inflazione)</t>
        </is>
      </c>
    </row>
    <row r="7" ht="22" customHeight="1">
      <c r="A7" s="4" t="inlineStr">
        <is>
          <t>3 - PAC vs lump sum</t>
        </is>
      </c>
      <c r="B7" s="5" t="inlineStr">
        <is>
          <t>PAC spalmato vs investimento singolo</t>
        </is>
      </c>
    </row>
    <row r="8" ht="22" customHeight="1">
      <c r="A8" s="4" t="inlineStr">
        <is>
          <t>4 - PAC verso il FIRE</t>
        </is>
      </c>
      <c r="B8" s="5" t="inlineStr">
        <is>
          <t>Anni per arrivare al numero FIRE col tuo PAC</t>
        </is>
      </c>
    </row>
    <row r="10">
      <c r="A10" s="3" t="inlineStr">
        <is>
          <t>Come usare</t>
        </is>
      </c>
    </row>
    <row r="11">
      <c r="A11" s="5" t="inlineStr">
        <is>
          <t>1. Le celle GIALLE sono input — modificale coi tuoi numeri.</t>
        </is>
      </c>
    </row>
    <row r="12">
      <c r="A12" s="5" t="inlineStr">
        <is>
          <t>2. Le celle VERDI sono output — si aggiornano automaticamente.</t>
        </is>
      </c>
    </row>
    <row r="13">
      <c r="A13" s="5" t="inlineStr">
        <is>
          <t>3. Tutti i numeri di default sono al 2026 da fonti pubbliche.</t>
        </is>
      </c>
    </row>
    <row r="14">
      <c r="A14" s="5" t="inlineStr">
        <is>
          <t>4. Niente codice nascosto: l'Excel è solo formule modificabili.</t>
        </is>
      </c>
    </row>
    <row r="16">
      <c r="A16" s="3" t="inlineStr">
        <is>
          <t>Fonti dati</t>
        </is>
      </c>
    </row>
    <row r="17">
      <c r="A17" s="5" t="inlineStr">
        <is>
          <t>• Vanguard Research (2023) — Lump sum vs DCA</t>
        </is>
      </c>
    </row>
    <row r="18">
      <c r="A18" s="5" t="inlineStr">
        <is>
          <t>• Trinity Study + Morningstar 2026 (SWR 3,9-4%)</t>
        </is>
      </c>
    </row>
    <row r="19">
      <c r="A19" s="5" t="inlineStr">
        <is>
          <t>• Agenzia delle Entrate — Tassazione plusvalenze ETF 26% / 12,5% (titoli Stato white-list)</t>
        </is>
      </c>
    </row>
    <row r="20">
      <c r="A20" s="5" t="inlineStr">
        <is>
          <t>• Bengen 1994 + 2024 update — 4,7-5,25%</t>
        </is>
      </c>
    </row>
    <row r="22">
      <c r="A22" s="6" t="inlineStr">
        <is>
          <t>Aggiornamenti: github.com/marcofire-it/marco-fire-simulatori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4" customWidth="1" min="3" max="3"/>
    <col width="36" customWidth="1" min="4" max="4"/>
    <col width="18" customWidth="1" min="5" max="5"/>
  </cols>
  <sheetData>
    <row r="1" ht="25" customHeight="1">
      <c r="A1" s="1" t="inlineStr">
        <is>
          <t>Simulatore PAC mensile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4">
      <c r="A4" s="7" t="inlineStr">
        <is>
          <t>INPUT</t>
        </is>
      </c>
    </row>
    <row r="5">
      <c r="A5" s="8" t="inlineStr">
        <is>
          <t>Contributo mensile (€)</t>
        </is>
      </c>
      <c r="B5" s="9" t="n">
        <v>300</v>
      </c>
    </row>
    <row r="6">
      <c r="A6" s="8" t="inlineStr">
        <is>
          <t>Anni di accumulo</t>
        </is>
      </c>
      <c r="B6" s="10" t="n">
        <v>25</v>
      </c>
    </row>
    <row r="7">
      <c r="A7" s="8" t="inlineStr">
        <is>
          <t>Rendimento netto medio annuo (%)</t>
        </is>
      </c>
      <c r="B7" s="11" t="n">
        <v>0.05</v>
      </c>
    </row>
    <row r="8">
      <c r="A8" s="8" t="inlineStr">
        <is>
          <t>Capitale iniziale (€)</t>
        </is>
      </c>
      <c r="B8" s="9" t="n">
        <v>0</v>
      </c>
    </row>
    <row r="9" ht="30" customHeight="1">
      <c r="A9" s="12" t="inlineStr">
        <is>
          <t>Rendimento netto stima ETF azionario globale lungo periodo: 5-7%. Bilanciato 60/40: 4-5%. Obbligazionario: 1-3%.</t>
        </is>
      </c>
    </row>
    <row r="11">
      <c r="A11" s="7" t="inlineStr">
        <is>
          <t>OUTPUT — capitale finale</t>
        </is>
      </c>
    </row>
    <row r="12">
      <c r="A12" s="8" t="inlineStr">
        <is>
          <t>Mesi di accumulo</t>
        </is>
      </c>
      <c r="B12" s="13">
        <f>B6*12</f>
        <v/>
      </c>
    </row>
    <row r="13">
      <c r="A13" s="8" t="inlineStr">
        <is>
          <t>Tasso mensile equivalente</t>
        </is>
      </c>
      <c r="B13" s="14">
        <f>(1+B7)^(1/12)-1</f>
        <v/>
      </c>
    </row>
    <row r="14">
      <c r="A14" s="8" t="inlineStr">
        <is>
          <t>Totale versato</t>
        </is>
      </c>
      <c r="B14" s="15">
        <f>B5*B12+B8</f>
        <v/>
      </c>
    </row>
    <row r="15">
      <c r="A15" s="8" t="inlineStr">
        <is>
          <t>Future Value PAC (formula annuity)</t>
        </is>
      </c>
      <c r="B15" s="15">
        <f>B5*(((1+B13)^B12-1)/B13)*(1+B13)</f>
        <v/>
      </c>
    </row>
    <row r="16">
      <c r="A16" s="8" t="inlineStr">
        <is>
          <t>Future Value capitale iniziale composto</t>
        </is>
      </c>
      <c r="B16" s="15">
        <f>B8*(1+B7)^B6</f>
        <v/>
      </c>
    </row>
    <row r="17">
      <c r="A17" s="8" t="inlineStr">
        <is>
          <t>Capitale finale LORDO totale</t>
        </is>
      </c>
      <c r="B17" s="15">
        <f>B15+B16</f>
        <v/>
      </c>
    </row>
    <row r="18">
      <c r="A18" s="8" t="inlineStr">
        <is>
          <t>Plusvalenza (capitale - versato)</t>
        </is>
      </c>
      <c r="B18" s="15">
        <f>B17-B14</f>
        <v/>
      </c>
    </row>
    <row r="19">
      <c r="A19" s="8" t="inlineStr">
        <is>
          <t>Aliquota capital gain (ETF azionario)</t>
        </is>
      </c>
      <c r="B19" s="11" t="n">
        <v>0.26</v>
      </c>
    </row>
    <row r="20">
      <c r="A20" s="8" t="inlineStr">
        <is>
          <t>Capitale finale NETTO (dopo tasse plus)</t>
        </is>
      </c>
      <c r="B20" s="15">
        <f>B14+B18*(1-B19)</f>
        <v/>
      </c>
    </row>
    <row r="22" ht="45" customHeight="1">
      <c r="A22" s="12" t="inlineStr">
        <is>
          <t>Nota: questa simulazione assume rendimento medio costante. Nella realtà il PAC è soggetto a volatilità — il capitale finale può oscillare ±20-30% rispetto alla media in scenari storici.</t>
        </is>
      </c>
    </row>
  </sheetData>
  <mergeCells count="6">
    <mergeCell ref="A1:D1"/>
    <mergeCell ref="A4:D4"/>
    <mergeCell ref="A2:D2"/>
    <mergeCell ref="A11:D11"/>
    <mergeCell ref="A9:B9"/>
    <mergeCell ref="A22:B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4" customWidth="1" min="3" max="3"/>
    <col width="36" customWidth="1" min="4" max="4"/>
    <col width="18" customWidth="1" min="5" max="5"/>
  </cols>
  <sheetData>
    <row r="1" ht="25" customHeight="1">
      <c r="A1" s="1" t="inlineStr">
        <is>
          <t>PAC con incremento annuo (step-up)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4">
      <c r="A4" s="7" t="inlineStr">
        <is>
          <t>INPUT</t>
        </is>
      </c>
    </row>
    <row r="5">
      <c r="A5" s="8" t="inlineStr">
        <is>
          <t>Contributo mensile iniziale (€)</t>
        </is>
      </c>
      <c r="B5" s="9" t="n">
        <v>300</v>
      </c>
    </row>
    <row r="6">
      <c r="A6" s="8" t="inlineStr">
        <is>
          <t>Incremento annuo del contributo (% es. inflazione)</t>
        </is>
      </c>
      <c r="B6" s="11" t="n">
        <v>0.025</v>
      </c>
    </row>
    <row r="7">
      <c r="A7" s="8" t="inlineStr">
        <is>
          <t>Anni di accumulo</t>
        </is>
      </c>
      <c r="B7" s="10" t="n">
        <v>25</v>
      </c>
    </row>
    <row r="8">
      <c r="A8" s="8" t="inlineStr">
        <is>
          <t>Rendimento netto medio annuo (%)</t>
        </is>
      </c>
      <c r="B8" s="11" t="n">
        <v>0.05</v>
      </c>
    </row>
    <row r="9" ht="22" customHeight="1">
      <c r="A9" s="12" t="inlineStr">
        <is>
          <t>Lo step-up annuo aggiorna il contributo all'inflazione (mantiene il potere reale).</t>
        </is>
      </c>
    </row>
    <row r="11">
      <c r="A11" s="7" t="inlineStr">
        <is>
          <t>OUTPUT</t>
        </is>
      </c>
    </row>
    <row r="13">
      <c r="A13" s="16" t="inlineStr">
        <is>
          <t>Anno</t>
        </is>
      </c>
      <c r="B13" s="16" t="inlineStr">
        <is>
          <t>Contributo mensile</t>
        </is>
      </c>
      <c r="C13" s="16" t="inlineStr">
        <is>
          <t>Contributo annuo</t>
        </is>
      </c>
      <c r="D13" s="16" t="inlineStr">
        <is>
          <t>Capitale fine anno</t>
        </is>
      </c>
    </row>
    <row r="14">
      <c r="A14" s="8" t="inlineStr">
        <is>
          <t>Anno 1</t>
        </is>
      </c>
      <c r="B14" s="15">
        <f>B5*(1+B6)^(0)</f>
        <v/>
      </c>
      <c r="C14" s="15">
        <f>B14*12</f>
        <v/>
      </c>
      <c r="D14" s="15">
        <f>C14*((1+B8)^0.5)</f>
        <v/>
      </c>
    </row>
    <row r="15">
      <c r="A15" s="8" t="inlineStr">
        <is>
          <t>Anno 2</t>
        </is>
      </c>
      <c r="B15" s="15">
        <f>B5*(1+B6)^(1)</f>
        <v/>
      </c>
      <c r="C15" s="15">
        <f>B15*12</f>
        <v/>
      </c>
      <c r="D15" s="15">
        <f>D14*(1+B8)+C15*((1+B8)^0.5)</f>
        <v/>
      </c>
    </row>
    <row r="16">
      <c r="A16" s="8" t="inlineStr">
        <is>
          <t>Anno 3</t>
        </is>
      </c>
      <c r="B16" s="15">
        <f>B5*(1+B6)^(2)</f>
        <v/>
      </c>
      <c r="C16" s="15">
        <f>B16*12</f>
        <v/>
      </c>
      <c r="D16" s="15">
        <f>D15*(1+B8)+C16*((1+B8)^0.5)</f>
        <v/>
      </c>
    </row>
    <row r="17">
      <c r="A17" s="8" t="inlineStr">
        <is>
          <t>Anno 4</t>
        </is>
      </c>
      <c r="B17" s="15">
        <f>B5*(1+B6)^(3)</f>
        <v/>
      </c>
      <c r="C17" s="15">
        <f>B17*12</f>
        <v/>
      </c>
      <c r="D17" s="15">
        <f>D16*(1+B8)+C17*((1+B8)^0.5)</f>
        <v/>
      </c>
    </row>
    <row r="18">
      <c r="A18" s="8" t="inlineStr">
        <is>
          <t>Anno 5</t>
        </is>
      </c>
      <c r="B18" s="15">
        <f>B5*(1+B6)^(4)</f>
        <v/>
      </c>
      <c r="C18" s="15">
        <f>B18*12</f>
        <v/>
      </c>
      <c r="D18" s="15">
        <f>D17*(1+B8)+C18*((1+B8)^0.5)</f>
        <v/>
      </c>
    </row>
    <row r="19">
      <c r="A19" s="8" t="inlineStr">
        <is>
          <t>Anno 6</t>
        </is>
      </c>
      <c r="B19" s="15">
        <f>B5*(1+B6)^(5)</f>
        <v/>
      </c>
      <c r="C19" s="15">
        <f>B19*12</f>
        <v/>
      </c>
      <c r="D19" s="15">
        <f>D18*(1+B8)+C19*((1+B8)^0.5)</f>
        <v/>
      </c>
    </row>
    <row r="20">
      <c r="A20" s="8" t="inlineStr">
        <is>
          <t>Anno 7</t>
        </is>
      </c>
      <c r="B20" s="15">
        <f>B5*(1+B6)^(6)</f>
        <v/>
      </c>
      <c r="C20" s="15">
        <f>B20*12</f>
        <v/>
      </c>
      <c r="D20" s="15">
        <f>D19*(1+B8)+C20*((1+B8)^0.5)</f>
        <v/>
      </c>
    </row>
    <row r="21">
      <c r="A21" s="8" t="inlineStr">
        <is>
          <t>Anno 8</t>
        </is>
      </c>
      <c r="B21" s="15">
        <f>B5*(1+B6)^(7)</f>
        <v/>
      </c>
      <c r="C21" s="15">
        <f>B21*12</f>
        <v/>
      </c>
      <c r="D21" s="15">
        <f>D20*(1+B8)+C21*((1+B8)^0.5)</f>
        <v/>
      </c>
    </row>
    <row r="22">
      <c r="A22" s="8" t="inlineStr">
        <is>
          <t>Anno 9</t>
        </is>
      </c>
      <c r="B22" s="15">
        <f>B5*(1+B6)^(8)</f>
        <v/>
      </c>
      <c r="C22" s="15">
        <f>B22*12</f>
        <v/>
      </c>
      <c r="D22" s="15">
        <f>D21*(1+B8)+C22*((1+B8)^0.5)</f>
        <v/>
      </c>
    </row>
    <row r="23">
      <c r="A23" s="8" t="inlineStr">
        <is>
          <t>Anno 10</t>
        </is>
      </c>
      <c r="B23" s="15">
        <f>B5*(1+B6)^(9)</f>
        <v/>
      </c>
      <c r="C23" s="15">
        <f>B23*12</f>
        <v/>
      </c>
      <c r="D23" s="15">
        <f>D22*(1+B8)+C23*((1+B8)^0.5)</f>
        <v/>
      </c>
    </row>
    <row r="24">
      <c r="A24" s="8" t="inlineStr">
        <is>
          <t>Anno 11</t>
        </is>
      </c>
      <c r="B24" s="15">
        <f>B5*(1+B6)^(10)</f>
        <v/>
      </c>
      <c r="C24" s="15">
        <f>B24*12</f>
        <v/>
      </c>
      <c r="D24" s="15">
        <f>D23*(1+B8)+C24*((1+B8)^0.5)</f>
        <v/>
      </c>
    </row>
    <row r="25">
      <c r="A25" s="8" t="inlineStr">
        <is>
          <t>Anno 12</t>
        </is>
      </c>
      <c r="B25" s="15">
        <f>B5*(1+B6)^(11)</f>
        <v/>
      </c>
      <c r="C25" s="15">
        <f>B25*12</f>
        <v/>
      </c>
      <c r="D25" s="15">
        <f>D24*(1+B8)+C25*((1+B8)^0.5)</f>
        <v/>
      </c>
    </row>
    <row r="26">
      <c r="A26" s="8" t="inlineStr">
        <is>
          <t>Anno 13</t>
        </is>
      </c>
      <c r="B26" s="15">
        <f>B5*(1+B6)^(12)</f>
        <v/>
      </c>
      <c r="C26" s="15">
        <f>B26*12</f>
        <v/>
      </c>
      <c r="D26" s="15">
        <f>D25*(1+B8)+C26*((1+B8)^0.5)</f>
        <v/>
      </c>
    </row>
    <row r="27">
      <c r="A27" s="8" t="inlineStr">
        <is>
          <t>Anno 14</t>
        </is>
      </c>
      <c r="B27" s="15">
        <f>B5*(1+B6)^(13)</f>
        <v/>
      </c>
      <c r="C27" s="15">
        <f>B27*12</f>
        <v/>
      </c>
      <c r="D27" s="15">
        <f>D26*(1+B8)+C27*((1+B8)^0.5)</f>
        <v/>
      </c>
    </row>
    <row r="28">
      <c r="A28" s="8" t="inlineStr">
        <is>
          <t>Anno 15</t>
        </is>
      </c>
      <c r="B28" s="15">
        <f>B5*(1+B6)^(14)</f>
        <v/>
      </c>
      <c r="C28" s="15">
        <f>B28*12</f>
        <v/>
      </c>
      <c r="D28" s="15">
        <f>D27*(1+B8)+C28*((1+B8)^0.5)</f>
        <v/>
      </c>
    </row>
    <row r="29">
      <c r="A29" s="8" t="inlineStr">
        <is>
          <t>Anno 16</t>
        </is>
      </c>
      <c r="B29" s="15">
        <f>B5*(1+B6)^(15)</f>
        <v/>
      </c>
      <c r="C29" s="15">
        <f>B29*12</f>
        <v/>
      </c>
      <c r="D29" s="15">
        <f>D28*(1+B8)+C29*((1+B8)^0.5)</f>
        <v/>
      </c>
    </row>
    <row r="30">
      <c r="A30" s="8" t="inlineStr">
        <is>
          <t>Anno 17</t>
        </is>
      </c>
      <c r="B30" s="15">
        <f>B5*(1+B6)^(16)</f>
        <v/>
      </c>
      <c r="C30" s="15">
        <f>B30*12</f>
        <v/>
      </c>
      <c r="D30" s="15">
        <f>D29*(1+B8)+C30*((1+B8)^0.5)</f>
        <v/>
      </c>
    </row>
    <row r="31">
      <c r="A31" s="8" t="inlineStr">
        <is>
          <t>Anno 18</t>
        </is>
      </c>
      <c r="B31" s="15">
        <f>B5*(1+B6)^(17)</f>
        <v/>
      </c>
      <c r="C31" s="15">
        <f>B31*12</f>
        <v/>
      </c>
      <c r="D31" s="15">
        <f>D30*(1+B8)+C31*((1+B8)^0.5)</f>
        <v/>
      </c>
    </row>
    <row r="32">
      <c r="A32" s="8" t="inlineStr">
        <is>
          <t>Anno 19</t>
        </is>
      </c>
      <c r="B32" s="15">
        <f>B5*(1+B6)^(18)</f>
        <v/>
      </c>
      <c r="C32" s="15">
        <f>B32*12</f>
        <v/>
      </c>
      <c r="D32" s="15">
        <f>D31*(1+B8)+C32*((1+B8)^0.5)</f>
        <v/>
      </c>
    </row>
    <row r="33">
      <c r="A33" s="8" t="inlineStr">
        <is>
          <t>Anno 20</t>
        </is>
      </c>
      <c r="B33" s="15">
        <f>B5*(1+B6)^(19)</f>
        <v/>
      </c>
      <c r="C33" s="15">
        <f>B33*12</f>
        <v/>
      </c>
      <c r="D33" s="15">
        <f>D32*(1+B8)+C33*((1+B8)^0.5)</f>
        <v/>
      </c>
    </row>
    <row r="34">
      <c r="A34" s="8" t="inlineStr">
        <is>
          <t>Anno 21</t>
        </is>
      </c>
      <c r="B34" s="15">
        <f>B5*(1+B6)^(20)</f>
        <v/>
      </c>
      <c r="C34" s="15">
        <f>B34*12</f>
        <v/>
      </c>
      <c r="D34" s="15">
        <f>D33*(1+B8)+C34*((1+B8)^0.5)</f>
        <v/>
      </c>
    </row>
    <row r="35">
      <c r="A35" s="8" t="inlineStr">
        <is>
          <t>Anno 22</t>
        </is>
      </c>
      <c r="B35" s="15">
        <f>B5*(1+B6)^(21)</f>
        <v/>
      </c>
      <c r="C35" s="15">
        <f>B35*12</f>
        <v/>
      </c>
      <c r="D35" s="15">
        <f>D34*(1+B8)+C35*((1+B8)^0.5)</f>
        <v/>
      </c>
    </row>
    <row r="36">
      <c r="A36" s="8" t="inlineStr">
        <is>
          <t>Anno 23</t>
        </is>
      </c>
      <c r="B36" s="15">
        <f>B5*(1+B6)^(22)</f>
        <v/>
      </c>
      <c r="C36" s="15">
        <f>B36*12</f>
        <v/>
      </c>
      <c r="D36" s="15">
        <f>D35*(1+B8)+C36*((1+B8)^0.5)</f>
        <v/>
      </c>
    </row>
    <row r="37">
      <c r="A37" s="8" t="inlineStr">
        <is>
          <t>Anno 24</t>
        </is>
      </c>
      <c r="B37" s="15">
        <f>B5*(1+B6)^(23)</f>
        <v/>
      </c>
      <c r="C37" s="15">
        <f>B37*12</f>
        <v/>
      </c>
      <c r="D37" s="15">
        <f>D36*(1+B8)+C37*((1+B8)^0.5)</f>
        <v/>
      </c>
    </row>
    <row r="38">
      <c r="A38" s="8" t="inlineStr">
        <is>
          <t>Anno 25</t>
        </is>
      </c>
      <c r="B38" s="15">
        <f>B5*(1+B6)^(24)</f>
        <v/>
      </c>
      <c r="C38" s="15">
        <f>B38*12</f>
        <v/>
      </c>
      <c r="D38" s="15">
        <f>D37*(1+B8)+C38*((1+B8)^0.5)</f>
        <v/>
      </c>
    </row>
    <row r="39">
      <c r="A39" s="8" t="inlineStr">
        <is>
          <t>Anno 26</t>
        </is>
      </c>
      <c r="B39" s="15">
        <f>B5*(1+B6)^(25)</f>
        <v/>
      </c>
      <c r="C39" s="15">
        <f>B39*12</f>
        <v/>
      </c>
      <c r="D39" s="15">
        <f>D38*(1+B8)+C39*((1+B8)^0.5)</f>
        <v/>
      </c>
    </row>
    <row r="40">
      <c r="A40" s="8" t="inlineStr">
        <is>
          <t>Anno 27</t>
        </is>
      </c>
      <c r="B40" s="15">
        <f>B5*(1+B6)^(26)</f>
        <v/>
      </c>
      <c r="C40" s="15">
        <f>B40*12</f>
        <v/>
      </c>
      <c r="D40" s="15">
        <f>D39*(1+B8)+C40*((1+B8)^0.5)</f>
        <v/>
      </c>
    </row>
    <row r="41">
      <c r="A41" s="8" t="inlineStr">
        <is>
          <t>Anno 28</t>
        </is>
      </c>
      <c r="B41" s="15">
        <f>B5*(1+B6)^(27)</f>
        <v/>
      </c>
      <c r="C41" s="15">
        <f>B41*12</f>
        <v/>
      </c>
      <c r="D41" s="15">
        <f>D40*(1+B8)+C41*((1+B8)^0.5)</f>
        <v/>
      </c>
    </row>
    <row r="42">
      <c r="A42" s="8" t="inlineStr">
        <is>
          <t>Anno 29</t>
        </is>
      </c>
      <c r="B42" s="15">
        <f>B5*(1+B6)^(28)</f>
        <v/>
      </c>
      <c r="C42" s="15">
        <f>B42*12</f>
        <v/>
      </c>
      <c r="D42" s="15">
        <f>D41*(1+B8)+C42*((1+B8)^0.5)</f>
        <v/>
      </c>
    </row>
    <row r="43">
      <c r="A43" s="8" t="inlineStr">
        <is>
          <t>Anno 30</t>
        </is>
      </c>
      <c r="B43" s="15">
        <f>B5*(1+B6)^(29)</f>
        <v/>
      </c>
      <c r="C43" s="15">
        <f>B43*12</f>
        <v/>
      </c>
      <c r="D43" s="15">
        <f>D42*(1+B8)+C43*((1+B8)^0.5)</f>
        <v/>
      </c>
    </row>
    <row r="45">
      <c r="A45" s="7" t="inlineStr">
        <is>
          <t>RIEPILOGO (riferito ad 'Anni di accumulo' del campo input)</t>
        </is>
      </c>
    </row>
    <row r="46">
      <c r="A46" s="8" t="inlineStr">
        <is>
          <t>Capitale finale (anno indicato in B7)</t>
        </is>
      </c>
      <c r="B46" s="15">
        <f>INDEX(D14:D43,B7)</f>
        <v/>
      </c>
    </row>
    <row r="47">
      <c r="A47" s="8" t="inlineStr">
        <is>
          <t>Totale versato (somma contributi annui)</t>
        </is>
      </c>
      <c r="B47" s="15">
        <f>SUMPRODUCT((ROW(C14:C43)-13&lt;=B7)*C14:C43)</f>
        <v/>
      </c>
    </row>
  </sheetData>
  <mergeCells count="6">
    <mergeCell ref="A1:D1"/>
    <mergeCell ref="A45:D45"/>
    <mergeCell ref="A4:D4"/>
    <mergeCell ref="A2:D2"/>
    <mergeCell ref="A11:D11"/>
    <mergeCell ref="A9:B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4" customWidth="1" min="3" max="3"/>
    <col width="36" customWidth="1" min="4" max="4"/>
    <col width="18" customWidth="1" min="5" max="5"/>
  </cols>
  <sheetData>
    <row r="1" ht="25" customHeight="1">
      <c r="A1" s="1" t="inlineStr">
        <is>
          <t>PAC vs investimento singolo (lump sum)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4">
      <c r="A4" s="7" t="inlineStr">
        <is>
          <t>INPUT</t>
        </is>
      </c>
    </row>
    <row r="5">
      <c r="A5" s="8" t="inlineStr">
        <is>
          <t>Capitale totale da investire (€)</t>
        </is>
      </c>
      <c r="B5" s="9" t="n">
        <v>50000</v>
      </c>
    </row>
    <row r="6">
      <c r="A6" s="8" t="inlineStr">
        <is>
          <t>Anni di orizzonte</t>
        </is>
      </c>
      <c r="B6" s="10" t="n">
        <v>15</v>
      </c>
    </row>
    <row r="7">
      <c r="A7" s="8" t="inlineStr">
        <is>
          <t>Rendimento netto medio annuo (%)</t>
        </is>
      </c>
      <c r="B7" s="11" t="n">
        <v>0.06</v>
      </c>
    </row>
    <row r="8">
      <c r="A8" s="8" t="inlineStr">
        <is>
          <t>Durata spalmatura PAC (mesi)</t>
        </is>
      </c>
      <c r="B8" s="10" t="n">
        <v>12</v>
      </c>
    </row>
    <row r="10">
      <c r="A10" s="7" t="inlineStr">
        <is>
          <t>OUTPUT</t>
        </is>
      </c>
    </row>
    <row r="11">
      <c r="A11" s="8" t="inlineStr">
        <is>
          <t>PAC mensile equivalente (capitale / mesi)</t>
        </is>
      </c>
      <c r="B11" s="15">
        <f>B5/B8</f>
        <v/>
      </c>
    </row>
    <row r="12">
      <c r="A12" s="8" t="inlineStr">
        <is>
          <t>Capitale finale LUMP SUM dopo X anni</t>
        </is>
      </c>
      <c r="B12" s="15">
        <f>B5*(1+B7)^B6</f>
        <v/>
      </c>
    </row>
    <row r="13">
      <c r="A13" s="8" t="inlineStr">
        <is>
          <t>Capitale finale PAC (durata accumulo + investito)</t>
        </is>
      </c>
      <c r="B13" s="15">
        <f>(B11*(((1+(1+B7)^(1/12)-1)^B8-1)/((1+B7)^(1/12)-1)))*(1+B7)^(B6-B8/12)</f>
        <v/>
      </c>
    </row>
    <row r="14">
      <c r="A14" s="8" t="inlineStr">
        <is>
          <t>Differenza assoluta (LUMP - PAC)</t>
        </is>
      </c>
      <c r="B14" s="15">
        <f>B12-B13</f>
        <v/>
      </c>
    </row>
    <row r="15">
      <c r="A15" s="8" t="inlineStr">
        <is>
          <t>Differenza in %</t>
        </is>
      </c>
      <c r="B15" s="17">
        <f>IFERROR((B12-B13)/B13, 0)</f>
        <v/>
      </c>
    </row>
    <row r="17" ht="45" customHeight="1">
      <c r="A17" s="12" t="inlineStr">
        <is>
          <t>Dati Vanguard 2023: lump sum batte DCA nel 68% dei casi a 12 mesi. Outperformance media +2,2% (100% equity) / +1,8% (60/40). Per dettaglio scenari crash/positive drift vedi simulatore PIC vs PAC dedicato.</t>
        </is>
      </c>
    </row>
  </sheetData>
  <mergeCells count="5">
    <mergeCell ref="A1:D1"/>
    <mergeCell ref="A4:D4"/>
    <mergeCell ref="A2:D2"/>
    <mergeCell ref="A17:B17"/>
    <mergeCell ref="A10:D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4" customWidth="1" min="3" max="3"/>
    <col width="36" customWidth="1" min="4" max="4"/>
    <col width="18" customWidth="1" min="5" max="5"/>
  </cols>
  <sheetData>
    <row r="1" ht="25" customHeight="1">
      <c r="A1" s="1" t="inlineStr">
        <is>
          <t>PAC e raggiungimento del numero FIRE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4">
      <c r="A4" s="7" t="inlineStr">
        <is>
          <t>INPUT</t>
        </is>
      </c>
    </row>
    <row r="5">
      <c r="A5" s="8" t="inlineStr">
        <is>
          <t>Spese annue stimate post-FIRE (€)</t>
        </is>
      </c>
      <c r="B5" s="9" t="n">
        <v>24000</v>
      </c>
    </row>
    <row r="6">
      <c r="A6" s="8" t="inlineStr">
        <is>
          <t>Safe Withdrawal Rate (%)</t>
        </is>
      </c>
      <c r="B6" s="11" t="n">
        <v>0.04</v>
      </c>
    </row>
    <row r="7">
      <c r="A7" s="8" t="inlineStr">
        <is>
          <t>Contributo mensile attuale (€)</t>
        </is>
      </c>
      <c r="B7" s="9" t="n">
        <v>700</v>
      </c>
    </row>
    <row r="8">
      <c r="A8" s="8" t="inlineStr">
        <is>
          <t>Capitale già accumulato (€)</t>
        </is>
      </c>
      <c r="B8" s="9" t="n">
        <v>20000</v>
      </c>
    </row>
    <row r="9">
      <c r="A9" s="8" t="inlineStr">
        <is>
          <t>Rendimento netto medio annuo (%)</t>
        </is>
      </c>
      <c r="B9" s="11" t="n">
        <v>0.05</v>
      </c>
    </row>
    <row r="10" ht="30" customHeight="1">
      <c r="A10" s="12" t="inlineStr">
        <is>
          <t>SWR consigliato: 4% (Trinity Study) per 30 anni di pensione. 3-3,5% per FIRE precoce (40+ anni). 3,9% Morningstar 2026.</t>
        </is>
      </c>
    </row>
    <row r="12">
      <c r="A12" s="7" t="inlineStr">
        <is>
          <t>OUTPUT</t>
        </is>
      </c>
    </row>
    <row r="13">
      <c r="A13" s="8" t="inlineStr">
        <is>
          <t>Numero FIRE = spese / SWR</t>
        </is>
      </c>
      <c r="B13" s="15">
        <f>B5/B6</f>
        <v/>
      </c>
    </row>
    <row r="14">
      <c r="A14" s="8" t="inlineStr">
        <is>
          <t>Tasso mensile equivalente</t>
        </is>
      </c>
      <c r="B14" s="14">
        <f>(1+B9)^(1/12)-1</f>
        <v/>
      </c>
    </row>
    <row r="15">
      <c r="A15" s="8" t="inlineStr">
        <is>
          <t>Stima anni per arrivare al FIRE</t>
        </is>
      </c>
      <c r="B15" s="18">
        <f>IFERROR(LN((B13*B14+B7)/(B8*B14+B7))/LN(1+B14)/12, NA())</f>
        <v/>
      </c>
    </row>
    <row r="17">
      <c r="A17" s="8" t="inlineStr">
        <is>
          <t>Capitale finale stimato al traguardo</t>
        </is>
      </c>
      <c r="B17" s="15">
        <f>B13</f>
        <v/>
      </c>
    </row>
    <row r="18">
      <c r="A18" s="8" t="inlineStr">
        <is>
          <t>Rendita mensile sostenibile (= spese / 12)</t>
        </is>
      </c>
      <c r="B18" s="15">
        <f>B5/12</f>
        <v/>
      </c>
    </row>
    <row r="20">
      <c r="A20" s="7" t="inlineStr">
        <is>
          <t>Scenari — aumentare contributo accelera FIRE</t>
        </is>
      </c>
    </row>
    <row r="21">
      <c r="A21" s="16" t="inlineStr">
        <is>
          <t>Scenario</t>
        </is>
      </c>
      <c r="B21" s="16" t="inlineStr">
        <is>
          <t>Contributo mensile</t>
        </is>
      </c>
      <c r="C21" s="16" t="inlineStr">
        <is>
          <t>Anni stimati al FIRE</t>
        </is>
      </c>
    </row>
    <row r="22">
      <c r="A22" s="8" t="inlineStr">
        <is>
          <t>× 0.75 del contributo attuale</t>
        </is>
      </c>
      <c r="B22" s="15">
        <f>B7*0.75</f>
        <v/>
      </c>
      <c r="C22" s="18">
        <f>IFERROR(LN((B13*B14+B7*0.75)/(B8*B14+B7*0.75))/LN(1+B14)/12, NA())</f>
        <v/>
      </c>
    </row>
    <row r="23">
      <c r="A23" s="8" t="inlineStr">
        <is>
          <t>× 1.00 del contributo attuale</t>
        </is>
      </c>
      <c r="B23" s="15">
        <f>B7*1.0</f>
        <v/>
      </c>
      <c r="C23" s="18">
        <f>IFERROR(LN((B13*B14+B7*1.0)/(B8*B14+B7*1.0))/LN(1+B14)/12, NA())</f>
        <v/>
      </c>
    </row>
    <row r="24">
      <c r="A24" s="8" t="inlineStr">
        <is>
          <t>× 1.25 del contributo attuale</t>
        </is>
      </c>
      <c r="B24" s="15">
        <f>B7*1.25</f>
        <v/>
      </c>
      <c r="C24" s="18">
        <f>IFERROR(LN((B13*B14+B7*1.25)/(B8*B14+B7*1.25))/LN(1+B14)/12, NA())</f>
        <v/>
      </c>
    </row>
    <row r="25">
      <c r="A25" s="8" t="inlineStr">
        <is>
          <t>× 1.50 del contributo attuale</t>
        </is>
      </c>
      <c r="B25" s="15">
        <f>B7*1.5</f>
        <v/>
      </c>
      <c r="C25" s="18">
        <f>IFERROR(LN((B13*B14+B7*1.5)/(B8*B14+B7*1.5))/LN(1+B14)/12, NA())</f>
        <v/>
      </c>
    </row>
    <row r="26">
      <c r="A26" s="8" t="inlineStr">
        <is>
          <t>× 2.00 del contributo attuale</t>
        </is>
      </c>
      <c r="B26" s="15">
        <f>B7*2.0</f>
        <v/>
      </c>
      <c r="C26" s="18">
        <f>IFERROR(LN((B13*B14+B7*2.0)/(B8*B14+B7*2.0))/LN(1+B14)/12, NA())</f>
        <v/>
      </c>
    </row>
  </sheetData>
  <mergeCells count="6">
    <mergeCell ref="A1:D1"/>
    <mergeCell ref="A12:D12"/>
    <mergeCell ref="A4:D4"/>
    <mergeCell ref="A20:D20"/>
    <mergeCell ref="A10:B10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2026-05-22T17:55:40Z</dcterms:created>
  <dcterms:modified xsi:type="dcterms:W3CDTF">2026-05-22T17:55:40Z</dcterms:modified>
</cp:coreProperties>
</file>