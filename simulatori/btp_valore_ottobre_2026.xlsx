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Il 16 ottobre" sheetId="2" r:id="rId2"/>
    <sheet name="2 - Previsione" sheetId="3" r:id="rId3"/>
    <sheet name="3 - Gemelli" sheetId="4" r:id="rId4"/>
    <sheet name="4 - Vendere prima" sheetId="5" r:id="rId5"/>
    <sheet name="5 - Alternative" sheetId="6" r:id="rId6"/>
  </sheets>
  <calcPr calcId="144525"/>
</workbook>
</file>

<file path=xl/calcChain.xml><?xml version="1.0" encoding="utf-8"?>
<calcChain xmlns="http://schemas.openxmlformats.org/spreadsheetml/2006/main">
  <c r="E13" i="4" l="1"/>
  <c r="E12" i="4"/>
  <c r="E11" i="4"/>
  <c r="E10" i="4"/>
  <c r="B4" i="4"/>
  <c r="B28" i="3"/>
  <c r="D28" i="3" s="1"/>
  <c r="B27" i="3"/>
  <c r="C27" i="3" s="1"/>
  <c r="B26" i="3"/>
  <c r="C26" i="3" s="1"/>
  <c r="B22" i="3"/>
  <c r="B19" i="3"/>
  <c r="B18" i="3"/>
  <c r="D11" i="3"/>
  <c r="D10" i="3"/>
  <c r="D9" i="3"/>
  <c r="D8" i="3"/>
  <c r="D7" i="3"/>
  <c r="D6" i="3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22" i="2"/>
  <c r="C19" i="2"/>
  <c r="C18" i="2" s="1"/>
  <c r="B19" i="2"/>
  <c r="B20" i="2" s="1"/>
  <c r="B21" i="2" s="1"/>
  <c r="C17" i="2"/>
  <c r="B20" i="4" l="1"/>
  <c r="D12" i="3"/>
  <c r="B20" i="3" s="1"/>
  <c r="D11" i="4"/>
  <c r="D13" i="4"/>
  <c r="C20" i="2"/>
  <c r="C21" i="2" s="1"/>
  <c r="B14" i="4"/>
  <c r="C14" i="4" s="1"/>
  <c r="D14" i="4"/>
  <c r="F14" i="4"/>
  <c r="G14" i="4" s="1"/>
  <c r="C23" i="2"/>
  <c r="C24" i="2" s="1"/>
  <c r="E14" i="4"/>
  <c r="E15" i="4"/>
  <c r="F10" i="4"/>
  <c r="G10" i="4" s="1"/>
  <c r="B11" i="4"/>
  <c r="C11" i="4" s="1"/>
  <c r="F11" i="4"/>
  <c r="G11" i="4" s="1"/>
  <c r="B12" i="4"/>
  <c r="C12" i="4" s="1"/>
  <c r="F13" i="4"/>
  <c r="G13" i="4" s="1"/>
  <c r="C28" i="3"/>
  <c r="E59" i="2"/>
  <c r="D59" i="2"/>
  <c r="D60" i="2"/>
  <c r="E60" i="2"/>
  <c r="E42" i="2"/>
  <c r="D42" i="2"/>
  <c r="D43" i="2"/>
  <c r="E43" i="2"/>
  <c r="E46" i="2"/>
  <c r="D46" i="2"/>
  <c r="D48" i="2"/>
  <c r="E48" i="2"/>
  <c r="E49" i="2"/>
  <c r="D49" i="2"/>
  <c r="E51" i="2"/>
  <c r="D51" i="2"/>
  <c r="E53" i="2"/>
  <c r="D53" i="2"/>
  <c r="E54" i="2"/>
  <c r="D54" i="2"/>
  <c r="E55" i="2"/>
  <c r="D55" i="2"/>
  <c r="E50" i="2"/>
  <c r="D50" i="2"/>
  <c r="D52" i="2"/>
  <c r="E52" i="2"/>
  <c r="E56" i="2"/>
  <c r="D56" i="2"/>
  <c r="E58" i="2"/>
  <c r="D58" i="2"/>
  <c r="E44" i="2"/>
  <c r="D44" i="2"/>
  <c r="D45" i="2"/>
  <c r="E45" i="2"/>
  <c r="E47" i="2"/>
  <c r="D47" i="2"/>
  <c r="E41" i="2"/>
  <c r="D41" i="2"/>
  <c r="E57" i="2"/>
  <c r="D57" i="2"/>
  <c r="D26" i="3"/>
  <c r="D27" i="3"/>
  <c r="B10" i="4"/>
  <c r="F12" i="4"/>
  <c r="G12" i="4" s="1"/>
  <c r="D12" i="4"/>
  <c r="D10" i="4"/>
  <c r="D15" i="4" s="1"/>
  <c r="B13" i="4"/>
  <c r="C13" i="4" s="1"/>
  <c r="G15" i="4" l="1"/>
  <c r="B19" i="4"/>
  <c r="B21" i="4" s="1"/>
  <c r="C10" i="4"/>
  <c r="C15" i="4" s="1"/>
  <c r="B15" i="4"/>
  <c r="B17" i="2"/>
  <c r="B18" i="2"/>
  <c r="B15" i="6" l="1"/>
  <c r="B17" i="6" s="1"/>
  <c r="B4" i="5"/>
  <c r="B5" i="4"/>
  <c r="B23" i="2"/>
  <c r="B24" i="2" s="1"/>
  <c r="D19" i="5" l="1"/>
  <c r="D7" i="5"/>
  <c r="D18" i="5"/>
  <c r="D17" i="5"/>
  <c r="D25" i="5"/>
  <c r="D9" i="5"/>
  <c r="E9" i="5" s="1"/>
  <c r="D14" i="5"/>
  <c r="D30" i="5"/>
  <c r="D29" i="5"/>
  <c r="D13" i="5"/>
  <c r="D23" i="5"/>
  <c r="D12" i="5"/>
  <c r="D24" i="5"/>
  <c r="E24" i="5" s="1"/>
  <c r="D8" i="5"/>
  <c r="E8" i="5" s="1"/>
  <c r="D27" i="5"/>
  <c r="E27" i="5" s="1"/>
  <c r="D11" i="5"/>
  <c r="E11" i="5" s="1"/>
  <c r="D22" i="5"/>
  <c r="D28" i="5"/>
  <c r="D31" i="5"/>
  <c r="D20" i="5"/>
  <c r="D10" i="5"/>
  <c r="E10" i="5" s="1"/>
  <c r="D16" i="5"/>
  <c r="D15" i="5"/>
  <c r="D26" i="5"/>
  <c r="D21" i="5"/>
  <c r="C26" i="5"/>
  <c r="C20" i="5"/>
  <c r="C8" i="5"/>
  <c r="C12" i="5"/>
  <c r="C22" i="5"/>
  <c r="C28" i="5"/>
  <c r="C23" i="5"/>
  <c r="C31" i="5"/>
  <c r="C9" i="5"/>
  <c r="C10" i="5"/>
  <c r="C11" i="5"/>
  <c r="C7" i="5"/>
  <c r="C17" i="5"/>
  <c r="C13" i="5"/>
  <c r="C19" i="5"/>
  <c r="C27" i="5"/>
  <c r="C24" i="5"/>
  <c r="C29" i="5"/>
  <c r="C16" i="5"/>
  <c r="C30" i="5"/>
  <c r="C14" i="5"/>
  <c r="C25" i="5"/>
  <c r="C18" i="5"/>
  <c r="C21" i="5"/>
  <c r="C15" i="5"/>
  <c r="E22" i="5" l="1"/>
  <c r="E19" i="5"/>
  <c r="E15" i="5"/>
  <c r="E14" i="5"/>
  <c r="E12" i="5"/>
  <c r="E13" i="5"/>
  <c r="E29" i="5"/>
  <c r="E20" i="5"/>
  <c r="E17" i="5"/>
  <c r="E30" i="5"/>
  <c r="E16" i="5"/>
  <c r="E25" i="5"/>
  <c r="E31" i="5"/>
  <c r="E18" i="5"/>
  <c r="E23" i="5"/>
  <c r="E21" i="5"/>
  <c r="E26" i="5"/>
  <c r="E28" i="5"/>
  <c r="E7" i="5"/>
</calcChain>
</file>

<file path=xl/sharedStrings.xml><?xml version="1.0" encoding="utf-8"?>
<sst xmlns="http://schemas.openxmlformats.org/spreadsheetml/2006/main" count="185" uniqueCount="172">
  <si>
    <t>Simulatore BTP Valore e BTP Valore Insieme — ottobre 2026</t>
  </si>
  <si>
    <t>Strumento informativo / divulgativo. NON è consulenza finanziaria. I valori sono indicativi al 2026 e vanno verificati col tuo consulente.</t>
  </si>
  <si>
    <t>Indice</t>
  </si>
  <si>
    <t>1 - Il 16 ottobre</t>
  </si>
  <si>
    <t>Inserisci i tassi annunciati dal MEF e il BTP a 5 anni del giorno: rendimenti e verdetto</t>
  </si>
  <si>
    <t>2 - Previsione</t>
  </si>
  <si>
    <t>Come ho costruito la forchetta del 25/09/2026: emissioni passate e mercato</t>
  </si>
  <si>
    <t>3 - Gemelli</t>
  </si>
  <si>
    <t>Flussi anno per anno, bollo e reinvestimento delle cedole</t>
  </si>
  <si>
    <t>4 - Vendere prima</t>
  </si>
  <si>
    <t>Prezzo dei due titoli dopo 1-4 anni se i tassi si muovono</t>
  </si>
  <si>
    <t>5 - Alternative</t>
  </si>
  <si>
    <t>BTP ordinario, Valore 2032, BTP Più, Italia Sì, BOT, buoni postali al 25/09/2026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</si>
  <si>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</si>
  <si>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</si>
  <si>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</si>
  <si>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</si>
  <si>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</si>
  <si>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</si>
  <si>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MEF, comunicato stampa n. 104 del 25/09/2026 (doppia emissione, 19-23/10, tassi minimi il 16/10)</t>
  </si>
  <si>
    <t>• MEF, comunicati delle emissioni BTP Valore 2023-2026 e risultati d'asta BTP 5 e 10 anni (Dipartimento del Tesoro)</t>
  </si>
  <si>
    <t>• Borsa Italiana, prezzi MOT del 25/09/2026 (BTP giu-2031, feb-2031, Valore mar-2032, Più feb-2033, Italia Sì)</t>
  </si>
  <si>
    <t>• BCE, decisione del 10/09/2026; ISTAT, prezzi al consumo agosto 2026</t>
  </si>
  <si>
    <t>• CDP, fogli informativi Buoni fruttiferi postali (luglio-settembre 2026)</t>
  </si>
  <si>
    <t>• Calcoli: rendimento effettivo annuo, imposta 12,5%, bollo 0,20% annuo</t>
  </si>
  <si>
    <t>Aggiornamenti: github.com/marcofire-it/marco-fire-simulatori</t>
  </si>
  <si>
    <t>Il 16 ottobre: i tassi annunciati convengono?</t>
  </si>
  <si>
    <t>Input — dal comunicato MEF del 16 ottobre e dalla Borsa di quel giorno</t>
  </si>
  <si>
    <t>Tasso cedolare annuo, anno 1</t>
  </si>
  <si>
    <t>Tassi minimi garantiti del comunicato MEF n. 110 del 16/10/2026 (ISIN IT0005735201). A fine collocamento possono solo salire: se salgono, scrivili qui</t>
  </si>
  <si>
    <t>Tasso cedolare annuo, anno 2</t>
  </si>
  <si>
    <t>Tasso cedolare annuo, anno 3</t>
  </si>
  <si>
    <t>Tasso cedolare annuo, anno 4</t>
  </si>
  <si>
    <t>Tasso cedolare annuo, anno 5</t>
  </si>
  <si>
    <t>Valore Insieme: cedola unica annunciata (% del capitale, lorda)</t>
  </si>
  <si>
    <t>22,25% minimo garantito, comunicato MEF n. 110 del 16/10/2026 (ISIN IT0005735227). Se svuoti la cella, il foglio usa la cedola equivalente al Valore trimestrale</t>
  </si>
  <si>
    <t>Rendimento lordo BTP 3,95% feb-2032 su Borsa Italiana, quel giorno</t>
  </si>
  <si>
    <t>BTP 3,95% feb-2032 (IT0005733636): 4,01% lordo su Borsa Italiana il 16/10/2026, prezzo di riferimento 99,90. Al 25/09 il riferimento era il BTP giu-2031: 3,99% sul prezzo MOT 96,59</t>
  </si>
  <si>
    <t>Aliquota imposta titoli di Stato</t>
  </si>
  <si>
    <t>Capitale investito</t>
  </si>
  <si>
    <t>Risultati</t>
  </si>
  <si>
    <t>Voce</t>
  </si>
  <si>
    <t>BTP Valore</t>
  </si>
  <si>
    <t>Valore Insieme</t>
  </si>
  <si>
    <t>Rendimento effettivo annuo lordo</t>
  </si>
  <si>
    <t>Rendimento effettivo annuo netto (imposta, senza bollo)</t>
  </si>
  <si>
    <t>Interessi lordi in 5 anni (% del capitale)</t>
  </si>
  <si>
    <t>Interessi lordi in 5 anni, in euro</t>
  </si>
  <si>
    <t>Interessi netti in 5 anni, in euro</t>
  </si>
  <si>
    <t>Media semplice delle cedole (NON è il rendimento)</t>
  </si>
  <si>
    <t>Scarto sul BTP ordinario (punti percentuali)</t>
  </si>
  <si>
    <t>VERDETTO</t>
  </si>
  <si>
    <t>ROSSO: più di 0,05 punti sotto il BTP ordinario (meglio il BTP già quotato). GIALLO: da 0,05 sotto a 0,10 sopra (conviene per i vantaggi accessori: zero commissioni, quantità garantita, forma dei flussi). VERDE: oltre 0,10 sopra (il Tesoro paga un premio).</t>
  </si>
  <si>
    <t>I tassi minimi del 16 ottobre possono solo essere confermati o alzati a fine collocamento.</t>
  </si>
  <si>
    <t>Flussi trimestrali per 100 € (motore del calcolo, non modificare)</t>
  </si>
  <si>
    <t>Trimestre</t>
  </si>
  <si>
    <t>Anno</t>
  </si>
  <si>
    <t>Tasso annuo</t>
  </si>
  <si>
    <t>Flusso lordo</t>
  </si>
  <si>
    <t>Flusso netto</t>
  </si>
  <si>
    <t>La previsione del 25/09/2026: a che tassi dovrebbe uscire il BTP Valore</t>
  </si>
  <si>
    <t>Calibrazione: tassi MINIMI del Valore contro BTP di pari durata alle aste MEF</t>
  </si>
  <si>
    <t>Emissione</t>
  </si>
  <si>
    <t>Rend. effettivo dei minimi</t>
  </si>
  <si>
    <t>BTP pari durata (aste MEF)</t>
  </si>
  <si>
    <t>Scarto (punti)</t>
  </si>
  <si>
    <t>Premio fedeltà</t>
  </si>
  <si>
    <t>Nota</t>
  </si>
  <si>
    <t>Ottobre 2023, 5 anni</t>
  </si>
  <si>
    <t>0,5%</t>
  </si>
  <si>
    <t>Unico precedente a 5 anni</t>
  </si>
  <si>
    <t>Febbraio 2024, 6 anni</t>
  </si>
  <si>
    <t>0,7%</t>
  </si>
  <si>
    <t>Maggio 2024, 6 anni</t>
  </si>
  <si>
    <t>0,8%</t>
  </si>
  <si>
    <t>Febbraio 2025, BTP Più, 8 anni</t>
  </si>
  <si>
    <t>nessuno</t>
  </si>
  <si>
    <t>Con rimborso anticipato al 4° anno</t>
  </si>
  <si>
    <t>Ottobre 2025, 7 anni</t>
  </si>
  <si>
    <t>Marzo 2026, 6 anni</t>
  </si>
  <si>
    <t>Minimi poi alzati: definitivo 3,34%</t>
  </si>
  <si>
    <t>Scarto medio, premio incluso</t>
  </si>
  <si>
    <t>Scarto medio senza premio (stima)</t>
  </si>
  <si>
    <t>Giugno 2023 escluso: dato d'asta di riferimento non reperito. Interpolazione lineare fra BTP 5 e 10 anni sulla durata del Valore. Il premio fedeltà valeva circa 0,09-0,12 punti l'anno: nella nuova emissione non c'è.</t>
  </si>
  <si>
    <t>Forchetta</t>
  </si>
  <si>
    <t>Ancora: BTP ordinario ~5 anni al 25/09/2026</t>
  </si>
  <si>
    <t>Ipotesi A — come l'unico precedente a 5 anni (0 punti)</t>
  </si>
  <si>
    <t>Ipotesi B — scarto storico senza premio</t>
  </si>
  <si>
    <t>Ipotesi C — il premio spostato dentro le cedole</t>
  </si>
  <si>
    <t>Forchetta prevista (arrotondata)</t>
  </si>
  <si>
    <t>3,90% - 4,20%, centro ≈ 4,05%</t>
  </si>
  <si>
    <t>Cedola unica equivalente del Valore Insieme, al centro</t>
  </si>
  <si>
    <t>Se il mercato si muove fino al 16 ottobre</t>
  </si>
  <si>
    <t>Scenario</t>
  </si>
  <si>
    <t>BTP 5 anni</t>
  </si>
  <si>
    <t>Forchetta bassa</t>
  </si>
  <si>
    <t>Forchetta alta</t>
  </si>
  <si>
    <t>Rendimenti −0,30 punti</t>
  </si>
  <si>
    <t>Rendimenti fermi</t>
  </si>
  <si>
    <t>Rendimenti +0,30 punti</t>
  </si>
  <si>
    <t>I due gemelli anno per anno: cedole, imposta, bollo, reinvestimento</t>
  </si>
  <si>
    <t>Capitale</t>
  </si>
  <si>
    <t>Rendimento effettivo lordo (dal foglio 1)</t>
  </si>
  <si>
    <t>Bollo annuo sul dossier titoli</t>
  </si>
  <si>
    <t>Tasso netto a cui reinvesti le cedole</t>
  </si>
  <si>
    <t>Se i tassi salgono, alzalo: il trimestrale passa davanti. Se scendono, abbassalo.</t>
  </si>
  <si>
    <t>Valore: cedole lorde</t>
  </si>
  <si>
    <t>Valore: cedole nette</t>
  </si>
  <si>
    <t>Valore: bollo</t>
  </si>
  <si>
    <t>Insieme: incassato</t>
  </si>
  <si>
    <t>Insieme: valore a fine anno</t>
  </si>
  <si>
    <t>Insieme: bollo (sul valore)</t>
  </si>
  <si>
    <t>Totale</t>
  </si>
  <si>
    <t>Bollo del Valore Insieme calcolato sul valore di mercato a tassi fermi (DM 24/05/2012: valore di mercato, in mancanza nominale o rimborso). Da verificare sulla scheda informativa MEF.</t>
  </si>
  <si>
    <t>Reinvestimento: quanto hai alla scadenza, netto di imposta (senza bollo)</t>
  </si>
  <si>
    <t>BTP Valore, cedole nette reinvestite al tasso di B7</t>
  </si>
  <si>
    <t>Valore Insieme, capitale + cedola unica netta</t>
  </si>
  <si>
    <t>Differenza (positivo = meglio il trimestrale)</t>
  </si>
  <si>
    <t>Ogni cedola netta trimestrale reinvestita dal giorno in cui la incassi fino alla scadenza, al tasso annuo di B7.</t>
  </si>
  <si>
    <t>Se vendi prima: prezzo dei due gemelli (per 100 di nominale)</t>
  </si>
  <si>
    <t>Rendimento di partenza (dal foglio 1)</t>
  </si>
  <si>
    <t>Anni trascorsi</t>
  </si>
  <si>
    <t>Variazione dei tassi (punti)</t>
  </si>
  <si>
    <t>Prezzo BTP Valore (corso secco, dopo la cedola)</t>
  </si>
  <si>
    <t>Valore Insieme: valore con gli interessi maturati</t>
  </si>
  <si>
    <t>Differenza</t>
  </si>
  <si>
    <t>Anno 0 = subito dopo l'acquisto a 100. Per il Valore Insieme è il valore comprensivo degli interessi maturati: in Borsa il prezzo potrebbe restare vicino a 100 con gli interessi conteggiati a parte (rateo). La parte maturata è interesse, non guadagno. In vendita anticipata l'imposta sugli interessi maturati e la plus/minusvalenza si calcolano separatamente (per analogia con i titoli senza cedola: da confermare sulla scheda MEF).</t>
  </si>
  <si>
    <t>Le alternative al 25/09/2026</t>
  </si>
  <si>
    <t>Strumento</t>
  </si>
  <si>
    <t>Prezzo / condizione al 25/09/2026</t>
  </si>
  <si>
    <t>Rendimento lordo</t>
  </si>
  <si>
    <t>Rendimento netto</t>
  </si>
  <si>
    <t>Scadenza</t>
  </si>
  <si>
    <t>BTP ordinario 3,15% giugno 2031</t>
  </si>
  <si>
    <t>96,59 (MOT)</t>
  </si>
  <si>
    <t>2031</t>
  </si>
  <si>
    <t>Commissione di acquisto a carico</t>
  </si>
  <si>
    <t>BTP Valore marzo 2032 (sul mercato)</t>
  </si>
  <si>
    <t>95,44 (MOT)</t>
  </si>
  <si>
    <t>2032</t>
  </si>
  <si>
    <t>Senza premio fedeltà: spetta solo a chi lo ha sottoscritto</t>
  </si>
  <si>
    <t>BTP Più febbraio 2033 (sul mercato)</t>
  </si>
  <si>
    <t>94,69 (MOT)</t>
  </si>
  <si>
    <t>2033</t>
  </si>
  <si>
    <t>Rimborso anticipato solo per i sottoscrittori all'emissione</t>
  </si>
  <si>
    <t>BTP Italia Sì giugno 2031</t>
  </si>
  <si>
    <t>100,04 (MOT)</t>
  </si>
  <si>
    <t>dipende dall'inflazione</t>
  </si>
  <si>
    <t>1,60% reale + inflazione italiana: dipende dall'inflazione</t>
  </si>
  <si>
    <t>BOT 12 mesi</t>
  </si>
  <si>
    <t>asta del 09/09/2026</t>
  </si>
  <si>
    <t>2027</t>
  </si>
  <si>
    <t>Rendimento effettivo annuo</t>
  </si>
  <si>
    <t>Buono Premium CDP 1 anno</t>
  </si>
  <si>
    <t>solo nuova liquidità, entro il 05/11/2026</t>
  </si>
  <si>
    <t>Zero interessi se rimborsato prima</t>
  </si>
  <si>
    <t>Buono fruttifero postale ordinario</t>
  </si>
  <si>
    <t>a 5 anni</t>
  </si>
  <si>
    <t>rimborsabile</t>
  </si>
  <si>
    <t>Nessun rischio di prezzo</t>
  </si>
  <si>
    <t>Nuovo BTP Valore, previsione centrale</t>
  </si>
  <si>
    <t>a 100 in collocamento</t>
  </si>
  <si>
    <t>Previsione mia del 25/09, non un dato</t>
  </si>
  <si>
    <t>Nuovo BTP Valore, tassi minimi del 16/10</t>
  </si>
  <si>
    <t>a 100 in collocamento, 19-23/10/2026</t>
  </si>
  <si>
    <t>Calcolo mio sul comunicato MEF n. 110 del 16/10/2026</t>
  </si>
  <si>
    <t>Inflazione di pareggio: nuovo Valore contro BTP Italia Sì comprato oggi a ~100</t>
  </si>
  <si>
    <t>Rendimento lordo del nuovo Valore (dal foglio 1)</t>
  </si>
  <si>
    <t>Tasso reale del BTP Italia Sì</t>
  </si>
  <si>
    <t>Inflazione media annua di pareggio</t>
  </si>
  <si>
    <t>Sopra questa inflazione media rende di più l'indicizzato, sotto il tasso fisso. Calcolo lordo, semplificato.</t>
  </si>
  <si>
    <t>Rendimenti dei titoli quotati: calcolo mio sui prezzi MOT del 25/09/2026, regolamento 29/09/2026, netto prudente (12,5% anche sullo sconto sotto la pari). I prezzi cambiano ogni giorno.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</si>
</sst>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#,##0&quot; €&quot;"/>
    <numFmt numFmtId="166" formatCode="\+0.00;\-0.00;0.00"/>
    <numFmt numFmtId="167" formatCode="\+0.0;\-0.0;0.0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FAFAFA"/>
      </patternFill>
    </fill>
    <fill>
      <patternFill patternType="solid">
        <fgColor rgb="FFDBEAFE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0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right" vertical="center"/>
    </xf>
    <xf numFmtId="165" fontId="5" fillId="7" borderId="1" xfId="0" applyNumberFormat="1" applyFont="1" applyFill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right" vertical="center"/>
    </xf>
    <xf numFmtId="49" fontId="5" fillId="7" borderId="1" xfId="0" applyNumberFormat="1" applyFont="1" applyFill="1" applyBorder="1" applyAlignment="1">
      <alignment horizontal="right" vertical="center"/>
    </xf>
    <xf numFmtId="1" fontId="5" fillId="7" borderId="1" xfId="0" applyNumberFormat="1" applyFont="1" applyFill="1" applyBorder="1" applyAlignment="1">
      <alignment horizontal="right" vertical="center"/>
    </xf>
    <xf numFmtId="2" fontId="5" fillId="7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 wrapText="1"/>
    </xf>
    <xf numFmtId="166" fontId="5" fillId="4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7" fontId="5" fillId="7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7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sqref="A1:B1"/>
    </sheetView>
  </sheetViews>
  <sheetFormatPr defaultRowHeight="15"/>
  <cols>
    <col min="1" max="1" width="60" customWidth="1"/>
    <col min="2" max="2" width="30" customWidth="1"/>
  </cols>
  <sheetData>
    <row r="1" spans="1:2" ht="32.1" customHeight="1">
      <c r="A1" s="22" t="s">
        <v>0</v>
      </c>
      <c r="B1" s="21"/>
    </row>
    <row r="2" spans="1:2" ht="32.1" customHeight="1">
      <c r="A2" s="20" t="s">
        <v>1</v>
      </c>
      <c r="B2" s="21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1" spans="1:2" ht="18.75">
      <c r="A11" s="1" t="s">
        <v>13</v>
      </c>
    </row>
    <row r="12" spans="1:2">
      <c r="A12" s="3" t="s">
        <v>14</v>
      </c>
    </row>
    <row r="13" spans="1:2">
      <c r="A13" s="3" t="s">
        <v>15</v>
      </c>
    </row>
    <row r="14" spans="1:2">
      <c r="A14" s="3" t="s">
        <v>16</v>
      </c>
    </row>
    <row r="15" spans="1:2">
      <c r="A15" s="3" t="s">
        <v>17</v>
      </c>
    </row>
    <row r="17" spans="1:1" ht="18.75">
      <c r="A17" s="1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5" spans="1:1">
      <c r="A25" s="4" t="s">
        <v>25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/>
  </sheetViews>
  <sheetFormatPr defaultRowHeight="15"/>
  <cols>
    <col min="1" max="1" width="58" customWidth="1"/>
    <col min="2" max="5" width="16" customWidth="1"/>
  </cols>
  <sheetData>
    <row r="1" spans="1:5" ht="24.95" customHeight="1">
      <c r="A1" s="22" t="s">
        <v>26</v>
      </c>
      <c r="B1" s="21"/>
      <c r="C1" s="21"/>
      <c r="D1" s="21"/>
      <c r="E1" s="21"/>
    </row>
    <row r="2" spans="1:5" ht="32.1" customHeight="1">
      <c r="A2" s="20" t="s">
        <v>1</v>
      </c>
      <c r="B2" s="21"/>
      <c r="C2" s="21"/>
      <c r="D2" s="21"/>
      <c r="E2" s="21"/>
    </row>
    <row r="4" spans="1:5">
      <c r="A4" s="23" t="s">
        <v>27</v>
      </c>
      <c r="B4" s="21"/>
      <c r="C4" s="21"/>
      <c r="D4" s="21"/>
      <c r="E4" s="21"/>
    </row>
    <row r="5" spans="1:5" ht="90" customHeight="1">
      <c r="A5" s="5" t="s">
        <v>28</v>
      </c>
      <c r="B5" s="6">
        <v>3.6999999999999998E-2</v>
      </c>
      <c r="C5" s="24" t="s">
        <v>29</v>
      </c>
      <c r="D5" s="21"/>
      <c r="E5" s="21"/>
    </row>
    <row r="6" spans="1:5">
      <c r="A6" s="5" t="s">
        <v>30</v>
      </c>
      <c r="B6" s="6">
        <v>3.6999999999999998E-2</v>
      </c>
    </row>
    <row r="7" spans="1:5">
      <c r="A7" s="5" t="s">
        <v>31</v>
      </c>
      <c r="B7" s="6">
        <v>4.1000000000000002E-2</v>
      </c>
    </row>
    <row r="8" spans="1:5">
      <c r="A8" s="5" t="s">
        <v>32</v>
      </c>
      <c r="B8" s="6">
        <v>4.1000000000000002E-2</v>
      </c>
    </row>
    <row r="9" spans="1:5">
      <c r="A9" s="5" t="s">
        <v>33</v>
      </c>
      <c r="B9" s="6">
        <v>4.7E-2</v>
      </c>
    </row>
    <row r="10" spans="1:5" ht="90" customHeight="1">
      <c r="A10" s="5" t="s">
        <v>34</v>
      </c>
      <c r="B10" s="6">
        <v>0.2225</v>
      </c>
      <c r="C10" s="24" t="s">
        <v>35</v>
      </c>
      <c r="D10" s="21"/>
      <c r="E10" s="21"/>
    </row>
    <row r="11" spans="1:5" ht="105" customHeight="1">
      <c r="A11" s="5" t="s">
        <v>36</v>
      </c>
      <c r="B11" s="6">
        <v>4.0099999999999997E-2</v>
      </c>
      <c r="C11" s="24" t="s">
        <v>37</v>
      </c>
      <c r="D11" s="21"/>
      <c r="E11" s="21"/>
    </row>
    <row r="12" spans="1:5">
      <c r="A12" s="5" t="s">
        <v>38</v>
      </c>
      <c r="B12" s="7">
        <v>0.125</v>
      </c>
    </row>
    <row r="13" spans="1:5">
      <c r="A13" s="5" t="s">
        <v>39</v>
      </c>
      <c r="B13" s="8">
        <v>10000</v>
      </c>
    </row>
    <row r="15" spans="1:5">
      <c r="A15" s="23" t="s">
        <v>40</v>
      </c>
      <c r="B15" s="21"/>
      <c r="C15" s="21"/>
      <c r="D15" s="21"/>
      <c r="E15" s="21"/>
    </row>
    <row r="16" spans="1:5" ht="32.1" customHeight="1">
      <c r="A16" s="9" t="s">
        <v>41</v>
      </c>
      <c r="B16" s="9" t="s">
        <v>42</v>
      </c>
      <c r="C16" s="9" t="s">
        <v>43</v>
      </c>
    </row>
    <row r="17" spans="1:5">
      <c r="A17" s="5" t="s">
        <v>44</v>
      </c>
      <c r="B17" s="10">
        <f>(1+IRR(D40:D60))^4-1</f>
        <v>4.102488434039131E-2</v>
      </c>
      <c r="C17" s="10">
        <f>IF(ISBLANK(B10),B17,(1+B10)^(1/5)-1)</f>
        <v>4.0997708595530424E-2</v>
      </c>
    </row>
    <row r="18" spans="1:5">
      <c r="A18" s="5" t="s">
        <v>45</v>
      </c>
      <c r="B18" s="10">
        <f>(1+IRR(E40:E60))^4-1</f>
        <v>3.5850134757430929E-2</v>
      </c>
      <c r="C18" s="10">
        <f>(1+C19*(1-B12))^(1/5)-1</f>
        <v>3.6217360208301352E-2</v>
      </c>
    </row>
    <row r="19" spans="1:5">
      <c r="A19" s="5" t="s">
        <v>46</v>
      </c>
      <c r="B19" s="10">
        <f>SUM(B5:B9)</f>
        <v>0.20300000000000001</v>
      </c>
      <c r="C19" s="10">
        <f>IF(ISBLANK(B10),(1+B17)^5-1,B10)</f>
        <v>0.2225</v>
      </c>
    </row>
    <row r="20" spans="1:5">
      <c r="A20" s="5" t="s">
        <v>47</v>
      </c>
      <c r="B20" s="11">
        <f>B19*B13</f>
        <v>2030.0000000000002</v>
      </c>
      <c r="C20" s="11">
        <f>C19*B13</f>
        <v>2225</v>
      </c>
    </row>
    <row r="21" spans="1:5">
      <c r="A21" s="5" t="s">
        <v>48</v>
      </c>
      <c r="B21" s="11">
        <f>B20*(1-B12)</f>
        <v>1776.2500000000002</v>
      </c>
      <c r="C21" s="11">
        <f>C20*(1-B12)</f>
        <v>1946.875</v>
      </c>
    </row>
    <row r="22" spans="1:5">
      <c r="A22" s="5" t="s">
        <v>49</v>
      </c>
      <c r="B22" s="10">
        <f>AVERAGE(B5:B9)</f>
        <v>4.0600000000000004E-2</v>
      </c>
    </row>
    <row r="23" spans="1:5">
      <c r="A23" s="5" t="s">
        <v>50</v>
      </c>
      <c r="B23" s="12">
        <f>(B17-B11)*100</f>
        <v>9.2488434039131318E-2</v>
      </c>
      <c r="C23" s="12">
        <f>(C17-B11)*100</f>
        <v>8.9770859553042759E-2</v>
      </c>
    </row>
    <row r="24" spans="1:5">
      <c r="A24" s="5" t="s">
        <v>51</v>
      </c>
      <c r="B24" s="13" t="str">
        <f>IF(B23&lt;-0.05,"ROSSO",IF(B23&lt;=0.1,"GIALLO","VERDE"))</f>
        <v>GIALLO</v>
      </c>
      <c r="C24" s="13" t="str">
        <f>IF(C23&lt;-0.05,"ROSSO",IF(C23&lt;=0.1,"GIALLO","VERDE"))</f>
        <v>GIALLO</v>
      </c>
    </row>
    <row r="25" spans="1:5" ht="90" customHeight="1">
      <c r="A25" s="24" t="s">
        <v>52</v>
      </c>
      <c r="B25" s="21"/>
      <c r="C25" s="21"/>
      <c r="D25" s="21"/>
      <c r="E25" s="21"/>
    </row>
    <row r="26" spans="1:5" ht="30" customHeight="1">
      <c r="A26" s="24" t="s">
        <v>53</v>
      </c>
      <c r="B26" s="21"/>
      <c r="C26" s="21"/>
      <c r="D26" s="21"/>
      <c r="E26" s="21"/>
    </row>
    <row r="38" spans="1:5">
      <c r="A38" s="23" t="s">
        <v>54</v>
      </c>
      <c r="B38" s="21"/>
      <c r="C38" s="21"/>
      <c r="D38" s="21"/>
      <c r="E38" s="21"/>
    </row>
    <row r="39" spans="1:5" ht="32.1" customHeight="1">
      <c r="A39" s="9" t="s">
        <v>55</v>
      </c>
      <c r="B39" s="9" t="s">
        <v>56</v>
      </c>
      <c r="C39" s="9" t="s">
        <v>57</v>
      </c>
      <c r="D39" s="9" t="s">
        <v>58</v>
      </c>
      <c r="E39" s="9" t="s">
        <v>59</v>
      </c>
    </row>
    <row r="40" spans="1:5">
      <c r="A40" s="14">
        <v>0</v>
      </c>
      <c r="B40" s="14">
        <v>0</v>
      </c>
      <c r="C40" s="13"/>
      <c r="D40" s="15">
        <v>-100</v>
      </c>
      <c r="E40" s="15">
        <v>-100</v>
      </c>
    </row>
    <row r="41" spans="1:5">
      <c r="A41" s="14">
        <v>1</v>
      </c>
      <c r="B41" s="14">
        <f t="shared" ref="B41:B60" si="0">ROUNDUP(A41/4,0)</f>
        <v>1</v>
      </c>
      <c r="C41" s="10">
        <f t="shared" ref="C41:C60" si="1">INDEX($B$5:$B$9,B41)</f>
        <v>3.6999999999999998E-2</v>
      </c>
      <c r="D41" s="15">
        <f t="shared" ref="D41:D59" si="2">100*C41/4</f>
        <v>0.92499999999999993</v>
      </c>
      <c r="E41" s="15">
        <f t="shared" ref="E41:E59" si="3">100*C41/4*(1-$B$12)</f>
        <v>0.80937499999999996</v>
      </c>
    </row>
    <row r="42" spans="1:5">
      <c r="A42" s="14">
        <v>2</v>
      </c>
      <c r="B42" s="14">
        <f t="shared" si="0"/>
        <v>1</v>
      </c>
      <c r="C42" s="10">
        <f t="shared" si="1"/>
        <v>3.6999999999999998E-2</v>
      </c>
      <c r="D42" s="15">
        <f t="shared" si="2"/>
        <v>0.92499999999999993</v>
      </c>
      <c r="E42" s="15">
        <f t="shared" si="3"/>
        <v>0.80937499999999996</v>
      </c>
    </row>
    <row r="43" spans="1:5">
      <c r="A43" s="14">
        <v>3</v>
      </c>
      <c r="B43" s="14">
        <f t="shared" si="0"/>
        <v>1</v>
      </c>
      <c r="C43" s="10">
        <f t="shared" si="1"/>
        <v>3.6999999999999998E-2</v>
      </c>
      <c r="D43" s="15">
        <f t="shared" si="2"/>
        <v>0.92499999999999993</v>
      </c>
      <c r="E43" s="15">
        <f t="shared" si="3"/>
        <v>0.80937499999999996</v>
      </c>
    </row>
    <row r="44" spans="1:5">
      <c r="A44" s="14">
        <v>4</v>
      </c>
      <c r="B44" s="14">
        <f t="shared" si="0"/>
        <v>1</v>
      </c>
      <c r="C44" s="10">
        <f t="shared" si="1"/>
        <v>3.6999999999999998E-2</v>
      </c>
      <c r="D44" s="15">
        <f t="shared" si="2"/>
        <v>0.92499999999999993</v>
      </c>
      <c r="E44" s="15">
        <f t="shared" si="3"/>
        <v>0.80937499999999996</v>
      </c>
    </row>
    <row r="45" spans="1:5">
      <c r="A45" s="14">
        <v>5</v>
      </c>
      <c r="B45" s="14">
        <f t="shared" si="0"/>
        <v>2</v>
      </c>
      <c r="C45" s="10">
        <f t="shared" si="1"/>
        <v>3.6999999999999998E-2</v>
      </c>
      <c r="D45" s="15">
        <f t="shared" si="2"/>
        <v>0.92499999999999993</v>
      </c>
      <c r="E45" s="15">
        <f t="shared" si="3"/>
        <v>0.80937499999999996</v>
      </c>
    </row>
    <row r="46" spans="1:5">
      <c r="A46" s="14">
        <v>6</v>
      </c>
      <c r="B46" s="14">
        <f t="shared" si="0"/>
        <v>2</v>
      </c>
      <c r="C46" s="10">
        <f t="shared" si="1"/>
        <v>3.6999999999999998E-2</v>
      </c>
      <c r="D46" s="15">
        <f t="shared" si="2"/>
        <v>0.92499999999999993</v>
      </c>
      <c r="E46" s="15">
        <f t="shared" si="3"/>
        <v>0.80937499999999996</v>
      </c>
    </row>
    <row r="47" spans="1:5">
      <c r="A47" s="14">
        <v>7</v>
      </c>
      <c r="B47" s="14">
        <f t="shared" si="0"/>
        <v>2</v>
      </c>
      <c r="C47" s="10">
        <f t="shared" si="1"/>
        <v>3.6999999999999998E-2</v>
      </c>
      <c r="D47" s="15">
        <f t="shared" si="2"/>
        <v>0.92499999999999993</v>
      </c>
      <c r="E47" s="15">
        <f t="shared" si="3"/>
        <v>0.80937499999999996</v>
      </c>
    </row>
    <row r="48" spans="1:5">
      <c r="A48" s="14">
        <v>8</v>
      </c>
      <c r="B48" s="14">
        <f t="shared" si="0"/>
        <v>2</v>
      </c>
      <c r="C48" s="10">
        <f t="shared" si="1"/>
        <v>3.6999999999999998E-2</v>
      </c>
      <c r="D48" s="15">
        <f t="shared" si="2"/>
        <v>0.92499999999999993</v>
      </c>
      <c r="E48" s="15">
        <f t="shared" si="3"/>
        <v>0.80937499999999996</v>
      </c>
    </row>
    <row r="49" spans="1:5">
      <c r="A49" s="14">
        <v>9</v>
      </c>
      <c r="B49" s="14">
        <f t="shared" si="0"/>
        <v>3</v>
      </c>
      <c r="C49" s="10">
        <f t="shared" si="1"/>
        <v>4.1000000000000002E-2</v>
      </c>
      <c r="D49" s="15">
        <f t="shared" si="2"/>
        <v>1.0250000000000001</v>
      </c>
      <c r="E49" s="15">
        <f t="shared" si="3"/>
        <v>0.89687500000000009</v>
      </c>
    </row>
    <row r="50" spans="1:5">
      <c r="A50" s="14">
        <v>10</v>
      </c>
      <c r="B50" s="14">
        <f t="shared" si="0"/>
        <v>3</v>
      </c>
      <c r="C50" s="10">
        <f t="shared" si="1"/>
        <v>4.1000000000000002E-2</v>
      </c>
      <c r="D50" s="15">
        <f t="shared" si="2"/>
        <v>1.0250000000000001</v>
      </c>
      <c r="E50" s="15">
        <f t="shared" si="3"/>
        <v>0.89687500000000009</v>
      </c>
    </row>
    <row r="51" spans="1:5">
      <c r="A51" s="14">
        <v>11</v>
      </c>
      <c r="B51" s="14">
        <f t="shared" si="0"/>
        <v>3</v>
      </c>
      <c r="C51" s="10">
        <f t="shared" si="1"/>
        <v>4.1000000000000002E-2</v>
      </c>
      <c r="D51" s="15">
        <f t="shared" si="2"/>
        <v>1.0250000000000001</v>
      </c>
      <c r="E51" s="15">
        <f t="shared" si="3"/>
        <v>0.89687500000000009</v>
      </c>
    </row>
    <row r="52" spans="1:5">
      <c r="A52" s="14">
        <v>12</v>
      </c>
      <c r="B52" s="14">
        <f t="shared" si="0"/>
        <v>3</v>
      </c>
      <c r="C52" s="10">
        <f t="shared" si="1"/>
        <v>4.1000000000000002E-2</v>
      </c>
      <c r="D52" s="15">
        <f t="shared" si="2"/>
        <v>1.0250000000000001</v>
      </c>
      <c r="E52" s="15">
        <f t="shared" si="3"/>
        <v>0.89687500000000009</v>
      </c>
    </row>
    <row r="53" spans="1:5">
      <c r="A53" s="14">
        <v>13</v>
      </c>
      <c r="B53" s="14">
        <f t="shared" si="0"/>
        <v>4</v>
      </c>
      <c r="C53" s="10">
        <f t="shared" si="1"/>
        <v>4.1000000000000002E-2</v>
      </c>
      <c r="D53" s="15">
        <f t="shared" si="2"/>
        <v>1.0250000000000001</v>
      </c>
      <c r="E53" s="15">
        <f t="shared" si="3"/>
        <v>0.89687500000000009</v>
      </c>
    </row>
    <row r="54" spans="1:5">
      <c r="A54" s="14">
        <v>14</v>
      </c>
      <c r="B54" s="14">
        <f t="shared" si="0"/>
        <v>4</v>
      </c>
      <c r="C54" s="10">
        <f t="shared" si="1"/>
        <v>4.1000000000000002E-2</v>
      </c>
      <c r="D54" s="15">
        <f t="shared" si="2"/>
        <v>1.0250000000000001</v>
      </c>
      <c r="E54" s="15">
        <f t="shared" si="3"/>
        <v>0.89687500000000009</v>
      </c>
    </row>
    <row r="55" spans="1:5">
      <c r="A55" s="14">
        <v>15</v>
      </c>
      <c r="B55" s="14">
        <f t="shared" si="0"/>
        <v>4</v>
      </c>
      <c r="C55" s="10">
        <f t="shared" si="1"/>
        <v>4.1000000000000002E-2</v>
      </c>
      <c r="D55" s="15">
        <f t="shared" si="2"/>
        <v>1.0250000000000001</v>
      </c>
      <c r="E55" s="15">
        <f t="shared" si="3"/>
        <v>0.89687500000000009</v>
      </c>
    </row>
    <row r="56" spans="1:5">
      <c r="A56" s="14">
        <v>16</v>
      </c>
      <c r="B56" s="14">
        <f t="shared" si="0"/>
        <v>4</v>
      </c>
      <c r="C56" s="10">
        <f t="shared" si="1"/>
        <v>4.1000000000000002E-2</v>
      </c>
      <c r="D56" s="15">
        <f t="shared" si="2"/>
        <v>1.0250000000000001</v>
      </c>
      <c r="E56" s="15">
        <f t="shared" si="3"/>
        <v>0.89687500000000009</v>
      </c>
    </row>
    <row r="57" spans="1:5">
      <c r="A57" s="14">
        <v>17</v>
      </c>
      <c r="B57" s="14">
        <f t="shared" si="0"/>
        <v>5</v>
      </c>
      <c r="C57" s="10">
        <f t="shared" si="1"/>
        <v>4.7E-2</v>
      </c>
      <c r="D57" s="15">
        <f t="shared" si="2"/>
        <v>1.175</v>
      </c>
      <c r="E57" s="15">
        <f t="shared" si="3"/>
        <v>1.028125</v>
      </c>
    </row>
    <row r="58" spans="1:5">
      <c r="A58" s="14">
        <v>18</v>
      </c>
      <c r="B58" s="14">
        <f t="shared" si="0"/>
        <v>5</v>
      </c>
      <c r="C58" s="10">
        <f t="shared" si="1"/>
        <v>4.7E-2</v>
      </c>
      <c r="D58" s="15">
        <f t="shared" si="2"/>
        <v>1.175</v>
      </c>
      <c r="E58" s="15">
        <f t="shared" si="3"/>
        <v>1.028125</v>
      </c>
    </row>
    <row r="59" spans="1:5">
      <c r="A59" s="14">
        <v>19</v>
      </c>
      <c r="B59" s="14">
        <f t="shared" si="0"/>
        <v>5</v>
      </c>
      <c r="C59" s="10">
        <f t="shared" si="1"/>
        <v>4.7E-2</v>
      </c>
      <c r="D59" s="15">
        <f t="shared" si="2"/>
        <v>1.175</v>
      </c>
      <c r="E59" s="15">
        <f t="shared" si="3"/>
        <v>1.028125</v>
      </c>
    </row>
    <row r="60" spans="1:5">
      <c r="A60" s="14">
        <v>20</v>
      </c>
      <c r="B60" s="14">
        <f t="shared" si="0"/>
        <v>5</v>
      </c>
      <c r="C60" s="10">
        <f t="shared" si="1"/>
        <v>4.7E-2</v>
      </c>
      <c r="D60" s="15">
        <f>100*C60/4 + 100</f>
        <v>101.175</v>
      </c>
      <c r="E60" s="15">
        <f>100*C60/4*(1-$B$12) + 100</f>
        <v>101.028125</v>
      </c>
    </row>
  </sheetData>
  <mergeCells count="10">
    <mergeCell ref="A38:E38"/>
    <mergeCell ref="A15:E15"/>
    <mergeCell ref="A25:E25"/>
    <mergeCell ref="A1:E1"/>
    <mergeCell ref="C10:E10"/>
    <mergeCell ref="A4:E4"/>
    <mergeCell ref="C11:E11"/>
    <mergeCell ref="A26:E26"/>
    <mergeCell ref="C5:E5"/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/>
  </sheetViews>
  <sheetFormatPr defaultRowHeight="15"/>
  <cols>
    <col min="1" max="1" width="62.42578125" customWidth="1"/>
    <col min="2" max="2" width="31" customWidth="1"/>
    <col min="3" max="3" width="18.85546875" customWidth="1"/>
    <col min="4" max="4" width="16" customWidth="1"/>
    <col min="5" max="5" width="12.140625" customWidth="1"/>
    <col min="6" max="6" width="37" customWidth="1"/>
  </cols>
  <sheetData>
    <row r="1" spans="1:6" ht="24.95" customHeight="1">
      <c r="A1" s="22" t="s">
        <v>60</v>
      </c>
      <c r="B1" s="21"/>
      <c r="C1" s="21"/>
      <c r="D1" s="21"/>
      <c r="E1" s="21"/>
      <c r="F1" s="21"/>
    </row>
    <row r="2" spans="1:6" ht="32.1" customHeight="1">
      <c r="A2" s="20" t="s">
        <v>1</v>
      </c>
      <c r="B2" s="21"/>
      <c r="C2" s="21"/>
      <c r="D2" s="21"/>
      <c r="E2" s="21"/>
      <c r="F2" s="21"/>
    </row>
    <row r="4" spans="1:6">
      <c r="A4" s="23" t="s">
        <v>61</v>
      </c>
      <c r="B4" s="21"/>
      <c r="C4" s="21"/>
      <c r="D4" s="21"/>
      <c r="E4" s="21"/>
      <c r="F4" s="21"/>
    </row>
    <row r="5" spans="1:6" ht="32.1" customHeight="1">
      <c r="A5" s="9" t="s">
        <v>62</v>
      </c>
      <c r="B5" s="9" t="s">
        <v>63</v>
      </c>
      <c r="C5" s="9" t="s">
        <v>64</v>
      </c>
      <c r="D5" s="9" t="s">
        <v>65</v>
      </c>
      <c r="E5" s="9" t="s">
        <v>66</v>
      </c>
      <c r="F5" s="9" t="s">
        <v>67</v>
      </c>
    </row>
    <row r="6" spans="1:6">
      <c r="A6" s="16" t="s">
        <v>68</v>
      </c>
      <c r="B6" s="6">
        <v>4.41E-2</v>
      </c>
      <c r="C6" s="6">
        <v>4.3799999999999999E-2</v>
      </c>
      <c r="D6" s="12">
        <f t="shared" ref="D6:D11" si="0">(B6-C6)*100</f>
        <v>3.0000000000000165E-2</v>
      </c>
      <c r="E6" s="16" t="s">
        <v>69</v>
      </c>
      <c r="F6" s="16" t="s">
        <v>70</v>
      </c>
    </row>
    <row r="7" spans="1:6">
      <c r="A7" s="16" t="s">
        <v>71</v>
      </c>
      <c r="B7" s="6">
        <v>3.7600000000000001E-2</v>
      </c>
      <c r="C7" s="6">
        <v>3.4799999999999998E-2</v>
      </c>
      <c r="D7" s="12">
        <f t="shared" si="0"/>
        <v>0.28000000000000036</v>
      </c>
      <c r="E7" s="16" t="s">
        <v>72</v>
      </c>
      <c r="F7" s="16"/>
    </row>
    <row r="8" spans="1:6">
      <c r="A8" s="16" t="s">
        <v>73</v>
      </c>
      <c r="B8" s="6">
        <v>3.78E-2</v>
      </c>
      <c r="C8" s="6">
        <v>3.49E-2</v>
      </c>
      <c r="D8" s="12">
        <f t="shared" si="0"/>
        <v>0.28999999999999998</v>
      </c>
      <c r="E8" s="16" t="s">
        <v>74</v>
      </c>
      <c r="F8" s="16"/>
    </row>
    <row r="9" spans="1:6">
      <c r="A9" s="16" t="s">
        <v>75</v>
      </c>
      <c r="B9" s="6">
        <v>3.2099999999999997E-2</v>
      </c>
      <c r="C9" s="6">
        <v>3.2599999999999997E-2</v>
      </c>
      <c r="D9" s="12">
        <f t="shared" si="0"/>
        <v>-5.0000000000000044E-2</v>
      </c>
      <c r="E9" s="16" t="s">
        <v>76</v>
      </c>
      <c r="F9" s="16" t="s">
        <v>77</v>
      </c>
    </row>
    <row r="10" spans="1:6">
      <c r="A10" s="16" t="s">
        <v>78</v>
      </c>
      <c r="B10" s="6">
        <v>3.2500000000000001E-2</v>
      </c>
      <c r="C10" s="6">
        <v>3.0700000000000002E-2</v>
      </c>
      <c r="D10" s="12">
        <f t="shared" si="0"/>
        <v>0.17999999999999994</v>
      </c>
      <c r="E10" s="16" t="s">
        <v>74</v>
      </c>
      <c r="F10" s="16"/>
    </row>
    <row r="11" spans="1:6">
      <c r="A11" s="16" t="s">
        <v>79</v>
      </c>
      <c r="B11" s="6">
        <v>3.0700000000000002E-2</v>
      </c>
      <c r="C11" s="6">
        <v>2.7699999999999999E-2</v>
      </c>
      <c r="D11" s="12">
        <f t="shared" si="0"/>
        <v>0.30000000000000027</v>
      </c>
      <c r="E11" s="16" t="s">
        <v>74</v>
      </c>
      <c r="F11" s="16" t="s">
        <v>80</v>
      </c>
    </row>
    <row r="12" spans="1:6">
      <c r="A12" s="5" t="s">
        <v>81</v>
      </c>
      <c r="D12" s="12">
        <f>AVERAGE(D6:D11)</f>
        <v>0.17166666666666677</v>
      </c>
    </row>
    <row r="13" spans="1:6">
      <c r="A13" s="5" t="s">
        <v>82</v>
      </c>
      <c r="D13" s="17">
        <v>0.08</v>
      </c>
    </row>
    <row r="14" spans="1:6" ht="60" customHeight="1">
      <c r="A14" s="24" t="s">
        <v>83</v>
      </c>
      <c r="B14" s="21"/>
      <c r="C14" s="21"/>
      <c r="D14" s="21"/>
      <c r="E14" s="21"/>
      <c r="F14" s="21"/>
    </row>
    <row r="16" spans="1:6">
      <c r="A16" s="23" t="s">
        <v>84</v>
      </c>
      <c r="B16" s="21"/>
      <c r="C16" s="21"/>
      <c r="D16" s="21"/>
      <c r="E16" s="21"/>
      <c r="F16" s="21"/>
    </row>
    <row r="17" spans="1:6">
      <c r="A17" s="5" t="s">
        <v>85</v>
      </c>
      <c r="B17" s="6">
        <v>0.04</v>
      </c>
    </row>
    <row r="18" spans="1:6">
      <c r="A18" s="5" t="s">
        <v>86</v>
      </c>
      <c r="B18" s="10">
        <f>B17</f>
        <v>0.04</v>
      </c>
    </row>
    <row r="19" spans="1:6">
      <c r="A19" s="5" t="s">
        <v>87</v>
      </c>
      <c r="B19" s="10">
        <f>B17+D13/100</f>
        <v>4.0800000000000003E-2</v>
      </c>
    </row>
    <row r="20" spans="1:6">
      <c r="A20" s="5" t="s">
        <v>88</v>
      </c>
      <c r="B20" s="10">
        <f>B17+D12/100</f>
        <v>4.1716666666666666E-2</v>
      </c>
    </row>
    <row r="21" spans="1:6">
      <c r="A21" s="5" t="s">
        <v>89</v>
      </c>
      <c r="B21" s="16" t="s">
        <v>90</v>
      </c>
    </row>
    <row r="22" spans="1:6">
      <c r="A22" s="5" t="s">
        <v>91</v>
      </c>
      <c r="B22" s="18">
        <f>(1+0.0405)^5-1</f>
        <v>0.2195803623123247</v>
      </c>
    </row>
    <row r="24" spans="1:6">
      <c r="A24" s="23" t="s">
        <v>92</v>
      </c>
      <c r="B24" s="21"/>
      <c r="C24" s="21"/>
      <c r="D24" s="21"/>
      <c r="E24" s="21"/>
      <c r="F24" s="21"/>
    </row>
    <row r="25" spans="1:6" ht="32.1" customHeight="1">
      <c r="A25" s="9" t="s">
        <v>93</v>
      </c>
      <c r="B25" s="9" t="s">
        <v>94</v>
      </c>
      <c r="C25" s="9" t="s">
        <v>95</v>
      </c>
      <c r="D25" s="9" t="s">
        <v>96</v>
      </c>
    </row>
    <row r="26" spans="1:6">
      <c r="A26" s="16" t="s">
        <v>97</v>
      </c>
      <c r="B26" s="10">
        <f>$B$17+(-0.003)</f>
        <v>3.6999999999999998E-2</v>
      </c>
      <c r="C26" s="10">
        <f>B26-0.001</f>
        <v>3.5999999999999997E-2</v>
      </c>
      <c r="D26" s="10">
        <f>B26+0.002</f>
        <v>3.9E-2</v>
      </c>
    </row>
    <row r="27" spans="1:6">
      <c r="A27" s="16" t="s">
        <v>98</v>
      </c>
      <c r="B27" s="10">
        <f>$B$17+(0)</f>
        <v>0.04</v>
      </c>
      <c r="C27" s="10">
        <f>B27-0.001</f>
        <v>3.9E-2</v>
      </c>
      <c r="D27" s="10">
        <f>B27+0.002</f>
        <v>4.2000000000000003E-2</v>
      </c>
    </row>
    <row r="28" spans="1:6">
      <c r="A28" s="16" t="s">
        <v>99</v>
      </c>
      <c r="B28" s="10">
        <f>$B$17+(0.003)</f>
        <v>4.3000000000000003E-2</v>
      </c>
      <c r="C28" s="10">
        <f>B28-0.001</f>
        <v>4.2000000000000003E-2</v>
      </c>
      <c r="D28" s="10">
        <f>B28+0.002</f>
        <v>4.5000000000000005E-2</v>
      </c>
    </row>
  </sheetData>
  <mergeCells count="6">
    <mergeCell ref="A24:F24"/>
    <mergeCell ref="A2:F2"/>
    <mergeCell ref="A16:F16"/>
    <mergeCell ref="A14:F14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59.140625" customWidth="1"/>
    <col min="2" max="5" width="16" customWidth="1"/>
    <col min="6" max="7" width="19.85546875" customWidth="1"/>
  </cols>
  <sheetData>
    <row r="1" spans="1:7" ht="24.95" customHeight="1">
      <c r="A1" s="22" t="s">
        <v>100</v>
      </c>
      <c r="B1" s="21"/>
      <c r="C1" s="21"/>
      <c r="D1" s="21"/>
      <c r="E1" s="21"/>
      <c r="F1" s="21"/>
      <c r="G1" s="21"/>
    </row>
    <row r="2" spans="1:7" ht="32.1" customHeight="1">
      <c r="A2" s="20" t="s">
        <v>1</v>
      </c>
      <c r="B2" s="21"/>
      <c r="C2" s="21"/>
      <c r="D2" s="21"/>
      <c r="E2" s="21"/>
      <c r="F2" s="21"/>
      <c r="G2" s="21"/>
    </row>
    <row r="4" spans="1:7">
      <c r="A4" s="5" t="s">
        <v>101</v>
      </c>
      <c r="B4" s="11">
        <f>'1 - Il 16 ottobre'!B13</f>
        <v>10000</v>
      </c>
    </row>
    <row r="5" spans="1:7">
      <c r="A5" s="5" t="s">
        <v>102</v>
      </c>
      <c r="B5" s="10">
        <f>'1 - Il 16 ottobre'!B17</f>
        <v>4.102488434039131E-2</v>
      </c>
    </row>
    <row r="6" spans="1:7">
      <c r="A6" s="5" t="s">
        <v>103</v>
      </c>
      <c r="B6" s="6">
        <v>2E-3</v>
      </c>
    </row>
    <row r="7" spans="1:7" ht="30" customHeight="1">
      <c r="A7" s="5" t="s">
        <v>104</v>
      </c>
      <c r="B7" s="6">
        <v>3.5799999999999998E-2</v>
      </c>
      <c r="C7" s="24" t="s">
        <v>105</v>
      </c>
      <c r="D7" s="21"/>
      <c r="E7" s="21"/>
      <c r="F7" s="21"/>
      <c r="G7" s="21"/>
    </row>
    <row r="9" spans="1:7" ht="32.1" customHeight="1">
      <c r="A9" s="9" t="s">
        <v>56</v>
      </c>
      <c r="B9" s="9" t="s">
        <v>106</v>
      </c>
      <c r="C9" s="9" t="s">
        <v>107</v>
      </c>
      <c r="D9" s="9" t="s">
        <v>108</v>
      </c>
      <c r="E9" s="9" t="s">
        <v>109</v>
      </c>
      <c r="F9" s="9" t="s">
        <v>110</v>
      </c>
      <c r="G9" s="9" t="s">
        <v>111</v>
      </c>
    </row>
    <row r="10" spans="1:7">
      <c r="A10" s="14">
        <v>1</v>
      </c>
      <c r="B10" s="11">
        <f>$B$4*INDEX('1 - Il 16 ottobre'!$B$5:$B$9,A10)</f>
        <v>370</v>
      </c>
      <c r="C10" s="11">
        <f>B10*(1-'1 - Il 16 ottobre'!$B$12)</f>
        <v>323.75</v>
      </c>
      <c r="D10" s="11">
        <f>$B$4*$B$6</f>
        <v>20</v>
      </c>
      <c r="E10" s="11">
        <f>0</f>
        <v>0</v>
      </c>
      <c r="F10" s="11">
        <f>$B$4*(1+'1 - Il 16 ottobre'!$C$17)^A10</f>
        <v>10409.977085955305</v>
      </c>
      <c r="G10" s="11">
        <f>F10*$B$6</f>
        <v>20.819954171910609</v>
      </c>
    </row>
    <row r="11" spans="1:7">
      <c r="A11" s="14">
        <v>2</v>
      </c>
      <c r="B11" s="11">
        <f>$B$4*INDEX('1 - Il 16 ottobre'!$B$5:$B$9,A11)</f>
        <v>370</v>
      </c>
      <c r="C11" s="11">
        <f>B11*(1-'1 - Il 16 ottobre'!$B$12)</f>
        <v>323.75</v>
      </c>
      <c r="D11" s="11">
        <f>$B$4*$B$6</f>
        <v>20</v>
      </c>
      <c r="E11" s="11">
        <f>0</f>
        <v>0</v>
      </c>
      <c r="F11" s="11">
        <f>$B$4*(1+'1 - Il 16 ottobre'!$C$17)^A11</f>
        <v>10836.762293011448</v>
      </c>
      <c r="G11" s="11">
        <f>F11*$B$6</f>
        <v>21.673524586022896</v>
      </c>
    </row>
    <row r="12" spans="1:7">
      <c r="A12" s="14">
        <v>3</v>
      </c>
      <c r="B12" s="11">
        <f>$B$4*INDEX('1 - Il 16 ottobre'!$B$5:$B$9,A12)</f>
        <v>410</v>
      </c>
      <c r="C12" s="11">
        <f>B12*(1-'1 - Il 16 ottobre'!$B$12)</f>
        <v>358.75</v>
      </c>
      <c r="D12" s="11">
        <f>$B$4*$B$6</f>
        <v>20</v>
      </c>
      <c r="E12" s="11">
        <f>0</f>
        <v>0</v>
      </c>
      <c r="F12" s="11">
        <f>$B$4*(1+'1 - Il 16 ottobre'!$C$17)^A12</f>
        <v>11281.044715619364</v>
      </c>
      <c r="G12" s="11">
        <f>F12*$B$6</f>
        <v>22.562089431238729</v>
      </c>
    </row>
    <row r="13" spans="1:7">
      <c r="A13" s="14">
        <v>4</v>
      </c>
      <c r="B13" s="11">
        <f>$B$4*INDEX('1 - Il 16 ottobre'!$B$5:$B$9,A13)</f>
        <v>410</v>
      </c>
      <c r="C13" s="11">
        <f>B13*(1-'1 - Il 16 ottobre'!$B$12)</f>
        <v>358.75</v>
      </c>
      <c r="D13" s="11">
        <f>$B$4*$B$6</f>
        <v>20</v>
      </c>
      <c r="E13" s="11">
        <f>0</f>
        <v>0</v>
      </c>
      <c r="F13" s="11">
        <f>$B$4*(1+'1 - Il 16 ottobre'!$C$17)^A13</f>
        <v>11743.541699523474</v>
      </c>
      <c r="G13" s="11">
        <f>F13*$B$6</f>
        <v>23.487083399046949</v>
      </c>
    </row>
    <row r="14" spans="1:7">
      <c r="A14" s="14">
        <v>5</v>
      </c>
      <c r="B14" s="11">
        <f>$B$4*INDEX('1 - Il 16 ottobre'!$B$5:$B$9,A14)</f>
        <v>470</v>
      </c>
      <c r="C14" s="11">
        <f>B14*(1-'1 - Il 16 ottobre'!$B$12)</f>
        <v>411.25</v>
      </c>
      <c r="D14" s="11">
        <f>$B$4*$B$6</f>
        <v>20</v>
      </c>
      <c r="E14" s="11">
        <f>$B$4*'1 - Il 16 ottobre'!$C$19</f>
        <v>2225</v>
      </c>
      <c r="F14" s="11">
        <f>$B$4*(1+'1 - Il 16 ottobre'!$C$17)^A14</f>
        <v>12224.999999999996</v>
      </c>
      <c r="G14" s="11">
        <f>F14*$B$6</f>
        <v>24.449999999999992</v>
      </c>
    </row>
    <row r="15" spans="1:7">
      <c r="A15" s="5" t="s">
        <v>112</v>
      </c>
      <c r="B15" s="11">
        <f>SUM(B10:B14)</f>
        <v>2030</v>
      </c>
      <c r="C15" s="11">
        <f>SUM(C10:C14)</f>
        <v>1776.25</v>
      </c>
      <c r="D15" s="11">
        <f>SUM(D10:D14)</f>
        <v>100</v>
      </c>
      <c r="E15" s="11">
        <f>SUM(E10:E14)</f>
        <v>2225</v>
      </c>
      <c r="G15" s="11">
        <f>SUM(G10:G14)</f>
        <v>112.99265158821918</v>
      </c>
    </row>
    <row r="16" spans="1:7" ht="45" customHeight="1">
      <c r="A16" s="24" t="s">
        <v>113</v>
      </c>
      <c r="B16" s="21"/>
      <c r="C16" s="21"/>
      <c r="D16" s="21"/>
      <c r="E16" s="21"/>
      <c r="F16" s="21"/>
      <c r="G16" s="21"/>
    </row>
    <row r="18" spans="1:7">
      <c r="A18" s="23" t="s">
        <v>114</v>
      </c>
      <c r="B18" s="21"/>
      <c r="C18" s="21"/>
      <c r="D18" s="21"/>
      <c r="E18" s="21"/>
      <c r="F18" s="21"/>
      <c r="G18" s="21"/>
    </row>
    <row r="19" spans="1:7">
      <c r="A19" s="5" t="s">
        <v>115</v>
      </c>
      <c r="B19" s="11">
        <f>B4+B4/100*SUMPRODUCT('1 - Il 16 ottobre'!E41:E60-('1 - Il 16 ottobre'!A41:A60=20)*100,(1+B7)^((20-'1 - Il 16 ottobre'!A41:A60)/4))</f>
        <v>11925.503463267942</v>
      </c>
    </row>
    <row r="20" spans="1:7">
      <c r="A20" s="5" t="s">
        <v>116</v>
      </c>
      <c r="B20" s="11">
        <f>B4+B4*'1 - Il 16 ottobre'!C19*(1-'1 - Il 16 ottobre'!B12)</f>
        <v>11946.875</v>
      </c>
    </row>
    <row r="21" spans="1:7">
      <c r="A21" s="5" t="s">
        <v>117</v>
      </c>
      <c r="B21" s="11">
        <f>B19-B20</f>
        <v>-21.371536732058303</v>
      </c>
    </row>
    <row r="22" spans="1:7" ht="30" customHeight="1">
      <c r="A22" s="24" t="s">
        <v>118</v>
      </c>
      <c r="B22" s="21"/>
      <c r="C22" s="21"/>
      <c r="D22" s="21"/>
      <c r="E22" s="21"/>
      <c r="F22" s="21"/>
      <c r="G22" s="21"/>
    </row>
  </sheetData>
  <mergeCells count="6">
    <mergeCell ref="C7:G7"/>
    <mergeCell ref="A1:G1"/>
    <mergeCell ref="A18:G18"/>
    <mergeCell ref="A22:G22"/>
    <mergeCell ref="A2:G2"/>
    <mergeCell ref="A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cols>
    <col min="1" max="1" width="43.42578125" customWidth="1"/>
    <col min="2" max="2" width="19.85546875" customWidth="1"/>
    <col min="3" max="3" width="31.140625" customWidth="1"/>
    <col min="4" max="4" width="32.28515625" customWidth="1"/>
    <col min="5" max="5" width="16" customWidth="1"/>
  </cols>
  <sheetData>
    <row r="1" spans="1:7" ht="24.95" customHeight="1">
      <c r="A1" s="22" t="s">
        <v>119</v>
      </c>
      <c r="B1" s="21"/>
      <c r="C1" s="21"/>
      <c r="D1" s="21"/>
      <c r="E1" s="21"/>
      <c r="F1" s="21"/>
      <c r="G1" s="21"/>
    </row>
    <row r="2" spans="1:7" ht="32.1" customHeight="1">
      <c r="A2" s="20" t="s">
        <v>1</v>
      </c>
      <c r="B2" s="21"/>
      <c r="C2" s="21"/>
      <c r="D2" s="21"/>
      <c r="E2" s="21"/>
      <c r="F2" s="21"/>
      <c r="G2" s="21"/>
    </row>
    <row r="4" spans="1:7">
      <c r="A4" s="5" t="s">
        <v>120</v>
      </c>
      <c r="B4" s="10">
        <f>'1 - Il 16 ottobre'!B17</f>
        <v>4.102488434039131E-2</v>
      </c>
    </row>
    <row r="6" spans="1:7" ht="32.1" customHeight="1">
      <c r="A6" s="9" t="s">
        <v>121</v>
      </c>
      <c r="B6" s="9" t="s">
        <v>122</v>
      </c>
      <c r="C6" s="9" t="s">
        <v>123</v>
      </c>
      <c r="D6" s="9" t="s">
        <v>124</v>
      </c>
      <c r="E6" s="9" t="s">
        <v>125</v>
      </c>
    </row>
    <row r="7" spans="1:7">
      <c r="A7" s="14">
        <v>0</v>
      </c>
      <c r="B7" s="19">
        <v>-1</v>
      </c>
      <c r="C7" s="15">
        <f>SUMPRODUCT(('1 - Il 16 ottobre'!$A$41:$A$60&gt;4*A7)*'1 - Il 16 ottobre'!$D$41:$D$60/(1+($B$4+B7/100))^(('1 - Il 16 ottobre'!$A$41:$A$60-4*A7)/4))</f>
        <v>104.51926846460589</v>
      </c>
      <c r="D7" s="15">
        <f>100*(1+'1 - Il 16 ottobre'!$C$19)/(1+($B$4+B7/100))^(5-A7)</f>
        <v>104.93083554666183</v>
      </c>
      <c r="E7" s="12">
        <f t="shared" ref="E7:E31" si="0">D7-C7</f>
        <v>0.41156708205593873</v>
      </c>
    </row>
    <row r="8" spans="1:7">
      <c r="A8" s="14">
        <v>0</v>
      </c>
      <c r="B8" s="19">
        <v>-0.5</v>
      </c>
      <c r="C8" s="15">
        <f>SUMPRODUCT(('1 - Il 16 ottobre'!$A$41:$A$60&gt;4*A8)*'1 - Il 16 ottobre'!$D$41:$D$60/(1+($B$4+B8/100))^(('1 - Il 16 ottobre'!$A$41:$A$60-4*A8)/4))</f>
        <v>102.22780306669014</v>
      </c>
      <c r="D8" s="15">
        <f>100*(1+'1 - Il 16 ottobre'!$C$19)/(1+($B$4+B8/100))^(5-A8)</f>
        <v>102.42310402939864</v>
      </c>
      <c r="E8" s="12">
        <f t="shared" si="0"/>
        <v>0.19530096270850095</v>
      </c>
    </row>
    <row r="9" spans="1:7">
      <c r="A9" s="14">
        <v>0</v>
      </c>
      <c r="B9" s="19">
        <v>0</v>
      </c>
      <c r="C9" s="15">
        <f>SUMPRODUCT(('1 - Il 16 ottobre'!$A$41:$A$60&gt;4*A9)*'1 - Il 16 ottobre'!$D$41:$D$60/(1+($B$4+B9/100))^(('1 - Il 16 ottobre'!$A$41:$A$60-4*A9)/4))</f>
        <v>99.999999999998508</v>
      </c>
      <c r="D9" s="15">
        <f>100*(1+'1 - Il 16 ottobre'!$C$19)/(1+($B$4+B9/100))^(5-A9)</f>
        <v>99.986948282182297</v>
      </c>
      <c r="E9" s="12">
        <f t="shared" si="0"/>
        <v>-1.3051717816210839E-2</v>
      </c>
    </row>
    <row r="10" spans="1:7">
      <c r="A10" s="14">
        <v>0</v>
      </c>
      <c r="B10" s="19">
        <v>0.5</v>
      </c>
      <c r="C10" s="15">
        <f>SUMPRODUCT(('1 - Il 16 ottobre'!$A$41:$A$60&gt;4*A10)*'1 - Il 16 ottobre'!$D$41:$D$60/(1+($B$4+B10/100))^(('1 - Il 16 ottobre'!$A$41:$A$60-4*A10)/4))</f>
        <v>97.833778540476914</v>
      </c>
      <c r="D10" s="15">
        <f>100*(1+'1 - Il 16 ottobre'!$C$19)/(1+($B$4+B10/100))^(5-A10)</f>
        <v>97.619996202127368</v>
      </c>
      <c r="E10" s="12">
        <f t="shared" si="0"/>
        <v>-0.21378233834954585</v>
      </c>
    </row>
    <row r="11" spans="1:7">
      <c r="A11" s="14">
        <v>0</v>
      </c>
      <c r="B11" s="19">
        <v>1</v>
      </c>
      <c r="C11" s="15">
        <f>SUMPRODUCT(('1 - Il 16 ottobre'!$A$41:$A$60&gt;4*A11)*'1 - Il 16 ottobre'!$D$41:$D$60/(1+($B$4+B11/100))^(('1 - Il 16 ottobre'!$A$41:$A$60-4*A11)/4))</f>
        <v>95.727135730318295</v>
      </c>
      <c r="D11" s="15">
        <f>100*(1+'1 - Il 16 ottobre'!$C$19)/(1+($B$4+B11/100))^(5-A11)</f>
        <v>95.319965107128539</v>
      </c>
      <c r="E11" s="12">
        <f t="shared" si="0"/>
        <v>-0.4071706231897565</v>
      </c>
    </row>
    <row r="12" spans="1:7">
      <c r="A12" s="14">
        <v>1</v>
      </c>
      <c r="B12" s="19">
        <v>-1</v>
      </c>
      <c r="C12" s="15">
        <f>SUMPRODUCT(('1 - Il 16 ottobre'!$A$41:$A$60&gt;4*A12)*'1 - Il 16 ottobre'!$D$41:$D$60/(1+($B$4+B12/100))^(('1 - Il 16 ottobre'!$A$41:$A$60-4*A12)/4))</f>
        <v>104.01919365486289</v>
      </c>
      <c r="D12" s="15">
        <f>100*(1+'1 - Il 16 ottobre'!$C$19)/(1+($B$4+B12/100))^(5-A12)</f>
        <v>108.18630258323762</v>
      </c>
      <c r="E12" s="12">
        <f t="shared" si="0"/>
        <v>4.1671089283747307</v>
      </c>
    </row>
    <row r="13" spans="1:7">
      <c r="A13" s="14">
        <v>1</v>
      </c>
      <c r="B13" s="19">
        <v>-0.5</v>
      </c>
      <c r="C13" s="15">
        <f>SUMPRODUCT(('1 - Il 16 ottobre'!$A$41:$A$60&gt;4*A13)*'1 - Il 16 ottobre'!$D$41:$D$60/(1+($B$4+B13/100))^(('1 - Il 16 ottobre'!$A$41:$A$60-4*A13)/4))</f>
        <v>102.16093185720858</v>
      </c>
      <c r="D13" s="15">
        <f>100*(1+'1 - Il 16 ottobre'!$C$19)/(1+($B$4+B13/100))^(5-A13)</f>
        <v>106.11288450584161</v>
      </c>
      <c r="E13" s="12">
        <f t="shared" si="0"/>
        <v>3.951952648633025</v>
      </c>
    </row>
    <row r="14" spans="1:7">
      <c r="A14" s="14">
        <v>1</v>
      </c>
      <c r="B14" s="19">
        <v>0</v>
      </c>
      <c r="C14" s="15">
        <f>SUMPRODUCT(('1 - Il 16 ottobre'!$A$41:$A$60&gt;4*A14)*'1 - Il 16 ottobre'!$D$41:$D$60/(1+($B$4+B14/100))^(('1 - Il 16 ottobre'!$A$41:$A$60-4*A14)/4))</f>
        <v>100.34604318286296</v>
      </c>
      <c r="D14" s="15">
        <f>100*(1+'1 - Il 16 ottobre'!$C$19)/(1+($B$4+B14/100))^(5-A14)</f>
        <v>104.08890127100751</v>
      </c>
      <c r="E14" s="12">
        <f t="shared" si="0"/>
        <v>3.7428580881445583</v>
      </c>
    </row>
    <row r="15" spans="1:7">
      <c r="A15" s="14">
        <v>1</v>
      </c>
      <c r="B15" s="19">
        <v>0.5</v>
      </c>
      <c r="C15" s="15">
        <f>SUMPRODUCT(('1 - Il 16 ottobre'!$A$41:$A$60&gt;4*A15)*'1 - Il 16 ottobre'!$D$41:$D$60/(1+($B$4+B15/100))^(('1 - Il 16 ottobre'!$A$41:$A$60-4*A15)/4))</f>
        <v>98.573305979120775</v>
      </c>
      <c r="D15" s="15">
        <f>100*(1+'1 - Il 16 ottobre'!$C$19)/(1+($B$4+B15/100))^(5-A15)</f>
        <v>102.1129452366397</v>
      </c>
      <c r="E15" s="12">
        <f t="shared" si="0"/>
        <v>3.5396392575189282</v>
      </c>
    </row>
    <row r="16" spans="1:7">
      <c r="A16" s="14">
        <v>1</v>
      </c>
      <c r="B16" s="19">
        <v>1</v>
      </c>
      <c r="C16" s="15">
        <f>SUMPRODUCT(('1 - Il 16 ottobre'!$A$41:$A$60&gt;4*A16)*'1 - Il 16 ottobre'!$D$41:$D$60/(1+($B$4+B16/100))^(('1 - Il 16 ottobre'!$A$41:$A$60-4*A16)/4))</f>
        <v>96.841538714243669</v>
      </c>
      <c r="D16" s="15">
        <f>100*(1+'1 - Il 16 ottobre'!$C$19)/(1+($B$4+B16/100))^(5-A16)</f>
        <v>100.1836553020499</v>
      </c>
      <c r="E16" s="12">
        <f t="shared" si="0"/>
        <v>3.3421165878062311</v>
      </c>
    </row>
    <row r="17" spans="1:5">
      <c r="A17" s="14">
        <v>2</v>
      </c>
      <c r="B17" s="19">
        <v>-1</v>
      </c>
      <c r="C17" s="15">
        <f>SUMPRODUCT(('1 - Il 16 ottobre'!$A$41:$A$60&gt;4*A17)*'1 - Il 16 ottobre'!$D$41:$D$60/(1+($B$4+B17/100))^(('1 - Il 16 ottobre'!$A$41:$A$60-4*A17)/4))</f>
        <v>103.50360408198608</v>
      </c>
      <c r="D17" s="15">
        <f>100*(1+'1 - Il 16 ottobre'!$C$19)/(1+($B$4+B17/100))^(5-A17)</f>
        <v>111.54277010809716</v>
      </c>
      <c r="E17" s="12">
        <f t="shared" si="0"/>
        <v>8.0391660261110758</v>
      </c>
    </row>
    <row r="18" spans="1:5">
      <c r="A18" s="14">
        <v>2</v>
      </c>
      <c r="B18" s="19">
        <v>-0.5</v>
      </c>
      <c r="C18" s="15">
        <f>SUMPRODUCT(('1 - Il 16 ottobre'!$A$41:$A$60&gt;4*A18)*'1 - Il 16 ottobre'!$D$41:$D$60/(1+($B$4+B18/100))^(('1 - Il 16 ottobre'!$A$41:$A$60-4*A18)/4))</f>
        <v>102.09165162013976</v>
      </c>
      <c r="D18" s="15">
        <f>100*(1+'1 - Il 16 ottobre'!$C$19)/(1+($B$4+B18/100))^(5-A18)</f>
        <v>109.93558889718986</v>
      </c>
      <c r="E18" s="12">
        <f t="shared" si="0"/>
        <v>7.8439372770501024</v>
      </c>
    </row>
    <row r="19" spans="1:5">
      <c r="A19" s="14">
        <v>2</v>
      </c>
      <c r="B19" s="19">
        <v>0</v>
      </c>
      <c r="C19" s="15">
        <f>SUMPRODUCT(('1 - Il 16 ottobre'!$A$41:$A$60&gt;4*A19)*'1 - Il 16 ottobre'!$D$41:$D$60/(1+($B$4+B19/100))^(('1 - Il 16 ottobre'!$A$41:$A$60-4*A19)/4))</f>
        <v>100.70628274728119</v>
      </c>
      <c r="D19" s="15">
        <f>100*(1+'1 - Il 16 ottobre'!$C$19)/(1+($B$4+B19/100))^(5-A19)</f>
        <v>108.359136406769</v>
      </c>
      <c r="E19" s="12">
        <f t="shared" si="0"/>
        <v>7.6528536594878034</v>
      </c>
    </row>
    <row r="20" spans="1:5">
      <c r="A20" s="14">
        <v>2</v>
      </c>
      <c r="B20" s="19">
        <v>0.5</v>
      </c>
      <c r="C20" s="15">
        <f>SUMPRODUCT(('1 - Il 16 ottobre'!$A$41:$A$60&gt;4*A20)*'1 - Il 16 ottobre'!$D$41:$D$60/(1+($B$4+B20/100))^(('1 - Il 16 ottobre'!$A$41:$A$60-4*A20)/4))</f>
        <v>99.346870082594762</v>
      </c>
      <c r="D20" s="15">
        <f>100*(1+'1 - Il 16 ottobre'!$C$19)/(1+($B$4+B20/100))^(5-A20)</f>
        <v>106.81268173081273</v>
      </c>
      <c r="E20" s="12">
        <f t="shared" si="0"/>
        <v>7.4658116482179651</v>
      </c>
    </row>
    <row r="21" spans="1:5">
      <c r="A21" s="14">
        <v>2</v>
      </c>
      <c r="B21" s="19">
        <v>1</v>
      </c>
      <c r="C21" s="15">
        <f>SUMPRODUCT(('1 - Il 16 ottobre'!$A$41:$A$60&gt;4*A21)*'1 - Il 16 ottobre'!$D$41:$D$60/(1+($B$4+B21/100))^(('1 - Il 16 ottobre'!$A$41:$A$60-4*A21)/4))</f>
        <v>98.012803981532414</v>
      </c>
      <c r="D21" s="15">
        <f>100*(1+'1 - Il 16 ottobre'!$C$19)/(1+($B$4+B21/100))^(5-A21)</f>
        <v>105.29551472663464</v>
      </c>
      <c r="E21" s="12">
        <f t="shared" si="0"/>
        <v>7.2827107451022215</v>
      </c>
    </row>
    <row r="22" spans="1:5">
      <c r="A22" s="14">
        <v>3</v>
      </c>
      <c r="B22" s="19">
        <v>-1</v>
      </c>
      <c r="C22" s="15">
        <f>SUMPRODUCT(('1 - Il 16 ottobre'!$A$41:$A$60&gt;4*A22)*'1 - Il 16 ottobre'!$D$41:$D$60/(1+($B$4+B22/100))^(('1 - Il 16 ottobre'!$A$41:$A$60-4*A22)/4))</f>
        <v>102.56739429141123</v>
      </c>
      <c r="D22" s="15">
        <f>100*(1+'1 - Il 16 ottobre'!$C$19)/(1+($B$4+B22/100))^(5-A22)</f>
        <v>115.00337164970773</v>
      </c>
      <c r="E22" s="12">
        <f t="shared" si="0"/>
        <v>12.435977358296498</v>
      </c>
    </row>
    <row r="23" spans="1:5">
      <c r="A23" s="14">
        <v>3</v>
      </c>
      <c r="B23" s="19">
        <v>-0.5</v>
      </c>
      <c r="C23" s="15">
        <f>SUMPRODUCT(('1 - Il 16 ottobre'!$A$41:$A$60&gt;4*A23)*'1 - Il 16 ottobre'!$D$41:$D$60/(1+($B$4+B23/100))^(('1 - Il 16 ottobre'!$A$41:$A$60-4*A23)/4))</f>
        <v>101.61451167958873</v>
      </c>
      <c r="D23" s="15">
        <f>100*(1+'1 - Il 16 ottobre'!$C$19)/(1+($B$4+B23/100))^(5-A23)</f>
        <v>113.89600577210395</v>
      </c>
      <c r="E23" s="12">
        <f t="shared" si="0"/>
        <v>12.281494092515217</v>
      </c>
    </row>
    <row r="24" spans="1:5">
      <c r="A24" s="14">
        <v>3</v>
      </c>
      <c r="B24" s="19">
        <v>0</v>
      </c>
      <c r="C24" s="15">
        <f>SUMPRODUCT(('1 - Il 16 ottobre'!$A$41:$A$60&gt;4*A24)*'1 - Il 16 ottobre'!$D$41:$D$60/(1+($B$4+B24/100))^(('1 - Il 16 ottobre'!$A$41:$A$60-4*A24)/4))</f>
        <v>100.67519890884834</v>
      </c>
      <c r="D24" s="15">
        <f>100*(1+'1 - Il 16 ottobre'!$C$19)/(1+($B$4+B24/100))^(5-A24)</f>
        <v>112.80455744508139</v>
      </c>
      <c r="E24" s="12">
        <f t="shared" si="0"/>
        <v>12.129358536233042</v>
      </c>
    </row>
    <row r="25" spans="1:5">
      <c r="A25" s="14">
        <v>3</v>
      </c>
      <c r="B25" s="19">
        <v>0.5</v>
      </c>
      <c r="C25" s="15">
        <f>SUMPRODUCT(('1 - Il 16 ottobre'!$A$41:$A$60&gt;4*A25)*'1 - Il 16 ottobre'!$D$41:$D$60/(1+($B$4+B25/100))^(('1 - Il 16 ottobre'!$A$41:$A$60-4*A25)/4))</f>
        <v>99.749198367891822</v>
      </c>
      <c r="D25" s="15">
        <f>100*(1+'1 - Il 16 ottobre'!$C$19)/(1+($B$4+B25/100))^(5-A25)</f>
        <v>111.72872305356042</v>
      </c>
      <c r="E25" s="12">
        <f t="shared" si="0"/>
        <v>11.979524685668594</v>
      </c>
    </row>
    <row r="26" spans="1:5">
      <c r="A26" s="14">
        <v>3</v>
      </c>
      <c r="B26" s="19">
        <v>1</v>
      </c>
      <c r="C26" s="15">
        <f>SUMPRODUCT(('1 - Il 16 ottobre'!$A$41:$A$60&gt;4*A26)*'1 - Il 16 ottobre'!$D$41:$D$60/(1+($B$4+B26/100))^(('1 - Il 16 ottobre'!$A$41:$A$60-4*A26)/4))</f>
        <v>98.836258540378537</v>
      </c>
      <c r="D26" s="15">
        <f>100*(1+'1 - Il 16 ottobre'!$C$19)/(1+($B$4+B26/100))^(5-A26)</f>
        <v>110.66820618712313</v>
      </c>
      <c r="E26" s="12">
        <f t="shared" si="0"/>
        <v>11.831947646744595</v>
      </c>
    </row>
    <row r="27" spans="1:5">
      <c r="A27" s="14">
        <v>4</v>
      </c>
      <c r="B27" s="19">
        <v>-1</v>
      </c>
      <c r="C27" s="15">
        <f>SUMPRODUCT(('1 - Il 16 ottobre'!$A$41:$A$60&gt;4*A27)*'1 - Il 16 ottobre'!$D$41:$D$60/(1+($B$4+B27/100))^(('1 - Il 16 ottobre'!$A$41:$A$60-4*A27)/4))</f>
        <v>101.60213870036546</v>
      </c>
      <c r="D27" s="15">
        <f>100*(1+'1 - Il 16 ottobre'!$C$19)/(1+($B$4+B27/100))^(5-A27)</f>
        <v>118.57133795389494</v>
      </c>
      <c r="E27" s="12">
        <f t="shared" si="0"/>
        <v>16.969199253529482</v>
      </c>
    </row>
    <row r="28" spans="1:5">
      <c r="A28" s="14">
        <v>4</v>
      </c>
      <c r="B28" s="19">
        <v>-0.5</v>
      </c>
      <c r="C28" s="15">
        <f>SUMPRODUCT(('1 - Il 16 ottobre'!$A$41:$A$60&gt;4*A28)*'1 - Il 16 ottobre'!$D$41:$D$60/(1+($B$4+B28/100))^(('1 - Il 16 ottobre'!$A$41:$A$60-4*A28)/4))</f>
        <v>101.12018282786514</v>
      </c>
      <c r="D28" s="15">
        <f>100*(1+'1 - Il 16 ottobre'!$C$19)/(1+($B$4+B28/100))^(5-A28)</f>
        <v>117.99909620687654</v>
      </c>
      <c r="E28" s="12">
        <f t="shared" si="0"/>
        <v>16.878913379011408</v>
      </c>
    </row>
    <row r="29" spans="1:5">
      <c r="A29" s="14">
        <v>4</v>
      </c>
      <c r="B29" s="19">
        <v>0</v>
      </c>
      <c r="C29" s="15">
        <f>SUMPRODUCT(('1 - Il 16 ottobre'!$A$41:$A$60&gt;4*A29)*'1 - Il 16 ottobre'!$D$41:$D$60/(1+($B$4+B29/100))^(('1 - Il 16 ottobre'!$A$41:$A$60-4*A29)/4))</f>
        <v>100.64283985953895</v>
      </c>
      <c r="D29" s="15">
        <f>100*(1+'1 - Il 16 ottobre'!$C$19)/(1+($B$4+B29/100))^(5-A29)</f>
        <v>117.43235136733487</v>
      </c>
      <c r="E29" s="12">
        <f t="shared" si="0"/>
        <v>16.789511507795922</v>
      </c>
    </row>
    <row r="30" spans="1:5">
      <c r="A30" s="14">
        <v>4</v>
      </c>
      <c r="B30" s="19">
        <v>0.5</v>
      </c>
      <c r="C30" s="15">
        <f>SUMPRODUCT(('1 - Il 16 ottobre'!$A$41:$A$60&gt;4*A30)*'1 - Il 16 ottobre'!$D$41:$D$60/(1+($B$4+B30/100))^(('1 - Il 16 ottobre'!$A$41:$A$60-4*A30)/4))</f>
        <v>100.17004376598655</v>
      </c>
      <c r="D30" s="15">
        <f>100*(1+'1 - Il 16 ottobre'!$C$19)/(1+($B$4+B30/100))^(5-A30)</f>
        <v>116.87102460960013</v>
      </c>
      <c r="E30" s="12">
        <f t="shared" si="0"/>
        <v>16.700980843613578</v>
      </c>
    </row>
    <row r="31" spans="1:5">
      <c r="A31" s="14">
        <v>4</v>
      </c>
      <c r="B31" s="19">
        <v>1</v>
      </c>
      <c r="C31" s="15">
        <f>SUMPRODUCT(('1 - Il 16 ottobre'!$A$41:$A$60&gt;4*A31)*'1 - Il 16 ottobre'!$D$41:$D$60/(1+($B$4+B31/100))^(('1 - Il 16 ottobre'!$A$41:$A$60-4*A31)/4))</f>
        <v>99.701729772849347</v>
      </c>
      <c r="D31" s="15">
        <f>100*(1+'1 - Il 16 ottobre'!$C$19)/(1+($B$4+B31/100))^(5-A31)</f>
        <v>116.31503860797967</v>
      </c>
      <c r="E31" s="12">
        <f t="shared" si="0"/>
        <v>16.613308835130326</v>
      </c>
    </row>
    <row r="33" spans="1:5" ht="150" customHeight="1">
      <c r="A33" s="24" t="s">
        <v>126</v>
      </c>
      <c r="B33" s="21"/>
      <c r="C33" s="21"/>
      <c r="D33" s="21"/>
      <c r="E33" s="21"/>
    </row>
  </sheetData>
  <mergeCells count="3">
    <mergeCell ref="A2:G2"/>
    <mergeCell ref="A1:G1"/>
    <mergeCell ref="A33:E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/>
  <cols>
    <col min="1" max="1" width="55.7109375" customWidth="1"/>
    <col min="2" max="2" width="43" customWidth="1"/>
    <col min="3" max="3" width="25" customWidth="1"/>
    <col min="4" max="4" width="13.140625" customWidth="1"/>
    <col min="5" max="5" width="14" customWidth="1"/>
    <col min="6" max="6" width="61" customWidth="1"/>
  </cols>
  <sheetData>
    <row r="1" spans="1:6" ht="24.95" customHeight="1">
      <c r="A1" s="22" t="s">
        <v>127</v>
      </c>
      <c r="B1" s="21"/>
      <c r="C1" s="21"/>
      <c r="D1" s="21"/>
      <c r="E1" s="21"/>
      <c r="F1" s="21"/>
    </row>
    <row r="2" spans="1:6" ht="32.1" customHeight="1">
      <c r="A2" s="20" t="s">
        <v>1</v>
      </c>
      <c r="B2" s="21"/>
      <c r="C2" s="21"/>
      <c r="D2" s="21"/>
      <c r="E2" s="21"/>
      <c r="F2" s="21"/>
    </row>
    <row r="4" spans="1:6" ht="32.1" customHeight="1">
      <c r="A4" s="9" t="s">
        <v>128</v>
      </c>
      <c r="B4" s="9" t="s">
        <v>129</v>
      </c>
      <c r="C4" s="9" t="s">
        <v>130</v>
      </c>
      <c r="D4" s="9" t="s">
        <v>131</v>
      </c>
      <c r="E4" s="9" t="s">
        <v>132</v>
      </c>
      <c r="F4" s="9" t="s">
        <v>67</v>
      </c>
    </row>
    <row r="5" spans="1:6">
      <c r="A5" s="16" t="s">
        <v>133</v>
      </c>
      <c r="B5" s="16" t="s">
        <v>134</v>
      </c>
      <c r="C5" s="6">
        <v>3.9899999999999998E-2</v>
      </c>
      <c r="D5" s="6">
        <v>3.5000000000000003E-2</v>
      </c>
      <c r="E5" s="16" t="s">
        <v>135</v>
      </c>
      <c r="F5" s="16" t="s">
        <v>136</v>
      </c>
    </row>
    <row r="6" spans="1:6">
      <c r="A6" s="16" t="s">
        <v>137</v>
      </c>
      <c r="B6" s="16" t="s">
        <v>138</v>
      </c>
      <c r="C6" s="6">
        <v>4.24E-2</v>
      </c>
      <c r="D6" s="6">
        <v>3.7100000000000001E-2</v>
      </c>
      <c r="E6" s="16" t="s">
        <v>139</v>
      </c>
      <c r="F6" s="16" t="s">
        <v>140</v>
      </c>
    </row>
    <row r="7" spans="1:6">
      <c r="A7" s="16" t="s">
        <v>141</v>
      </c>
      <c r="B7" s="16" t="s">
        <v>142</v>
      </c>
      <c r="C7" s="6">
        <v>4.3700000000000003E-2</v>
      </c>
      <c r="D7" s="6">
        <v>3.8300000000000001E-2</v>
      </c>
      <c r="E7" s="16" t="s">
        <v>143</v>
      </c>
      <c r="F7" s="16" t="s">
        <v>144</v>
      </c>
    </row>
    <row r="8" spans="1:6">
      <c r="A8" s="16" t="s">
        <v>145</v>
      </c>
      <c r="B8" s="16" t="s">
        <v>146</v>
      </c>
      <c r="C8" s="16" t="s">
        <v>147</v>
      </c>
      <c r="D8" s="16"/>
      <c r="E8" s="16" t="s">
        <v>135</v>
      </c>
      <c r="F8" s="16" t="s">
        <v>148</v>
      </c>
    </row>
    <row r="9" spans="1:6">
      <c r="A9" s="16" t="s">
        <v>149</v>
      </c>
      <c r="B9" s="16" t="s">
        <v>150</v>
      </c>
      <c r="C9" s="6">
        <v>3.0099999999999998E-2</v>
      </c>
      <c r="D9" s="6">
        <v>2.63E-2</v>
      </c>
      <c r="E9" s="16" t="s">
        <v>151</v>
      </c>
      <c r="F9" s="16" t="s">
        <v>152</v>
      </c>
    </row>
    <row r="10" spans="1:6">
      <c r="A10" s="16" t="s">
        <v>153</v>
      </c>
      <c r="B10" s="16" t="s">
        <v>154</v>
      </c>
      <c r="C10" s="6">
        <v>3.2500000000000001E-2</v>
      </c>
      <c r="D10" s="6">
        <v>2.8400000000000002E-2</v>
      </c>
      <c r="E10" s="16" t="s">
        <v>151</v>
      </c>
      <c r="F10" s="16" t="s">
        <v>155</v>
      </c>
    </row>
    <row r="11" spans="1:6">
      <c r="A11" s="16" t="s">
        <v>156</v>
      </c>
      <c r="B11" s="16" t="s">
        <v>157</v>
      </c>
      <c r="C11" s="6">
        <v>8.9999999999999993E-3</v>
      </c>
      <c r="D11" s="6">
        <v>7.9000000000000008E-3</v>
      </c>
      <c r="E11" s="16" t="s">
        <v>158</v>
      </c>
      <c r="F11" s="16" t="s">
        <v>159</v>
      </c>
    </row>
    <row r="12" spans="1:6">
      <c r="A12" s="16" t="s">
        <v>160</v>
      </c>
      <c r="B12" s="16" t="s">
        <v>161</v>
      </c>
      <c r="C12" s="6">
        <v>4.0500000000000001E-2</v>
      </c>
      <c r="D12" s="6">
        <v>3.5400000000000001E-2</v>
      </c>
      <c r="E12" s="16" t="s">
        <v>135</v>
      </c>
      <c r="F12" s="16" t="s">
        <v>162</v>
      </c>
    </row>
    <row r="13" spans="1:6">
      <c r="A13" s="16" t="s">
        <v>163</v>
      </c>
      <c r="B13" s="16" t="s">
        <v>164</v>
      </c>
      <c r="C13" s="6">
        <v>4.1000000000000002E-2</v>
      </c>
      <c r="D13" s="6">
        <v>3.5900000000000001E-2</v>
      </c>
      <c r="E13" s="16" t="s">
        <v>135</v>
      </c>
      <c r="F13" s="16" t="s">
        <v>165</v>
      </c>
    </row>
    <row r="14" spans="1:6">
      <c r="A14" s="23" t="s">
        <v>166</v>
      </c>
      <c r="B14" s="21"/>
      <c r="C14" s="21"/>
      <c r="D14" s="21"/>
      <c r="E14" s="21"/>
      <c r="F14" s="21"/>
    </row>
    <row r="15" spans="1:6">
      <c r="A15" s="5" t="s">
        <v>167</v>
      </c>
      <c r="B15" s="10">
        <f>'1 - Il 16 ottobre'!B17</f>
        <v>4.102488434039131E-2</v>
      </c>
    </row>
    <row r="16" spans="1:6">
      <c r="A16" s="5" t="s">
        <v>168</v>
      </c>
      <c r="B16" s="6">
        <v>1.6E-2</v>
      </c>
    </row>
    <row r="17" spans="1:6">
      <c r="A17" s="5" t="s">
        <v>169</v>
      </c>
      <c r="B17" s="10">
        <f>(1+B15)/(1+B16)-1</f>
        <v>2.4630791673613484E-2</v>
      </c>
    </row>
    <row r="18" spans="1:6" ht="30" customHeight="1">
      <c r="A18" s="24" t="s">
        <v>170</v>
      </c>
      <c r="B18" s="21"/>
      <c r="C18" s="21"/>
      <c r="D18" s="21"/>
      <c r="E18" s="21"/>
      <c r="F18" s="21"/>
    </row>
    <row r="20" spans="1:6" ht="60" customHeight="1">
      <c r="A20" s="24" t="s">
        <v>171</v>
      </c>
      <c r="B20" s="21"/>
      <c r="C20" s="21"/>
      <c r="D20" s="21"/>
      <c r="E20" s="21"/>
      <c r="F20" s="21"/>
    </row>
  </sheetData>
  <mergeCells count="5">
    <mergeCell ref="A2:F2"/>
    <mergeCell ref="A14:F14"/>
    <mergeCell ref="A1:F1"/>
    <mergeCell ref="A18:F18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0 - Indice</vt:lpstr>
      <vt:lpstr>1 - Il 16 ottobre</vt:lpstr>
      <vt:lpstr>2 - Previsione</vt:lpstr>
      <vt:lpstr>3 - Gemelli</vt:lpstr>
      <vt:lpstr>4 - Vendere prima</vt:lpstr>
      <vt:lpstr>5 - Alternative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2026-10-16T09:32:59Z</dcterms:created>
  <dcterms:modified xsi:type="dcterms:W3CDTF">2026-10-16T09:33:01Z</dcterms:modified>
</cp:coreProperties>
</file>