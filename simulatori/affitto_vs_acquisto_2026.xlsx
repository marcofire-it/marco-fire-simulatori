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 Indice" sheetId="1" state="visible" r:id="rId1"/>
    <sheet name="1 - IL TUO CASO" sheetId="2" state="visible" r:id="rId2"/>
    <sheet name="2 - COSTI" sheetId="3" state="visible" r:id="rId3"/>
    <sheet name="3 - CONFRONTO" sheetId="4" state="visible" r:id="rId4"/>
    <sheet name="4 - SENSITIVITÀ" sheetId="5" state="visible" r:id="rId5"/>
  </sheets>
  <definedNames/>
  <calcPr calcId="124519" fullCalcOnLoad="1"/>
</workbook>
</file>

<file path=xl/styles.xml><?xml version="1.0" encoding="utf-8"?>
<styleSheet xmlns="http://schemas.openxmlformats.org/spreadsheetml/2006/main">
  <numFmts count="6">
    <numFmt numFmtId="164" formatCode="#,##0&quot; €&quot;"/>
    <numFmt numFmtId="165" formatCode="0.0%"/>
    <numFmt numFmtId="166" formatCode="0.000%"/>
    <numFmt numFmtId="167" formatCode="0.0000%"/>
    <numFmt numFmtId="168" formatCode="#,##0.00&quot; €&quot;"/>
    <numFmt numFmtId="169" formatCode="0.0"/>
  </numFmts>
  <fonts count="8">
    <font>
      <name val="Calibri"/>
      <family val="2"/>
      <color theme="1"/>
      <sz val="11"/>
      <scheme val="minor"/>
    </font>
    <font>
      <name val="Calibri"/>
      <b val="1"/>
      <color rgb="001E40AF"/>
      <sz val="16"/>
    </font>
    <font>
      <name val="Calibri"/>
      <i val="1"/>
      <color rgb="00991B1B"/>
      <sz val="10"/>
    </font>
    <font>
      <name val="Calibri"/>
      <b val="1"/>
      <sz val="14"/>
    </font>
    <font>
      <name val="Calibri"/>
      <b val="1"/>
      <sz val="11"/>
    </font>
    <font>
      <name val="Calibri"/>
      <sz val="11"/>
    </font>
    <font>
      <name val="Calibri"/>
      <i val="1"/>
      <color rgb="00666666"/>
      <sz val="9"/>
    </font>
    <font>
      <name val="Calibri"/>
      <b val="1"/>
      <color rgb="00FFFFFF"/>
      <sz val="13"/>
    </font>
  </fonts>
  <fills count="8">
    <fill>
      <patternFill/>
    </fill>
    <fill>
      <patternFill patternType="gray125"/>
    </fill>
    <fill>
      <patternFill patternType="solid">
        <fgColor rgb="00FEE2E2"/>
      </patternFill>
    </fill>
    <fill>
      <patternFill patternType="solid">
        <fgColor rgb="001E40AF"/>
      </patternFill>
    </fill>
    <fill>
      <patternFill patternType="solid">
        <fgColor rgb="00FFF59D"/>
      </patternFill>
    </fill>
    <fill>
      <patternFill patternType="solid">
        <fgColor rgb="00C8E6C9"/>
      </patternFill>
    </fill>
    <fill>
      <patternFill patternType="solid">
        <fgColor rgb="00FAFAFA"/>
      </patternFill>
    </fill>
    <fill>
      <patternFill patternType="solid">
        <fgColor rgb="00DBEAFE"/>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2" borderId="0" applyAlignment="1" pivotButton="0" quotePrefix="0" xfId="0">
      <alignment horizontal="left" vertical="center"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3" borderId="0" applyAlignment="1" pivotButton="0" quotePrefix="0" xfId="0">
      <alignment horizontal="center" vertical="center" wrapText="1"/>
    </xf>
    <xf numFmtId="0" fontId="4" fillId="0" borderId="1" applyAlignment="1" pivotButton="0" quotePrefix="0" xfId="0">
      <alignment horizontal="left" vertical="center" wrapText="1"/>
    </xf>
    <xf numFmtId="164" fontId="5" fillId="4" borderId="1" applyAlignment="1" pivotButton="0" quotePrefix="0" xfId="0">
      <alignment horizontal="right" vertical="center"/>
    </xf>
    <xf numFmtId="165" fontId="5" fillId="4" borderId="1" applyAlignment="1" pivotButton="0" quotePrefix="0" xfId="0">
      <alignment horizontal="right" vertical="center"/>
    </xf>
    <xf numFmtId="164" fontId="5" fillId="5" borderId="1" applyAlignment="1" pivotButton="0" quotePrefix="0" xfId="0">
      <alignment horizontal="right" vertical="center"/>
    </xf>
    <xf numFmtId="166" fontId="5" fillId="4" borderId="1" applyAlignment="1" pivotButton="0" quotePrefix="0" xfId="0">
      <alignment horizontal="right" vertical="center"/>
    </xf>
    <xf numFmtId="1" fontId="5" fillId="4" borderId="1" applyAlignment="1" pivotButton="0" quotePrefix="0" xfId="0">
      <alignment horizontal="right" vertical="center"/>
    </xf>
    <xf numFmtId="10" fontId="5" fillId="4" borderId="1" applyAlignment="1" pivotButton="0" quotePrefix="0" xfId="0">
      <alignment horizontal="right" vertical="center"/>
    </xf>
    <xf numFmtId="167" fontId="5" fillId="5" borderId="1" applyAlignment="1" pivotButton="0" quotePrefix="0" xfId="0">
      <alignment horizontal="right" vertical="center"/>
    </xf>
    <xf numFmtId="1" fontId="5" fillId="5" borderId="1" applyAlignment="1" pivotButton="0" quotePrefix="0" xfId="0">
      <alignment horizontal="right" vertical="center"/>
    </xf>
    <xf numFmtId="10" fontId="5" fillId="5" borderId="1" applyAlignment="1" pivotButton="0" quotePrefix="0" xfId="0">
      <alignment horizontal="right" vertical="center"/>
    </xf>
    <xf numFmtId="0" fontId="5" fillId="5" borderId="1" applyAlignment="1" pivotButton="0" quotePrefix="0" xfId="0">
      <alignment horizontal="right" vertical="center"/>
    </xf>
    <xf numFmtId="165" fontId="5" fillId="5" borderId="1" applyAlignment="1" pivotButton="0" quotePrefix="0" xfId="0">
      <alignment horizontal="right" vertical="center"/>
    </xf>
    <xf numFmtId="168" fontId="5" fillId="5" borderId="1" applyAlignment="1" pivotButton="0" quotePrefix="0" xfId="0">
      <alignment horizontal="right" vertical="center"/>
    </xf>
    <xf numFmtId="0" fontId="6" fillId="6" borderId="0" applyAlignment="1" pivotButton="0" quotePrefix="0" xfId="0">
      <alignment horizontal="left" vertical="center" wrapText="1"/>
    </xf>
    <xf numFmtId="169" fontId="5" fillId="5" borderId="1" applyAlignment="1" pivotButton="0" quotePrefix="0" xfId="0">
      <alignment horizontal="right" vertical="center"/>
    </xf>
    <xf numFmtId="0" fontId="4" fillId="7" borderId="1" applyAlignment="1" pivotButton="0" quotePrefix="0" xfId="0">
      <alignment horizontal="center"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60" customWidth="1" min="1" max="1"/>
    <col width="30" customWidth="1" min="2" max="2"/>
  </cols>
  <sheetData>
    <row r="1" ht="32" customHeight="1">
      <c r="A1" s="1" t="inlineStr">
        <is>
          <t>Marco FIRE — Affitto vs Acquisto 2026</t>
        </is>
      </c>
    </row>
    <row r="2" ht="32" customHeight="1">
      <c r="A2" s="2" t="inlineStr">
        <is>
          <t>Strumento informativo / divulgativo. NON è consulenza finanziaria. I valori sono indicativi al 2026 e vanno verificati col tuo consulente.</t>
        </is>
      </c>
    </row>
    <row r="4">
      <c r="A4" s="3" t="inlineStr">
        <is>
          <t>Indice</t>
        </is>
      </c>
    </row>
    <row r="5" ht="22" customHeight="1">
      <c r="A5" s="4" t="inlineStr">
        <is>
          <t>1 - IL TUO CASO</t>
        </is>
      </c>
      <c r="B5" s="5" t="inlineStr">
        <is>
          <t>Rendimento da affitto, soglia, verdetto e cassa necessaria</t>
        </is>
      </c>
    </row>
    <row r="6" ht="22" customHeight="1">
      <c r="A6" s="4" t="inlineStr">
        <is>
          <t>2 - COSTI</t>
        </is>
      </c>
      <c r="B6" s="5" t="inlineStr">
        <is>
          <t>Tutti i costi una tantum, in entrata e in uscita</t>
        </is>
      </c>
    </row>
    <row r="7" ht="22" customHeight="1">
      <c r="A7" s="4" t="inlineStr">
        <is>
          <t>3 - CONFRONTO</t>
        </is>
      </c>
      <c r="B7" s="5" t="inlineStr">
        <is>
          <t>Patrimonio finale a 5, 10 e 20 anni</t>
        </is>
      </c>
    </row>
    <row r="8" ht="22" customHeight="1">
      <c r="A8" s="4" t="inlineStr">
        <is>
          <t>4 - SENSITIVITÀ</t>
        </is>
      </c>
      <c r="B8" s="5" t="inlineStr">
        <is>
          <t>La matrice che mostra quando il verdetto si ribalta</t>
        </is>
      </c>
    </row>
    <row r="10">
      <c r="A10" s="3" t="inlineStr">
        <is>
          <t>Come usare</t>
        </is>
      </c>
    </row>
    <row r="11">
      <c r="A11" s="5" t="inlineStr">
        <is>
          <t>1. Le celle GIALLE sono input — modificale coi tuoi numeri.</t>
        </is>
      </c>
    </row>
    <row r="12">
      <c r="A12" s="5" t="inlineStr">
        <is>
          <t>2. Le celle VERDI sono output — si aggiornano automaticamente.</t>
        </is>
      </c>
    </row>
    <row r="13">
      <c r="A13" s="5" t="inlineStr">
        <is>
          <t>3. Tutti i numeri di default sono al 2026 da fonti pubbliche.</t>
        </is>
      </c>
    </row>
    <row r="14">
      <c r="A14" s="5" t="inlineStr">
        <is>
          <t>4. Niente codice nascosto: l'Excel è solo formule modificabili.</t>
        </is>
      </c>
    </row>
    <row r="16">
      <c r="A16" s="3" t="inlineStr">
        <is>
          <t>Fonti dati</t>
        </is>
      </c>
    </row>
    <row r="17">
      <c r="A17" s="5" t="inlineStr">
        <is>
          <t>• idealista — report prezzi di vendita e canoni di locazione, II trimestre 2026 (vendita 1.903 €/mq media naz.; affitti 15,4 €/mq/mese, massimo dal 2012)</t>
        </is>
      </c>
    </row>
    <row r="18">
      <c r="A18" s="5" t="inlineStr">
        <is>
          <t>• Facile.it e MutuiOnline — media tassi mutui luglio 2026: TAN fisso prevalente 2,70-3,40%</t>
        </is>
      </c>
    </row>
    <row r="19">
      <c r="A19" s="5" t="inlineStr">
        <is>
          <t>• BCE — decisione dell'11 giugno 2026: rialzo di 25 punti base, tasso sui depositi al 2,25% dal 17 giugno</t>
        </is>
      </c>
    </row>
    <row r="20">
      <c r="A20" s="5" t="inlineStr">
        <is>
          <t>• Agenzia delle Entrate — «L'acquisto con i benefici prima casa»: registro 2% sul valore catastale (prezzo-valore), ipotecaria e catastale 50+50 €, sostitutiva mutuo 0,25%</t>
        </is>
      </c>
    </row>
    <row r="21">
      <c r="A21" s="5" t="inlineStr">
        <is>
          <t>• D.P.R. 917/1986 (TUIR) art. 15 — detrazione 19% degli interessi passivi su max 4.000 € annui</t>
        </is>
      </c>
    </row>
    <row r="22">
      <c r="A22" s="5" t="inlineStr">
        <is>
          <t>• ISTAT — indice dei prezzi delle abitazioni (IPAB): vs media 2010, nel 2021 -12,8% (esistenti -19,8%); I trimestre 2026 +5,2% su base annua</t>
        </is>
      </c>
    </row>
    <row r="24">
      <c r="A24" s="6" t="inlineStr">
        <is>
          <t>Aggiornamenti: github.com/marcofire-it/marco-fire-simulatori</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48" customWidth="1" min="1" max="1"/>
    <col width="18" customWidth="1" min="2" max="2"/>
    <col width="4" customWidth="1" min="3" max="3"/>
    <col width="40" customWidth="1" min="4" max="4"/>
    <col width="18" customWidth="1" min="5" max="5"/>
  </cols>
  <sheetData>
    <row r="1" ht="25" customHeight="1">
      <c r="A1" s="1" t="inlineStr">
        <is>
          <t>Affitto o acquisto: il tuo caso specifico</t>
        </is>
      </c>
    </row>
    <row r="2" ht="32" customHeight="1">
      <c r="A2" s="2" t="inlineStr">
        <is>
          <t>Strumento informativo / divulgativo. NON è consulenza finanziaria. I valori sono indicativi al 2026 e vanno verificati col tuo consulente.</t>
        </is>
      </c>
    </row>
    <row r="4">
      <c r="A4" s="7" t="inlineStr">
        <is>
          <t>INPUT — cambia solo le celle gialle</t>
        </is>
      </c>
    </row>
    <row r="5">
      <c r="A5" s="8" t="inlineStr">
        <is>
          <t>Prezzo della casa che stai guardando (€)</t>
        </is>
      </c>
      <c r="B5" s="9" t="n">
        <v>415000</v>
      </c>
    </row>
    <row r="6">
      <c r="A6" s="8" t="inlineStr">
        <is>
          <t>Affitto mensile per una casa EQUIVALENTE (€)</t>
        </is>
      </c>
      <c r="B6" s="9" t="n">
        <v>1864</v>
      </c>
    </row>
    <row r="7">
      <c r="A7" s="8" t="inlineStr">
        <is>
          <t>Anticipo che puoi versare (%)</t>
        </is>
      </c>
      <c r="B7" s="10" t="n">
        <v>0.2</v>
      </c>
    </row>
    <row r="8">
      <c r="A8" s="8" t="inlineStr">
        <is>
          <t>Importo del mutuo</t>
        </is>
      </c>
      <c r="B8" s="11">
        <f>B5*(1-B7)</f>
        <v/>
      </c>
    </row>
    <row r="9">
      <c r="A9" s="8" t="inlineStr">
        <is>
          <t>TAN del mutuo (%)</t>
        </is>
      </c>
      <c r="B9" s="12" t="n">
        <v>0.032</v>
      </c>
    </row>
    <row r="10">
      <c r="A10" s="8" t="inlineStr">
        <is>
          <t>Durata del mutuo (anni)</t>
        </is>
      </c>
      <c r="B10" s="13" t="n">
        <v>25</v>
      </c>
    </row>
    <row r="11">
      <c r="A11" s="8" t="inlineStr">
        <is>
          <t>Manutenzione + assicurazione annua (% del valore)</t>
        </is>
      </c>
      <c r="B11" s="14" t="n">
        <v>0.0105</v>
      </c>
    </row>
    <row r="12">
      <c r="A12" s="8" t="inlineStr">
        <is>
          <t>Tasso mensile</t>
        </is>
      </c>
      <c r="B12" s="15">
        <f>B9/12</f>
        <v/>
      </c>
    </row>
    <row r="13">
      <c r="A13" s="8" t="inlineStr">
        <is>
          <t>Numero di rate</t>
        </is>
      </c>
      <c r="B13" s="16">
        <f>B10*12</f>
        <v/>
      </c>
    </row>
    <row r="15">
      <c r="A15" s="7" t="inlineStr">
        <is>
          <t>OUTPUT — la metrica che decide</t>
        </is>
      </c>
    </row>
    <row r="16">
      <c r="A16" s="8" t="inlineStr">
        <is>
          <t>Canone annuo</t>
        </is>
      </c>
      <c r="B16" s="11">
        <f>B6*12</f>
        <v/>
      </c>
    </row>
    <row r="17">
      <c r="A17" s="8" t="inlineStr">
        <is>
          <t>RENDIMENTO LORDO DA AFFITTO</t>
        </is>
      </c>
      <c r="B17" s="17">
        <f>IFERROR(B16/B5,0)</f>
        <v/>
      </c>
    </row>
    <row r="18">
      <c r="A18" s="8" t="inlineStr">
        <is>
          <t>Costo del capitale (mutuo + opportunità anticipo)</t>
        </is>
      </c>
      <c r="B18" s="17">
        <f>B9*(1-B7)+0.04*B7</f>
        <v/>
      </c>
    </row>
    <row r="19">
      <c r="A19" s="8" t="inlineStr">
        <is>
          <t>SOGLIA DI INDIFFERENZA (costi non recuperabili)</t>
        </is>
      </c>
      <c r="B19" s="17">
        <f>B11+B18</f>
        <v/>
      </c>
    </row>
    <row r="20">
      <c r="A20" s="8" t="inlineStr">
        <is>
          <t>VERDETTO PRELIMINARE</t>
        </is>
      </c>
      <c r="B20" s="18">
        <f>IF(B17&gt;B19,"COMPRARE parte avvantaggiato","AFFITTARE parte avvantaggiato")</f>
        <v/>
      </c>
    </row>
    <row r="21">
      <c r="A21" s="8" t="inlineStr">
        <is>
          <t>Margine sopra/sotto la soglia</t>
        </is>
      </c>
      <c r="B21" s="17">
        <f>B17-B19</f>
        <v/>
      </c>
    </row>
    <row r="23">
      <c r="A23" s="7" t="inlineStr">
        <is>
          <t>Il vero filtro: quanto ti serve in banca</t>
        </is>
      </c>
    </row>
    <row r="24">
      <c r="A24" s="8" t="inlineStr">
        <is>
          <t>Anticipo</t>
        </is>
      </c>
      <c r="B24" s="11">
        <f>B5*B7</f>
        <v/>
      </c>
    </row>
    <row r="25">
      <c r="A25" s="8" t="inlineStr">
        <is>
          <t>Costi una tantum (foglio 2)</t>
        </is>
      </c>
      <c r="B25" s="11">
        <f>'2 - COSTI'!B16</f>
        <v/>
      </c>
    </row>
    <row r="26">
      <c r="A26" s="8" t="inlineStr">
        <is>
          <t>CASSA NECESSARIA AL ROGITO</t>
        </is>
      </c>
      <c r="B26" s="11">
        <f>B24+B25</f>
        <v/>
      </c>
    </row>
    <row r="27">
      <c r="A27" s="8" t="inlineStr">
        <is>
          <t>In percentuale sul prezzo</t>
        </is>
      </c>
      <c r="B27" s="19">
        <f>IFERROR(B26/B5,0)</f>
        <v/>
      </c>
    </row>
    <row r="29">
      <c r="A29" s="7" t="inlineStr">
        <is>
          <t>Confronto mensile (attenzione: è ingannevole)</t>
        </is>
      </c>
    </row>
    <row r="30">
      <c r="A30" s="8" t="inlineStr">
        <is>
          <t>Rata del mutuo</t>
        </is>
      </c>
      <c r="B30" s="20">
        <f>B8*B12/(1-(1+B12)^-B13)</f>
        <v/>
      </c>
    </row>
    <row r="31">
      <c r="A31" s="8" t="inlineStr">
        <is>
          <t>Manutenzione + assicurazione mensile</t>
        </is>
      </c>
      <c r="B31" s="20">
        <f>B5*B11/12</f>
        <v/>
      </c>
    </row>
    <row r="32">
      <c r="A32" s="8" t="inlineStr">
        <is>
          <t>Quota capitale della prima rata (è risparmio)</t>
        </is>
      </c>
      <c r="B32" s="20">
        <f>B30-B8*B12</f>
        <v/>
      </c>
    </row>
    <row r="33">
      <c r="A33" s="8" t="inlineStr">
        <is>
          <t>Costo NETTO reale mensile del proprietario</t>
        </is>
      </c>
      <c r="B33" s="20">
        <f>B30+B31-B32</f>
        <v/>
      </c>
    </row>
    <row r="34">
      <c r="A34" s="8" t="inlineStr">
        <is>
          <t>Costo mensile dell'inquilino</t>
        </is>
      </c>
      <c r="B34" s="20">
        <f>B6</f>
        <v/>
      </c>
    </row>
    <row r="36" ht="75" customHeight="1">
      <c r="A36" s="21" t="inlineStr">
        <is>
          <t>Il rendimento lordo da affitto va calcolato su case EQUIVALENTI: stesso quartiere, stessa metratura, stesso stato. Confrontare il canone di un monolocale in centro col prezzo di un trilocale in periferia non ha senso. Per lo stesso motivo NON dividere mai il canone medio nazionale per il prezzo medio nazionale: i due indici hanno composizione territoriale diversa e il risultato è gonfiato.</t>
        </is>
      </c>
    </row>
  </sheetData>
  <mergeCells count="7">
    <mergeCell ref="A1:D1"/>
    <mergeCell ref="A23:D23"/>
    <mergeCell ref="A4:D4"/>
    <mergeCell ref="A15:D15"/>
    <mergeCell ref="A29:D29"/>
    <mergeCell ref="A36:B36"/>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48" customWidth="1" min="1" max="1"/>
    <col width="18" customWidth="1" min="2" max="2"/>
    <col width="4" customWidth="1" min="3" max="3"/>
    <col width="40" customWidth="1" min="4" max="4"/>
    <col width="18" customWidth="1" min="5" max="5"/>
  </cols>
  <sheetData>
    <row r="1" ht="25" customHeight="1">
      <c r="A1" s="1" t="inlineStr">
        <is>
          <t>I costi una tantum che quasi nessuno conta</t>
        </is>
      </c>
    </row>
    <row r="2" ht="32" customHeight="1">
      <c r="A2" s="2" t="inlineStr">
        <is>
          <t>Strumento informativo / divulgativo. NON è consulenza finanziaria. I valori sono indicativi al 2026 e vanno verificati col tuo consulente.</t>
        </is>
      </c>
    </row>
    <row r="4">
      <c r="A4" s="7" t="inlineStr">
        <is>
          <t>INPUT</t>
        </is>
      </c>
    </row>
    <row r="5">
      <c r="A5" s="8" t="inlineStr">
        <is>
          <t>Prezzo della casa (dal foglio 1)</t>
        </is>
      </c>
      <c r="B5" s="11">
        <f>'1 - IL TUO CASO'!B5</f>
        <v/>
      </c>
    </row>
    <row r="6">
      <c r="A6" s="8" t="inlineStr">
        <is>
          <t>Rendita catastale dell'immobile (€)</t>
        </is>
      </c>
      <c r="B6" s="9" t="n">
        <v>1400</v>
      </c>
    </row>
    <row r="7">
      <c r="A7" s="8" t="inlineStr">
        <is>
          <t>Provvigione agenzia (%) — 0 se acquisti da privato</t>
        </is>
      </c>
      <c r="B7" s="14" t="n">
        <v>0.03</v>
      </c>
    </row>
    <row r="8">
      <c r="A8" s="8" t="inlineStr">
        <is>
          <t>Onorario notaio atto + mutuo (€)</t>
        </is>
      </c>
      <c r="B8" s="9" t="n">
        <v>4000</v>
      </c>
    </row>
    <row r="9">
      <c r="A9" s="8" t="inlineStr">
        <is>
          <t>Perizia e istruttoria (€)</t>
        </is>
      </c>
      <c r="B9" s="9" t="n">
        <v>300</v>
      </c>
    </row>
    <row r="11">
      <c r="A11" s="7" t="inlineStr">
        <is>
          <t>CALCOLO</t>
        </is>
      </c>
    </row>
    <row r="12">
      <c r="A12" s="8" t="inlineStr">
        <is>
          <t>Valore catastale (rendita × 1,05 × 110)</t>
        </is>
      </c>
      <c r="B12" s="11">
        <f>B6*1.05*110</f>
        <v/>
      </c>
    </row>
    <row r="13">
      <c r="A13" s="8" t="inlineStr">
        <is>
          <t>Imposta di registro 2% (prima casa, prezzo-valore)</t>
        </is>
      </c>
      <c r="B13" s="11">
        <f>MAX(1000,B12*0.02)</f>
        <v/>
      </c>
    </row>
    <row r="14">
      <c r="A14" s="8" t="inlineStr">
        <is>
          <t>Imposte ipotecaria e catastale (50 + 50)</t>
        </is>
      </c>
      <c r="B14" s="11">
        <f>100</f>
        <v/>
      </c>
    </row>
    <row r="15">
      <c r="A15" s="8" t="inlineStr">
        <is>
          <t>Imposta sostitutiva sul mutuo (0,25%)</t>
        </is>
      </c>
      <c r="B15" s="11">
        <f>'1 - IL TUO CASO'!B8*0.0025</f>
        <v/>
      </c>
    </row>
    <row r="16">
      <c r="A16" s="8" t="inlineStr">
        <is>
          <t>TOTALE COSTI UNA TANTUM</t>
        </is>
      </c>
      <c r="B16" s="11">
        <f>B13+B14+B15+B8+B9+B5*B7*1.22</f>
        <v/>
      </c>
    </row>
    <row r="17">
      <c r="A17" s="8" t="inlineStr">
        <is>
          <t>In percentuale sul prezzo</t>
        </is>
      </c>
      <c r="B17" s="17">
        <f>IFERROR(B16/B5,0)</f>
        <v/>
      </c>
    </row>
    <row r="18">
      <c r="A18" s="8" t="inlineStr">
        <is>
          <t>Di cui provvigione agenzia (IVA inclusa)</t>
        </is>
      </c>
      <c r="B18" s="11">
        <f>B5*B7*1.22</f>
        <v/>
      </c>
    </row>
    <row r="20">
      <c r="A20" s="7" t="inlineStr">
        <is>
          <t>Costi anche in USCITA (quando rivenderai)</t>
        </is>
      </c>
    </row>
    <row r="21">
      <c r="A21" s="8" t="inlineStr">
        <is>
          <t>Costi di vendita stimati (%)</t>
        </is>
      </c>
      <c r="B21" s="14" t="n">
        <v>0.03</v>
      </c>
    </row>
    <row r="22">
      <c r="A22" s="8" t="inlineStr">
        <is>
          <t>Su un valore di rivendita pari a</t>
        </is>
      </c>
      <c r="B22" s="11">
        <f>B5</f>
        <v/>
      </c>
    </row>
    <row r="23">
      <c r="A23" s="8" t="inlineStr">
        <is>
          <t>Costi di uscita</t>
        </is>
      </c>
      <c r="B23" s="11">
        <f>B22*B21</f>
        <v/>
      </c>
    </row>
    <row r="24">
      <c r="A24" s="8" t="inlineStr">
        <is>
          <t>COSTI TOTALI DI TRANSAZIONE (entrata + uscita)</t>
        </is>
      </c>
      <c r="B24" s="11">
        <f>B16+B23</f>
        <v/>
      </c>
    </row>
    <row r="25">
      <c r="A25" s="8" t="inlineStr">
        <is>
          <t>Anni di permanenza per ammortizzarli</t>
        </is>
      </c>
      <c r="B25" s="22">
        <f>IFERROR(B24/(B5*('1 - IL TUO CASO'!B17-'1 - IL TUO CASO'!B19)),NA())</f>
        <v/>
      </c>
    </row>
    <row r="27" ht="60" customHeight="1">
      <c r="A27" s="21" t="inlineStr">
        <is>
          <t>Detrazione interessi passivi: 19% su un massimo di 4.000 € di interessi annui, quindi al massimo 760 € l'anno. L'IMU sulla prima casa non di lusso non si paga. Se compri da impresa costruttrice si applica invece l'IVA al 4% sul PREZZO (non sul valore catastale) e le imposte fisse: in quel caso i costi salgono parecchio.</t>
        </is>
      </c>
    </row>
  </sheetData>
  <mergeCells count="6">
    <mergeCell ref="A1:D1"/>
    <mergeCell ref="A4:D4"/>
    <mergeCell ref="A20:D20"/>
    <mergeCell ref="A2:D2"/>
    <mergeCell ref="A11:D11"/>
    <mergeCell ref="A27:B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44" customWidth="1" min="1" max="1"/>
    <col width="20" customWidth="1" min="2" max="2"/>
    <col width="20" customWidth="1" min="3" max="3"/>
    <col width="20" customWidth="1" min="4" max="4"/>
  </cols>
  <sheetData>
    <row r="1" ht="25" customHeight="1">
      <c r="A1" s="1" t="inlineStr">
        <is>
          <t>Patrimonio finale: proprietario vs affittuario</t>
        </is>
      </c>
    </row>
    <row r="2" ht="32" customHeight="1">
      <c r="A2" s="2" t="inlineStr">
        <is>
          <t>Strumento informativo / divulgativo. NON è consulenza finanziaria. I valori sono indicativi al 2026 e vanno verificati col tuo consulente.</t>
        </is>
      </c>
    </row>
    <row r="4">
      <c r="A4" s="7" t="inlineStr">
        <is>
          <t>IPOTESI (le due che decidono tutto)</t>
        </is>
      </c>
    </row>
    <row r="5">
      <c r="A5" s="8" t="inlineStr">
        <is>
          <t>Rivalutazione annua della casa (%)</t>
        </is>
      </c>
      <c r="B5" s="14" t="n">
        <v>0.02</v>
      </c>
    </row>
    <row r="6">
      <c r="A6" s="8" t="inlineStr">
        <is>
          <t>Rendimento annuo del portafoglio di chi affitta (%)</t>
        </is>
      </c>
      <c r="B6" s="14" t="n">
        <v>0.05</v>
      </c>
    </row>
    <row r="7">
      <c r="A7" s="8" t="inlineStr">
        <is>
          <t>Costi di vendita alla fine (%)</t>
        </is>
      </c>
      <c r="B7" s="17">
        <f>'2 - COSTI'!B21</f>
        <v/>
      </c>
    </row>
    <row r="8">
      <c r="A8" s="8" t="inlineStr">
        <is>
          <t>Cassa iniziale investita da chi affitta</t>
        </is>
      </c>
      <c r="B8" s="11">
        <f>'1 - IL TUO CASO'!B26</f>
        <v/>
      </c>
    </row>
    <row r="9">
      <c r="A9" s="8" t="inlineStr">
        <is>
          <t>Differenza mensile investibile da chi affitta</t>
        </is>
      </c>
      <c r="B9" s="20">
        <f>MAX(0,'1 - IL TUO CASO'!B30+'1 - IL TUO CASO'!B31-'1 - IL TUO CASO'!B6)</f>
        <v/>
      </c>
    </row>
    <row r="11">
      <c r="A11" s="7" t="inlineStr">
        <is>
          <t>RISULTATO per orizzonte temporale</t>
        </is>
      </c>
    </row>
    <row r="12">
      <c r="A12" s="23" t="inlineStr">
        <is>
          <t>Voce</t>
        </is>
      </c>
      <c r="B12" s="23" t="inlineStr">
        <is>
          <t>5 anni</t>
        </is>
      </c>
      <c r="C12" s="23" t="inlineStr">
        <is>
          <t>10 anni</t>
        </is>
      </c>
      <c r="D12" s="23" t="inlineStr">
        <is>
          <t>20 anni</t>
        </is>
      </c>
    </row>
    <row r="13">
      <c r="A13" s="8" t="inlineStr">
        <is>
          <t>Valore della casa rivalutata</t>
        </is>
      </c>
      <c r="B13" s="24">
        <f>'1 - IL TUO CASO'!B5*(1+$B$5)^5</f>
        <v/>
      </c>
      <c r="C13" s="24">
        <f>'1 - IL TUO CASO'!B5*(1+$B$5)^10</f>
        <v/>
      </c>
      <c r="D13" s="24">
        <f>'1 - IL TUO CASO'!B5*(1+$B$5)^20</f>
        <v/>
      </c>
    </row>
    <row r="14">
      <c r="A14" s="8" t="inlineStr">
        <is>
          <t>Debito residuo</t>
        </is>
      </c>
      <c r="B14" s="24">
        <f>'1 - IL TUO CASO'!B8*(1+'1 - IL TUO CASO'!B12)^(5*12)-'1 - IL TUO CASO'!B30*(((1+'1 - IL TUO CASO'!B12)^(5*12)-1)/'1 - IL TUO CASO'!B12)</f>
        <v/>
      </c>
      <c r="C14" s="24">
        <f>'1 - IL TUO CASO'!B8*(1+'1 - IL TUO CASO'!B12)^(10*12)-'1 - IL TUO CASO'!B30*(((1+'1 - IL TUO CASO'!B12)^(10*12)-1)/'1 - IL TUO CASO'!B12)</f>
        <v/>
      </c>
      <c r="D14" s="24">
        <f>'1 - IL TUO CASO'!B8*(1+'1 - IL TUO CASO'!B12)^(20*12)-'1 - IL TUO CASO'!B30*(((1+'1 - IL TUO CASO'!B12)^(20*12)-1)/'1 - IL TUO CASO'!B12)</f>
        <v/>
      </c>
    </row>
    <row r="15">
      <c r="A15" s="8" t="inlineStr">
        <is>
          <t>PATRIMONIO del proprietario</t>
        </is>
      </c>
      <c r="B15" s="24">
        <f>B13*(1-$B$7)-MAX(0,B14)</f>
        <v/>
      </c>
      <c r="C15" s="24">
        <f>C13*(1-$B$7)-MAX(0,C14)</f>
        <v/>
      </c>
      <c r="D15" s="24">
        <f>D13*(1-$B$7)-MAX(0,D14)</f>
        <v/>
      </c>
    </row>
    <row r="16">
      <c r="A16" s="8" t="inlineStr">
        <is>
          <t>PATRIMONIO dell'affittuario</t>
        </is>
      </c>
      <c r="B16" s="24">
        <f>$B$8*(1+$B$6)^5+$B$9*12*(((1+$B$6)^5-1)/$B$6)</f>
        <v/>
      </c>
      <c r="C16" s="24">
        <f>$B$8*(1+$B$6)^10+$B$9*12*(((1+$B$6)^10-1)/$B$6)</f>
        <v/>
      </c>
      <c r="D16" s="24">
        <f>$B$8*(1+$B$6)^20+$B$9*12*(((1+$B$6)^20-1)/$B$6)</f>
        <v/>
      </c>
    </row>
    <row r="17">
      <c r="A17" s="8" t="inlineStr">
        <is>
          <t>Differenza (positivo = comprare vince)</t>
        </is>
      </c>
      <c r="B17" s="24">
        <f>B15-B16</f>
        <v/>
      </c>
      <c r="C17" s="24">
        <f>C15-C16</f>
        <v/>
      </c>
      <c r="D17" s="24">
        <f>D15-D16</f>
        <v/>
      </c>
    </row>
    <row r="18">
      <c r="A18" s="8" t="inlineStr">
        <is>
          <t>VERDETTO</t>
        </is>
      </c>
      <c r="B18">
        <f>IF(B17&gt;0,"COMPRARE","AFFITTARE")</f>
        <v/>
      </c>
      <c r="C18">
        <f>IF(C17&gt;0,"COMPRARE","AFFITTARE")</f>
        <v/>
      </c>
      <c r="D18">
        <f>IF(D17&gt;0,"COMPRARE","AFFITTARE")</f>
        <v/>
      </c>
    </row>
    <row r="20" ht="75" customHeight="1">
      <c r="A20" s="21" t="inlineStr">
        <is>
          <t>Semplificazione dichiarata: la differenza mensile investibile è tenuta costante e l'affitto non viene indicizzato. Poiché di norma il canone cresce nel tempo, questa scelta è CONSERVATIVA verso l'acquisto solo se la differenza è positiva; in caso contrario è neutra. Il modello ignora inoltre la detrazione degli interessi (max 760 €/anno) e le tasse sul portafoglio al momento del disinvestimento.</t>
        </is>
      </c>
    </row>
  </sheetData>
  <mergeCells count="5">
    <mergeCell ref="A1:D1"/>
    <mergeCell ref="A4:D4"/>
    <mergeCell ref="A20:D20"/>
    <mergeCell ref="A2:D2"/>
    <mergeCell ref="A11:D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0" customWidth="1" min="1" max="1"/>
    <col width="22" customWidth="1" min="2" max="2"/>
    <col width="22" customWidth="1" min="3" max="3"/>
    <col width="22" customWidth="1" min="4" max="4"/>
    <col width="22" customWidth="1" min="5" max="5"/>
  </cols>
  <sheetData>
    <row r="1" ht="25" customHeight="1">
      <c r="A1" s="1" t="inlineStr">
        <is>
          <t>Matrice di sensitività — la parte che conta davvero</t>
        </is>
      </c>
    </row>
    <row r="2" ht="32" customHeight="1">
      <c r="A2" s="2" t="inlineStr">
        <is>
          <t>Strumento informativo / divulgativo. NON è consulenza finanziaria. I valori sono indicativi al 2026 e vanno verificati col tuo consulente.</t>
        </is>
      </c>
    </row>
    <row r="4">
      <c r="A4" s="8" t="inlineStr">
        <is>
          <t>Orizzonte (anni)</t>
        </is>
      </c>
      <c r="B4" s="13" t="n">
        <v>10</v>
      </c>
    </row>
    <row r="5" ht="45" customHeight="1">
      <c r="A5" s="21" t="inlineStr">
        <is>
          <t>Righe = di quanto si rivaluta la casa ogni anno. Colonne = quanto rende il portafoglio di chi affitta. Ogni cella è la differenza fra il patrimonio del proprietario e quello dell'affittuario: positiva = comprare vince, negativa = affittare vince.</t>
        </is>
      </c>
    </row>
    <row r="7">
      <c r="A7" s="23" t="inlineStr">
        <is>
          <t>Rivalutazione casa</t>
        </is>
      </c>
      <c r="B7" s="23" t="inlineStr">
        <is>
          <t>Portafoglio 3%</t>
        </is>
      </c>
      <c r="C7" s="23" t="inlineStr">
        <is>
          <t>Portafoglio 4%</t>
        </is>
      </c>
      <c r="D7" s="23" t="inlineStr">
        <is>
          <t>Portafoglio 5%</t>
        </is>
      </c>
      <c r="E7" s="23" t="inlineStr">
        <is>
          <t>Portafoglio 7%</t>
        </is>
      </c>
    </row>
    <row r="8">
      <c r="A8" s="8" t="inlineStr">
        <is>
          <t>-1% all'anno</t>
        </is>
      </c>
      <c r="B8" s="24">
        <f>'1 - IL TUO CASO'!B5*(1+-0.01)^$B$4*(1-'2 - COSTI'!B21)-MAX(0,'1 - IL TUO CASO'!B8*(1+'1 - IL TUO CASO'!B12)^($B$4*12)-'1 - IL TUO CASO'!B30*(((1+'1 - IL TUO CASO'!B12)^($B$4*12)-1)/'1 - IL TUO CASO'!B12))-('1 - IL TUO CASO'!B26*(1+0.03)^$B$4+'3 - CONFRONTO'!$B$9*12*(((1+0.03)^$B$4-1)/0.03))</f>
        <v/>
      </c>
      <c r="C8" s="24">
        <f>'1 - IL TUO CASO'!B5*(1+-0.01)^$B$4*(1-'2 - COSTI'!B21)-MAX(0,'1 - IL TUO CASO'!B8*(1+'1 - IL TUO CASO'!B12)^($B$4*12)-'1 - IL TUO CASO'!B30*(((1+'1 - IL TUO CASO'!B12)^($B$4*12)-1)/'1 - IL TUO CASO'!B12))-('1 - IL TUO CASO'!B26*(1+0.04)^$B$4+'3 - CONFRONTO'!$B$9*12*(((1+0.04)^$B$4-1)/0.04))</f>
        <v/>
      </c>
      <c r="D8" s="24">
        <f>'1 - IL TUO CASO'!B5*(1+-0.01)^$B$4*(1-'2 - COSTI'!B21)-MAX(0,'1 - IL TUO CASO'!B8*(1+'1 - IL TUO CASO'!B12)^($B$4*12)-'1 - IL TUO CASO'!B30*(((1+'1 - IL TUO CASO'!B12)^($B$4*12)-1)/'1 - IL TUO CASO'!B12))-('1 - IL TUO CASO'!B26*(1+0.05)^$B$4+'3 - CONFRONTO'!$B$9*12*(((1+0.05)^$B$4-1)/0.05))</f>
        <v/>
      </c>
      <c r="E8" s="24">
        <f>'1 - IL TUO CASO'!B5*(1+-0.01)^$B$4*(1-'2 - COSTI'!B21)-MAX(0,'1 - IL TUO CASO'!B8*(1+'1 - IL TUO CASO'!B12)^($B$4*12)-'1 - IL TUO CASO'!B30*(((1+'1 - IL TUO CASO'!B12)^($B$4*12)-1)/'1 - IL TUO CASO'!B12))-('1 - IL TUO CASO'!B26*(1+0.07)^$B$4+'3 - CONFRONTO'!$B$9*12*(((1+0.07)^$B$4-1)/0.07))</f>
        <v/>
      </c>
    </row>
    <row r="9">
      <c r="A9" s="8" t="inlineStr">
        <is>
          <t>+0% all'anno</t>
        </is>
      </c>
      <c r="B9" s="24">
        <f>'1 - IL TUO CASO'!B5*(1+0.0)^$B$4*(1-'2 - COSTI'!B21)-MAX(0,'1 - IL TUO CASO'!B8*(1+'1 - IL TUO CASO'!B12)^($B$4*12)-'1 - IL TUO CASO'!B30*(((1+'1 - IL TUO CASO'!B12)^($B$4*12)-1)/'1 - IL TUO CASO'!B12))-('1 - IL TUO CASO'!B26*(1+0.03)^$B$4+'3 - CONFRONTO'!$B$9*12*(((1+0.03)^$B$4-1)/0.03))</f>
        <v/>
      </c>
      <c r="C9" s="24">
        <f>'1 - IL TUO CASO'!B5*(1+0.0)^$B$4*(1-'2 - COSTI'!B21)-MAX(0,'1 - IL TUO CASO'!B8*(1+'1 - IL TUO CASO'!B12)^($B$4*12)-'1 - IL TUO CASO'!B30*(((1+'1 - IL TUO CASO'!B12)^($B$4*12)-1)/'1 - IL TUO CASO'!B12))-('1 - IL TUO CASO'!B26*(1+0.04)^$B$4+'3 - CONFRONTO'!$B$9*12*(((1+0.04)^$B$4-1)/0.04))</f>
        <v/>
      </c>
      <c r="D9" s="24">
        <f>'1 - IL TUO CASO'!B5*(1+0.0)^$B$4*(1-'2 - COSTI'!B21)-MAX(0,'1 - IL TUO CASO'!B8*(1+'1 - IL TUO CASO'!B12)^($B$4*12)-'1 - IL TUO CASO'!B30*(((1+'1 - IL TUO CASO'!B12)^($B$4*12)-1)/'1 - IL TUO CASO'!B12))-('1 - IL TUO CASO'!B26*(1+0.05)^$B$4+'3 - CONFRONTO'!$B$9*12*(((1+0.05)^$B$4-1)/0.05))</f>
        <v/>
      </c>
      <c r="E9" s="24">
        <f>'1 - IL TUO CASO'!B5*(1+0.0)^$B$4*(1-'2 - COSTI'!B21)-MAX(0,'1 - IL TUO CASO'!B8*(1+'1 - IL TUO CASO'!B12)^($B$4*12)-'1 - IL TUO CASO'!B30*(((1+'1 - IL TUO CASO'!B12)^($B$4*12)-1)/'1 - IL TUO CASO'!B12))-('1 - IL TUO CASO'!B26*(1+0.07)^$B$4+'3 - CONFRONTO'!$B$9*12*(((1+0.07)^$B$4-1)/0.07))</f>
        <v/>
      </c>
    </row>
    <row r="10">
      <c r="A10" s="8" t="inlineStr">
        <is>
          <t>+1% all'anno</t>
        </is>
      </c>
      <c r="B10" s="24">
        <f>'1 - IL TUO CASO'!B5*(1+0.01)^$B$4*(1-'2 - COSTI'!B21)-MAX(0,'1 - IL TUO CASO'!B8*(1+'1 - IL TUO CASO'!B12)^($B$4*12)-'1 - IL TUO CASO'!B30*(((1+'1 - IL TUO CASO'!B12)^($B$4*12)-1)/'1 - IL TUO CASO'!B12))-('1 - IL TUO CASO'!B26*(1+0.03)^$B$4+'3 - CONFRONTO'!$B$9*12*(((1+0.03)^$B$4-1)/0.03))</f>
        <v/>
      </c>
      <c r="C10" s="24">
        <f>'1 - IL TUO CASO'!B5*(1+0.01)^$B$4*(1-'2 - COSTI'!B21)-MAX(0,'1 - IL TUO CASO'!B8*(1+'1 - IL TUO CASO'!B12)^($B$4*12)-'1 - IL TUO CASO'!B30*(((1+'1 - IL TUO CASO'!B12)^($B$4*12)-1)/'1 - IL TUO CASO'!B12))-('1 - IL TUO CASO'!B26*(1+0.04)^$B$4+'3 - CONFRONTO'!$B$9*12*(((1+0.04)^$B$4-1)/0.04))</f>
        <v/>
      </c>
      <c r="D10" s="24">
        <f>'1 - IL TUO CASO'!B5*(1+0.01)^$B$4*(1-'2 - COSTI'!B21)-MAX(0,'1 - IL TUO CASO'!B8*(1+'1 - IL TUO CASO'!B12)^($B$4*12)-'1 - IL TUO CASO'!B30*(((1+'1 - IL TUO CASO'!B12)^($B$4*12)-1)/'1 - IL TUO CASO'!B12))-('1 - IL TUO CASO'!B26*(1+0.05)^$B$4+'3 - CONFRONTO'!$B$9*12*(((1+0.05)^$B$4-1)/0.05))</f>
        <v/>
      </c>
      <c r="E10" s="24">
        <f>'1 - IL TUO CASO'!B5*(1+0.01)^$B$4*(1-'2 - COSTI'!B21)-MAX(0,'1 - IL TUO CASO'!B8*(1+'1 - IL TUO CASO'!B12)^($B$4*12)-'1 - IL TUO CASO'!B30*(((1+'1 - IL TUO CASO'!B12)^($B$4*12)-1)/'1 - IL TUO CASO'!B12))-('1 - IL TUO CASO'!B26*(1+0.07)^$B$4+'3 - CONFRONTO'!$B$9*12*(((1+0.07)^$B$4-1)/0.07))</f>
        <v/>
      </c>
    </row>
    <row r="11">
      <c r="A11" s="8" t="inlineStr">
        <is>
          <t>+2% all'anno</t>
        </is>
      </c>
      <c r="B11" s="24">
        <f>'1 - IL TUO CASO'!B5*(1+0.02)^$B$4*(1-'2 - COSTI'!B21)-MAX(0,'1 - IL TUO CASO'!B8*(1+'1 - IL TUO CASO'!B12)^($B$4*12)-'1 - IL TUO CASO'!B30*(((1+'1 - IL TUO CASO'!B12)^($B$4*12)-1)/'1 - IL TUO CASO'!B12))-('1 - IL TUO CASO'!B26*(1+0.03)^$B$4+'3 - CONFRONTO'!$B$9*12*(((1+0.03)^$B$4-1)/0.03))</f>
        <v/>
      </c>
      <c r="C11" s="24">
        <f>'1 - IL TUO CASO'!B5*(1+0.02)^$B$4*(1-'2 - COSTI'!B21)-MAX(0,'1 - IL TUO CASO'!B8*(1+'1 - IL TUO CASO'!B12)^($B$4*12)-'1 - IL TUO CASO'!B30*(((1+'1 - IL TUO CASO'!B12)^($B$4*12)-1)/'1 - IL TUO CASO'!B12))-('1 - IL TUO CASO'!B26*(1+0.04)^$B$4+'3 - CONFRONTO'!$B$9*12*(((1+0.04)^$B$4-1)/0.04))</f>
        <v/>
      </c>
      <c r="D11" s="24">
        <f>'1 - IL TUO CASO'!B5*(1+0.02)^$B$4*(1-'2 - COSTI'!B21)-MAX(0,'1 - IL TUO CASO'!B8*(1+'1 - IL TUO CASO'!B12)^($B$4*12)-'1 - IL TUO CASO'!B30*(((1+'1 - IL TUO CASO'!B12)^($B$4*12)-1)/'1 - IL TUO CASO'!B12))-('1 - IL TUO CASO'!B26*(1+0.05)^$B$4+'3 - CONFRONTO'!$B$9*12*(((1+0.05)^$B$4-1)/0.05))</f>
        <v/>
      </c>
      <c r="E11" s="24">
        <f>'1 - IL TUO CASO'!B5*(1+0.02)^$B$4*(1-'2 - COSTI'!B21)-MAX(0,'1 - IL TUO CASO'!B8*(1+'1 - IL TUO CASO'!B12)^($B$4*12)-'1 - IL TUO CASO'!B30*(((1+'1 - IL TUO CASO'!B12)^($B$4*12)-1)/'1 - IL TUO CASO'!B12))-('1 - IL TUO CASO'!B26*(1+0.07)^$B$4+'3 - CONFRONTO'!$B$9*12*(((1+0.07)^$B$4-1)/0.07))</f>
        <v/>
      </c>
    </row>
    <row r="12">
      <c r="A12" s="8" t="inlineStr">
        <is>
          <t>+3% all'anno</t>
        </is>
      </c>
      <c r="B12" s="24">
        <f>'1 - IL TUO CASO'!B5*(1+0.03)^$B$4*(1-'2 - COSTI'!B21)-MAX(0,'1 - IL TUO CASO'!B8*(1+'1 - IL TUO CASO'!B12)^($B$4*12)-'1 - IL TUO CASO'!B30*(((1+'1 - IL TUO CASO'!B12)^($B$4*12)-1)/'1 - IL TUO CASO'!B12))-('1 - IL TUO CASO'!B26*(1+0.03)^$B$4+'3 - CONFRONTO'!$B$9*12*(((1+0.03)^$B$4-1)/0.03))</f>
        <v/>
      </c>
      <c r="C12" s="24">
        <f>'1 - IL TUO CASO'!B5*(1+0.03)^$B$4*(1-'2 - COSTI'!B21)-MAX(0,'1 - IL TUO CASO'!B8*(1+'1 - IL TUO CASO'!B12)^($B$4*12)-'1 - IL TUO CASO'!B30*(((1+'1 - IL TUO CASO'!B12)^($B$4*12)-1)/'1 - IL TUO CASO'!B12))-('1 - IL TUO CASO'!B26*(1+0.04)^$B$4+'3 - CONFRONTO'!$B$9*12*(((1+0.04)^$B$4-1)/0.04))</f>
        <v/>
      </c>
      <c r="D12" s="24">
        <f>'1 - IL TUO CASO'!B5*(1+0.03)^$B$4*(1-'2 - COSTI'!B21)-MAX(0,'1 - IL TUO CASO'!B8*(1+'1 - IL TUO CASO'!B12)^($B$4*12)-'1 - IL TUO CASO'!B30*(((1+'1 - IL TUO CASO'!B12)^($B$4*12)-1)/'1 - IL TUO CASO'!B12))-('1 - IL TUO CASO'!B26*(1+0.05)^$B$4+'3 - CONFRONTO'!$B$9*12*(((1+0.05)^$B$4-1)/0.05))</f>
        <v/>
      </c>
      <c r="E12" s="24">
        <f>'1 - IL TUO CASO'!B5*(1+0.03)^$B$4*(1-'2 - COSTI'!B21)-MAX(0,'1 - IL TUO CASO'!B8*(1+'1 - IL TUO CASO'!B12)^($B$4*12)-'1 - IL TUO CASO'!B30*(((1+'1 - IL TUO CASO'!B12)^($B$4*12)-1)/'1 - IL TUO CASO'!B12))-('1 - IL TUO CASO'!B26*(1+0.07)^$B$4+'3 - CONFRONTO'!$B$9*12*(((1+0.07)^$B$4-1)/0.07))</f>
        <v/>
      </c>
    </row>
    <row r="14">
      <c r="A14" s="7" t="inlineStr">
        <is>
          <t>Il dato storico che serve per scegliere la riga</t>
        </is>
      </c>
    </row>
    <row r="15">
      <c r="A15" s="23" t="inlineStr">
        <is>
          <t>Periodo / indice ISTAT</t>
        </is>
      </c>
      <c r="B15" s="23" t="inlineStr">
        <is>
          <t>Valore</t>
        </is>
      </c>
    </row>
    <row r="16">
      <c r="A16" s="8" t="inlineStr">
        <is>
          <t>Media 2010 (base)</t>
        </is>
      </c>
      <c r="B16" t="inlineStr">
        <is>
          <t>100</t>
        </is>
      </c>
    </row>
    <row r="17">
      <c r="A17" s="8" t="inlineStr">
        <is>
          <t>2021 — totale abitazioni</t>
        </is>
      </c>
      <c r="B17" t="inlineStr">
        <is>
          <t>87,2  (-12,8%)</t>
        </is>
      </c>
    </row>
    <row r="18">
      <c r="A18" s="8" t="inlineStr">
        <is>
          <t>2021 — solo abitazioni esistenti</t>
        </is>
      </c>
      <c r="B18" t="inlineStr">
        <is>
          <t>80,2  (-19,8%)</t>
        </is>
      </c>
    </row>
    <row r="19">
      <c r="A19" s="8" t="inlineStr">
        <is>
          <t>2021 — solo abitazioni nuove</t>
        </is>
      </c>
      <c r="B19" t="inlineStr">
        <is>
          <t>107,6  (+7,6%)</t>
        </is>
      </c>
    </row>
    <row r="20">
      <c r="A20" s="8" t="inlineStr">
        <is>
          <t>I trimestre 2026 — variazione annua</t>
        </is>
      </c>
      <c r="B20" t="inlineStr">
        <is>
          <t>+5,2%</t>
        </is>
      </c>
    </row>
    <row r="22" ht="60" customHeight="1">
      <c r="A22" s="21" t="inlineStr">
        <is>
          <t>Negli undici anni fra il 2010 e il 2021 i prezzi delle case ESISTENTI in Italia sono scesi di quasi il 20% in termini nominali, quindi molto di più al netto dell'inflazione. Dal 2022 c'è stata una ripresa robusta. Prima di usare la riga «+2% o +3% all'anno» chiediti se stai facendo una previsione o un desiderio.</t>
        </is>
      </c>
    </row>
  </sheetData>
  <mergeCells count="5">
    <mergeCell ref="A2:E2"/>
    <mergeCell ref="A1:E1"/>
    <mergeCell ref="A5:E5"/>
    <mergeCell ref="A14:E14"/>
    <mergeCell ref="A22:E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2026-07-24T21:25:37Z</dcterms:created>
  <dcterms:modified xsi:type="dcterms:W3CDTF">2026-07-24T21:25:37Z</dcterms:modified>
</cp:coreProperties>
</file>