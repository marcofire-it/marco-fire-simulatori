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540" windowWidth="27495" windowHeight="13995"/>
  </bookViews>
  <sheets>
    <sheet name="0-Indice" sheetId="1" r:id="rId1"/>
    <sheet name="P-Parametri" sheetId="2" r:id="rId2"/>
    <sheet name="1-Input" sheetId="3" r:id="rId3"/>
    <sheet name="2-Busta-paga" sheetId="4" r:id="rId4"/>
    <sheet name="3-Aumento" sheetId="5" r:id="rId5"/>
    <sheet name="4-Rapporto-RAL" sheetId="6" r:id="rId6"/>
    <sheet name="5-Moltiplicatore" sheetId="7" r:id="rId7"/>
    <sheet name="6-Anni-al-FIRE" sheetId="8" r:id="rId8"/>
    <sheet name="7-Scenari" sheetId="9" r:id="rId9"/>
    <sheet name="8-Soglia-q" sheetId="10" r:id="rId10"/>
    <sheet name="9-Traduttore" sheetId="11" r:id="rId11"/>
    <sheet name="10-Regola-ora" sheetId="12" r:id="rId12"/>
    <sheet name="11-Cruscotto" sheetId="13" r:id="rId13"/>
    <sheet name="12-Fonti" sheetId="14" r:id="rId14"/>
    <sheet name="13-Verifica" sheetId="15" r:id="rId15"/>
  </sheets>
  <calcPr calcId="144525"/>
</workbook>
</file>

<file path=xl/calcChain.xml><?xml version="1.0" encoding="utf-8"?>
<calcChain xmlns="http://schemas.openxmlformats.org/spreadsheetml/2006/main">
  <c r="B11" i="13" l="1"/>
  <c r="A30" i="12"/>
  <c r="A29" i="12"/>
  <c r="A28" i="12"/>
  <c r="A27" i="12"/>
  <c r="A26" i="12"/>
  <c r="A25" i="12"/>
  <c r="A24" i="12"/>
  <c r="A23" i="12"/>
  <c r="A22" i="12"/>
  <c r="A21" i="12"/>
  <c r="A20" i="12"/>
  <c r="A19" i="12"/>
  <c r="A18" i="12"/>
  <c r="B18" i="12" s="1"/>
  <c r="A17" i="12"/>
  <c r="B17" i="12" s="1"/>
  <c r="A16" i="12"/>
  <c r="A15" i="12"/>
  <c r="A14" i="12"/>
  <c r="A13" i="12"/>
  <c r="A12" i="12"/>
  <c r="A11" i="12"/>
  <c r="B8" i="12"/>
  <c r="B6" i="12"/>
  <c r="A17" i="11"/>
  <c r="B17" i="11" s="1"/>
  <c r="A16" i="11"/>
  <c r="A15" i="11"/>
  <c r="C11" i="11"/>
  <c r="I11" i="11" s="1"/>
  <c r="C10" i="11"/>
  <c r="C9" i="11"/>
  <c r="C8" i="11"/>
  <c r="C7" i="11"/>
  <c r="C6" i="11"/>
  <c r="C62" i="10"/>
  <c r="B62" i="10"/>
  <c r="C61" i="10"/>
  <c r="B61" i="10"/>
  <c r="C60" i="10"/>
  <c r="B60" i="10"/>
  <c r="C59" i="10"/>
  <c r="B59" i="10"/>
  <c r="C58" i="10"/>
  <c r="B58" i="10"/>
  <c r="A50" i="10"/>
  <c r="A49" i="10"/>
  <c r="A48" i="10"/>
  <c r="A47" i="10"/>
  <c r="A46" i="10"/>
  <c r="A45" i="10"/>
  <c r="A44" i="10"/>
  <c r="A43" i="10"/>
  <c r="A42" i="10"/>
  <c r="A41" i="10"/>
  <c r="A40" i="10"/>
  <c r="A39" i="10"/>
  <c r="A38" i="10"/>
  <c r="A37" i="10"/>
  <c r="A36" i="10"/>
  <c r="A35" i="10"/>
  <c r="A34" i="10"/>
  <c r="A33" i="10"/>
  <c r="A32" i="10"/>
  <c r="A31" i="10"/>
  <c r="A30" i="10"/>
  <c r="A29" i="10"/>
  <c r="A21" i="10"/>
  <c r="A20" i="10"/>
  <c r="A19" i="10"/>
  <c r="A18" i="10"/>
  <c r="A17" i="10"/>
  <c r="A16" i="10"/>
  <c r="A15" i="10"/>
  <c r="A38" i="9"/>
  <c r="A37" i="9"/>
  <c r="A36" i="9"/>
  <c r="A35" i="9"/>
  <c r="B23" i="9"/>
  <c r="A18" i="9"/>
  <c r="A17" i="9"/>
  <c r="A16" i="9"/>
  <c r="B10" i="9"/>
  <c r="B9" i="9"/>
  <c r="B8" i="9"/>
  <c r="C7" i="9"/>
  <c r="A82" i="8"/>
  <c r="B82" i="8" s="1"/>
  <c r="A81" i="8"/>
  <c r="B81" i="8" s="1"/>
  <c r="A80" i="8"/>
  <c r="B80" i="8" s="1"/>
  <c r="A79" i="8"/>
  <c r="B79" i="8" s="1"/>
  <c r="A78" i="8"/>
  <c r="B78" i="8" s="1"/>
  <c r="A77" i="8"/>
  <c r="B77" i="8" s="1"/>
  <c r="B76" i="8"/>
  <c r="A76" i="8"/>
  <c r="A75" i="8"/>
  <c r="B75" i="8" s="1"/>
  <c r="A74" i="8"/>
  <c r="B74" i="8" s="1"/>
  <c r="A73" i="8"/>
  <c r="B73" i="8" s="1"/>
  <c r="A72" i="8"/>
  <c r="B72" i="8" s="1"/>
  <c r="A71" i="8"/>
  <c r="B71" i="8" s="1"/>
  <c r="A70" i="8"/>
  <c r="B70" i="8" s="1"/>
  <c r="A69" i="8"/>
  <c r="B69" i="8" s="1"/>
  <c r="A68" i="8"/>
  <c r="B68" i="8" s="1"/>
  <c r="A67" i="8"/>
  <c r="B67" i="8" s="1"/>
  <c r="A66" i="8"/>
  <c r="B66" i="8" s="1"/>
  <c r="A65" i="8"/>
  <c r="B65" i="8" s="1"/>
  <c r="A64" i="8"/>
  <c r="B64" i="8" s="1"/>
  <c r="A63" i="8"/>
  <c r="B63" i="8" s="1"/>
  <c r="A62" i="8"/>
  <c r="B62" i="8" s="1"/>
  <c r="A61" i="8"/>
  <c r="B61" i="8" s="1"/>
  <c r="A60" i="8"/>
  <c r="B60" i="8" s="1"/>
  <c r="A59" i="8"/>
  <c r="B59" i="8" s="1"/>
  <c r="A58" i="8"/>
  <c r="B58" i="8" s="1"/>
  <c r="A57" i="8"/>
  <c r="B57" i="8" s="1"/>
  <c r="A56" i="8"/>
  <c r="B56" i="8" s="1"/>
  <c r="A55" i="8"/>
  <c r="B55" i="8" s="1"/>
  <c r="A54" i="8"/>
  <c r="B54" i="8" s="1"/>
  <c r="A53" i="8"/>
  <c r="B53" i="8" s="1"/>
  <c r="A52" i="8"/>
  <c r="B52" i="8" s="1"/>
  <c r="A51" i="8"/>
  <c r="B51" i="8" s="1"/>
  <c r="A50" i="8"/>
  <c r="B50" i="8" s="1"/>
  <c r="A49" i="8"/>
  <c r="B49" i="8" s="1"/>
  <c r="A48" i="8"/>
  <c r="B48" i="8" s="1"/>
  <c r="A47" i="8"/>
  <c r="B47" i="8" s="1"/>
  <c r="A46" i="8"/>
  <c r="B46" i="8" s="1"/>
  <c r="A45" i="8"/>
  <c r="B45" i="8" s="1"/>
  <c r="A44" i="8"/>
  <c r="B44" i="8" s="1"/>
  <c r="A43" i="8"/>
  <c r="B43" i="8" s="1"/>
  <c r="A42" i="8"/>
  <c r="B42" i="8" s="1"/>
  <c r="A41" i="8"/>
  <c r="B41" i="8" s="1"/>
  <c r="A40" i="8"/>
  <c r="B40" i="8" s="1"/>
  <c r="A39" i="8"/>
  <c r="B39" i="8" s="1"/>
  <c r="B38" i="8"/>
  <c r="A38" i="8"/>
  <c r="A37" i="8"/>
  <c r="B37" i="8" s="1"/>
  <c r="B36" i="8"/>
  <c r="A36" i="8"/>
  <c r="A35" i="8"/>
  <c r="B35" i="8" s="1"/>
  <c r="A34" i="8"/>
  <c r="B34" i="8" s="1"/>
  <c r="A33" i="8"/>
  <c r="B33" i="8" s="1"/>
  <c r="A32" i="8"/>
  <c r="B32" i="8" s="1"/>
  <c r="A31" i="8"/>
  <c r="B31" i="8" s="1"/>
  <c r="A30" i="8"/>
  <c r="B30" i="8" s="1"/>
  <c r="A29" i="8"/>
  <c r="B29" i="8" s="1"/>
  <c r="A28" i="8"/>
  <c r="B28" i="8" s="1"/>
  <c r="A27" i="8"/>
  <c r="B27" i="8" s="1"/>
  <c r="B26" i="8"/>
  <c r="A26" i="8"/>
  <c r="A25" i="8"/>
  <c r="B25" i="8" s="1"/>
  <c r="A24" i="8"/>
  <c r="B24" i="8" s="1"/>
  <c r="C23" i="8"/>
  <c r="A23" i="8"/>
  <c r="B23" i="8" s="1"/>
  <c r="B15" i="8"/>
  <c r="B6" i="8"/>
  <c r="A62" i="7"/>
  <c r="B62" i="7" s="1"/>
  <c r="C62" i="7" s="1"/>
  <c r="E61" i="7"/>
  <c r="A61" i="7"/>
  <c r="B61" i="7" s="1"/>
  <c r="A60" i="7"/>
  <c r="B60" i="7" s="1"/>
  <c r="E60" i="7" s="1"/>
  <c r="A59" i="7"/>
  <c r="B59" i="7" s="1"/>
  <c r="A58" i="7"/>
  <c r="B58" i="7" s="1"/>
  <c r="A57" i="7"/>
  <c r="B57" i="7" s="1"/>
  <c r="A56" i="7"/>
  <c r="B56" i="7" s="1"/>
  <c r="A55" i="7"/>
  <c r="B55" i="7" s="1"/>
  <c r="E55" i="7" s="1"/>
  <c r="A54" i="7"/>
  <c r="B54" i="7" s="1"/>
  <c r="E54" i="7" s="1"/>
  <c r="A53" i="7"/>
  <c r="B53" i="7" s="1"/>
  <c r="A52" i="7"/>
  <c r="B52" i="7" s="1"/>
  <c r="A51" i="7"/>
  <c r="B51" i="7" s="1"/>
  <c r="A50" i="7"/>
  <c r="B50" i="7" s="1"/>
  <c r="E50" i="7" s="1"/>
  <c r="A49" i="7"/>
  <c r="B49" i="7" s="1"/>
  <c r="A48" i="7"/>
  <c r="B48" i="7" s="1"/>
  <c r="A47" i="7"/>
  <c r="B47" i="7" s="1"/>
  <c r="C47" i="7" s="1"/>
  <c r="A46" i="7"/>
  <c r="B46" i="7" s="1"/>
  <c r="A45" i="7"/>
  <c r="B45" i="7" s="1"/>
  <c r="E45" i="7" s="1"/>
  <c r="A44" i="7"/>
  <c r="B44" i="7" s="1"/>
  <c r="A43" i="7"/>
  <c r="B43" i="7" s="1"/>
  <c r="A42" i="7"/>
  <c r="B42" i="7" s="1"/>
  <c r="A41" i="7"/>
  <c r="B41" i="7" s="1"/>
  <c r="A40" i="7"/>
  <c r="B40" i="7" s="1"/>
  <c r="A39" i="7"/>
  <c r="B39" i="7" s="1"/>
  <c r="A38" i="7"/>
  <c r="B38" i="7" s="1"/>
  <c r="A37" i="7"/>
  <c r="B37" i="7" s="1"/>
  <c r="A36" i="7"/>
  <c r="B36" i="7" s="1"/>
  <c r="A35" i="7"/>
  <c r="B35" i="7" s="1"/>
  <c r="A34" i="7"/>
  <c r="B34" i="7" s="1"/>
  <c r="A33" i="7"/>
  <c r="B33" i="7" s="1"/>
  <c r="E33" i="7" s="1"/>
  <c r="A32" i="7"/>
  <c r="B32" i="7" s="1"/>
  <c r="A31" i="7"/>
  <c r="B31" i="7" s="1"/>
  <c r="D31" i="7" s="1"/>
  <c r="A30" i="7"/>
  <c r="B30" i="7" s="1"/>
  <c r="B29" i="7"/>
  <c r="E29" i="7" s="1"/>
  <c r="A29" i="7"/>
  <c r="A28" i="7"/>
  <c r="B28" i="7" s="1"/>
  <c r="C28" i="7" s="1"/>
  <c r="B27" i="7"/>
  <c r="A27" i="7"/>
  <c r="A26" i="7"/>
  <c r="B26" i="7" s="1"/>
  <c r="C26" i="7" s="1"/>
  <c r="A25" i="7"/>
  <c r="B25" i="7" s="1"/>
  <c r="A24" i="7"/>
  <c r="B24" i="7" s="1"/>
  <c r="B23" i="7"/>
  <c r="C23" i="7" s="1"/>
  <c r="A23" i="7"/>
  <c r="A22" i="7"/>
  <c r="B22" i="7" s="1"/>
  <c r="A21" i="7"/>
  <c r="B21" i="7" s="1"/>
  <c r="E21" i="7" s="1"/>
  <c r="A20" i="7"/>
  <c r="B20" i="7" s="1"/>
  <c r="E20" i="7" s="1"/>
  <c r="A19" i="7"/>
  <c r="B19" i="7" s="1"/>
  <c r="E19" i="7" s="1"/>
  <c r="A18" i="7"/>
  <c r="B18" i="7" s="1"/>
  <c r="A17" i="7"/>
  <c r="B17" i="7" s="1"/>
  <c r="A16" i="7"/>
  <c r="B16" i="7" s="1"/>
  <c r="A15" i="7"/>
  <c r="B15" i="7" s="1"/>
  <c r="C15" i="7" s="1"/>
  <c r="A14" i="7"/>
  <c r="B14" i="7" s="1"/>
  <c r="C14" i="7" s="1"/>
  <c r="B13" i="7"/>
  <c r="A13" i="7"/>
  <c r="A12" i="7"/>
  <c r="B12" i="7" s="1"/>
  <c r="A8" i="7"/>
  <c r="C8" i="7" s="1"/>
  <c r="C33" i="15" s="1"/>
  <c r="D33" i="15" s="1"/>
  <c r="E33" i="15" s="1"/>
  <c r="A7" i="7"/>
  <c r="B7" i="7" s="1"/>
  <c r="D7" i="7" s="1"/>
  <c r="A6" i="7"/>
  <c r="C6" i="7" s="1"/>
  <c r="C32" i="15" s="1"/>
  <c r="D32" i="15" s="1"/>
  <c r="E32" i="15" s="1"/>
  <c r="F126" i="6"/>
  <c r="A126" i="6"/>
  <c r="D126" i="6" s="1"/>
  <c r="E126" i="6" s="1"/>
  <c r="F125" i="6"/>
  <c r="A125" i="6"/>
  <c r="D125" i="6" s="1"/>
  <c r="E125" i="6" s="1"/>
  <c r="F124" i="6"/>
  <c r="A124" i="6"/>
  <c r="D124" i="6" s="1"/>
  <c r="E124" i="6" s="1"/>
  <c r="F123" i="6"/>
  <c r="B123" i="6"/>
  <c r="C123" i="6" s="1"/>
  <c r="G123" i="6" s="1"/>
  <c r="A123" i="6"/>
  <c r="F122" i="6"/>
  <c r="A122" i="6"/>
  <c r="F121" i="6"/>
  <c r="A121" i="6"/>
  <c r="F120" i="6"/>
  <c r="D120" i="6"/>
  <c r="E120" i="6" s="1"/>
  <c r="B120" i="6"/>
  <c r="C120" i="6" s="1"/>
  <c r="G120" i="6" s="1"/>
  <c r="A120" i="6"/>
  <c r="F119" i="6"/>
  <c r="A119" i="6"/>
  <c r="D119" i="6" s="1"/>
  <c r="E119" i="6" s="1"/>
  <c r="F118" i="6"/>
  <c r="A118" i="6"/>
  <c r="D118" i="6" s="1"/>
  <c r="E118" i="6" s="1"/>
  <c r="F117" i="6"/>
  <c r="A117" i="6"/>
  <c r="F116" i="6"/>
  <c r="A116" i="6"/>
  <c r="D116" i="6" s="1"/>
  <c r="E116" i="6" s="1"/>
  <c r="F115" i="6"/>
  <c r="A115" i="6"/>
  <c r="D115" i="6" s="1"/>
  <c r="E115" i="6" s="1"/>
  <c r="F114" i="6"/>
  <c r="A114" i="6"/>
  <c r="F113" i="6"/>
  <c r="A113" i="6"/>
  <c r="F112" i="6"/>
  <c r="A112" i="6"/>
  <c r="D112" i="6" s="1"/>
  <c r="E112" i="6" s="1"/>
  <c r="F111" i="6"/>
  <c r="A111" i="6"/>
  <c r="B111" i="6" s="1"/>
  <c r="C111" i="6" s="1"/>
  <c r="G111" i="6" s="1"/>
  <c r="F110" i="6"/>
  <c r="A110" i="6"/>
  <c r="D110" i="6" s="1"/>
  <c r="E110" i="6" s="1"/>
  <c r="F109" i="6"/>
  <c r="A109" i="6"/>
  <c r="B109" i="6" s="1"/>
  <c r="C109" i="6" s="1"/>
  <c r="F108" i="6"/>
  <c r="A108" i="6"/>
  <c r="D108" i="6" s="1"/>
  <c r="E108" i="6" s="1"/>
  <c r="F107" i="6"/>
  <c r="A107" i="6"/>
  <c r="F106" i="6"/>
  <c r="A106" i="6"/>
  <c r="F105" i="6"/>
  <c r="A105" i="6"/>
  <c r="D105" i="6" s="1"/>
  <c r="E105" i="6" s="1"/>
  <c r="F104" i="6"/>
  <c r="A104" i="6"/>
  <c r="B104" i="6" s="1"/>
  <c r="C104" i="6" s="1"/>
  <c r="F103" i="6"/>
  <c r="A103" i="6"/>
  <c r="D103" i="6" s="1"/>
  <c r="E103" i="6" s="1"/>
  <c r="F102" i="6"/>
  <c r="A102" i="6"/>
  <c r="F101" i="6"/>
  <c r="A101" i="6"/>
  <c r="D101" i="6" s="1"/>
  <c r="E101" i="6" s="1"/>
  <c r="F100" i="6"/>
  <c r="A100" i="6"/>
  <c r="B100" i="6" s="1"/>
  <c r="C100" i="6" s="1"/>
  <c r="F99" i="6"/>
  <c r="A99" i="6"/>
  <c r="D99" i="6" s="1"/>
  <c r="E99" i="6" s="1"/>
  <c r="F98" i="6"/>
  <c r="A98" i="6"/>
  <c r="F97" i="6"/>
  <c r="A97" i="6"/>
  <c r="F96" i="6"/>
  <c r="A96" i="6"/>
  <c r="F95" i="6"/>
  <c r="A95" i="6"/>
  <c r="D95" i="6" s="1"/>
  <c r="E95" i="6" s="1"/>
  <c r="F94" i="6"/>
  <c r="A94" i="6"/>
  <c r="D94" i="6" s="1"/>
  <c r="E94" i="6" s="1"/>
  <c r="F93" i="6"/>
  <c r="A93" i="6"/>
  <c r="F92" i="6"/>
  <c r="A92" i="6"/>
  <c r="F91" i="6"/>
  <c r="A91" i="6"/>
  <c r="D91" i="6" s="1"/>
  <c r="E91" i="6" s="1"/>
  <c r="F90" i="6"/>
  <c r="A90" i="6"/>
  <c r="B90" i="6" s="1"/>
  <c r="C90" i="6" s="1"/>
  <c r="F89" i="6"/>
  <c r="A89" i="6"/>
  <c r="F88" i="6"/>
  <c r="A88" i="6"/>
  <c r="D88" i="6" s="1"/>
  <c r="E88" i="6" s="1"/>
  <c r="F87" i="6"/>
  <c r="A87" i="6"/>
  <c r="B87" i="6" s="1"/>
  <c r="C87" i="6" s="1"/>
  <c r="F86" i="6"/>
  <c r="D86" i="6"/>
  <c r="E86" i="6" s="1"/>
  <c r="B86" i="6"/>
  <c r="C86" i="6" s="1"/>
  <c r="G86" i="6" s="1"/>
  <c r="A86" i="6"/>
  <c r="F85" i="6"/>
  <c r="A85" i="6"/>
  <c r="B85" i="6" s="1"/>
  <c r="C85" i="6" s="1"/>
  <c r="F84" i="6"/>
  <c r="A84" i="6"/>
  <c r="F83" i="6"/>
  <c r="A83" i="6"/>
  <c r="B83" i="6" s="1"/>
  <c r="C83" i="6" s="1"/>
  <c r="F82" i="6"/>
  <c r="A82" i="6"/>
  <c r="B82" i="6" s="1"/>
  <c r="C82" i="6" s="1"/>
  <c r="F81" i="6"/>
  <c r="A81" i="6"/>
  <c r="F80" i="6"/>
  <c r="A80" i="6"/>
  <c r="F79" i="6"/>
  <c r="A79" i="6"/>
  <c r="B79" i="6" s="1"/>
  <c r="C79" i="6" s="1"/>
  <c r="F78" i="6"/>
  <c r="A78" i="6"/>
  <c r="B78" i="6" s="1"/>
  <c r="C78" i="6" s="1"/>
  <c r="F77" i="6"/>
  <c r="A77" i="6"/>
  <c r="B77" i="6" s="1"/>
  <c r="C77" i="6" s="1"/>
  <c r="F76" i="6"/>
  <c r="A76" i="6"/>
  <c r="B76" i="6" s="1"/>
  <c r="C76" i="6" s="1"/>
  <c r="F75" i="6"/>
  <c r="D75" i="6"/>
  <c r="E75" i="6" s="1"/>
  <c r="A75" i="6"/>
  <c r="F74" i="6"/>
  <c r="A74" i="6"/>
  <c r="F73" i="6"/>
  <c r="A73" i="6"/>
  <c r="D73" i="6" s="1"/>
  <c r="E73" i="6" s="1"/>
  <c r="F72" i="6"/>
  <c r="A72" i="6"/>
  <c r="F71" i="6"/>
  <c r="A71" i="6"/>
  <c r="D71" i="6" s="1"/>
  <c r="E71" i="6" s="1"/>
  <c r="F70" i="6"/>
  <c r="A70" i="6"/>
  <c r="B70" i="6" s="1"/>
  <c r="C70" i="6" s="1"/>
  <c r="F69" i="6"/>
  <c r="A69" i="6"/>
  <c r="B69" i="6" s="1"/>
  <c r="C69" i="6" s="1"/>
  <c r="F68" i="6"/>
  <c r="A68" i="6"/>
  <c r="B68" i="6" s="1"/>
  <c r="C68" i="6" s="1"/>
  <c r="F67" i="6"/>
  <c r="A67" i="6"/>
  <c r="F66" i="6"/>
  <c r="A66" i="6"/>
  <c r="F65" i="6"/>
  <c r="A65" i="6"/>
  <c r="D65" i="6" s="1"/>
  <c r="E65" i="6" s="1"/>
  <c r="F64" i="6"/>
  <c r="A64" i="6"/>
  <c r="D64" i="6" s="1"/>
  <c r="E64" i="6" s="1"/>
  <c r="F63" i="6"/>
  <c r="A63" i="6"/>
  <c r="F62" i="6"/>
  <c r="A62" i="6"/>
  <c r="D62" i="6" s="1"/>
  <c r="E62" i="6" s="1"/>
  <c r="F61" i="6"/>
  <c r="A61" i="6"/>
  <c r="B61" i="6" s="1"/>
  <c r="C61" i="6" s="1"/>
  <c r="F60" i="6"/>
  <c r="A60" i="6"/>
  <c r="F59" i="6"/>
  <c r="A59" i="6"/>
  <c r="D59" i="6" s="1"/>
  <c r="E59" i="6" s="1"/>
  <c r="F58" i="6"/>
  <c r="A58" i="6"/>
  <c r="D58" i="6" s="1"/>
  <c r="E58" i="6" s="1"/>
  <c r="F57" i="6"/>
  <c r="A57" i="6"/>
  <c r="D57" i="6" s="1"/>
  <c r="E57" i="6" s="1"/>
  <c r="F56" i="6"/>
  <c r="A56" i="6"/>
  <c r="F55" i="6"/>
  <c r="A55" i="6"/>
  <c r="F54" i="6"/>
  <c r="A54" i="6"/>
  <c r="D54" i="6" s="1"/>
  <c r="E54" i="6" s="1"/>
  <c r="F53" i="6"/>
  <c r="D53" i="6"/>
  <c r="E53" i="6" s="1"/>
  <c r="B53" i="6"/>
  <c r="C53" i="6" s="1"/>
  <c r="A53" i="6"/>
  <c r="F52" i="6"/>
  <c r="A52" i="6"/>
  <c r="F51" i="6"/>
  <c r="D51" i="6"/>
  <c r="E51" i="6" s="1"/>
  <c r="A51" i="6"/>
  <c r="B51" i="6" s="1"/>
  <c r="C51" i="6" s="1"/>
  <c r="G51" i="6" s="1"/>
  <c r="F50" i="6"/>
  <c r="A50" i="6"/>
  <c r="B50" i="6" s="1"/>
  <c r="C50" i="6" s="1"/>
  <c r="F49" i="6"/>
  <c r="A49" i="6"/>
  <c r="D49" i="6" s="1"/>
  <c r="E49" i="6" s="1"/>
  <c r="F48" i="6"/>
  <c r="A48" i="6"/>
  <c r="D48" i="6" s="1"/>
  <c r="E48" i="6" s="1"/>
  <c r="F47" i="6"/>
  <c r="A47" i="6"/>
  <c r="F46" i="6"/>
  <c r="A46" i="6"/>
  <c r="F45" i="6"/>
  <c r="A45" i="6"/>
  <c r="D45" i="6" s="1"/>
  <c r="E45" i="6" s="1"/>
  <c r="F44" i="6"/>
  <c r="A44" i="6"/>
  <c r="B44" i="6" s="1"/>
  <c r="C44" i="6" s="1"/>
  <c r="F43" i="6"/>
  <c r="A43" i="6"/>
  <c r="B43" i="6" s="1"/>
  <c r="C43" i="6" s="1"/>
  <c r="F42" i="6"/>
  <c r="A42" i="6"/>
  <c r="B42" i="6" s="1"/>
  <c r="C42" i="6" s="1"/>
  <c r="F41" i="6"/>
  <c r="A41" i="6"/>
  <c r="D41" i="6" s="1"/>
  <c r="E41" i="6" s="1"/>
  <c r="F40" i="6"/>
  <c r="A40" i="6"/>
  <c r="F39" i="6"/>
  <c r="B39" i="6"/>
  <c r="C39" i="6" s="1"/>
  <c r="G39" i="6" s="1"/>
  <c r="A39" i="6"/>
  <c r="D39" i="6" s="1"/>
  <c r="E39" i="6" s="1"/>
  <c r="F38" i="6"/>
  <c r="A38" i="6"/>
  <c r="D38" i="6" s="1"/>
  <c r="E38" i="6" s="1"/>
  <c r="F37" i="6"/>
  <c r="A37" i="6"/>
  <c r="B37" i="6" s="1"/>
  <c r="C37" i="6" s="1"/>
  <c r="F36" i="6"/>
  <c r="A36" i="6"/>
  <c r="B36" i="6" s="1"/>
  <c r="C36" i="6" s="1"/>
  <c r="F35" i="6"/>
  <c r="A35" i="6"/>
  <c r="B35" i="6" s="1"/>
  <c r="C35" i="6" s="1"/>
  <c r="F34" i="6"/>
  <c r="A34" i="6"/>
  <c r="D34" i="6" s="1"/>
  <c r="E34" i="6" s="1"/>
  <c r="F33" i="6"/>
  <c r="B33" i="6"/>
  <c r="C33" i="6" s="1"/>
  <c r="A33" i="6"/>
  <c r="D33" i="6" s="1"/>
  <c r="E33" i="6" s="1"/>
  <c r="F32" i="6"/>
  <c r="A32" i="6"/>
  <c r="F31" i="6"/>
  <c r="A31" i="6"/>
  <c r="F30" i="6"/>
  <c r="A30" i="6"/>
  <c r="D30" i="6" s="1"/>
  <c r="E30" i="6" s="1"/>
  <c r="F29" i="6"/>
  <c r="A29" i="6"/>
  <c r="D29" i="6" s="1"/>
  <c r="E29" i="6" s="1"/>
  <c r="F28" i="6"/>
  <c r="A28" i="6"/>
  <c r="F27" i="6"/>
  <c r="A27" i="6"/>
  <c r="D27" i="6" s="1"/>
  <c r="E27" i="6" s="1"/>
  <c r="F26" i="6"/>
  <c r="D26" i="6"/>
  <c r="E26" i="6" s="1"/>
  <c r="B26" i="6"/>
  <c r="C26" i="6" s="1"/>
  <c r="G26" i="6" s="1"/>
  <c r="A26" i="6"/>
  <c r="B24" i="6"/>
  <c r="C113" i="15" s="1"/>
  <c r="D113" i="15" s="1"/>
  <c r="E113" i="15" s="1"/>
  <c r="F20" i="6"/>
  <c r="C93" i="15" s="1"/>
  <c r="D93" i="15" s="1"/>
  <c r="E93" i="15" s="1"/>
  <c r="D20" i="6"/>
  <c r="E20" i="6" s="1"/>
  <c r="F19" i="6"/>
  <c r="D19" i="6"/>
  <c r="F18" i="6"/>
  <c r="D18" i="6"/>
  <c r="C90" i="15" s="1"/>
  <c r="D90" i="15" s="1"/>
  <c r="E90" i="15" s="1"/>
  <c r="B18" i="6"/>
  <c r="B10" i="6"/>
  <c r="B9" i="6"/>
  <c r="B21" i="6" s="1"/>
  <c r="B8" i="6"/>
  <c r="H30" i="6" s="1"/>
  <c r="B7" i="6"/>
  <c r="C27" i="15" s="1"/>
  <c r="D27" i="15" s="1"/>
  <c r="E27" i="15" s="1"/>
  <c r="B38" i="5"/>
  <c r="B34" i="5"/>
  <c r="B49" i="5" s="1"/>
  <c r="C43" i="15" s="1"/>
  <c r="D43" i="15" s="1"/>
  <c r="E43" i="15" s="1"/>
  <c r="B25" i="5"/>
  <c r="B24" i="5"/>
  <c r="B23" i="5"/>
  <c r="B22" i="5"/>
  <c r="B21" i="5"/>
  <c r="C15" i="5"/>
  <c r="B15" i="5"/>
  <c r="C16" i="15" s="1"/>
  <c r="D16" i="15" s="1"/>
  <c r="E16" i="15" s="1"/>
  <c r="B14" i="5"/>
  <c r="C105" i="15" s="1"/>
  <c r="D105" i="15" s="1"/>
  <c r="E105" i="15" s="1"/>
  <c r="B13" i="5"/>
  <c r="C39" i="15" s="1"/>
  <c r="D39" i="15" s="1"/>
  <c r="E39" i="15" s="1"/>
  <c r="B8" i="5"/>
  <c r="B40" i="5" s="1"/>
  <c r="B7" i="5"/>
  <c r="B9" i="5" s="1"/>
  <c r="B6" i="5"/>
  <c r="A102" i="4"/>
  <c r="B102" i="4" s="1"/>
  <c r="A101" i="4"/>
  <c r="A100" i="4"/>
  <c r="A99" i="4"/>
  <c r="A98" i="4"/>
  <c r="B98" i="4" s="1"/>
  <c r="C98" i="4" s="1"/>
  <c r="A97" i="4"/>
  <c r="B97" i="4" s="1"/>
  <c r="A96" i="4"/>
  <c r="A95" i="4"/>
  <c r="B95" i="4" s="1"/>
  <c r="A94" i="4"/>
  <c r="B94" i="4" s="1"/>
  <c r="A93" i="4"/>
  <c r="B93" i="4" s="1"/>
  <c r="A92" i="4"/>
  <c r="N92" i="4" s="1"/>
  <c r="A91" i="4"/>
  <c r="A90" i="4"/>
  <c r="N90" i="4" s="1"/>
  <c r="A89" i="4"/>
  <c r="N89" i="4" s="1"/>
  <c r="A88" i="4"/>
  <c r="A87" i="4"/>
  <c r="N87" i="4" s="1"/>
  <c r="A86" i="4"/>
  <c r="A85" i="4"/>
  <c r="B85" i="4" s="1"/>
  <c r="C85" i="4" s="1"/>
  <c r="A84" i="4"/>
  <c r="A83" i="4"/>
  <c r="A82" i="4"/>
  <c r="N81" i="4"/>
  <c r="B81" i="4"/>
  <c r="C81" i="4" s="1"/>
  <c r="A81" i="4"/>
  <c r="A80" i="4"/>
  <c r="N80" i="4" s="1"/>
  <c r="A79" i="4"/>
  <c r="N78" i="4"/>
  <c r="A78" i="4"/>
  <c r="B78" i="4" s="1"/>
  <c r="C78" i="4" s="1"/>
  <c r="D78" i="4" s="1"/>
  <c r="A77" i="4"/>
  <c r="A76" i="4"/>
  <c r="B76" i="4" s="1"/>
  <c r="C76" i="4" s="1"/>
  <c r="A75" i="4"/>
  <c r="N75" i="4" s="1"/>
  <c r="A74" i="4"/>
  <c r="N74" i="4" s="1"/>
  <c r="A73" i="4"/>
  <c r="N73" i="4" s="1"/>
  <c r="B72" i="4"/>
  <c r="C72" i="4" s="1"/>
  <c r="A72" i="4"/>
  <c r="N72" i="4" s="1"/>
  <c r="A71" i="4"/>
  <c r="A70" i="4"/>
  <c r="N70" i="4" s="1"/>
  <c r="A69" i="4"/>
  <c r="N69" i="4" s="1"/>
  <c r="A68" i="4"/>
  <c r="A67" i="4"/>
  <c r="B67" i="4" s="1"/>
  <c r="N66" i="4"/>
  <c r="B66" i="4"/>
  <c r="C66" i="4" s="1"/>
  <c r="D66" i="4" s="1"/>
  <c r="A66" i="4"/>
  <c r="A65" i="4"/>
  <c r="N64" i="4"/>
  <c r="A64" i="4"/>
  <c r="B64" i="4" s="1"/>
  <c r="C64" i="4" s="1"/>
  <c r="A63" i="4"/>
  <c r="N63" i="4" s="1"/>
  <c r="A62" i="4"/>
  <c r="A61" i="4"/>
  <c r="N61" i="4" s="1"/>
  <c r="A60" i="4"/>
  <c r="B60" i="4" s="1"/>
  <c r="C60" i="4" s="1"/>
  <c r="A59" i="4"/>
  <c r="A58" i="4"/>
  <c r="B58" i="4" s="1"/>
  <c r="A57" i="4"/>
  <c r="N57" i="4" s="1"/>
  <c r="A56" i="4"/>
  <c r="N56" i="4" s="1"/>
  <c r="A55" i="4"/>
  <c r="A54" i="4"/>
  <c r="A53" i="4"/>
  <c r="N53" i="4" s="1"/>
  <c r="A52" i="4"/>
  <c r="N52" i="4" s="1"/>
  <c r="A51" i="4"/>
  <c r="N51" i="4" s="1"/>
  <c r="A50" i="4"/>
  <c r="B50" i="4" s="1"/>
  <c r="A49" i="4"/>
  <c r="N49" i="4" s="1"/>
  <c r="A48" i="4"/>
  <c r="B48" i="4" s="1"/>
  <c r="A47" i="4"/>
  <c r="A46" i="4"/>
  <c r="B46" i="4" s="1"/>
  <c r="C46" i="4" s="1"/>
  <c r="D46" i="4" s="1"/>
  <c r="A45" i="4"/>
  <c r="N45" i="4" s="1"/>
  <c r="A44" i="4"/>
  <c r="N44" i="4" s="1"/>
  <c r="A43" i="4"/>
  <c r="A42" i="4"/>
  <c r="B42" i="4" s="1"/>
  <c r="C42" i="4" s="1"/>
  <c r="N41" i="4"/>
  <c r="A41" i="4"/>
  <c r="B41" i="4" s="1"/>
  <c r="C41" i="4" s="1"/>
  <c r="A40" i="4"/>
  <c r="N40" i="4" s="1"/>
  <c r="A39" i="4"/>
  <c r="N39" i="4" s="1"/>
  <c r="A38" i="4"/>
  <c r="N38" i="4" s="1"/>
  <c r="A37" i="4"/>
  <c r="N37" i="4" s="1"/>
  <c r="A36" i="4"/>
  <c r="A35" i="4"/>
  <c r="N35" i="4" s="1"/>
  <c r="A34" i="4"/>
  <c r="N34" i="4" s="1"/>
  <c r="A33" i="4"/>
  <c r="B33" i="4" s="1"/>
  <c r="C33" i="4" s="1"/>
  <c r="A32" i="4"/>
  <c r="A31" i="4"/>
  <c r="B31" i="4" s="1"/>
  <c r="A30" i="4"/>
  <c r="N30" i="4" s="1"/>
  <c r="A29" i="4"/>
  <c r="N29" i="4" s="1"/>
  <c r="A28" i="4"/>
  <c r="A27" i="4"/>
  <c r="N27" i="4" s="1"/>
  <c r="A26" i="4"/>
  <c r="N26" i="4" s="1"/>
  <c r="A25" i="4"/>
  <c r="N25" i="4" s="1"/>
  <c r="A24" i="4"/>
  <c r="B24" i="4" s="1"/>
  <c r="C24" i="4" s="1"/>
  <c r="A23" i="4"/>
  <c r="N23" i="4" s="1"/>
  <c r="A22" i="4"/>
  <c r="N22" i="4" s="1"/>
  <c r="A21" i="4"/>
  <c r="B21" i="4" s="1"/>
  <c r="C21" i="4" s="1"/>
  <c r="A20" i="4"/>
  <c r="B20" i="4" s="1"/>
  <c r="C20" i="4" s="1"/>
  <c r="A19" i="4"/>
  <c r="N19" i="4" s="1"/>
  <c r="A18" i="4"/>
  <c r="N18" i="4" s="1"/>
  <c r="A17" i="4"/>
  <c r="N17" i="4" s="1"/>
  <c r="A16" i="4"/>
  <c r="A15" i="4"/>
  <c r="B15" i="4" s="1"/>
  <c r="C15" i="4" s="1"/>
  <c r="A14" i="4"/>
  <c r="N14" i="4" s="1"/>
  <c r="A13" i="4"/>
  <c r="B13" i="4" s="1"/>
  <c r="A12" i="4"/>
  <c r="N12" i="4" s="1"/>
  <c r="A11" i="4"/>
  <c r="N11" i="4" s="1"/>
  <c r="A10" i="4"/>
  <c r="B10" i="4" s="1"/>
  <c r="A9" i="4"/>
  <c r="B9" i="4" s="1"/>
  <c r="C9" i="4" s="1"/>
  <c r="A8" i="4"/>
  <c r="B8" i="4" s="1"/>
  <c r="B52" i="3"/>
  <c r="B51" i="3"/>
  <c r="C99" i="15" s="1"/>
  <c r="D99" i="15" s="1"/>
  <c r="E99" i="15" s="1"/>
  <c r="B50" i="3"/>
  <c r="D44" i="3"/>
  <c r="F44" i="3" s="1"/>
  <c r="B44" i="3"/>
  <c r="A44" i="3"/>
  <c r="B43" i="3"/>
  <c r="A43" i="3"/>
  <c r="B42" i="3"/>
  <c r="A42" i="3"/>
  <c r="D41" i="3"/>
  <c r="F41" i="3" s="1"/>
  <c r="H41" i="3" s="1"/>
  <c r="B41" i="3"/>
  <c r="A41" i="3"/>
  <c r="D40" i="3"/>
  <c r="F40" i="3" s="1"/>
  <c r="G40" i="3" s="1"/>
  <c r="B40" i="3"/>
  <c r="A40" i="3"/>
  <c r="D39" i="3"/>
  <c r="F39" i="3" s="1"/>
  <c r="B39" i="3"/>
  <c r="A39" i="3"/>
  <c r="D38" i="3"/>
  <c r="F38" i="3" s="1"/>
  <c r="B38" i="3"/>
  <c r="A38" i="3"/>
  <c r="B27" i="3"/>
  <c r="B21" i="3"/>
  <c r="C8" i="15" s="1"/>
  <c r="D8" i="15" s="1"/>
  <c r="E8" i="15" s="1"/>
  <c r="B9" i="2"/>
  <c r="D43" i="3" s="1"/>
  <c r="F43" i="3" s="1"/>
  <c r="E38" i="7" l="1"/>
  <c r="D38" i="7"/>
  <c r="D61" i="6"/>
  <c r="E61" i="6" s="1"/>
  <c r="G61" i="6" s="1"/>
  <c r="D104" i="6"/>
  <c r="E104" i="6" s="1"/>
  <c r="C18" i="6"/>
  <c r="D35" i="6"/>
  <c r="E35" i="6" s="1"/>
  <c r="B105" i="6"/>
  <c r="C105" i="6" s="1"/>
  <c r="D42" i="6"/>
  <c r="E42" i="6" s="1"/>
  <c r="D90" i="6"/>
  <c r="E90" i="6" s="1"/>
  <c r="G90" i="6" s="1"/>
  <c r="D28" i="7"/>
  <c r="G66" i="4"/>
  <c r="B44" i="4"/>
  <c r="B70" i="4"/>
  <c r="C70" i="4" s="1"/>
  <c r="E70" i="4" s="1"/>
  <c r="B57" i="6"/>
  <c r="C57" i="6" s="1"/>
  <c r="G57" i="6" s="1"/>
  <c r="B30" i="4"/>
  <c r="C30" i="4" s="1"/>
  <c r="G30" i="4" s="1"/>
  <c r="N98" i="4"/>
  <c r="B115" i="6"/>
  <c r="C115" i="6" s="1"/>
  <c r="G115" i="6" s="1"/>
  <c r="E66" i="4"/>
  <c r="N9" i="4"/>
  <c r="N21" i="4"/>
  <c r="B12" i="4"/>
  <c r="B95" i="6"/>
  <c r="C95" i="6" s="1"/>
  <c r="F66" i="4"/>
  <c r="H46" i="6"/>
  <c r="G53" i="6"/>
  <c r="C42" i="7"/>
  <c r="D42" i="7"/>
  <c r="E42" i="7"/>
  <c r="E41" i="7"/>
  <c r="C41" i="7"/>
  <c r="D41" i="7"/>
  <c r="E58" i="7"/>
  <c r="D58" i="7"/>
  <c r="C58" i="7"/>
  <c r="C25" i="7"/>
  <c r="E25" i="7"/>
  <c r="D25" i="7"/>
  <c r="D16" i="7"/>
  <c r="E16" i="7"/>
  <c r="C16" i="7"/>
  <c r="D57" i="7"/>
  <c r="E57" i="7"/>
  <c r="C57" i="7"/>
  <c r="B53" i="4"/>
  <c r="C53" i="4" s="1"/>
  <c r="G53" i="4" s="1"/>
  <c r="E47" i="7"/>
  <c r="N60" i="4"/>
  <c r="D36" i="6"/>
  <c r="E36" i="6" s="1"/>
  <c r="G36" i="6" s="1"/>
  <c r="B54" i="6"/>
  <c r="C54" i="6" s="1"/>
  <c r="G54" i="6" s="1"/>
  <c r="B88" i="6"/>
  <c r="C88" i="6" s="1"/>
  <c r="G88" i="6" s="1"/>
  <c r="N15" i="4"/>
  <c r="N33" i="4"/>
  <c r="B61" i="4"/>
  <c r="C61" i="4" s="1"/>
  <c r="F61" i="4" s="1"/>
  <c r="B75" i="4"/>
  <c r="C75" i="4" s="1"/>
  <c r="G75" i="4" s="1"/>
  <c r="B90" i="4"/>
  <c r="C97" i="4"/>
  <c r="B46" i="6"/>
  <c r="C46" i="6" s="1"/>
  <c r="D50" i="6"/>
  <c r="E50" i="6" s="1"/>
  <c r="G50" i="6" s="1"/>
  <c r="B59" i="6"/>
  <c r="C59" i="6" s="1"/>
  <c r="G59" i="6" s="1"/>
  <c r="B64" i="6"/>
  <c r="C64" i="6" s="1"/>
  <c r="D78" i="6"/>
  <c r="E78" i="6" s="1"/>
  <c r="G78" i="6" s="1"/>
  <c r="B73" i="4"/>
  <c r="C73" i="4" s="1"/>
  <c r="D73" i="4" s="1"/>
  <c r="B45" i="6"/>
  <c r="C45" i="6" s="1"/>
  <c r="G45" i="6" s="1"/>
  <c r="B116" i="6"/>
  <c r="C116" i="6" s="1"/>
  <c r="G116" i="6" s="1"/>
  <c r="D47" i="7"/>
  <c r="B73" i="6"/>
  <c r="C73" i="6" s="1"/>
  <c r="G73" i="6" s="1"/>
  <c r="D83" i="6"/>
  <c r="E83" i="6" s="1"/>
  <c r="G83" i="6" s="1"/>
  <c r="B25" i="4"/>
  <c r="C25" i="4" s="1"/>
  <c r="B10" i="2"/>
  <c r="N67" i="4"/>
  <c r="D76" i="4"/>
  <c r="C90" i="4"/>
  <c r="B19" i="6"/>
  <c r="D46" i="6"/>
  <c r="E46" i="6" s="1"/>
  <c r="G46" i="6" s="1"/>
  <c r="B94" i="6"/>
  <c r="C94" i="6" s="1"/>
  <c r="G104" i="6"/>
  <c r="B118" i="6"/>
  <c r="C118" i="6" s="1"/>
  <c r="G118" i="6" s="1"/>
  <c r="B38" i="4"/>
  <c r="C38" i="4" s="1"/>
  <c r="G38" i="4" s="1"/>
  <c r="B49" i="6"/>
  <c r="C49" i="6" s="1"/>
  <c r="G49" i="6" s="1"/>
  <c r="B39" i="4"/>
  <c r="C39" i="4" s="1"/>
  <c r="E39" i="4" s="1"/>
  <c r="B112" i="6"/>
  <c r="C112" i="6" s="1"/>
  <c r="G112" i="6" s="1"/>
  <c r="G33" i="6"/>
  <c r="B23" i="3"/>
  <c r="B35" i="9" s="1"/>
  <c r="B35" i="4"/>
  <c r="C35" i="4" s="1"/>
  <c r="B49" i="4"/>
  <c r="C49" i="4" s="1"/>
  <c r="G49" i="4" s="1"/>
  <c r="B29" i="6"/>
  <c r="C29" i="6" s="1"/>
  <c r="G29" i="6" s="1"/>
  <c r="C19" i="7"/>
  <c r="B87" i="4"/>
  <c r="C87" i="4" s="1"/>
  <c r="F87" i="4" s="1"/>
  <c r="H27" i="6"/>
  <c r="N10" i="4"/>
  <c r="N42" i="4"/>
  <c r="B56" i="4"/>
  <c r="C56" i="4" s="1"/>
  <c r="G56" i="4" s="1"/>
  <c r="B65" i="6"/>
  <c r="C65" i="6" s="1"/>
  <c r="G65" i="6" s="1"/>
  <c r="B8" i="7"/>
  <c r="D8" i="7" s="1"/>
  <c r="N13" i="4"/>
  <c r="N24" i="4"/>
  <c r="B126" i="6"/>
  <c r="C126" i="6" s="1"/>
  <c r="G126" i="6" s="1"/>
  <c r="N82" i="4"/>
  <c r="D42" i="3"/>
  <c r="F42" i="3" s="1"/>
  <c r="G42" i="3" s="1"/>
  <c r="B11" i="4"/>
  <c r="C11" i="4" s="1"/>
  <c r="C50" i="4"/>
  <c r="B35" i="5"/>
  <c r="B34" i="6"/>
  <c r="C34" i="6" s="1"/>
  <c r="B38" i="6"/>
  <c r="C38" i="6" s="1"/>
  <c r="H43" i="6"/>
  <c r="B71" i="6"/>
  <c r="C71" i="6" s="1"/>
  <c r="G71" i="6" s="1"/>
  <c r="B110" i="6"/>
  <c r="C110" i="6" s="1"/>
  <c r="G110" i="6" s="1"/>
  <c r="D20" i="7"/>
  <c r="C60" i="7"/>
  <c r="B58" i="6"/>
  <c r="C58" i="6" s="1"/>
  <c r="G58" i="6" s="1"/>
  <c r="B103" i="6"/>
  <c r="C103" i="6" s="1"/>
  <c r="G103" i="6" s="1"/>
  <c r="N31" i="4"/>
  <c r="B82" i="4"/>
  <c r="C82" i="4" s="1"/>
  <c r="G105" i="6"/>
  <c r="D60" i="7"/>
  <c r="H40" i="3"/>
  <c r="C31" i="4"/>
  <c r="N46" i="4"/>
  <c r="H50" i="6"/>
  <c r="N50" i="4"/>
  <c r="C12" i="4"/>
  <c r="D12" i="4" s="1"/>
  <c r="N93" i="4"/>
  <c r="B30" i="6"/>
  <c r="C30" i="6" s="1"/>
  <c r="G30" i="6" s="1"/>
  <c r="B48" i="6"/>
  <c r="C48" i="6" s="1"/>
  <c r="G48" i="6" s="1"/>
  <c r="B124" i="6"/>
  <c r="C124" i="6" s="1"/>
  <c r="G124" i="6" s="1"/>
  <c r="E28" i="7"/>
  <c r="C38" i="7"/>
  <c r="B108" i="6"/>
  <c r="C108" i="6" s="1"/>
  <c r="G108" i="6" s="1"/>
  <c r="C67" i="4"/>
  <c r="G67" i="4" s="1"/>
  <c r="C94" i="4"/>
  <c r="D94" i="4" s="1"/>
  <c r="G81" i="4"/>
  <c r="D81" i="4"/>
  <c r="F81" i="4"/>
  <c r="E81" i="4"/>
  <c r="D60" i="4"/>
  <c r="E60" i="4"/>
  <c r="G60" i="4"/>
  <c r="F60" i="4"/>
  <c r="G39" i="3"/>
  <c r="H39" i="3"/>
  <c r="H44" i="3"/>
  <c r="G44" i="3"/>
  <c r="G98" i="4"/>
  <c r="F98" i="4"/>
  <c r="E98" i="4"/>
  <c r="E87" i="4"/>
  <c r="D87" i="4"/>
  <c r="G41" i="4"/>
  <c r="F41" i="4"/>
  <c r="E41" i="4"/>
  <c r="D41" i="4"/>
  <c r="E30" i="4"/>
  <c r="D33" i="4"/>
  <c r="G33" i="4"/>
  <c r="F33" i="4"/>
  <c r="E33" i="4"/>
  <c r="H43" i="3"/>
  <c r="G43" i="3"/>
  <c r="F75" i="4"/>
  <c r="G24" i="4"/>
  <c r="F24" i="4"/>
  <c r="E24" i="4"/>
  <c r="D24" i="4"/>
  <c r="G42" i="4"/>
  <c r="F42" i="4"/>
  <c r="E42" i="4"/>
  <c r="D42" i="4"/>
  <c r="D20" i="4"/>
  <c r="G20" i="4"/>
  <c r="F20" i="4"/>
  <c r="E20" i="4"/>
  <c r="C40" i="15"/>
  <c r="D40" i="15" s="1"/>
  <c r="E40" i="15" s="1"/>
  <c r="H38" i="3"/>
  <c r="G38" i="3"/>
  <c r="C102" i="15" s="1"/>
  <c r="D102" i="15" s="1"/>
  <c r="E102" i="15" s="1"/>
  <c r="F21" i="4"/>
  <c r="E21" i="4"/>
  <c r="D21" i="4"/>
  <c r="G21" i="4"/>
  <c r="F39" i="4"/>
  <c r="D39" i="4"/>
  <c r="G15" i="4"/>
  <c r="H15" i="4"/>
  <c r="F15" i="4"/>
  <c r="E15" i="4"/>
  <c r="D15" i="4"/>
  <c r="G72" i="4"/>
  <c r="E72" i="4"/>
  <c r="F72" i="4"/>
  <c r="D72" i="4"/>
  <c r="I72" i="4" s="1"/>
  <c r="J72" i="4" s="1"/>
  <c r="G64" i="4"/>
  <c r="E64" i="4"/>
  <c r="D64" i="4"/>
  <c r="H64" i="4" s="1"/>
  <c r="B96" i="4"/>
  <c r="C96" i="4" s="1"/>
  <c r="N96" i="4"/>
  <c r="B99" i="4"/>
  <c r="C99" i="4" s="1"/>
  <c r="N99" i="4"/>
  <c r="F78" i="4"/>
  <c r="E78" i="4"/>
  <c r="H78" i="4" s="1"/>
  <c r="B89" i="4"/>
  <c r="D9" i="4"/>
  <c r="C58" i="4"/>
  <c r="B68" i="4"/>
  <c r="C68" i="4" s="1"/>
  <c r="N68" i="4"/>
  <c r="E76" i="4"/>
  <c r="G78" i="4"/>
  <c r="C89" i="4"/>
  <c r="B91" i="4"/>
  <c r="C91" i="4" s="1"/>
  <c r="N91" i="4"/>
  <c r="D31" i="6"/>
  <c r="E31" i="6" s="1"/>
  <c r="B31" i="6"/>
  <c r="C31" i="6" s="1"/>
  <c r="G31" i="6" s="1"/>
  <c r="G35" i="6"/>
  <c r="C8" i="4"/>
  <c r="E9" i="4"/>
  <c r="B14" i="4"/>
  <c r="B19" i="4"/>
  <c r="B51" i="4"/>
  <c r="C51" i="4" s="1"/>
  <c r="H66" i="4"/>
  <c r="B74" i="4"/>
  <c r="C74" i="4" s="1"/>
  <c r="H76" i="4"/>
  <c r="C41" i="15"/>
  <c r="D41" i="15" s="1"/>
  <c r="E41" i="15" s="1"/>
  <c r="B36" i="5"/>
  <c r="C42" i="15" s="1"/>
  <c r="D42" i="15" s="1"/>
  <c r="E42" i="15" s="1"/>
  <c r="H98" i="6"/>
  <c r="D98" i="6"/>
  <c r="E98" i="6" s="1"/>
  <c r="B98" i="6"/>
  <c r="C98" i="6" s="1"/>
  <c r="G98" i="6" s="1"/>
  <c r="B32" i="4"/>
  <c r="C32" i="4" s="1"/>
  <c r="B23" i="4"/>
  <c r="C23" i="4" s="1"/>
  <c r="F9" i="4"/>
  <c r="C14" i="4"/>
  <c r="C19" i="4"/>
  <c r="B34" i="4"/>
  <c r="C34" i="4" s="1"/>
  <c r="D28" i="6"/>
  <c r="E28" i="6" s="1"/>
  <c r="B28" i="6"/>
  <c r="C28" i="6" s="1"/>
  <c r="H28" i="6"/>
  <c r="H31" i="6"/>
  <c r="H93" i="6"/>
  <c r="D93" i="6"/>
  <c r="E93" i="6" s="1"/>
  <c r="B93" i="6"/>
  <c r="C93" i="6" s="1"/>
  <c r="N62" i="4"/>
  <c r="F97" i="4"/>
  <c r="D32" i="6"/>
  <c r="E32" i="6" s="1"/>
  <c r="B32" i="6"/>
  <c r="C32" i="6" s="1"/>
  <c r="G32" i="6" s="1"/>
  <c r="H32" i="6"/>
  <c r="H60" i="6"/>
  <c r="D60" i="6"/>
  <c r="E60" i="6" s="1"/>
  <c r="B60" i="6"/>
  <c r="C60" i="6" s="1"/>
  <c r="B29" i="4"/>
  <c r="C29" i="4" s="1"/>
  <c r="B37" i="4"/>
  <c r="C37" i="4" s="1"/>
  <c r="F64" i="4"/>
  <c r="G9" i="4"/>
  <c r="C48" i="4"/>
  <c r="B55" i="4"/>
  <c r="C55" i="4" s="1"/>
  <c r="N58" i="4"/>
  <c r="B63" i="4"/>
  <c r="C63" i="4" s="1"/>
  <c r="B92" i="4"/>
  <c r="C92" i="4" s="1"/>
  <c r="E97" i="4"/>
  <c r="N100" i="4"/>
  <c r="B100" i="4"/>
  <c r="C100" i="4" s="1"/>
  <c r="C11" i="15"/>
  <c r="D11" i="15" s="1"/>
  <c r="E11" i="15" s="1"/>
  <c r="B10" i="5"/>
  <c r="D47" i="6"/>
  <c r="E47" i="6" s="1"/>
  <c r="B47" i="6"/>
  <c r="C47" i="6" s="1"/>
  <c r="H47" i="6"/>
  <c r="C13" i="4"/>
  <c r="B18" i="4"/>
  <c r="C18" i="4" s="1"/>
  <c r="D85" i="4"/>
  <c r="G85" i="4"/>
  <c r="F85" i="4"/>
  <c r="E85" i="4"/>
  <c r="G97" i="4"/>
  <c r="B22" i="3"/>
  <c r="N16" i="4"/>
  <c r="N20" i="4"/>
  <c r="D31" i="4"/>
  <c r="N32" i="4"/>
  <c r="B36" i="4"/>
  <c r="C36" i="4" s="1"/>
  <c r="F46" i="4"/>
  <c r="E46" i="4"/>
  <c r="H46" i="4" s="1"/>
  <c r="G46" i="4"/>
  <c r="B59" i="4"/>
  <c r="C59" i="4" s="1"/>
  <c r="N59" i="4"/>
  <c r="B65" i="4"/>
  <c r="C65" i="4" s="1"/>
  <c r="N65" i="4"/>
  <c r="B69" i="4"/>
  <c r="C69" i="4" s="1"/>
  <c r="C77" i="4"/>
  <c r="N101" i="4"/>
  <c r="C28" i="15"/>
  <c r="D28" i="15" s="1"/>
  <c r="E28" i="15" s="1"/>
  <c r="H42" i="6"/>
  <c r="H94" i="6"/>
  <c r="H116" i="6"/>
  <c r="H86" i="6"/>
  <c r="C19" i="6"/>
  <c r="H126" i="6"/>
  <c r="H118" i="6"/>
  <c r="H110" i="6"/>
  <c r="H61" i="6"/>
  <c r="H78" i="6"/>
  <c r="H120" i="6"/>
  <c r="H124" i="6"/>
  <c r="H33" i="6"/>
  <c r="H112" i="6"/>
  <c r="H65" i="6"/>
  <c r="H54" i="6"/>
  <c r="G24" i="6"/>
  <c r="C114" i="15" s="1"/>
  <c r="D114" i="15" s="1"/>
  <c r="E114" i="15" s="1"/>
  <c r="H122" i="6"/>
  <c r="H59" i="6"/>
  <c r="B20" i="6"/>
  <c r="H45" i="6"/>
  <c r="H29" i="6"/>
  <c r="H104" i="6"/>
  <c r="H82" i="6"/>
  <c r="H48" i="6"/>
  <c r="H38" i="6"/>
  <c r="H88" i="6"/>
  <c r="H64" i="6"/>
  <c r="B13" i="6"/>
  <c r="C106" i="15" s="1"/>
  <c r="D106" i="15" s="1"/>
  <c r="E106" i="15" s="1"/>
  <c r="H40" i="6"/>
  <c r="B43" i="4"/>
  <c r="C43" i="4" s="1"/>
  <c r="N43" i="4"/>
  <c r="G41" i="3"/>
  <c r="B17" i="4"/>
  <c r="C17" i="4" s="1"/>
  <c r="B27" i="4"/>
  <c r="C27" i="4" s="1"/>
  <c r="B52" i="4"/>
  <c r="C52" i="4" s="1"/>
  <c r="N71" i="4"/>
  <c r="B77" i="4"/>
  <c r="B101" i="4"/>
  <c r="C101" i="4" s="1"/>
  <c r="E24" i="6"/>
  <c r="C52" i="15" s="1"/>
  <c r="D52" i="15" s="1"/>
  <c r="E52" i="15" s="1"/>
  <c r="D80" i="6"/>
  <c r="E80" i="6" s="1"/>
  <c r="B80" i="6"/>
  <c r="C80" i="6" s="1"/>
  <c r="H80" i="6"/>
  <c r="G76" i="4"/>
  <c r="F76" i="4"/>
  <c r="E31" i="4"/>
  <c r="N55" i="4"/>
  <c r="B71" i="4"/>
  <c r="C71" i="4" s="1"/>
  <c r="E73" i="4"/>
  <c r="B83" i="4"/>
  <c r="C83" i="4" s="1"/>
  <c r="N83" i="4"/>
  <c r="B41" i="6"/>
  <c r="C41" i="6" s="1"/>
  <c r="G41" i="6" s="1"/>
  <c r="E50" i="4"/>
  <c r="G50" i="4"/>
  <c r="F50" i="4"/>
  <c r="D50" i="4"/>
  <c r="N77" i="4"/>
  <c r="H34" i="6"/>
  <c r="B22" i="4"/>
  <c r="C22" i="4" s="1"/>
  <c r="B16" i="4"/>
  <c r="C16" i="4" s="1"/>
  <c r="B26" i="4"/>
  <c r="C26" i="4" s="1"/>
  <c r="B40" i="4"/>
  <c r="C40" i="4" s="1"/>
  <c r="N86" i="4"/>
  <c r="H72" i="6"/>
  <c r="D72" i="6"/>
  <c r="E72" i="6" s="1"/>
  <c r="B72" i="6"/>
  <c r="C72" i="6" s="1"/>
  <c r="G72" i="6" s="1"/>
  <c r="B62" i="4"/>
  <c r="C62" i="4" s="1"/>
  <c r="B28" i="4"/>
  <c r="C28" i="4" s="1"/>
  <c r="B17" i="10"/>
  <c r="C17" i="10" s="1"/>
  <c r="C7" i="15"/>
  <c r="D7" i="15" s="1"/>
  <c r="E7" i="15" s="1"/>
  <c r="B19" i="10"/>
  <c r="C19" i="10" s="1"/>
  <c r="D6" i="11"/>
  <c r="C49" i="15" s="1"/>
  <c r="D49" i="15" s="1"/>
  <c r="E49" i="15" s="1"/>
  <c r="D8" i="11"/>
  <c r="D11" i="11"/>
  <c r="D10" i="11"/>
  <c r="C50" i="15" s="1"/>
  <c r="D50" i="15" s="1"/>
  <c r="E50" i="15" s="1"/>
  <c r="D7" i="11"/>
  <c r="D9" i="11"/>
  <c r="B14" i="8"/>
  <c r="B7" i="10"/>
  <c r="N28" i="4"/>
  <c r="N84" i="4"/>
  <c r="B86" i="4"/>
  <c r="C86" i="4" s="1"/>
  <c r="H58" i="6"/>
  <c r="G31" i="4"/>
  <c r="F31" i="4"/>
  <c r="N8" i="4"/>
  <c r="N36" i="4"/>
  <c r="B45" i="4"/>
  <c r="C45" i="4" s="1"/>
  <c r="N54" i="4"/>
  <c r="B54" i="4"/>
  <c r="C54" i="4" s="1"/>
  <c r="B28" i="3"/>
  <c r="C10" i="4"/>
  <c r="B47" i="4"/>
  <c r="C47" i="4" s="1"/>
  <c r="N47" i="4"/>
  <c r="N48" i="4"/>
  <c r="B80" i="4"/>
  <c r="C80" i="4" s="1"/>
  <c r="B84" i="4"/>
  <c r="C84" i="4" s="1"/>
  <c r="E18" i="6"/>
  <c r="G18" i="6" s="1"/>
  <c r="C110" i="15" s="1"/>
  <c r="D110" i="15" s="1"/>
  <c r="E110" i="15" s="1"/>
  <c r="H26" i="6"/>
  <c r="H41" i="6"/>
  <c r="H49" i="6"/>
  <c r="H106" i="6"/>
  <c r="E30" i="7"/>
  <c r="D30" i="7"/>
  <c r="C30" i="7"/>
  <c r="H99" i="6"/>
  <c r="H35" i="6"/>
  <c r="H81" i="6"/>
  <c r="B81" i="6"/>
  <c r="C81" i="6" s="1"/>
  <c r="D81" i="6"/>
  <c r="E81" i="6" s="1"/>
  <c r="H117" i="6"/>
  <c r="D117" i="6"/>
  <c r="E117" i="6" s="1"/>
  <c r="B117" i="6"/>
  <c r="C117" i="6" s="1"/>
  <c r="G117" i="6" s="1"/>
  <c r="H89" i="6"/>
  <c r="B89" i="6"/>
  <c r="C89" i="6" s="1"/>
  <c r="D89" i="6"/>
  <c r="E89" i="6" s="1"/>
  <c r="E49" i="7"/>
  <c r="D49" i="7"/>
  <c r="C49" i="7"/>
  <c r="E17" i="7"/>
  <c r="C17" i="7"/>
  <c r="D17" i="7"/>
  <c r="N88" i="4"/>
  <c r="H55" i="6"/>
  <c r="D55" i="6"/>
  <c r="E55" i="6" s="1"/>
  <c r="H62" i="6"/>
  <c r="H74" i="6"/>
  <c r="D74" i="6"/>
  <c r="E74" i="6" s="1"/>
  <c r="H113" i="6"/>
  <c r="B113" i="6"/>
  <c r="C113" i="6" s="1"/>
  <c r="G113" i="6" s="1"/>
  <c r="D113" i="6"/>
  <c r="E113" i="6" s="1"/>
  <c r="B88" i="4"/>
  <c r="C88" i="4" s="1"/>
  <c r="N102" i="4"/>
  <c r="C102" i="4"/>
  <c r="H36" i="6"/>
  <c r="B55" i="6"/>
  <c r="C55" i="6" s="1"/>
  <c r="B62" i="6"/>
  <c r="C62" i="6" s="1"/>
  <c r="G62" i="6" s="1"/>
  <c r="B74" i="6"/>
  <c r="C74" i="6" s="1"/>
  <c r="H83" i="6"/>
  <c r="G95" i="6"/>
  <c r="H52" i="6"/>
  <c r="B52" i="6"/>
  <c r="C52" i="6" s="1"/>
  <c r="H66" i="6"/>
  <c r="D66" i="6"/>
  <c r="E66" i="6" s="1"/>
  <c r="B66" i="6"/>
  <c r="C66" i="6" s="1"/>
  <c r="N94" i="4"/>
  <c r="D52" i="6"/>
  <c r="E52" i="6" s="1"/>
  <c r="N79" i="4"/>
  <c r="C91" i="15"/>
  <c r="D91" i="15" s="1"/>
  <c r="E91" i="15" s="1"/>
  <c r="E19" i="6"/>
  <c r="G19" i="6" s="1"/>
  <c r="C111" i="15" s="1"/>
  <c r="D111" i="15" s="1"/>
  <c r="E111" i="15" s="1"/>
  <c r="B79" i="4"/>
  <c r="C79" i="4" s="1"/>
  <c r="N95" i="4"/>
  <c r="C95" i="4"/>
  <c r="B27" i="6"/>
  <c r="C27" i="6" s="1"/>
  <c r="G27" i="6" s="1"/>
  <c r="H39" i="6"/>
  <c r="D43" i="6"/>
  <c r="E43" i="6" s="1"/>
  <c r="G43" i="6" s="1"/>
  <c r="D56" i="6"/>
  <c r="E56" i="6" s="1"/>
  <c r="B56" i="6"/>
  <c r="C56" i="6" s="1"/>
  <c r="H56" i="6"/>
  <c r="B96" i="6"/>
  <c r="C96" i="6" s="1"/>
  <c r="H96" i="6"/>
  <c r="D96" i="6"/>
  <c r="E96" i="6" s="1"/>
  <c r="B57" i="4"/>
  <c r="C57" i="4" s="1"/>
  <c r="D63" i="6"/>
  <c r="E63" i="6" s="1"/>
  <c r="B63" i="6"/>
  <c r="C63" i="6" s="1"/>
  <c r="G63" i="6" s="1"/>
  <c r="H63" i="6"/>
  <c r="D92" i="6"/>
  <c r="E92" i="6" s="1"/>
  <c r="B92" i="6"/>
  <c r="C92" i="6" s="1"/>
  <c r="H92" i="6"/>
  <c r="C44" i="4"/>
  <c r="B26" i="5"/>
  <c r="H57" i="6"/>
  <c r="H84" i="6"/>
  <c r="D84" i="6"/>
  <c r="E84" i="6" s="1"/>
  <c r="B84" i="6"/>
  <c r="C84" i="6" s="1"/>
  <c r="H102" i="6"/>
  <c r="D102" i="6"/>
  <c r="E102" i="6" s="1"/>
  <c r="B102" i="6"/>
  <c r="C102" i="6" s="1"/>
  <c r="E22" i="7"/>
  <c r="C22" i="7"/>
  <c r="D22" i="7"/>
  <c r="E36" i="7"/>
  <c r="D36" i="7"/>
  <c r="C36" i="7"/>
  <c r="H123" i="6"/>
  <c r="D123" i="6"/>
  <c r="E123" i="6" s="1"/>
  <c r="E44" i="7"/>
  <c r="D44" i="7"/>
  <c r="C44" i="7"/>
  <c r="C9" i="9"/>
  <c r="C20" i="15" s="1"/>
  <c r="D20" i="15" s="1"/>
  <c r="E20" i="15" s="1"/>
  <c r="N76" i="4"/>
  <c r="N85" i="4"/>
  <c r="H44" i="6"/>
  <c r="D44" i="6"/>
  <c r="E44" i="6" s="1"/>
  <c r="G44" i="6" s="1"/>
  <c r="H69" i="6"/>
  <c r="D18" i="7"/>
  <c r="E18" i="7"/>
  <c r="C18" i="7"/>
  <c r="E39" i="7"/>
  <c r="D39" i="7"/>
  <c r="C39" i="7"/>
  <c r="N97" i="4"/>
  <c r="H100" i="6"/>
  <c r="D100" i="6"/>
  <c r="E100" i="6" s="1"/>
  <c r="G100" i="6" s="1"/>
  <c r="C55" i="7"/>
  <c r="C93" i="4"/>
  <c r="G42" i="6"/>
  <c r="H53" i="6"/>
  <c r="D69" i="6"/>
  <c r="E69" i="6" s="1"/>
  <c r="G69" i="6" s="1"/>
  <c r="E12" i="7"/>
  <c r="D12" i="7"/>
  <c r="C12" i="7"/>
  <c r="D55" i="7"/>
  <c r="G34" i="6"/>
  <c r="H37" i="6"/>
  <c r="E26" i="7"/>
  <c r="D26" i="7"/>
  <c r="E48" i="7"/>
  <c r="D48" i="7"/>
  <c r="C48" i="7"/>
  <c r="G64" i="6"/>
  <c r="H76" i="6"/>
  <c r="H90" i="6"/>
  <c r="H97" i="6"/>
  <c r="D97" i="6"/>
  <c r="E97" i="6" s="1"/>
  <c r="B97" i="6"/>
  <c r="C97" i="6" s="1"/>
  <c r="H114" i="6"/>
  <c r="D114" i="6"/>
  <c r="E114" i="6" s="1"/>
  <c r="B114" i="6"/>
  <c r="C114" i="6" s="1"/>
  <c r="G114" i="6" s="1"/>
  <c r="H121" i="6"/>
  <c r="D121" i="6"/>
  <c r="E121" i="6" s="1"/>
  <c r="B121" i="6"/>
  <c r="C121" i="6" s="1"/>
  <c r="G121" i="6" s="1"/>
  <c r="D13" i="7"/>
  <c r="C13" i="7"/>
  <c r="H91" i="6"/>
  <c r="E13" i="7"/>
  <c r="C29" i="15"/>
  <c r="D29" i="15" s="1"/>
  <c r="E29" i="15" s="1"/>
  <c r="C20" i="6"/>
  <c r="B11" i="6"/>
  <c r="C30" i="15" s="1"/>
  <c r="D30" i="15" s="1"/>
  <c r="E30" i="15" s="1"/>
  <c r="D37" i="6"/>
  <c r="E37" i="6" s="1"/>
  <c r="G37" i="6" s="1"/>
  <c r="D40" i="6"/>
  <c r="E40" i="6" s="1"/>
  <c r="B40" i="6"/>
  <c r="C40" i="6" s="1"/>
  <c r="G40" i="6" s="1"/>
  <c r="H67" i="6"/>
  <c r="D67" i="6"/>
  <c r="E67" i="6" s="1"/>
  <c r="D82" i="6"/>
  <c r="E82" i="6" s="1"/>
  <c r="G82" i="6" s="1"/>
  <c r="B91" i="6"/>
  <c r="C91" i="6" s="1"/>
  <c r="G91" i="6" s="1"/>
  <c r="H101" i="6"/>
  <c r="C21" i="7"/>
  <c r="D27" i="7"/>
  <c r="E27" i="7"/>
  <c r="C27" i="7"/>
  <c r="E35" i="7"/>
  <c r="D35" i="7"/>
  <c r="B12" i="6"/>
  <c r="C45" i="15" s="1"/>
  <c r="D45" i="15" s="1"/>
  <c r="E45" i="15" s="1"/>
  <c r="G20" i="6"/>
  <c r="C112" i="15" s="1"/>
  <c r="D112" i="15" s="1"/>
  <c r="E112" i="15" s="1"/>
  <c r="H51" i="6"/>
  <c r="B67" i="6"/>
  <c r="C67" i="6" s="1"/>
  <c r="D76" i="6"/>
  <c r="E76" i="6" s="1"/>
  <c r="G76" i="6" s="1"/>
  <c r="G94" i="6"/>
  <c r="B101" i="6"/>
  <c r="C101" i="6" s="1"/>
  <c r="G101" i="6" s="1"/>
  <c r="H108" i="6"/>
  <c r="D21" i="7"/>
  <c r="C35" i="7"/>
  <c r="D50" i="7"/>
  <c r="C50" i="7"/>
  <c r="B22" i="12"/>
  <c r="E32" i="7"/>
  <c r="D32" i="7"/>
  <c r="C32" i="7"/>
  <c r="E43" i="7"/>
  <c r="D43" i="7"/>
  <c r="C43" i="7"/>
  <c r="B23" i="12"/>
  <c r="E51" i="7"/>
  <c r="D51" i="7"/>
  <c r="C51" i="7"/>
  <c r="B11" i="12"/>
  <c r="B24" i="12"/>
  <c r="B106" i="6"/>
  <c r="C106" i="6" s="1"/>
  <c r="H119" i="6"/>
  <c r="C33" i="7"/>
  <c r="B13" i="12"/>
  <c r="B25" i="12"/>
  <c r="H77" i="6"/>
  <c r="D77" i="6"/>
  <c r="E77" i="6" s="1"/>
  <c r="G77" i="6" s="1"/>
  <c r="B99" i="6"/>
  <c r="C99" i="6" s="1"/>
  <c r="G99" i="6" s="1"/>
  <c r="H109" i="6"/>
  <c r="D109" i="6"/>
  <c r="E109" i="6" s="1"/>
  <c r="G109" i="6" s="1"/>
  <c r="B119" i="6"/>
  <c r="C119" i="6" s="1"/>
  <c r="G119" i="6" s="1"/>
  <c r="B6" i="7"/>
  <c r="D6" i="7" s="1"/>
  <c r="D14" i="7"/>
  <c r="E23" i="7"/>
  <c r="D23" i="7"/>
  <c r="D33" i="7"/>
  <c r="C45" i="7"/>
  <c r="B14" i="12"/>
  <c r="H70" i="6"/>
  <c r="H87" i="6"/>
  <c r="D106" i="6"/>
  <c r="E106" i="6" s="1"/>
  <c r="E14" i="7"/>
  <c r="D45" i="7"/>
  <c r="D34" i="7"/>
  <c r="C34" i="7"/>
  <c r="E46" i="7"/>
  <c r="D46" i="7"/>
  <c r="C46" i="7"/>
  <c r="H125" i="6"/>
  <c r="D15" i="7"/>
  <c r="D19" i="7"/>
  <c r="C29" i="7"/>
  <c r="E34" i="7"/>
  <c r="C54" i="7"/>
  <c r="B16" i="10"/>
  <c r="C16" i="10" s="1"/>
  <c r="B29" i="12"/>
  <c r="C23" i="15"/>
  <c r="D23" i="15" s="1"/>
  <c r="E23" i="15" s="1"/>
  <c r="B39" i="5"/>
  <c r="D70" i="6"/>
  <c r="E70" i="6" s="1"/>
  <c r="G70" i="6" s="1"/>
  <c r="H75" i="6"/>
  <c r="B75" i="6"/>
  <c r="C75" i="6" s="1"/>
  <c r="G75" i="6" s="1"/>
  <c r="H85" i="6"/>
  <c r="D85" i="6"/>
  <c r="E85" i="6" s="1"/>
  <c r="G85" i="6" s="1"/>
  <c r="D87" i="6"/>
  <c r="E87" i="6" s="1"/>
  <c r="G87" i="6" s="1"/>
  <c r="D122" i="6"/>
  <c r="E122" i="6" s="1"/>
  <c r="B122" i="6"/>
  <c r="C122" i="6" s="1"/>
  <c r="G122" i="6" s="1"/>
  <c r="B125" i="6"/>
  <c r="C125" i="6" s="1"/>
  <c r="G125" i="6" s="1"/>
  <c r="C7" i="7"/>
  <c r="E15" i="7"/>
  <c r="D29" i="7"/>
  <c r="D54" i="7"/>
  <c r="E59" i="7"/>
  <c r="D59" i="7"/>
  <c r="C59" i="7"/>
  <c r="G38" i="6"/>
  <c r="H68" i="6"/>
  <c r="D68" i="6"/>
  <c r="E68" i="6" s="1"/>
  <c r="G68" i="6" s="1"/>
  <c r="H95" i="6"/>
  <c r="H107" i="6"/>
  <c r="D107" i="6"/>
  <c r="E107" i="6" s="1"/>
  <c r="B107" i="6"/>
  <c r="C107" i="6" s="1"/>
  <c r="G107" i="6" s="1"/>
  <c r="H115" i="6"/>
  <c r="B30" i="12"/>
  <c r="B12" i="12"/>
  <c r="B15" i="10"/>
  <c r="B26" i="12"/>
  <c r="B19" i="12"/>
  <c r="H79" i="6"/>
  <c r="H111" i="6"/>
  <c r="C31" i="7"/>
  <c r="E31" i="7"/>
  <c r="C10" i="9"/>
  <c r="B20" i="12"/>
  <c r="B28" i="12"/>
  <c r="E56" i="7"/>
  <c r="D56" i="7"/>
  <c r="C56" i="7"/>
  <c r="D61" i="7"/>
  <c r="C61" i="7"/>
  <c r="B15" i="11"/>
  <c r="B21" i="12"/>
  <c r="H73" i="6"/>
  <c r="D79" i="6"/>
  <c r="E79" i="6" s="1"/>
  <c r="G79" i="6" s="1"/>
  <c r="H105" i="6"/>
  <c r="D111" i="6"/>
  <c r="E111" i="6" s="1"/>
  <c r="H71" i="6"/>
  <c r="H103" i="6"/>
  <c r="E62" i="7"/>
  <c r="D62" i="7"/>
  <c r="C24" i="7"/>
  <c r="E24" i="7"/>
  <c r="E37" i="7"/>
  <c r="D37" i="7"/>
  <c r="C37" i="7"/>
  <c r="E52" i="7"/>
  <c r="D52" i="7"/>
  <c r="C52" i="7"/>
  <c r="C20" i="7"/>
  <c r="D24" i="7"/>
  <c r="E53" i="7"/>
  <c r="D53" i="7"/>
  <c r="C53" i="7"/>
  <c r="E23" i="8"/>
  <c r="B15" i="12"/>
  <c r="E40" i="7"/>
  <c r="D40" i="7"/>
  <c r="C40" i="7"/>
  <c r="B16" i="12"/>
  <c r="B27" i="12"/>
  <c r="B16" i="11"/>
  <c r="F25" i="4" l="1"/>
  <c r="G25" i="4"/>
  <c r="G92" i="6"/>
  <c r="F30" i="4"/>
  <c r="G70" i="4"/>
  <c r="H60" i="4"/>
  <c r="D38" i="4"/>
  <c r="F73" i="4"/>
  <c r="G87" i="4"/>
  <c r="H50" i="4"/>
  <c r="D70" i="4"/>
  <c r="H70" i="4" s="1"/>
  <c r="H33" i="4"/>
  <c r="F70" i="4"/>
  <c r="D97" i="4"/>
  <c r="I97" i="4" s="1"/>
  <c r="G55" i="6"/>
  <c r="G47" i="6"/>
  <c r="G60" i="6"/>
  <c r="I15" i="4"/>
  <c r="J15" i="4" s="1"/>
  <c r="I66" i="4"/>
  <c r="J66" i="4" s="1"/>
  <c r="K66" i="4" s="1"/>
  <c r="D30" i="4"/>
  <c r="H30" i="4" s="1"/>
  <c r="G56" i="6"/>
  <c r="D82" i="4"/>
  <c r="G82" i="4"/>
  <c r="F82" i="4"/>
  <c r="E82" i="4"/>
  <c r="H82" i="4"/>
  <c r="H39" i="4"/>
  <c r="E35" i="4"/>
  <c r="G35" i="4"/>
  <c r="F35" i="4"/>
  <c r="D35" i="4"/>
  <c r="H35" i="4" s="1"/>
  <c r="E94" i="4"/>
  <c r="H94" i="4" s="1"/>
  <c r="B20" i="10"/>
  <c r="C47" i="15" s="1"/>
  <c r="D47" i="15" s="1"/>
  <c r="E47" i="15" s="1"/>
  <c r="B18" i="10"/>
  <c r="F49" i="4"/>
  <c r="G39" i="4"/>
  <c r="I20" i="4"/>
  <c r="J20" i="4" s="1"/>
  <c r="D75" i="4"/>
  <c r="I87" i="4"/>
  <c r="J87" i="4" s="1"/>
  <c r="B38" i="9"/>
  <c r="C38" i="9" s="1"/>
  <c r="F67" i="4"/>
  <c r="B5" i="12"/>
  <c r="B7" i="12" s="1"/>
  <c r="C30" i="12" s="1"/>
  <c r="D30" i="12" s="1"/>
  <c r="B5" i="13"/>
  <c r="H42" i="3"/>
  <c r="H45" i="3" s="1"/>
  <c r="F94" i="4"/>
  <c r="I76" i="4"/>
  <c r="J76" i="4" s="1"/>
  <c r="K76" i="4" s="1"/>
  <c r="B24" i="3"/>
  <c r="C37" i="15" s="1"/>
  <c r="D37" i="15" s="1"/>
  <c r="E37" i="15" s="1"/>
  <c r="H85" i="4"/>
  <c r="G93" i="6"/>
  <c r="I21" i="4"/>
  <c r="J21" i="4" s="1"/>
  <c r="I42" i="4"/>
  <c r="J42" i="4" s="1"/>
  <c r="G61" i="4"/>
  <c r="G94" i="4"/>
  <c r="E25" i="4"/>
  <c r="F56" i="4"/>
  <c r="E56" i="4"/>
  <c r="E67" i="4"/>
  <c r="H67" i="4" s="1"/>
  <c r="C28" i="12"/>
  <c r="D28" i="12" s="1"/>
  <c r="D90" i="4"/>
  <c r="H90" i="4" s="1"/>
  <c r="G96" i="6"/>
  <c r="E38" i="4"/>
  <c r="F53" i="4"/>
  <c r="D53" i="4"/>
  <c r="E53" i="4"/>
  <c r="B37" i="9"/>
  <c r="B36" i="9"/>
  <c r="D67" i="4"/>
  <c r="D37" i="9"/>
  <c r="C72" i="15" s="1"/>
  <c r="D72" i="15" s="1"/>
  <c r="E72" i="15" s="1"/>
  <c r="D49" i="4"/>
  <c r="H49" i="4" s="1"/>
  <c r="E49" i="4"/>
  <c r="E12" i="4"/>
  <c r="D98" i="4"/>
  <c r="H98" i="4" s="1"/>
  <c r="F38" i="4"/>
  <c r="C12" i="12"/>
  <c r="D12" i="12" s="1"/>
  <c r="C35" i="15" s="1"/>
  <c r="D35" i="15" s="1"/>
  <c r="E35" i="15" s="1"/>
  <c r="I9" i="4"/>
  <c r="J9" i="4" s="1"/>
  <c r="F12" i="4"/>
  <c r="H42" i="4"/>
  <c r="K42" i="4" s="1"/>
  <c r="L42" i="4" s="1"/>
  <c r="D25" i="4"/>
  <c r="I25" i="4" s="1"/>
  <c r="B21" i="10"/>
  <c r="E75" i="4"/>
  <c r="G73" i="4"/>
  <c r="I31" i="4"/>
  <c r="J31" i="4" s="1"/>
  <c r="G12" i="4"/>
  <c r="D61" i="4"/>
  <c r="C18" i="9"/>
  <c r="G90" i="4"/>
  <c r="E90" i="4"/>
  <c r="F90" i="4"/>
  <c r="G67" i="6"/>
  <c r="G97" i="6"/>
  <c r="D56" i="4"/>
  <c r="I56" i="4" s="1"/>
  <c r="E61" i="4"/>
  <c r="H53" i="4"/>
  <c r="B37" i="5"/>
  <c r="C24" i="15" s="1"/>
  <c r="D24" i="15" s="1"/>
  <c r="E24" i="15" s="1"/>
  <c r="I78" i="4"/>
  <c r="J78" i="4" s="1"/>
  <c r="H81" i="4"/>
  <c r="C24" i="3"/>
  <c r="C38" i="15" s="1"/>
  <c r="D38" i="15" s="1"/>
  <c r="E38" i="15" s="1"/>
  <c r="B32" i="3"/>
  <c r="C85" i="15" s="1"/>
  <c r="D85" i="15" s="1"/>
  <c r="E85" i="15" s="1"/>
  <c r="B25" i="3"/>
  <c r="C35" i="9" s="1"/>
  <c r="G52" i="4"/>
  <c r="F52" i="4"/>
  <c r="E52" i="4"/>
  <c r="D52" i="4"/>
  <c r="F27" i="4"/>
  <c r="E27" i="4"/>
  <c r="G27" i="4"/>
  <c r="D27" i="4"/>
  <c r="I27" i="4" s="1"/>
  <c r="J27" i="4" s="1"/>
  <c r="G74" i="4"/>
  <c r="F74" i="4"/>
  <c r="D74" i="4"/>
  <c r="E74" i="4"/>
  <c r="G54" i="4"/>
  <c r="F54" i="4"/>
  <c r="E54" i="4"/>
  <c r="D54" i="4"/>
  <c r="I54" i="4" s="1"/>
  <c r="J54" i="4" s="1"/>
  <c r="G17" i="4"/>
  <c r="F17" i="4"/>
  <c r="E17" i="4"/>
  <c r="D17" i="4"/>
  <c r="I17" i="4" s="1"/>
  <c r="J17" i="4" s="1"/>
  <c r="G100" i="4"/>
  <c r="F100" i="4"/>
  <c r="E100" i="4"/>
  <c r="D100" i="4"/>
  <c r="H100" i="4" s="1"/>
  <c r="D26" i="4"/>
  <c r="F26" i="4"/>
  <c r="E26" i="4"/>
  <c r="H26" i="4" s="1"/>
  <c r="G26" i="4"/>
  <c r="E92" i="4"/>
  <c r="D92" i="4"/>
  <c r="H92" i="4" s="1"/>
  <c r="G92" i="4"/>
  <c r="F92" i="4"/>
  <c r="G99" i="4"/>
  <c r="D99" i="4"/>
  <c r="F99" i="4"/>
  <c r="E99" i="4"/>
  <c r="D28" i="4"/>
  <c r="G28" i="4"/>
  <c r="F28" i="4"/>
  <c r="E28" i="4"/>
  <c r="G36" i="4"/>
  <c r="E36" i="4"/>
  <c r="D36" i="4"/>
  <c r="F36" i="4"/>
  <c r="H36" i="4"/>
  <c r="G37" i="4"/>
  <c r="F37" i="4"/>
  <c r="E37" i="4"/>
  <c r="D37" i="4"/>
  <c r="I37" i="4" s="1"/>
  <c r="J37" i="4" s="1"/>
  <c r="D69" i="4"/>
  <c r="E69" i="4"/>
  <c r="G69" i="4"/>
  <c r="F69" i="4"/>
  <c r="E45" i="4"/>
  <c r="H45" i="4" s="1"/>
  <c r="D45" i="4"/>
  <c r="G45" i="4"/>
  <c r="F45" i="4"/>
  <c r="G32" i="4"/>
  <c r="F32" i="4"/>
  <c r="E32" i="4"/>
  <c r="D32" i="4"/>
  <c r="E29" i="4"/>
  <c r="D29" i="4"/>
  <c r="G29" i="4"/>
  <c r="F29" i="4"/>
  <c r="D16" i="4"/>
  <c r="G16" i="4"/>
  <c r="F16" i="4"/>
  <c r="E16" i="4"/>
  <c r="D57" i="4"/>
  <c r="F57" i="4"/>
  <c r="G57" i="4"/>
  <c r="E57" i="4"/>
  <c r="E23" i="4"/>
  <c r="D23" i="4"/>
  <c r="H23" i="4" s="1"/>
  <c r="G23" i="4"/>
  <c r="F23" i="4"/>
  <c r="G68" i="4"/>
  <c r="E68" i="4"/>
  <c r="F68" i="4"/>
  <c r="D68" i="4"/>
  <c r="G88" i="4"/>
  <c r="F88" i="4"/>
  <c r="E88" i="4"/>
  <c r="D88" i="4"/>
  <c r="F101" i="4"/>
  <c r="G101" i="4"/>
  <c r="E101" i="4"/>
  <c r="D101" i="4"/>
  <c r="I101" i="4" s="1"/>
  <c r="J101" i="4" s="1"/>
  <c r="F51" i="4"/>
  <c r="G51" i="4"/>
  <c r="D51" i="4"/>
  <c r="E51" i="4"/>
  <c r="F62" i="4"/>
  <c r="G62" i="4"/>
  <c r="E62" i="4"/>
  <c r="D62" i="4"/>
  <c r="E18" i="4"/>
  <c r="D18" i="4"/>
  <c r="H18" i="4" s="1"/>
  <c r="G18" i="4"/>
  <c r="F18" i="4"/>
  <c r="F84" i="4"/>
  <c r="E84" i="4"/>
  <c r="G84" i="4"/>
  <c r="D84" i="4"/>
  <c r="E86" i="4"/>
  <c r="D86" i="4"/>
  <c r="H86" i="4"/>
  <c r="F86" i="4"/>
  <c r="G86" i="4"/>
  <c r="D35" i="9"/>
  <c r="D16" i="9"/>
  <c r="H9" i="4"/>
  <c r="K9" i="4" s="1"/>
  <c r="L9" i="4" s="1"/>
  <c r="B41" i="5"/>
  <c r="C26" i="15" s="1"/>
  <c r="D26" i="15" s="1"/>
  <c r="E26" i="15" s="1"/>
  <c r="F55" i="4"/>
  <c r="G55" i="4"/>
  <c r="E55" i="4"/>
  <c r="D55" i="4"/>
  <c r="I55" i="4" s="1"/>
  <c r="J55" i="4" s="1"/>
  <c r="D83" i="4"/>
  <c r="G83" i="4"/>
  <c r="F83" i="4"/>
  <c r="E83" i="4"/>
  <c r="G43" i="4"/>
  <c r="F43" i="4"/>
  <c r="E43" i="4"/>
  <c r="D43" i="4"/>
  <c r="G22" i="4"/>
  <c r="F22" i="4"/>
  <c r="E22" i="4"/>
  <c r="D22" i="4"/>
  <c r="E13" i="4"/>
  <c r="G13" i="4"/>
  <c r="F13" i="4"/>
  <c r="D13" i="4"/>
  <c r="G48" i="4"/>
  <c r="F48" i="4"/>
  <c r="E48" i="4"/>
  <c r="D48" i="4"/>
  <c r="G19" i="4"/>
  <c r="F19" i="4"/>
  <c r="D19" i="4"/>
  <c r="E19" i="4"/>
  <c r="I60" i="4"/>
  <c r="F14" i="4"/>
  <c r="D14" i="4"/>
  <c r="G14" i="4"/>
  <c r="E14" i="4"/>
  <c r="E96" i="4"/>
  <c r="G96" i="4"/>
  <c r="F96" i="4"/>
  <c r="D96" i="4"/>
  <c r="F102" i="4"/>
  <c r="E102" i="4"/>
  <c r="G102" i="4"/>
  <c r="D102" i="4"/>
  <c r="H72" i="4"/>
  <c r="K72" i="4" s="1"/>
  <c r="I98" i="4"/>
  <c r="G79" i="4"/>
  <c r="E79" i="4"/>
  <c r="D79" i="4"/>
  <c r="F79" i="4"/>
  <c r="G47" i="4"/>
  <c r="F47" i="4"/>
  <c r="D47" i="4"/>
  <c r="E47" i="4"/>
  <c r="C25" i="15"/>
  <c r="D25" i="15" s="1"/>
  <c r="E25" i="15" s="1"/>
  <c r="C39" i="5"/>
  <c r="E10" i="4"/>
  <c r="F10" i="4"/>
  <c r="G10" i="4"/>
  <c r="D10" i="4"/>
  <c r="D17" i="10"/>
  <c r="I73" i="4"/>
  <c r="B54" i="5"/>
  <c r="B55" i="5" s="1"/>
  <c r="B29" i="3"/>
  <c r="H21" i="4"/>
  <c r="K21" i="4" s="1"/>
  <c r="I24" i="4"/>
  <c r="I41" i="4"/>
  <c r="F71" i="4"/>
  <c r="G71" i="4"/>
  <c r="D71" i="4"/>
  <c r="E71" i="4"/>
  <c r="F65" i="4"/>
  <c r="G65" i="4"/>
  <c r="E65" i="4"/>
  <c r="D65" i="4"/>
  <c r="E63" i="4"/>
  <c r="G63" i="4"/>
  <c r="F63" i="4"/>
  <c r="D63" i="4"/>
  <c r="H63" i="4" s="1"/>
  <c r="H8" i="11"/>
  <c r="C14" i="15"/>
  <c r="D14" i="15" s="1"/>
  <c r="E14" i="15" s="1"/>
  <c r="H10" i="11"/>
  <c r="B9" i="13"/>
  <c r="H7" i="11"/>
  <c r="H11" i="11"/>
  <c r="H6" i="11"/>
  <c r="H9" i="11"/>
  <c r="B11" i="5"/>
  <c r="C15" i="15" s="1"/>
  <c r="D15" i="15" s="1"/>
  <c r="E15" i="15" s="1"/>
  <c r="C8" i="9"/>
  <c r="B17" i="5"/>
  <c r="B16" i="5"/>
  <c r="B12" i="5"/>
  <c r="F91" i="4"/>
  <c r="E91" i="4"/>
  <c r="G91" i="4"/>
  <c r="D91" i="4"/>
  <c r="C36" i="15"/>
  <c r="D36" i="15" s="1"/>
  <c r="E36" i="15" s="1"/>
  <c r="D44" i="4"/>
  <c r="G44" i="4"/>
  <c r="F44" i="4"/>
  <c r="E44" i="4"/>
  <c r="E89" i="4"/>
  <c r="G89" i="4"/>
  <c r="F89" i="4"/>
  <c r="D89" i="4"/>
  <c r="G66" i="6"/>
  <c r="G89" i="6"/>
  <c r="D16" i="10"/>
  <c r="D36" i="9"/>
  <c r="D77" i="4"/>
  <c r="G77" i="4"/>
  <c r="E77" i="4"/>
  <c r="F77" i="4"/>
  <c r="G59" i="4"/>
  <c r="F59" i="4"/>
  <c r="E59" i="4"/>
  <c r="D59" i="4"/>
  <c r="H59" i="4" s="1"/>
  <c r="H24" i="4"/>
  <c r="L66" i="4"/>
  <c r="G11" i="4"/>
  <c r="F11" i="4"/>
  <c r="E11" i="4"/>
  <c r="D11" i="4"/>
  <c r="H20" i="4"/>
  <c r="K20" i="4" s="1"/>
  <c r="H38" i="4"/>
  <c r="I46" i="4"/>
  <c r="H31" i="4"/>
  <c r="H73" i="4"/>
  <c r="H41" i="4"/>
  <c r="K31" i="4"/>
  <c r="G106" i="6"/>
  <c r="G52" i="6"/>
  <c r="D38" i="9"/>
  <c r="C16" i="9"/>
  <c r="I50" i="4"/>
  <c r="G28" i="6"/>
  <c r="I33" i="4"/>
  <c r="H87" i="4"/>
  <c r="K87" i="4" s="1"/>
  <c r="G102" i="6"/>
  <c r="D95" i="4"/>
  <c r="E95" i="4"/>
  <c r="G95" i="4"/>
  <c r="F95" i="4"/>
  <c r="E80" i="4"/>
  <c r="G80" i="4"/>
  <c r="F80" i="4"/>
  <c r="D80" i="4"/>
  <c r="K15" i="4"/>
  <c r="B8" i="8"/>
  <c r="G8" i="11"/>
  <c r="B7" i="8"/>
  <c r="G10" i="11"/>
  <c r="C27" i="9"/>
  <c r="D7" i="9"/>
  <c r="D81" i="8"/>
  <c r="D65" i="8"/>
  <c r="D63" i="8"/>
  <c r="D61" i="8"/>
  <c r="D59" i="8"/>
  <c r="D57" i="8"/>
  <c r="D55" i="8"/>
  <c r="G7" i="11"/>
  <c r="D70" i="8"/>
  <c r="D50" i="8"/>
  <c r="D47" i="8"/>
  <c r="C25" i="9"/>
  <c r="D58" i="8"/>
  <c r="C12" i="15"/>
  <c r="D12" i="15" s="1"/>
  <c r="E12" i="15" s="1"/>
  <c r="C17" i="11"/>
  <c r="D17" i="11" s="1"/>
  <c r="D61" i="10"/>
  <c r="E61" i="10" s="1"/>
  <c r="D80" i="8"/>
  <c r="D60" i="8"/>
  <c r="D53" i="8"/>
  <c r="D37" i="8"/>
  <c r="D43" i="8"/>
  <c r="D24" i="8"/>
  <c r="D46" i="8"/>
  <c r="D30" i="8"/>
  <c r="D10" i="9"/>
  <c r="D52" i="8"/>
  <c r="D36" i="8"/>
  <c r="D82" i="8"/>
  <c r="D72" i="8"/>
  <c r="D62" i="8"/>
  <c r="D9" i="9"/>
  <c r="D51" i="8"/>
  <c r="D41" i="8"/>
  <c r="D32" i="8"/>
  <c r="G9" i="11"/>
  <c r="B6" i="10"/>
  <c r="B8" i="10" s="1"/>
  <c r="D45" i="8"/>
  <c r="D35" i="8"/>
  <c r="D25" i="8"/>
  <c r="G6" i="11"/>
  <c r="D54" i="8"/>
  <c r="I81" i="4"/>
  <c r="G81" i="6"/>
  <c r="D17" i="9"/>
  <c r="E34" i="4"/>
  <c r="H34" i="4" s="1"/>
  <c r="D34" i="4"/>
  <c r="F34" i="4"/>
  <c r="G34" i="4"/>
  <c r="E58" i="4"/>
  <c r="D58" i="4"/>
  <c r="H58" i="4" s="1"/>
  <c r="G58" i="4"/>
  <c r="F58" i="4"/>
  <c r="I64" i="4"/>
  <c r="I39" i="4"/>
  <c r="I30" i="4"/>
  <c r="B7" i="13"/>
  <c r="C45" i="10"/>
  <c r="D45" i="10" s="1"/>
  <c r="C41" i="10"/>
  <c r="D41" i="10" s="1"/>
  <c r="C37" i="10"/>
  <c r="D37" i="10" s="1"/>
  <c r="C33" i="10"/>
  <c r="D33" i="10" s="1"/>
  <c r="C29" i="10"/>
  <c r="D29" i="10" s="1"/>
  <c r="B28" i="9"/>
  <c r="I16" i="9"/>
  <c r="C97" i="15" s="1"/>
  <c r="D97" i="15" s="1"/>
  <c r="E97" i="15" s="1"/>
  <c r="E6" i="11"/>
  <c r="B49" i="10"/>
  <c r="B45" i="10"/>
  <c r="G81" i="8"/>
  <c r="G79" i="8"/>
  <c r="G77" i="8"/>
  <c r="G75" i="8"/>
  <c r="G73" i="8"/>
  <c r="G71" i="8"/>
  <c r="G69" i="8"/>
  <c r="G67" i="8"/>
  <c r="G65" i="8"/>
  <c r="G63" i="8"/>
  <c r="G61" i="8"/>
  <c r="G59" i="8"/>
  <c r="G57" i="8"/>
  <c r="G55" i="8"/>
  <c r="G53" i="8"/>
  <c r="G51" i="8"/>
  <c r="G49" i="8"/>
  <c r="G47" i="8"/>
  <c r="G45" i="8"/>
  <c r="G43" i="8"/>
  <c r="G41" i="8"/>
  <c r="G39" i="8"/>
  <c r="G37" i="8"/>
  <c r="G35" i="8"/>
  <c r="G33" i="8"/>
  <c r="G31" i="8"/>
  <c r="G29" i="8"/>
  <c r="G27" i="8"/>
  <c r="G25" i="8"/>
  <c r="G23" i="8"/>
  <c r="C40" i="10"/>
  <c r="D40" i="10" s="1"/>
  <c r="C36" i="10"/>
  <c r="D36" i="10" s="1"/>
  <c r="C32" i="10"/>
  <c r="D32" i="10" s="1"/>
  <c r="B27" i="9"/>
  <c r="E16" i="9"/>
  <c r="E10" i="11"/>
  <c r="B48" i="10"/>
  <c r="B44" i="10"/>
  <c r="B40" i="10"/>
  <c r="B36" i="10"/>
  <c r="G78" i="8"/>
  <c r="G52" i="8"/>
  <c r="G44" i="8"/>
  <c r="G36" i="8"/>
  <c r="G28" i="8"/>
  <c r="E7" i="11"/>
  <c r="C47" i="10"/>
  <c r="D47" i="10" s="1"/>
  <c r="B42" i="10"/>
  <c r="C30" i="10"/>
  <c r="D30" i="10" s="1"/>
  <c r="B16" i="9"/>
  <c r="G72" i="8"/>
  <c r="B47" i="10"/>
  <c r="B25" i="9"/>
  <c r="G76" i="8"/>
  <c r="G66" i="8"/>
  <c r="G56" i="8"/>
  <c r="G40" i="8"/>
  <c r="G24" i="8"/>
  <c r="E9" i="11"/>
  <c r="G46" i="8"/>
  <c r="G30" i="8"/>
  <c r="C34" i="10"/>
  <c r="D34" i="10" s="1"/>
  <c r="I18" i="9"/>
  <c r="C98" i="15" s="1"/>
  <c r="D98" i="15" s="1"/>
  <c r="E98" i="15" s="1"/>
  <c r="B34" i="10"/>
  <c r="G82" i="8"/>
  <c r="G62" i="8"/>
  <c r="C44" i="15"/>
  <c r="D44" i="15" s="1"/>
  <c r="E44" i="15" s="1"/>
  <c r="G42" i="8"/>
  <c r="G26" i="8"/>
  <c r="B46" i="10"/>
  <c r="C38" i="10"/>
  <c r="D38" i="10" s="1"/>
  <c r="C31" i="10"/>
  <c r="D31" i="10" s="1"/>
  <c r="B54" i="10"/>
  <c r="C73" i="15" s="1"/>
  <c r="D73" i="15" s="1"/>
  <c r="E73" i="15" s="1"/>
  <c r="B38" i="10"/>
  <c r="B31" i="10"/>
  <c r="G74" i="8"/>
  <c r="B8" i="13"/>
  <c r="D26" i="9"/>
  <c r="G32" i="8"/>
  <c r="B26" i="9"/>
  <c r="G60" i="8"/>
  <c r="B53" i="10"/>
  <c r="C96" i="15" s="1"/>
  <c r="D96" i="15" s="1"/>
  <c r="E96" i="15" s="1"/>
  <c r="E17" i="9"/>
  <c r="B52" i="10"/>
  <c r="C95" i="15" s="1"/>
  <c r="D95" i="15" s="1"/>
  <c r="E95" i="15" s="1"/>
  <c r="G80" i="8"/>
  <c r="G50" i="8"/>
  <c r="B9" i="8"/>
  <c r="B10" i="8" s="1"/>
  <c r="B11" i="8" s="1"/>
  <c r="B17" i="9"/>
  <c r="G70" i="8"/>
  <c r="C50" i="10"/>
  <c r="D50" i="10" s="1"/>
  <c r="G64" i="8"/>
  <c r="G54" i="8"/>
  <c r="G34" i="8"/>
  <c r="G58" i="8"/>
  <c r="G48" i="8"/>
  <c r="G38" i="8"/>
  <c r="G68" i="8"/>
  <c r="B31" i="3"/>
  <c r="B34" i="3" s="1"/>
  <c r="C46" i="15"/>
  <c r="D46" i="15" s="1"/>
  <c r="E46" i="15" s="1"/>
  <c r="C15" i="10"/>
  <c r="C48" i="15"/>
  <c r="D48" i="15" s="1"/>
  <c r="E48" i="15" s="1"/>
  <c r="C21" i="10"/>
  <c r="G93" i="4"/>
  <c r="F93" i="4"/>
  <c r="E93" i="4"/>
  <c r="D93" i="4"/>
  <c r="H93" i="4" s="1"/>
  <c r="G84" i="6"/>
  <c r="G74" i="6"/>
  <c r="E40" i="4"/>
  <c r="D40" i="4"/>
  <c r="G40" i="4"/>
  <c r="F40" i="4"/>
  <c r="G80" i="6"/>
  <c r="I85" i="4"/>
  <c r="E8" i="4"/>
  <c r="G8" i="4"/>
  <c r="F8" i="4"/>
  <c r="D8" i="4"/>
  <c r="H97" i="4" l="1"/>
  <c r="H11" i="4"/>
  <c r="I35" i="4"/>
  <c r="B43" i="5"/>
  <c r="I29" i="4"/>
  <c r="J29" i="4" s="1"/>
  <c r="H56" i="4"/>
  <c r="I12" i="4"/>
  <c r="H25" i="4"/>
  <c r="H89" i="4"/>
  <c r="B50" i="5"/>
  <c r="D67" i="8"/>
  <c r="I61" i="4"/>
  <c r="J61" i="4" s="1"/>
  <c r="B42" i="5"/>
  <c r="C115" i="15" s="1"/>
  <c r="D115" i="15" s="1"/>
  <c r="E115" i="15" s="1"/>
  <c r="D23" i="8"/>
  <c r="F23" i="8" s="1"/>
  <c r="H23" i="8" s="1"/>
  <c r="C44" i="10"/>
  <c r="D44" i="10" s="1"/>
  <c r="B26" i="3"/>
  <c r="D64" i="8"/>
  <c r="I67" i="4"/>
  <c r="B35" i="10"/>
  <c r="D27" i="9"/>
  <c r="D38" i="8"/>
  <c r="D28" i="9"/>
  <c r="D25" i="9"/>
  <c r="E25" i="9" s="1"/>
  <c r="D8" i="9"/>
  <c r="E8" i="9" s="1"/>
  <c r="C22" i="12"/>
  <c r="D22" i="12" s="1"/>
  <c r="C36" i="9"/>
  <c r="C26" i="9"/>
  <c r="B10" i="10"/>
  <c r="B43" i="10"/>
  <c r="D49" i="8"/>
  <c r="I38" i="4"/>
  <c r="J38" i="4" s="1"/>
  <c r="B12" i="13"/>
  <c r="B16" i="8"/>
  <c r="C65" i="15" s="1"/>
  <c r="D65" i="15" s="1"/>
  <c r="E65" i="15" s="1"/>
  <c r="D69" i="8"/>
  <c r="C46" i="10"/>
  <c r="D46" i="10" s="1"/>
  <c r="B39" i="12"/>
  <c r="B29" i="10"/>
  <c r="D48" i="8"/>
  <c r="D26" i="8"/>
  <c r="D73" i="8"/>
  <c r="I47" i="4"/>
  <c r="J47" i="4" s="1"/>
  <c r="E11" i="11"/>
  <c r="F11" i="11" s="1"/>
  <c r="C28" i="9"/>
  <c r="D34" i="8"/>
  <c r="B50" i="10"/>
  <c r="C43" i="10"/>
  <c r="D43" i="10" s="1"/>
  <c r="C39" i="10"/>
  <c r="D39" i="10" s="1"/>
  <c r="B30" i="10"/>
  <c r="B18" i="9"/>
  <c r="B37" i="10"/>
  <c r="D74" i="8"/>
  <c r="D68" i="8"/>
  <c r="D76" i="8"/>
  <c r="D39" i="8"/>
  <c r="D77" i="8"/>
  <c r="H95" i="4"/>
  <c r="H74" i="4"/>
  <c r="H75" i="4"/>
  <c r="C15" i="12"/>
  <c r="D15" i="12" s="1"/>
  <c r="D33" i="8"/>
  <c r="B39" i="10"/>
  <c r="C48" i="10"/>
  <c r="D48" i="10" s="1"/>
  <c r="D40" i="8"/>
  <c r="I17" i="9"/>
  <c r="B33" i="10"/>
  <c r="D28" i="8"/>
  <c r="D56" i="8"/>
  <c r="D75" i="8"/>
  <c r="I70" i="4"/>
  <c r="J70" i="4" s="1"/>
  <c r="C35" i="10"/>
  <c r="D35" i="10" s="1"/>
  <c r="B32" i="10"/>
  <c r="B41" i="10"/>
  <c r="D29" i="8"/>
  <c r="D78" i="8"/>
  <c r="D27" i="8"/>
  <c r="D42" i="8"/>
  <c r="D79" i="8"/>
  <c r="C37" i="5"/>
  <c r="H46" i="3"/>
  <c r="C13" i="15"/>
  <c r="D13" i="15" s="1"/>
  <c r="E13" i="15" s="1"/>
  <c r="C14" i="12"/>
  <c r="D14" i="12" s="1"/>
  <c r="C51" i="15" s="1"/>
  <c r="D51" i="15" s="1"/>
  <c r="E51" i="15" s="1"/>
  <c r="B32" i="12"/>
  <c r="H84" i="4"/>
  <c r="I52" i="4"/>
  <c r="J52" i="4" s="1"/>
  <c r="H12" i="4"/>
  <c r="C34" i="15"/>
  <c r="D34" i="15" s="1"/>
  <c r="E34" i="15" s="1"/>
  <c r="I49" i="4"/>
  <c r="J49" i="4" s="1"/>
  <c r="I40" i="4"/>
  <c r="J40" i="4" s="1"/>
  <c r="I90" i="4"/>
  <c r="J90" i="4" s="1"/>
  <c r="K90" i="4" s="1"/>
  <c r="C11" i="12"/>
  <c r="D11" i="12" s="1"/>
  <c r="H44" i="4"/>
  <c r="I102" i="4"/>
  <c r="J102" i="4" s="1"/>
  <c r="H61" i="4"/>
  <c r="B37" i="12"/>
  <c r="B38" i="12" s="1"/>
  <c r="C17" i="12"/>
  <c r="D17" i="12" s="1"/>
  <c r="C18" i="12"/>
  <c r="D18" i="12" s="1"/>
  <c r="B13" i="13"/>
  <c r="I19" i="4"/>
  <c r="J19" i="4" s="1"/>
  <c r="D18" i="9"/>
  <c r="C17" i="9"/>
  <c r="G17" i="9" s="1"/>
  <c r="C16" i="11"/>
  <c r="D16" i="11" s="1"/>
  <c r="D58" i="10"/>
  <c r="E58" i="10" s="1"/>
  <c r="D59" i="10"/>
  <c r="E59" i="10" s="1"/>
  <c r="C15" i="11"/>
  <c r="D15" i="11" s="1"/>
  <c r="D62" i="10"/>
  <c r="E62" i="10" s="1"/>
  <c r="D60" i="10"/>
  <c r="E60" i="10" s="1"/>
  <c r="D21" i="10"/>
  <c r="C80" i="15" s="1"/>
  <c r="D80" i="15" s="1"/>
  <c r="E80" i="15" s="1"/>
  <c r="C37" i="9"/>
  <c r="D15" i="10"/>
  <c r="C78" i="15" s="1"/>
  <c r="D78" i="15" s="1"/>
  <c r="E78" i="15" s="1"/>
  <c r="I94" i="4"/>
  <c r="I57" i="4"/>
  <c r="J57" i="4" s="1"/>
  <c r="C13" i="12"/>
  <c r="D13" i="12" s="1"/>
  <c r="C25" i="12"/>
  <c r="D25" i="12" s="1"/>
  <c r="C29" i="12"/>
  <c r="D29" i="12" s="1"/>
  <c r="C19" i="12"/>
  <c r="D19" i="12" s="1"/>
  <c r="I75" i="4"/>
  <c r="C20" i="12"/>
  <c r="D20" i="12" s="1"/>
  <c r="C26" i="12"/>
  <c r="D26" i="12" s="1"/>
  <c r="C27" i="12"/>
  <c r="D27" i="12" s="1"/>
  <c r="I53" i="4"/>
  <c r="H14" i="4"/>
  <c r="I8" i="4"/>
  <c r="J8" i="4" s="1"/>
  <c r="C42" i="10"/>
  <c r="D42" i="10" s="1"/>
  <c r="E8" i="11"/>
  <c r="F8" i="11" s="1"/>
  <c r="E18" i="9"/>
  <c r="F18" i="9" s="1"/>
  <c r="C64" i="15" s="1"/>
  <c r="D64" i="15" s="1"/>
  <c r="E64" i="15" s="1"/>
  <c r="C49" i="10"/>
  <c r="D49" i="10" s="1"/>
  <c r="D20" i="10"/>
  <c r="D44" i="8"/>
  <c r="G11" i="11"/>
  <c r="D66" i="8"/>
  <c r="D31" i="8"/>
  <c r="D71" i="8"/>
  <c r="C20" i="10"/>
  <c r="K78" i="4"/>
  <c r="M76" i="4" s="1"/>
  <c r="O76" i="4" s="1"/>
  <c r="I62" i="4"/>
  <c r="J62" i="4" s="1"/>
  <c r="H28" i="4"/>
  <c r="C21" i="12"/>
  <c r="D21" i="12" s="1"/>
  <c r="I68" i="4"/>
  <c r="J68" i="4" s="1"/>
  <c r="I100" i="4"/>
  <c r="J100" i="4" s="1"/>
  <c r="C16" i="12"/>
  <c r="D16" i="12" s="1"/>
  <c r="C23" i="12"/>
  <c r="D23" i="12" s="1"/>
  <c r="H18" i="9"/>
  <c r="I89" i="4"/>
  <c r="J89" i="4" s="1"/>
  <c r="I83" i="4"/>
  <c r="J83" i="4" s="1"/>
  <c r="I69" i="4"/>
  <c r="J69" i="4" s="1"/>
  <c r="C24" i="12"/>
  <c r="D24" i="12" s="1"/>
  <c r="D19" i="10"/>
  <c r="C79" i="15" s="1"/>
  <c r="D79" i="15" s="1"/>
  <c r="E79" i="15" s="1"/>
  <c r="C18" i="10"/>
  <c r="D18" i="10"/>
  <c r="I82" i="4"/>
  <c r="J82" i="4" s="1"/>
  <c r="L72" i="4"/>
  <c r="L21" i="4"/>
  <c r="J98" i="4"/>
  <c r="K98" i="4" s="1"/>
  <c r="H19" i="4"/>
  <c r="I32" i="4"/>
  <c r="E9" i="9"/>
  <c r="C103" i="15" s="1"/>
  <c r="D103" i="15" s="1"/>
  <c r="E103" i="15" s="1"/>
  <c r="C21" i="15"/>
  <c r="D21" i="15" s="1"/>
  <c r="E21" i="15" s="1"/>
  <c r="I11" i="4"/>
  <c r="C17" i="5"/>
  <c r="C87" i="15"/>
  <c r="D87" i="15" s="1"/>
  <c r="E87" i="15" s="1"/>
  <c r="B20" i="5"/>
  <c r="F6" i="11"/>
  <c r="C70" i="15"/>
  <c r="D70" i="15" s="1"/>
  <c r="E70" i="15" s="1"/>
  <c r="C17" i="15"/>
  <c r="D17" i="15" s="1"/>
  <c r="E17" i="15" s="1"/>
  <c r="C16" i="5"/>
  <c r="C89" i="15" s="1"/>
  <c r="D89" i="15" s="1"/>
  <c r="E89" i="15" s="1"/>
  <c r="J41" i="4"/>
  <c r="K41" i="4" s="1"/>
  <c r="I22" i="4"/>
  <c r="H57" i="4"/>
  <c r="I77" i="4"/>
  <c r="J24" i="4"/>
  <c r="K24" i="4" s="1"/>
  <c r="I92" i="4"/>
  <c r="C81" i="15"/>
  <c r="D81" i="15" s="1"/>
  <c r="E81" i="15" s="1"/>
  <c r="B44" i="5"/>
  <c r="C122" i="15" s="1"/>
  <c r="D122" i="15" s="1"/>
  <c r="E122" i="15" s="1"/>
  <c r="C75" i="15"/>
  <c r="D75" i="15" s="1"/>
  <c r="E75" i="15" s="1"/>
  <c r="F7" i="11"/>
  <c r="I58" i="4"/>
  <c r="C19" i="15"/>
  <c r="D19" i="15" s="1"/>
  <c r="E19" i="15" s="1"/>
  <c r="B12" i="9"/>
  <c r="C18" i="15" s="1"/>
  <c r="D18" i="15" s="1"/>
  <c r="E18" i="15" s="1"/>
  <c r="G18" i="9"/>
  <c r="H32" i="4"/>
  <c r="H77" i="4"/>
  <c r="H8" i="4"/>
  <c r="E7" i="9"/>
  <c r="F7" i="9"/>
  <c r="J67" i="4"/>
  <c r="K67" i="4" s="1"/>
  <c r="I65" i="4"/>
  <c r="H47" i="4"/>
  <c r="K47" i="4" s="1"/>
  <c r="J35" i="4"/>
  <c r="K35" i="4" s="1"/>
  <c r="I48" i="4"/>
  <c r="H55" i="4"/>
  <c r="K55" i="4" s="1"/>
  <c r="I18" i="4"/>
  <c r="B33" i="3"/>
  <c r="B23" i="6"/>
  <c r="B33" i="5"/>
  <c r="B30" i="3"/>
  <c r="C31" i="15" s="1"/>
  <c r="D31" i="15" s="1"/>
  <c r="E31" i="15" s="1"/>
  <c r="B22" i="6"/>
  <c r="H22" i="4"/>
  <c r="H68" i="4"/>
  <c r="J12" i="4"/>
  <c r="K12" i="4" s="1"/>
  <c r="L31" i="4"/>
  <c r="I9" i="11"/>
  <c r="G17" i="10"/>
  <c r="G19" i="10"/>
  <c r="G21" i="10"/>
  <c r="G16" i="10"/>
  <c r="G20" i="10"/>
  <c r="G15" i="10"/>
  <c r="B9" i="10"/>
  <c r="I10" i="11" s="1"/>
  <c r="G18" i="10"/>
  <c r="J81" i="4"/>
  <c r="K81" i="4" s="1"/>
  <c r="C22" i="15"/>
  <c r="D22" i="15" s="1"/>
  <c r="E22" i="15" s="1"/>
  <c r="E10" i="9"/>
  <c r="C104" i="15" s="1"/>
  <c r="D104" i="15" s="1"/>
  <c r="E104" i="15" s="1"/>
  <c r="I95" i="4"/>
  <c r="I44" i="4"/>
  <c r="I6" i="11"/>
  <c r="I14" i="4"/>
  <c r="I16" i="4"/>
  <c r="H17" i="4"/>
  <c r="K17" i="4" s="1"/>
  <c r="H27" i="4"/>
  <c r="K27" i="4" s="1"/>
  <c r="J56" i="4"/>
  <c r="F9" i="11"/>
  <c r="C77" i="15"/>
  <c r="D77" i="15" s="1"/>
  <c r="E77" i="15" s="1"/>
  <c r="L20" i="4"/>
  <c r="J73" i="4"/>
  <c r="K73" i="4" s="1"/>
  <c r="I43" i="4"/>
  <c r="H101" i="4"/>
  <c r="H16" i="4"/>
  <c r="H37" i="4"/>
  <c r="K37" i="4" s="1"/>
  <c r="C71" i="15"/>
  <c r="D71" i="15" s="1"/>
  <c r="E71" i="15" s="1"/>
  <c r="F10" i="11"/>
  <c r="K8" i="4"/>
  <c r="L8" i="4" s="1"/>
  <c r="I93" i="4"/>
  <c r="B6" i="13"/>
  <c r="C86" i="15"/>
  <c r="D86" i="15" s="1"/>
  <c r="E86" i="15" s="1"/>
  <c r="I59" i="4"/>
  <c r="I7" i="11"/>
  <c r="H65" i="4"/>
  <c r="H102" i="4"/>
  <c r="F9" i="9"/>
  <c r="I86" i="4"/>
  <c r="K101" i="4"/>
  <c r="I23" i="4"/>
  <c r="I45" i="4"/>
  <c r="F10" i="9"/>
  <c r="I28" i="4"/>
  <c r="H54" i="4"/>
  <c r="K54" i="4" s="1"/>
  <c r="C76" i="15"/>
  <c r="D76" i="15" s="1"/>
  <c r="E76" i="15" s="1"/>
  <c r="I34" i="4"/>
  <c r="J33" i="4"/>
  <c r="K33" i="4" s="1"/>
  <c r="B18" i="5"/>
  <c r="I10" i="4"/>
  <c r="J60" i="4"/>
  <c r="K60" i="4"/>
  <c r="H48" i="4"/>
  <c r="L76" i="4"/>
  <c r="L15" i="4"/>
  <c r="J25" i="4"/>
  <c r="K25" i="4"/>
  <c r="I91" i="4"/>
  <c r="I13" i="4"/>
  <c r="I88" i="4"/>
  <c r="H29" i="4"/>
  <c r="I26" i="4"/>
  <c r="L87" i="4"/>
  <c r="I80" i="4"/>
  <c r="J46" i="4"/>
  <c r="K46" i="4" s="1"/>
  <c r="I71" i="4"/>
  <c r="H10" i="4"/>
  <c r="I79" i="4"/>
  <c r="H43" i="4"/>
  <c r="H62" i="4"/>
  <c r="K29" i="4"/>
  <c r="M29" i="4" s="1"/>
  <c r="O29" i="4" s="1"/>
  <c r="I99" i="4"/>
  <c r="K100" i="4"/>
  <c r="I96" i="4"/>
  <c r="I84" i="4"/>
  <c r="H69" i="4"/>
  <c r="H52" i="4"/>
  <c r="B84" i="8"/>
  <c r="B12" i="8"/>
  <c r="H40" i="4"/>
  <c r="J30" i="4"/>
  <c r="K30" i="4"/>
  <c r="C9" i="15"/>
  <c r="D9" i="15" s="1"/>
  <c r="E9" i="15" s="1"/>
  <c r="J50" i="4"/>
  <c r="C10" i="15" s="1"/>
  <c r="D10" i="15" s="1"/>
  <c r="E10" i="15" s="1"/>
  <c r="J39" i="4"/>
  <c r="K39" i="4"/>
  <c r="H80" i="4"/>
  <c r="G16" i="9"/>
  <c r="F16" i="9"/>
  <c r="C63" i="15" s="1"/>
  <c r="D63" i="15" s="1"/>
  <c r="E63" i="15" s="1"/>
  <c r="H71" i="4"/>
  <c r="H13" i="4"/>
  <c r="H83" i="4"/>
  <c r="K83" i="4" s="1"/>
  <c r="J97" i="4"/>
  <c r="K97" i="4"/>
  <c r="I51" i="4"/>
  <c r="I36" i="4"/>
  <c r="J85" i="4"/>
  <c r="K85" i="4" s="1"/>
  <c r="H17" i="9"/>
  <c r="H16" i="9"/>
  <c r="J64" i="4"/>
  <c r="K64" i="4"/>
  <c r="K89" i="4"/>
  <c r="H91" i="4"/>
  <c r="I63" i="4"/>
  <c r="H79" i="4"/>
  <c r="H96" i="4"/>
  <c r="H51" i="4"/>
  <c r="H88" i="4"/>
  <c r="H99" i="4"/>
  <c r="I74" i="4"/>
  <c r="K52" i="4"/>
  <c r="E28" i="9" l="1"/>
  <c r="C24" i="8"/>
  <c r="F8" i="9"/>
  <c r="K38" i="4"/>
  <c r="E27" i="9"/>
  <c r="E26" i="9"/>
  <c r="C66" i="15" s="1"/>
  <c r="D66" i="15" s="1"/>
  <c r="E66" i="15" s="1"/>
  <c r="K57" i="4"/>
  <c r="K70" i="4"/>
  <c r="M70" i="4" s="1"/>
  <c r="O70" i="4" s="1"/>
  <c r="K61" i="4"/>
  <c r="L61" i="4" s="1"/>
  <c r="I8" i="11"/>
  <c r="K56" i="4"/>
  <c r="L56" i="4" s="1"/>
  <c r="K62" i="4"/>
  <c r="L62" i="4" s="1"/>
  <c r="B18" i="11"/>
  <c r="C120" i="15" s="1"/>
  <c r="D120" i="15" s="1"/>
  <c r="E120" i="15" s="1"/>
  <c r="B19" i="11"/>
  <c r="C19" i="11"/>
  <c r="C121" i="15" s="1"/>
  <c r="D121" i="15" s="1"/>
  <c r="E121" i="15" s="1"/>
  <c r="L78" i="4"/>
  <c r="K82" i="4"/>
  <c r="L82" i="4" s="1"/>
  <c r="J75" i="4"/>
  <c r="K75" i="4"/>
  <c r="L75" i="4" s="1"/>
  <c r="F17" i="9"/>
  <c r="J53" i="4"/>
  <c r="K53" i="4"/>
  <c r="L53" i="4" s="1"/>
  <c r="K49" i="4"/>
  <c r="L49" i="4" s="1"/>
  <c r="K102" i="4"/>
  <c r="L102" i="4" s="1"/>
  <c r="K68" i="4"/>
  <c r="L68" i="4" s="1"/>
  <c r="K69" i="4"/>
  <c r="M67" i="4" s="1"/>
  <c r="O67" i="4" s="1"/>
  <c r="K19" i="4"/>
  <c r="M17" i="4" s="1"/>
  <c r="O17" i="4" s="1"/>
  <c r="J94" i="4"/>
  <c r="K94" i="4" s="1"/>
  <c r="L94" i="4" s="1"/>
  <c r="K40" i="4"/>
  <c r="M40" i="4" s="1"/>
  <c r="O40" i="4" s="1"/>
  <c r="M83" i="4"/>
  <c r="O83" i="4" s="1"/>
  <c r="L85" i="4"/>
  <c r="M85" i="4"/>
  <c r="O85" i="4" s="1"/>
  <c r="L46" i="4"/>
  <c r="L24" i="4"/>
  <c r="L41" i="4"/>
  <c r="M39" i="4"/>
  <c r="O39" i="4" s="1"/>
  <c r="L90" i="4"/>
  <c r="L12" i="4"/>
  <c r="M55" i="4"/>
  <c r="O55" i="4" s="1"/>
  <c r="L57" i="4"/>
  <c r="L37" i="4"/>
  <c r="M35" i="4"/>
  <c r="O35" i="4" s="1"/>
  <c r="M33" i="4"/>
  <c r="O33" i="4" s="1"/>
  <c r="L35" i="4"/>
  <c r="L33" i="4"/>
  <c r="M31" i="4"/>
  <c r="O31" i="4" s="1"/>
  <c r="L55" i="4"/>
  <c r="L98" i="4"/>
  <c r="M25" i="4"/>
  <c r="O25" i="4" s="1"/>
  <c r="L27" i="4"/>
  <c r="J86" i="4"/>
  <c r="K86" i="4" s="1"/>
  <c r="H9" i="9"/>
  <c r="C74" i="15" s="1"/>
  <c r="D74" i="15" s="1"/>
  <c r="E74" i="15" s="1"/>
  <c r="G9" i="9"/>
  <c r="C58" i="15"/>
  <c r="D58" i="15" s="1"/>
  <c r="E58" i="15" s="1"/>
  <c r="J18" i="4"/>
  <c r="K18" i="4"/>
  <c r="M62" i="4"/>
  <c r="O62" i="4" s="1"/>
  <c r="L64" i="4"/>
  <c r="M64" i="4"/>
  <c r="O64" i="4" s="1"/>
  <c r="M38" i="4"/>
  <c r="O38" i="4" s="1"/>
  <c r="L40" i="4"/>
  <c r="L60" i="4"/>
  <c r="J26" i="4"/>
  <c r="K26" i="4" s="1"/>
  <c r="J44" i="4"/>
  <c r="K44" i="4" s="1"/>
  <c r="M44" i="4" s="1"/>
  <c r="O44" i="4" s="1"/>
  <c r="J22" i="4"/>
  <c r="K22" i="4"/>
  <c r="M22" i="4" s="1"/>
  <c r="O22" i="4" s="1"/>
  <c r="J14" i="4"/>
  <c r="K14" i="4"/>
  <c r="M98" i="4"/>
  <c r="O98" i="4" s="1"/>
  <c r="L100" i="4"/>
  <c r="K50" i="4"/>
  <c r="J99" i="4"/>
  <c r="K99" i="4" s="1"/>
  <c r="J10" i="4"/>
  <c r="K10" i="4"/>
  <c r="M10" i="4" s="1"/>
  <c r="O10" i="4" s="1"/>
  <c r="J43" i="4"/>
  <c r="K43" i="4"/>
  <c r="J95" i="4"/>
  <c r="K95" i="4" s="1"/>
  <c r="M95" i="4" s="1"/>
  <c r="O95" i="4" s="1"/>
  <c r="L47" i="4"/>
  <c r="G8" i="9"/>
  <c r="B11" i="9"/>
  <c r="C60" i="15" s="1"/>
  <c r="D60" i="15" s="1"/>
  <c r="E60" i="15" s="1"/>
  <c r="B15" i="13"/>
  <c r="C57" i="15"/>
  <c r="D57" i="15" s="1"/>
  <c r="E57" i="15" s="1"/>
  <c r="H8" i="9"/>
  <c r="C61" i="15" s="1"/>
  <c r="D61" i="15" s="1"/>
  <c r="E61" i="15" s="1"/>
  <c r="J32" i="4"/>
  <c r="K32" i="4"/>
  <c r="J96" i="4"/>
  <c r="K96" i="4"/>
  <c r="M96" i="4" s="1"/>
  <c r="O96" i="4" s="1"/>
  <c r="M15" i="4"/>
  <c r="O15" i="4" s="1"/>
  <c r="L17" i="4"/>
  <c r="L73" i="4"/>
  <c r="M73" i="4"/>
  <c r="O73" i="4" s="1"/>
  <c r="L89" i="4"/>
  <c r="M87" i="4"/>
  <c r="O87" i="4" s="1"/>
  <c r="L52" i="4"/>
  <c r="J36" i="4"/>
  <c r="K36" i="4"/>
  <c r="M36" i="4" s="1"/>
  <c r="O36" i="4" s="1"/>
  <c r="J59" i="4"/>
  <c r="K59" i="4" s="1"/>
  <c r="J58" i="4"/>
  <c r="K58" i="4"/>
  <c r="J16" i="4"/>
  <c r="K16" i="4" s="1"/>
  <c r="L81" i="4"/>
  <c r="J65" i="4"/>
  <c r="K65" i="4"/>
  <c r="M65" i="4" s="1"/>
  <c r="O65" i="4" s="1"/>
  <c r="J79" i="4"/>
  <c r="K79" i="4"/>
  <c r="J91" i="4"/>
  <c r="K91" i="4" s="1"/>
  <c r="J34" i="4"/>
  <c r="K34" i="4" s="1"/>
  <c r="J11" i="4"/>
  <c r="K11" i="4" s="1"/>
  <c r="L67" i="4"/>
  <c r="J71" i="4"/>
  <c r="K71" i="4"/>
  <c r="H7" i="9"/>
  <c r="G7" i="9"/>
  <c r="C56" i="15"/>
  <c r="D56" i="15" s="1"/>
  <c r="E56" i="15" s="1"/>
  <c r="J77" i="4"/>
  <c r="K77" i="4"/>
  <c r="J51" i="4"/>
  <c r="K51" i="4"/>
  <c r="L97" i="4"/>
  <c r="L25" i="4"/>
  <c r="M52" i="4"/>
  <c r="O52" i="4" s="1"/>
  <c r="L54" i="4"/>
  <c r="M54" i="4"/>
  <c r="O54" i="4" s="1"/>
  <c r="B23" i="10"/>
  <c r="J92" i="4"/>
  <c r="K92" i="4"/>
  <c r="M37" i="4"/>
  <c r="O37" i="4" s="1"/>
  <c r="L39" i="4"/>
  <c r="J74" i="4"/>
  <c r="K74" i="4"/>
  <c r="L70" i="4"/>
  <c r="M68" i="4"/>
  <c r="O68" i="4" s="1"/>
  <c r="L30" i="4"/>
  <c r="C94" i="15"/>
  <c r="D94" i="15" s="1"/>
  <c r="E94" i="15" s="1"/>
  <c r="B10" i="13"/>
  <c r="B14" i="13"/>
  <c r="E20" i="10"/>
  <c r="F20" i="10" s="1"/>
  <c r="E15" i="10"/>
  <c r="F15" i="10" s="1"/>
  <c r="E16" i="10"/>
  <c r="F16" i="10" s="1"/>
  <c r="E17" i="10"/>
  <c r="F17" i="10" s="1"/>
  <c r="E18" i="10"/>
  <c r="F18" i="10" s="1"/>
  <c r="E21" i="10"/>
  <c r="F21" i="10" s="1"/>
  <c r="E19" i="10"/>
  <c r="F19" i="10" s="1"/>
  <c r="L83" i="4"/>
  <c r="M81" i="4"/>
  <c r="O81" i="4" s="1"/>
  <c r="J28" i="4"/>
  <c r="K28" i="4"/>
  <c r="M28" i="4" s="1"/>
  <c r="O28" i="4" s="1"/>
  <c r="L38" i="4"/>
  <c r="J84" i="4"/>
  <c r="K84" i="4" s="1"/>
  <c r="J48" i="4"/>
  <c r="K48" i="4"/>
  <c r="L29" i="4"/>
  <c r="M27" i="4"/>
  <c r="O27" i="4" s="1"/>
  <c r="E24" i="8"/>
  <c r="F24" i="8" s="1"/>
  <c r="J13" i="4"/>
  <c r="K13" i="4" s="1"/>
  <c r="J63" i="4"/>
  <c r="K63" i="4"/>
  <c r="C59" i="15"/>
  <c r="D59" i="15" s="1"/>
  <c r="E59" i="15" s="1"/>
  <c r="H10" i="9"/>
  <c r="C62" i="15" s="1"/>
  <c r="D62" i="15" s="1"/>
  <c r="E62" i="15" s="1"/>
  <c r="G10" i="9"/>
  <c r="J93" i="4"/>
  <c r="K93" i="4"/>
  <c r="J23" i="4"/>
  <c r="K23" i="4" s="1"/>
  <c r="M23" i="4" s="1"/>
  <c r="O23" i="4" s="1"/>
  <c r="L101" i="4"/>
  <c r="J88" i="4"/>
  <c r="K88" i="4"/>
  <c r="M88" i="4" s="1"/>
  <c r="J80" i="4"/>
  <c r="K80" i="4" s="1"/>
  <c r="J45" i="4"/>
  <c r="K45" i="4"/>
  <c r="C88" i="15"/>
  <c r="D88" i="15" s="1"/>
  <c r="E88" i="15" s="1"/>
  <c r="B27" i="5"/>
  <c r="M60" i="4" l="1"/>
  <c r="O60" i="4" s="1"/>
  <c r="B30" i="9"/>
  <c r="C116" i="15" s="1"/>
  <c r="D116" i="15" s="1"/>
  <c r="E116" i="15" s="1"/>
  <c r="C67" i="15"/>
  <c r="D67" i="15" s="1"/>
  <c r="E67" i="15" s="1"/>
  <c r="M53" i="4"/>
  <c r="O53" i="4" s="1"/>
  <c r="B29" i="9"/>
  <c r="C69" i="15" s="1"/>
  <c r="D69" i="15" s="1"/>
  <c r="E69" i="15" s="1"/>
  <c r="C68" i="15"/>
  <c r="D68" i="15" s="1"/>
  <c r="E68" i="15" s="1"/>
  <c r="L69" i="4"/>
  <c r="M47" i="4"/>
  <c r="O47" i="4" s="1"/>
  <c r="M66" i="4"/>
  <c r="O66" i="4" s="1"/>
  <c r="L19" i="4"/>
  <c r="M19" i="4"/>
  <c r="O19" i="4" s="1"/>
  <c r="M100" i="4"/>
  <c r="O100" i="4" s="1"/>
  <c r="M32" i="4"/>
  <c r="O32" i="4" s="1"/>
  <c r="L34" i="4"/>
  <c r="M97" i="4"/>
  <c r="O97" i="4" s="1"/>
  <c r="L99" i="4"/>
  <c r="M99" i="4"/>
  <c r="O99" i="4" s="1"/>
  <c r="L13" i="4"/>
  <c r="M11" i="4"/>
  <c r="O11" i="4" s="1"/>
  <c r="M13" i="4"/>
  <c r="O13" i="4" s="1"/>
  <c r="C25" i="8"/>
  <c r="H24" i="8"/>
  <c r="M78" i="4"/>
  <c r="L80" i="4"/>
  <c r="M80" i="4"/>
  <c r="O80" i="4" s="1"/>
  <c r="M14" i="4"/>
  <c r="O14" i="4" s="1"/>
  <c r="L16" i="4"/>
  <c r="C92" i="15"/>
  <c r="D92" i="15" s="1"/>
  <c r="E92" i="15" s="1"/>
  <c r="O88" i="4"/>
  <c r="L59" i="4"/>
  <c r="M57" i="4"/>
  <c r="O57" i="4" s="1"/>
  <c r="M59" i="4"/>
  <c r="O59" i="4" s="1"/>
  <c r="M82" i="4"/>
  <c r="O82" i="4" s="1"/>
  <c r="L84" i="4"/>
  <c r="M9" i="4"/>
  <c r="O9" i="4" s="1"/>
  <c r="L11" i="4"/>
  <c r="L28" i="4"/>
  <c r="M26" i="4"/>
  <c r="O26" i="4" s="1"/>
  <c r="L32" i="4"/>
  <c r="M30" i="4"/>
  <c r="O30" i="4" s="1"/>
  <c r="L79" i="4"/>
  <c r="M77" i="4"/>
  <c r="O77" i="4" s="1"/>
  <c r="L91" i="4"/>
  <c r="M89" i="4"/>
  <c r="O89" i="4" s="1"/>
  <c r="M48" i="4"/>
  <c r="O48" i="4" s="1"/>
  <c r="L50" i="4"/>
  <c r="L77" i="4"/>
  <c r="M75" i="4"/>
  <c r="O75" i="4" s="1"/>
  <c r="L36" i="4"/>
  <c r="M34" i="4"/>
  <c r="O34" i="4" s="1"/>
  <c r="L14" i="4"/>
  <c r="M12" i="4"/>
  <c r="O12" i="4" s="1"/>
  <c r="L18" i="4"/>
  <c r="M16" i="4"/>
  <c r="O16" i="4" s="1"/>
  <c r="M18" i="4"/>
  <c r="O18" i="4" s="1"/>
  <c r="M43" i="4"/>
  <c r="O43" i="4" s="1"/>
  <c r="L45" i="4"/>
  <c r="M50" i="4"/>
  <c r="O50" i="4" s="1"/>
  <c r="M45" i="4"/>
  <c r="O45" i="4" s="1"/>
  <c r="M91" i="4"/>
  <c r="O91" i="4" s="1"/>
  <c r="L93" i="4"/>
  <c r="M8" i="4"/>
  <c r="O8" i="4" s="1"/>
  <c r="L10" i="4"/>
  <c r="L96" i="4"/>
  <c r="M94" i="4"/>
  <c r="O94" i="4" s="1"/>
  <c r="L51" i="4"/>
  <c r="M49" i="4"/>
  <c r="O49" i="4" s="1"/>
  <c r="M51" i="4"/>
  <c r="O51" i="4" s="1"/>
  <c r="M72" i="4"/>
  <c r="O72" i="4" s="1"/>
  <c r="L74" i="4"/>
  <c r="M74" i="4"/>
  <c r="O74" i="4" s="1"/>
  <c r="L63" i="4"/>
  <c r="M61" i="4"/>
  <c r="O61" i="4" s="1"/>
  <c r="B22" i="10"/>
  <c r="L22" i="4"/>
  <c r="M20" i="4"/>
  <c r="O20" i="4" s="1"/>
  <c r="M24" i="4"/>
  <c r="O24" i="4" s="1"/>
  <c r="L26" i="4"/>
  <c r="M56" i="4"/>
  <c r="O56" i="4" s="1"/>
  <c r="L58" i="4"/>
  <c r="M69" i="4"/>
  <c r="O69" i="4" s="1"/>
  <c r="L71" i="4"/>
  <c r="M79" i="4"/>
  <c r="O79" i="4" s="1"/>
  <c r="M93" i="4"/>
  <c r="O93" i="4" s="1"/>
  <c r="L95" i="4"/>
  <c r="M71" i="4"/>
  <c r="O71" i="4" s="1"/>
  <c r="L43" i="4"/>
  <c r="M41" i="4"/>
  <c r="O41" i="4" s="1"/>
  <c r="M84" i="4"/>
  <c r="O84" i="4" s="1"/>
  <c r="L86" i="4"/>
  <c r="M90" i="4"/>
  <c r="O90" i="4" s="1"/>
  <c r="L92" i="4"/>
  <c r="M92" i="4"/>
  <c r="O92" i="4" s="1"/>
  <c r="L65" i="4"/>
  <c r="M63" i="4"/>
  <c r="O63" i="4" s="1"/>
  <c r="M86" i="4"/>
  <c r="O86" i="4" s="1"/>
  <c r="L88" i="4"/>
  <c r="M42" i="4"/>
  <c r="O42" i="4" s="1"/>
  <c r="L44" i="4"/>
  <c r="L48" i="4"/>
  <c r="M46" i="4"/>
  <c r="O46" i="4" s="1"/>
  <c r="M21" i="4"/>
  <c r="O21" i="4" s="1"/>
  <c r="L23" i="4"/>
  <c r="M58" i="4"/>
  <c r="C100" i="15" l="1"/>
  <c r="D100" i="15" s="1"/>
  <c r="E100" i="15" s="1"/>
  <c r="O58" i="4"/>
  <c r="C101" i="15"/>
  <c r="D101" i="15" s="1"/>
  <c r="E101" i="15" s="1"/>
  <c r="C124" i="15" s="1"/>
  <c r="O78" i="4"/>
  <c r="E25" i="8"/>
  <c r="F25" i="8" s="1"/>
  <c r="H25" i="8" l="1"/>
  <c r="C26" i="8"/>
  <c r="E26" i="8" l="1"/>
  <c r="F26" i="8" s="1"/>
  <c r="C27" i="8" l="1"/>
  <c r="H26" i="8"/>
  <c r="E27" i="8" l="1"/>
  <c r="F27" i="8" s="1"/>
  <c r="H27" i="8" l="1"/>
  <c r="C28" i="8"/>
  <c r="E28" i="8" l="1"/>
  <c r="F28" i="8" s="1"/>
  <c r="H28" i="8" l="1"/>
  <c r="C29" i="8"/>
  <c r="E29" i="8" l="1"/>
  <c r="F29" i="8" s="1"/>
  <c r="H29" i="8" l="1"/>
  <c r="C30" i="8"/>
  <c r="E30" i="8" l="1"/>
  <c r="F30" i="8" s="1"/>
  <c r="C31" i="8" l="1"/>
  <c r="H30" i="8"/>
  <c r="E31" i="8" l="1"/>
  <c r="F31" i="8" s="1"/>
  <c r="H31" i="8" l="1"/>
  <c r="C32" i="8"/>
  <c r="E32" i="8" l="1"/>
  <c r="F32" i="8" s="1"/>
  <c r="C33" i="8" l="1"/>
  <c r="H32" i="8"/>
  <c r="E33" i="8" l="1"/>
  <c r="F33" i="8" s="1"/>
  <c r="H33" i="8" l="1"/>
  <c r="C34" i="8"/>
  <c r="E34" i="8" l="1"/>
  <c r="F34" i="8"/>
  <c r="C35" i="8" l="1"/>
  <c r="H34" i="8"/>
  <c r="E35" i="8" l="1"/>
  <c r="F35" i="8" s="1"/>
  <c r="H35" i="8" l="1"/>
  <c r="C36" i="8"/>
  <c r="E36" i="8" l="1"/>
  <c r="F36" i="8" s="1"/>
  <c r="H36" i="8" l="1"/>
  <c r="C37" i="8"/>
  <c r="E37" i="8" l="1"/>
  <c r="F37" i="8" s="1"/>
  <c r="H37" i="8" l="1"/>
  <c r="C38" i="8"/>
  <c r="E38" i="8" l="1"/>
  <c r="F38" i="8" s="1"/>
  <c r="C39" i="8" l="1"/>
  <c r="H38" i="8"/>
  <c r="E39" i="8" l="1"/>
  <c r="F39" i="8" s="1"/>
  <c r="H39" i="8" l="1"/>
  <c r="C40" i="8"/>
  <c r="E40" i="8" l="1"/>
  <c r="F40" i="8" s="1"/>
  <c r="C41" i="8" l="1"/>
  <c r="H40" i="8"/>
  <c r="E41" i="8" l="1"/>
  <c r="F41" i="8" s="1"/>
  <c r="H41" i="8" l="1"/>
  <c r="C42" i="8"/>
  <c r="E42" i="8" l="1"/>
  <c r="F42" i="8" s="1"/>
  <c r="C43" i="8" l="1"/>
  <c r="H42" i="8"/>
  <c r="E43" i="8" l="1"/>
  <c r="F43" i="8" s="1"/>
  <c r="H43" i="8" l="1"/>
  <c r="C44" i="8"/>
  <c r="E44" i="8" l="1"/>
  <c r="F44" i="8" s="1"/>
  <c r="H44" i="8" l="1"/>
  <c r="C45" i="8"/>
  <c r="E45" i="8" l="1"/>
  <c r="F45" i="8" s="1"/>
  <c r="H45" i="8" l="1"/>
  <c r="C46" i="8"/>
  <c r="E46" i="8" l="1"/>
  <c r="F46" i="8" s="1"/>
  <c r="C47" i="8" l="1"/>
  <c r="H46" i="8"/>
  <c r="E47" i="8" l="1"/>
  <c r="F47" i="8" s="1"/>
  <c r="H47" i="8" l="1"/>
  <c r="C48" i="8"/>
  <c r="E48" i="8" l="1"/>
  <c r="F48" i="8"/>
  <c r="C49" i="8" l="1"/>
  <c r="H48" i="8"/>
  <c r="E49" i="8" l="1"/>
  <c r="F49" i="8" s="1"/>
  <c r="H49" i="8" l="1"/>
  <c r="C50" i="8"/>
  <c r="E50" i="8" l="1"/>
  <c r="F50" i="8"/>
  <c r="C51" i="8" l="1"/>
  <c r="H50" i="8"/>
  <c r="E51" i="8" l="1"/>
  <c r="F51" i="8" s="1"/>
  <c r="H51" i="8" l="1"/>
  <c r="C52" i="8"/>
  <c r="E52" i="8" l="1"/>
  <c r="F52" i="8" s="1"/>
  <c r="H52" i="8" l="1"/>
  <c r="C53" i="8"/>
  <c r="E53" i="8" l="1"/>
  <c r="F53" i="8" s="1"/>
  <c r="H53" i="8" l="1"/>
  <c r="C54" i="8"/>
  <c r="E54" i="8" l="1"/>
  <c r="F54" i="8" s="1"/>
  <c r="C55" i="8" l="1"/>
  <c r="H54" i="8"/>
  <c r="E55" i="8" l="1"/>
  <c r="F55" i="8" s="1"/>
  <c r="H55" i="8" l="1"/>
  <c r="C56" i="8"/>
  <c r="E56" i="8" l="1"/>
  <c r="F56" i="8" s="1"/>
  <c r="C57" i="8" l="1"/>
  <c r="H56" i="8"/>
  <c r="E57" i="8" l="1"/>
  <c r="F57" i="8" s="1"/>
  <c r="H57" i="8" l="1"/>
  <c r="C58" i="8"/>
  <c r="E58" i="8" l="1"/>
  <c r="F58" i="8" s="1"/>
  <c r="C59" i="8" l="1"/>
  <c r="H58" i="8"/>
  <c r="E59" i="8" l="1"/>
  <c r="F59" i="8" s="1"/>
  <c r="H59" i="8" l="1"/>
  <c r="C60" i="8"/>
  <c r="E60" i="8" l="1"/>
  <c r="F60" i="8" s="1"/>
  <c r="C61" i="8" l="1"/>
  <c r="H60" i="8"/>
  <c r="E61" i="8" l="1"/>
  <c r="F61" i="8" s="1"/>
  <c r="H61" i="8" l="1"/>
  <c r="C62" i="8"/>
  <c r="E62" i="8" l="1"/>
  <c r="F62" i="8" s="1"/>
  <c r="H62" i="8" l="1"/>
  <c r="C63" i="8"/>
  <c r="E63" i="8" l="1"/>
  <c r="F63" i="8" s="1"/>
  <c r="H63" i="8" l="1"/>
  <c r="C64" i="8"/>
  <c r="E64" i="8" l="1"/>
  <c r="F64" i="8"/>
  <c r="H64" i="8" l="1"/>
  <c r="C65" i="8"/>
  <c r="E65" i="8" l="1"/>
  <c r="F65" i="8" s="1"/>
  <c r="H65" i="8" l="1"/>
  <c r="C66" i="8"/>
  <c r="E66" i="8" l="1"/>
  <c r="F66" i="8" s="1"/>
  <c r="H66" i="8" l="1"/>
  <c r="C67" i="8"/>
  <c r="E67" i="8" l="1"/>
  <c r="F67" i="8" s="1"/>
  <c r="H67" i="8" l="1"/>
  <c r="C68" i="8"/>
  <c r="E68" i="8" l="1"/>
  <c r="F68" i="8" s="1"/>
  <c r="C69" i="8" l="1"/>
  <c r="H68" i="8"/>
  <c r="E69" i="8" l="1"/>
  <c r="F69" i="8" s="1"/>
  <c r="H69" i="8" l="1"/>
  <c r="C70" i="8"/>
  <c r="E70" i="8" l="1"/>
  <c r="F70" i="8"/>
  <c r="C71" i="8" l="1"/>
  <c r="H70" i="8"/>
  <c r="E71" i="8" l="1"/>
  <c r="F71" i="8" s="1"/>
  <c r="H71" i="8" l="1"/>
  <c r="C72" i="8"/>
  <c r="E72" i="8" l="1"/>
  <c r="F72" i="8" s="1"/>
  <c r="H72" i="8" l="1"/>
  <c r="C73" i="8"/>
  <c r="E73" i="8" l="1"/>
  <c r="F73" i="8" s="1"/>
  <c r="H73" i="8" l="1"/>
  <c r="C74" i="8"/>
  <c r="E74" i="8" l="1"/>
  <c r="F74" i="8" s="1"/>
  <c r="C75" i="8" l="1"/>
  <c r="H74" i="8"/>
  <c r="E75" i="8" l="1"/>
  <c r="F75" i="8" s="1"/>
  <c r="H75" i="8" l="1"/>
  <c r="C76" i="8"/>
  <c r="E76" i="8" l="1"/>
  <c r="F76" i="8" s="1"/>
  <c r="C77" i="8" l="1"/>
  <c r="H76" i="8"/>
  <c r="E77" i="8" l="1"/>
  <c r="F77" i="8" s="1"/>
  <c r="H77" i="8" l="1"/>
  <c r="C78" i="8"/>
  <c r="E78" i="8" l="1"/>
  <c r="F78" i="8" s="1"/>
  <c r="H78" i="8" l="1"/>
  <c r="C79" i="8"/>
  <c r="E79" i="8" l="1"/>
  <c r="F79" i="8" s="1"/>
  <c r="H79" i="8" l="1"/>
  <c r="C80" i="8"/>
  <c r="E80" i="8" l="1"/>
  <c r="F80" i="8" s="1"/>
  <c r="C81" i="8" l="1"/>
  <c r="H80" i="8"/>
  <c r="E81" i="8" l="1"/>
  <c r="F81" i="8" s="1"/>
  <c r="H81" i="8" l="1"/>
  <c r="C82" i="8"/>
  <c r="E82" i="8" l="1"/>
  <c r="F82" i="8" s="1"/>
  <c r="H82" i="8" s="1"/>
  <c r="B83" i="8" s="1"/>
  <c r="B85" i="8" s="1"/>
</calcChain>
</file>

<file path=xl/sharedStrings.xml><?xml version="1.0" encoding="utf-8"?>
<sst xmlns="http://schemas.openxmlformats.org/spreadsheetml/2006/main" count="691" uniqueCount="591">
  <si>
    <t>Inflazione dello stile di vita — il simulatore del caso (2026)</t>
  </si>
  <si>
    <t>Strumento informativo / divulgativo. NON è consulenza finanziaria. I valori sono indicativi al 2026 e vanno verificati col tuo consulente.</t>
  </si>
  <si>
    <t>Indice</t>
  </si>
  <si>
    <t>P-Parametri</t>
  </si>
  <si>
    <t>Aliquote, detrazioni, soglie: le costanti normative, tutte in un posto solo</t>
  </si>
  <si>
    <t>1-Input</t>
  </si>
  <si>
    <t>La scheda-caso e il vincolo aritmetico da cui esce il capitale</t>
  </si>
  <si>
    <t>2-Busta-paga</t>
  </si>
  <si>
    <t>Il motore fiscale 2026, da RAL 15.000 a 62.000, e le due marginali</t>
  </si>
  <si>
    <t>3-Aumento</t>
  </si>
  <si>
    <t>I due eventi: la promozione ordinaria e il rinnovo con la sostitutiva del 5%</t>
  </si>
  <si>
    <t>4-Rapporto-RAL</t>
  </si>
  <si>
    <t>Il fattore del comma 7 IN FUNZIONE DELLA RAL, e quanto è stretta la finestra</t>
  </si>
  <si>
    <t>5-Moltiplicatore</t>
  </si>
  <si>
    <t>Quanto capitale serve per un euro al mese, per sempre</t>
  </si>
  <si>
    <t>6-Anni-al-FIRE</t>
  </si>
  <si>
    <t>La formula degli anni al traguardo e la controprova anno per anno</t>
  </si>
  <si>
    <t>7-Scenari</t>
  </si>
  <si>
    <t>I quattro destini, la banda del rendimento e il doppio effetto</t>
  </si>
  <si>
    <t>8-Soglia-q</t>
  </si>
  <si>
    <t>La soglia q*: la dimostrazione che non dipende da quanto è grande l'aumento</t>
  </si>
  <si>
    <t>9-Traduttore</t>
  </si>
  <si>
    <t>Traduce una spesa mensile in obiettivo, anni e ore di lavoro</t>
  </si>
  <si>
    <t>10-Regola-ora</t>
  </si>
  <si>
    <t>Quanto vale un'ora, e quanto puoi spendere per ricomprartela</t>
  </si>
  <si>
    <t>11-Cruscotto</t>
  </si>
  <si>
    <t>Gli otto numeri e il semaforo — il foglio della demo</t>
  </si>
  <si>
    <t>12-Fonti</t>
  </si>
  <si>
    <t>Una riga per ogni numero che va a schermo, con la norma e il «verbatim sì/no»</t>
  </si>
  <si>
    <t>13-Verifica</t>
  </si>
  <si>
    <t>Il confronto fra il motore e i numeri del video, con lo scarto</t>
  </si>
  <si>
    <t>Come usare</t>
  </si>
  <si>
    <t>1. Le celle GIALLE sono input — modificale coi tuoi numeri.</t>
  </si>
  <si>
    <t>2. Le celle VERDI sono output — si aggiornano automaticamente.</t>
  </si>
  <si>
    <t>3. Tutti i numeri di default sono al 2026 da fonti pubbliche.</t>
  </si>
  <si>
    <t>4. Niente codice nascosto: l'Excel è solo formule modificabili.</t>
  </si>
  <si>
    <t>Fonti dati</t>
  </si>
  <si>
    <t>• IRPEF 2026 23/33/43% — art. 11 TUIR, L. 199/2025 art. 1 c. 3</t>
  </si>
  <si>
    <t>• Detrazione da lavoro dipendente — art. 13 c. 1 TUIR</t>
  </si>
  <si>
    <t>• Ulteriore detrazione — L. 207/2024 art. 1 c. 6 (in vigore per tutto il 2026)</t>
  </si>
  <si>
    <t>• Imposta sostitutiva 5% sugli incrementi retributivi — L. 199/2025 art. 1 c. 7</t>
  </si>
  <si>
    <t>• Circolari Agenzia delle Entrate n. 2/E del 24/2/2026 e n. 3/E del 24/6/2026</t>
  </si>
  <si>
    <t>• Contributi 9,19% — art. 1 c. 769 L. 296/2006</t>
  </si>
  <si>
    <t>• Rendimento reale 3% su 60/40 e inflazione 2% — DMS Yearbook (canone del canale)</t>
  </si>
  <si>
    <t>• Prelievo sicuro 2,31% — Anarkulova, Cederburg, O'Doherty, Sias (2025)</t>
  </si>
  <si>
    <t>• Spesa media ISTAT 2024, persona sola — include gli affitti figurativi</t>
  </si>
  <si>
    <t>• Banca d'Italia, indagine sui bilanci delle famiglie 2022</t>
  </si>
  <si>
    <t>• D.Lgs. 117/2026 — in vigore dal 4/7/2026, effetti dal 1/1/2027 (art. 377)</t>
  </si>
  <si>
    <t>Aggiornamenti: github.com/marcofire-it/marco-fire-simulatori</t>
  </si>
  <si>
    <t>QUESTA PARTE SCADE: l'imposta sostitutiva del 5% (fogli 3 e 4) vale SOLO sugli incrementi retributivi EROGATI NEL 2026. Il contenuto durevole del foglio è l'aliquota marginale effettiva e la soglia q*, che non dipendono da nessuna norma a termine. Refresh obbligatorio a gennaio 2027.</t>
  </si>
  <si>
    <t>P — Parametri normativi 2026 (celle gialle: si toccano solo se cambia la legge)</t>
  </si>
  <si>
    <t>FOTOGRAFIA DEL 2026. Il D.Lgs. 117/2026 (testo unico delle imposte sui redditi) è entrato in vigore il 4/7/2026 ma i suoi effetti DECORRONO dal 1° gennaio 2027 (art. 377), e l'art. 376 c. 2 dispone la continuità dei rinvii: è ricodificazione, non soppressione. Per tutto il 2026 valgono le norme di questo foglio. Chi verificherà su Normattiva nel 2027 leggerà di default la versione già abrogata: bisogna scendere di una versione e leggere quella vigente nell'anno del video.</t>
  </si>
  <si>
    <t>IRPEF — art. 11 TUIR come modificato dalla L. 199/2025 art. 1 c. 3</t>
  </si>
  <si>
    <t>Primo scaglione: limite / aliquota</t>
  </si>
  <si>
    <t>Secondo scaglione: limite / aliquota</t>
  </si>
  <si>
    <t>Terzo scaglione: aliquota</t>
  </si>
  <si>
    <t>IRPEF cumulata a fine primo scaglione (derivata)</t>
  </si>
  <si>
    <t>IRPEF cumulata a fine secondo scaglione (derivata)</t>
  </si>
  <si>
    <t>Detrazioni e contributi</t>
  </si>
  <si>
    <t>Detrazione lavoro dipendente — importo pieno / soglia (art. 13 c. 1 TUIR)</t>
  </si>
  <si>
    <t>Fascia 15.000-28.000: base / incremento / ampiezza</t>
  </si>
  <si>
    <t>Fascia 28.000-50.000: base / ampiezza</t>
  </si>
  <si>
    <t>Ulteriore detrazione L. 207/2024 art. 1 c. 6 — importo / da / piena fino a / azzerata a</t>
  </si>
  <si>
    <t>Trattamento integrativo D.L. 3/2020 — importo / soglia / scarto di capienza</t>
  </si>
  <si>
    <t>Somma sul cuneo L. 207/2024 art. 1 c. 4 — tre aliquote</t>
  </si>
  <si>
    <t>Somma sul cuneo — tre soglie di reddito complessivo</t>
  </si>
  <si>
    <t>Contributi a carico del lavoratore (art. 1 c. 769 L. 296/2006)</t>
  </si>
  <si>
    <t>Addizionali regionale + comunale — IPOTESI DI CANALE, non una norma</t>
  </si>
  <si>
    <t>I passi «somma sul cuneo» e «trattamento integrativo» NON mordono mai sul caso (reddito complessivo 32.691,60 €): sono nel motore per completezza e perché il foglio 2 copre RAL da 15.000 a 62.000.</t>
  </si>
  <si>
    <t>Imposta sostitutiva sugli incrementi retributivi — L. 199/2025 art. 1 c. 7</t>
  </si>
  <si>
    <t>Aliquota sostitutiva di IRPEF e addizionali</t>
  </si>
  <si>
    <t>Tetto: reddito di lavoro dipendente 2025</t>
  </si>
  <si>
    <t>Anno di erogazione agevolato (la norma vale SOLO su questo)</t>
  </si>
  <si>
    <t>QUESTA PARTE SCADE. Il comma 7 si applica agli incrementi EROGATI nel 2026. Dal 2027 l'incremento rientra in tassazione ordinaria e ogni numero dei blocchi «CCNL» e «rapporto» smette di valere. Circolari AdE 2/E del 24/2/2026 e 3/E del 24/6/2026. Il limite dei 33.000 € si verifica sommando TUTTI i redditi di lavoro dipendente percepiti nel 2025, anche da più rapporti (circ. 2/E, verbatim). È un'opzione, non un obbligo: con rinuncia scritta si sceglie la tassazione ordinaria.</t>
  </si>
  <si>
    <t>Canone numerico del canale</t>
  </si>
  <si>
    <t>Rendimento REALE su 60/40 (DMS Yearbook) — banda bassa / base / alta</t>
  </si>
  <si>
    <t>Tasso di prelievo — regola del 4% / prudente / Anarkulova 2025</t>
  </si>
  <si>
    <t>Inflazione dichiarata (il modello è in euro reali: non entra nei conti)</t>
  </si>
  <si>
    <t>Il 5% e il 7% reale dei blog americani NON sono in elenco: sono vietati dal canone del canale. Anarkulova, Cederburg, O'Doherty, Sias (2025), J. Pension Econ. Fin. 24(3):464-500 danno un prelievo sicuro del 2,31%.</t>
  </si>
  <si>
    <t>Riferimenti del caso</t>
  </si>
  <si>
    <t>Spesa media mensile ISTAT 2024, persona sola (€/mese)</t>
  </si>
  <si>
    <t>Settimane lavorate all'anno / settimane dell'anno</t>
  </si>
  <si>
    <t>QUARTO ERRORE DI FAMIGLIA. L'aggregato ISTAT «spesa media mensile per consumi» INCLUDE gli affitti figurativi dei proprietari, che sono una componente NON monetaria. Confrontarlo con un flusso di cassa è omogeneo solo se si dichiara lo stato abitativo: vedi la cella B15 del foglio 1-Input.</t>
  </si>
  <si>
    <t>Fiscalità finanziaria — canone di canale, dichiarata NON attiva qui</t>
  </si>
  <si>
    <t>Imposta sulla plusvalenza realizzata</t>
  </si>
  <si>
    <t>Imposta di bollo sul dossier titoli</t>
  </si>
  <si>
    <t>LIMITE DICHIARATO. Questo modello è in accumulo e usa il traguardo come moltiplicatore della spesa (FIRE number = m × spesa): non simula i prelievi, quindi capital gain e bollo NON entrano in nessun conto di questi fogli. Sono qui perché sono il canone del canale e perché chi riusa il foglio deve sapere che mancano — non perché siano applicati. Il rendimento è già REALE e al lordo di queste due imposte.</t>
  </si>
  <si>
    <t>REFRESH GENNAIO 2027 — OBBLIGATORIO. Scaglioni, detrazioni, ulteriore detrazione, trattamento integrativo e somma sul cuneo sono riscritti ogni anno dalla legge di bilancio, e l'imposta sostitutiva del comma 7 vale SOLO sul 2026.</t>
  </si>
  <si>
    <t>1 — Input del caso (le celle GIALLE sono le uniche che si toccano)</t>
  </si>
  <si>
    <t>Caso ILLUSTRATIVO e COMPOSITO. Non è una persona reale e il video non promette il FIRE: promette una differenza fra due modi di usare lo stesso aumento.</t>
  </si>
  <si>
    <t>La scheda-caso</t>
  </si>
  <si>
    <t>Età</t>
  </si>
  <si>
    <t>RAL (retribuzione annua lorda)</t>
  </si>
  <si>
    <t>Spesa annua</t>
  </si>
  <si>
    <t>Capitale già investito</t>
  </si>
  <si>
    <t>Aumento LORDO ricevuto (promozione, canale ordinario)</t>
  </si>
  <si>
    <t>Quota dell'aumento assorbita in spesa  q  (0% / 50% / 76,17% / 100%)</t>
  </si>
  <si>
    <t>Rendimento REALE annuo  r  (2% / 3% / 4% — il 5% è vietato)</t>
  </si>
  <si>
    <t>Tasso di prelievo  w  (4% / 3% / 2,31%)</t>
  </si>
  <si>
    <t>Ore lavorate all'anno (ipotesi dichiarata: 40 h × 43 settimane)</t>
  </si>
  <si>
    <t>Settimane su cui si conta un'ora restituita (43 = lavorative)</t>
  </si>
  <si>
    <t>Stato abitativo (affitto / proprietà) — variabile OBBLIGATORIA</t>
  </si>
  <si>
    <t>affitto</t>
  </si>
  <si>
    <t>Settore (privato / pubblico) — il comma 7 vale solo sul privato</t>
  </si>
  <si>
    <t>privato</t>
  </si>
  <si>
    <t>Anno di erogazione dell'aumento</t>
  </si>
  <si>
    <t>Che cosa ne esce — tutto formula, niente digitato</t>
  </si>
  <si>
    <t>Contributi a carico del lavoratore</t>
  </si>
  <si>
    <t>Reddito complessivo (= reddito di lavoro dipendente)</t>
  </si>
  <si>
    <t>Netto annuo</t>
  </si>
  <si>
    <t>Netto mensile — su 12 / su 13</t>
  </si>
  <si>
    <t>Risparmio annuo</t>
  </si>
  <si>
    <t>Tasso di risparmio (sul netto)</t>
  </si>
  <si>
    <t>Moltiplicatore del traguardo  m = 1/w</t>
  </si>
  <si>
    <t>FIRE number = m × spesa</t>
  </si>
  <si>
    <t>Reddito di lavoro dipendente 2025 (test del comma 7)</t>
  </si>
  <si>
    <t>Margine sotto il tetto dei 33.000 €</t>
  </si>
  <si>
    <t>Anni al traguardo, caso base</t>
  </si>
  <si>
    <t>Netto in % della RAL</t>
  </si>
  <si>
    <t>Ammissibile al comma 7?</t>
  </si>
  <si>
    <t>Età al traguardo, caso base</t>
  </si>
  <si>
    <t>Il vincolo aritmetico: da dove viene il capitale (terzo errore di famiglia)</t>
  </si>
  <si>
    <t>Anno</t>
  </si>
  <si>
    <t>RAL</t>
  </si>
  <si>
    <t>Netto</t>
  </si>
  <si>
    <t>Spesa</t>
  </si>
  <si>
    <t>Risparmio</t>
  </si>
  <si>
    <t>Tasso di risparmio</t>
  </si>
  <si>
    <t>Montante al 1/1/2026</t>
  </si>
  <si>
    <t>MONTANTE al 1/1/2026</t>
  </si>
  <si>
    <t>Scarto contro il capitale dichiarato in B8</t>
  </si>
  <si>
    <t>TERZO ERRORE DI FAMIGLIA — il caso che non chiude. Il capitale NON è un parametro libero: è il montante di sette anni di lavoro, con la carriera e la spesa dichiarate. Il tasso di risparmio implicito sale da poco più del 7% al 20,65% e non lo supera mai: è possibile, è modesto, non richiede né eredità né fortuna. Le sette righe applicano la fiscalità 2026 a redditi 2019-2025: è un'approssimazione dichiarata (serve a mostrare la meccanica del risparmio, non a ricostruire sette buste paga storiche).</t>
  </si>
  <si>
    <t>Stato abitativo — quarto errore di famiglia, e va guardato in faccia</t>
  </si>
  <si>
    <t>Spesa ISTAT persona sola, annua</t>
  </si>
  <si>
    <t>Spesa del caso in % dell'aggregato ISTAT</t>
  </si>
  <si>
    <t>Il confronto è omogeneo?</t>
  </si>
  <si>
    <t>L'aggregato ISTAT media proprietari e affittuari e include la componente non monetaria degli affitti figurativi: per la persona sola over 65 la divisione «abitazione» pesa il 48,2% della spesa e gli affitti figurativi ne sono oltre i due terzi. Chi ha la casa pagata non spende in cassa quella cifra. Per questo lo stato abitativo è una variabile della scheda-caso e non un dettaglio.</t>
  </si>
  <si>
    <t>2 — Busta paga 2026: il motore fiscale, riga per riga</t>
  </si>
  <si>
    <t>Dipendente privato, nessun carico familiare, anno intero. Otto passi, ognuno in una colonna: contributi 9,19% → reddito complessivo → IRPEF lorda a scaglioni → detrazione da lavoro (art. 13 c. 1 TUIR) → ulteriore detrazione (L. 207/2024 c. 6) → somma sul cuneo (c. 4) → trattamento integrativo (D.L. 3/2020) → addizionali. Zero costanti nelle celle: tutto viene da P-Parametri.</t>
  </si>
  <si>
    <t>DUE MARGINALI, E NON SONO LA STESSA COSA. La colonna «marginale su +1.000 €» è la differenza fra due righe del motore completo: è quello che sente in busta chi prende mille euro in più. La colonna «marginale di banda» è la derivata analitica dentro la fascia. Coincidono ovunque tranne dove un incremento di mille euro ATTRAVERSA una soglia: lì l'osservata è una media pesata delle due fasce. Esempio: a RAL 55.000 la banda dà 48,86% ma la marginale su +1.000 € è 49,98%, perché l'incremento entra nel terzo scaglione. Il numero che va a video per il confronto con il 60,21% è 49,98%.</t>
  </si>
  <si>
    <t>Contributi</t>
  </si>
  <si>
    <t>Reddito compl.</t>
  </si>
  <si>
    <t>IRPEF lorda</t>
  </si>
  <si>
    <t>Detr. lavoro</t>
  </si>
  <si>
    <t>Ulteriore detr.</t>
  </si>
  <si>
    <t>Somma cuneo</t>
  </si>
  <si>
    <t>Tratt. integr.</t>
  </si>
  <si>
    <t>IRPEF netta</t>
  </si>
  <si>
    <t>Addizionali</t>
  </si>
  <si>
    <t>NETTO</t>
  </si>
  <si>
    <t>Netto / RAL</t>
  </si>
  <si>
    <t>Marg. su +1.000 €</t>
  </si>
  <si>
    <t>Marg. di banda</t>
  </si>
  <si>
    <t>Scarto</t>
  </si>
  <si>
    <t>Le due righe azzurre sono il caso: RAL 36.000 (prima) e RAL 43.000 (dopo la promozione). La colonna «marginale su +1.000 €» è quella che genera la curva del video: sale a 60,21% fra RAL 35.238 e RAL 44.048 e poi SCENDE. Non cresce col reddito, e questa è aritmetica di due decreti, non un'opinione.</t>
  </si>
  <si>
    <t>La colonna «Netto» qui è il netto ANNUO. Il netto mensile su 12 e su 13 mensilità sta nel foglio 1-Input. Le addizionali al 2,0% sono un'IPOTESI DI CANALE, non una norma: la forbice reale italiana è molto più larga e cambia da comune a comune.</t>
  </si>
  <si>
    <t>3 — L'aumento: due eventi diversi, e il canale fiscale non si sceglie</t>
  </si>
  <si>
    <t>IL CANALE NON SI SCEGLIE: lo determina la CAUSA dell'aumento. Una promozione è reddito ordinario; un incremento da rinnovo del contratto collettivo, erogato nel 2026 e sotto il tetto reddituale, va all'imposta sostitutiva del 5%. Sono due eventi diversi, con due taglie diverse, e questo foglio non li mescola mai.</t>
  </si>
  <si>
    <t>EVENTO 1 — la promozione (canale ORDINARIO)</t>
  </si>
  <si>
    <t>RAL prima</t>
  </si>
  <si>
    <t>RAL dopo</t>
  </si>
  <si>
    <t>Netto prima</t>
  </si>
  <si>
    <t>Netto dopo</t>
  </si>
  <si>
    <t>Aumento NETTO annuo</t>
  </si>
  <si>
    <t>Aumento netto al mese</t>
  </si>
  <si>
    <t>Quota del lordo che arriva in busta</t>
  </si>
  <si>
    <t>Aumento lordo al mese</t>
  </si>
  <si>
    <t>Variazione della RAL in percentuale</t>
  </si>
  <si>
    <t>→ AL MONTANTE PENSIONISTICO (contributi): risparmio forzoso, non perdita</t>
  </si>
  <si>
    <t>→ A IMPOSTE (IRPEF, addizionali, uscita delle due detrazioni)</t>
  </si>
  <si>
    <t>→ IN BUSTA, SUBITO</t>
  </si>
  <si>
    <t>Controllo: i tre rami sommano al lordo?</t>
  </si>
  <si>
    <t>I contributi NON sono denaro perduto: alimentano il montante contributivo e tornano come rendita. Il canale ha quattro video che li calcolano. Il numero da titolo è la quota IMPOSITIVA, non la somma delle due.</t>
  </si>
  <si>
    <t>Aliquota marginale effettiva sull'aumento (osservata)</t>
  </si>
  <si>
    <t>Scomposizione: contributi</t>
  </si>
  <si>
    <t>… + IRPEF marginale, riportata sul lordo</t>
  </si>
  <si>
    <t>… + uscita della detrazione da lavoro (1.910 / 22.000)</t>
  </si>
  <si>
    <t>… + uscita dell'ulteriore detrazione (1.000 / 8.000)</t>
  </si>
  <si>
    <t>… + addizionali</t>
  </si>
  <si>
    <t>TOTALE della scomposizione</t>
  </si>
  <si>
    <t>Scarto contro la marginale osservata</t>
  </si>
  <si>
    <t>DICHIARAZIONE OBBLIGATORIA (corollario 1 dei vincoli): la scomposizione e la marginale osservata NON sono due metodi indipendenti — sono lo stesso motore scritto in due modi. Uno scarto nullo qui vale come controllo di trascrizione, non come conferma del risultato.</t>
  </si>
  <si>
    <t>EVENTO 2 — il rinnovo del contratto collettivo (imposta SOSTITUTIVA 5%)</t>
  </si>
  <si>
    <t>Tranche mensili dell'esempio AdE (circ. 2/E 2026): 2025 / 2026 / 2027 / 2028</t>
  </si>
  <si>
    <t>Mesi del 2026 con la sola tranche 2025 / con entrambe</t>
  </si>
  <si>
    <t>Reddito di lavoro dipendente 2025 sotto il tetto?</t>
  </si>
  <si>
    <t>Incremento LORDO erogato nel 2026</t>
  </si>
  <si>
    <t>Imponibile (al netto dei contributi)</t>
  </si>
  <si>
    <t>Imposta sostitutiva 5%</t>
  </si>
  <si>
    <t>NETTO con il comma 7</t>
  </si>
  <si>
    <t>Quota del lordo che resta, per costruzione</t>
  </si>
  <si>
    <t>NETTO in tassazione ORDINARIA (marginale di banda della RAL del caso)</t>
  </si>
  <si>
    <t>Controprova col motore completo: netto(RAL+incremento) − netto(RAL)</t>
  </si>
  <si>
    <t>BONUS del comma 7 — una volta sola, nel 2026</t>
  </si>
  <si>
    <t>RAPPORTO fra i due canali, a questa RAL</t>
  </si>
  <si>
    <t>Anticipo sulla data del traguardo — anni</t>
  </si>
  <si>
    <t>Anticipo sulla data del traguardo — giorni</t>
  </si>
  <si>
    <t>Il bonus è incassato a fine 2026 e da lì in poi compone: l'anticipo si calcola spostando il capitale iniziale di bonus/(1+r), cioè del valore attuale di un incasso a fine primo anno. È una convenzione, ed è dichiarata: incassandolo a inizio anno l'anticipo sarebbe di mezzo giorno più lungo.</t>
  </si>
  <si>
    <t>IL COMMA 7 NON COMPRA ANNI, COMPRA DENARO, UNA VOLTA SOLA. Un beneficio che vale un anno solo non è uno scenario di comportamento: è un fatto di cassa. Chi lo racconta come se comprasse anni sta vendendo qualcosa.</t>
  </si>
  <si>
    <t>L'esempio delle quattro tranche è un'IPOTESI DIDATTICA dell'Agenzia delle Entrate («a titolo d'esempio si consideri l'ipotesi di…»), non una misura dei rinnovi italiani. Da questo foglio non si può ricavare quanto vale un rinnovo in Italia: un numero dentro un esempio non è un dato.</t>
  </si>
  <si>
    <t>RESIDUO DICHIARATO. Che la base della sostitutiva sia l'incremento AL NETTO dei contributi è una derivazione da «restano ferme le ordinarie regole contributive» (comma 11) più l'art. 51 del TUIR: nessuna delle due circolari lo scrive in una riga. Sensibilità: se la base fosse il lordo, il netto passerebbe da 599,57 a 596,38 €, cioè lo 0,53% in meno. Nessuna conclusione cambia.</t>
  </si>
  <si>
    <t>Sensibilità: netto se la base della sostitutiva fosse il LORDO</t>
  </si>
  <si>
    <t>Scarto in percentuale</t>
  </si>
  <si>
    <t>Test di capienza del trattamento integrativo (circ. 2/E 2026)</t>
  </si>
  <si>
    <t>Verbatim: gli incrementi assoggettati a sostitutiva «non concorrono alla formazione del reddito complessivo e, pertanto, non rilevano ai fini della determinazione delle detrazioni a esso commisurate». MA per il solo trattamento integrativo il reddito assoggettato a sostitutiva «va computato nel reddito complessivo da lavoro dipendente, per verificare se l'imposta lorda determinata in relazione a quest'ultimo è superiore alla relativa detrazione»: esclusione dalle detrazioni, inclusione nel test di capienza, e a FAVORE del lavoratore.</t>
  </si>
  <si>
    <t>Reddito da usare nel test (complessivo + incremento sostitutivo)</t>
  </si>
  <si>
    <t>Il trattamento integrativo morde su questo caso?</t>
  </si>
  <si>
    <t>4 — Il fattore del comma 7 IN FUNZIONE DELLA RAL (non è un numero secco)</t>
  </si>
  <si>
    <t>QUESTO È IL FOGLIO CHE DIMOSTRA LA FRAGILITÀ DEL NUMERO. Il fattore fra il netto con la sostitutiva e il netto ordinario è invariante rispetto all'ENTITÀ dell'aumento — entrambi i canali sono lineari — ma NON è invariante rispetto al REDDITO, che è però esattamente la dimensione con cui il comma seleziona chi ne beneficia. Dentro il tetto dei 33.000 € di reddito di lavoro dipendente la marginale ordinaria cambia TRE volte, e con lei il fattore.</t>
  </si>
  <si>
    <t>Le soglie: si calcolano, non si arrotondano</t>
  </si>
  <si>
    <t>Reddito complessivo 28.000 → RAL (fine del 23%)</t>
  </si>
  <si>
    <t>Reddito complessivo 32.000 → RAL (inizio dell'uscita dell'ulteriore detrazione)</t>
  </si>
  <si>
    <t>Reddito di lavoro dipendente 33.000 → RAL (tetto del comma 7)</t>
  </si>
  <si>
    <t>Reddito complessivo 40.000 → RAL (fine della banda del 60,21%)</t>
  </si>
  <si>
    <t>LARGHEZZA DELLA FINESTRA DEL FATTORE MASSIMO</t>
  </si>
  <si>
    <t>Larghezza della banda della marginale massima</t>
  </si>
  <si>
    <t>Quota della banda coperta dal comma</t>
  </si>
  <si>
    <t>La soglia bassa è 28.000 / (1 − 9,19%) = 30.833,61 €, non «circa 30.828»: è una soglia CALCOLATA, e in tabella va il valore esatto. A voce si dice «circa trentamila ottocento».</t>
  </si>
  <si>
    <t>Le tre fasce, e i tre fattori</t>
  </si>
  <si>
    <t>Fascia di RAL</t>
  </si>
  <si>
    <t>da</t>
  </si>
  <si>
    <t>a</t>
  </si>
  <si>
    <t>Marginale ordinaria</t>
  </si>
  <si>
    <t>Tieni, ordinario</t>
  </si>
  <si>
    <t>Tieni, sostitutiva</t>
  </si>
  <si>
    <t>FATTORE</t>
  </si>
  <si>
    <t>fino a 30.833,61</t>
  </si>
  <si>
    <t>30.833,61 → 35.238,41</t>
  </si>
  <si>
    <t>35.238,41 → 36.339,61</t>
  </si>
  <si>
    <t>oltre 36.339,61</t>
  </si>
  <si>
    <t>non spetta</t>
  </si>
  <si>
    <t>DOVE STA IL CASO: reddito di lavoro dipendente 2025</t>
  </si>
  <si>
    <t>Margine che gli manca al tetto</t>
  </si>
  <si>
    <t>Fattore a RAL − 100 € (cento euro di lordo in meno)</t>
  </si>
  <si>
    <t>Lordo in meno che serve DAVVERO per scendere di fascia</t>
  </si>
  <si>
    <t>Fattore a quel lordo (un euro sotto la soglia)</t>
  </si>
  <si>
    <t>Ammesso al comma 7?</t>
  </si>
  <si>
    <t>Marginale di banda</t>
  </si>
  <si>
    <t>Nella finestra?</t>
  </si>
  <si>
    <t>Le righe evidenziate sono la finestra del fattore massimo: 1.101,20 € di RAL, sugli 8.809,60 della banda della marginale massima. Il comma ne copre il 12,5%. Chi guadagna cento euro lordi meno del caso prende il fattore della fascia sotto, e a trentamila euro di RAL il fattore è ancora più basso.</t>
  </si>
  <si>
    <t>È LO STESSO PARADOSSO DETTO DUE VOLTE. La stessa non linearità che produce la marginale massima produce anche il salto del fattore: la legge dà di più proprio a chi lo Stato toglie di più, agli ultimi mille euro prima della soglia. Sopra quella soglia non dà niente.</t>
  </si>
  <si>
    <t>IL CASO È SUL CRINALE, E IL VIDEO LO DICE. Il margine di 308,40 € è stato scelto per mostrare il crinale: il caso non è rappresentativo del comma, è il caso che lo fa sembrare più generoso di quanto sia. Si pubblica lo scomodo perché un lettore attento lo ricaverebbe da solo da questa tabella.</t>
  </si>
  <si>
    <t>DIVERGENZA SEGNALATA (gate G6). Il caso ha RAL 36.000, cioè 761,59 € SOPRA la soglia inferiore della finestra (35.238,41). Cento euro di lordo in meno NON lo fanno scendere di fascia: a RAL 35.900 il fattore è ancora quello massimo. Per arrivare al fattore della fascia sotto servono 761,59 € di RAL in meno, cioè 691,60 € di reddito di lavoro dipendente. La cella E24 lo calcola, la G24 dà il fattore un euro sotto la soglia. Il documento si corregge sul motore, non viceversa.</t>
  </si>
  <si>
    <t>QUESTA PARTE SCADE: vale sugli incrementi EROGATI NEL 2026. Il contenuto durevole del modello è la marginale effettiva e la soglia q* del foglio 8, che non dipendono da nessuna norma a termine.</t>
  </si>
  <si>
    <t>5 — Il moltiplicatore: quanto capitale serve per un euro al mese, per sempre</t>
  </si>
  <si>
    <t>Una spesa permanente non costa la sua cifra: costa il capitale che la sostiene per sempre. Il moltiplicatore è uno diviso il tasso di prelievo, e non è un numero solo: dipende da quanto sei disposto a prelevare. Più sei prudente, più ti costa ogni euro di spesa in più.</t>
  </si>
  <si>
    <t>Tasso di prelievo</t>
  </si>
  <si>
    <t>Moltiplicatore m = 1/w</t>
  </si>
  <si>
    <t>1 € al mese di spesa in più</t>
  </si>
  <si>
    <t>12 € all'anno →</t>
  </si>
  <si>
    <t>Il «trecento euro» del gergo FIRE è vero SOLO sotto la regola del 4%. Al tasso che questo canale usa per il rendimento reale sono quattrocento; col prelievo sicuro di Anarkulova et al. 2025 sono più di cinquecento.</t>
  </si>
  <si>
    <t>Spesa in più (€/mese)</t>
  </si>
  <si>
    <t>€/anno</t>
  </si>
  <si>
    <t>Obiettivo in più — w bassa</t>
  </si>
  <si>
    <t>Obiettivo in più — w media</t>
  </si>
  <si>
    <t>Obiettivo in più — w alta</t>
  </si>
  <si>
    <t>Il moltiplicatore alza il TRAGUARDO. La seconda metà del danno — la riduzione del risparmio — sta nel foglio 7 ed è quella che pesa di più.</t>
  </si>
  <si>
    <t>6 — Anni al traguardo: la formula chiusa, e la controprova anno per anno</t>
  </si>
  <si>
    <t>Versamenti a FINE anno, rendimento reale costante, spesa costante in euro reali. K·(1+r)^n + S·[(1+r)^n − 1]/r = T  →  n = ln[(T + S/r)/(K + S/r)] / ln(1+r). Tre passaggi, riproducibili con una calcolatrice.</t>
  </si>
  <si>
    <t>La formula chiusa, con i tre addendi esposti</t>
  </si>
  <si>
    <t>Capitale K</t>
  </si>
  <si>
    <t>Risparmio annuo S</t>
  </si>
  <si>
    <t>S / r</t>
  </si>
  <si>
    <t>Traguardo T = m × spesa</t>
  </si>
  <si>
    <t>Rapporto R = (T + S/r) / (K + S/r)</t>
  </si>
  <si>
    <t>ANNI AL TRAGUARDO  n = ln(R) / ln(1+r)</t>
  </si>
  <si>
    <t>Età all'arrivo</t>
  </si>
  <si>
    <t>Identità notevole: vale SOLO a capitale iniziale zero</t>
  </si>
  <si>
    <t>Prelievo pari al rendimento?  (m = 1/r)</t>
  </si>
  <si>
    <t>n = ln(1 / tasso di risparmio) / ln(1+r)</t>
  </si>
  <si>
    <t>Anni con m = 1/r e il capitale vero (prelievo = rendimento)</t>
  </si>
  <si>
    <t>A CAPITALE INIZIALE ZERO, e solo lì, gli anni al traguardo dipendono soltanto dal tasso di risparmio e dal rendimento: non dallo stipendio, non dalla spesa in assoluto. Con un capitale già accumulato l'identità è falsa, e il denominatore K + S/r dipende da K. È il ponte verso il foglio 8: il capitale che hai già cambia le regole.</t>
  </si>
  <si>
    <t>Se il prelievo è pari al rendimento reale il traguardo è la spesa divisa per r, e con i parametri del caso il traguardo NON si raggiunge in una vita lavorativa. Il video non promette il FIRE: promette una differenza.</t>
  </si>
  <si>
    <t>Controprova: la simulazione anno per anno</t>
  </si>
  <si>
    <t>DICHIARAZIONE OBBLIGATORIA (corollario 1 e 2 dei vincoli): la simulazione e la formula chiusa NON sono due metodi indipendenti — sono la stessa convenzione (versamenti a fine anno) scritta in due modi, e lo scarto atteso è zero per costruzione. Vale come controllo di trascrizione, non come conferma.</t>
  </si>
  <si>
    <t>Capitale inizio</t>
  </si>
  <si>
    <t>Versamento</t>
  </si>
  <si>
    <t>Rendimento</t>
  </si>
  <si>
    <t>Capitale fine</t>
  </si>
  <si>
    <t>Traguardo</t>
  </si>
  <si>
    <t>Arrivato?</t>
  </si>
  <si>
    <t>Primo anno in cui il capitale supera il traguardo</t>
  </si>
  <si>
    <t>Anni dalla formula chiusa (arrotondati per eccesso)</t>
  </si>
  <si>
    <t>La simulazione dà l'anno INTERO in cui il traguardo è superato; la formula chiusa dà la frazione. Lo scarto atteso fra i due è zero una volta arrotondata per eccesso la seconda.</t>
  </si>
  <si>
    <t>7 — I quattro destini dello stesso aumento</t>
  </si>
  <si>
    <t>Quattro righe, non cinque. Il beneficio del comma 7 NON è uno scenario di comportamento: dura un anno solo, e sta nel foglio 3 come fatto di cassa in euro e in giorni. Un ventisettesimo di scenario non è uno scenario.</t>
  </si>
  <si>
    <t>Scenario</t>
  </si>
  <si>
    <t>Quota assorbita q</t>
  </si>
  <si>
    <t>ANNI</t>
  </si>
  <si>
    <t>Contro il caso base</t>
  </si>
  <si>
    <t>Base — nessun aumento</t>
  </si>
  <si>
    <t>—</t>
  </si>
  <si>
    <t>A — assorbe tutto</t>
  </si>
  <si>
    <t>B — assorbe metà (regola del 50%)</t>
  </si>
  <si>
    <t>C — ancorato (non tocca nulla)</t>
  </si>
  <si>
    <t>A − C: la differenza fra i due estremi, sullo stesso aumento</t>
  </si>
  <si>
    <t>FIRE number dello scenario A</t>
  </si>
  <si>
    <t>La banda: le date non sono robuste, le differenze sì</t>
  </si>
  <si>
    <t>Rendimento reale</t>
  </si>
  <si>
    <t>Base</t>
  </si>
  <si>
    <t>A</t>
  </si>
  <si>
    <t>B</t>
  </si>
  <si>
    <t>C</t>
  </si>
  <si>
    <t>A − C</t>
  </si>
  <si>
    <t>A − Base</t>
  </si>
  <si>
    <t>Base − C</t>
  </si>
  <si>
    <t>Soglia q*</t>
  </si>
  <si>
    <t>LE DATE NON SONO ROBUSTE, LE DIFFERENZE SÌ. Cambiando il rendimento reale di un punto le date si spostano di anni, ma la differenza fra assorbire tutto e non assorbire niente resta dell'ordine dei dieci anni, e la soglia q* si muove di meno di due punti. Il video deve dire la differenza, non la data.</t>
  </si>
  <si>
    <t>Il doppio effetto, separato nelle sue due metà</t>
  </si>
  <si>
    <t>Spesa permanente in più, al mese (per l'esperimento)</t>
  </si>
  <si>
    <t>… all'anno</t>
  </si>
  <si>
    <t>Effetto</t>
  </si>
  <si>
    <t>Differenza</t>
  </si>
  <si>
    <t>Nessuno (caso base)</t>
  </si>
  <si>
    <t>SOLO l'innalzamento del traguardo</t>
  </si>
  <si>
    <t>SOLO la riduzione del risparmio</t>
  </si>
  <si>
    <t>Entrambi — la realtà</t>
  </si>
  <si>
    <t>Interazione (il totale NON è la somma dei due pezzi)</t>
  </si>
  <si>
    <t>Quanto la seconda metà pesa più della prima</t>
  </si>
  <si>
    <t>Il danno di una spesa permanente ha DUE metà: alza il traguardo e abbassa il risparmio. La seconda pesa quasi quattro volte la prima, e quasi nessuno la nomina. E i due pezzi non si sommano a mano: l'interazione vale qualche centesimo di anno e va dichiarata invece di sommare due numeri che non si sommano.</t>
  </si>
  <si>
    <t>«Paga prima te stesso»: un pavimento sul livello, non sull'incremento</t>
  </si>
  <si>
    <t>Pavimento sul netto</t>
  </si>
  <si>
    <t>Risparmio imposto</t>
  </si>
  <si>
    <t>Il vincolo morde?</t>
  </si>
  <si>
    <t>Anni se applicato DOPO l'aumento</t>
  </si>
  <si>
    <t>La regola del 1926 al dieci per cento farebbe risparmiare al caso MENO della metà di quello che già fa: il vincolo non morde. E applicata DOPO l'aumento («il venti per cento del nuovo netto») porta a una data PEGGIORE del caso base, perché un pavimento percentuale, quando il reddito sale, AUTORIZZA la spesa a salire con lui. È il difetto strutturale della regola, e nessuno lo dice.</t>
  </si>
  <si>
    <t>Le tre regole non competono</t>
  </si>
  <si>
    <t>«Paga prima te stesso» governa il LIVELLO del risparmio (un pavimento). La regola del 50% e l'ancoraggio governano l'INCREMENTO. La soglia q* del foglio 8 è il CONFINE fra i due mondi: il punto in cui l'aumento smette di aiutare.</t>
  </si>
  <si>
    <t>8 — La soglia di indifferenza q*: la quota che non sposta la data di un giorno</t>
  </si>
  <si>
    <t>Cerchiamo la quota q dell'aumento netto che lascia la data ESATTAMENTE dov'era. Imponendo n(q) = n₀ le costanti si cancellano e con esse Δ, cioè l'entità dell'aumento: T₀ + S₀/r = R·(K + S₀/r) è vero per definizione di R, quindi sparisce da entrambi i lati e resta m·q·r = (R−1)·(1−q). Da lì q* = (R−1)/(R−1+m·r). Δ NON compare nel risultato.</t>
  </si>
  <si>
    <t>La formula, con R esposto</t>
  </si>
  <si>
    <t>m · r</t>
  </si>
  <si>
    <t>R = (T + S/r) / (K + S/r)</t>
  </si>
  <si>
    <t>SOGLIA q* = (R − 1) / (R − 1 + m·r)</t>
  </si>
  <si>
    <t>Anni al traguardo, caso base n₀</t>
  </si>
  <si>
    <t>LA DIMOSTRAZIONE: lo stesso q* su sette aumenti diversi</t>
  </si>
  <si>
    <t>Sette incrementi di RAL, dai mille ai quattordicimila euro. Il netto in più esce dal motore fiscale del foglio 2 ed è diverso per ognuno (l'ultimo esce persino dalla banda della marginale massima). Se q* dipendesse da Δ, la colonna «scarto sugli anni» non sarebbe zero: applicando LO STESSO q* a sette aumenti diversi la data non si muove in nessuno dei sette. Questa è la dimostrazione che Δ si semplifica — non l'affermazione che si semplifica.</t>
  </si>
  <si>
    <t>Aumento LORDO Δ</t>
  </si>
  <si>
    <t>Netto in più</t>
  </si>
  <si>
    <t>Marginale osservata</t>
  </si>
  <si>
    <t>Anni con q = 75%</t>
  </si>
  <si>
    <t>Anni con q = q*</t>
  </si>
  <si>
    <t>SCARTO sugli anni contro n₀</t>
  </si>
  <si>
    <t>q* risolto su questo Δ</t>
  </si>
  <si>
    <t>Scarto massimo in valore assoluto sui sette aumenti</t>
  </si>
  <si>
    <t>La colonna «q* risolto» è costante?</t>
  </si>
  <si>
    <t>La colonna «Anni con q = 75%» è la riga della griglia che «non si muove»: da mille a quattordicimila euro di aumento gli anni scivolano di tre decimi in tutto. Il 75% è vicinissimo a q*, ma non è q*: la colonna accanto, calcolata al q* esatto, sta ferma allo zero assoluto.</t>
  </si>
  <si>
    <t>La cella dello scarto massimo va letta con il corollario dei vincoli in mano: uno zero non è una dimostrazione finché non si sa DI CHE COSA è lo zero. Qui lo zero è il residuo di un'identità algebrica verificata su sette parametrizzazioni con netti diversi, non il confronto fra due grandezze che non esistono.</t>
  </si>
  <si>
    <t>La colonna «q* risolto su questo Δ» NON usa la formula semplificata: risolve l'equazione n(q) = n₀ tenendo dentro il netto in più, che compare sia al numeratore sia al denominatore. È scritta con Δ dentro e restituisce lo stesso valore su tutti e sette gli aumenti: è così che si vede che Δ si semplifica.</t>
  </si>
  <si>
    <t>Ma dipende da QUANTO SEI LONTANO: la curva di q* sul capitale</t>
  </si>
  <si>
    <t>Anni al traguardo</t>
  </si>
  <si>
    <t>R</t>
  </si>
  <si>
    <t>SOGLIA q*</t>
  </si>
  <si>
    <t>PIÙ SEI LONTANO DAL TRAGUARDO, PIÙ PUOI PERMETTERTI DI GODERTELO. A patrimonio zero si può assorbire quasi l'ottanta per cento dell'aumento senza spostare la data di un giorno; a un anno dal traguardo meno del cinque. Il consiglio universale «spendi meno quando ti aumentano» è tarato al contrario: serve a chi è vicino, e chi è vicino non ne ha bisogno.</t>
  </si>
  <si>
    <t>q* a patrimonio zero</t>
  </si>
  <si>
    <t>q* a 500.000 € già investiti</t>
  </si>
  <si>
    <t>Anni al traguardo a patrimonio zero</t>
  </si>
  <si>
    <t>Robustezza: q* cambia pochissimo con le ipotesi</t>
  </si>
  <si>
    <t>Ipotesi</t>
  </si>
  <si>
    <t>Rendimento r</t>
  </si>
  <si>
    <t>Moltiplicatore m</t>
  </si>
  <si>
    <t>q*</t>
  </si>
  <si>
    <t>r bassa, m = 25</t>
  </si>
  <si>
    <t>BASE: r media, m = 25</t>
  </si>
  <si>
    <t>r alta, m = 25</t>
  </si>
  <si>
    <t>r media, m = 1/3%</t>
  </si>
  <si>
    <t>r media, m = 1/2,31%</t>
  </si>
  <si>
    <t>La soglia si muove di un punto e mezzo su tutta la banda del rendimento e di meno di mezzo punto cambiando moltiplicatore. È il numero più robusto del modello, e non dipende da nessuna norma a termine: quando il comma 7 sarà scaduto, questa riga varrà ancora.</t>
  </si>
  <si>
    <t>9 — Il traduttore: che cosa costa davvero una spesa che diventa permanente</t>
  </si>
  <si>
    <t>Le cinque voci precaricate sono IPOTESI DICHIARATE, non dati: servono a mostrare la meccanica. Il numero che conta è quello che scrivi tu nell'ultima riga.</t>
  </si>
  <si>
    <t>Voce di spesa</t>
  </si>
  <si>
    <t>€ / mese</t>
  </si>
  <si>
    <t>€ / anno</t>
  </si>
  <si>
    <t>Obiettivo in più</t>
  </si>
  <si>
    <t>Ritardo (anni)</t>
  </si>
  <si>
    <t>Ritardo (ore di lavoro)</t>
  </si>
  <si>
    <t>Tasso di risparmio dopo</t>
  </si>
  <si>
    <t>Sopra la soglia q*?</t>
  </si>
  <si>
    <t>Semaforo</t>
  </si>
  <si>
    <t>Abbonamenti</t>
  </si>
  <si>
    <t>Palestra e corsi</t>
  </si>
  <si>
    <t>Ristoranti</t>
  </si>
  <si>
    <t>Rata dell'auto</t>
  </si>
  <si>
    <t>Casa più grande</t>
  </si>
  <si>
    <t>(scrivi la tua)</t>
  </si>
  <si>
    <t>Un euro al mese, per sempre: quanto costa in ore di lavoro</t>
  </si>
  <si>
    <t>Moltiplicatore</t>
  </si>
  <si>
    <t>Ritardo per 1 €/mese (anni)</t>
  </si>
  <si>
    <t>ORE di lavoro</t>
  </si>
  <si>
    <t>VALORE BASE (moltiplicatore del caso)</t>
  </si>
  <si>
    <t>Banda, a ore dichiarate costanti</t>
  </si>
  <si>
    <t>CONVENZIONE DICHIARATA: la conversione in ore usa la marginale, cioè il ritardo prodotto da UN euro mensile in più, non il rapporto medio fra anni e ore. La banda nasce dal moltiplicatore, non dalle ore: le ore restano quelle dichiarate nel foglio 1-Input e non si fanno variare due volte. Non è un euro che costa cento ore una volta: sono cento ore PER OGNI euro.</t>
  </si>
  <si>
    <t>10 — La regola dell'ora: la parte onesta del video</t>
  </si>
  <si>
    <t>Non tutta la spesa in più è un errore: c'è spesa che compra tempo, salute o un lavoro migliore. La regola dell'ora dice quanto vale un'ora della tua vita e quanto puoi spendere per ricomprartela.</t>
  </si>
  <si>
    <t>Ore lavorate all'anno (ipotesi dichiarata)</t>
  </si>
  <si>
    <t>NETTO ORARIO</t>
  </si>
  <si>
    <t>Settimane su cui si conta l'ora restituita</t>
  </si>
  <si>
    <t>Ore restituite alla settimana</t>
  </si>
  <si>
    <t>Ore all'anno</t>
  </si>
  <si>
    <t>Valore annuo</t>
  </si>
  <si>
    <t>SOGLIA di spesa mensile giustificata</t>
  </si>
  <si>
    <t>CONVENZIONE DICHIARATA: «un'ora IN OGNI SETTIMANA LAVORATIVA», quarantatré volte l'anno — coerente con le 1.720 ore da cui esce il salario orario. Una spesa che ti libera un'ora DAL LAVORO te la libera nelle settimane in cui lavori. Contando cinquantadue settimane la soglia salirebbe di circa un quinto: la riga sotto lo mostra, ma il default è quarantatré.</t>
  </si>
  <si>
    <t>Un'ora ogni settimana dell'anno (52) — lettura alternativa</t>
  </si>
  <si>
    <t>Il test del dodicesimo mese</t>
  </si>
  <si>
    <t>Spesa che sto valutando (€/mese)</t>
  </si>
  <si>
    <t>Ore che mi restituisce alla settimana</t>
  </si>
  <si>
    <t>Soglia giustificata a queste ore</t>
  </si>
  <si>
    <t>Verdetto</t>
  </si>
  <si>
    <t>Se diventa permanente, quante ore di lavoro in più costa</t>
  </si>
  <si>
    <t>«Sarà ancora lì fra dodici mesi?» è la domanda che separa la spesa che compra tempo da quella che si sedimenta. Il criterio del tempo è UNO dei criteri, non l'unico: salute, sicurezza e relazioni non stanno in questa tabella e non per questo valgono meno.</t>
  </si>
  <si>
    <t>11 — Cruscotto: gli otto numeri, e il semaforo</t>
  </si>
  <si>
    <t>Netto annuo attuale</t>
  </si>
  <si>
    <t>FIRE number (obiettivo)</t>
  </si>
  <si>
    <t>Anni al traguardo, oggi</t>
  </si>
  <si>
    <t>Aumento NETTO che ti arriva</t>
  </si>
  <si>
    <t>SOGLIA q* — quota che puoi spendere senza spostare la data</t>
  </si>
  <si>
    <t>Quota che stai assorbendo  q</t>
  </si>
  <si>
    <t>Anni al traguardo con la quota che stai assorbendo</t>
  </si>
  <si>
    <t>ANNI GUADAGNATI (−) O PERSI (+) contro il caso base</t>
  </si>
  <si>
    <t>SEMAFORO</t>
  </si>
  <si>
    <t>Differenza fra assorbire tutto e non assorbire niente</t>
  </si>
  <si>
    <t>Con i default — quota assorbita al cento per cento, che è il comportamento predefinito di chiunque non decida — il semaforo è ROSSO. Non perché l'aumento sia un male: perché speso per intero e in modo permanente costa più anni di quanti ne regali.</t>
  </si>
  <si>
    <t>I DUE NUMERI DUREVOLI di questo foglio sono l'aliquota marginale effettiva (foglio 2 e 4) e la soglia q* (foglio 8). Non dipendono da nessuna norma a termine e varranno anche quando l'imposta sostitutiva del 2026 sarà scaduta.</t>
  </si>
  <si>
    <t>12 — Fonti: una riga per ogni numero che va a schermo</t>
  </si>
  <si>
    <t>La colonna «verbatim» dice se la citazione è copia-incolla del testo estratto. Se non lo è, deve risultare da qualche parte che non lo è: una citazione ripulita è peggio di una citazione assente.</t>
  </si>
  <si>
    <t>Grandezza / affermazione</t>
  </si>
  <si>
    <t>Norma o documento</t>
  </si>
  <si>
    <t>Verbatim?</t>
  </si>
  <si>
    <t>Tipo</t>
  </si>
  <si>
    <t>Contributi 9,19% a carico del lavoratore</t>
  </si>
  <si>
    <t>art. 1 c. 769 L. 296/2006</t>
  </si>
  <si>
    <t>no</t>
  </si>
  <si>
    <t>norma</t>
  </si>
  <si>
    <t>IRPEF 23% / 33% / 43%</t>
  </si>
  <si>
    <t>art. 11 TUIR come modificato dalla L. 199/2025 art. 1 c. 3</t>
  </si>
  <si>
    <t>Detrazione da lavoro dipendente 1.955 / 1.910 + 1.190 / 1.910×(50.000−RC)/22.000</t>
  </si>
  <si>
    <t>art. 13 c. 1 TUIR</t>
  </si>
  <si>
    <t>Ulteriore detrazione 1.000 € piena fino a 32.000, azzerata a 40.000</t>
  </si>
  <si>
    <t>L. 207/2024 art. 1 c. 6 — in vigore per TUTTO il 2026</t>
  </si>
  <si>
    <t>Somma sul cuneo 7,1 / 5,3 / 4,8%</t>
  </si>
  <si>
    <t>L. 207/2024 art. 1 c. 4</t>
  </si>
  <si>
    <t>Trattamento integrativo 1.200 €</t>
  </si>
  <si>
    <t>art. 1 D.L. 3/2020</t>
  </si>
  <si>
    <t>Addizionali regionale + comunale 2,0%</t>
  </si>
  <si>
    <t>IPOTESI DI CANALE, non una norma: la forbice reale è molto più larga</t>
  </si>
  <si>
    <t>ipotesi</t>
  </si>
  <si>
    <t>Imposta sostitutiva 5% sugli incrementi retributivi 2026</t>
  </si>
  <si>
    <t>L. 199/2025 art. 1 c. 7 — vale SOLO sugli incrementi erogati nel 2026</t>
  </si>
  <si>
    <t>«non concorrono alla formazione del reddito complessivo e, pertanto, non rilevano ai fini della determinazione delle detrazioni a esso commisurate»</t>
  </si>
  <si>
    <t>circolare AdE n. 2/E del 24 febbraio 2026 (compare due volte: comma 7 e comma 10)</t>
  </si>
  <si>
    <t>SÌ</t>
  </si>
  <si>
    <t>prassi</t>
  </si>
  <si>
    <t>Il reddito assoggettato a sostitutiva va computato nel reddito da lavoro dipendente per il solo test di capienza del trattamento integrativo</t>
  </si>
  <si>
    <t>circolare AdE n. 2/E del 24 febbraio 2026</t>
  </si>
  <si>
    <t>«Nella verifica del predetto limite reddituale devono essere inclusi tutti i redditi di lavoro dipendente percepiti dal lavoratore nel periodo d'imposta 2025, anche se derivanti da più rapporti di lavoro»</t>
  </si>
  <si>
    <t>Tranche 27 / 53 / 59 / 61 € al mese del rinnovo</t>
  </si>
  <si>
    <t>circolare AdE n. 2/E del 2026 — è un'IPOTESI DIDATTICA («a titolo d'esempio si consideri l'ipotesi di…»), non una misura dei rinnovi italiani</t>
  </si>
  <si>
    <t>esempio</t>
  </si>
  <si>
    <t>La base della sostitutiva è l'incremento al netto dei contributi</t>
  </si>
  <si>
    <t>DERIVAZIONE da «restano ferme le ordinarie regole contributive» (c. 11) + art. 51 TUIR: nessuna circolare lo scrive in una riga. Sensibilità 0,53%</t>
  </si>
  <si>
    <t>derivazione</t>
  </si>
  <si>
    <t>Rendimento reale 3% su 60/40, inflazione 2%</t>
  </si>
  <si>
    <t>DMS Yearbook — canone del canale</t>
  </si>
  <si>
    <t>parametro</t>
  </si>
  <si>
    <t>Prelievo sicuro 2,31%</t>
  </si>
  <si>
    <t>Anarkulova, Cederburg, O'Doherty, Sias (2025), J. Pension Econ. Fin. 24(3):464-500</t>
  </si>
  <si>
    <t>paper</t>
  </si>
  <si>
    <t>Regola del 4% e FIRE number = 25× spesa</t>
  </si>
  <si>
    <t>canone del canale</t>
  </si>
  <si>
    <t>Spesa media mensile ISTAT 2024, persona sola: 1.932 €</t>
  </si>
  <si>
    <t>ISTAT, indagine sulle spese delle famiglie — INCLUDE gli affitti figurativi</t>
  </si>
  <si>
    <t>dato</t>
  </si>
  <si>
    <t>Più della metà delle famiglie a risparmio nullo; 70% nel quinto più basso, 28% nel più alto</t>
  </si>
  <si>
    <t>Banca d'Italia, indagine sui bilanci delle famiglie 2022</t>
  </si>
  <si>
    <t>Regola del 50%</t>
  </si>
  <si>
    <t>Bach, The Automatic Millionaire, 2003</t>
  </si>
  <si>
    <t>libro</t>
  </si>
  <si>
    <t>«Paga prima te stesso»</t>
  </si>
  <si>
    <t>Clason, The Richest Man in Babylon, 1926</t>
  </si>
  <si>
    <t>D.Lgs. 117/2026: in vigore dal 4/7/2026, effetti dal 1/1/2027 (art. 377); l'art. 376 c. 1 fa decorrere da lì le abrogazioni e il c. 2 dispone la continuità dei rinvii</t>
  </si>
  <si>
    <t>Normattiva, cod. red. 26G00131 — è ricodificazione, non soppressione</t>
  </si>
  <si>
    <t>NON SONO FONTI: blog, calcolatori online, comparatori. Le fonti statunitensi non si trasferiscono all'Italia senza dichiarare perché e quanto: mercato del lavoro diverso, nessun piano pensionistico aziendale dominante, pensione pubblica e contribuzione obbligatoria. Dove il dato italiano equivalente non esiste, il video lo dice.</t>
  </si>
  <si>
    <t>13 — Verifica G6: fa fede il motore, le divergenze si segnalano</t>
  </si>
  <si>
    <t>La colonna «documento» è l'UNICO posto di questo file in cui compaiono valori digitati: sono i numeri della scaletta del video, messi lì apposta per essere confrontati. Tutto il resto del foglio, e tutti gli altri fogli, sono formule. Se una riga risulta DIVERGENTE, si corregge il documento, non il motore.</t>
  </si>
  <si>
    <t>Euro — tolleranza 1 €</t>
  </si>
  <si>
    <t>Grandezza</t>
  </si>
  <si>
    <t>Documento</t>
  </si>
  <si>
    <t>MOTORE</t>
  </si>
  <si>
    <t>Esito</t>
  </si>
  <si>
    <t>Netto annuo, RAL 36.000</t>
  </si>
  <si>
    <t>Contributi, RAL 36.000</t>
  </si>
  <si>
    <t>IRPEF netta, RAL 36.000</t>
  </si>
  <si>
    <t>Addizionali, RAL 36.000</t>
  </si>
  <si>
    <t>Netto annuo, RAL 43.000</t>
  </si>
  <si>
    <t>Montante 2019-2025</t>
  </si>
  <si>
    <t>Aumento netto annuo</t>
  </si>
  <si>
    <t>Aumento netto mensile</t>
  </si>
  <si>
    <t>Ramo contributi dei 7.000</t>
  </si>
  <si>
    <t>Ramo imposte dei 7.000</t>
  </si>
  <si>
    <t>FIRE number scenario A</t>
  </si>
  <si>
    <t>Spesa scenario A</t>
  </si>
  <si>
    <t>Spesa scenario B</t>
  </si>
  <si>
    <t>Risparmio scenario B</t>
  </si>
  <si>
    <t>Risparmio scenario C</t>
  </si>
  <si>
    <t>Incremento CCNL erogato nel 2026</t>
  </si>
  <si>
    <t>Netto CCNL con sostitutiva</t>
  </si>
  <si>
    <t>Netto CCNL ordinario</t>
  </si>
  <si>
    <t>Bonus del comma 7</t>
  </si>
  <si>
    <t>Soglia RAL — reddito complessivo 28.000</t>
  </si>
  <si>
    <t>Soglia RAL — reddito complessivo 32.000</t>
  </si>
  <si>
    <t>Soglia RAL — tetto del comma 7</t>
  </si>
  <si>
    <t>Larghezza della finestra</t>
  </si>
  <si>
    <t>Margine del caso sotto il tetto</t>
  </si>
  <si>
    <t>1 € al mese al 4% di prelievo</t>
  </si>
  <si>
    <t>1 € al mese al 2,31% di prelievo</t>
  </si>
  <si>
    <t>Netto orario</t>
  </si>
  <si>
    <t>Soglia per un'ora in ogni settimana lavorativa</t>
  </si>
  <si>
    <t>10% del netto (paga prima te stesso)</t>
  </si>
  <si>
    <t>Netto mensile su 12</t>
  </si>
  <si>
    <t>Netto mensile su 13</t>
  </si>
  <si>
    <t>Aumento lordo mensile</t>
  </si>
  <si>
    <t>Risparmio 2019 (prima riga della storia)</t>
  </si>
  <si>
    <t>Imponibile CCNL (al netto dei contributi)</t>
  </si>
  <si>
    <t>Imposta sostitutiva sull'incremento CCNL</t>
  </si>
  <si>
    <t>Sensibilità R2-bis: netto CCNL su base lorda</t>
  </si>
  <si>
    <t>FIRE number caso base</t>
  </si>
  <si>
    <t>Netto in più su +1.000 di RAL</t>
  </si>
  <si>
    <t>Netto in più su +10.000 di RAL</t>
  </si>
  <si>
    <t>Netto in più su +14.000 di RAL</t>
  </si>
  <si>
    <t>Obiettivo in più per 55 €/mese</t>
  </si>
  <si>
    <t>Obiettivo in più per 250 €/mese</t>
  </si>
  <si>
    <t>Soglia per DUE ore in ogni settimana lavorativa</t>
  </si>
  <si>
    <t>Lordo in meno che serve per scendere di fascia</t>
  </si>
  <si>
    <t>Anni — tolleranza 0,01 anni</t>
  </si>
  <si>
    <t>Anni caso base</t>
  </si>
  <si>
    <t>Anni scenario A</t>
  </si>
  <si>
    <t>Anni scenario B</t>
  </si>
  <si>
    <t>Anni scenario C</t>
  </si>
  <si>
    <t>A − C a r = 2%</t>
  </si>
  <si>
    <t>A − C a r = 4%</t>
  </si>
  <si>
    <t>Prelievo pari al rendimento</t>
  </si>
  <si>
    <t>Doppio effetto — solo traguardo</t>
  </si>
  <si>
    <t>Doppio effetto — solo risparmio</t>
  </si>
  <si>
    <t>Doppio effetto — entrambi</t>
  </si>
  <si>
    <t>Doppio effetto — interazione</t>
  </si>
  <si>
    <t>Ritardo di 55 €/mese</t>
  </si>
  <si>
    <t>Ritardo di 250 €/mese</t>
  </si>
  <si>
    <t>Anni con «20% del nuovo netto»</t>
  </si>
  <si>
    <t>Anni a patrimonio zero</t>
  </si>
  <si>
    <t>Anni comprati dalla regola del 50%</t>
  </si>
  <si>
    <t>Ritardo di 80 €/mese</t>
  </si>
  <si>
    <t>Ritardo di 120 €/mese</t>
  </si>
  <si>
    <t>Ritardo di 180 €/mese</t>
  </si>
  <si>
    <t>Griglia q = 75%, aumento +1.000</t>
  </si>
  <si>
    <t>Griglia q = 75%, aumento +7.000</t>
  </si>
  <si>
    <t>Griglia q = 75%, aumento +14.000</t>
  </si>
  <si>
    <t>Anticipo del comma 7 sulla data (anni)</t>
  </si>
  <si>
    <t>Percentuali — tolleranza dichiarata riga per riga</t>
  </si>
  <si>
    <t>Quota in busta dell'aumento</t>
  </si>
  <si>
    <t>Marginale effettiva sull'aumento</t>
  </si>
  <si>
    <t>Quota impositiva dei 7.000</t>
  </si>
  <si>
    <t>Marginale di banda, prima fascia</t>
  </si>
  <si>
    <t>Marginale di banda, seconda fascia</t>
  </si>
  <si>
    <t>Marginale su +1.000 € a RAL 55.000</t>
  </si>
  <si>
    <t>Quota che resta con la sostitutiva</t>
  </si>
  <si>
    <t>q* a 500.000 €</t>
  </si>
  <si>
    <t>q* a r = 2%</t>
  </si>
  <si>
    <t>q* a r = 4%</t>
  </si>
  <si>
    <t>Spesa in % dell'aggregato ISTAT (a video una cifra decimale)</t>
  </si>
  <si>
    <t>Marginale su +1.000 € a RAL 40.000</t>
  </si>
  <si>
    <t>Marginale su +1.000 € a RAL 50.000</t>
  </si>
  <si>
    <t>Tasso di risparmio 2019</t>
  </si>
  <si>
    <t>Tasso di risparmio scenario B</t>
  </si>
  <si>
    <t>Tasso di risparmio scenario C</t>
  </si>
  <si>
    <t>Variazione della RAL</t>
  </si>
  <si>
    <t>Fattori — tolleranza dichiarata riga per riga</t>
  </si>
  <si>
    <t>Fattore prima fascia</t>
  </si>
  <si>
    <t>Fattore seconda fascia</t>
  </si>
  <si>
    <t>Fattore terza fascia (la finestra)</t>
  </si>
  <si>
    <t>Fattore a RAL − 100 €</t>
  </si>
  <si>
    <t>Fattore un euro sotto la soglia di fascia</t>
  </si>
  <si>
    <t>Fattore sull'incremento CCNL</t>
  </si>
  <si>
    <t>Doppio effetto — rapporto fra le due metà</t>
  </si>
  <si>
    <t>Ore e giorni — tolleranza dichiarata riga per riga</t>
  </si>
  <si>
    <t>Ore di lavoro per 1 €/mese, valore base</t>
  </si>
  <si>
    <t>Ore di lavoro per 1 €/mese, estremo alto della banda</t>
  </si>
  <si>
    <t>Anticipo del comma 7 sulla data, in giorni</t>
  </si>
  <si>
    <t>RIGHE DIVERGENTI IN TUTTO IL FOGLIO</t>
  </si>
  <si>
    <t>COROLLARIO 3 DEI VINCOLI: uno scarto non è una divergenza finché non si sa DI CHE COSA è lo scarto. Prima di dichiarare divergente una riga, verificare che le due grandezze misurino la stessa cosa — un ritardo contro una data, una marginale di banda contro una marginale su mille euro, un netto ordinario contro un netto sostitutivo.</t>
  </si>
  <si>
    <t>DIVERGENZE ATTESE E VOLUTE. Due righe sono DIVERGENTI per costruzione e vanno lette insieme: «lordo in meno che serve per scendere di fascia» e «fattore a RAL meno 100 €». Il documento afferma che cento euro di lordo in meno bastano a far scendere il fattore alla fascia sotto; il motore dice che ne servono 761,59, perché il caso sta 761,59 € sopra la soglia inferiore della finestra. Fa fede il motore: si corregge il documento.</t>
  </si>
  <si>
    <t>L'anticipo del comma 7 in giorni è sotto la tolleranza in anni (scarto 0,0021, contro una tolleranza di 0,01) ma sopra quella in giorni: il motore dà 18,6 giorni, il documento 17,8. In anni è la stessa grandezza; a voce «diciotto giorni» diventa «diciannove». Va detto «meno di tre settimane», o si dice diciannove.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</si>
</sst>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164" formatCode="#,##0&quot; €&quot;"/>
    <numFmt numFmtId="165" formatCode="#,##0.00&quot; €&quot;"/>
    <numFmt numFmtId="166" formatCode="0.0000"/>
    <numFmt numFmtId="167" formatCode="0.0"/>
    <numFmt numFmtId="168" formatCode="0.0%"/>
    <numFmt numFmtId="169" formatCode="0.0000%"/>
    <numFmt numFmtId="170" formatCode="0.000&quot;×&quot;"/>
    <numFmt numFmtId="171" formatCode="0.000000"/>
  </numFmts>
  <fonts count="9">
    <font>
      <sz val="11"/>
      <color theme="1"/>
      <name val="Calibri"/>
      <family val="2"/>
      <scheme val="minor"/>
    </font>
    <font>
      <b/>
      <sz val="16"/>
      <color rgb="FF1E40AF"/>
      <name val="Calibri"/>
    </font>
    <font>
      <i/>
      <sz val="10"/>
      <color rgb="FF991B1B"/>
      <name val="Calibri"/>
    </font>
    <font>
      <b/>
      <sz val="14"/>
      <name val="Calibri"/>
    </font>
    <font>
      <b/>
      <sz val="11"/>
      <name val="Calibri"/>
    </font>
    <font>
      <sz val="11"/>
      <name val="Calibri"/>
    </font>
    <font>
      <i/>
      <sz val="9"/>
      <color rgb="FF666666"/>
      <name val="Calibri"/>
    </font>
    <font>
      <b/>
      <sz val="13"/>
      <color rgb="FFFFFFFF"/>
      <name val="Calibri"/>
    </font>
    <font>
      <b/>
      <sz val="12"/>
      <color rgb="FF1E40AF"/>
      <name val="Calibri"/>
    </font>
  </fonts>
  <fills count="10">
    <fill>
      <patternFill patternType="none"/>
    </fill>
    <fill>
      <patternFill patternType="gray125"/>
    </fill>
    <fill>
      <patternFill patternType="solid">
        <fgColor rgb="FFFEE2E2"/>
      </patternFill>
    </fill>
    <fill>
      <patternFill patternType="solid">
        <fgColor rgb="FFFAFAFA"/>
      </patternFill>
    </fill>
    <fill>
      <patternFill patternType="solid">
        <fgColor rgb="FF1E40AF"/>
      </patternFill>
    </fill>
    <fill>
      <patternFill patternType="solid">
        <fgColor rgb="FFFFF59D"/>
      </patternFill>
    </fill>
    <fill>
      <patternFill patternType="solid">
        <fgColor rgb="FFC8E6C9"/>
      </patternFill>
    </fill>
    <fill>
      <patternFill patternType="solid">
        <fgColor rgb="FFDBEAFE"/>
      </patternFill>
    </fill>
    <fill>
      <patternFill patternType="solid">
        <fgColor rgb="FFBFDBFE"/>
      </patternFill>
    </fill>
    <fill>
      <patternFill patternType="solid">
        <fgColor rgb="FFFDE68A"/>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2">
    <xf numFmtId="0" fontId="0" fillId="0" borderId="0" xfId="0"/>
    <xf numFmtId="0" fontId="3" fillId="0" borderId="0" xfId="0" applyFont="1"/>
    <xf numFmtId="0" fontId="4" fillId="0" borderId="0" xfId="0" applyFont="1"/>
    <xf numFmtId="0" fontId="5" fillId="0" borderId="0" xfId="0" applyFont="1"/>
    <xf numFmtId="0" fontId="6" fillId="0" borderId="0" xfId="0" applyFont="1"/>
    <xf numFmtId="0" fontId="6" fillId="3" borderId="0" xfId="0" applyFont="1" applyFill="1" applyAlignment="1">
      <alignment horizontal="left" vertical="center" wrapText="1"/>
    </xf>
    <xf numFmtId="0" fontId="4" fillId="0" borderId="1" xfId="0" applyFont="1" applyBorder="1" applyAlignment="1">
      <alignment horizontal="left" vertical="center" wrapText="1"/>
    </xf>
    <xf numFmtId="164" fontId="5" fillId="5" borderId="1" xfId="0" applyNumberFormat="1" applyFont="1" applyFill="1" applyBorder="1" applyAlignment="1">
      <alignment horizontal="right" vertical="center"/>
    </xf>
    <xf numFmtId="10" fontId="5" fillId="5" borderId="1" xfId="0" applyNumberFormat="1" applyFont="1" applyFill="1" applyBorder="1" applyAlignment="1">
      <alignment horizontal="right" vertical="center"/>
    </xf>
    <xf numFmtId="165" fontId="5" fillId="6" borderId="1" xfId="0" applyNumberFormat="1" applyFont="1" applyFill="1" applyBorder="1" applyAlignment="1">
      <alignment horizontal="right" vertical="center"/>
    </xf>
    <xf numFmtId="1" fontId="5" fillId="5" borderId="1" xfId="0" applyNumberFormat="1" applyFont="1" applyFill="1" applyBorder="1" applyAlignment="1">
      <alignment horizontal="right" vertical="center"/>
    </xf>
    <xf numFmtId="10" fontId="5" fillId="6" borderId="1" xfId="0" applyNumberFormat="1" applyFont="1" applyFill="1" applyBorder="1" applyAlignment="1">
      <alignment horizontal="right" vertical="center"/>
    </xf>
    <xf numFmtId="166" fontId="5" fillId="6" borderId="1" xfId="0" applyNumberFormat="1" applyFont="1" applyFill="1" applyBorder="1" applyAlignment="1">
      <alignment horizontal="right" vertical="center"/>
    </xf>
    <xf numFmtId="1" fontId="5" fillId="6" borderId="1" xfId="0" applyNumberFormat="1" applyFont="1" applyFill="1" applyBorder="1" applyAlignment="1">
      <alignment horizontal="right" vertical="center"/>
    </xf>
    <xf numFmtId="167" fontId="5" fillId="6" borderId="1" xfId="0" applyNumberFormat="1" applyFont="1" applyFill="1" applyBorder="1" applyAlignment="1">
      <alignment horizontal="right" vertical="center"/>
    </xf>
    <xf numFmtId="0" fontId="4" fillId="7" borderId="1" xfId="0" applyFont="1" applyFill="1" applyBorder="1" applyAlignment="1">
      <alignment horizontal="center" vertical="center" wrapText="1"/>
    </xf>
    <xf numFmtId="168" fontId="5" fillId="6" borderId="1" xfId="0" applyNumberFormat="1" applyFont="1" applyFill="1" applyBorder="1" applyAlignment="1">
      <alignment horizontal="right" vertical="center"/>
    </xf>
    <xf numFmtId="164" fontId="5" fillId="6" borderId="1" xfId="0" applyNumberFormat="1" applyFont="1" applyFill="1" applyBorder="1" applyAlignment="1">
      <alignment horizontal="right" vertical="center"/>
    </xf>
    <xf numFmtId="164" fontId="5" fillId="8" borderId="1" xfId="0" applyNumberFormat="1" applyFont="1" applyFill="1" applyBorder="1" applyAlignment="1">
      <alignment horizontal="right" vertical="center"/>
    </xf>
    <xf numFmtId="165" fontId="5" fillId="8" borderId="1" xfId="0" applyNumberFormat="1" applyFont="1" applyFill="1" applyBorder="1" applyAlignment="1">
      <alignment horizontal="right" vertical="center"/>
    </xf>
    <xf numFmtId="10" fontId="5" fillId="8" borderId="1" xfId="0" applyNumberFormat="1" applyFont="1" applyFill="1" applyBorder="1" applyAlignment="1">
      <alignment horizontal="right" vertical="center"/>
    </xf>
    <xf numFmtId="169" fontId="5" fillId="6" borderId="1" xfId="0" applyNumberFormat="1" applyFont="1" applyFill="1" applyBorder="1" applyAlignment="1">
      <alignment horizontal="right" vertical="center"/>
    </xf>
    <xf numFmtId="165" fontId="5" fillId="5" borderId="1" xfId="0" applyNumberFormat="1" applyFont="1" applyFill="1" applyBorder="1" applyAlignment="1">
      <alignment horizontal="right" vertical="center"/>
    </xf>
    <xf numFmtId="170" fontId="5" fillId="6" borderId="1" xfId="0" applyNumberFormat="1" applyFont="1" applyFill="1" applyBorder="1" applyAlignment="1">
      <alignment horizontal="right" vertical="center"/>
    </xf>
    <xf numFmtId="0" fontId="4" fillId="9" borderId="1" xfId="0" applyFont="1" applyFill="1" applyBorder="1" applyAlignment="1">
      <alignment horizontal="left" vertical="center" wrapText="1"/>
    </xf>
    <xf numFmtId="165" fontId="5" fillId="9" borderId="1" xfId="0" applyNumberFormat="1" applyFont="1" applyFill="1" applyBorder="1" applyAlignment="1">
      <alignment horizontal="right" vertical="center"/>
    </xf>
    <xf numFmtId="10" fontId="5" fillId="9" borderId="1" xfId="0" applyNumberFormat="1" applyFont="1" applyFill="1" applyBorder="1" applyAlignment="1">
      <alignment horizontal="right" vertical="center"/>
    </xf>
    <xf numFmtId="170" fontId="5" fillId="9" borderId="1" xfId="0" applyNumberFormat="1" applyFont="1" applyFill="1" applyBorder="1" applyAlignment="1">
      <alignment horizontal="right" vertical="center"/>
    </xf>
    <xf numFmtId="164" fontId="5" fillId="9" borderId="1" xfId="0" applyNumberFormat="1" applyFont="1" applyFill="1" applyBorder="1" applyAlignment="1">
      <alignment horizontal="right" vertical="center"/>
    </xf>
    <xf numFmtId="1" fontId="5" fillId="9" borderId="1" xfId="0" applyNumberFormat="1" applyFont="1" applyFill="1" applyBorder="1" applyAlignment="1">
      <alignment horizontal="right" vertical="center"/>
    </xf>
    <xf numFmtId="171" fontId="5" fillId="6" borderId="1" xfId="0" applyNumberFormat="1" applyFont="1" applyFill="1" applyBorder="1" applyAlignment="1">
      <alignment horizontal="right" vertical="center"/>
    </xf>
    <xf numFmtId="2" fontId="5" fillId="6" borderId="1" xfId="0" applyNumberFormat="1" applyFont="1" applyFill="1" applyBorder="1" applyAlignment="1">
      <alignment horizontal="right" vertical="center"/>
    </xf>
    <xf numFmtId="0" fontId="8" fillId="0" borderId="1" xfId="0" applyFont="1" applyBorder="1" applyAlignment="1">
      <alignment horizontal="left" vertical="center" wrapText="1"/>
    </xf>
    <xf numFmtId="167" fontId="5" fillId="5" borderId="1" xfId="0" applyNumberFormat="1" applyFont="1" applyFill="1" applyBorder="1" applyAlignment="1">
      <alignment horizontal="right" vertical="center"/>
    </xf>
    <xf numFmtId="2" fontId="8" fillId="6" borderId="1" xfId="0" applyNumberFormat="1" applyFont="1" applyFill="1" applyBorder="1" applyAlignment="1">
      <alignment horizontal="right" vertical="center"/>
    </xf>
    <xf numFmtId="166" fontId="5" fillId="5" borderId="1" xfId="0" applyNumberFormat="1" applyFont="1" applyFill="1" applyBorder="1" applyAlignment="1">
      <alignment horizontal="right" vertical="center"/>
    </xf>
    <xf numFmtId="169" fontId="5" fillId="5" borderId="1" xfId="0" applyNumberFormat="1" applyFont="1" applyFill="1" applyBorder="1" applyAlignment="1">
      <alignment horizontal="right" vertical="center"/>
    </xf>
    <xf numFmtId="0" fontId="2" fillId="2" borderId="0" xfId="0" applyFont="1" applyFill="1" applyAlignment="1">
      <alignment horizontal="left" vertical="center" wrapText="1"/>
    </xf>
    <xf numFmtId="0" fontId="0" fillId="0" borderId="0" xfId="0"/>
    <xf numFmtId="0" fontId="1" fillId="0" borderId="0" xfId="0" applyFont="1"/>
    <xf numFmtId="0" fontId="6" fillId="3" borderId="0" xfId="0" applyFont="1" applyFill="1" applyAlignment="1">
      <alignment horizontal="left" vertical="center" wrapText="1"/>
    </xf>
    <xf numFmtId="0" fontId="7" fillId="4"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Views>
    <sheetView tabSelected="1" workbookViewId="0">
      <selection sqref="A1:B1"/>
    </sheetView>
  </sheetViews>
  <sheetFormatPr defaultRowHeight="15"/>
  <cols>
    <col min="1" max="1" width="60" customWidth="1"/>
    <col min="2" max="2" width="30" customWidth="1"/>
  </cols>
  <sheetData>
    <row r="1" spans="1:2" ht="32.1" customHeight="1">
      <c r="A1" s="39" t="s">
        <v>0</v>
      </c>
      <c r="B1" s="38"/>
    </row>
    <row r="2" spans="1:2" ht="32.1" customHeight="1">
      <c r="A2" s="37" t="s">
        <v>1</v>
      </c>
      <c r="B2" s="38"/>
    </row>
    <row r="4" spans="1:2" ht="18.75">
      <c r="A4" s="1" t="s">
        <v>2</v>
      </c>
    </row>
    <row r="5" spans="1:2" ht="21.95" customHeight="1">
      <c r="A5" s="2" t="s">
        <v>3</v>
      </c>
      <c r="B5" s="3" t="s">
        <v>4</v>
      </c>
    </row>
    <row r="6" spans="1:2" ht="21.95" customHeight="1">
      <c r="A6" s="2" t="s">
        <v>5</v>
      </c>
      <c r="B6" s="3" t="s">
        <v>6</v>
      </c>
    </row>
    <row r="7" spans="1:2" ht="21.95" customHeight="1">
      <c r="A7" s="2" t="s">
        <v>7</v>
      </c>
      <c r="B7" s="3" t="s">
        <v>8</v>
      </c>
    </row>
    <row r="8" spans="1:2" ht="21.95" customHeight="1">
      <c r="A8" s="2" t="s">
        <v>9</v>
      </c>
      <c r="B8" s="3" t="s">
        <v>10</v>
      </c>
    </row>
    <row r="9" spans="1:2" ht="21.95" customHeight="1">
      <c r="A9" s="2" t="s">
        <v>11</v>
      </c>
      <c r="B9" s="3" t="s">
        <v>12</v>
      </c>
    </row>
    <row r="10" spans="1:2" ht="21.95" customHeight="1">
      <c r="A10" s="2" t="s">
        <v>13</v>
      </c>
      <c r="B10" s="3" t="s">
        <v>14</v>
      </c>
    </row>
    <row r="11" spans="1:2" ht="21.95" customHeight="1">
      <c r="A11" s="2" t="s">
        <v>15</v>
      </c>
      <c r="B11" s="3" t="s">
        <v>16</v>
      </c>
    </row>
    <row r="12" spans="1:2" ht="21.95" customHeight="1">
      <c r="A12" s="2" t="s">
        <v>17</v>
      </c>
      <c r="B12" s="3" t="s">
        <v>18</v>
      </c>
    </row>
    <row r="13" spans="1:2" ht="21.95" customHeight="1">
      <c r="A13" s="2" t="s">
        <v>19</v>
      </c>
      <c r="B13" s="3" t="s">
        <v>20</v>
      </c>
    </row>
    <row r="14" spans="1:2" ht="21.95" customHeight="1">
      <c r="A14" s="2" t="s">
        <v>21</v>
      </c>
      <c r="B14" s="3" t="s">
        <v>22</v>
      </c>
    </row>
    <row r="15" spans="1:2" ht="21.95" customHeight="1">
      <c r="A15" s="2" t="s">
        <v>23</v>
      </c>
      <c r="B15" s="3" t="s">
        <v>24</v>
      </c>
    </row>
    <row r="16" spans="1:2" ht="21.95" customHeight="1">
      <c r="A16" s="2" t="s">
        <v>25</v>
      </c>
      <c r="B16" s="3" t="s">
        <v>26</v>
      </c>
    </row>
    <row r="17" spans="1:2" ht="21.95" customHeight="1">
      <c r="A17" s="2" t="s">
        <v>27</v>
      </c>
      <c r="B17" s="3" t="s">
        <v>28</v>
      </c>
    </row>
    <row r="18" spans="1:2" ht="21.95" customHeight="1">
      <c r="A18" s="2" t="s">
        <v>29</v>
      </c>
      <c r="B18" s="3" t="s">
        <v>30</v>
      </c>
    </row>
    <row r="20" spans="1:2" ht="18.75">
      <c r="A20" s="1" t="s">
        <v>31</v>
      </c>
    </row>
    <row r="21" spans="1:2">
      <c r="A21" s="3" t="s">
        <v>32</v>
      </c>
    </row>
    <row r="22" spans="1:2">
      <c r="A22" s="3" t="s">
        <v>33</v>
      </c>
    </row>
    <row r="23" spans="1:2">
      <c r="A23" s="3" t="s">
        <v>34</v>
      </c>
    </row>
    <row r="24" spans="1:2">
      <c r="A24" s="3" t="s">
        <v>35</v>
      </c>
    </row>
    <row r="26" spans="1:2" ht="18.75">
      <c r="A26" s="1" t="s">
        <v>36</v>
      </c>
    </row>
    <row r="27" spans="1:2">
      <c r="A27" s="3" t="s">
        <v>37</v>
      </c>
    </row>
    <row r="28" spans="1:2">
      <c r="A28" s="3" t="s">
        <v>38</v>
      </c>
    </row>
    <row r="29" spans="1:2">
      <c r="A29" s="3" t="s">
        <v>39</v>
      </c>
    </row>
    <row r="30" spans="1:2">
      <c r="A30" s="3" t="s">
        <v>40</v>
      </c>
    </row>
    <row r="31" spans="1:2">
      <c r="A31" s="3" t="s">
        <v>41</v>
      </c>
    </row>
    <row r="32" spans="1:2">
      <c r="A32" s="3" t="s">
        <v>42</v>
      </c>
    </row>
    <row r="33" spans="1:2">
      <c r="A33" s="3" t="s">
        <v>43</v>
      </c>
    </row>
    <row r="34" spans="1:2">
      <c r="A34" s="3" t="s">
        <v>44</v>
      </c>
    </row>
    <row r="35" spans="1:2">
      <c r="A35" s="3" t="s">
        <v>45</v>
      </c>
    </row>
    <row r="36" spans="1:2">
      <c r="A36" s="3" t="s">
        <v>46</v>
      </c>
    </row>
    <row r="37" spans="1:2">
      <c r="A37" s="3" t="s">
        <v>47</v>
      </c>
    </row>
    <row r="39" spans="1:2">
      <c r="A39" s="4" t="s">
        <v>48</v>
      </c>
    </row>
    <row r="40" spans="1:2" ht="60" customHeight="1">
      <c r="A40" s="40" t="s">
        <v>49</v>
      </c>
      <c r="B40" s="38"/>
    </row>
  </sheetData>
  <mergeCells count="3">
    <mergeCell ref="A2:B2"/>
    <mergeCell ref="A1:B1"/>
    <mergeCell ref="A40:B4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heetViews>
  <sheetFormatPr defaultRowHeight="15"/>
  <cols>
    <col min="1" max="1" width="62" customWidth="1"/>
    <col min="2" max="6" width="15" customWidth="1"/>
  </cols>
  <sheetData>
    <row r="1" spans="1:6" ht="24.95" customHeight="1">
      <c r="A1" s="39" t="s">
        <v>50</v>
      </c>
      <c r="B1" s="38"/>
      <c r="C1" s="38"/>
      <c r="D1" s="38"/>
      <c r="E1" s="38"/>
      <c r="F1" s="38"/>
    </row>
    <row r="2" spans="1:6" ht="32.1" customHeight="1">
      <c r="A2" s="37" t="s">
        <v>1</v>
      </c>
      <c r="B2" s="38"/>
      <c r="C2" s="38"/>
      <c r="D2" s="38"/>
      <c r="E2" s="38"/>
      <c r="F2" s="38"/>
    </row>
    <row r="3" spans="1:6" ht="60" customHeight="1">
      <c r="A3" s="40" t="s">
        <v>51</v>
      </c>
      <c r="B3" s="38"/>
      <c r="C3" s="38"/>
      <c r="D3" s="38"/>
      <c r="E3" s="38"/>
      <c r="F3" s="38"/>
    </row>
    <row r="5" spans="1:6">
      <c r="A5" s="41" t="s">
        <v>52</v>
      </c>
      <c r="B5" s="38"/>
      <c r="C5" s="38"/>
      <c r="D5" s="38"/>
      <c r="E5" s="38"/>
      <c r="F5" s="38"/>
    </row>
    <row r="6" spans="1:6">
      <c r="A6" s="6" t="s">
        <v>53</v>
      </c>
      <c r="B6" s="7">
        <v>28000</v>
      </c>
      <c r="C6" s="8">
        <v>0.23</v>
      </c>
    </row>
    <row r="7" spans="1:6">
      <c r="A7" s="6" t="s">
        <v>54</v>
      </c>
      <c r="B7" s="7">
        <v>50000</v>
      </c>
      <c r="C7" s="8">
        <v>0.33</v>
      </c>
    </row>
    <row r="8" spans="1:6">
      <c r="A8" s="6" t="s">
        <v>55</v>
      </c>
      <c r="C8" s="8">
        <v>0.43</v>
      </c>
    </row>
    <row r="9" spans="1:6">
      <c r="A9" s="6" t="s">
        <v>56</v>
      </c>
      <c r="B9" s="9">
        <f>'P-Parametri'!$B$6*'P-Parametri'!$C$6</f>
        <v>6440</v>
      </c>
    </row>
    <row r="10" spans="1:6">
      <c r="A10" s="6" t="s">
        <v>57</v>
      </c>
      <c r="B10" s="9">
        <f>'P-Parametri'!$B$9+'P-Parametri'!$C$7*('P-Parametri'!$B$7-'P-Parametri'!$B$6)</f>
        <v>13700</v>
      </c>
    </row>
    <row r="11" spans="1:6">
      <c r="A11" s="41" t="s">
        <v>58</v>
      </c>
      <c r="B11" s="38"/>
      <c r="C11" s="38"/>
      <c r="D11" s="38"/>
      <c r="E11" s="38"/>
      <c r="F11" s="38"/>
    </row>
    <row r="12" spans="1:6" ht="30">
      <c r="A12" s="6" t="s">
        <v>59</v>
      </c>
      <c r="B12" s="7">
        <v>1955</v>
      </c>
      <c r="C12" s="7">
        <v>15000</v>
      </c>
    </row>
    <row r="13" spans="1:6">
      <c r="A13" s="6" t="s">
        <v>60</v>
      </c>
      <c r="B13" s="7">
        <v>1910</v>
      </c>
      <c r="C13" s="7">
        <v>1190</v>
      </c>
      <c r="D13" s="7">
        <v>13000</v>
      </c>
    </row>
    <row r="14" spans="1:6">
      <c r="A14" s="6" t="s">
        <v>61</v>
      </c>
      <c r="B14" s="7">
        <v>1910</v>
      </c>
      <c r="C14" s="7">
        <v>22000</v>
      </c>
    </row>
    <row r="15" spans="1:6" ht="30">
      <c r="A15" s="6" t="s">
        <v>62</v>
      </c>
      <c r="B15" s="7">
        <v>1000</v>
      </c>
      <c r="C15" s="7">
        <v>8500</v>
      </c>
      <c r="D15" s="7">
        <v>32000</v>
      </c>
      <c r="E15" s="7">
        <v>40000</v>
      </c>
    </row>
    <row r="16" spans="1:6" ht="30">
      <c r="A16" s="6" t="s">
        <v>63</v>
      </c>
      <c r="B16" s="7">
        <v>1200</v>
      </c>
      <c r="C16" s="7">
        <v>15000</v>
      </c>
      <c r="D16" s="7">
        <v>75</v>
      </c>
    </row>
    <row r="17" spans="1:6">
      <c r="A17" s="6" t="s">
        <v>64</v>
      </c>
      <c r="B17" s="8">
        <v>7.0999999999999994E-2</v>
      </c>
      <c r="C17" s="8">
        <v>5.2999999999999999E-2</v>
      </c>
      <c r="D17" s="8">
        <v>4.8000000000000001E-2</v>
      </c>
    </row>
    <row r="18" spans="1:6">
      <c r="A18" s="6" t="s">
        <v>65</v>
      </c>
      <c r="B18" s="7">
        <v>8500</v>
      </c>
      <c r="C18" s="7">
        <v>15000</v>
      </c>
      <c r="D18" s="7">
        <v>20000</v>
      </c>
    </row>
    <row r="19" spans="1:6">
      <c r="A19" s="6" t="s">
        <v>66</v>
      </c>
      <c r="B19" s="8">
        <v>9.1899999999999996E-2</v>
      </c>
    </row>
    <row r="20" spans="1:6" ht="30">
      <c r="A20" s="6" t="s">
        <v>67</v>
      </c>
      <c r="B20" s="8">
        <v>0.02</v>
      </c>
    </row>
    <row r="21" spans="1:6" ht="30" customHeight="1">
      <c r="A21" s="40" t="s">
        <v>68</v>
      </c>
      <c r="B21" s="38"/>
      <c r="C21" s="38"/>
      <c r="D21" s="38"/>
      <c r="E21" s="38"/>
      <c r="F21" s="38"/>
    </row>
    <row r="22" spans="1:6">
      <c r="A22" s="41" t="s">
        <v>69</v>
      </c>
      <c r="B22" s="38"/>
      <c r="C22" s="38"/>
      <c r="D22" s="38"/>
      <c r="E22" s="38"/>
      <c r="F22" s="38"/>
    </row>
    <row r="23" spans="1:6">
      <c r="A23" s="6" t="s">
        <v>70</v>
      </c>
      <c r="B23" s="8">
        <v>0.05</v>
      </c>
    </row>
    <row r="24" spans="1:6">
      <c r="A24" s="6" t="s">
        <v>71</v>
      </c>
      <c r="B24" s="7">
        <v>33000</v>
      </c>
    </row>
    <row r="25" spans="1:6">
      <c r="A25" s="6" t="s">
        <v>72</v>
      </c>
      <c r="B25" s="10">
        <v>2026</v>
      </c>
    </row>
    <row r="26" spans="1:6" ht="60" customHeight="1">
      <c r="A26" s="40" t="s">
        <v>73</v>
      </c>
      <c r="B26" s="38"/>
      <c r="C26" s="38"/>
      <c r="D26" s="38"/>
      <c r="E26" s="38"/>
      <c r="F26" s="38"/>
    </row>
    <row r="27" spans="1:6">
      <c r="A27" s="41" t="s">
        <v>74</v>
      </c>
      <c r="B27" s="38"/>
      <c r="C27" s="38"/>
      <c r="D27" s="38"/>
      <c r="E27" s="38"/>
      <c r="F27" s="38"/>
    </row>
    <row r="28" spans="1:6" ht="30">
      <c r="A28" s="6" t="s">
        <v>75</v>
      </c>
      <c r="B28" s="8">
        <v>0.02</v>
      </c>
      <c r="C28" s="8">
        <v>0.03</v>
      </c>
      <c r="D28" s="8">
        <v>0.04</v>
      </c>
    </row>
    <row r="29" spans="1:6">
      <c r="A29" s="6" t="s">
        <v>76</v>
      </c>
      <c r="B29" s="8">
        <v>0.04</v>
      </c>
      <c r="C29" s="8">
        <v>0.03</v>
      </c>
      <c r="D29" s="8">
        <v>2.3099999999999999E-2</v>
      </c>
    </row>
    <row r="30" spans="1:6">
      <c r="A30" s="6" t="s">
        <v>77</v>
      </c>
      <c r="B30" s="8">
        <v>0.02</v>
      </c>
    </row>
    <row r="31" spans="1:6" ht="30" customHeight="1">
      <c r="A31" s="40" t="s">
        <v>78</v>
      </c>
      <c r="B31" s="38"/>
      <c r="C31" s="38"/>
      <c r="D31" s="38"/>
      <c r="E31" s="38"/>
      <c r="F31" s="38"/>
    </row>
    <row r="32" spans="1:6">
      <c r="A32" s="41" t="s">
        <v>79</v>
      </c>
      <c r="B32" s="38"/>
      <c r="C32" s="38"/>
      <c r="D32" s="38"/>
      <c r="E32" s="38"/>
      <c r="F32" s="38"/>
    </row>
    <row r="33" spans="1:6">
      <c r="A33" s="6" t="s">
        <v>80</v>
      </c>
      <c r="B33" s="7">
        <v>1932</v>
      </c>
    </row>
    <row r="34" spans="1:6">
      <c r="A34" s="6" t="s">
        <v>81</v>
      </c>
      <c r="B34" s="10">
        <v>43</v>
      </c>
      <c r="C34" s="10">
        <v>52</v>
      </c>
    </row>
    <row r="35" spans="1:6" ht="45" customHeight="1">
      <c r="A35" s="40" t="s">
        <v>82</v>
      </c>
      <c r="B35" s="38"/>
      <c r="C35" s="38"/>
      <c r="D35" s="38"/>
      <c r="E35" s="38"/>
      <c r="F35" s="38"/>
    </row>
    <row r="36" spans="1:6">
      <c r="A36" s="41" t="s">
        <v>83</v>
      </c>
      <c r="B36" s="38"/>
      <c r="C36" s="38"/>
      <c r="D36" s="38"/>
      <c r="E36" s="38"/>
      <c r="F36" s="38"/>
    </row>
    <row r="37" spans="1:6">
      <c r="A37" s="6" t="s">
        <v>84</v>
      </c>
      <c r="B37" s="8">
        <v>0.26</v>
      </c>
    </row>
    <row r="38" spans="1:6">
      <c r="A38" s="6" t="s">
        <v>85</v>
      </c>
      <c r="B38" s="8">
        <v>2E-3</v>
      </c>
    </row>
    <row r="39" spans="1:6" ht="60" customHeight="1">
      <c r="A39" s="40" t="s">
        <v>86</v>
      </c>
      <c r="B39" s="38"/>
      <c r="C39" s="38"/>
      <c r="D39" s="38"/>
      <c r="E39" s="38"/>
      <c r="F39" s="38"/>
    </row>
    <row r="40" spans="1:6" ht="30" customHeight="1">
      <c r="A40" s="40" t="s">
        <v>87</v>
      </c>
      <c r="B40" s="38"/>
      <c r="C40" s="38"/>
      <c r="D40" s="38"/>
      <c r="E40" s="38"/>
      <c r="F40" s="38"/>
    </row>
  </sheetData>
  <mergeCells count="15">
    <mergeCell ref="A40:F40"/>
    <mergeCell ref="A35:F35"/>
    <mergeCell ref="A3:F3"/>
    <mergeCell ref="A21:F21"/>
    <mergeCell ref="A39:F39"/>
    <mergeCell ref="A2:F2"/>
    <mergeCell ref="A11:F11"/>
    <mergeCell ref="A36:F36"/>
    <mergeCell ref="A1:F1"/>
    <mergeCell ref="A5:F5"/>
    <mergeCell ref="A32:F32"/>
    <mergeCell ref="A27:F27"/>
    <mergeCell ref="A31:F31"/>
    <mergeCell ref="A26:F26"/>
    <mergeCell ref="A22:F2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workbookViewId="0"/>
  </sheetViews>
  <sheetFormatPr defaultRowHeight="15"/>
  <cols>
    <col min="1" max="1" width="56" customWidth="1"/>
    <col min="2" max="3" width="17" customWidth="1"/>
    <col min="4" max="8" width="15" customWidth="1"/>
  </cols>
  <sheetData>
    <row r="1" spans="1:8" ht="24.95" customHeight="1">
      <c r="A1" s="39" t="s">
        <v>88</v>
      </c>
      <c r="B1" s="38"/>
      <c r="C1" s="38"/>
      <c r="D1" s="38"/>
      <c r="E1" s="38"/>
      <c r="F1" s="38"/>
      <c r="G1" s="38"/>
      <c r="H1" s="38"/>
    </row>
    <row r="2" spans="1:8" ht="32.1" customHeight="1">
      <c r="A2" s="37" t="s">
        <v>1</v>
      </c>
      <c r="B2" s="38"/>
      <c r="C2" s="38"/>
      <c r="D2" s="38"/>
      <c r="E2" s="38"/>
      <c r="F2" s="38"/>
      <c r="G2" s="38"/>
      <c r="H2" s="38"/>
    </row>
    <row r="3" spans="1:8" ht="15" customHeight="1">
      <c r="A3" s="40" t="s">
        <v>89</v>
      </c>
      <c r="B3" s="38"/>
      <c r="C3" s="38"/>
      <c r="D3" s="38"/>
      <c r="E3" s="38"/>
      <c r="F3" s="38"/>
      <c r="G3" s="38"/>
      <c r="H3" s="38"/>
    </row>
    <row r="4" spans="1:8">
      <c r="A4" s="41" t="s">
        <v>90</v>
      </c>
      <c r="B4" s="38"/>
      <c r="C4" s="38"/>
      <c r="D4" s="38"/>
      <c r="E4" s="38"/>
      <c r="F4" s="38"/>
      <c r="G4" s="38"/>
      <c r="H4" s="38"/>
    </row>
    <row r="5" spans="1:8">
      <c r="A5" s="6" t="s">
        <v>91</v>
      </c>
      <c r="B5" s="10">
        <v>32</v>
      </c>
    </row>
    <row r="6" spans="1:8">
      <c r="A6" s="6" t="s">
        <v>92</v>
      </c>
      <c r="B6" s="7">
        <v>36000</v>
      </c>
    </row>
    <row r="7" spans="1:8">
      <c r="A7" s="6" t="s">
        <v>93</v>
      </c>
      <c r="B7" s="7">
        <v>21000</v>
      </c>
    </row>
    <row r="8" spans="1:8">
      <c r="A8" s="6" t="s">
        <v>94</v>
      </c>
      <c r="B8" s="7">
        <v>26000</v>
      </c>
    </row>
    <row r="9" spans="1:8">
      <c r="A9" s="6" t="s">
        <v>95</v>
      </c>
      <c r="B9" s="7">
        <v>7000</v>
      </c>
    </row>
    <row r="10" spans="1:8" ht="30">
      <c r="A10" s="6" t="s">
        <v>96</v>
      </c>
      <c r="B10" s="8">
        <v>1</v>
      </c>
    </row>
    <row r="11" spans="1:8">
      <c r="A11" s="6" t="s">
        <v>97</v>
      </c>
      <c r="B11" s="8">
        <v>0.03</v>
      </c>
    </row>
    <row r="12" spans="1:8">
      <c r="A12" s="6" t="s">
        <v>98</v>
      </c>
      <c r="B12" s="8">
        <v>0.04</v>
      </c>
    </row>
    <row r="13" spans="1:8" ht="30">
      <c r="A13" s="6" t="s">
        <v>99</v>
      </c>
      <c r="B13" s="10">
        <v>1720</v>
      </c>
    </row>
    <row r="14" spans="1:8">
      <c r="A14" s="6" t="s">
        <v>100</v>
      </c>
      <c r="B14" s="10">
        <v>43</v>
      </c>
    </row>
    <row r="15" spans="1:8" ht="30">
      <c r="A15" s="6" t="s">
        <v>101</v>
      </c>
      <c r="B15" s="10" t="s">
        <v>102</v>
      </c>
    </row>
    <row r="16" spans="1:8" ht="30">
      <c r="A16" s="6" t="s">
        <v>103</v>
      </c>
      <c r="B16" s="10" t="s">
        <v>104</v>
      </c>
    </row>
    <row r="17" spans="1:8">
      <c r="A17" s="6" t="s">
        <v>105</v>
      </c>
      <c r="B17" s="10">
        <v>2026</v>
      </c>
    </row>
    <row r="19" spans="1:8">
      <c r="A19" s="41" t="s">
        <v>106</v>
      </c>
      <c r="B19" s="38"/>
      <c r="C19" s="38"/>
      <c r="D19" s="38"/>
      <c r="E19" s="38"/>
      <c r="F19" s="38"/>
      <c r="G19" s="38"/>
      <c r="H19" s="38"/>
    </row>
    <row r="21" spans="1:8">
      <c r="A21" s="6" t="s">
        <v>107</v>
      </c>
      <c r="B21" s="9">
        <f>'P-Parametri'!$B$19*'1-Input'!$B$6</f>
        <v>3308.3999999999996</v>
      </c>
    </row>
    <row r="22" spans="1:8">
      <c r="A22" s="6" t="s">
        <v>108</v>
      </c>
      <c r="B22" s="9">
        <f>'1-Input'!$B$6-'1-Input'!$B$21</f>
        <v>32691.599999999999</v>
      </c>
    </row>
    <row r="23" spans="1:8">
      <c r="A23" s="6" t="s">
        <v>109</v>
      </c>
      <c r="B23" s="9">
        <f>('1-Input'!$B$6*(1-'P-Parametri'!$B$19))-(MAX(0,(IF(('1-Input'!$B$6*(1-'P-Parametri'!$B$19))&lt;='P-Parametri'!$B$6,'P-Parametri'!$C$6*('1-Input'!$B$6*(1-'P-Parametri'!$B$19)),IF(('1-Input'!$B$6*(1-'P-Parametri'!$B$19))&lt;='P-Parametri'!$B$7,'P-Parametri'!$B$9+'P-Parametri'!$C$7*(('1-Input'!$B$6*(1-'P-Parametri'!$B$19))-'P-Parametri'!$B$6),'P-Parametri'!$B$10+'P-Parametri'!$C$8*(('1-Input'!$B$6*(1-'P-Parametri'!$B$19))-'P-Parametri'!$B$7))))-(IF(('1-Input'!$B$6*(1-'P-Parametri'!$B$19))&lt;='P-Parametri'!$C$12,'P-Parametri'!$B$12,IF(('1-Input'!$B$6*(1-'P-Parametri'!$B$19))&lt;='P-Parametri'!$B$6,'P-Parametri'!$B$13+'P-Parametri'!$C$13*('P-Parametri'!$B$6-('1-Input'!$B$6*(1-'P-Parametri'!$B$19)))/'P-Parametri'!$D$13,IF(('1-Input'!$B$6*(1-'P-Parametri'!$B$19))&lt;='P-Parametri'!$B$7,'P-Parametri'!$B$14*('P-Parametri'!$B$7-('1-Input'!$B$6*(1-'P-Parametri'!$B$19)))/'P-Parametri'!$C$14,0))))-(IF(('1-Input'!$B$6*(1-'P-Parametri'!$B$19))&lt;='P-Parametri'!$C$15,0,IF(('1-Input'!$B$6*(1-'P-Parametri'!$B$19))&lt;='P-Parametri'!$D$15,'P-Parametri'!$B$15,IF(('1-Input'!$B$6*(1-'P-Parametri'!$B$19))&lt;'P-Parametri'!$E$15,'P-Parametri'!$B$15*('P-Parametri'!$E$15-('1-Input'!$B$6*(1-'P-Parametri'!$B$19)))/('P-Parametri'!$E$15-'P-Parametri'!$D$15),0))))))-(IF(MAX(0,(IF(('1-Input'!$B$6*(1-'P-Parametri'!$B$19))&lt;='P-Parametri'!$B$6,'P-Parametri'!$C$6*('1-Input'!$B$6*(1-'P-Parametri'!$B$19)),IF(('1-Input'!$B$6*(1-'P-Parametri'!$B$19))&lt;='P-Parametri'!$B$7,'P-Parametri'!$B$9+'P-Parametri'!$C$7*(('1-Input'!$B$6*(1-'P-Parametri'!$B$19))-'P-Parametri'!$B$6),'P-Parametri'!$B$10+'P-Parametri'!$C$8*(('1-Input'!$B$6*(1-'P-Parametri'!$B$19))-'P-Parametri'!$B$7))))-(IF(('1-Input'!$B$6*(1-'P-Parametri'!$B$19))&lt;='P-Parametri'!$C$12,'P-Parametri'!$B$12,IF(('1-Input'!$B$6*(1-'P-Parametri'!$B$19))&lt;='P-Parametri'!$B$6,'P-Parametri'!$B$13+'P-Parametri'!$C$13*('P-Parametri'!$B$6-('1-Input'!$B$6*(1-'P-Parametri'!$B$19)))/'P-Parametri'!$D$13,IF(('1-Input'!$B$6*(1-'P-Parametri'!$B$19))&lt;='P-Parametri'!$B$7,'P-Parametri'!$B$14*('P-Parametri'!$B$7-('1-Input'!$B$6*(1-'P-Parametri'!$B$19)))/'P-Parametri'!$C$14,0))))-(IF(('1-Input'!$B$6*(1-'P-Parametri'!$B$19))&lt;='P-Parametri'!$C$15,0,IF(('1-Input'!$B$6*(1-'P-Parametri'!$B$19))&lt;='P-Parametri'!$D$15,'P-Parametri'!$B$15,IF(('1-Input'!$B$6*(1-'P-Parametri'!$B$19))&lt;'P-Parametri'!$E$15,'P-Parametri'!$B$15*('P-Parametri'!$E$15-('1-Input'!$B$6*(1-'P-Parametri'!$B$19)))/('P-Parametri'!$E$15-'P-Parametri'!$D$15),0)))))&gt;0,'P-Parametri'!$B$20*('1-Input'!$B$6*(1-'P-Parametri'!$B$19)),0))+(IF(AND(('1-Input'!$B$6*(1-'P-Parametri'!$B$19))&lt;='P-Parametri'!$C$16,(IF(('1-Input'!$B$6*(1-'P-Parametri'!$B$19))&lt;='P-Parametri'!$B$6,'P-Parametri'!$C$6*('1-Input'!$B$6*(1-'P-Parametri'!$B$19)),IF(('1-Input'!$B$6*(1-'P-Parametri'!$B$19))&lt;='P-Parametri'!$B$7,'P-Parametri'!$B$9+'P-Parametri'!$C$7*(('1-Input'!$B$6*(1-'P-Parametri'!$B$19))-'P-Parametri'!$B$6),'P-Parametri'!$B$10+'P-Parametri'!$C$8*(('1-Input'!$B$6*(1-'P-Parametri'!$B$19))-'P-Parametri'!$B$7))))&gt;(IF(('1-Input'!$B$6*(1-'P-Parametri'!$B$19))&lt;='P-Parametri'!$C$12,'P-Parametri'!$B$12,IF(('1-Input'!$B$6*(1-'P-Parametri'!$B$19))&lt;='P-Parametri'!$B$6,'P-Parametri'!$B$13+'P-Parametri'!$C$13*('P-Parametri'!$B$6-('1-Input'!$B$6*(1-'P-Parametri'!$B$19)))/'P-Parametri'!$D$13,IF(('1-Input'!$B$6*(1-'P-Parametri'!$B$19))&lt;='P-Parametri'!$B$7,'P-Parametri'!$B$14*('P-Parametri'!$B$7-('1-Input'!$B$6*(1-'P-Parametri'!$B$19)))/'P-Parametri'!$C$14,0))))-'P-Parametri'!$D$16),'P-Parametri'!$B$16,0))+(IF(('1-Input'!$B$6*(1-'P-Parametri'!$B$19))&gt;'P-Parametri'!$D$18,0,IF(('1-Input'!$B$6*(1-'P-Parametri'!$B$19))&lt;='P-Parametri'!$B$18,'P-Parametri'!$B$17*('1-Input'!$B$6*(1-'P-Parametri'!$B$19)),IF(('1-Input'!$B$6*(1-'P-Parametri'!$B$19))&lt;='P-Parametri'!$C$18,'P-Parametri'!$C$17*('1-Input'!$B$6*(1-'P-Parametri'!$B$19)),'P-Parametri'!$D$17*('1-Input'!$B$6*(1-'P-Parametri'!$B$19))))))</f>
        <v>26465.77381818182</v>
      </c>
    </row>
    <row r="24" spans="1:8">
      <c r="A24" s="6" t="s">
        <v>110</v>
      </c>
      <c r="B24" s="9">
        <f>'1-Input'!$B$23/12</f>
        <v>2205.4811515151519</v>
      </c>
      <c r="C24" s="9">
        <f>'1-Input'!$B$23/13</f>
        <v>2035.8287552447555</v>
      </c>
    </row>
    <row r="25" spans="1:8">
      <c r="A25" s="6" t="s">
        <v>111</v>
      </c>
      <c r="B25" s="9">
        <f>'1-Input'!$B$23-'1-Input'!$B$7</f>
        <v>5465.7738181818204</v>
      </c>
    </row>
    <row r="26" spans="1:8">
      <c r="A26" s="6" t="s">
        <v>112</v>
      </c>
      <c r="B26" s="11">
        <f>'1-Input'!$B$25/'1-Input'!$B$23</f>
        <v>0.20652235055477078</v>
      </c>
    </row>
    <row r="27" spans="1:8">
      <c r="A27" s="6" t="s">
        <v>113</v>
      </c>
      <c r="B27" s="12">
        <f>1/'1-Input'!$B$12</f>
        <v>25</v>
      </c>
    </row>
    <row r="28" spans="1:8">
      <c r="A28" s="6" t="s">
        <v>114</v>
      </c>
      <c r="B28" s="9">
        <f>'1-Input'!$B$27*'1-Input'!$B$7</f>
        <v>525000</v>
      </c>
    </row>
    <row r="29" spans="1:8">
      <c r="A29" s="6" t="s">
        <v>115</v>
      </c>
      <c r="B29" s="9">
        <f>'1-Input'!$B$22</f>
        <v>32691.599999999999</v>
      </c>
    </row>
    <row r="30" spans="1:8">
      <c r="A30" s="6" t="s">
        <v>116</v>
      </c>
      <c r="B30" s="9">
        <f>'P-Parametri'!$B$24-'1-Input'!$B$29</f>
        <v>308.40000000000146</v>
      </c>
    </row>
    <row r="31" spans="1:8">
      <c r="A31" s="6" t="s">
        <v>117</v>
      </c>
      <c r="B31" s="12">
        <f>LN(('1-Input'!$B$28+'1-Input'!$B$25/'1-Input'!$B$11)/('1-Input'!$B$8+'1-Input'!$B$25/'1-Input'!$B$11))/LN(1+'1-Input'!$B$11)</f>
        <v>41.369738093845186</v>
      </c>
    </row>
    <row r="32" spans="1:8">
      <c r="A32" s="6" t="s">
        <v>118</v>
      </c>
      <c r="B32" s="11">
        <f>'1-Input'!$B$23/'1-Input'!$B$6</f>
        <v>0.73516038383838389</v>
      </c>
    </row>
    <row r="33" spans="1:8">
      <c r="A33" s="6" t="s">
        <v>119</v>
      </c>
      <c r="B33" s="13" t="str">
        <f>IF(AND('1-Input'!$B$16="privato",'1-Input'!$B$29&lt;='P-Parametri'!$B$24,'1-Input'!$B$17='P-Parametri'!$B$25),"SI — settore privato, sotto i 33.000, anno 2026","NO — verifica settore, tetto reddituale o anno di erogazione")</f>
        <v>SI — settore privato, sotto i 33.000, anno 2026</v>
      </c>
    </row>
    <row r="34" spans="1:8">
      <c r="A34" s="6" t="s">
        <v>120</v>
      </c>
      <c r="B34" s="14">
        <f>'1-Input'!$B$5+'1-Input'!$B$31</f>
        <v>73.369738093845186</v>
      </c>
    </row>
    <row r="36" spans="1:8">
      <c r="A36" s="41" t="s">
        <v>121</v>
      </c>
      <c r="B36" s="38"/>
      <c r="C36" s="38"/>
      <c r="D36" s="38"/>
      <c r="E36" s="38"/>
      <c r="F36" s="38"/>
      <c r="G36" s="38"/>
      <c r="H36" s="38"/>
    </row>
    <row r="37" spans="1:8" ht="30">
      <c r="A37" s="15" t="s">
        <v>122</v>
      </c>
      <c r="B37" s="15" t="s">
        <v>91</v>
      </c>
      <c r="C37" s="15" t="s">
        <v>123</v>
      </c>
      <c r="D37" s="15" t="s">
        <v>124</v>
      </c>
      <c r="E37" s="15" t="s">
        <v>125</v>
      </c>
      <c r="F37" s="15" t="s">
        <v>126</v>
      </c>
      <c r="G37" s="15" t="s">
        <v>127</v>
      </c>
      <c r="H37" s="15" t="s">
        <v>128</v>
      </c>
    </row>
    <row r="38" spans="1:8">
      <c r="A38" s="13">
        <f>2019</f>
        <v>2019</v>
      </c>
      <c r="B38" s="13">
        <f>25</f>
        <v>25</v>
      </c>
      <c r="C38" s="7">
        <v>26000</v>
      </c>
      <c r="D38" s="9">
        <f>(C38*(1-'P-Parametri'!$B$19))-(MAX(0,(IF((C38*(1-'P-Parametri'!$B$19))&lt;='P-Parametri'!$B$6,'P-Parametri'!$C$6*(C38*(1-'P-Parametri'!$B$19)),IF((C38*(1-'P-Parametri'!$B$19))&lt;='P-Parametri'!$B$7,'P-Parametri'!$B$9+'P-Parametri'!$C$7*((C38*(1-'P-Parametri'!$B$19))-'P-Parametri'!$B$6),'P-Parametri'!$B$10+'P-Parametri'!$C$8*((C38*(1-'P-Parametri'!$B$19))-'P-Parametri'!$B$7))))-(IF((C38*(1-'P-Parametri'!$B$19))&lt;='P-Parametri'!$C$12,'P-Parametri'!$B$12,IF((C38*(1-'P-Parametri'!$B$19))&lt;='P-Parametri'!$B$6,'P-Parametri'!$B$13+'P-Parametri'!$C$13*('P-Parametri'!$B$6-(C38*(1-'P-Parametri'!$B$19)))/'P-Parametri'!$D$13,IF((C38*(1-'P-Parametri'!$B$19))&lt;='P-Parametri'!$B$7,'P-Parametri'!$B$14*('P-Parametri'!$B$7-(C38*(1-'P-Parametri'!$B$19)))/'P-Parametri'!$C$14,0))))-(IF((C38*(1-'P-Parametri'!$B$19))&lt;='P-Parametri'!$C$15,0,IF((C38*(1-'P-Parametri'!$B$19))&lt;='P-Parametri'!$D$15,'P-Parametri'!$B$15,IF((C38*(1-'P-Parametri'!$B$19))&lt;'P-Parametri'!$E$15,'P-Parametri'!$B$15*('P-Parametri'!$E$15-(C38*(1-'P-Parametri'!$B$19)))/('P-Parametri'!$E$15-'P-Parametri'!$D$15),0))))))-(IF(MAX(0,(IF((C38*(1-'P-Parametri'!$B$19))&lt;='P-Parametri'!$B$6,'P-Parametri'!$C$6*(C38*(1-'P-Parametri'!$B$19)),IF((C38*(1-'P-Parametri'!$B$19))&lt;='P-Parametri'!$B$7,'P-Parametri'!$B$9+'P-Parametri'!$C$7*((C38*(1-'P-Parametri'!$B$19))-'P-Parametri'!$B$6),'P-Parametri'!$B$10+'P-Parametri'!$C$8*((C38*(1-'P-Parametri'!$B$19))-'P-Parametri'!$B$7))))-(IF((C38*(1-'P-Parametri'!$B$19))&lt;='P-Parametri'!$C$12,'P-Parametri'!$B$12,IF((C38*(1-'P-Parametri'!$B$19))&lt;='P-Parametri'!$B$6,'P-Parametri'!$B$13+'P-Parametri'!$C$13*('P-Parametri'!$B$6-(C38*(1-'P-Parametri'!$B$19)))/'P-Parametri'!$D$13,IF((C38*(1-'P-Parametri'!$B$19))&lt;='P-Parametri'!$B$7,'P-Parametri'!$B$14*('P-Parametri'!$B$7-(C38*(1-'P-Parametri'!$B$19)))/'P-Parametri'!$C$14,0))))-(IF((C38*(1-'P-Parametri'!$B$19))&lt;='P-Parametri'!$C$15,0,IF((C38*(1-'P-Parametri'!$B$19))&lt;='P-Parametri'!$D$15,'P-Parametri'!$B$15,IF((C38*(1-'P-Parametri'!$B$19))&lt;'P-Parametri'!$E$15,'P-Parametri'!$B$15*('P-Parametri'!$E$15-(C38*(1-'P-Parametri'!$B$19)))/('P-Parametri'!$E$15-'P-Parametri'!$D$15),0)))))&gt;0,'P-Parametri'!$B$20*(C38*(1-'P-Parametri'!$B$19)),0))+(IF(AND((C38*(1-'P-Parametri'!$B$19))&lt;='P-Parametri'!$C$16,(IF((C38*(1-'P-Parametri'!$B$19))&lt;='P-Parametri'!$B$6,'P-Parametri'!$C$6*(C38*(1-'P-Parametri'!$B$19)),IF((C38*(1-'P-Parametri'!$B$19))&lt;='P-Parametri'!$B$7,'P-Parametri'!$B$9+'P-Parametri'!$C$7*((C38*(1-'P-Parametri'!$B$19))-'P-Parametri'!$B$6),'P-Parametri'!$B$10+'P-Parametri'!$C$8*((C38*(1-'P-Parametri'!$B$19))-'P-Parametri'!$B$7))))&gt;(IF((C38*(1-'P-Parametri'!$B$19))&lt;='P-Parametri'!$C$12,'P-Parametri'!$B$12,IF((C38*(1-'P-Parametri'!$B$19))&lt;='P-Parametri'!$B$6,'P-Parametri'!$B$13+'P-Parametri'!$C$13*('P-Parametri'!$B$6-(C38*(1-'P-Parametri'!$B$19)))/'P-Parametri'!$D$13,IF((C38*(1-'P-Parametri'!$B$19))&lt;='P-Parametri'!$B$7,'P-Parametri'!$B$14*('P-Parametri'!$B$7-(C38*(1-'P-Parametri'!$B$19)))/'P-Parametri'!$C$14,0))))-'P-Parametri'!$D$16),'P-Parametri'!$B$16,0))+(IF((C38*(1-'P-Parametri'!$B$19))&gt;'P-Parametri'!$D$18,0,IF((C38*(1-'P-Parametri'!$B$19))&lt;='P-Parametri'!$B$18,'P-Parametri'!$B$17*(C38*(1-'P-Parametri'!$B$19)),IF((C38*(1-'P-Parametri'!$B$19))&lt;='P-Parametri'!$C$18,'P-Parametri'!$C$17*(C38*(1-'P-Parametri'!$B$19)),'P-Parametri'!$D$17*(C38*(1-'P-Parametri'!$B$19))))))</f>
        <v>21019.748923076924</v>
      </c>
      <c r="E38" s="7">
        <v>19500</v>
      </c>
      <c r="F38" s="9">
        <f t="shared" ref="F38:F44" si="0">D38-E38</f>
        <v>1519.7489230769243</v>
      </c>
      <c r="G38" s="11">
        <f t="shared" ref="G38:G44" si="1">F38/D38</f>
        <v>7.2301002673178433E-2</v>
      </c>
      <c r="H38" s="9">
        <f>F38*(1+'1-Input'!$B$11)^(2025-A38)</f>
        <v>1814.6596917474758</v>
      </c>
    </row>
    <row r="39" spans="1:8">
      <c r="A39" s="13">
        <f>2020</f>
        <v>2020</v>
      </c>
      <c r="B39" s="13">
        <f>26</f>
        <v>26</v>
      </c>
      <c r="C39" s="7">
        <v>27500</v>
      </c>
      <c r="D39" s="9">
        <f>(C39*(1-'P-Parametri'!$B$19))-(MAX(0,(IF((C39*(1-'P-Parametri'!$B$19))&lt;='P-Parametri'!$B$6,'P-Parametri'!$C$6*(C39*(1-'P-Parametri'!$B$19)),IF((C39*(1-'P-Parametri'!$B$19))&lt;='P-Parametri'!$B$7,'P-Parametri'!$B$9+'P-Parametri'!$C$7*((C39*(1-'P-Parametri'!$B$19))-'P-Parametri'!$B$6),'P-Parametri'!$B$10+'P-Parametri'!$C$8*((C39*(1-'P-Parametri'!$B$19))-'P-Parametri'!$B$7))))-(IF((C39*(1-'P-Parametri'!$B$19))&lt;='P-Parametri'!$C$12,'P-Parametri'!$B$12,IF((C39*(1-'P-Parametri'!$B$19))&lt;='P-Parametri'!$B$6,'P-Parametri'!$B$13+'P-Parametri'!$C$13*('P-Parametri'!$B$6-(C39*(1-'P-Parametri'!$B$19)))/'P-Parametri'!$D$13,IF((C39*(1-'P-Parametri'!$B$19))&lt;='P-Parametri'!$B$7,'P-Parametri'!$B$14*('P-Parametri'!$B$7-(C39*(1-'P-Parametri'!$B$19)))/'P-Parametri'!$C$14,0))))-(IF((C39*(1-'P-Parametri'!$B$19))&lt;='P-Parametri'!$C$15,0,IF((C39*(1-'P-Parametri'!$B$19))&lt;='P-Parametri'!$D$15,'P-Parametri'!$B$15,IF((C39*(1-'P-Parametri'!$B$19))&lt;'P-Parametri'!$E$15,'P-Parametri'!$B$15*('P-Parametri'!$E$15-(C39*(1-'P-Parametri'!$B$19)))/('P-Parametri'!$E$15-'P-Parametri'!$D$15),0))))))-(IF(MAX(0,(IF((C39*(1-'P-Parametri'!$B$19))&lt;='P-Parametri'!$B$6,'P-Parametri'!$C$6*(C39*(1-'P-Parametri'!$B$19)),IF((C39*(1-'P-Parametri'!$B$19))&lt;='P-Parametri'!$B$7,'P-Parametri'!$B$9+'P-Parametri'!$C$7*((C39*(1-'P-Parametri'!$B$19))-'P-Parametri'!$B$6),'P-Parametri'!$B$10+'P-Parametri'!$C$8*((C39*(1-'P-Parametri'!$B$19))-'P-Parametri'!$B$7))))-(IF((C39*(1-'P-Parametri'!$B$19))&lt;='P-Parametri'!$C$12,'P-Parametri'!$B$12,IF((C39*(1-'P-Parametri'!$B$19))&lt;='P-Parametri'!$B$6,'P-Parametri'!$B$13+'P-Parametri'!$C$13*('P-Parametri'!$B$6-(C39*(1-'P-Parametri'!$B$19)))/'P-Parametri'!$D$13,IF((C39*(1-'P-Parametri'!$B$19))&lt;='P-Parametri'!$B$7,'P-Parametri'!$B$14*('P-Parametri'!$B$7-(C39*(1-'P-Parametri'!$B$19)))/'P-Parametri'!$C$14,0))))-(IF((C39*(1-'P-Parametri'!$B$19))&lt;='P-Parametri'!$C$15,0,IF((C39*(1-'P-Parametri'!$B$19))&lt;='P-Parametri'!$D$15,'P-Parametri'!$B$15,IF((C39*(1-'P-Parametri'!$B$19))&lt;'P-Parametri'!$E$15,'P-Parametri'!$B$15*('P-Parametri'!$E$15-(C39*(1-'P-Parametri'!$B$19)))/('P-Parametri'!$E$15-'P-Parametri'!$D$15),0)))))&gt;0,'P-Parametri'!$B$20*(C39*(1-'P-Parametri'!$B$19)),0))+(IF(AND((C39*(1-'P-Parametri'!$B$19))&lt;='P-Parametri'!$C$16,(IF((C39*(1-'P-Parametri'!$B$19))&lt;='P-Parametri'!$B$6,'P-Parametri'!$C$6*(C39*(1-'P-Parametri'!$B$19)),IF((C39*(1-'P-Parametri'!$B$19))&lt;='P-Parametri'!$B$7,'P-Parametri'!$B$9+'P-Parametri'!$C$7*((C39*(1-'P-Parametri'!$B$19))-'P-Parametri'!$B$6),'P-Parametri'!$B$10+'P-Parametri'!$C$8*((C39*(1-'P-Parametri'!$B$19))-'P-Parametri'!$B$7))))&gt;(IF((C39*(1-'P-Parametri'!$B$19))&lt;='P-Parametri'!$C$12,'P-Parametri'!$B$12,IF((C39*(1-'P-Parametri'!$B$19))&lt;='P-Parametri'!$B$6,'P-Parametri'!$B$13+'P-Parametri'!$C$13*('P-Parametri'!$B$6-(C39*(1-'P-Parametri'!$B$19)))/'P-Parametri'!$D$13,IF((C39*(1-'P-Parametri'!$B$19))&lt;='P-Parametri'!$B$7,'P-Parametri'!$B$14*('P-Parametri'!$B$7-(C39*(1-'P-Parametri'!$B$19)))/'P-Parametri'!$C$14,0))))-'P-Parametri'!$D$16),'P-Parametri'!$B$16,0))+(IF((C39*(1-'P-Parametri'!$B$19))&gt;'P-Parametri'!$D$18,0,IF((C39*(1-'P-Parametri'!$B$19))&lt;='P-Parametri'!$B$18,'P-Parametri'!$B$17*(C39*(1-'P-Parametri'!$B$19)),IF((C39*(1-'P-Parametri'!$B$19))&lt;='P-Parametri'!$C$18,'P-Parametri'!$C$17*(C39*(1-'P-Parametri'!$B$19)),'P-Parametri'!$D$17*(C39*(1-'P-Parametri'!$B$19))))))</f>
        <v>21916.672307692304</v>
      </c>
      <c r="E39" s="7">
        <v>19750</v>
      </c>
      <c r="F39" s="9">
        <f t="shared" si="0"/>
        <v>2166.6723076923045</v>
      </c>
      <c r="G39" s="11">
        <f t="shared" si="1"/>
        <v>9.885954752956938E-2</v>
      </c>
      <c r="H39" s="9">
        <f>F39*(1+'1-Input'!$B$11)^(2025-A39)</f>
        <v>2511.7670338114408</v>
      </c>
    </row>
    <row r="40" spans="1:8">
      <c r="A40" s="13">
        <f>2021</f>
        <v>2021</v>
      </c>
      <c r="B40" s="13">
        <f>27</f>
        <v>27</v>
      </c>
      <c r="C40" s="7">
        <v>29000</v>
      </c>
      <c r="D40" s="9">
        <f>(C40*(1-'P-Parametri'!$B$19))-(MAX(0,(IF((C40*(1-'P-Parametri'!$B$19))&lt;='P-Parametri'!$B$6,'P-Parametri'!$C$6*(C40*(1-'P-Parametri'!$B$19)),IF((C40*(1-'P-Parametri'!$B$19))&lt;='P-Parametri'!$B$7,'P-Parametri'!$B$9+'P-Parametri'!$C$7*((C40*(1-'P-Parametri'!$B$19))-'P-Parametri'!$B$6),'P-Parametri'!$B$10+'P-Parametri'!$C$8*((C40*(1-'P-Parametri'!$B$19))-'P-Parametri'!$B$7))))-(IF((C40*(1-'P-Parametri'!$B$19))&lt;='P-Parametri'!$C$12,'P-Parametri'!$B$12,IF((C40*(1-'P-Parametri'!$B$19))&lt;='P-Parametri'!$B$6,'P-Parametri'!$B$13+'P-Parametri'!$C$13*('P-Parametri'!$B$6-(C40*(1-'P-Parametri'!$B$19)))/'P-Parametri'!$D$13,IF((C40*(1-'P-Parametri'!$B$19))&lt;='P-Parametri'!$B$7,'P-Parametri'!$B$14*('P-Parametri'!$B$7-(C40*(1-'P-Parametri'!$B$19)))/'P-Parametri'!$C$14,0))))-(IF((C40*(1-'P-Parametri'!$B$19))&lt;='P-Parametri'!$C$15,0,IF((C40*(1-'P-Parametri'!$B$19))&lt;='P-Parametri'!$D$15,'P-Parametri'!$B$15,IF((C40*(1-'P-Parametri'!$B$19))&lt;'P-Parametri'!$E$15,'P-Parametri'!$B$15*('P-Parametri'!$E$15-(C40*(1-'P-Parametri'!$B$19)))/('P-Parametri'!$E$15-'P-Parametri'!$D$15),0))))))-(IF(MAX(0,(IF((C40*(1-'P-Parametri'!$B$19))&lt;='P-Parametri'!$B$6,'P-Parametri'!$C$6*(C40*(1-'P-Parametri'!$B$19)),IF((C40*(1-'P-Parametri'!$B$19))&lt;='P-Parametri'!$B$7,'P-Parametri'!$B$9+'P-Parametri'!$C$7*((C40*(1-'P-Parametri'!$B$19))-'P-Parametri'!$B$6),'P-Parametri'!$B$10+'P-Parametri'!$C$8*((C40*(1-'P-Parametri'!$B$19))-'P-Parametri'!$B$7))))-(IF((C40*(1-'P-Parametri'!$B$19))&lt;='P-Parametri'!$C$12,'P-Parametri'!$B$12,IF((C40*(1-'P-Parametri'!$B$19))&lt;='P-Parametri'!$B$6,'P-Parametri'!$B$13+'P-Parametri'!$C$13*('P-Parametri'!$B$6-(C40*(1-'P-Parametri'!$B$19)))/'P-Parametri'!$D$13,IF((C40*(1-'P-Parametri'!$B$19))&lt;='P-Parametri'!$B$7,'P-Parametri'!$B$14*('P-Parametri'!$B$7-(C40*(1-'P-Parametri'!$B$19)))/'P-Parametri'!$C$14,0))))-(IF((C40*(1-'P-Parametri'!$B$19))&lt;='P-Parametri'!$C$15,0,IF((C40*(1-'P-Parametri'!$B$19))&lt;='P-Parametri'!$D$15,'P-Parametri'!$B$15,IF((C40*(1-'P-Parametri'!$B$19))&lt;'P-Parametri'!$E$15,'P-Parametri'!$B$15*('P-Parametri'!$E$15-(C40*(1-'P-Parametri'!$B$19)))/('P-Parametri'!$E$15-'P-Parametri'!$D$15),0)))))&gt;0,'P-Parametri'!$B$20*(C40*(1-'P-Parametri'!$B$19)),0))+(IF(AND((C40*(1-'P-Parametri'!$B$19))&lt;='P-Parametri'!$C$16,(IF((C40*(1-'P-Parametri'!$B$19))&lt;='P-Parametri'!$B$6,'P-Parametri'!$C$6*(C40*(1-'P-Parametri'!$B$19)),IF((C40*(1-'P-Parametri'!$B$19))&lt;='P-Parametri'!$B$7,'P-Parametri'!$B$9+'P-Parametri'!$C$7*((C40*(1-'P-Parametri'!$B$19))-'P-Parametri'!$B$6),'P-Parametri'!$B$10+'P-Parametri'!$C$8*((C40*(1-'P-Parametri'!$B$19))-'P-Parametri'!$B$7))))&gt;(IF((C40*(1-'P-Parametri'!$B$19))&lt;='P-Parametri'!$C$12,'P-Parametri'!$B$12,IF((C40*(1-'P-Parametri'!$B$19))&lt;='P-Parametri'!$B$6,'P-Parametri'!$B$13+'P-Parametri'!$C$13*('P-Parametri'!$B$6-(C40*(1-'P-Parametri'!$B$19)))/'P-Parametri'!$D$13,IF((C40*(1-'P-Parametri'!$B$19))&lt;='P-Parametri'!$B$7,'P-Parametri'!$B$14*('P-Parametri'!$B$7-(C40*(1-'P-Parametri'!$B$19)))/'P-Parametri'!$C$14,0))))-'P-Parametri'!$D$16),'P-Parametri'!$B$16,0))+(IF((C40*(1-'P-Parametri'!$B$19))&gt;'P-Parametri'!$D$18,0,IF((C40*(1-'P-Parametri'!$B$19))&lt;='P-Parametri'!$B$18,'P-Parametri'!$B$17*(C40*(1-'P-Parametri'!$B$19)),IF((C40*(1-'P-Parametri'!$B$19))&lt;='P-Parametri'!$C$18,'P-Parametri'!$C$17*(C40*(1-'P-Parametri'!$B$19)),'P-Parametri'!$D$17*(C40*(1-'P-Parametri'!$B$19))))))</f>
        <v>22813.595692307692</v>
      </c>
      <c r="E40" s="7">
        <v>20000</v>
      </c>
      <c r="F40" s="9">
        <f t="shared" si="0"/>
        <v>2813.5956923076919</v>
      </c>
      <c r="G40" s="11">
        <f t="shared" si="1"/>
        <v>0.12332977800848739</v>
      </c>
      <c r="H40" s="9">
        <f>F40*(1+'1-Input'!$B$11)^(2025-A40)</f>
        <v>3166.7267394703563</v>
      </c>
    </row>
    <row r="41" spans="1:8">
      <c r="A41" s="13">
        <f>2022</f>
        <v>2022</v>
      </c>
      <c r="B41" s="13">
        <f>28</f>
        <v>28</v>
      </c>
      <c r="C41" s="7">
        <v>30500</v>
      </c>
      <c r="D41" s="9">
        <f>(C41*(1-'P-Parametri'!$B$19))-(MAX(0,(IF((C41*(1-'P-Parametri'!$B$19))&lt;='P-Parametri'!$B$6,'P-Parametri'!$C$6*(C41*(1-'P-Parametri'!$B$19)),IF((C41*(1-'P-Parametri'!$B$19))&lt;='P-Parametri'!$B$7,'P-Parametri'!$B$9+'P-Parametri'!$C$7*((C41*(1-'P-Parametri'!$B$19))-'P-Parametri'!$B$6),'P-Parametri'!$B$10+'P-Parametri'!$C$8*((C41*(1-'P-Parametri'!$B$19))-'P-Parametri'!$B$7))))-(IF((C41*(1-'P-Parametri'!$B$19))&lt;='P-Parametri'!$C$12,'P-Parametri'!$B$12,IF((C41*(1-'P-Parametri'!$B$19))&lt;='P-Parametri'!$B$6,'P-Parametri'!$B$13+'P-Parametri'!$C$13*('P-Parametri'!$B$6-(C41*(1-'P-Parametri'!$B$19)))/'P-Parametri'!$D$13,IF((C41*(1-'P-Parametri'!$B$19))&lt;='P-Parametri'!$B$7,'P-Parametri'!$B$14*('P-Parametri'!$B$7-(C41*(1-'P-Parametri'!$B$19)))/'P-Parametri'!$C$14,0))))-(IF((C41*(1-'P-Parametri'!$B$19))&lt;='P-Parametri'!$C$15,0,IF((C41*(1-'P-Parametri'!$B$19))&lt;='P-Parametri'!$D$15,'P-Parametri'!$B$15,IF((C41*(1-'P-Parametri'!$B$19))&lt;'P-Parametri'!$E$15,'P-Parametri'!$B$15*('P-Parametri'!$E$15-(C41*(1-'P-Parametri'!$B$19)))/('P-Parametri'!$E$15-'P-Parametri'!$D$15),0))))))-(IF(MAX(0,(IF((C41*(1-'P-Parametri'!$B$19))&lt;='P-Parametri'!$B$6,'P-Parametri'!$C$6*(C41*(1-'P-Parametri'!$B$19)),IF((C41*(1-'P-Parametri'!$B$19))&lt;='P-Parametri'!$B$7,'P-Parametri'!$B$9+'P-Parametri'!$C$7*((C41*(1-'P-Parametri'!$B$19))-'P-Parametri'!$B$6),'P-Parametri'!$B$10+'P-Parametri'!$C$8*((C41*(1-'P-Parametri'!$B$19))-'P-Parametri'!$B$7))))-(IF((C41*(1-'P-Parametri'!$B$19))&lt;='P-Parametri'!$C$12,'P-Parametri'!$B$12,IF((C41*(1-'P-Parametri'!$B$19))&lt;='P-Parametri'!$B$6,'P-Parametri'!$B$13+'P-Parametri'!$C$13*('P-Parametri'!$B$6-(C41*(1-'P-Parametri'!$B$19)))/'P-Parametri'!$D$13,IF((C41*(1-'P-Parametri'!$B$19))&lt;='P-Parametri'!$B$7,'P-Parametri'!$B$14*('P-Parametri'!$B$7-(C41*(1-'P-Parametri'!$B$19)))/'P-Parametri'!$C$14,0))))-(IF((C41*(1-'P-Parametri'!$B$19))&lt;='P-Parametri'!$C$15,0,IF((C41*(1-'P-Parametri'!$B$19))&lt;='P-Parametri'!$D$15,'P-Parametri'!$B$15,IF((C41*(1-'P-Parametri'!$B$19))&lt;'P-Parametri'!$E$15,'P-Parametri'!$B$15*('P-Parametri'!$E$15-(C41*(1-'P-Parametri'!$B$19)))/('P-Parametri'!$E$15-'P-Parametri'!$D$15),0)))))&gt;0,'P-Parametri'!$B$20*(C41*(1-'P-Parametri'!$B$19)),0))+(IF(AND((C41*(1-'P-Parametri'!$B$19))&lt;='P-Parametri'!$C$16,(IF((C41*(1-'P-Parametri'!$B$19))&lt;='P-Parametri'!$B$6,'P-Parametri'!$C$6*(C41*(1-'P-Parametri'!$B$19)),IF((C41*(1-'P-Parametri'!$B$19))&lt;='P-Parametri'!$B$7,'P-Parametri'!$B$9+'P-Parametri'!$C$7*((C41*(1-'P-Parametri'!$B$19))-'P-Parametri'!$B$6),'P-Parametri'!$B$10+'P-Parametri'!$C$8*((C41*(1-'P-Parametri'!$B$19))-'P-Parametri'!$B$7))))&gt;(IF((C41*(1-'P-Parametri'!$B$19))&lt;='P-Parametri'!$C$12,'P-Parametri'!$B$12,IF((C41*(1-'P-Parametri'!$B$19))&lt;='P-Parametri'!$B$6,'P-Parametri'!$B$13+'P-Parametri'!$C$13*('P-Parametri'!$B$6-(C41*(1-'P-Parametri'!$B$19)))/'P-Parametri'!$D$13,IF((C41*(1-'P-Parametri'!$B$19))&lt;='P-Parametri'!$B$7,'P-Parametri'!$B$14*('P-Parametri'!$B$7-(C41*(1-'P-Parametri'!$B$19)))/'P-Parametri'!$C$14,0))))-'P-Parametri'!$D$16),'P-Parametri'!$B$16,0))+(IF((C41*(1-'P-Parametri'!$B$19))&gt;'P-Parametri'!$D$18,0,IF((C41*(1-'P-Parametri'!$B$19))&lt;='P-Parametri'!$B$18,'P-Parametri'!$B$17*(C41*(1-'P-Parametri'!$B$19)),IF((C41*(1-'P-Parametri'!$B$19))&lt;='P-Parametri'!$C$18,'P-Parametri'!$C$17*(C41*(1-'P-Parametri'!$B$19)),'P-Parametri'!$D$17*(C41*(1-'P-Parametri'!$B$19))))))</f>
        <v>23710.519076923076</v>
      </c>
      <c r="E41" s="7">
        <v>20250</v>
      </c>
      <c r="F41" s="9">
        <f t="shared" si="0"/>
        <v>3460.5190769230758</v>
      </c>
      <c r="G41" s="11">
        <f t="shared" si="1"/>
        <v>0.1459486848725772</v>
      </c>
      <c r="H41" s="9">
        <f>F41*(1+'1-Input'!$B$11)^(2025-A41)</f>
        <v>3781.4026293689217</v>
      </c>
    </row>
    <row r="42" spans="1:8">
      <c r="A42" s="13">
        <f>2023</f>
        <v>2023</v>
      </c>
      <c r="B42" s="13">
        <f>29</f>
        <v>29</v>
      </c>
      <c r="C42" s="7">
        <v>32000</v>
      </c>
      <c r="D42" s="9">
        <f>(C42*(1-'P-Parametri'!$B$19))-(MAX(0,(IF((C42*(1-'P-Parametri'!$B$19))&lt;='P-Parametri'!$B$6,'P-Parametri'!$C$6*(C42*(1-'P-Parametri'!$B$19)),IF((C42*(1-'P-Parametri'!$B$19))&lt;='P-Parametri'!$B$7,'P-Parametri'!$B$9+'P-Parametri'!$C$7*((C42*(1-'P-Parametri'!$B$19))-'P-Parametri'!$B$6),'P-Parametri'!$B$10+'P-Parametri'!$C$8*((C42*(1-'P-Parametri'!$B$19))-'P-Parametri'!$B$7))))-(IF((C42*(1-'P-Parametri'!$B$19))&lt;='P-Parametri'!$C$12,'P-Parametri'!$B$12,IF((C42*(1-'P-Parametri'!$B$19))&lt;='P-Parametri'!$B$6,'P-Parametri'!$B$13+'P-Parametri'!$C$13*('P-Parametri'!$B$6-(C42*(1-'P-Parametri'!$B$19)))/'P-Parametri'!$D$13,IF((C42*(1-'P-Parametri'!$B$19))&lt;='P-Parametri'!$B$7,'P-Parametri'!$B$14*('P-Parametri'!$B$7-(C42*(1-'P-Parametri'!$B$19)))/'P-Parametri'!$C$14,0))))-(IF((C42*(1-'P-Parametri'!$B$19))&lt;='P-Parametri'!$C$15,0,IF((C42*(1-'P-Parametri'!$B$19))&lt;='P-Parametri'!$D$15,'P-Parametri'!$B$15,IF((C42*(1-'P-Parametri'!$B$19))&lt;'P-Parametri'!$E$15,'P-Parametri'!$B$15*('P-Parametri'!$E$15-(C42*(1-'P-Parametri'!$B$19)))/('P-Parametri'!$E$15-'P-Parametri'!$D$15),0))))))-(IF(MAX(0,(IF((C42*(1-'P-Parametri'!$B$19))&lt;='P-Parametri'!$B$6,'P-Parametri'!$C$6*(C42*(1-'P-Parametri'!$B$19)),IF((C42*(1-'P-Parametri'!$B$19))&lt;='P-Parametri'!$B$7,'P-Parametri'!$B$9+'P-Parametri'!$C$7*((C42*(1-'P-Parametri'!$B$19))-'P-Parametri'!$B$6),'P-Parametri'!$B$10+'P-Parametri'!$C$8*((C42*(1-'P-Parametri'!$B$19))-'P-Parametri'!$B$7))))-(IF((C42*(1-'P-Parametri'!$B$19))&lt;='P-Parametri'!$C$12,'P-Parametri'!$B$12,IF((C42*(1-'P-Parametri'!$B$19))&lt;='P-Parametri'!$B$6,'P-Parametri'!$B$13+'P-Parametri'!$C$13*('P-Parametri'!$B$6-(C42*(1-'P-Parametri'!$B$19)))/'P-Parametri'!$D$13,IF((C42*(1-'P-Parametri'!$B$19))&lt;='P-Parametri'!$B$7,'P-Parametri'!$B$14*('P-Parametri'!$B$7-(C42*(1-'P-Parametri'!$B$19)))/'P-Parametri'!$C$14,0))))-(IF((C42*(1-'P-Parametri'!$B$19))&lt;='P-Parametri'!$C$15,0,IF((C42*(1-'P-Parametri'!$B$19))&lt;='P-Parametri'!$D$15,'P-Parametri'!$B$15,IF((C42*(1-'P-Parametri'!$B$19))&lt;'P-Parametri'!$E$15,'P-Parametri'!$B$15*('P-Parametri'!$E$15-(C42*(1-'P-Parametri'!$B$19)))/('P-Parametri'!$E$15-'P-Parametri'!$D$15),0)))))&gt;0,'P-Parametri'!$B$20*(C42*(1-'P-Parametri'!$B$19)),0))+(IF(AND((C42*(1-'P-Parametri'!$B$19))&lt;='P-Parametri'!$C$16,(IF((C42*(1-'P-Parametri'!$B$19))&lt;='P-Parametri'!$B$6,'P-Parametri'!$C$6*(C42*(1-'P-Parametri'!$B$19)),IF((C42*(1-'P-Parametri'!$B$19))&lt;='P-Parametri'!$B$7,'P-Parametri'!$B$9+'P-Parametri'!$C$7*((C42*(1-'P-Parametri'!$B$19))-'P-Parametri'!$B$6),'P-Parametri'!$B$10+'P-Parametri'!$C$8*((C42*(1-'P-Parametri'!$B$19))-'P-Parametri'!$B$7))))&gt;(IF((C42*(1-'P-Parametri'!$B$19))&lt;='P-Parametri'!$C$12,'P-Parametri'!$B$12,IF((C42*(1-'P-Parametri'!$B$19))&lt;='P-Parametri'!$B$6,'P-Parametri'!$B$13+'P-Parametri'!$C$13*('P-Parametri'!$B$6-(C42*(1-'P-Parametri'!$B$19)))/'P-Parametri'!$D$13,IF((C42*(1-'P-Parametri'!$B$19))&lt;='P-Parametri'!$B$7,'P-Parametri'!$B$14*('P-Parametri'!$B$7-(C42*(1-'P-Parametri'!$B$19)))/'P-Parametri'!$C$14,0))))-'P-Parametri'!$D$16),'P-Parametri'!$B$16,0))+(IF((C42*(1-'P-Parametri'!$B$19))&gt;'P-Parametri'!$D$18,0,IF((C42*(1-'P-Parametri'!$B$19))&lt;='P-Parametri'!$B$18,'P-Parametri'!$B$17*(C42*(1-'P-Parametri'!$B$19)),IF((C42*(1-'P-Parametri'!$B$19))&lt;='P-Parametri'!$C$18,'P-Parametri'!$C$17*(C42*(1-'P-Parametri'!$B$19)),'P-Parametri'!$D$17*(C42*(1-'P-Parametri'!$B$19))))))</f>
        <v>24506.522181818182</v>
      </c>
      <c r="E42" s="7">
        <v>20500</v>
      </c>
      <c r="F42" s="9">
        <f t="shared" si="0"/>
        <v>4006.5221818181817</v>
      </c>
      <c r="G42" s="11">
        <f t="shared" si="1"/>
        <v>0.163487995240332</v>
      </c>
      <c r="H42" s="9">
        <f>F42*(1+'1-Input'!$B$11)^(2025-A42)</f>
        <v>4250.519382690909</v>
      </c>
    </row>
    <row r="43" spans="1:8">
      <c r="A43" s="13">
        <f>2024</f>
        <v>2024</v>
      </c>
      <c r="B43" s="13">
        <f>30</f>
        <v>30</v>
      </c>
      <c r="C43" s="7">
        <v>34000</v>
      </c>
      <c r="D43" s="9">
        <f>(C43*(1-'P-Parametri'!$B$19))-(MAX(0,(IF((C43*(1-'P-Parametri'!$B$19))&lt;='P-Parametri'!$B$6,'P-Parametri'!$C$6*(C43*(1-'P-Parametri'!$B$19)),IF((C43*(1-'P-Parametri'!$B$19))&lt;='P-Parametri'!$B$7,'P-Parametri'!$B$9+'P-Parametri'!$C$7*((C43*(1-'P-Parametri'!$B$19))-'P-Parametri'!$B$6),'P-Parametri'!$B$10+'P-Parametri'!$C$8*((C43*(1-'P-Parametri'!$B$19))-'P-Parametri'!$B$7))))-(IF((C43*(1-'P-Parametri'!$B$19))&lt;='P-Parametri'!$C$12,'P-Parametri'!$B$12,IF((C43*(1-'P-Parametri'!$B$19))&lt;='P-Parametri'!$B$6,'P-Parametri'!$B$13+'P-Parametri'!$C$13*('P-Parametri'!$B$6-(C43*(1-'P-Parametri'!$B$19)))/'P-Parametri'!$D$13,IF((C43*(1-'P-Parametri'!$B$19))&lt;='P-Parametri'!$B$7,'P-Parametri'!$B$14*('P-Parametri'!$B$7-(C43*(1-'P-Parametri'!$B$19)))/'P-Parametri'!$C$14,0))))-(IF((C43*(1-'P-Parametri'!$B$19))&lt;='P-Parametri'!$C$15,0,IF((C43*(1-'P-Parametri'!$B$19))&lt;='P-Parametri'!$D$15,'P-Parametri'!$B$15,IF((C43*(1-'P-Parametri'!$B$19))&lt;'P-Parametri'!$E$15,'P-Parametri'!$B$15*('P-Parametri'!$E$15-(C43*(1-'P-Parametri'!$B$19)))/('P-Parametri'!$E$15-'P-Parametri'!$D$15),0))))))-(IF(MAX(0,(IF((C43*(1-'P-Parametri'!$B$19))&lt;='P-Parametri'!$B$6,'P-Parametri'!$C$6*(C43*(1-'P-Parametri'!$B$19)),IF((C43*(1-'P-Parametri'!$B$19))&lt;='P-Parametri'!$B$7,'P-Parametri'!$B$9+'P-Parametri'!$C$7*((C43*(1-'P-Parametri'!$B$19))-'P-Parametri'!$B$6),'P-Parametri'!$B$10+'P-Parametri'!$C$8*((C43*(1-'P-Parametri'!$B$19))-'P-Parametri'!$B$7))))-(IF((C43*(1-'P-Parametri'!$B$19))&lt;='P-Parametri'!$C$12,'P-Parametri'!$B$12,IF((C43*(1-'P-Parametri'!$B$19))&lt;='P-Parametri'!$B$6,'P-Parametri'!$B$13+'P-Parametri'!$C$13*('P-Parametri'!$B$6-(C43*(1-'P-Parametri'!$B$19)))/'P-Parametri'!$D$13,IF((C43*(1-'P-Parametri'!$B$19))&lt;='P-Parametri'!$B$7,'P-Parametri'!$B$14*('P-Parametri'!$B$7-(C43*(1-'P-Parametri'!$B$19)))/'P-Parametri'!$C$14,0))))-(IF((C43*(1-'P-Parametri'!$B$19))&lt;='P-Parametri'!$C$15,0,IF((C43*(1-'P-Parametri'!$B$19))&lt;='P-Parametri'!$D$15,'P-Parametri'!$B$15,IF((C43*(1-'P-Parametri'!$B$19))&lt;'P-Parametri'!$E$15,'P-Parametri'!$B$15*('P-Parametri'!$E$15-(C43*(1-'P-Parametri'!$B$19)))/('P-Parametri'!$E$15-'P-Parametri'!$D$15),0)))))&gt;0,'P-Parametri'!$B$20*(C43*(1-'P-Parametri'!$B$19)),0))+(IF(AND((C43*(1-'P-Parametri'!$B$19))&lt;='P-Parametri'!$C$16,(IF((C43*(1-'P-Parametri'!$B$19))&lt;='P-Parametri'!$B$6,'P-Parametri'!$C$6*(C43*(1-'P-Parametri'!$B$19)),IF((C43*(1-'P-Parametri'!$B$19))&lt;='P-Parametri'!$B$7,'P-Parametri'!$B$9+'P-Parametri'!$C$7*((C43*(1-'P-Parametri'!$B$19))-'P-Parametri'!$B$6),'P-Parametri'!$B$10+'P-Parametri'!$C$8*((C43*(1-'P-Parametri'!$B$19))-'P-Parametri'!$B$7))))&gt;(IF((C43*(1-'P-Parametri'!$B$19))&lt;='P-Parametri'!$C$12,'P-Parametri'!$B$12,IF((C43*(1-'P-Parametri'!$B$19))&lt;='P-Parametri'!$B$6,'P-Parametri'!$B$13+'P-Parametri'!$C$13*('P-Parametri'!$B$6-(C43*(1-'P-Parametri'!$B$19)))/'P-Parametri'!$D$13,IF((C43*(1-'P-Parametri'!$B$19))&lt;='P-Parametri'!$B$7,'P-Parametri'!$B$14*('P-Parametri'!$B$7-(C43*(1-'P-Parametri'!$B$19)))/'P-Parametri'!$C$14,0))))-'P-Parametri'!$D$16),'P-Parametri'!$B$16,0))+(IF((C43*(1-'P-Parametri'!$B$19))&gt;'P-Parametri'!$D$18,0,IF((C43*(1-'P-Parametri'!$B$19))&lt;='P-Parametri'!$B$18,'P-Parametri'!$B$17*(C43*(1-'P-Parametri'!$B$19)),IF((C43*(1-'P-Parametri'!$B$19))&lt;='P-Parametri'!$C$18,'P-Parametri'!$C$17*(C43*(1-'P-Parametri'!$B$19)),'P-Parametri'!$D$17*(C43*(1-'P-Parametri'!$B$19))))))</f>
        <v>25529.373</v>
      </c>
      <c r="E43" s="7">
        <v>20750</v>
      </c>
      <c r="F43" s="9">
        <f t="shared" si="0"/>
        <v>4779.3729999999996</v>
      </c>
      <c r="G43" s="11">
        <f t="shared" si="1"/>
        <v>0.187210747400651</v>
      </c>
      <c r="H43" s="9">
        <f>F43*(1+'1-Input'!$B$11)^(2025-A43)</f>
        <v>4922.7541899999997</v>
      </c>
    </row>
    <row r="44" spans="1:8">
      <c r="A44" s="13">
        <f>2025</f>
        <v>2025</v>
      </c>
      <c r="B44" s="13">
        <f>31</f>
        <v>31</v>
      </c>
      <c r="C44" s="7">
        <v>36000</v>
      </c>
      <c r="D44" s="9">
        <f>(C44*(1-'P-Parametri'!$B$19))-(MAX(0,(IF((C44*(1-'P-Parametri'!$B$19))&lt;='P-Parametri'!$B$6,'P-Parametri'!$C$6*(C44*(1-'P-Parametri'!$B$19)),IF((C44*(1-'P-Parametri'!$B$19))&lt;='P-Parametri'!$B$7,'P-Parametri'!$B$9+'P-Parametri'!$C$7*((C44*(1-'P-Parametri'!$B$19))-'P-Parametri'!$B$6),'P-Parametri'!$B$10+'P-Parametri'!$C$8*((C44*(1-'P-Parametri'!$B$19))-'P-Parametri'!$B$7))))-(IF((C44*(1-'P-Parametri'!$B$19))&lt;='P-Parametri'!$C$12,'P-Parametri'!$B$12,IF((C44*(1-'P-Parametri'!$B$19))&lt;='P-Parametri'!$B$6,'P-Parametri'!$B$13+'P-Parametri'!$C$13*('P-Parametri'!$B$6-(C44*(1-'P-Parametri'!$B$19)))/'P-Parametri'!$D$13,IF((C44*(1-'P-Parametri'!$B$19))&lt;='P-Parametri'!$B$7,'P-Parametri'!$B$14*('P-Parametri'!$B$7-(C44*(1-'P-Parametri'!$B$19)))/'P-Parametri'!$C$14,0))))-(IF((C44*(1-'P-Parametri'!$B$19))&lt;='P-Parametri'!$C$15,0,IF((C44*(1-'P-Parametri'!$B$19))&lt;='P-Parametri'!$D$15,'P-Parametri'!$B$15,IF((C44*(1-'P-Parametri'!$B$19))&lt;'P-Parametri'!$E$15,'P-Parametri'!$B$15*('P-Parametri'!$E$15-(C44*(1-'P-Parametri'!$B$19)))/('P-Parametri'!$E$15-'P-Parametri'!$D$15),0))))))-(IF(MAX(0,(IF((C44*(1-'P-Parametri'!$B$19))&lt;='P-Parametri'!$B$6,'P-Parametri'!$C$6*(C44*(1-'P-Parametri'!$B$19)),IF((C44*(1-'P-Parametri'!$B$19))&lt;='P-Parametri'!$B$7,'P-Parametri'!$B$9+'P-Parametri'!$C$7*((C44*(1-'P-Parametri'!$B$19))-'P-Parametri'!$B$6),'P-Parametri'!$B$10+'P-Parametri'!$C$8*((C44*(1-'P-Parametri'!$B$19))-'P-Parametri'!$B$7))))-(IF((C44*(1-'P-Parametri'!$B$19))&lt;='P-Parametri'!$C$12,'P-Parametri'!$B$12,IF((C44*(1-'P-Parametri'!$B$19))&lt;='P-Parametri'!$B$6,'P-Parametri'!$B$13+'P-Parametri'!$C$13*('P-Parametri'!$B$6-(C44*(1-'P-Parametri'!$B$19)))/'P-Parametri'!$D$13,IF((C44*(1-'P-Parametri'!$B$19))&lt;='P-Parametri'!$B$7,'P-Parametri'!$B$14*('P-Parametri'!$B$7-(C44*(1-'P-Parametri'!$B$19)))/'P-Parametri'!$C$14,0))))-(IF((C44*(1-'P-Parametri'!$B$19))&lt;='P-Parametri'!$C$15,0,IF((C44*(1-'P-Parametri'!$B$19))&lt;='P-Parametri'!$D$15,'P-Parametri'!$B$15,IF((C44*(1-'P-Parametri'!$B$19))&lt;'P-Parametri'!$E$15,'P-Parametri'!$B$15*('P-Parametri'!$E$15-(C44*(1-'P-Parametri'!$B$19)))/('P-Parametri'!$E$15-'P-Parametri'!$D$15),0)))))&gt;0,'P-Parametri'!$B$20*(C44*(1-'P-Parametri'!$B$19)),0))+(IF(AND((C44*(1-'P-Parametri'!$B$19))&lt;='P-Parametri'!$C$16,(IF((C44*(1-'P-Parametri'!$B$19))&lt;='P-Parametri'!$B$6,'P-Parametri'!$C$6*(C44*(1-'P-Parametri'!$B$19)),IF((C44*(1-'P-Parametri'!$B$19))&lt;='P-Parametri'!$B$7,'P-Parametri'!$B$9+'P-Parametri'!$C$7*((C44*(1-'P-Parametri'!$B$19))-'P-Parametri'!$B$6),'P-Parametri'!$B$10+'P-Parametri'!$C$8*((C44*(1-'P-Parametri'!$B$19))-'P-Parametri'!$B$7))))&gt;(IF((C44*(1-'P-Parametri'!$B$19))&lt;='P-Parametri'!$C$12,'P-Parametri'!$B$12,IF((C44*(1-'P-Parametri'!$B$19))&lt;='P-Parametri'!$B$6,'P-Parametri'!$B$13+'P-Parametri'!$C$13*('P-Parametri'!$B$6-(C44*(1-'P-Parametri'!$B$19)))/'P-Parametri'!$D$13,IF((C44*(1-'P-Parametri'!$B$19))&lt;='P-Parametri'!$B$7,'P-Parametri'!$B$14*('P-Parametri'!$B$7-(C44*(1-'P-Parametri'!$B$19)))/'P-Parametri'!$C$14,0))))-'P-Parametri'!$D$16),'P-Parametri'!$B$16,0))+(IF((C44*(1-'P-Parametri'!$B$19))&gt;'P-Parametri'!$D$18,0,IF((C44*(1-'P-Parametri'!$B$19))&lt;='P-Parametri'!$B$18,'P-Parametri'!$B$17*(C44*(1-'P-Parametri'!$B$19)),IF((C44*(1-'P-Parametri'!$B$19))&lt;='P-Parametri'!$C$18,'P-Parametri'!$C$17*(C44*(1-'P-Parametri'!$B$19)),'P-Parametri'!$D$17*(C44*(1-'P-Parametri'!$B$19))))))</f>
        <v>26465.77381818182</v>
      </c>
      <c r="E44" s="7">
        <v>21000</v>
      </c>
      <c r="F44" s="9">
        <f t="shared" si="0"/>
        <v>5465.7738181818204</v>
      </c>
      <c r="G44" s="11">
        <f t="shared" si="1"/>
        <v>0.20652235055477078</v>
      </c>
      <c r="H44" s="9">
        <f>F44*(1+'1-Input'!$B$11)^(2025-A44)</f>
        <v>5465.7738181818204</v>
      </c>
    </row>
    <row r="45" spans="1:8">
      <c r="A45" s="6" t="s">
        <v>129</v>
      </c>
      <c r="H45" s="9">
        <f>SUM(H38:H44)</f>
        <v>25913.603485270924</v>
      </c>
    </row>
    <row r="46" spans="1:8">
      <c r="A46" s="6" t="s">
        <v>130</v>
      </c>
      <c r="H46" s="9">
        <f>'1-Input'!$B$8-H45</f>
        <v>86.396514729076443</v>
      </c>
    </row>
    <row r="47" spans="1:8" ht="60" customHeight="1">
      <c r="A47" s="40" t="s">
        <v>131</v>
      </c>
      <c r="B47" s="38"/>
      <c r="C47" s="38"/>
      <c r="D47" s="38"/>
      <c r="E47" s="38"/>
      <c r="F47" s="38"/>
      <c r="G47" s="38"/>
      <c r="H47" s="38"/>
    </row>
    <row r="49" spans="1:8">
      <c r="A49" s="41" t="s">
        <v>132</v>
      </c>
      <c r="B49" s="38"/>
      <c r="C49" s="38"/>
      <c r="D49" s="38"/>
      <c r="E49" s="38"/>
      <c r="F49" s="38"/>
      <c r="G49" s="38"/>
      <c r="H49" s="38"/>
    </row>
    <row r="50" spans="1:8">
      <c r="A50" s="6" t="s">
        <v>133</v>
      </c>
      <c r="B50" s="9">
        <f>'P-Parametri'!$B$33*12</f>
        <v>23184</v>
      </c>
    </row>
    <row r="51" spans="1:8">
      <c r="A51" s="6" t="s">
        <v>134</v>
      </c>
      <c r="B51" s="16">
        <f>'1-Input'!$B$7/('P-Parametri'!$B$33*12)</f>
        <v>0.90579710144927539</v>
      </c>
    </row>
    <row r="52" spans="1:8">
      <c r="A52" s="6" t="s">
        <v>135</v>
      </c>
      <c r="B52" s="13" t="str">
        <f>IF('1-Input'!$B$15="affitto","SI, ed è CONSERVATIVO: in affitto i 21.000 sono tutti cassa, mentre l'aggregato ISTAT include gli affitti figurativi di chi la casa ce l'ha","NO: con la casa di proprietà una parte dell'aggregato ISTAT non è un flusso monetario e il confronto va rifatto")</f>
        <v>SI, ed è CONSERVATIVO: in affitto i 21.000 sono tutti cassa, mentre l'aggregato ISTAT include gli affitti figurativi di chi la casa ce l'ha</v>
      </c>
    </row>
    <row r="53" spans="1:8" ht="45" customHeight="1">
      <c r="A53" s="40" t="s">
        <v>136</v>
      </c>
      <c r="B53" s="38"/>
      <c r="C53" s="38"/>
      <c r="D53" s="38"/>
      <c r="E53" s="38"/>
      <c r="F53" s="38"/>
      <c r="G53" s="38"/>
      <c r="H53" s="38"/>
    </row>
  </sheetData>
  <mergeCells count="9">
    <mergeCell ref="A1:H1"/>
    <mergeCell ref="A4:H4"/>
    <mergeCell ref="A3:H3"/>
    <mergeCell ref="A53:H53"/>
    <mergeCell ref="A2:H2"/>
    <mergeCell ref="A19:H19"/>
    <mergeCell ref="A36:H36"/>
    <mergeCell ref="A49:H49"/>
    <mergeCell ref="A47:H4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5"/>
  <sheetViews>
    <sheetView workbookViewId="0"/>
  </sheetViews>
  <sheetFormatPr defaultRowHeight="15"/>
  <cols>
    <col min="1" max="2" width="12" customWidth="1"/>
    <col min="3" max="4" width="13" customWidth="1"/>
    <col min="5" max="6" width="12" customWidth="1"/>
    <col min="7" max="7" width="11" customWidth="1"/>
    <col min="8" max="8" width="12" customWidth="1"/>
    <col min="9" max="9" width="13" customWidth="1"/>
    <col min="10" max="10" width="12" customWidth="1"/>
    <col min="11" max="12" width="13" customWidth="1"/>
    <col min="13" max="13" width="12" customWidth="1"/>
    <col min="14" max="15" width="13" customWidth="1"/>
    <col min="16" max="16" width="12" customWidth="1"/>
  </cols>
  <sheetData>
    <row r="1" spans="1:16" ht="24.95" customHeight="1">
      <c r="A1" s="39" t="s">
        <v>137</v>
      </c>
      <c r="B1" s="38"/>
      <c r="C1" s="38"/>
      <c r="D1" s="38"/>
      <c r="E1" s="38"/>
      <c r="F1" s="38"/>
      <c r="G1" s="38"/>
      <c r="H1" s="38"/>
      <c r="I1" s="38"/>
      <c r="J1" s="38"/>
      <c r="K1" s="38"/>
      <c r="L1" s="38"/>
      <c r="M1" s="38"/>
      <c r="N1" s="38"/>
      <c r="O1" s="38"/>
      <c r="P1" s="38"/>
    </row>
    <row r="2" spans="1:16" ht="32.1" customHeight="1">
      <c r="A2" s="37" t="s">
        <v>1</v>
      </c>
      <c r="B2" s="38"/>
      <c r="C2" s="38"/>
      <c r="D2" s="38"/>
      <c r="E2" s="38"/>
      <c r="F2" s="38"/>
      <c r="G2" s="38"/>
      <c r="H2" s="38"/>
      <c r="I2" s="38"/>
      <c r="J2" s="38"/>
      <c r="K2" s="38"/>
      <c r="L2" s="38"/>
      <c r="M2" s="38"/>
      <c r="N2" s="38"/>
      <c r="O2" s="38"/>
      <c r="P2" s="38"/>
    </row>
    <row r="3" spans="1:16" ht="45" customHeight="1">
      <c r="A3" s="40" t="s">
        <v>138</v>
      </c>
      <c r="B3" s="38"/>
      <c r="C3" s="38"/>
      <c r="D3" s="38"/>
      <c r="E3" s="38"/>
      <c r="F3" s="38"/>
      <c r="G3" s="38"/>
      <c r="H3" s="38"/>
      <c r="I3" s="38"/>
      <c r="J3" s="38"/>
      <c r="K3" s="38"/>
      <c r="L3" s="38"/>
      <c r="M3" s="38"/>
      <c r="N3" s="38"/>
      <c r="O3" s="38"/>
      <c r="P3" s="38"/>
    </row>
    <row r="4" spans="1:16" ht="60" customHeight="1">
      <c r="A4" s="40" t="s">
        <v>139</v>
      </c>
      <c r="B4" s="38"/>
      <c r="C4" s="38"/>
      <c r="D4" s="38"/>
      <c r="E4" s="38"/>
      <c r="F4" s="38"/>
      <c r="G4" s="38"/>
      <c r="H4" s="38"/>
      <c r="I4" s="38"/>
      <c r="J4" s="38"/>
      <c r="K4" s="38"/>
      <c r="L4" s="38"/>
      <c r="M4" s="38"/>
      <c r="N4" s="38"/>
      <c r="O4" s="38"/>
      <c r="P4" s="38"/>
    </row>
    <row r="7" spans="1:16" ht="30">
      <c r="A7" s="15" t="s">
        <v>123</v>
      </c>
      <c r="B7" s="15" t="s">
        <v>140</v>
      </c>
      <c r="C7" s="15" t="s">
        <v>141</v>
      </c>
      <c r="D7" s="15" t="s">
        <v>142</v>
      </c>
      <c r="E7" s="15" t="s">
        <v>143</v>
      </c>
      <c r="F7" s="15" t="s">
        <v>144</v>
      </c>
      <c r="G7" s="15" t="s">
        <v>145</v>
      </c>
      <c r="H7" s="15" t="s">
        <v>146</v>
      </c>
      <c r="I7" s="15" t="s">
        <v>147</v>
      </c>
      <c r="J7" s="15" t="s">
        <v>148</v>
      </c>
      <c r="K7" s="15" t="s">
        <v>149</v>
      </c>
      <c r="L7" s="15" t="s">
        <v>150</v>
      </c>
      <c r="M7" s="15" t="s">
        <v>151</v>
      </c>
      <c r="N7" s="15" t="s">
        <v>152</v>
      </c>
      <c r="O7" s="15" t="s">
        <v>153</v>
      </c>
    </row>
    <row r="8" spans="1:16">
      <c r="A8" s="17">
        <f>15000</f>
        <v>15000</v>
      </c>
      <c r="B8" s="9">
        <f>'P-Parametri'!$B$19*$A8</f>
        <v>1378.5</v>
      </c>
      <c r="C8" s="9">
        <f t="shared" ref="C8:C39" si="0">$A8-B8</f>
        <v>13621.5</v>
      </c>
      <c r="D8" s="9">
        <f>IF($C8&lt;='P-Parametri'!$B$6,'P-Parametri'!$C$6*$C8,IF($C8&lt;='P-Parametri'!$B$7,'P-Parametri'!$B$9+'P-Parametri'!$C$7*($C8-'P-Parametri'!$B$6),'P-Parametri'!$B$10+'P-Parametri'!$C$8*($C8-'P-Parametri'!$B$7)))</f>
        <v>3132.9450000000002</v>
      </c>
      <c r="E8" s="9">
        <f>IF($C8&lt;='P-Parametri'!$C$12,'P-Parametri'!$B$12,IF($C8&lt;='P-Parametri'!$B$6,'P-Parametri'!$B$13+'P-Parametri'!$C$13*('P-Parametri'!$B$6-$C8)/'P-Parametri'!$D$13,IF($C8&lt;='P-Parametri'!$B$7,'P-Parametri'!$B$14*('P-Parametri'!$B$7-$C8)/'P-Parametri'!$C$14,0)))</f>
        <v>1955</v>
      </c>
      <c r="F8" s="9">
        <f>IF($C8&lt;='P-Parametri'!$C$15,0,IF($C8&lt;='P-Parametri'!$D$15,'P-Parametri'!$B$15,IF($C8&lt;'P-Parametri'!$E$15,'P-Parametri'!$B$15*('P-Parametri'!$E$15-$C8)/('P-Parametri'!$E$15-'P-Parametri'!$D$15),0)))</f>
        <v>1000</v>
      </c>
      <c r="G8" s="9">
        <f>IF($C8&gt;'P-Parametri'!$D$18,0,IF($C8&lt;='P-Parametri'!$B$18,'P-Parametri'!$B$17*$C8,IF($C8&lt;='P-Parametri'!$C$18,'P-Parametri'!$C$17*$C8,'P-Parametri'!$D$17*$C8)))</f>
        <v>721.93949999999995</v>
      </c>
      <c r="H8" s="9">
        <f>IF(AND($C8&lt;='P-Parametri'!$C$16,D8&gt;E8-'P-Parametri'!$D$16),'P-Parametri'!$B$16,0)</f>
        <v>1200</v>
      </c>
      <c r="I8" s="9">
        <f t="shared" ref="I8:I39" si="1">MAX(0,D8-E8-F8)</f>
        <v>177.94500000000016</v>
      </c>
      <c r="J8" s="9">
        <f>IF(I8&gt;0,'P-Parametri'!$B$20*$C8,0)</f>
        <v>272.43</v>
      </c>
      <c r="K8" s="9">
        <f t="shared" ref="K8:K39" si="2">$C8-I8-J8+H8+G8</f>
        <v>15093.0645</v>
      </c>
      <c r="L8" s="11">
        <f t="shared" ref="L8:L39" si="3">K8/$A8</f>
        <v>1.0062043000000001</v>
      </c>
      <c r="M8" s="11">
        <f t="shared" ref="M8:M39" si="4">1-(K10-K8)/1000</f>
        <v>0.27079570000000242</v>
      </c>
      <c r="N8" s="11">
        <f>'P-Parametri'!$B$19+(1-'P-Parametri'!$B$19)*((IF(($A8*(1-'P-Parametri'!$B$19))&lt;='P-Parametri'!$B$6,'P-Parametri'!$C$6,IF(($A8*(1-'P-Parametri'!$B$19))&lt;='P-Parametri'!$B$7,'P-Parametri'!$C$7,'P-Parametri'!$C$8)))+(IF(($A8*(1-'P-Parametri'!$B$19))&lt;='P-Parametri'!$C$12,0,IF(($A8*(1-'P-Parametri'!$B$19))&lt;='P-Parametri'!$B$6,'P-Parametri'!$C$13/'P-Parametri'!$D$13,IF(($A8*(1-'P-Parametri'!$B$19))&lt;='P-Parametri'!$B$7,'P-Parametri'!$B$14/'P-Parametri'!$C$14,0))))+(IF(AND(($A8*(1-'P-Parametri'!$B$19))&gt;'P-Parametri'!$D$15,($A8*(1-'P-Parametri'!$B$19))&lt;'P-Parametri'!$E$15),'P-Parametri'!$B$15/('P-Parametri'!$E$15-'P-Parametri'!$D$15),0))+'P-Parametri'!$B$20)</f>
        <v>0.31892500000000001</v>
      </c>
      <c r="O8" s="11">
        <f t="shared" ref="O8:O39" si="5">M8-N8</f>
        <v>-4.8129299999997599E-2</v>
      </c>
    </row>
    <row r="9" spans="1:16">
      <c r="A9" s="17">
        <f>15500</f>
        <v>15500</v>
      </c>
      <c r="B9" s="9">
        <f>'P-Parametri'!$B$19*$A9</f>
        <v>1424.4499999999998</v>
      </c>
      <c r="C9" s="9">
        <f t="shared" si="0"/>
        <v>14075.55</v>
      </c>
      <c r="D9" s="9">
        <f>IF($C9&lt;='P-Parametri'!$B$6,'P-Parametri'!$C$6*$C9,IF($C9&lt;='P-Parametri'!$B$7,'P-Parametri'!$B$9+'P-Parametri'!$C$7*($C9-'P-Parametri'!$B$6),'P-Parametri'!$B$10+'P-Parametri'!$C$8*($C9-'P-Parametri'!$B$7)))</f>
        <v>3237.3764999999999</v>
      </c>
      <c r="E9" s="9">
        <f>IF($C9&lt;='P-Parametri'!$C$12,'P-Parametri'!$B$12,IF($C9&lt;='P-Parametri'!$B$6,'P-Parametri'!$B$13+'P-Parametri'!$C$13*('P-Parametri'!$B$6-$C9)/'P-Parametri'!$D$13,IF($C9&lt;='P-Parametri'!$B$7,'P-Parametri'!$B$14*('P-Parametri'!$B$7-$C9)/'P-Parametri'!$C$14,0)))</f>
        <v>1955</v>
      </c>
      <c r="F9" s="9">
        <f>IF($C9&lt;='P-Parametri'!$C$15,0,IF($C9&lt;='P-Parametri'!$D$15,'P-Parametri'!$B$15,IF($C9&lt;'P-Parametri'!$E$15,'P-Parametri'!$B$15*('P-Parametri'!$E$15-$C9)/('P-Parametri'!$E$15-'P-Parametri'!$D$15),0)))</f>
        <v>1000</v>
      </c>
      <c r="G9" s="9">
        <f>IF($C9&gt;'P-Parametri'!$D$18,0,IF($C9&lt;='P-Parametri'!$B$18,'P-Parametri'!$B$17*$C9,IF($C9&lt;='P-Parametri'!$C$18,'P-Parametri'!$C$17*$C9,'P-Parametri'!$D$17*$C9)))</f>
        <v>746.00414999999998</v>
      </c>
      <c r="H9" s="9">
        <f>IF(AND($C9&lt;='P-Parametri'!$C$16,D9&gt;E9-'P-Parametri'!$D$16),'P-Parametri'!$B$16,0)</f>
        <v>1200</v>
      </c>
      <c r="I9" s="9">
        <f t="shared" si="1"/>
        <v>282.37649999999985</v>
      </c>
      <c r="J9" s="9">
        <f>IF(I9&gt;0,'P-Parametri'!$B$20*$C9,0)</f>
        <v>281.51099999999997</v>
      </c>
      <c r="K9" s="9">
        <f t="shared" si="2"/>
        <v>15457.666649999999</v>
      </c>
      <c r="L9" s="11">
        <f t="shared" si="3"/>
        <v>0.99726881612903218</v>
      </c>
      <c r="M9" s="11">
        <f t="shared" si="4"/>
        <v>0.27079570000000053</v>
      </c>
      <c r="N9" s="11">
        <f>'P-Parametri'!$B$19+(1-'P-Parametri'!$B$19)*((IF(($A9*(1-'P-Parametri'!$B$19))&lt;='P-Parametri'!$B$6,'P-Parametri'!$C$6,IF(($A9*(1-'P-Parametri'!$B$19))&lt;='P-Parametri'!$B$7,'P-Parametri'!$C$7,'P-Parametri'!$C$8)))+(IF(($A9*(1-'P-Parametri'!$B$19))&lt;='P-Parametri'!$C$12,0,IF(($A9*(1-'P-Parametri'!$B$19))&lt;='P-Parametri'!$B$6,'P-Parametri'!$C$13/'P-Parametri'!$D$13,IF(($A9*(1-'P-Parametri'!$B$19))&lt;='P-Parametri'!$B$7,'P-Parametri'!$B$14/'P-Parametri'!$C$14,0))))+(IF(AND(($A9*(1-'P-Parametri'!$B$19))&gt;'P-Parametri'!$D$15,($A9*(1-'P-Parametri'!$B$19))&lt;'P-Parametri'!$E$15),'P-Parametri'!$B$15/('P-Parametri'!$E$15-'P-Parametri'!$D$15),0))+'P-Parametri'!$B$20)</f>
        <v>0.31892500000000001</v>
      </c>
      <c r="O9" s="11">
        <f t="shared" si="5"/>
        <v>-4.8129299999999486E-2</v>
      </c>
    </row>
    <row r="10" spans="1:16">
      <c r="A10" s="17">
        <f>16000</f>
        <v>16000</v>
      </c>
      <c r="B10" s="9">
        <f>'P-Parametri'!$B$19*$A10</f>
        <v>1470.3999999999999</v>
      </c>
      <c r="C10" s="9">
        <f t="shared" si="0"/>
        <v>14529.6</v>
      </c>
      <c r="D10" s="9">
        <f>IF($C10&lt;='P-Parametri'!$B$6,'P-Parametri'!$C$6*$C10,IF($C10&lt;='P-Parametri'!$B$7,'P-Parametri'!$B$9+'P-Parametri'!$C$7*($C10-'P-Parametri'!$B$6),'P-Parametri'!$B$10+'P-Parametri'!$C$8*($C10-'P-Parametri'!$B$7)))</f>
        <v>3341.8080000000004</v>
      </c>
      <c r="E10" s="9">
        <f>IF($C10&lt;='P-Parametri'!$C$12,'P-Parametri'!$B$12,IF($C10&lt;='P-Parametri'!$B$6,'P-Parametri'!$B$13+'P-Parametri'!$C$13*('P-Parametri'!$B$6-$C10)/'P-Parametri'!$D$13,IF($C10&lt;='P-Parametri'!$B$7,'P-Parametri'!$B$14*('P-Parametri'!$B$7-$C10)/'P-Parametri'!$C$14,0)))</f>
        <v>1955</v>
      </c>
      <c r="F10" s="9">
        <f>IF($C10&lt;='P-Parametri'!$C$15,0,IF($C10&lt;='P-Parametri'!$D$15,'P-Parametri'!$B$15,IF($C10&lt;'P-Parametri'!$E$15,'P-Parametri'!$B$15*('P-Parametri'!$E$15-$C10)/('P-Parametri'!$E$15-'P-Parametri'!$D$15),0)))</f>
        <v>1000</v>
      </c>
      <c r="G10" s="9">
        <f>IF($C10&gt;'P-Parametri'!$D$18,0,IF($C10&lt;='P-Parametri'!$B$18,'P-Parametri'!$B$17*$C10,IF($C10&lt;='P-Parametri'!$C$18,'P-Parametri'!$C$17*$C10,'P-Parametri'!$D$17*$C10)))</f>
        <v>770.06880000000001</v>
      </c>
      <c r="H10" s="9">
        <f>IF(AND($C10&lt;='P-Parametri'!$C$16,D10&gt;E10-'P-Parametri'!$D$16),'P-Parametri'!$B$16,0)</f>
        <v>1200</v>
      </c>
      <c r="I10" s="9">
        <f t="shared" si="1"/>
        <v>386.80800000000045</v>
      </c>
      <c r="J10" s="9">
        <f>IF(I10&gt;0,'P-Parametri'!$B$20*$C10,0)</f>
        <v>290.59200000000004</v>
      </c>
      <c r="K10" s="9">
        <f t="shared" si="2"/>
        <v>15822.268799999998</v>
      </c>
      <c r="L10" s="11">
        <f t="shared" si="3"/>
        <v>0.98889179999999988</v>
      </c>
      <c r="M10" s="11">
        <f t="shared" si="4"/>
        <v>0.64355919999999789</v>
      </c>
      <c r="N10" s="11">
        <f>'P-Parametri'!$B$19+(1-'P-Parametri'!$B$19)*((IF(($A10*(1-'P-Parametri'!$B$19))&lt;='P-Parametri'!$B$6,'P-Parametri'!$C$6,IF(($A10*(1-'P-Parametri'!$B$19))&lt;='P-Parametri'!$B$7,'P-Parametri'!$C$7,'P-Parametri'!$C$8)))+(IF(($A10*(1-'P-Parametri'!$B$19))&lt;='P-Parametri'!$C$12,0,IF(($A10*(1-'P-Parametri'!$B$19))&lt;='P-Parametri'!$B$6,'P-Parametri'!$C$13/'P-Parametri'!$D$13,IF(($A10*(1-'P-Parametri'!$B$19))&lt;='P-Parametri'!$B$7,'P-Parametri'!$B$14/'P-Parametri'!$C$14,0))))+(IF(AND(($A10*(1-'P-Parametri'!$B$19))&gt;'P-Parametri'!$D$15,($A10*(1-'P-Parametri'!$B$19))&lt;'P-Parametri'!$E$15),'P-Parametri'!$B$15/('P-Parametri'!$E$15-'P-Parametri'!$D$15),0))+'P-Parametri'!$B$20)</f>
        <v>0.31892500000000001</v>
      </c>
      <c r="O10" s="11">
        <f t="shared" si="5"/>
        <v>0.32463419999999787</v>
      </c>
    </row>
    <row r="11" spans="1:16">
      <c r="A11" s="17">
        <f>16500</f>
        <v>16500</v>
      </c>
      <c r="B11" s="9">
        <f>'P-Parametri'!$B$19*$A11</f>
        <v>1516.35</v>
      </c>
      <c r="C11" s="9">
        <f t="shared" si="0"/>
        <v>14983.65</v>
      </c>
      <c r="D11" s="9">
        <f>IF($C11&lt;='P-Parametri'!$B$6,'P-Parametri'!$C$6*$C11,IF($C11&lt;='P-Parametri'!$B$7,'P-Parametri'!$B$9+'P-Parametri'!$C$7*($C11-'P-Parametri'!$B$6),'P-Parametri'!$B$10+'P-Parametri'!$C$8*($C11-'P-Parametri'!$B$7)))</f>
        <v>3446.2395000000001</v>
      </c>
      <c r="E11" s="9">
        <f>IF($C11&lt;='P-Parametri'!$C$12,'P-Parametri'!$B$12,IF($C11&lt;='P-Parametri'!$B$6,'P-Parametri'!$B$13+'P-Parametri'!$C$13*('P-Parametri'!$B$6-$C11)/'P-Parametri'!$D$13,IF($C11&lt;='P-Parametri'!$B$7,'P-Parametri'!$B$14*('P-Parametri'!$B$7-$C11)/'P-Parametri'!$C$14,0)))</f>
        <v>1955</v>
      </c>
      <c r="F11" s="9">
        <f>IF($C11&lt;='P-Parametri'!$C$15,0,IF($C11&lt;='P-Parametri'!$D$15,'P-Parametri'!$B$15,IF($C11&lt;'P-Parametri'!$E$15,'P-Parametri'!$B$15*('P-Parametri'!$E$15-$C11)/('P-Parametri'!$E$15-'P-Parametri'!$D$15),0)))</f>
        <v>1000</v>
      </c>
      <c r="G11" s="9">
        <f>IF($C11&gt;'P-Parametri'!$D$18,0,IF($C11&lt;='P-Parametri'!$B$18,'P-Parametri'!$B$17*$C11,IF($C11&lt;='P-Parametri'!$C$18,'P-Parametri'!$C$17*$C11,'P-Parametri'!$D$17*$C11)))</f>
        <v>794.13344999999993</v>
      </c>
      <c r="H11" s="9">
        <f>IF(AND($C11&lt;='P-Parametri'!$C$16,D11&gt;E11-'P-Parametri'!$D$16),'P-Parametri'!$B$16,0)</f>
        <v>1200</v>
      </c>
      <c r="I11" s="9">
        <f t="shared" si="1"/>
        <v>491.23950000000013</v>
      </c>
      <c r="J11" s="9">
        <f>IF(I11&gt;0,'P-Parametri'!$B$20*$C11,0)</f>
        <v>299.673</v>
      </c>
      <c r="K11" s="9">
        <f t="shared" si="2"/>
        <v>16186.870949999999</v>
      </c>
      <c r="L11" s="11">
        <f t="shared" si="3"/>
        <v>0.98102248181818175</v>
      </c>
      <c r="M11" s="11">
        <f t="shared" si="4"/>
        <v>0.53231694999999857</v>
      </c>
      <c r="N11" s="11">
        <f>'P-Parametri'!$B$19+(1-'P-Parametri'!$B$19)*((IF(($A11*(1-'P-Parametri'!$B$19))&lt;='P-Parametri'!$B$6,'P-Parametri'!$C$6,IF(($A11*(1-'P-Parametri'!$B$19))&lt;='P-Parametri'!$B$7,'P-Parametri'!$C$7,'P-Parametri'!$C$8)))+(IF(($A11*(1-'P-Parametri'!$B$19))&lt;='P-Parametri'!$C$12,0,IF(($A11*(1-'P-Parametri'!$B$19))&lt;='P-Parametri'!$B$6,'P-Parametri'!$C$13/'P-Parametri'!$D$13,IF(($A11*(1-'P-Parametri'!$B$19))&lt;='P-Parametri'!$B$7,'P-Parametri'!$B$14/'P-Parametri'!$C$14,0))))+(IF(AND(($A11*(1-'P-Parametri'!$B$19))&gt;'P-Parametri'!$D$15,($A11*(1-'P-Parametri'!$B$19))&lt;'P-Parametri'!$E$15),'P-Parametri'!$B$15/('P-Parametri'!$E$15-'P-Parametri'!$D$15),0))+'P-Parametri'!$B$20)</f>
        <v>0.31892500000000001</v>
      </c>
      <c r="O11" s="11">
        <f t="shared" si="5"/>
        <v>0.21339194999999855</v>
      </c>
    </row>
    <row r="12" spans="1:16">
      <c r="A12" s="17">
        <f>17000</f>
        <v>17000</v>
      </c>
      <c r="B12" s="9">
        <f>'P-Parametri'!$B$19*$A12</f>
        <v>1562.3</v>
      </c>
      <c r="C12" s="9">
        <f t="shared" si="0"/>
        <v>15437.7</v>
      </c>
      <c r="D12" s="9">
        <f>IF($C12&lt;='P-Parametri'!$B$6,'P-Parametri'!$C$6*$C12,IF($C12&lt;='P-Parametri'!$B$7,'P-Parametri'!$B$9+'P-Parametri'!$C$7*($C12-'P-Parametri'!$B$6),'P-Parametri'!$B$10+'P-Parametri'!$C$8*($C12-'P-Parametri'!$B$7)))</f>
        <v>3550.6710000000003</v>
      </c>
      <c r="E12" s="9">
        <f>IF($C12&lt;='P-Parametri'!$C$12,'P-Parametri'!$B$12,IF($C12&lt;='P-Parametri'!$B$6,'P-Parametri'!$B$13+'P-Parametri'!$C$13*('P-Parametri'!$B$6-$C12)/'P-Parametri'!$D$13,IF($C12&lt;='P-Parametri'!$B$7,'P-Parametri'!$B$14*('P-Parametri'!$B$7-$C12)/'P-Parametri'!$C$14,0)))</f>
        <v>3059.9336153846152</v>
      </c>
      <c r="F12" s="9">
        <f>IF($C12&lt;='P-Parametri'!$C$15,0,IF($C12&lt;='P-Parametri'!$D$15,'P-Parametri'!$B$15,IF($C12&lt;'P-Parametri'!$E$15,'P-Parametri'!$B$15*('P-Parametri'!$E$15-$C12)/('P-Parametri'!$E$15-'P-Parametri'!$D$15),0)))</f>
        <v>1000</v>
      </c>
      <c r="G12" s="9">
        <f>IF($C12&gt;'P-Parametri'!$D$18,0,IF($C12&lt;='P-Parametri'!$B$18,'P-Parametri'!$B$17*$C12,IF($C12&lt;='P-Parametri'!$C$18,'P-Parametri'!$C$17*$C12,'P-Parametri'!$D$17*$C12)))</f>
        <v>741.00960000000009</v>
      </c>
      <c r="H12" s="9">
        <f>IF(AND($C12&lt;='P-Parametri'!$C$16,D12&gt;E12-'P-Parametri'!$D$16),'P-Parametri'!$B$16,0)</f>
        <v>0</v>
      </c>
      <c r="I12" s="9">
        <f t="shared" si="1"/>
        <v>0</v>
      </c>
      <c r="J12" s="9">
        <f>IF(I12&gt;0,'P-Parametri'!$B$20*$C12,0)</f>
        <v>0</v>
      </c>
      <c r="K12" s="9">
        <f t="shared" si="2"/>
        <v>16178.7096</v>
      </c>
      <c r="L12" s="11">
        <f t="shared" si="3"/>
        <v>0.9516888</v>
      </c>
      <c r="M12" s="11">
        <f t="shared" si="4"/>
        <v>4.8311200000001886E-2</v>
      </c>
      <c r="N12" s="11">
        <f>'P-Parametri'!$B$19+(1-'P-Parametri'!$B$19)*((IF(($A12*(1-'P-Parametri'!$B$19))&lt;='P-Parametri'!$B$6,'P-Parametri'!$C$6,IF(($A12*(1-'P-Parametri'!$B$19))&lt;='P-Parametri'!$B$7,'P-Parametri'!$C$7,'P-Parametri'!$C$8)))+(IF(($A12*(1-'P-Parametri'!$B$19))&lt;='P-Parametri'!$C$12,0,IF(($A12*(1-'P-Parametri'!$B$19))&lt;='P-Parametri'!$B$6,'P-Parametri'!$C$13/'P-Parametri'!$D$13,IF(($A12*(1-'P-Parametri'!$B$19))&lt;='P-Parametri'!$B$7,'P-Parametri'!$B$14/'P-Parametri'!$C$14,0))))+(IF(AND(($A12*(1-'P-Parametri'!$B$19))&gt;'P-Parametri'!$D$15,($A12*(1-'P-Parametri'!$B$19))&lt;'P-Parametri'!$E$15),'P-Parametri'!$B$15/('P-Parametri'!$E$15-'P-Parametri'!$D$15),0))+'P-Parametri'!$B$20)</f>
        <v>0.40205107692307696</v>
      </c>
      <c r="O12" s="11">
        <f t="shared" si="5"/>
        <v>-0.35373987692307507</v>
      </c>
    </row>
    <row r="13" spans="1:16">
      <c r="A13" s="17">
        <f>17500</f>
        <v>17500</v>
      </c>
      <c r="B13" s="9">
        <f>'P-Parametri'!$B$19*$A13</f>
        <v>1608.25</v>
      </c>
      <c r="C13" s="9">
        <f t="shared" si="0"/>
        <v>15891.75</v>
      </c>
      <c r="D13" s="9">
        <f>IF($C13&lt;='P-Parametri'!$B$6,'P-Parametri'!$C$6*$C13,IF($C13&lt;='P-Parametri'!$B$7,'P-Parametri'!$B$9+'P-Parametri'!$C$7*($C13-'P-Parametri'!$B$6),'P-Parametri'!$B$10+'P-Parametri'!$C$8*($C13-'P-Parametri'!$B$7)))</f>
        <v>3655.1025</v>
      </c>
      <c r="E13" s="9">
        <f>IF($C13&lt;='P-Parametri'!$C$12,'P-Parametri'!$B$12,IF($C13&lt;='P-Parametri'!$B$6,'P-Parametri'!$B$13+'P-Parametri'!$C$13*('P-Parametri'!$B$6-$C13)/'P-Parametri'!$D$13,IF($C13&lt;='P-Parametri'!$B$7,'P-Parametri'!$B$14*('P-Parametri'!$B$7-$C13)/'P-Parametri'!$C$14,0)))</f>
        <v>3018.3705769230769</v>
      </c>
      <c r="F13" s="9">
        <f>IF($C13&lt;='P-Parametri'!$C$15,0,IF($C13&lt;='P-Parametri'!$D$15,'P-Parametri'!$B$15,IF($C13&lt;'P-Parametri'!$E$15,'P-Parametri'!$B$15*('P-Parametri'!$E$15-$C13)/('P-Parametri'!$E$15-'P-Parametri'!$D$15),0)))</f>
        <v>1000</v>
      </c>
      <c r="G13" s="9">
        <f>IF($C13&gt;'P-Parametri'!$D$18,0,IF($C13&lt;='P-Parametri'!$B$18,'P-Parametri'!$B$17*$C13,IF($C13&lt;='P-Parametri'!$C$18,'P-Parametri'!$C$17*$C13,'P-Parametri'!$D$17*$C13)))</f>
        <v>762.80399999999997</v>
      </c>
      <c r="H13" s="9">
        <f>IF(AND($C13&lt;='P-Parametri'!$C$16,D13&gt;E13-'P-Parametri'!$D$16),'P-Parametri'!$B$16,0)</f>
        <v>0</v>
      </c>
      <c r="I13" s="9">
        <f t="shared" si="1"/>
        <v>0</v>
      </c>
      <c r="J13" s="9">
        <f>IF(I13&gt;0,'P-Parametri'!$B$20*$C13,0)</f>
        <v>0</v>
      </c>
      <c r="K13" s="9">
        <f t="shared" si="2"/>
        <v>16654.554</v>
      </c>
      <c r="L13" s="11">
        <f t="shared" si="3"/>
        <v>0.9516888</v>
      </c>
      <c r="M13" s="11">
        <f t="shared" si="4"/>
        <v>4.831120000000011E-2</v>
      </c>
      <c r="N13" s="11">
        <f>'P-Parametri'!$B$19+(1-'P-Parametri'!$B$19)*((IF(($A13*(1-'P-Parametri'!$B$19))&lt;='P-Parametri'!$B$6,'P-Parametri'!$C$6,IF(($A13*(1-'P-Parametri'!$B$19))&lt;='P-Parametri'!$B$7,'P-Parametri'!$C$7,'P-Parametri'!$C$8)))+(IF(($A13*(1-'P-Parametri'!$B$19))&lt;='P-Parametri'!$C$12,0,IF(($A13*(1-'P-Parametri'!$B$19))&lt;='P-Parametri'!$B$6,'P-Parametri'!$C$13/'P-Parametri'!$D$13,IF(($A13*(1-'P-Parametri'!$B$19))&lt;='P-Parametri'!$B$7,'P-Parametri'!$B$14/'P-Parametri'!$C$14,0))))+(IF(AND(($A13*(1-'P-Parametri'!$B$19))&gt;'P-Parametri'!$D$15,($A13*(1-'P-Parametri'!$B$19))&lt;'P-Parametri'!$E$15),'P-Parametri'!$B$15/('P-Parametri'!$E$15-'P-Parametri'!$D$15),0))+'P-Parametri'!$B$20)</f>
        <v>0.40205107692307696</v>
      </c>
      <c r="O13" s="11">
        <f t="shared" si="5"/>
        <v>-0.35373987692307685</v>
      </c>
    </row>
    <row r="14" spans="1:16">
      <c r="A14" s="17">
        <f>18000</f>
        <v>18000</v>
      </c>
      <c r="B14" s="9">
        <f>'P-Parametri'!$B$19*$A14</f>
        <v>1654.1999999999998</v>
      </c>
      <c r="C14" s="9">
        <f t="shared" si="0"/>
        <v>16345.8</v>
      </c>
      <c r="D14" s="9">
        <f>IF($C14&lt;='P-Parametri'!$B$6,'P-Parametri'!$C$6*$C14,IF($C14&lt;='P-Parametri'!$B$7,'P-Parametri'!$B$9+'P-Parametri'!$C$7*($C14-'P-Parametri'!$B$6),'P-Parametri'!$B$10+'P-Parametri'!$C$8*($C14-'P-Parametri'!$B$7)))</f>
        <v>3759.5340000000001</v>
      </c>
      <c r="E14" s="9">
        <f>IF($C14&lt;='P-Parametri'!$C$12,'P-Parametri'!$B$12,IF($C14&lt;='P-Parametri'!$B$6,'P-Parametri'!$B$13+'P-Parametri'!$C$13*('P-Parametri'!$B$6-$C14)/'P-Parametri'!$D$13,IF($C14&lt;='P-Parametri'!$B$7,'P-Parametri'!$B$14*('P-Parametri'!$B$7-$C14)/'P-Parametri'!$C$14,0)))</f>
        <v>2976.8075384615386</v>
      </c>
      <c r="F14" s="9">
        <f>IF($C14&lt;='P-Parametri'!$C$15,0,IF($C14&lt;='P-Parametri'!$D$15,'P-Parametri'!$B$15,IF($C14&lt;'P-Parametri'!$E$15,'P-Parametri'!$B$15*('P-Parametri'!$E$15-$C14)/('P-Parametri'!$E$15-'P-Parametri'!$D$15),0)))</f>
        <v>1000</v>
      </c>
      <c r="G14" s="9">
        <f>IF($C14&gt;'P-Parametri'!$D$18,0,IF($C14&lt;='P-Parametri'!$B$18,'P-Parametri'!$B$17*$C14,IF($C14&lt;='P-Parametri'!$C$18,'P-Parametri'!$C$17*$C14,'P-Parametri'!$D$17*$C14)))</f>
        <v>784.59839999999997</v>
      </c>
      <c r="H14" s="9">
        <f>IF(AND($C14&lt;='P-Parametri'!$C$16,D14&gt;E14-'P-Parametri'!$D$16),'P-Parametri'!$B$16,0)</f>
        <v>0</v>
      </c>
      <c r="I14" s="9">
        <f t="shared" si="1"/>
        <v>0</v>
      </c>
      <c r="J14" s="9">
        <f>IF(I14&gt;0,'P-Parametri'!$B$20*$C14,0)</f>
        <v>0</v>
      </c>
      <c r="K14" s="9">
        <f t="shared" si="2"/>
        <v>17130.398399999998</v>
      </c>
      <c r="L14" s="11">
        <f t="shared" si="3"/>
        <v>0.95168879999999989</v>
      </c>
      <c r="M14" s="11">
        <f t="shared" si="4"/>
        <v>0.46810473846153766</v>
      </c>
      <c r="N14" s="11">
        <f>'P-Parametri'!$B$19+(1-'P-Parametri'!$B$19)*((IF(($A14*(1-'P-Parametri'!$B$19))&lt;='P-Parametri'!$B$6,'P-Parametri'!$C$6,IF(($A14*(1-'P-Parametri'!$B$19))&lt;='P-Parametri'!$B$7,'P-Parametri'!$C$7,'P-Parametri'!$C$8)))+(IF(($A14*(1-'P-Parametri'!$B$19))&lt;='P-Parametri'!$C$12,0,IF(($A14*(1-'P-Parametri'!$B$19))&lt;='P-Parametri'!$B$6,'P-Parametri'!$C$13/'P-Parametri'!$D$13,IF(($A14*(1-'P-Parametri'!$B$19))&lt;='P-Parametri'!$B$7,'P-Parametri'!$B$14/'P-Parametri'!$C$14,0))))+(IF(AND(($A14*(1-'P-Parametri'!$B$19))&gt;'P-Parametri'!$D$15,($A14*(1-'P-Parametri'!$B$19))&lt;'P-Parametri'!$E$15),'P-Parametri'!$B$15/('P-Parametri'!$E$15-'P-Parametri'!$D$15),0))+'P-Parametri'!$B$20)</f>
        <v>0.40205107692307696</v>
      </c>
      <c r="O14" s="11">
        <f t="shared" si="5"/>
        <v>6.6053661538460706E-2</v>
      </c>
    </row>
    <row r="15" spans="1:16">
      <c r="A15" s="17">
        <f>18500</f>
        <v>18500</v>
      </c>
      <c r="B15" s="9">
        <f>'P-Parametri'!$B$19*$A15</f>
        <v>1700.1499999999999</v>
      </c>
      <c r="C15" s="9">
        <f t="shared" si="0"/>
        <v>16799.849999999999</v>
      </c>
      <c r="D15" s="9">
        <f>IF($C15&lt;='P-Parametri'!$B$6,'P-Parametri'!$C$6*$C15,IF($C15&lt;='P-Parametri'!$B$7,'P-Parametri'!$B$9+'P-Parametri'!$C$7*($C15-'P-Parametri'!$B$6),'P-Parametri'!$B$10+'P-Parametri'!$C$8*($C15-'P-Parametri'!$B$7)))</f>
        <v>3863.9654999999998</v>
      </c>
      <c r="E15" s="9">
        <f>IF($C15&lt;='P-Parametri'!$C$12,'P-Parametri'!$B$12,IF($C15&lt;='P-Parametri'!$B$6,'P-Parametri'!$B$13+'P-Parametri'!$C$13*('P-Parametri'!$B$6-$C15)/'P-Parametri'!$D$13,IF($C15&lt;='P-Parametri'!$B$7,'P-Parametri'!$B$14*('P-Parametri'!$B$7-$C15)/'P-Parametri'!$C$14,0)))</f>
        <v>2935.2445000000002</v>
      </c>
      <c r="F15" s="9">
        <f>IF($C15&lt;='P-Parametri'!$C$15,0,IF($C15&lt;='P-Parametri'!$D$15,'P-Parametri'!$B$15,IF($C15&lt;'P-Parametri'!$E$15,'P-Parametri'!$B$15*('P-Parametri'!$E$15-$C15)/('P-Parametri'!$E$15-'P-Parametri'!$D$15),0)))</f>
        <v>1000</v>
      </c>
      <c r="G15" s="9">
        <f>IF($C15&gt;'P-Parametri'!$D$18,0,IF($C15&lt;='P-Parametri'!$B$18,'P-Parametri'!$B$17*$C15,IF($C15&lt;='P-Parametri'!$C$18,'P-Parametri'!$C$17*$C15,'P-Parametri'!$D$17*$C15)))</f>
        <v>806.39279999999997</v>
      </c>
      <c r="H15" s="9">
        <f>IF(AND($C15&lt;='P-Parametri'!$C$16,D15&gt;E15-'P-Parametri'!$D$16),'P-Parametri'!$B$16,0)</f>
        <v>0</v>
      </c>
      <c r="I15" s="9">
        <f t="shared" si="1"/>
        <v>0</v>
      </c>
      <c r="J15" s="9">
        <f>IF(I15&gt;0,'P-Parametri'!$B$20*$C15,0)</f>
        <v>0</v>
      </c>
      <c r="K15" s="9">
        <f t="shared" si="2"/>
        <v>17606.2428</v>
      </c>
      <c r="L15" s="11">
        <f t="shared" si="3"/>
        <v>0.9516888</v>
      </c>
      <c r="M15" s="11">
        <f t="shared" si="4"/>
        <v>0.62318027692307809</v>
      </c>
      <c r="N15" s="11">
        <f>'P-Parametri'!$B$19+(1-'P-Parametri'!$B$19)*((IF(($A15*(1-'P-Parametri'!$B$19))&lt;='P-Parametri'!$B$6,'P-Parametri'!$C$6,IF(($A15*(1-'P-Parametri'!$B$19))&lt;='P-Parametri'!$B$7,'P-Parametri'!$C$7,'P-Parametri'!$C$8)))+(IF(($A15*(1-'P-Parametri'!$B$19))&lt;='P-Parametri'!$C$12,0,IF(($A15*(1-'P-Parametri'!$B$19))&lt;='P-Parametri'!$B$6,'P-Parametri'!$C$13/'P-Parametri'!$D$13,IF(($A15*(1-'P-Parametri'!$B$19))&lt;='P-Parametri'!$B$7,'P-Parametri'!$B$14/'P-Parametri'!$C$14,0))))+(IF(AND(($A15*(1-'P-Parametri'!$B$19))&gt;'P-Parametri'!$D$15,($A15*(1-'P-Parametri'!$B$19))&lt;'P-Parametri'!$E$15),'P-Parametri'!$B$15/('P-Parametri'!$E$15-'P-Parametri'!$D$15),0))+'P-Parametri'!$B$20)</f>
        <v>0.40205107692307696</v>
      </c>
      <c r="O15" s="11">
        <f t="shared" si="5"/>
        <v>0.22112920000000114</v>
      </c>
    </row>
    <row r="16" spans="1:16">
      <c r="A16" s="17">
        <f>19000</f>
        <v>19000</v>
      </c>
      <c r="B16" s="9">
        <f>'P-Parametri'!$B$19*$A16</f>
        <v>1746.1</v>
      </c>
      <c r="C16" s="9">
        <f t="shared" si="0"/>
        <v>17253.900000000001</v>
      </c>
      <c r="D16" s="9">
        <f>IF($C16&lt;='P-Parametri'!$B$6,'P-Parametri'!$C$6*$C16,IF($C16&lt;='P-Parametri'!$B$7,'P-Parametri'!$B$9+'P-Parametri'!$C$7*($C16-'P-Parametri'!$B$6),'P-Parametri'!$B$10+'P-Parametri'!$C$8*($C16-'P-Parametri'!$B$7)))</f>
        <v>3968.3970000000004</v>
      </c>
      <c r="E16" s="9">
        <f>IF($C16&lt;='P-Parametri'!$C$12,'P-Parametri'!$B$12,IF($C16&lt;='P-Parametri'!$B$6,'P-Parametri'!$B$13+'P-Parametri'!$C$13*('P-Parametri'!$B$6-$C16)/'P-Parametri'!$D$13,IF($C16&lt;='P-Parametri'!$B$7,'P-Parametri'!$B$14*('P-Parametri'!$B$7-$C16)/'P-Parametri'!$C$14,0)))</f>
        <v>2893.6814615384615</v>
      </c>
      <c r="F16" s="9">
        <f>IF($C16&lt;='P-Parametri'!$C$15,0,IF($C16&lt;='P-Parametri'!$D$15,'P-Parametri'!$B$15,IF($C16&lt;'P-Parametri'!$E$15,'P-Parametri'!$B$15*('P-Parametri'!$E$15-$C16)/('P-Parametri'!$E$15-'P-Parametri'!$D$15),0)))</f>
        <v>1000</v>
      </c>
      <c r="G16" s="9">
        <f>IF($C16&gt;'P-Parametri'!$D$18,0,IF($C16&lt;='P-Parametri'!$B$18,'P-Parametri'!$B$17*$C16,IF($C16&lt;='P-Parametri'!$C$18,'P-Parametri'!$C$17*$C16,'P-Parametri'!$D$17*$C16)))</f>
        <v>828.18720000000008</v>
      </c>
      <c r="H16" s="9">
        <f>IF(AND($C16&lt;='P-Parametri'!$C$16,D16&gt;E16-'P-Parametri'!$D$16),'P-Parametri'!$B$16,0)</f>
        <v>0</v>
      </c>
      <c r="I16" s="9">
        <f t="shared" si="1"/>
        <v>74.715538461538927</v>
      </c>
      <c r="J16" s="9">
        <f>IF(I16&gt;0,'P-Parametri'!$B$20*$C16,0)</f>
        <v>345.07800000000003</v>
      </c>
      <c r="K16" s="9">
        <f t="shared" si="2"/>
        <v>17662.293661538461</v>
      </c>
      <c r="L16" s="11">
        <f t="shared" si="3"/>
        <v>0.92959440323886633</v>
      </c>
      <c r="M16" s="11">
        <f t="shared" si="4"/>
        <v>0.35846227692307731</v>
      </c>
      <c r="N16" s="11">
        <f>'P-Parametri'!$B$19+(1-'P-Parametri'!$B$19)*((IF(($A16*(1-'P-Parametri'!$B$19))&lt;='P-Parametri'!$B$6,'P-Parametri'!$C$6,IF(($A16*(1-'P-Parametri'!$B$19))&lt;='P-Parametri'!$B$7,'P-Parametri'!$C$7,'P-Parametri'!$C$8)))+(IF(($A16*(1-'P-Parametri'!$B$19))&lt;='P-Parametri'!$C$12,0,IF(($A16*(1-'P-Parametri'!$B$19))&lt;='P-Parametri'!$B$6,'P-Parametri'!$C$13/'P-Parametri'!$D$13,IF(($A16*(1-'P-Parametri'!$B$19))&lt;='P-Parametri'!$B$7,'P-Parametri'!$B$14/'P-Parametri'!$C$14,0))))+(IF(AND(($A16*(1-'P-Parametri'!$B$19))&gt;'P-Parametri'!$D$15,($A16*(1-'P-Parametri'!$B$19))&lt;'P-Parametri'!$E$15),'P-Parametri'!$B$15/('P-Parametri'!$E$15-'P-Parametri'!$D$15),0))+'P-Parametri'!$B$20)</f>
        <v>0.40205107692307696</v>
      </c>
      <c r="O16" s="11">
        <f t="shared" si="5"/>
        <v>-4.358879999999965E-2</v>
      </c>
    </row>
    <row r="17" spans="1:15">
      <c r="A17" s="17">
        <f>19500</f>
        <v>19500</v>
      </c>
      <c r="B17" s="9">
        <f>'P-Parametri'!$B$19*$A17</f>
        <v>1792.05</v>
      </c>
      <c r="C17" s="9">
        <f t="shared" si="0"/>
        <v>17707.95</v>
      </c>
      <c r="D17" s="9">
        <f>IF($C17&lt;='P-Parametri'!$B$6,'P-Parametri'!$C$6*$C17,IF($C17&lt;='P-Parametri'!$B$7,'P-Parametri'!$B$9+'P-Parametri'!$C$7*($C17-'P-Parametri'!$B$6),'P-Parametri'!$B$10+'P-Parametri'!$C$8*($C17-'P-Parametri'!$B$7)))</f>
        <v>4072.8285000000005</v>
      </c>
      <c r="E17" s="9">
        <f>IF($C17&lt;='P-Parametri'!$C$12,'P-Parametri'!$B$12,IF($C17&lt;='P-Parametri'!$B$6,'P-Parametri'!$B$13+'P-Parametri'!$C$13*('P-Parametri'!$B$6-$C17)/'P-Parametri'!$D$13,IF($C17&lt;='P-Parametri'!$B$7,'P-Parametri'!$B$14*('P-Parametri'!$B$7-$C17)/'P-Parametri'!$C$14,0)))</f>
        <v>2852.1184230769231</v>
      </c>
      <c r="F17" s="9">
        <f>IF($C17&lt;='P-Parametri'!$C$15,0,IF($C17&lt;='P-Parametri'!$D$15,'P-Parametri'!$B$15,IF($C17&lt;'P-Parametri'!$E$15,'P-Parametri'!$B$15*('P-Parametri'!$E$15-$C17)/('P-Parametri'!$E$15-'P-Parametri'!$D$15),0)))</f>
        <v>1000</v>
      </c>
      <c r="G17" s="9">
        <f>IF($C17&gt;'P-Parametri'!$D$18,0,IF($C17&lt;='P-Parametri'!$B$18,'P-Parametri'!$B$17*$C17,IF($C17&lt;='P-Parametri'!$C$18,'P-Parametri'!$C$17*$C17,'P-Parametri'!$D$17*$C17)))</f>
        <v>849.98160000000007</v>
      </c>
      <c r="H17" s="9">
        <f>IF(AND($C17&lt;='P-Parametri'!$C$16,D17&gt;E17-'P-Parametri'!$D$16),'P-Parametri'!$B$16,0)</f>
        <v>0</v>
      </c>
      <c r="I17" s="9">
        <f t="shared" si="1"/>
        <v>220.71007692307739</v>
      </c>
      <c r="J17" s="9">
        <f>IF(I17&gt;0,'P-Parametri'!$B$20*$C17,0)</f>
        <v>354.15900000000005</v>
      </c>
      <c r="K17" s="9">
        <f t="shared" si="2"/>
        <v>17983.062523076922</v>
      </c>
      <c r="L17" s="11">
        <f t="shared" si="3"/>
        <v>0.9222083345167652</v>
      </c>
      <c r="M17" s="11">
        <f t="shared" si="4"/>
        <v>0.35846227692307731</v>
      </c>
      <c r="N17" s="11">
        <f>'P-Parametri'!$B$19+(1-'P-Parametri'!$B$19)*((IF(($A17*(1-'P-Parametri'!$B$19))&lt;='P-Parametri'!$B$6,'P-Parametri'!$C$6,IF(($A17*(1-'P-Parametri'!$B$19))&lt;='P-Parametri'!$B$7,'P-Parametri'!$C$7,'P-Parametri'!$C$8)))+(IF(($A17*(1-'P-Parametri'!$B$19))&lt;='P-Parametri'!$C$12,0,IF(($A17*(1-'P-Parametri'!$B$19))&lt;='P-Parametri'!$B$6,'P-Parametri'!$C$13/'P-Parametri'!$D$13,IF(($A17*(1-'P-Parametri'!$B$19))&lt;='P-Parametri'!$B$7,'P-Parametri'!$B$14/'P-Parametri'!$C$14,0))))+(IF(AND(($A17*(1-'P-Parametri'!$B$19))&gt;'P-Parametri'!$D$15,($A17*(1-'P-Parametri'!$B$19))&lt;'P-Parametri'!$E$15),'P-Parametri'!$B$15/('P-Parametri'!$E$15-'P-Parametri'!$D$15),0))+'P-Parametri'!$B$20)</f>
        <v>0.40205107692307696</v>
      </c>
      <c r="O17" s="11">
        <f t="shared" si="5"/>
        <v>-4.358879999999965E-2</v>
      </c>
    </row>
    <row r="18" spans="1:15">
      <c r="A18" s="17">
        <f>20000</f>
        <v>20000</v>
      </c>
      <c r="B18" s="9">
        <f>'P-Parametri'!$B$19*$A18</f>
        <v>1838</v>
      </c>
      <c r="C18" s="9">
        <f t="shared" si="0"/>
        <v>18162</v>
      </c>
      <c r="D18" s="9">
        <f>IF($C18&lt;='P-Parametri'!$B$6,'P-Parametri'!$C$6*$C18,IF($C18&lt;='P-Parametri'!$B$7,'P-Parametri'!$B$9+'P-Parametri'!$C$7*($C18-'P-Parametri'!$B$6),'P-Parametri'!$B$10+'P-Parametri'!$C$8*($C18-'P-Parametri'!$B$7)))</f>
        <v>4177.26</v>
      </c>
      <c r="E18" s="9">
        <f>IF($C18&lt;='P-Parametri'!$C$12,'P-Parametri'!$B$12,IF($C18&lt;='P-Parametri'!$B$6,'P-Parametri'!$B$13+'P-Parametri'!$C$13*('P-Parametri'!$B$6-$C18)/'P-Parametri'!$D$13,IF($C18&lt;='P-Parametri'!$B$7,'P-Parametri'!$B$14*('P-Parametri'!$B$7-$C18)/'P-Parametri'!$C$14,0)))</f>
        <v>2810.5553846153844</v>
      </c>
      <c r="F18" s="9">
        <f>IF($C18&lt;='P-Parametri'!$C$15,0,IF($C18&lt;='P-Parametri'!$D$15,'P-Parametri'!$B$15,IF($C18&lt;'P-Parametri'!$E$15,'P-Parametri'!$B$15*('P-Parametri'!$E$15-$C18)/('P-Parametri'!$E$15-'P-Parametri'!$D$15),0)))</f>
        <v>1000</v>
      </c>
      <c r="G18" s="9">
        <f>IF($C18&gt;'P-Parametri'!$D$18,0,IF($C18&lt;='P-Parametri'!$B$18,'P-Parametri'!$B$17*$C18,IF($C18&lt;='P-Parametri'!$C$18,'P-Parametri'!$C$17*$C18,'P-Parametri'!$D$17*$C18)))</f>
        <v>871.77600000000007</v>
      </c>
      <c r="H18" s="9">
        <f>IF(AND($C18&lt;='P-Parametri'!$C$16,D18&gt;E18-'P-Parametri'!$D$16),'P-Parametri'!$B$16,0)</f>
        <v>0</v>
      </c>
      <c r="I18" s="9">
        <f t="shared" si="1"/>
        <v>366.70461538461586</v>
      </c>
      <c r="J18" s="9">
        <f>IF(I18&gt;0,'P-Parametri'!$B$20*$C18,0)</f>
        <v>363.24</v>
      </c>
      <c r="K18" s="9">
        <f t="shared" si="2"/>
        <v>18303.831384615383</v>
      </c>
      <c r="L18" s="11">
        <f t="shared" si="3"/>
        <v>0.91519156923076916</v>
      </c>
      <c r="M18" s="11">
        <f t="shared" si="4"/>
        <v>0.35846227692307731</v>
      </c>
      <c r="N18" s="11">
        <f>'P-Parametri'!$B$19+(1-'P-Parametri'!$B$19)*((IF(($A18*(1-'P-Parametri'!$B$19))&lt;='P-Parametri'!$B$6,'P-Parametri'!$C$6,IF(($A18*(1-'P-Parametri'!$B$19))&lt;='P-Parametri'!$B$7,'P-Parametri'!$C$7,'P-Parametri'!$C$8)))+(IF(($A18*(1-'P-Parametri'!$B$19))&lt;='P-Parametri'!$C$12,0,IF(($A18*(1-'P-Parametri'!$B$19))&lt;='P-Parametri'!$B$6,'P-Parametri'!$C$13/'P-Parametri'!$D$13,IF(($A18*(1-'P-Parametri'!$B$19))&lt;='P-Parametri'!$B$7,'P-Parametri'!$B$14/'P-Parametri'!$C$14,0))))+(IF(AND(($A18*(1-'P-Parametri'!$B$19))&gt;'P-Parametri'!$D$15,($A18*(1-'P-Parametri'!$B$19))&lt;'P-Parametri'!$E$15),'P-Parametri'!$B$15/('P-Parametri'!$E$15-'P-Parametri'!$D$15),0))+'P-Parametri'!$B$20)</f>
        <v>0.40205107692307696</v>
      </c>
      <c r="O18" s="11">
        <f t="shared" si="5"/>
        <v>-4.358879999999965E-2</v>
      </c>
    </row>
    <row r="19" spans="1:15">
      <c r="A19" s="17">
        <f>20500</f>
        <v>20500</v>
      </c>
      <c r="B19" s="9">
        <f>'P-Parametri'!$B$19*$A19</f>
        <v>1883.9499999999998</v>
      </c>
      <c r="C19" s="9">
        <f t="shared" si="0"/>
        <v>18616.05</v>
      </c>
      <c r="D19" s="9">
        <f>IF($C19&lt;='P-Parametri'!$B$6,'P-Parametri'!$C$6*$C19,IF($C19&lt;='P-Parametri'!$B$7,'P-Parametri'!$B$9+'P-Parametri'!$C$7*($C19-'P-Parametri'!$B$6),'P-Parametri'!$B$10+'P-Parametri'!$C$8*($C19-'P-Parametri'!$B$7)))</f>
        <v>4281.6914999999999</v>
      </c>
      <c r="E19" s="9">
        <f>IF($C19&lt;='P-Parametri'!$C$12,'P-Parametri'!$B$12,IF($C19&lt;='P-Parametri'!$B$6,'P-Parametri'!$B$13+'P-Parametri'!$C$13*('P-Parametri'!$B$6-$C19)/'P-Parametri'!$D$13,IF($C19&lt;='P-Parametri'!$B$7,'P-Parametri'!$B$14*('P-Parametri'!$B$7-$C19)/'P-Parametri'!$C$14,0)))</f>
        <v>2768.992346153846</v>
      </c>
      <c r="F19" s="9">
        <f>IF($C19&lt;='P-Parametri'!$C$15,0,IF($C19&lt;='P-Parametri'!$D$15,'P-Parametri'!$B$15,IF($C19&lt;'P-Parametri'!$E$15,'P-Parametri'!$B$15*('P-Parametri'!$E$15-$C19)/('P-Parametri'!$E$15-'P-Parametri'!$D$15),0)))</f>
        <v>1000</v>
      </c>
      <c r="G19" s="9">
        <f>IF($C19&gt;'P-Parametri'!$D$18,0,IF($C19&lt;='P-Parametri'!$B$18,'P-Parametri'!$B$17*$C19,IF($C19&lt;='P-Parametri'!$C$18,'P-Parametri'!$C$17*$C19,'P-Parametri'!$D$17*$C19)))</f>
        <v>893.57039999999995</v>
      </c>
      <c r="H19" s="9">
        <f>IF(AND($C19&lt;='P-Parametri'!$C$16,D19&gt;E19-'P-Parametri'!$D$16),'P-Parametri'!$B$16,0)</f>
        <v>0</v>
      </c>
      <c r="I19" s="9">
        <f t="shared" si="1"/>
        <v>512.69915384615388</v>
      </c>
      <c r="J19" s="9">
        <f>IF(I19&gt;0,'P-Parametri'!$B$20*$C19,0)</f>
        <v>372.32099999999997</v>
      </c>
      <c r="K19" s="9">
        <f t="shared" si="2"/>
        <v>18624.600246153845</v>
      </c>
      <c r="L19" s="11">
        <f t="shared" si="3"/>
        <v>0.90851708517823637</v>
      </c>
      <c r="M19" s="11">
        <f t="shared" si="4"/>
        <v>0.35846227692307731</v>
      </c>
      <c r="N19" s="11">
        <f>'P-Parametri'!$B$19+(1-'P-Parametri'!$B$19)*((IF(($A19*(1-'P-Parametri'!$B$19))&lt;='P-Parametri'!$B$6,'P-Parametri'!$C$6,IF(($A19*(1-'P-Parametri'!$B$19))&lt;='P-Parametri'!$B$7,'P-Parametri'!$C$7,'P-Parametri'!$C$8)))+(IF(($A19*(1-'P-Parametri'!$B$19))&lt;='P-Parametri'!$C$12,0,IF(($A19*(1-'P-Parametri'!$B$19))&lt;='P-Parametri'!$B$6,'P-Parametri'!$C$13/'P-Parametri'!$D$13,IF(($A19*(1-'P-Parametri'!$B$19))&lt;='P-Parametri'!$B$7,'P-Parametri'!$B$14/'P-Parametri'!$C$14,0))))+(IF(AND(($A19*(1-'P-Parametri'!$B$19))&gt;'P-Parametri'!$D$15,($A19*(1-'P-Parametri'!$B$19))&lt;'P-Parametri'!$E$15),'P-Parametri'!$B$15/('P-Parametri'!$E$15-'P-Parametri'!$D$15),0))+'P-Parametri'!$B$20)</f>
        <v>0.40205107692307696</v>
      </c>
      <c r="O19" s="11">
        <f t="shared" si="5"/>
        <v>-4.358879999999965E-2</v>
      </c>
    </row>
    <row r="20" spans="1:15">
      <c r="A20" s="17">
        <f>21000</f>
        <v>21000</v>
      </c>
      <c r="B20" s="9">
        <f>'P-Parametri'!$B$19*$A20</f>
        <v>1929.8999999999999</v>
      </c>
      <c r="C20" s="9">
        <f t="shared" si="0"/>
        <v>19070.099999999999</v>
      </c>
      <c r="D20" s="9">
        <f>IF($C20&lt;='P-Parametri'!$B$6,'P-Parametri'!$C$6*$C20,IF($C20&lt;='P-Parametri'!$B$7,'P-Parametri'!$B$9+'P-Parametri'!$C$7*($C20-'P-Parametri'!$B$6),'P-Parametri'!$B$10+'P-Parametri'!$C$8*($C20-'P-Parametri'!$B$7)))</f>
        <v>4386.1229999999996</v>
      </c>
      <c r="E20" s="9">
        <f>IF($C20&lt;='P-Parametri'!$C$12,'P-Parametri'!$B$12,IF($C20&lt;='P-Parametri'!$B$6,'P-Parametri'!$B$13+'P-Parametri'!$C$13*('P-Parametri'!$B$6-$C20)/'P-Parametri'!$D$13,IF($C20&lt;='P-Parametri'!$B$7,'P-Parametri'!$B$14*('P-Parametri'!$B$7-$C20)/'P-Parametri'!$C$14,0)))</f>
        <v>2727.4293076923077</v>
      </c>
      <c r="F20" s="9">
        <f>IF($C20&lt;='P-Parametri'!$C$15,0,IF($C20&lt;='P-Parametri'!$D$15,'P-Parametri'!$B$15,IF($C20&lt;'P-Parametri'!$E$15,'P-Parametri'!$B$15*('P-Parametri'!$E$15-$C20)/('P-Parametri'!$E$15-'P-Parametri'!$D$15),0)))</f>
        <v>1000</v>
      </c>
      <c r="G20" s="9">
        <f>IF($C20&gt;'P-Parametri'!$D$18,0,IF($C20&lt;='P-Parametri'!$B$18,'P-Parametri'!$B$17*$C20,IF($C20&lt;='P-Parametri'!$C$18,'P-Parametri'!$C$17*$C20,'P-Parametri'!$D$17*$C20)))</f>
        <v>915.36479999999995</v>
      </c>
      <c r="H20" s="9">
        <f>IF(AND($C20&lt;='P-Parametri'!$C$16,D20&gt;E20-'P-Parametri'!$D$16),'P-Parametri'!$B$16,0)</f>
        <v>0</v>
      </c>
      <c r="I20" s="9">
        <f t="shared" si="1"/>
        <v>658.69369230769189</v>
      </c>
      <c r="J20" s="9">
        <f>IF(I20&gt;0,'P-Parametri'!$B$20*$C20,0)</f>
        <v>381.40199999999999</v>
      </c>
      <c r="K20" s="9">
        <f t="shared" si="2"/>
        <v>18945.369107692306</v>
      </c>
      <c r="L20" s="11">
        <f t="shared" si="3"/>
        <v>0.90216043369963361</v>
      </c>
      <c r="M20" s="11">
        <f t="shared" si="4"/>
        <v>0.35846227692307364</v>
      </c>
      <c r="N20" s="11">
        <f>'P-Parametri'!$B$19+(1-'P-Parametri'!$B$19)*((IF(($A20*(1-'P-Parametri'!$B$19))&lt;='P-Parametri'!$B$6,'P-Parametri'!$C$6,IF(($A20*(1-'P-Parametri'!$B$19))&lt;='P-Parametri'!$B$7,'P-Parametri'!$C$7,'P-Parametri'!$C$8)))+(IF(($A20*(1-'P-Parametri'!$B$19))&lt;='P-Parametri'!$C$12,0,IF(($A20*(1-'P-Parametri'!$B$19))&lt;='P-Parametri'!$B$6,'P-Parametri'!$C$13/'P-Parametri'!$D$13,IF(($A20*(1-'P-Parametri'!$B$19))&lt;='P-Parametri'!$B$7,'P-Parametri'!$B$14/'P-Parametri'!$C$14,0))))+(IF(AND(($A20*(1-'P-Parametri'!$B$19))&gt;'P-Parametri'!$D$15,($A20*(1-'P-Parametri'!$B$19))&lt;'P-Parametri'!$E$15),'P-Parametri'!$B$15/('P-Parametri'!$E$15-'P-Parametri'!$D$15),0))+'P-Parametri'!$B$20)</f>
        <v>0.40205107692307696</v>
      </c>
      <c r="O20" s="11">
        <f t="shared" si="5"/>
        <v>-4.3588800000003314E-2</v>
      </c>
    </row>
    <row r="21" spans="1:15">
      <c r="A21" s="17">
        <f>21500</f>
        <v>21500</v>
      </c>
      <c r="B21" s="9">
        <f>'P-Parametri'!$B$19*$A21</f>
        <v>1975.85</v>
      </c>
      <c r="C21" s="9">
        <f t="shared" si="0"/>
        <v>19524.150000000001</v>
      </c>
      <c r="D21" s="9">
        <f>IF($C21&lt;='P-Parametri'!$B$6,'P-Parametri'!$C$6*$C21,IF($C21&lt;='P-Parametri'!$B$7,'P-Parametri'!$B$9+'P-Parametri'!$C$7*($C21-'P-Parametri'!$B$6),'P-Parametri'!$B$10+'P-Parametri'!$C$8*($C21-'P-Parametri'!$B$7)))</f>
        <v>4490.5545000000002</v>
      </c>
      <c r="E21" s="9">
        <f>IF($C21&lt;='P-Parametri'!$C$12,'P-Parametri'!$B$12,IF($C21&lt;='P-Parametri'!$B$6,'P-Parametri'!$B$13+'P-Parametri'!$C$13*('P-Parametri'!$B$6-$C21)/'P-Parametri'!$D$13,IF($C21&lt;='P-Parametri'!$B$7,'P-Parametri'!$B$14*('P-Parametri'!$B$7-$C21)/'P-Parametri'!$C$14,0)))</f>
        <v>2685.8662692307689</v>
      </c>
      <c r="F21" s="9">
        <f>IF($C21&lt;='P-Parametri'!$C$15,0,IF($C21&lt;='P-Parametri'!$D$15,'P-Parametri'!$B$15,IF($C21&lt;'P-Parametri'!$E$15,'P-Parametri'!$B$15*('P-Parametri'!$E$15-$C21)/('P-Parametri'!$E$15-'P-Parametri'!$D$15),0)))</f>
        <v>1000</v>
      </c>
      <c r="G21" s="9">
        <f>IF($C21&gt;'P-Parametri'!$D$18,0,IF($C21&lt;='P-Parametri'!$B$18,'P-Parametri'!$B$17*$C21,IF($C21&lt;='P-Parametri'!$C$18,'P-Parametri'!$C$17*$C21,'P-Parametri'!$D$17*$C21)))</f>
        <v>937.15920000000006</v>
      </c>
      <c r="H21" s="9">
        <f>IF(AND($C21&lt;='P-Parametri'!$C$16,D21&gt;E21-'P-Parametri'!$D$16),'P-Parametri'!$B$16,0)</f>
        <v>0</v>
      </c>
      <c r="I21" s="9">
        <f t="shared" si="1"/>
        <v>804.68823076923127</v>
      </c>
      <c r="J21" s="9">
        <f>IF(I21&gt;0,'P-Parametri'!$B$20*$C21,0)</f>
        <v>390.48300000000006</v>
      </c>
      <c r="K21" s="9">
        <f t="shared" si="2"/>
        <v>19266.137969230767</v>
      </c>
      <c r="L21" s="11">
        <f t="shared" si="3"/>
        <v>0.89609944042933798</v>
      </c>
      <c r="M21" s="11">
        <f t="shared" si="4"/>
        <v>1.3392102769230769</v>
      </c>
      <c r="N21" s="11">
        <f>'P-Parametri'!$B$19+(1-'P-Parametri'!$B$19)*((IF(($A21*(1-'P-Parametri'!$B$19))&lt;='P-Parametri'!$B$6,'P-Parametri'!$C$6,IF(($A21*(1-'P-Parametri'!$B$19))&lt;='P-Parametri'!$B$7,'P-Parametri'!$C$7,'P-Parametri'!$C$8)))+(IF(($A21*(1-'P-Parametri'!$B$19))&lt;='P-Parametri'!$C$12,0,IF(($A21*(1-'P-Parametri'!$B$19))&lt;='P-Parametri'!$B$6,'P-Parametri'!$C$13/'P-Parametri'!$D$13,IF(($A21*(1-'P-Parametri'!$B$19))&lt;='P-Parametri'!$B$7,'P-Parametri'!$B$14/'P-Parametri'!$C$14,0))))+(IF(AND(($A21*(1-'P-Parametri'!$B$19))&gt;'P-Parametri'!$D$15,($A21*(1-'P-Parametri'!$B$19))&lt;'P-Parametri'!$E$15),'P-Parametri'!$B$15/('P-Parametri'!$E$15-'P-Parametri'!$D$15),0))+'P-Parametri'!$B$20)</f>
        <v>0.40205107692307696</v>
      </c>
      <c r="O21" s="11">
        <f t="shared" si="5"/>
        <v>0.93715919999999997</v>
      </c>
    </row>
    <row r="22" spans="1:15">
      <c r="A22" s="17">
        <f>22000</f>
        <v>22000</v>
      </c>
      <c r="B22" s="9">
        <f>'P-Parametri'!$B$19*$A22</f>
        <v>2021.8</v>
      </c>
      <c r="C22" s="9">
        <f t="shared" si="0"/>
        <v>19978.2</v>
      </c>
      <c r="D22" s="9">
        <f>IF($C22&lt;='P-Parametri'!$B$6,'P-Parametri'!$C$6*$C22,IF($C22&lt;='P-Parametri'!$B$7,'P-Parametri'!$B$9+'P-Parametri'!$C$7*($C22-'P-Parametri'!$B$6),'P-Parametri'!$B$10+'P-Parametri'!$C$8*($C22-'P-Parametri'!$B$7)))</f>
        <v>4594.9860000000008</v>
      </c>
      <c r="E22" s="9">
        <f>IF($C22&lt;='P-Parametri'!$C$12,'P-Parametri'!$B$12,IF($C22&lt;='P-Parametri'!$B$6,'P-Parametri'!$B$13+'P-Parametri'!$C$13*('P-Parametri'!$B$6-$C22)/'P-Parametri'!$D$13,IF($C22&lt;='P-Parametri'!$B$7,'P-Parametri'!$B$14*('P-Parametri'!$B$7-$C22)/'P-Parametri'!$C$14,0)))</f>
        <v>2644.303230769231</v>
      </c>
      <c r="F22" s="9">
        <f>IF($C22&lt;='P-Parametri'!$C$15,0,IF($C22&lt;='P-Parametri'!$D$15,'P-Parametri'!$B$15,IF($C22&lt;'P-Parametri'!$E$15,'P-Parametri'!$B$15*('P-Parametri'!$E$15-$C22)/('P-Parametri'!$E$15-'P-Parametri'!$D$15),0)))</f>
        <v>1000</v>
      </c>
      <c r="G22" s="9">
        <f>IF($C22&gt;'P-Parametri'!$D$18,0,IF($C22&lt;='P-Parametri'!$B$18,'P-Parametri'!$B$17*$C22,IF($C22&lt;='P-Parametri'!$C$18,'P-Parametri'!$C$17*$C22,'P-Parametri'!$D$17*$C22)))</f>
        <v>958.95360000000005</v>
      </c>
      <c r="H22" s="9">
        <f>IF(AND($C22&lt;='P-Parametri'!$C$16,D22&gt;E22-'P-Parametri'!$D$16),'P-Parametri'!$B$16,0)</f>
        <v>0</v>
      </c>
      <c r="I22" s="9">
        <f t="shared" si="1"/>
        <v>950.68276923076974</v>
      </c>
      <c r="J22" s="9">
        <f>IF(I22&gt;0,'P-Parametri'!$B$20*$C22,0)</f>
        <v>399.56400000000002</v>
      </c>
      <c r="K22" s="9">
        <f t="shared" si="2"/>
        <v>19586.906830769232</v>
      </c>
      <c r="L22" s="11">
        <f t="shared" si="3"/>
        <v>0.89031394685314691</v>
      </c>
      <c r="M22" s="11">
        <f t="shared" si="4"/>
        <v>1.3610046769230792</v>
      </c>
      <c r="N22" s="11">
        <f>'P-Parametri'!$B$19+(1-'P-Parametri'!$B$19)*((IF(($A22*(1-'P-Parametri'!$B$19))&lt;='P-Parametri'!$B$6,'P-Parametri'!$C$6,IF(($A22*(1-'P-Parametri'!$B$19))&lt;='P-Parametri'!$B$7,'P-Parametri'!$C$7,'P-Parametri'!$C$8)))+(IF(($A22*(1-'P-Parametri'!$B$19))&lt;='P-Parametri'!$C$12,0,IF(($A22*(1-'P-Parametri'!$B$19))&lt;='P-Parametri'!$B$6,'P-Parametri'!$C$13/'P-Parametri'!$D$13,IF(($A22*(1-'P-Parametri'!$B$19))&lt;='P-Parametri'!$B$7,'P-Parametri'!$B$14/'P-Parametri'!$C$14,0))))+(IF(AND(($A22*(1-'P-Parametri'!$B$19))&gt;'P-Parametri'!$D$15,($A22*(1-'P-Parametri'!$B$19))&lt;'P-Parametri'!$E$15),'P-Parametri'!$B$15/('P-Parametri'!$E$15-'P-Parametri'!$D$15),0))+'P-Parametri'!$B$20)</f>
        <v>0.40205107692307696</v>
      </c>
      <c r="O22" s="11">
        <f t="shared" si="5"/>
        <v>0.95895360000000229</v>
      </c>
    </row>
    <row r="23" spans="1:15">
      <c r="A23" s="17">
        <f>22500</f>
        <v>22500</v>
      </c>
      <c r="B23" s="9">
        <f>'P-Parametri'!$B$19*$A23</f>
        <v>2067.75</v>
      </c>
      <c r="C23" s="9">
        <f t="shared" si="0"/>
        <v>20432.25</v>
      </c>
      <c r="D23" s="9">
        <f>IF($C23&lt;='P-Parametri'!$B$6,'P-Parametri'!$C$6*$C23,IF($C23&lt;='P-Parametri'!$B$7,'P-Parametri'!$B$9+'P-Parametri'!$C$7*($C23-'P-Parametri'!$B$6),'P-Parametri'!$B$10+'P-Parametri'!$C$8*($C23-'P-Parametri'!$B$7)))</f>
        <v>4699.4175000000005</v>
      </c>
      <c r="E23" s="9">
        <f>IF($C23&lt;='P-Parametri'!$C$12,'P-Parametri'!$B$12,IF($C23&lt;='P-Parametri'!$B$6,'P-Parametri'!$B$13+'P-Parametri'!$C$13*('P-Parametri'!$B$6-$C23)/'P-Parametri'!$D$13,IF($C23&lt;='P-Parametri'!$B$7,'P-Parametri'!$B$14*('P-Parametri'!$B$7-$C23)/'P-Parametri'!$C$14,0)))</f>
        <v>2602.7401923076923</v>
      </c>
      <c r="F23" s="9">
        <f>IF($C23&lt;='P-Parametri'!$C$15,0,IF($C23&lt;='P-Parametri'!$D$15,'P-Parametri'!$B$15,IF($C23&lt;'P-Parametri'!$E$15,'P-Parametri'!$B$15*('P-Parametri'!$E$15-$C23)/('P-Parametri'!$E$15-'P-Parametri'!$D$15),0)))</f>
        <v>1000</v>
      </c>
      <c r="G23" s="9">
        <f>IF($C23&gt;'P-Parametri'!$D$18,0,IF($C23&lt;='P-Parametri'!$B$18,'P-Parametri'!$B$17*$C23,IF($C23&lt;='P-Parametri'!$C$18,'P-Parametri'!$C$17*$C23,'P-Parametri'!$D$17*$C23)))</f>
        <v>0</v>
      </c>
      <c r="H23" s="9">
        <f>IF(AND($C23&lt;='P-Parametri'!$C$16,D23&gt;E23-'P-Parametri'!$D$16),'P-Parametri'!$B$16,0)</f>
        <v>0</v>
      </c>
      <c r="I23" s="9">
        <f t="shared" si="1"/>
        <v>1096.6773076923082</v>
      </c>
      <c r="J23" s="9">
        <f>IF(I23&gt;0,'P-Parametri'!$B$20*$C23,0)</f>
        <v>408.64499999999998</v>
      </c>
      <c r="K23" s="9">
        <f t="shared" si="2"/>
        <v>18926.92769230769</v>
      </c>
      <c r="L23" s="11">
        <f t="shared" si="3"/>
        <v>0.84119678632478623</v>
      </c>
      <c r="M23" s="11">
        <f t="shared" si="4"/>
        <v>0.40205107692307507</v>
      </c>
      <c r="N23" s="11">
        <f>'P-Parametri'!$B$19+(1-'P-Parametri'!$B$19)*((IF(($A23*(1-'P-Parametri'!$B$19))&lt;='P-Parametri'!$B$6,'P-Parametri'!$C$6,IF(($A23*(1-'P-Parametri'!$B$19))&lt;='P-Parametri'!$B$7,'P-Parametri'!$C$7,'P-Parametri'!$C$8)))+(IF(($A23*(1-'P-Parametri'!$B$19))&lt;='P-Parametri'!$C$12,0,IF(($A23*(1-'P-Parametri'!$B$19))&lt;='P-Parametri'!$B$6,'P-Parametri'!$C$13/'P-Parametri'!$D$13,IF(($A23*(1-'P-Parametri'!$B$19))&lt;='P-Parametri'!$B$7,'P-Parametri'!$B$14/'P-Parametri'!$C$14,0))))+(IF(AND(($A23*(1-'P-Parametri'!$B$19))&gt;'P-Parametri'!$D$15,($A23*(1-'P-Parametri'!$B$19))&lt;'P-Parametri'!$E$15),'P-Parametri'!$B$15/('P-Parametri'!$E$15-'P-Parametri'!$D$15),0))+'P-Parametri'!$B$20)</f>
        <v>0.40205107692307696</v>
      </c>
      <c r="O23" s="11">
        <f t="shared" si="5"/>
        <v>-1.8873791418627661E-15</v>
      </c>
    </row>
    <row r="24" spans="1:15">
      <c r="A24" s="17">
        <f>23000</f>
        <v>23000</v>
      </c>
      <c r="B24" s="9">
        <f>'P-Parametri'!$B$19*$A24</f>
        <v>2113.6999999999998</v>
      </c>
      <c r="C24" s="9">
        <f t="shared" si="0"/>
        <v>20886.3</v>
      </c>
      <c r="D24" s="9">
        <f>IF($C24&lt;='P-Parametri'!$B$6,'P-Parametri'!$C$6*$C24,IF($C24&lt;='P-Parametri'!$B$7,'P-Parametri'!$B$9+'P-Parametri'!$C$7*($C24-'P-Parametri'!$B$6),'P-Parametri'!$B$10+'P-Parametri'!$C$8*($C24-'P-Parametri'!$B$7)))</f>
        <v>4803.8490000000002</v>
      </c>
      <c r="E24" s="9">
        <f>IF($C24&lt;='P-Parametri'!$C$12,'P-Parametri'!$B$12,IF($C24&lt;='P-Parametri'!$B$6,'P-Parametri'!$B$13+'P-Parametri'!$C$13*('P-Parametri'!$B$6-$C24)/'P-Parametri'!$D$13,IF($C24&lt;='P-Parametri'!$B$7,'P-Parametri'!$B$14*('P-Parametri'!$B$7-$C24)/'P-Parametri'!$C$14,0)))</f>
        <v>2561.1771538461539</v>
      </c>
      <c r="F24" s="9">
        <f>IF($C24&lt;='P-Parametri'!$C$15,0,IF($C24&lt;='P-Parametri'!$D$15,'P-Parametri'!$B$15,IF($C24&lt;'P-Parametri'!$E$15,'P-Parametri'!$B$15*('P-Parametri'!$E$15-$C24)/('P-Parametri'!$E$15-'P-Parametri'!$D$15),0)))</f>
        <v>1000</v>
      </c>
      <c r="G24" s="9">
        <f>IF($C24&gt;'P-Parametri'!$D$18,0,IF($C24&lt;='P-Parametri'!$B$18,'P-Parametri'!$B$17*$C24,IF($C24&lt;='P-Parametri'!$C$18,'P-Parametri'!$C$17*$C24,'P-Parametri'!$D$17*$C24)))</f>
        <v>0</v>
      </c>
      <c r="H24" s="9">
        <f>IF(AND($C24&lt;='P-Parametri'!$C$16,D24&gt;E24-'P-Parametri'!$D$16),'P-Parametri'!$B$16,0)</f>
        <v>0</v>
      </c>
      <c r="I24" s="9">
        <f t="shared" si="1"/>
        <v>1242.6718461538462</v>
      </c>
      <c r="J24" s="9">
        <f>IF(I24&gt;0,'P-Parametri'!$B$20*$C24,0)</f>
        <v>417.726</v>
      </c>
      <c r="K24" s="9">
        <f t="shared" si="2"/>
        <v>19225.902153846153</v>
      </c>
      <c r="L24" s="11">
        <f t="shared" si="3"/>
        <v>0.83590878929765877</v>
      </c>
      <c r="M24" s="11">
        <f t="shared" si="4"/>
        <v>0.40205107692307507</v>
      </c>
      <c r="N24" s="11">
        <f>'P-Parametri'!$B$19+(1-'P-Parametri'!$B$19)*((IF(($A24*(1-'P-Parametri'!$B$19))&lt;='P-Parametri'!$B$6,'P-Parametri'!$C$6,IF(($A24*(1-'P-Parametri'!$B$19))&lt;='P-Parametri'!$B$7,'P-Parametri'!$C$7,'P-Parametri'!$C$8)))+(IF(($A24*(1-'P-Parametri'!$B$19))&lt;='P-Parametri'!$C$12,0,IF(($A24*(1-'P-Parametri'!$B$19))&lt;='P-Parametri'!$B$6,'P-Parametri'!$C$13/'P-Parametri'!$D$13,IF(($A24*(1-'P-Parametri'!$B$19))&lt;='P-Parametri'!$B$7,'P-Parametri'!$B$14/'P-Parametri'!$C$14,0))))+(IF(AND(($A24*(1-'P-Parametri'!$B$19))&gt;'P-Parametri'!$D$15,($A24*(1-'P-Parametri'!$B$19))&lt;'P-Parametri'!$E$15),'P-Parametri'!$B$15/('P-Parametri'!$E$15-'P-Parametri'!$D$15),0))+'P-Parametri'!$B$20)</f>
        <v>0.40205107692307696</v>
      </c>
      <c r="O24" s="11">
        <f t="shared" si="5"/>
        <v>-1.8873791418627661E-15</v>
      </c>
    </row>
    <row r="25" spans="1:15">
      <c r="A25" s="17">
        <f>23500</f>
        <v>23500</v>
      </c>
      <c r="B25" s="9">
        <f>'P-Parametri'!$B$19*$A25</f>
        <v>2159.65</v>
      </c>
      <c r="C25" s="9">
        <f t="shared" si="0"/>
        <v>21340.35</v>
      </c>
      <c r="D25" s="9">
        <f>IF($C25&lt;='P-Parametri'!$B$6,'P-Parametri'!$C$6*$C25,IF($C25&lt;='P-Parametri'!$B$7,'P-Parametri'!$B$9+'P-Parametri'!$C$7*($C25-'P-Parametri'!$B$6),'P-Parametri'!$B$10+'P-Parametri'!$C$8*($C25-'P-Parametri'!$B$7)))</f>
        <v>4908.2804999999998</v>
      </c>
      <c r="E25" s="9">
        <f>IF($C25&lt;='P-Parametri'!$C$12,'P-Parametri'!$B$12,IF($C25&lt;='P-Parametri'!$B$6,'P-Parametri'!$B$13+'P-Parametri'!$C$13*('P-Parametri'!$B$6-$C25)/'P-Parametri'!$D$13,IF($C25&lt;='P-Parametri'!$B$7,'P-Parametri'!$B$14*('P-Parametri'!$B$7-$C25)/'P-Parametri'!$C$14,0)))</f>
        <v>2519.6141153846156</v>
      </c>
      <c r="F25" s="9">
        <f>IF($C25&lt;='P-Parametri'!$C$15,0,IF($C25&lt;='P-Parametri'!$D$15,'P-Parametri'!$B$15,IF($C25&lt;'P-Parametri'!$E$15,'P-Parametri'!$B$15*('P-Parametri'!$E$15-$C25)/('P-Parametri'!$E$15-'P-Parametri'!$D$15),0)))</f>
        <v>1000</v>
      </c>
      <c r="G25" s="9">
        <f>IF($C25&gt;'P-Parametri'!$D$18,0,IF($C25&lt;='P-Parametri'!$B$18,'P-Parametri'!$B$17*$C25,IF($C25&lt;='P-Parametri'!$C$18,'P-Parametri'!$C$17*$C25,'P-Parametri'!$D$17*$C25)))</f>
        <v>0</v>
      </c>
      <c r="H25" s="9">
        <f>IF(AND($C25&lt;='P-Parametri'!$C$16,D25&gt;E25-'P-Parametri'!$D$16),'P-Parametri'!$B$16,0)</f>
        <v>0</v>
      </c>
      <c r="I25" s="9">
        <f t="shared" si="1"/>
        <v>1388.6663846153842</v>
      </c>
      <c r="J25" s="9">
        <f>IF(I25&gt;0,'P-Parametri'!$B$20*$C25,0)</f>
        <v>426.80699999999996</v>
      </c>
      <c r="K25" s="9">
        <f t="shared" si="2"/>
        <v>19524.876615384615</v>
      </c>
      <c r="L25" s="11">
        <f t="shared" si="3"/>
        <v>0.83084581342062191</v>
      </c>
      <c r="M25" s="11">
        <f t="shared" si="4"/>
        <v>0.40205107692307862</v>
      </c>
      <c r="N25" s="11">
        <f>'P-Parametri'!$B$19+(1-'P-Parametri'!$B$19)*((IF(($A25*(1-'P-Parametri'!$B$19))&lt;='P-Parametri'!$B$6,'P-Parametri'!$C$6,IF(($A25*(1-'P-Parametri'!$B$19))&lt;='P-Parametri'!$B$7,'P-Parametri'!$C$7,'P-Parametri'!$C$8)))+(IF(($A25*(1-'P-Parametri'!$B$19))&lt;='P-Parametri'!$C$12,0,IF(($A25*(1-'P-Parametri'!$B$19))&lt;='P-Parametri'!$B$6,'P-Parametri'!$C$13/'P-Parametri'!$D$13,IF(($A25*(1-'P-Parametri'!$B$19))&lt;='P-Parametri'!$B$7,'P-Parametri'!$B$14/'P-Parametri'!$C$14,0))))+(IF(AND(($A25*(1-'P-Parametri'!$B$19))&gt;'P-Parametri'!$D$15,($A25*(1-'P-Parametri'!$B$19))&lt;'P-Parametri'!$E$15),'P-Parametri'!$B$15/('P-Parametri'!$E$15-'P-Parametri'!$D$15),0))+'P-Parametri'!$B$20)</f>
        <v>0.40205107692307696</v>
      </c>
      <c r="O25" s="11">
        <f t="shared" si="5"/>
        <v>1.6653345369377348E-15</v>
      </c>
    </row>
    <row r="26" spans="1:15">
      <c r="A26" s="17">
        <f>24000</f>
        <v>24000</v>
      </c>
      <c r="B26" s="9">
        <f>'P-Parametri'!$B$19*$A26</f>
        <v>2205.6</v>
      </c>
      <c r="C26" s="9">
        <f t="shared" si="0"/>
        <v>21794.400000000001</v>
      </c>
      <c r="D26" s="9">
        <f>IF($C26&lt;='P-Parametri'!$B$6,'P-Parametri'!$C$6*$C26,IF($C26&lt;='P-Parametri'!$B$7,'P-Parametri'!$B$9+'P-Parametri'!$C$7*($C26-'P-Parametri'!$B$6),'P-Parametri'!$B$10+'P-Parametri'!$C$8*($C26-'P-Parametri'!$B$7)))</f>
        <v>5012.7120000000004</v>
      </c>
      <c r="E26" s="9">
        <f>IF($C26&lt;='P-Parametri'!$C$12,'P-Parametri'!$B$12,IF($C26&lt;='P-Parametri'!$B$6,'P-Parametri'!$B$13+'P-Parametri'!$C$13*('P-Parametri'!$B$6-$C26)/'P-Parametri'!$D$13,IF($C26&lt;='P-Parametri'!$B$7,'P-Parametri'!$B$14*('P-Parametri'!$B$7-$C26)/'P-Parametri'!$C$14,0)))</f>
        <v>2478.0510769230768</v>
      </c>
      <c r="F26" s="9">
        <f>IF($C26&lt;='P-Parametri'!$C$15,0,IF($C26&lt;='P-Parametri'!$D$15,'P-Parametri'!$B$15,IF($C26&lt;'P-Parametri'!$E$15,'P-Parametri'!$B$15*('P-Parametri'!$E$15-$C26)/('P-Parametri'!$E$15-'P-Parametri'!$D$15),0)))</f>
        <v>1000</v>
      </c>
      <c r="G26" s="9">
        <f>IF($C26&gt;'P-Parametri'!$D$18,0,IF($C26&lt;='P-Parametri'!$B$18,'P-Parametri'!$B$17*$C26,IF($C26&lt;='P-Parametri'!$C$18,'P-Parametri'!$C$17*$C26,'P-Parametri'!$D$17*$C26)))</f>
        <v>0</v>
      </c>
      <c r="H26" s="9">
        <f>IF(AND($C26&lt;='P-Parametri'!$C$16,D26&gt;E26-'P-Parametri'!$D$16),'P-Parametri'!$B$16,0)</f>
        <v>0</v>
      </c>
      <c r="I26" s="9">
        <f t="shared" si="1"/>
        <v>1534.6609230769236</v>
      </c>
      <c r="J26" s="9">
        <f>IF(I26&gt;0,'P-Parametri'!$B$20*$C26,0)</f>
        <v>435.88800000000003</v>
      </c>
      <c r="K26" s="9">
        <f t="shared" si="2"/>
        <v>19823.851076923078</v>
      </c>
      <c r="L26" s="11">
        <f t="shared" si="3"/>
        <v>0.82599379487179492</v>
      </c>
      <c r="M26" s="11">
        <f t="shared" si="4"/>
        <v>0.40205107692307862</v>
      </c>
      <c r="N26" s="11">
        <f>'P-Parametri'!$B$19+(1-'P-Parametri'!$B$19)*((IF(($A26*(1-'P-Parametri'!$B$19))&lt;='P-Parametri'!$B$6,'P-Parametri'!$C$6,IF(($A26*(1-'P-Parametri'!$B$19))&lt;='P-Parametri'!$B$7,'P-Parametri'!$C$7,'P-Parametri'!$C$8)))+(IF(($A26*(1-'P-Parametri'!$B$19))&lt;='P-Parametri'!$C$12,0,IF(($A26*(1-'P-Parametri'!$B$19))&lt;='P-Parametri'!$B$6,'P-Parametri'!$C$13/'P-Parametri'!$D$13,IF(($A26*(1-'P-Parametri'!$B$19))&lt;='P-Parametri'!$B$7,'P-Parametri'!$B$14/'P-Parametri'!$C$14,0))))+(IF(AND(($A26*(1-'P-Parametri'!$B$19))&gt;'P-Parametri'!$D$15,($A26*(1-'P-Parametri'!$B$19))&lt;'P-Parametri'!$E$15),'P-Parametri'!$B$15/('P-Parametri'!$E$15-'P-Parametri'!$D$15),0))+'P-Parametri'!$B$20)</f>
        <v>0.40205107692307696</v>
      </c>
      <c r="O26" s="11">
        <f t="shared" si="5"/>
        <v>1.6653345369377348E-15</v>
      </c>
    </row>
    <row r="27" spans="1:15">
      <c r="A27" s="17">
        <f>24500</f>
        <v>24500</v>
      </c>
      <c r="B27" s="9">
        <f>'P-Parametri'!$B$19*$A27</f>
        <v>2251.5499999999997</v>
      </c>
      <c r="C27" s="9">
        <f t="shared" si="0"/>
        <v>22248.45</v>
      </c>
      <c r="D27" s="9">
        <f>IF($C27&lt;='P-Parametri'!$B$6,'P-Parametri'!$C$6*$C27,IF($C27&lt;='P-Parametri'!$B$7,'P-Parametri'!$B$9+'P-Parametri'!$C$7*($C27-'P-Parametri'!$B$6),'P-Parametri'!$B$10+'P-Parametri'!$C$8*($C27-'P-Parametri'!$B$7)))</f>
        <v>5117.1435000000001</v>
      </c>
      <c r="E27" s="9">
        <f>IF($C27&lt;='P-Parametri'!$C$12,'P-Parametri'!$B$12,IF($C27&lt;='P-Parametri'!$B$6,'P-Parametri'!$B$13+'P-Parametri'!$C$13*('P-Parametri'!$B$6-$C27)/'P-Parametri'!$D$13,IF($C27&lt;='P-Parametri'!$B$7,'P-Parametri'!$B$14*('P-Parametri'!$B$7-$C27)/'P-Parametri'!$C$14,0)))</f>
        <v>2436.4880384615385</v>
      </c>
      <c r="F27" s="9">
        <f>IF($C27&lt;='P-Parametri'!$C$15,0,IF($C27&lt;='P-Parametri'!$D$15,'P-Parametri'!$B$15,IF($C27&lt;'P-Parametri'!$E$15,'P-Parametri'!$B$15*('P-Parametri'!$E$15-$C27)/('P-Parametri'!$E$15-'P-Parametri'!$D$15),0)))</f>
        <v>1000</v>
      </c>
      <c r="G27" s="9">
        <f>IF($C27&gt;'P-Parametri'!$D$18,0,IF($C27&lt;='P-Parametri'!$B$18,'P-Parametri'!$B$17*$C27,IF($C27&lt;='P-Parametri'!$C$18,'P-Parametri'!$C$17*$C27,'P-Parametri'!$D$17*$C27)))</f>
        <v>0</v>
      </c>
      <c r="H27" s="9">
        <f>IF(AND($C27&lt;='P-Parametri'!$C$16,D27&gt;E27-'P-Parametri'!$D$16),'P-Parametri'!$B$16,0)</f>
        <v>0</v>
      </c>
      <c r="I27" s="9">
        <f t="shared" si="1"/>
        <v>1680.6554615384616</v>
      </c>
      <c r="J27" s="9">
        <f>IF(I27&gt;0,'P-Parametri'!$B$20*$C27,0)</f>
        <v>444.96900000000005</v>
      </c>
      <c r="K27" s="9">
        <f t="shared" si="2"/>
        <v>20122.825538461537</v>
      </c>
      <c r="L27" s="11">
        <f t="shared" si="3"/>
        <v>0.82133981789638921</v>
      </c>
      <c r="M27" s="11">
        <f t="shared" si="4"/>
        <v>0.40205107692307862</v>
      </c>
      <c r="N27" s="11">
        <f>'P-Parametri'!$B$19+(1-'P-Parametri'!$B$19)*((IF(($A27*(1-'P-Parametri'!$B$19))&lt;='P-Parametri'!$B$6,'P-Parametri'!$C$6,IF(($A27*(1-'P-Parametri'!$B$19))&lt;='P-Parametri'!$B$7,'P-Parametri'!$C$7,'P-Parametri'!$C$8)))+(IF(($A27*(1-'P-Parametri'!$B$19))&lt;='P-Parametri'!$C$12,0,IF(($A27*(1-'P-Parametri'!$B$19))&lt;='P-Parametri'!$B$6,'P-Parametri'!$C$13/'P-Parametri'!$D$13,IF(($A27*(1-'P-Parametri'!$B$19))&lt;='P-Parametri'!$B$7,'P-Parametri'!$B$14/'P-Parametri'!$C$14,0))))+(IF(AND(($A27*(1-'P-Parametri'!$B$19))&gt;'P-Parametri'!$D$15,($A27*(1-'P-Parametri'!$B$19))&lt;'P-Parametri'!$E$15),'P-Parametri'!$B$15/('P-Parametri'!$E$15-'P-Parametri'!$D$15),0))+'P-Parametri'!$B$20)</f>
        <v>0.40205107692307696</v>
      </c>
      <c r="O27" s="11">
        <f t="shared" si="5"/>
        <v>1.6653345369377348E-15</v>
      </c>
    </row>
    <row r="28" spans="1:15">
      <c r="A28" s="17">
        <f>25000</f>
        <v>25000</v>
      </c>
      <c r="B28" s="9">
        <f>'P-Parametri'!$B$19*$A28</f>
        <v>2297.5</v>
      </c>
      <c r="C28" s="9">
        <f t="shared" si="0"/>
        <v>22702.5</v>
      </c>
      <c r="D28" s="9">
        <f>IF($C28&lt;='P-Parametri'!$B$6,'P-Parametri'!$C$6*$C28,IF($C28&lt;='P-Parametri'!$B$7,'P-Parametri'!$B$9+'P-Parametri'!$C$7*($C28-'P-Parametri'!$B$6),'P-Parametri'!$B$10+'P-Parametri'!$C$8*($C28-'P-Parametri'!$B$7)))</f>
        <v>5221.5749999999998</v>
      </c>
      <c r="E28" s="9">
        <f>IF($C28&lt;='P-Parametri'!$C$12,'P-Parametri'!$B$12,IF($C28&lt;='P-Parametri'!$B$6,'P-Parametri'!$B$13+'P-Parametri'!$C$13*('P-Parametri'!$B$6-$C28)/'P-Parametri'!$D$13,IF($C28&lt;='P-Parametri'!$B$7,'P-Parametri'!$B$14*('P-Parametri'!$B$7-$C28)/'P-Parametri'!$C$14,0)))</f>
        <v>2394.9250000000002</v>
      </c>
      <c r="F28" s="9">
        <f>IF($C28&lt;='P-Parametri'!$C$15,0,IF($C28&lt;='P-Parametri'!$D$15,'P-Parametri'!$B$15,IF($C28&lt;'P-Parametri'!$E$15,'P-Parametri'!$B$15*('P-Parametri'!$E$15-$C28)/('P-Parametri'!$E$15-'P-Parametri'!$D$15),0)))</f>
        <v>1000</v>
      </c>
      <c r="G28" s="9">
        <f>IF($C28&gt;'P-Parametri'!$D$18,0,IF($C28&lt;='P-Parametri'!$B$18,'P-Parametri'!$B$17*$C28,IF($C28&lt;='P-Parametri'!$C$18,'P-Parametri'!$C$17*$C28,'P-Parametri'!$D$17*$C28)))</f>
        <v>0</v>
      </c>
      <c r="H28" s="9">
        <f>IF(AND($C28&lt;='P-Parametri'!$C$16,D28&gt;E28-'P-Parametri'!$D$16),'P-Parametri'!$B$16,0)</f>
        <v>0</v>
      </c>
      <c r="I28" s="9">
        <f t="shared" si="1"/>
        <v>1826.6499999999996</v>
      </c>
      <c r="J28" s="9">
        <f>IF(I28&gt;0,'P-Parametri'!$B$20*$C28,0)</f>
        <v>454.05</v>
      </c>
      <c r="K28" s="9">
        <f t="shared" si="2"/>
        <v>20421.8</v>
      </c>
      <c r="L28" s="11">
        <f t="shared" si="3"/>
        <v>0.81687199999999993</v>
      </c>
      <c r="M28" s="11">
        <f t="shared" si="4"/>
        <v>0.40205107692307862</v>
      </c>
      <c r="N28" s="11">
        <f>'P-Parametri'!$B$19+(1-'P-Parametri'!$B$19)*((IF(($A28*(1-'P-Parametri'!$B$19))&lt;='P-Parametri'!$B$6,'P-Parametri'!$C$6,IF(($A28*(1-'P-Parametri'!$B$19))&lt;='P-Parametri'!$B$7,'P-Parametri'!$C$7,'P-Parametri'!$C$8)))+(IF(($A28*(1-'P-Parametri'!$B$19))&lt;='P-Parametri'!$C$12,0,IF(($A28*(1-'P-Parametri'!$B$19))&lt;='P-Parametri'!$B$6,'P-Parametri'!$C$13/'P-Parametri'!$D$13,IF(($A28*(1-'P-Parametri'!$B$19))&lt;='P-Parametri'!$B$7,'P-Parametri'!$B$14/'P-Parametri'!$C$14,0))))+(IF(AND(($A28*(1-'P-Parametri'!$B$19))&gt;'P-Parametri'!$D$15,($A28*(1-'P-Parametri'!$B$19))&lt;'P-Parametri'!$E$15),'P-Parametri'!$B$15/('P-Parametri'!$E$15-'P-Parametri'!$D$15),0))+'P-Parametri'!$B$20)</f>
        <v>0.40205107692307696</v>
      </c>
      <c r="O28" s="11">
        <f t="shared" si="5"/>
        <v>1.6653345369377348E-15</v>
      </c>
    </row>
    <row r="29" spans="1:15">
      <c r="A29" s="17">
        <f>25500</f>
        <v>25500</v>
      </c>
      <c r="B29" s="9">
        <f>'P-Parametri'!$B$19*$A29</f>
        <v>2343.4499999999998</v>
      </c>
      <c r="C29" s="9">
        <f t="shared" si="0"/>
        <v>23156.55</v>
      </c>
      <c r="D29" s="9">
        <f>IF($C29&lt;='P-Parametri'!$B$6,'P-Parametri'!$C$6*$C29,IF($C29&lt;='P-Parametri'!$B$7,'P-Parametri'!$B$9+'P-Parametri'!$C$7*($C29-'P-Parametri'!$B$6),'P-Parametri'!$B$10+'P-Parametri'!$C$8*($C29-'P-Parametri'!$B$7)))</f>
        <v>5326.0065000000004</v>
      </c>
      <c r="E29" s="9">
        <f>IF($C29&lt;='P-Parametri'!$C$12,'P-Parametri'!$B$12,IF($C29&lt;='P-Parametri'!$B$6,'P-Parametri'!$B$13+'P-Parametri'!$C$13*('P-Parametri'!$B$6-$C29)/'P-Parametri'!$D$13,IF($C29&lt;='P-Parametri'!$B$7,'P-Parametri'!$B$14*('P-Parametri'!$B$7-$C29)/'P-Parametri'!$C$14,0)))</f>
        <v>2353.3619615384614</v>
      </c>
      <c r="F29" s="9">
        <f>IF($C29&lt;='P-Parametri'!$C$15,0,IF($C29&lt;='P-Parametri'!$D$15,'P-Parametri'!$B$15,IF($C29&lt;'P-Parametri'!$E$15,'P-Parametri'!$B$15*('P-Parametri'!$E$15-$C29)/('P-Parametri'!$E$15-'P-Parametri'!$D$15),0)))</f>
        <v>1000</v>
      </c>
      <c r="G29" s="9">
        <f>IF($C29&gt;'P-Parametri'!$D$18,0,IF($C29&lt;='P-Parametri'!$B$18,'P-Parametri'!$B$17*$C29,IF($C29&lt;='P-Parametri'!$C$18,'P-Parametri'!$C$17*$C29,'P-Parametri'!$D$17*$C29)))</f>
        <v>0</v>
      </c>
      <c r="H29" s="9">
        <f>IF(AND($C29&lt;='P-Parametri'!$C$16,D29&gt;E29-'P-Parametri'!$D$16),'P-Parametri'!$B$16,0)</f>
        <v>0</v>
      </c>
      <c r="I29" s="9">
        <f t="shared" si="1"/>
        <v>1972.644538461539</v>
      </c>
      <c r="J29" s="9">
        <f>IF(I29&gt;0,'P-Parametri'!$B$20*$C29,0)</f>
        <v>463.13099999999997</v>
      </c>
      <c r="K29" s="9">
        <f t="shared" si="2"/>
        <v>20720.774461538458</v>
      </c>
      <c r="L29" s="11">
        <f t="shared" si="3"/>
        <v>0.81257939064856699</v>
      </c>
      <c r="M29" s="11">
        <f t="shared" si="4"/>
        <v>0.40205107692307507</v>
      </c>
      <c r="N29" s="11">
        <f>'P-Parametri'!$B$19+(1-'P-Parametri'!$B$19)*((IF(($A29*(1-'P-Parametri'!$B$19))&lt;='P-Parametri'!$B$6,'P-Parametri'!$C$6,IF(($A29*(1-'P-Parametri'!$B$19))&lt;='P-Parametri'!$B$7,'P-Parametri'!$C$7,'P-Parametri'!$C$8)))+(IF(($A29*(1-'P-Parametri'!$B$19))&lt;='P-Parametri'!$C$12,0,IF(($A29*(1-'P-Parametri'!$B$19))&lt;='P-Parametri'!$B$6,'P-Parametri'!$C$13/'P-Parametri'!$D$13,IF(($A29*(1-'P-Parametri'!$B$19))&lt;='P-Parametri'!$B$7,'P-Parametri'!$B$14/'P-Parametri'!$C$14,0))))+(IF(AND(($A29*(1-'P-Parametri'!$B$19))&gt;'P-Parametri'!$D$15,($A29*(1-'P-Parametri'!$B$19))&lt;'P-Parametri'!$E$15),'P-Parametri'!$B$15/('P-Parametri'!$E$15-'P-Parametri'!$D$15),0))+'P-Parametri'!$B$20)</f>
        <v>0.40205107692307696</v>
      </c>
      <c r="O29" s="11">
        <f t="shared" si="5"/>
        <v>-1.8873791418627661E-15</v>
      </c>
    </row>
    <row r="30" spans="1:15">
      <c r="A30" s="17">
        <f>26000</f>
        <v>26000</v>
      </c>
      <c r="B30" s="9">
        <f>'P-Parametri'!$B$19*$A30</f>
        <v>2389.4</v>
      </c>
      <c r="C30" s="9">
        <f t="shared" si="0"/>
        <v>23610.6</v>
      </c>
      <c r="D30" s="9">
        <f>IF($C30&lt;='P-Parametri'!$B$6,'P-Parametri'!$C$6*$C30,IF($C30&lt;='P-Parametri'!$B$7,'P-Parametri'!$B$9+'P-Parametri'!$C$7*($C30-'P-Parametri'!$B$6),'P-Parametri'!$B$10+'P-Parametri'!$C$8*($C30-'P-Parametri'!$B$7)))</f>
        <v>5430.4380000000001</v>
      </c>
      <c r="E30" s="9">
        <f>IF($C30&lt;='P-Parametri'!$C$12,'P-Parametri'!$B$12,IF($C30&lt;='P-Parametri'!$B$6,'P-Parametri'!$B$13+'P-Parametri'!$C$13*('P-Parametri'!$B$6-$C30)/'P-Parametri'!$D$13,IF($C30&lt;='P-Parametri'!$B$7,'P-Parametri'!$B$14*('P-Parametri'!$B$7-$C30)/'P-Parametri'!$C$14,0)))</f>
        <v>2311.7989230769231</v>
      </c>
      <c r="F30" s="9">
        <f>IF($C30&lt;='P-Parametri'!$C$15,0,IF($C30&lt;='P-Parametri'!$D$15,'P-Parametri'!$B$15,IF($C30&lt;'P-Parametri'!$E$15,'P-Parametri'!$B$15*('P-Parametri'!$E$15-$C30)/('P-Parametri'!$E$15-'P-Parametri'!$D$15),0)))</f>
        <v>1000</v>
      </c>
      <c r="G30" s="9">
        <f>IF($C30&gt;'P-Parametri'!$D$18,0,IF($C30&lt;='P-Parametri'!$B$18,'P-Parametri'!$B$17*$C30,IF($C30&lt;='P-Parametri'!$C$18,'P-Parametri'!$C$17*$C30,'P-Parametri'!$D$17*$C30)))</f>
        <v>0</v>
      </c>
      <c r="H30" s="9">
        <f>IF(AND($C30&lt;='P-Parametri'!$C$16,D30&gt;E30-'P-Parametri'!$D$16),'P-Parametri'!$B$16,0)</f>
        <v>0</v>
      </c>
      <c r="I30" s="9">
        <f t="shared" si="1"/>
        <v>2118.639076923077</v>
      </c>
      <c r="J30" s="9">
        <f>IF(I30&gt;0,'P-Parametri'!$B$20*$C30,0)</f>
        <v>472.21199999999999</v>
      </c>
      <c r="K30" s="9">
        <f t="shared" si="2"/>
        <v>21019.748923076921</v>
      </c>
      <c r="L30" s="11">
        <f t="shared" si="3"/>
        <v>0.80845188165680459</v>
      </c>
      <c r="M30" s="11">
        <f t="shared" si="4"/>
        <v>0.40205107692307507</v>
      </c>
      <c r="N30" s="11">
        <f>'P-Parametri'!$B$19+(1-'P-Parametri'!$B$19)*((IF(($A30*(1-'P-Parametri'!$B$19))&lt;='P-Parametri'!$B$6,'P-Parametri'!$C$6,IF(($A30*(1-'P-Parametri'!$B$19))&lt;='P-Parametri'!$B$7,'P-Parametri'!$C$7,'P-Parametri'!$C$8)))+(IF(($A30*(1-'P-Parametri'!$B$19))&lt;='P-Parametri'!$C$12,0,IF(($A30*(1-'P-Parametri'!$B$19))&lt;='P-Parametri'!$B$6,'P-Parametri'!$C$13/'P-Parametri'!$D$13,IF(($A30*(1-'P-Parametri'!$B$19))&lt;='P-Parametri'!$B$7,'P-Parametri'!$B$14/'P-Parametri'!$C$14,0))))+(IF(AND(($A30*(1-'P-Parametri'!$B$19))&gt;'P-Parametri'!$D$15,($A30*(1-'P-Parametri'!$B$19))&lt;'P-Parametri'!$E$15),'P-Parametri'!$B$15/('P-Parametri'!$E$15-'P-Parametri'!$D$15),0))+'P-Parametri'!$B$20)</f>
        <v>0.40205107692307696</v>
      </c>
      <c r="O30" s="11">
        <f t="shared" si="5"/>
        <v>-1.8873791418627661E-15</v>
      </c>
    </row>
    <row r="31" spans="1:15">
      <c r="A31" s="17">
        <f>26500</f>
        <v>26500</v>
      </c>
      <c r="B31" s="9">
        <f>'P-Parametri'!$B$19*$A31</f>
        <v>2435.35</v>
      </c>
      <c r="C31" s="9">
        <f t="shared" si="0"/>
        <v>24064.65</v>
      </c>
      <c r="D31" s="9">
        <f>IF($C31&lt;='P-Parametri'!$B$6,'P-Parametri'!$C$6*$C31,IF($C31&lt;='P-Parametri'!$B$7,'P-Parametri'!$B$9+'P-Parametri'!$C$7*($C31-'P-Parametri'!$B$6),'P-Parametri'!$B$10+'P-Parametri'!$C$8*($C31-'P-Parametri'!$B$7)))</f>
        <v>5534.8695000000007</v>
      </c>
      <c r="E31" s="9">
        <f>IF($C31&lt;='P-Parametri'!$C$12,'P-Parametri'!$B$12,IF($C31&lt;='P-Parametri'!$B$6,'P-Parametri'!$B$13+'P-Parametri'!$C$13*('P-Parametri'!$B$6-$C31)/'P-Parametri'!$D$13,IF($C31&lt;='P-Parametri'!$B$7,'P-Parametri'!$B$14*('P-Parametri'!$B$7-$C31)/'P-Parametri'!$C$14,0)))</f>
        <v>2270.2358846153843</v>
      </c>
      <c r="F31" s="9">
        <f>IF($C31&lt;='P-Parametri'!$C$15,0,IF($C31&lt;='P-Parametri'!$D$15,'P-Parametri'!$B$15,IF($C31&lt;'P-Parametri'!$E$15,'P-Parametri'!$B$15*('P-Parametri'!$E$15-$C31)/('P-Parametri'!$E$15-'P-Parametri'!$D$15),0)))</f>
        <v>1000</v>
      </c>
      <c r="G31" s="9">
        <f>IF($C31&gt;'P-Parametri'!$D$18,0,IF($C31&lt;='P-Parametri'!$B$18,'P-Parametri'!$B$17*$C31,IF($C31&lt;='P-Parametri'!$C$18,'P-Parametri'!$C$17*$C31,'P-Parametri'!$D$17*$C31)))</f>
        <v>0</v>
      </c>
      <c r="H31" s="9">
        <f>IF(AND($C31&lt;='P-Parametri'!$C$16,D31&gt;E31-'P-Parametri'!$D$16),'P-Parametri'!$B$16,0)</f>
        <v>0</v>
      </c>
      <c r="I31" s="9">
        <f t="shared" si="1"/>
        <v>2264.6336153846164</v>
      </c>
      <c r="J31" s="9">
        <f>IF(I31&gt;0,'P-Parametri'!$B$20*$C31,0)</f>
        <v>481.29300000000006</v>
      </c>
      <c r="K31" s="9">
        <f t="shared" si="2"/>
        <v>21318.723384615383</v>
      </c>
      <c r="L31" s="11">
        <f t="shared" si="3"/>
        <v>0.80448012772133526</v>
      </c>
      <c r="M31" s="11">
        <f t="shared" si="4"/>
        <v>0.40205107692307862</v>
      </c>
      <c r="N31" s="11">
        <f>'P-Parametri'!$B$19+(1-'P-Parametri'!$B$19)*((IF(($A31*(1-'P-Parametri'!$B$19))&lt;='P-Parametri'!$B$6,'P-Parametri'!$C$6,IF(($A31*(1-'P-Parametri'!$B$19))&lt;='P-Parametri'!$B$7,'P-Parametri'!$C$7,'P-Parametri'!$C$8)))+(IF(($A31*(1-'P-Parametri'!$B$19))&lt;='P-Parametri'!$C$12,0,IF(($A31*(1-'P-Parametri'!$B$19))&lt;='P-Parametri'!$B$6,'P-Parametri'!$C$13/'P-Parametri'!$D$13,IF(($A31*(1-'P-Parametri'!$B$19))&lt;='P-Parametri'!$B$7,'P-Parametri'!$B$14/'P-Parametri'!$C$14,0))))+(IF(AND(($A31*(1-'P-Parametri'!$B$19))&gt;'P-Parametri'!$D$15,($A31*(1-'P-Parametri'!$B$19))&lt;'P-Parametri'!$E$15),'P-Parametri'!$B$15/('P-Parametri'!$E$15-'P-Parametri'!$D$15),0))+'P-Parametri'!$B$20)</f>
        <v>0.40205107692307696</v>
      </c>
      <c r="O31" s="11">
        <f t="shared" si="5"/>
        <v>1.6653345369377348E-15</v>
      </c>
    </row>
    <row r="32" spans="1:15">
      <c r="A32" s="17">
        <f>27000</f>
        <v>27000</v>
      </c>
      <c r="B32" s="9">
        <f>'P-Parametri'!$B$19*$A32</f>
        <v>2481.2999999999997</v>
      </c>
      <c r="C32" s="9">
        <f t="shared" si="0"/>
        <v>24518.7</v>
      </c>
      <c r="D32" s="9">
        <f>IF($C32&lt;='P-Parametri'!$B$6,'P-Parametri'!$C$6*$C32,IF($C32&lt;='P-Parametri'!$B$7,'P-Parametri'!$B$9+'P-Parametri'!$C$7*($C32-'P-Parametri'!$B$6),'P-Parametri'!$B$10+'P-Parametri'!$C$8*($C32-'P-Parametri'!$B$7)))</f>
        <v>5639.3010000000004</v>
      </c>
      <c r="E32" s="9">
        <f>IF($C32&lt;='P-Parametri'!$C$12,'P-Parametri'!$B$12,IF($C32&lt;='P-Parametri'!$B$6,'P-Parametri'!$B$13+'P-Parametri'!$C$13*('P-Parametri'!$B$6-$C32)/'P-Parametri'!$D$13,IF($C32&lt;='P-Parametri'!$B$7,'P-Parametri'!$B$14*('P-Parametri'!$B$7-$C32)/'P-Parametri'!$C$14,0)))</f>
        <v>2228.672846153846</v>
      </c>
      <c r="F32" s="9">
        <f>IF($C32&lt;='P-Parametri'!$C$15,0,IF($C32&lt;='P-Parametri'!$D$15,'P-Parametri'!$B$15,IF($C32&lt;'P-Parametri'!$E$15,'P-Parametri'!$B$15*('P-Parametri'!$E$15-$C32)/('P-Parametri'!$E$15-'P-Parametri'!$D$15),0)))</f>
        <v>1000</v>
      </c>
      <c r="G32" s="9">
        <f>IF($C32&gt;'P-Parametri'!$D$18,0,IF($C32&lt;='P-Parametri'!$B$18,'P-Parametri'!$B$17*$C32,IF($C32&lt;='P-Parametri'!$C$18,'P-Parametri'!$C$17*$C32,'P-Parametri'!$D$17*$C32)))</f>
        <v>0</v>
      </c>
      <c r="H32" s="9">
        <f>IF(AND($C32&lt;='P-Parametri'!$C$16,D32&gt;E32-'P-Parametri'!$D$16),'P-Parametri'!$B$16,0)</f>
        <v>0</v>
      </c>
      <c r="I32" s="9">
        <f t="shared" si="1"/>
        <v>2410.6281538461544</v>
      </c>
      <c r="J32" s="9">
        <f>IF(I32&gt;0,'P-Parametri'!$B$20*$C32,0)</f>
        <v>490.37400000000002</v>
      </c>
      <c r="K32" s="9">
        <f t="shared" si="2"/>
        <v>21617.697846153846</v>
      </c>
      <c r="L32" s="11">
        <f t="shared" si="3"/>
        <v>0.80065547578347573</v>
      </c>
      <c r="M32" s="11">
        <f t="shared" si="4"/>
        <v>0.40205107692307507</v>
      </c>
      <c r="N32" s="11">
        <f>'P-Parametri'!$B$19+(1-'P-Parametri'!$B$19)*((IF(($A32*(1-'P-Parametri'!$B$19))&lt;='P-Parametri'!$B$6,'P-Parametri'!$C$6,IF(($A32*(1-'P-Parametri'!$B$19))&lt;='P-Parametri'!$B$7,'P-Parametri'!$C$7,'P-Parametri'!$C$8)))+(IF(($A32*(1-'P-Parametri'!$B$19))&lt;='P-Parametri'!$C$12,0,IF(($A32*(1-'P-Parametri'!$B$19))&lt;='P-Parametri'!$B$6,'P-Parametri'!$C$13/'P-Parametri'!$D$13,IF(($A32*(1-'P-Parametri'!$B$19))&lt;='P-Parametri'!$B$7,'P-Parametri'!$B$14/'P-Parametri'!$C$14,0))))+(IF(AND(($A32*(1-'P-Parametri'!$B$19))&gt;'P-Parametri'!$D$15,($A32*(1-'P-Parametri'!$B$19))&lt;'P-Parametri'!$E$15),'P-Parametri'!$B$15/('P-Parametri'!$E$15-'P-Parametri'!$D$15),0))+'P-Parametri'!$B$20)</f>
        <v>0.40205107692307696</v>
      </c>
      <c r="O32" s="11">
        <f t="shared" si="5"/>
        <v>-1.8873791418627661E-15</v>
      </c>
    </row>
    <row r="33" spans="1:15">
      <c r="A33" s="17">
        <f>27500</f>
        <v>27500</v>
      </c>
      <c r="B33" s="9">
        <f>'P-Parametri'!$B$19*$A33</f>
        <v>2527.25</v>
      </c>
      <c r="C33" s="9">
        <f t="shared" si="0"/>
        <v>24972.75</v>
      </c>
      <c r="D33" s="9">
        <f>IF($C33&lt;='P-Parametri'!$B$6,'P-Parametri'!$C$6*$C33,IF($C33&lt;='P-Parametri'!$B$7,'P-Parametri'!$B$9+'P-Parametri'!$C$7*($C33-'P-Parametri'!$B$6),'P-Parametri'!$B$10+'P-Parametri'!$C$8*($C33-'P-Parametri'!$B$7)))</f>
        <v>5743.7325000000001</v>
      </c>
      <c r="E33" s="9">
        <f>IF($C33&lt;='P-Parametri'!$C$12,'P-Parametri'!$B$12,IF($C33&lt;='P-Parametri'!$B$6,'P-Parametri'!$B$13+'P-Parametri'!$C$13*('P-Parametri'!$B$6-$C33)/'P-Parametri'!$D$13,IF($C33&lt;='P-Parametri'!$B$7,'P-Parametri'!$B$14*('P-Parametri'!$B$7-$C33)/'P-Parametri'!$C$14,0)))</f>
        <v>2187.1098076923076</v>
      </c>
      <c r="F33" s="9">
        <f>IF($C33&lt;='P-Parametri'!$C$15,0,IF($C33&lt;='P-Parametri'!$D$15,'P-Parametri'!$B$15,IF($C33&lt;'P-Parametri'!$E$15,'P-Parametri'!$B$15*('P-Parametri'!$E$15-$C33)/('P-Parametri'!$E$15-'P-Parametri'!$D$15),0)))</f>
        <v>1000</v>
      </c>
      <c r="G33" s="9">
        <f>IF($C33&gt;'P-Parametri'!$D$18,0,IF($C33&lt;='P-Parametri'!$B$18,'P-Parametri'!$B$17*$C33,IF($C33&lt;='P-Parametri'!$C$18,'P-Parametri'!$C$17*$C33,'P-Parametri'!$D$17*$C33)))</f>
        <v>0</v>
      </c>
      <c r="H33" s="9">
        <f>IF(AND($C33&lt;='P-Parametri'!$C$16,D33&gt;E33-'P-Parametri'!$D$16),'P-Parametri'!$B$16,0)</f>
        <v>0</v>
      </c>
      <c r="I33" s="9">
        <f t="shared" si="1"/>
        <v>2556.6226923076924</v>
      </c>
      <c r="J33" s="9">
        <f>IF(I33&gt;0,'P-Parametri'!$B$20*$C33,0)</f>
        <v>499.45499999999998</v>
      </c>
      <c r="K33" s="9">
        <f t="shared" si="2"/>
        <v>21916.672307692304</v>
      </c>
      <c r="L33" s="11">
        <f t="shared" si="3"/>
        <v>0.79696990209790197</v>
      </c>
      <c r="M33" s="11">
        <f t="shared" si="4"/>
        <v>0.40205107692307507</v>
      </c>
      <c r="N33" s="11">
        <f>'P-Parametri'!$B$19+(1-'P-Parametri'!$B$19)*((IF(($A33*(1-'P-Parametri'!$B$19))&lt;='P-Parametri'!$B$6,'P-Parametri'!$C$6,IF(($A33*(1-'P-Parametri'!$B$19))&lt;='P-Parametri'!$B$7,'P-Parametri'!$C$7,'P-Parametri'!$C$8)))+(IF(($A33*(1-'P-Parametri'!$B$19))&lt;='P-Parametri'!$C$12,0,IF(($A33*(1-'P-Parametri'!$B$19))&lt;='P-Parametri'!$B$6,'P-Parametri'!$C$13/'P-Parametri'!$D$13,IF(($A33*(1-'P-Parametri'!$B$19))&lt;='P-Parametri'!$B$7,'P-Parametri'!$B$14/'P-Parametri'!$C$14,0))))+(IF(AND(($A33*(1-'P-Parametri'!$B$19))&gt;'P-Parametri'!$D$15,($A33*(1-'P-Parametri'!$B$19))&lt;'P-Parametri'!$E$15),'P-Parametri'!$B$15/('P-Parametri'!$E$15-'P-Parametri'!$D$15),0))+'P-Parametri'!$B$20)</f>
        <v>0.40205107692307696</v>
      </c>
      <c r="O33" s="11">
        <f t="shared" si="5"/>
        <v>-1.8873791418627661E-15</v>
      </c>
    </row>
    <row r="34" spans="1:15">
      <c r="A34" s="17">
        <f>28000</f>
        <v>28000</v>
      </c>
      <c r="B34" s="9">
        <f>'P-Parametri'!$B$19*$A34</f>
        <v>2573.1999999999998</v>
      </c>
      <c r="C34" s="9">
        <f t="shared" si="0"/>
        <v>25426.799999999999</v>
      </c>
      <c r="D34" s="9">
        <f>IF($C34&lt;='P-Parametri'!$B$6,'P-Parametri'!$C$6*$C34,IF($C34&lt;='P-Parametri'!$B$7,'P-Parametri'!$B$9+'P-Parametri'!$C$7*($C34-'P-Parametri'!$B$6),'P-Parametri'!$B$10+'P-Parametri'!$C$8*($C34-'P-Parametri'!$B$7)))</f>
        <v>5848.1639999999998</v>
      </c>
      <c r="E34" s="9">
        <f>IF($C34&lt;='P-Parametri'!$C$12,'P-Parametri'!$B$12,IF($C34&lt;='P-Parametri'!$B$6,'P-Parametri'!$B$13+'P-Parametri'!$C$13*('P-Parametri'!$B$6-$C34)/'P-Parametri'!$D$13,IF($C34&lt;='P-Parametri'!$B$7,'P-Parametri'!$B$14*('P-Parametri'!$B$7-$C34)/'P-Parametri'!$C$14,0)))</f>
        <v>2145.5467692307693</v>
      </c>
      <c r="F34" s="9">
        <f>IF($C34&lt;='P-Parametri'!$C$15,0,IF($C34&lt;='P-Parametri'!$D$15,'P-Parametri'!$B$15,IF($C34&lt;'P-Parametri'!$E$15,'P-Parametri'!$B$15*('P-Parametri'!$E$15-$C34)/('P-Parametri'!$E$15-'P-Parametri'!$D$15),0)))</f>
        <v>1000</v>
      </c>
      <c r="G34" s="9">
        <f>IF($C34&gt;'P-Parametri'!$D$18,0,IF($C34&lt;='P-Parametri'!$B$18,'P-Parametri'!$B$17*$C34,IF($C34&lt;='P-Parametri'!$C$18,'P-Parametri'!$C$17*$C34,'P-Parametri'!$D$17*$C34)))</f>
        <v>0</v>
      </c>
      <c r="H34" s="9">
        <f>IF(AND($C34&lt;='P-Parametri'!$C$16,D34&gt;E34-'P-Parametri'!$D$16),'P-Parametri'!$B$16,0)</f>
        <v>0</v>
      </c>
      <c r="I34" s="9">
        <f t="shared" si="1"/>
        <v>2702.6172307692304</v>
      </c>
      <c r="J34" s="9">
        <f>IF(I34&gt;0,'P-Parametri'!$B$20*$C34,0)</f>
        <v>508.536</v>
      </c>
      <c r="K34" s="9">
        <f t="shared" si="2"/>
        <v>22215.646769230771</v>
      </c>
      <c r="L34" s="11">
        <f t="shared" si="3"/>
        <v>0.79341595604395609</v>
      </c>
      <c r="M34" s="11">
        <f t="shared" si="4"/>
        <v>0.40205107692307862</v>
      </c>
      <c r="N34" s="11">
        <f>'P-Parametri'!$B$19+(1-'P-Parametri'!$B$19)*((IF(($A34*(1-'P-Parametri'!$B$19))&lt;='P-Parametri'!$B$6,'P-Parametri'!$C$6,IF(($A34*(1-'P-Parametri'!$B$19))&lt;='P-Parametri'!$B$7,'P-Parametri'!$C$7,'P-Parametri'!$C$8)))+(IF(($A34*(1-'P-Parametri'!$B$19))&lt;='P-Parametri'!$C$12,0,IF(($A34*(1-'P-Parametri'!$B$19))&lt;='P-Parametri'!$B$6,'P-Parametri'!$C$13/'P-Parametri'!$D$13,IF(($A34*(1-'P-Parametri'!$B$19))&lt;='P-Parametri'!$B$7,'P-Parametri'!$B$14/'P-Parametri'!$C$14,0))))+(IF(AND(($A34*(1-'P-Parametri'!$B$19))&gt;'P-Parametri'!$D$15,($A34*(1-'P-Parametri'!$B$19))&lt;'P-Parametri'!$E$15),'P-Parametri'!$B$15/('P-Parametri'!$E$15-'P-Parametri'!$D$15),0))+'P-Parametri'!$B$20)</f>
        <v>0.40205107692307696</v>
      </c>
      <c r="O34" s="11">
        <f t="shared" si="5"/>
        <v>1.6653345369377348E-15</v>
      </c>
    </row>
    <row r="35" spans="1:15">
      <c r="A35" s="17">
        <f>28500</f>
        <v>28500</v>
      </c>
      <c r="B35" s="9">
        <f>'P-Parametri'!$B$19*$A35</f>
        <v>2619.15</v>
      </c>
      <c r="C35" s="9">
        <f t="shared" si="0"/>
        <v>25880.85</v>
      </c>
      <c r="D35" s="9">
        <f>IF($C35&lt;='P-Parametri'!$B$6,'P-Parametri'!$C$6*$C35,IF($C35&lt;='P-Parametri'!$B$7,'P-Parametri'!$B$9+'P-Parametri'!$C$7*($C35-'P-Parametri'!$B$6),'P-Parametri'!$B$10+'P-Parametri'!$C$8*($C35-'P-Parametri'!$B$7)))</f>
        <v>5952.5955000000004</v>
      </c>
      <c r="E35" s="9">
        <f>IF($C35&lt;='P-Parametri'!$C$12,'P-Parametri'!$B$12,IF($C35&lt;='P-Parametri'!$B$6,'P-Parametri'!$B$13+'P-Parametri'!$C$13*('P-Parametri'!$B$6-$C35)/'P-Parametri'!$D$13,IF($C35&lt;='P-Parametri'!$B$7,'P-Parametri'!$B$14*('P-Parametri'!$B$7-$C35)/'P-Parametri'!$C$14,0)))</f>
        <v>2103.983730769231</v>
      </c>
      <c r="F35" s="9">
        <f>IF($C35&lt;='P-Parametri'!$C$15,0,IF($C35&lt;='P-Parametri'!$D$15,'P-Parametri'!$B$15,IF($C35&lt;'P-Parametri'!$E$15,'P-Parametri'!$B$15*('P-Parametri'!$E$15-$C35)/('P-Parametri'!$E$15-'P-Parametri'!$D$15),0)))</f>
        <v>1000</v>
      </c>
      <c r="G35" s="9">
        <f>IF($C35&gt;'P-Parametri'!$D$18,0,IF($C35&lt;='P-Parametri'!$B$18,'P-Parametri'!$B$17*$C35,IF($C35&lt;='P-Parametri'!$C$18,'P-Parametri'!$C$17*$C35,'P-Parametri'!$D$17*$C35)))</f>
        <v>0</v>
      </c>
      <c r="H35" s="9">
        <f>IF(AND($C35&lt;='P-Parametri'!$C$16,D35&gt;E35-'P-Parametri'!$D$16),'P-Parametri'!$B$16,0)</f>
        <v>0</v>
      </c>
      <c r="I35" s="9">
        <f t="shared" si="1"/>
        <v>2848.6117692307694</v>
      </c>
      <c r="J35" s="9">
        <f>IF(I35&gt;0,'P-Parametri'!$B$20*$C35,0)</f>
        <v>517.61699999999996</v>
      </c>
      <c r="K35" s="9">
        <f t="shared" si="2"/>
        <v>22514.621230769229</v>
      </c>
      <c r="L35" s="11">
        <f t="shared" si="3"/>
        <v>0.78998670985155195</v>
      </c>
      <c r="M35" s="11">
        <f t="shared" si="4"/>
        <v>0.40205107692307507</v>
      </c>
      <c r="N35" s="11">
        <f>'P-Parametri'!$B$19+(1-'P-Parametri'!$B$19)*((IF(($A35*(1-'P-Parametri'!$B$19))&lt;='P-Parametri'!$B$6,'P-Parametri'!$C$6,IF(($A35*(1-'P-Parametri'!$B$19))&lt;='P-Parametri'!$B$7,'P-Parametri'!$C$7,'P-Parametri'!$C$8)))+(IF(($A35*(1-'P-Parametri'!$B$19))&lt;='P-Parametri'!$C$12,0,IF(($A35*(1-'P-Parametri'!$B$19))&lt;='P-Parametri'!$B$6,'P-Parametri'!$C$13/'P-Parametri'!$D$13,IF(($A35*(1-'P-Parametri'!$B$19))&lt;='P-Parametri'!$B$7,'P-Parametri'!$B$14/'P-Parametri'!$C$14,0))))+(IF(AND(($A35*(1-'P-Parametri'!$B$19))&gt;'P-Parametri'!$D$15,($A35*(1-'P-Parametri'!$B$19))&lt;'P-Parametri'!$E$15),'P-Parametri'!$B$15/('P-Parametri'!$E$15-'P-Parametri'!$D$15),0))+'P-Parametri'!$B$20)</f>
        <v>0.40205107692307696</v>
      </c>
      <c r="O35" s="11">
        <f t="shared" si="5"/>
        <v>-1.8873791418627661E-15</v>
      </c>
    </row>
    <row r="36" spans="1:15">
      <c r="A36" s="17">
        <f>29000</f>
        <v>29000</v>
      </c>
      <c r="B36" s="9">
        <f>'P-Parametri'!$B$19*$A36</f>
        <v>2665.1</v>
      </c>
      <c r="C36" s="9">
        <f t="shared" si="0"/>
        <v>26334.9</v>
      </c>
      <c r="D36" s="9">
        <f>IF($C36&lt;='P-Parametri'!$B$6,'P-Parametri'!$C$6*$C36,IF($C36&lt;='P-Parametri'!$B$7,'P-Parametri'!$B$9+'P-Parametri'!$C$7*($C36-'P-Parametri'!$B$6),'P-Parametri'!$B$10+'P-Parametri'!$C$8*($C36-'P-Parametri'!$B$7)))</f>
        <v>6057.027000000001</v>
      </c>
      <c r="E36" s="9">
        <f>IF($C36&lt;='P-Parametri'!$C$12,'P-Parametri'!$B$12,IF($C36&lt;='P-Parametri'!$B$6,'P-Parametri'!$B$13+'P-Parametri'!$C$13*('P-Parametri'!$B$6-$C36)/'P-Parametri'!$D$13,IF($C36&lt;='P-Parametri'!$B$7,'P-Parametri'!$B$14*('P-Parametri'!$B$7-$C36)/'P-Parametri'!$C$14,0)))</f>
        <v>2062.4206923076922</v>
      </c>
      <c r="F36" s="9">
        <f>IF($C36&lt;='P-Parametri'!$C$15,0,IF($C36&lt;='P-Parametri'!$D$15,'P-Parametri'!$B$15,IF($C36&lt;'P-Parametri'!$E$15,'P-Parametri'!$B$15*('P-Parametri'!$E$15-$C36)/('P-Parametri'!$E$15-'P-Parametri'!$D$15),0)))</f>
        <v>1000</v>
      </c>
      <c r="G36" s="9">
        <f>IF($C36&gt;'P-Parametri'!$D$18,0,IF($C36&lt;='P-Parametri'!$B$18,'P-Parametri'!$B$17*$C36,IF($C36&lt;='P-Parametri'!$C$18,'P-Parametri'!$C$17*$C36,'P-Parametri'!$D$17*$C36)))</f>
        <v>0</v>
      </c>
      <c r="H36" s="9">
        <f>IF(AND($C36&lt;='P-Parametri'!$C$16,D36&gt;E36-'P-Parametri'!$D$16),'P-Parametri'!$B$16,0)</f>
        <v>0</v>
      </c>
      <c r="I36" s="9">
        <f t="shared" si="1"/>
        <v>2994.6063076923087</v>
      </c>
      <c r="J36" s="9">
        <f>IF(I36&gt;0,'P-Parametri'!$B$20*$C36,0)</f>
        <v>526.69800000000009</v>
      </c>
      <c r="K36" s="9">
        <f t="shared" si="2"/>
        <v>22813.595692307692</v>
      </c>
      <c r="L36" s="11">
        <f t="shared" si="3"/>
        <v>0.78667571352785148</v>
      </c>
      <c r="M36" s="11">
        <f t="shared" si="4"/>
        <v>0.40205107692307862</v>
      </c>
      <c r="N36" s="11">
        <f>'P-Parametri'!$B$19+(1-'P-Parametri'!$B$19)*((IF(($A36*(1-'P-Parametri'!$B$19))&lt;='P-Parametri'!$B$6,'P-Parametri'!$C$6,IF(($A36*(1-'P-Parametri'!$B$19))&lt;='P-Parametri'!$B$7,'P-Parametri'!$C$7,'P-Parametri'!$C$8)))+(IF(($A36*(1-'P-Parametri'!$B$19))&lt;='P-Parametri'!$C$12,0,IF(($A36*(1-'P-Parametri'!$B$19))&lt;='P-Parametri'!$B$6,'P-Parametri'!$C$13/'P-Parametri'!$D$13,IF(($A36*(1-'P-Parametri'!$B$19))&lt;='P-Parametri'!$B$7,'P-Parametri'!$B$14/'P-Parametri'!$C$14,0))))+(IF(AND(($A36*(1-'P-Parametri'!$B$19))&gt;'P-Parametri'!$D$15,($A36*(1-'P-Parametri'!$B$19))&lt;'P-Parametri'!$E$15),'P-Parametri'!$B$15/('P-Parametri'!$E$15-'P-Parametri'!$D$15),0))+'P-Parametri'!$B$20)</f>
        <v>0.40205107692307696</v>
      </c>
      <c r="O36" s="11">
        <f t="shared" si="5"/>
        <v>1.6653345369377348E-15</v>
      </c>
    </row>
    <row r="37" spans="1:15">
      <c r="A37" s="17">
        <f>29500</f>
        <v>29500</v>
      </c>
      <c r="B37" s="9">
        <f>'P-Parametri'!$B$19*$A37</f>
        <v>2711.0499999999997</v>
      </c>
      <c r="C37" s="9">
        <f t="shared" si="0"/>
        <v>26788.95</v>
      </c>
      <c r="D37" s="9">
        <f>IF($C37&lt;='P-Parametri'!$B$6,'P-Parametri'!$C$6*$C37,IF($C37&lt;='P-Parametri'!$B$7,'P-Parametri'!$B$9+'P-Parametri'!$C$7*($C37-'P-Parametri'!$B$6),'P-Parametri'!$B$10+'P-Parametri'!$C$8*($C37-'P-Parametri'!$B$7)))</f>
        <v>6161.4585000000006</v>
      </c>
      <c r="E37" s="9">
        <f>IF($C37&lt;='P-Parametri'!$C$12,'P-Parametri'!$B$12,IF($C37&lt;='P-Parametri'!$B$6,'P-Parametri'!$B$13+'P-Parametri'!$C$13*('P-Parametri'!$B$6-$C37)/'P-Parametri'!$D$13,IF($C37&lt;='P-Parametri'!$B$7,'P-Parametri'!$B$14*('P-Parametri'!$B$7-$C37)/'P-Parametri'!$C$14,0)))</f>
        <v>2020.8576538461539</v>
      </c>
      <c r="F37" s="9">
        <f>IF($C37&lt;='P-Parametri'!$C$15,0,IF($C37&lt;='P-Parametri'!$D$15,'P-Parametri'!$B$15,IF($C37&lt;'P-Parametri'!$E$15,'P-Parametri'!$B$15*('P-Parametri'!$E$15-$C37)/('P-Parametri'!$E$15-'P-Parametri'!$D$15),0)))</f>
        <v>1000</v>
      </c>
      <c r="G37" s="9">
        <f>IF($C37&gt;'P-Parametri'!$D$18,0,IF($C37&lt;='P-Parametri'!$B$18,'P-Parametri'!$B$17*$C37,IF($C37&lt;='P-Parametri'!$C$18,'P-Parametri'!$C$17*$C37,'P-Parametri'!$D$17*$C37)))</f>
        <v>0</v>
      </c>
      <c r="H37" s="9">
        <f>IF(AND($C37&lt;='P-Parametri'!$C$16,D37&gt;E37-'P-Parametri'!$D$16),'P-Parametri'!$B$16,0)</f>
        <v>0</v>
      </c>
      <c r="I37" s="9">
        <f t="shared" si="1"/>
        <v>3140.6008461538468</v>
      </c>
      <c r="J37" s="9">
        <f>IF(I37&gt;0,'P-Parametri'!$B$20*$C37,0)</f>
        <v>535.779</v>
      </c>
      <c r="K37" s="9">
        <f t="shared" si="2"/>
        <v>23112.570153846154</v>
      </c>
      <c r="L37" s="11">
        <f t="shared" si="3"/>
        <v>0.78347695436766629</v>
      </c>
      <c r="M37" s="11">
        <f t="shared" si="4"/>
        <v>0.40205107692307862</v>
      </c>
      <c r="N37" s="11">
        <f>'P-Parametri'!$B$19+(1-'P-Parametri'!$B$19)*((IF(($A37*(1-'P-Parametri'!$B$19))&lt;='P-Parametri'!$B$6,'P-Parametri'!$C$6,IF(($A37*(1-'P-Parametri'!$B$19))&lt;='P-Parametri'!$B$7,'P-Parametri'!$C$7,'P-Parametri'!$C$8)))+(IF(($A37*(1-'P-Parametri'!$B$19))&lt;='P-Parametri'!$C$12,0,IF(($A37*(1-'P-Parametri'!$B$19))&lt;='P-Parametri'!$B$6,'P-Parametri'!$C$13/'P-Parametri'!$D$13,IF(($A37*(1-'P-Parametri'!$B$19))&lt;='P-Parametri'!$B$7,'P-Parametri'!$B$14/'P-Parametri'!$C$14,0))))+(IF(AND(($A37*(1-'P-Parametri'!$B$19))&gt;'P-Parametri'!$D$15,($A37*(1-'P-Parametri'!$B$19))&lt;'P-Parametri'!$E$15),'P-Parametri'!$B$15/('P-Parametri'!$E$15-'P-Parametri'!$D$15),0))+'P-Parametri'!$B$20)</f>
        <v>0.40205107692307696</v>
      </c>
      <c r="O37" s="11">
        <f t="shared" si="5"/>
        <v>1.6653345369377348E-15</v>
      </c>
    </row>
    <row r="38" spans="1:15">
      <c r="A38" s="17">
        <f>30000</f>
        <v>30000</v>
      </c>
      <c r="B38" s="9">
        <f>'P-Parametri'!$B$19*$A38</f>
        <v>2757</v>
      </c>
      <c r="C38" s="9">
        <f t="shared" si="0"/>
        <v>27243</v>
      </c>
      <c r="D38" s="9">
        <f>IF($C38&lt;='P-Parametri'!$B$6,'P-Parametri'!$C$6*$C38,IF($C38&lt;='P-Parametri'!$B$7,'P-Parametri'!$B$9+'P-Parametri'!$C$7*($C38-'P-Parametri'!$B$6),'P-Parametri'!$B$10+'P-Parametri'!$C$8*($C38-'P-Parametri'!$B$7)))</f>
        <v>6265.89</v>
      </c>
      <c r="E38" s="9">
        <f>IF($C38&lt;='P-Parametri'!$C$12,'P-Parametri'!$B$12,IF($C38&lt;='P-Parametri'!$B$6,'P-Parametri'!$B$13+'P-Parametri'!$C$13*('P-Parametri'!$B$6-$C38)/'P-Parametri'!$D$13,IF($C38&lt;='P-Parametri'!$B$7,'P-Parametri'!$B$14*('P-Parametri'!$B$7-$C38)/'P-Parametri'!$C$14,0)))</f>
        <v>1979.2946153846153</v>
      </c>
      <c r="F38" s="9">
        <f>IF($C38&lt;='P-Parametri'!$C$15,0,IF($C38&lt;='P-Parametri'!$D$15,'P-Parametri'!$B$15,IF($C38&lt;'P-Parametri'!$E$15,'P-Parametri'!$B$15*('P-Parametri'!$E$15-$C38)/('P-Parametri'!$E$15-'P-Parametri'!$D$15),0)))</f>
        <v>1000</v>
      </c>
      <c r="G38" s="9">
        <f>IF($C38&gt;'P-Parametri'!$D$18,0,IF($C38&lt;='P-Parametri'!$B$18,'P-Parametri'!$B$17*$C38,IF($C38&lt;='P-Parametri'!$C$18,'P-Parametri'!$C$17*$C38,'P-Parametri'!$D$17*$C38)))</f>
        <v>0</v>
      </c>
      <c r="H38" s="9">
        <f>IF(AND($C38&lt;='P-Parametri'!$C$16,D38&gt;E38-'P-Parametri'!$D$16),'P-Parametri'!$B$16,0)</f>
        <v>0</v>
      </c>
      <c r="I38" s="9">
        <f t="shared" si="1"/>
        <v>3286.5953846153852</v>
      </c>
      <c r="J38" s="9">
        <f>IF(I38&gt;0,'P-Parametri'!$B$20*$C38,0)</f>
        <v>544.86</v>
      </c>
      <c r="K38" s="9">
        <f t="shared" si="2"/>
        <v>23411.544615384613</v>
      </c>
      <c r="L38" s="11">
        <f t="shared" si="3"/>
        <v>0.78038482051282043</v>
      </c>
      <c r="M38" s="11">
        <f t="shared" si="4"/>
        <v>0.41644784265734414</v>
      </c>
      <c r="N38" s="11">
        <f>'P-Parametri'!$B$19+(1-'P-Parametri'!$B$19)*((IF(($A38*(1-'P-Parametri'!$B$19))&lt;='P-Parametri'!$B$6,'P-Parametri'!$C$6,IF(($A38*(1-'P-Parametri'!$B$19))&lt;='P-Parametri'!$B$7,'P-Parametri'!$C$7,'P-Parametri'!$C$8)))+(IF(($A38*(1-'P-Parametri'!$B$19))&lt;='P-Parametri'!$C$12,0,IF(($A38*(1-'P-Parametri'!$B$19))&lt;='P-Parametri'!$B$6,'P-Parametri'!$C$13/'P-Parametri'!$D$13,IF(($A38*(1-'P-Parametri'!$B$19))&lt;='P-Parametri'!$B$7,'P-Parametri'!$B$14/'P-Parametri'!$C$14,0))))+(IF(AND(($A38*(1-'P-Parametri'!$B$19))&gt;'P-Parametri'!$D$15,($A38*(1-'P-Parametri'!$B$19))&lt;'P-Parametri'!$E$15),'P-Parametri'!$B$15/('P-Parametri'!$E$15-'P-Parametri'!$D$15),0))+'P-Parametri'!$B$20)</f>
        <v>0.40205107692307696</v>
      </c>
      <c r="O38" s="11">
        <f t="shared" si="5"/>
        <v>1.4396765734267181E-2</v>
      </c>
    </row>
    <row r="39" spans="1:15">
      <c r="A39" s="17">
        <f>30500</f>
        <v>30500</v>
      </c>
      <c r="B39" s="9">
        <f>'P-Parametri'!$B$19*$A39</f>
        <v>2802.95</v>
      </c>
      <c r="C39" s="9">
        <f t="shared" si="0"/>
        <v>27697.05</v>
      </c>
      <c r="D39" s="9">
        <f>IF($C39&lt;='P-Parametri'!$B$6,'P-Parametri'!$C$6*$C39,IF($C39&lt;='P-Parametri'!$B$7,'P-Parametri'!$B$9+'P-Parametri'!$C$7*($C39-'P-Parametri'!$B$6),'P-Parametri'!$B$10+'P-Parametri'!$C$8*($C39-'P-Parametri'!$B$7)))</f>
        <v>6370.3215</v>
      </c>
      <c r="E39" s="9">
        <f>IF($C39&lt;='P-Parametri'!$C$12,'P-Parametri'!$B$12,IF($C39&lt;='P-Parametri'!$B$6,'P-Parametri'!$B$13+'P-Parametri'!$C$13*('P-Parametri'!$B$6-$C39)/'P-Parametri'!$D$13,IF($C39&lt;='P-Parametri'!$B$7,'P-Parametri'!$B$14*('P-Parametri'!$B$7-$C39)/'P-Parametri'!$C$14,0)))</f>
        <v>1937.731576923077</v>
      </c>
      <c r="F39" s="9">
        <f>IF($C39&lt;='P-Parametri'!$C$15,0,IF($C39&lt;='P-Parametri'!$D$15,'P-Parametri'!$B$15,IF($C39&lt;'P-Parametri'!$E$15,'P-Parametri'!$B$15*('P-Parametri'!$E$15-$C39)/('P-Parametri'!$E$15-'P-Parametri'!$D$15),0)))</f>
        <v>1000</v>
      </c>
      <c r="G39" s="9">
        <f>IF($C39&gt;'P-Parametri'!$D$18,0,IF($C39&lt;='P-Parametri'!$B$18,'P-Parametri'!$B$17*$C39,IF($C39&lt;='P-Parametri'!$C$18,'P-Parametri'!$C$17*$C39,'P-Parametri'!$D$17*$C39)))</f>
        <v>0</v>
      </c>
      <c r="H39" s="9">
        <f>IF(AND($C39&lt;='P-Parametri'!$C$16,D39&gt;E39-'P-Parametri'!$D$16),'P-Parametri'!$B$16,0)</f>
        <v>0</v>
      </c>
      <c r="I39" s="9">
        <f t="shared" si="1"/>
        <v>3432.5899230769228</v>
      </c>
      <c r="J39" s="9">
        <f>IF(I39&gt;0,'P-Parametri'!$B$20*$C39,0)</f>
        <v>553.94100000000003</v>
      </c>
      <c r="K39" s="9">
        <f t="shared" si="2"/>
        <v>23710.519076923076</v>
      </c>
      <c r="L39" s="11">
        <f t="shared" si="3"/>
        <v>0.77739406809583855</v>
      </c>
      <c r="M39" s="11">
        <f t="shared" si="4"/>
        <v>0.45970959965034486</v>
      </c>
      <c r="N39" s="11">
        <f>'P-Parametri'!$B$19+(1-'P-Parametri'!$B$19)*((IF(($A39*(1-'P-Parametri'!$B$19))&lt;='P-Parametri'!$B$6,'P-Parametri'!$C$6,IF(($A39*(1-'P-Parametri'!$B$19))&lt;='P-Parametri'!$B$7,'P-Parametri'!$C$7,'P-Parametri'!$C$8)))+(IF(($A39*(1-'P-Parametri'!$B$19))&lt;='P-Parametri'!$C$12,0,IF(($A39*(1-'P-Parametri'!$B$19))&lt;='P-Parametri'!$B$6,'P-Parametri'!$C$13/'P-Parametri'!$D$13,IF(($A39*(1-'P-Parametri'!$B$19))&lt;='P-Parametri'!$B$7,'P-Parametri'!$B$14/'P-Parametri'!$C$14,0))))+(IF(AND(($A39*(1-'P-Parametri'!$B$19))&gt;'P-Parametri'!$D$15,($A39*(1-'P-Parametri'!$B$19))&lt;'P-Parametri'!$E$15),'P-Parametri'!$B$15/('P-Parametri'!$E$15-'P-Parametri'!$D$15),0))+'P-Parametri'!$B$20)</f>
        <v>0.40205107692307696</v>
      </c>
      <c r="O39" s="11">
        <f t="shared" si="5"/>
        <v>5.7658522727267902E-2</v>
      </c>
    </row>
    <row r="40" spans="1:15">
      <c r="A40" s="17">
        <f>31000</f>
        <v>31000</v>
      </c>
      <c r="B40" s="9">
        <f>'P-Parametri'!$B$19*$A40</f>
        <v>2848.8999999999996</v>
      </c>
      <c r="C40" s="9">
        <f t="shared" ref="C40:C71" si="6">$A40-B40</f>
        <v>28151.1</v>
      </c>
      <c r="D40" s="9">
        <f>IF($C40&lt;='P-Parametri'!$B$6,'P-Parametri'!$C$6*$C40,IF($C40&lt;='P-Parametri'!$B$7,'P-Parametri'!$B$9+'P-Parametri'!$C$7*($C40-'P-Parametri'!$B$6),'P-Parametri'!$B$10+'P-Parametri'!$C$8*($C40-'P-Parametri'!$B$7)))</f>
        <v>6489.8629999999994</v>
      </c>
      <c r="E40" s="9">
        <f>IF($C40&lt;='P-Parametri'!$C$12,'P-Parametri'!$B$12,IF($C40&lt;='P-Parametri'!$B$6,'P-Parametri'!$B$13+'P-Parametri'!$C$13*('P-Parametri'!$B$6-$C40)/'P-Parametri'!$D$13,IF($C40&lt;='P-Parametri'!$B$7,'P-Parametri'!$B$14*('P-Parametri'!$B$7-$C40)/'P-Parametri'!$C$14,0)))</f>
        <v>1896.8817727272726</v>
      </c>
      <c r="F40" s="9">
        <f>IF($C40&lt;='P-Parametri'!$C$15,0,IF($C40&lt;='P-Parametri'!$D$15,'P-Parametri'!$B$15,IF($C40&lt;'P-Parametri'!$E$15,'P-Parametri'!$B$15*('P-Parametri'!$E$15-$C40)/('P-Parametri'!$E$15-'P-Parametri'!$D$15),0)))</f>
        <v>1000</v>
      </c>
      <c r="G40" s="9">
        <f>IF($C40&gt;'P-Parametri'!$D$18,0,IF($C40&lt;='P-Parametri'!$B$18,'P-Parametri'!$B$17*$C40,IF($C40&lt;='P-Parametri'!$C$18,'P-Parametri'!$C$17*$C40,'P-Parametri'!$D$17*$C40)))</f>
        <v>0</v>
      </c>
      <c r="H40" s="9">
        <f>IF(AND($C40&lt;='P-Parametri'!$C$16,D40&gt;E40-'P-Parametri'!$D$16),'P-Parametri'!$B$16,0)</f>
        <v>0</v>
      </c>
      <c r="I40" s="9">
        <f t="shared" ref="I40:I71" si="7">MAX(0,D40-E40-F40)</f>
        <v>3592.9812272727268</v>
      </c>
      <c r="J40" s="9">
        <f>IF(I40&gt;0,'P-Parametri'!$B$20*$C40,0)</f>
        <v>563.02199999999993</v>
      </c>
      <c r="K40" s="9">
        <f t="shared" ref="K40:K71" si="8">$C40-I40-J40+H40+G40</f>
        <v>23995.096772727269</v>
      </c>
      <c r="L40" s="11">
        <f t="shared" ref="L40:L71" si="9">K40/$A40</f>
        <v>0.77403537976539583</v>
      </c>
      <c r="M40" s="11">
        <f t="shared" ref="M40:M71" si="10">1-(K42-K40)/1000</f>
        <v>0.48857459090908739</v>
      </c>
      <c r="N40" s="11">
        <f>'P-Parametri'!$B$19+(1-'P-Parametri'!$B$19)*((IF(($A40*(1-'P-Parametri'!$B$19))&lt;='P-Parametri'!$B$6,'P-Parametri'!$C$6,IF(($A40*(1-'P-Parametri'!$B$19))&lt;='P-Parametri'!$B$7,'P-Parametri'!$C$7,'P-Parametri'!$C$8)))+(IF(($A40*(1-'P-Parametri'!$B$19))&lt;='P-Parametri'!$C$12,0,IF(($A40*(1-'P-Parametri'!$B$19))&lt;='P-Parametri'!$B$6,'P-Parametri'!$C$13/'P-Parametri'!$D$13,IF(($A40*(1-'P-Parametri'!$B$19))&lt;='P-Parametri'!$B$7,'P-Parametri'!$B$14/'P-Parametri'!$C$14,0))))+(IF(AND(($A40*(1-'P-Parametri'!$B$19))&gt;'P-Parametri'!$D$15,($A40*(1-'P-Parametri'!$B$19))&lt;'P-Parametri'!$E$15),'P-Parametri'!$B$15/('P-Parametri'!$E$15-'P-Parametri'!$D$15),0))+'P-Parametri'!$B$20)</f>
        <v>0.48857459090909094</v>
      </c>
      <c r="O40" s="11">
        <f t="shared" ref="O40:O71" si="11">M40-N40</f>
        <v>-3.5527136788005009E-15</v>
      </c>
    </row>
    <row r="41" spans="1:15">
      <c r="A41" s="17">
        <f>31500</f>
        <v>31500</v>
      </c>
      <c r="B41" s="9">
        <f>'P-Parametri'!$B$19*$A41</f>
        <v>2894.85</v>
      </c>
      <c r="C41" s="9">
        <f t="shared" si="6"/>
        <v>28605.15</v>
      </c>
      <c r="D41" s="9">
        <f>IF($C41&lt;='P-Parametri'!$B$6,'P-Parametri'!$C$6*$C41,IF($C41&lt;='P-Parametri'!$B$7,'P-Parametri'!$B$9+'P-Parametri'!$C$7*($C41-'P-Parametri'!$B$6),'P-Parametri'!$B$10+'P-Parametri'!$C$8*($C41-'P-Parametri'!$B$7)))</f>
        <v>6639.6995000000006</v>
      </c>
      <c r="E41" s="9">
        <f>IF($C41&lt;='P-Parametri'!$C$12,'P-Parametri'!$B$12,IF($C41&lt;='P-Parametri'!$B$6,'P-Parametri'!$B$13+'P-Parametri'!$C$13*('P-Parametri'!$B$6-$C41)/'P-Parametri'!$D$13,IF($C41&lt;='P-Parametri'!$B$7,'P-Parametri'!$B$14*('P-Parametri'!$B$7-$C41)/'P-Parametri'!$C$14,0)))</f>
        <v>1857.4619772727274</v>
      </c>
      <c r="F41" s="9">
        <f>IF($C41&lt;='P-Parametri'!$C$15,0,IF($C41&lt;='P-Parametri'!$D$15,'P-Parametri'!$B$15,IF($C41&lt;'P-Parametri'!$E$15,'P-Parametri'!$B$15*('P-Parametri'!$E$15-$C41)/('P-Parametri'!$E$15-'P-Parametri'!$D$15),0)))</f>
        <v>1000</v>
      </c>
      <c r="G41" s="9">
        <f>IF($C41&gt;'P-Parametri'!$D$18,0,IF($C41&lt;='P-Parametri'!$B$18,'P-Parametri'!$B$17*$C41,IF($C41&lt;='P-Parametri'!$C$18,'P-Parametri'!$C$17*$C41,'P-Parametri'!$D$17*$C41)))</f>
        <v>0</v>
      </c>
      <c r="H41" s="9">
        <f>IF(AND($C41&lt;='P-Parametri'!$C$16,D41&gt;E41-'P-Parametri'!$D$16),'P-Parametri'!$B$16,0)</f>
        <v>0</v>
      </c>
      <c r="I41" s="9">
        <f t="shared" si="7"/>
        <v>3782.2375227272732</v>
      </c>
      <c r="J41" s="9">
        <f>IF(I41&gt;0,'P-Parametri'!$B$20*$C41,0)</f>
        <v>572.10300000000007</v>
      </c>
      <c r="K41" s="9">
        <f t="shared" si="8"/>
        <v>24250.809477272731</v>
      </c>
      <c r="L41" s="11">
        <f t="shared" si="9"/>
        <v>0.76986696753246764</v>
      </c>
      <c r="M41" s="11">
        <f t="shared" si="10"/>
        <v>0.48857459090909472</v>
      </c>
      <c r="N41" s="11">
        <f>'P-Parametri'!$B$19+(1-'P-Parametri'!$B$19)*((IF(($A41*(1-'P-Parametri'!$B$19))&lt;='P-Parametri'!$B$6,'P-Parametri'!$C$6,IF(($A41*(1-'P-Parametri'!$B$19))&lt;='P-Parametri'!$B$7,'P-Parametri'!$C$7,'P-Parametri'!$C$8)))+(IF(($A41*(1-'P-Parametri'!$B$19))&lt;='P-Parametri'!$C$12,0,IF(($A41*(1-'P-Parametri'!$B$19))&lt;='P-Parametri'!$B$6,'P-Parametri'!$C$13/'P-Parametri'!$D$13,IF(($A41*(1-'P-Parametri'!$B$19))&lt;='P-Parametri'!$B$7,'P-Parametri'!$B$14/'P-Parametri'!$C$14,0))))+(IF(AND(($A41*(1-'P-Parametri'!$B$19))&gt;'P-Parametri'!$D$15,($A41*(1-'P-Parametri'!$B$19))&lt;'P-Parametri'!$E$15),'P-Parametri'!$B$15/('P-Parametri'!$E$15-'P-Parametri'!$D$15),0))+'P-Parametri'!$B$20)</f>
        <v>0.48857459090909094</v>
      </c>
      <c r="O41" s="11">
        <f t="shared" si="11"/>
        <v>3.7747582837255322E-15</v>
      </c>
    </row>
    <row r="42" spans="1:15">
      <c r="A42" s="17">
        <f>32000</f>
        <v>32000</v>
      </c>
      <c r="B42" s="9">
        <f>'P-Parametri'!$B$19*$A42</f>
        <v>2940.7999999999997</v>
      </c>
      <c r="C42" s="9">
        <f t="shared" si="6"/>
        <v>29059.200000000001</v>
      </c>
      <c r="D42" s="9">
        <f>IF($C42&lt;='P-Parametri'!$B$6,'P-Parametri'!$C$6*$C42,IF($C42&lt;='P-Parametri'!$B$7,'P-Parametri'!$B$9+'P-Parametri'!$C$7*($C42-'P-Parametri'!$B$6),'P-Parametri'!$B$10+'P-Parametri'!$C$8*($C42-'P-Parametri'!$B$7)))</f>
        <v>6789.5360000000001</v>
      </c>
      <c r="E42" s="9">
        <f>IF($C42&lt;='P-Parametri'!$C$12,'P-Parametri'!$B$12,IF($C42&lt;='P-Parametri'!$B$6,'P-Parametri'!$B$13+'P-Parametri'!$C$13*('P-Parametri'!$B$6-$C42)/'P-Parametri'!$D$13,IF($C42&lt;='P-Parametri'!$B$7,'P-Parametri'!$B$14*('P-Parametri'!$B$7-$C42)/'P-Parametri'!$C$14,0)))</f>
        <v>1818.0421818181819</v>
      </c>
      <c r="F42" s="9">
        <f>IF($C42&lt;='P-Parametri'!$C$15,0,IF($C42&lt;='P-Parametri'!$D$15,'P-Parametri'!$B$15,IF($C42&lt;'P-Parametri'!$E$15,'P-Parametri'!$B$15*('P-Parametri'!$E$15-$C42)/('P-Parametri'!$E$15-'P-Parametri'!$D$15),0)))</f>
        <v>1000</v>
      </c>
      <c r="G42" s="9">
        <f>IF($C42&gt;'P-Parametri'!$D$18,0,IF($C42&lt;='P-Parametri'!$B$18,'P-Parametri'!$B$17*$C42,IF($C42&lt;='P-Parametri'!$C$18,'P-Parametri'!$C$17*$C42,'P-Parametri'!$D$17*$C42)))</f>
        <v>0</v>
      </c>
      <c r="H42" s="9">
        <f>IF(AND($C42&lt;='P-Parametri'!$C$16,D42&gt;E42-'P-Parametri'!$D$16),'P-Parametri'!$B$16,0)</f>
        <v>0</v>
      </c>
      <c r="I42" s="9">
        <f t="shared" si="7"/>
        <v>3971.4938181818179</v>
      </c>
      <c r="J42" s="9">
        <f>IF(I42&gt;0,'P-Parametri'!$B$20*$C42,0)</f>
        <v>581.18400000000008</v>
      </c>
      <c r="K42" s="9">
        <f t="shared" si="8"/>
        <v>24506.522181818182</v>
      </c>
      <c r="L42" s="11">
        <f t="shared" si="9"/>
        <v>0.76582881818181814</v>
      </c>
      <c r="M42" s="11">
        <f t="shared" si="10"/>
        <v>0.48857459090909472</v>
      </c>
      <c r="N42" s="11">
        <f>'P-Parametri'!$B$19+(1-'P-Parametri'!$B$19)*((IF(($A42*(1-'P-Parametri'!$B$19))&lt;='P-Parametri'!$B$6,'P-Parametri'!$C$6,IF(($A42*(1-'P-Parametri'!$B$19))&lt;='P-Parametri'!$B$7,'P-Parametri'!$C$7,'P-Parametri'!$C$8)))+(IF(($A42*(1-'P-Parametri'!$B$19))&lt;='P-Parametri'!$C$12,0,IF(($A42*(1-'P-Parametri'!$B$19))&lt;='P-Parametri'!$B$6,'P-Parametri'!$C$13/'P-Parametri'!$D$13,IF(($A42*(1-'P-Parametri'!$B$19))&lt;='P-Parametri'!$B$7,'P-Parametri'!$B$14/'P-Parametri'!$C$14,0))))+(IF(AND(($A42*(1-'P-Parametri'!$B$19))&gt;'P-Parametri'!$D$15,($A42*(1-'P-Parametri'!$B$19))&lt;'P-Parametri'!$E$15),'P-Parametri'!$B$15/('P-Parametri'!$E$15-'P-Parametri'!$D$15),0))+'P-Parametri'!$B$20)</f>
        <v>0.48857459090909094</v>
      </c>
      <c r="O42" s="11">
        <f t="shared" si="11"/>
        <v>3.7747582837255322E-15</v>
      </c>
    </row>
    <row r="43" spans="1:15">
      <c r="A43" s="17">
        <f>32500</f>
        <v>32500</v>
      </c>
      <c r="B43" s="9">
        <f>'P-Parametri'!$B$19*$A43</f>
        <v>2986.75</v>
      </c>
      <c r="C43" s="9">
        <f t="shared" si="6"/>
        <v>29513.25</v>
      </c>
      <c r="D43" s="9">
        <f>IF($C43&lt;='P-Parametri'!$B$6,'P-Parametri'!$C$6*$C43,IF($C43&lt;='P-Parametri'!$B$7,'P-Parametri'!$B$9+'P-Parametri'!$C$7*($C43-'P-Parametri'!$B$6),'P-Parametri'!$B$10+'P-Parametri'!$C$8*($C43-'P-Parametri'!$B$7)))</f>
        <v>6939.3725000000004</v>
      </c>
      <c r="E43" s="9">
        <f>IF($C43&lt;='P-Parametri'!$C$12,'P-Parametri'!$B$12,IF($C43&lt;='P-Parametri'!$B$6,'P-Parametri'!$B$13+'P-Parametri'!$C$13*('P-Parametri'!$B$6-$C43)/'P-Parametri'!$D$13,IF($C43&lt;='P-Parametri'!$B$7,'P-Parametri'!$B$14*('P-Parametri'!$B$7-$C43)/'P-Parametri'!$C$14,0)))</f>
        <v>1778.6223863636365</v>
      </c>
      <c r="F43" s="9">
        <f>IF($C43&lt;='P-Parametri'!$C$15,0,IF($C43&lt;='P-Parametri'!$D$15,'P-Parametri'!$B$15,IF($C43&lt;'P-Parametri'!$E$15,'P-Parametri'!$B$15*('P-Parametri'!$E$15-$C43)/('P-Parametri'!$E$15-'P-Parametri'!$D$15),0)))</f>
        <v>1000</v>
      </c>
      <c r="G43" s="9">
        <f>IF($C43&gt;'P-Parametri'!$D$18,0,IF($C43&lt;='P-Parametri'!$B$18,'P-Parametri'!$B$17*$C43,IF($C43&lt;='P-Parametri'!$C$18,'P-Parametri'!$C$17*$C43,'P-Parametri'!$D$17*$C43)))</f>
        <v>0</v>
      </c>
      <c r="H43" s="9">
        <f>IF(AND($C43&lt;='P-Parametri'!$C$16,D43&gt;E43-'P-Parametri'!$D$16),'P-Parametri'!$B$16,0)</f>
        <v>0</v>
      </c>
      <c r="I43" s="9">
        <f t="shared" si="7"/>
        <v>4160.7501136363644</v>
      </c>
      <c r="J43" s="9">
        <f>IF(I43&gt;0,'P-Parametri'!$B$20*$C43,0)</f>
        <v>590.26499999999999</v>
      </c>
      <c r="K43" s="9">
        <f t="shared" si="8"/>
        <v>24762.234886363636</v>
      </c>
      <c r="L43" s="11">
        <f t="shared" si="9"/>
        <v>0.76191491958041957</v>
      </c>
      <c r="M43" s="11">
        <f t="shared" si="10"/>
        <v>0.48857459090909106</v>
      </c>
      <c r="N43" s="11">
        <f>'P-Parametri'!$B$19+(1-'P-Parametri'!$B$19)*((IF(($A43*(1-'P-Parametri'!$B$19))&lt;='P-Parametri'!$B$6,'P-Parametri'!$C$6,IF(($A43*(1-'P-Parametri'!$B$19))&lt;='P-Parametri'!$B$7,'P-Parametri'!$C$7,'P-Parametri'!$C$8)))+(IF(($A43*(1-'P-Parametri'!$B$19))&lt;='P-Parametri'!$C$12,0,IF(($A43*(1-'P-Parametri'!$B$19))&lt;='P-Parametri'!$B$6,'P-Parametri'!$C$13/'P-Parametri'!$D$13,IF(($A43*(1-'P-Parametri'!$B$19))&lt;='P-Parametri'!$B$7,'P-Parametri'!$B$14/'P-Parametri'!$C$14,0))))+(IF(AND(($A43*(1-'P-Parametri'!$B$19))&gt;'P-Parametri'!$D$15,($A43*(1-'P-Parametri'!$B$19))&lt;'P-Parametri'!$E$15),'P-Parametri'!$B$15/('P-Parametri'!$E$15-'P-Parametri'!$D$15),0))+'P-Parametri'!$B$20)</f>
        <v>0.48857459090909094</v>
      </c>
      <c r="O43" s="11">
        <f t="shared" si="11"/>
        <v>0</v>
      </c>
    </row>
    <row r="44" spans="1:15">
      <c r="A44" s="17">
        <f>33000</f>
        <v>33000</v>
      </c>
      <c r="B44" s="9">
        <f>'P-Parametri'!$B$19*$A44</f>
        <v>3032.7</v>
      </c>
      <c r="C44" s="9">
        <f t="shared" si="6"/>
        <v>29967.3</v>
      </c>
      <c r="D44" s="9">
        <f>IF($C44&lt;='P-Parametri'!$B$6,'P-Parametri'!$C$6*$C44,IF($C44&lt;='P-Parametri'!$B$7,'P-Parametri'!$B$9+'P-Parametri'!$C$7*($C44-'P-Parametri'!$B$6),'P-Parametri'!$B$10+'P-Parametri'!$C$8*($C44-'P-Parametri'!$B$7)))</f>
        <v>7089.2089999999998</v>
      </c>
      <c r="E44" s="9">
        <f>IF($C44&lt;='P-Parametri'!$C$12,'P-Parametri'!$B$12,IF($C44&lt;='P-Parametri'!$B$6,'P-Parametri'!$B$13+'P-Parametri'!$C$13*('P-Parametri'!$B$6-$C44)/'P-Parametri'!$D$13,IF($C44&lt;='P-Parametri'!$B$7,'P-Parametri'!$B$14*('P-Parametri'!$B$7-$C44)/'P-Parametri'!$C$14,0)))</f>
        <v>1739.202590909091</v>
      </c>
      <c r="F44" s="9">
        <f>IF($C44&lt;='P-Parametri'!$C$15,0,IF($C44&lt;='P-Parametri'!$D$15,'P-Parametri'!$B$15,IF($C44&lt;'P-Parametri'!$E$15,'P-Parametri'!$B$15*('P-Parametri'!$E$15-$C44)/('P-Parametri'!$E$15-'P-Parametri'!$D$15),0)))</f>
        <v>1000</v>
      </c>
      <c r="G44" s="9">
        <f>IF($C44&gt;'P-Parametri'!$D$18,0,IF($C44&lt;='P-Parametri'!$B$18,'P-Parametri'!$B$17*$C44,IF($C44&lt;='P-Parametri'!$C$18,'P-Parametri'!$C$17*$C44,'P-Parametri'!$D$17*$C44)))</f>
        <v>0</v>
      </c>
      <c r="H44" s="9">
        <f>IF(AND($C44&lt;='P-Parametri'!$C$16,D44&gt;E44-'P-Parametri'!$D$16),'P-Parametri'!$B$16,0)</f>
        <v>0</v>
      </c>
      <c r="I44" s="9">
        <f t="shared" si="7"/>
        <v>4350.0064090909091</v>
      </c>
      <c r="J44" s="9">
        <f>IF(I44&gt;0,'P-Parametri'!$B$20*$C44,0)</f>
        <v>599.346</v>
      </c>
      <c r="K44" s="9">
        <f t="shared" si="8"/>
        <v>25017.947590909087</v>
      </c>
      <c r="L44" s="11">
        <f t="shared" si="9"/>
        <v>0.75811962396694199</v>
      </c>
      <c r="M44" s="11">
        <f t="shared" si="10"/>
        <v>0.48857459090908739</v>
      </c>
      <c r="N44" s="11">
        <f>'P-Parametri'!$B$19+(1-'P-Parametri'!$B$19)*((IF(($A44*(1-'P-Parametri'!$B$19))&lt;='P-Parametri'!$B$6,'P-Parametri'!$C$6,IF(($A44*(1-'P-Parametri'!$B$19))&lt;='P-Parametri'!$B$7,'P-Parametri'!$C$7,'P-Parametri'!$C$8)))+(IF(($A44*(1-'P-Parametri'!$B$19))&lt;='P-Parametri'!$C$12,0,IF(($A44*(1-'P-Parametri'!$B$19))&lt;='P-Parametri'!$B$6,'P-Parametri'!$C$13/'P-Parametri'!$D$13,IF(($A44*(1-'P-Parametri'!$B$19))&lt;='P-Parametri'!$B$7,'P-Parametri'!$B$14/'P-Parametri'!$C$14,0))))+(IF(AND(($A44*(1-'P-Parametri'!$B$19))&gt;'P-Parametri'!$D$15,($A44*(1-'P-Parametri'!$B$19))&lt;'P-Parametri'!$E$15),'P-Parametri'!$B$15/('P-Parametri'!$E$15-'P-Parametri'!$D$15),0))+'P-Parametri'!$B$20)</f>
        <v>0.48857459090909094</v>
      </c>
      <c r="O44" s="11">
        <f t="shared" si="11"/>
        <v>-3.5527136788005009E-15</v>
      </c>
    </row>
    <row r="45" spans="1:15">
      <c r="A45" s="17">
        <f>33500</f>
        <v>33500</v>
      </c>
      <c r="B45" s="9">
        <f>'P-Parametri'!$B$19*$A45</f>
        <v>3078.6499999999996</v>
      </c>
      <c r="C45" s="9">
        <f t="shared" si="6"/>
        <v>30421.35</v>
      </c>
      <c r="D45" s="9">
        <f>IF($C45&lt;='P-Parametri'!$B$6,'P-Parametri'!$C$6*$C45,IF($C45&lt;='P-Parametri'!$B$7,'P-Parametri'!$B$9+'P-Parametri'!$C$7*($C45-'P-Parametri'!$B$6),'P-Parametri'!$B$10+'P-Parametri'!$C$8*($C45-'P-Parametri'!$B$7)))</f>
        <v>7239.0454999999993</v>
      </c>
      <c r="E45" s="9">
        <f>IF($C45&lt;='P-Parametri'!$C$12,'P-Parametri'!$B$12,IF($C45&lt;='P-Parametri'!$B$6,'P-Parametri'!$B$13+'P-Parametri'!$C$13*('P-Parametri'!$B$6-$C45)/'P-Parametri'!$D$13,IF($C45&lt;='P-Parametri'!$B$7,'P-Parametri'!$B$14*('P-Parametri'!$B$7-$C45)/'P-Parametri'!$C$14,0)))</f>
        <v>1699.7827954545455</v>
      </c>
      <c r="F45" s="9">
        <f>IF($C45&lt;='P-Parametri'!$C$15,0,IF($C45&lt;='P-Parametri'!$D$15,'P-Parametri'!$B$15,IF($C45&lt;'P-Parametri'!$E$15,'P-Parametri'!$B$15*('P-Parametri'!$E$15-$C45)/('P-Parametri'!$E$15-'P-Parametri'!$D$15),0)))</f>
        <v>1000</v>
      </c>
      <c r="G45" s="9">
        <f>IF($C45&gt;'P-Parametri'!$D$18,0,IF($C45&lt;='P-Parametri'!$B$18,'P-Parametri'!$B$17*$C45,IF($C45&lt;='P-Parametri'!$C$18,'P-Parametri'!$C$17*$C45,'P-Parametri'!$D$17*$C45)))</f>
        <v>0</v>
      </c>
      <c r="H45" s="9">
        <f>IF(AND($C45&lt;='P-Parametri'!$C$16,D45&gt;E45-'P-Parametri'!$D$16),'P-Parametri'!$B$16,0)</f>
        <v>0</v>
      </c>
      <c r="I45" s="9">
        <f t="shared" si="7"/>
        <v>4539.2627045454537</v>
      </c>
      <c r="J45" s="9">
        <f>IF(I45&gt;0,'P-Parametri'!$B$20*$C45,0)</f>
        <v>608.42700000000002</v>
      </c>
      <c r="K45" s="9">
        <f t="shared" si="8"/>
        <v>25273.660295454545</v>
      </c>
      <c r="L45" s="11">
        <f t="shared" si="9"/>
        <v>0.75443762075983711</v>
      </c>
      <c r="M45" s="11">
        <f t="shared" si="10"/>
        <v>0.48857459090909106</v>
      </c>
      <c r="N45" s="11">
        <f>'P-Parametri'!$B$19+(1-'P-Parametri'!$B$19)*((IF(($A45*(1-'P-Parametri'!$B$19))&lt;='P-Parametri'!$B$6,'P-Parametri'!$C$6,IF(($A45*(1-'P-Parametri'!$B$19))&lt;='P-Parametri'!$B$7,'P-Parametri'!$C$7,'P-Parametri'!$C$8)))+(IF(($A45*(1-'P-Parametri'!$B$19))&lt;='P-Parametri'!$C$12,0,IF(($A45*(1-'P-Parametri'!$B$19))&lt;='P-Parametri'!$B$6,'P-Parametri'!$C$13/'P-Parametri'!$D$13,IF(($A45*(1-'P-Parametri'!$B$19))&lt;='P-Parametri'!$B$7,'P-Parametri'!$B$14/'P-Parametri'!$C$14,0))))+(IF(AND(($A45*(1-'P-Parametri'!$B$19))&gt;'P-Parametri'!$D$15,($A45*(1-'P-Parametri'!$B$19))&lt;'P-Parametri'!$E$15),'P-Parametri'!$B$15/('P-Parametri'!$E$15-'P-Parametri'!$D$15),0))+'P-Parametri'!$B$20)</f>
        <v>0.48857459090909094</v>
      </c>
      <c r="O45" s="11">
        <f t="shared" si="11"/>
        <v>0</v>
      </c>
    </row>
    <row r="46" spans="1:15">
      <c r="A46" s="17">
        <f>34000</f>
        <v>34000</v>
      </c>
      <c r="B46" s="9">
        <f>'P-Parametri'!$B$19*$A46</f>
        <v>3124.6</v>
      </c>
      <c r="C46" s="9">
        <f t="shared" si="6"/>
        <v>30875.4</v>
      </c>
      <c r="D46" s="9">
        <f>IF($C46&lt;='P-Parametri'!$B$6,'P-Parametri'!$C$6*$C46,IF($C46&lt;='P-Parametri'!$B$7,'P-Parametri'!$B$9+'P-Parametri'!$C$7*($C46-'P-Parametri'!$B$6),'P-Parametri'!$B$10+'P-Parametri'!$C$8*($C46-'P-Parametri'!$B$7)))</f>
        <v>7388.8820000000005</v>
      </c>
      <c r="E46" s="9">
        <f>IF($C46&lt;='P-Parametri'!$C$12,'P-Parametri'!$B$12,IF($C46&lt;='P-Parametri'!$B$6,'P-Parametri'!$B$13+'P-Parametri'!$C$13*('P-Parametri'!$B$6-$C46)/'P-Parametri'!$D$13,IF($C46&lt;='P-Parametri'!$B$7,'P-Parametri'!$B$14*('P-Parametri'!$B$7-$C46)/'P-Parametri'!$C$14,0)))</f>
        <v>1660.3630000000001</v>
      </c>
      <c r="F46" s="9">
        <f>IF($C46&lt;='P-Parametri'!$C$15,0,IF($C46&lt;='P-Parametri'!$D$15,'P-Parametri'!$B$15,IF($C46&lt;'P-Parametri'!$E$15,'P-Parametri'!$B$15*('P-Parametri'!$E$15-$C46)/('P-Parametri'!$E$15-'P-Parametri'!$D$15),0)))</f>
        <v>1000</v>
      </c>
      <c r="G46" s="9">
        <f>IF($C46&gt;'P-Parametri'!$D$18,0,IF($C46&lt;='P-Parametri'!$B$18,'P-Parametri'!$B$17*$C46,IF($C46&lt;='P-Parametri'!$C$18,'P-Parametri'!$C$17*$C46,'P-Parametri'!$D$17*$C46)))</f>
        <v>0</v>
      </c>
      <c r="H46" s="9">
        <f>IF(AND($C46&lt;='P-Parametri'!$C$16,D46&gt;E46-'P-Parametri'!$D$16),'P-Parametri'!$B$16,0)</f>
        <v>0</v>
      </c>
      <c r="I46" s="9">
        <f t="shared" si="7"/>
        <v>4728.5190000000002</v>
      </c>
      <c r="J46" s="9">
        <f>IF(I46&gt;0,'P-Parametri'!$B$20*$C46,0)</f>
        <v>617.50800000000004</v>
      </c>
      <c r="K46" s="9">
        <f t="shared" si="8"/>
        <v>25529.373</v>
      </c>
      <c r="L46" s="11">
        <f t="shared" si="9"/>
        <v>0.7508639117647059</v>
      </c>
      <c r="M46" s="11">
        <f t="shared" si="10"/>
        <v>0.48857459090909106</v>
      </c>
      <c r="N46" s="11">
        <f>'P-Parametri'!$B$19+(1-'P-Parametri'!$B$19)*((IF(($A46*(1-'P-Parametri'!$B$19))&lt;='P-Parametri'!$B$6,'P-Parametri'!$C$6,IF(($A46*(1-'P-Parametri'!$B$19))&lt;='P-Parametri'!$B$7,'P-Parametri'!$C$7,'P-Parametri'!$C$8)))+(IF(($A46*(1-'P-Parametri'!$B$19))&lt;='P-Parametri'!$C$12,0,IF(($A46*(1-'P-Parametri'!$B$19))&lt;='P-Parametri'!$B$6,'P-Parametri'!$C$13/'P-Parametri'!$D$13,IF(($A46*(1-'P-Parametri'!$B$19))&lt;='P-Parametri'!$B$7,'P-Parametri'!$B$14/'P-Parametri'!$C$14,0))))+(IF(AND(($A46*(1-'P-Parametri'!$B$19))&gt;'P-Parametri'!$D$15,($A46*(1-'P-Parametri'!$B$19))&lt;'P-Parametri'!$E$15),'P-Parametri'!$B$15/('P-Parametri'!$E$15-'P-Parametri'!$D$15),0))+'P-Parametri'!$B$20)</f>
        <v>0.48857459090909094</v>
      </c>
      <c r="O46" s="11">
        <f t="shared" si="11"/>
        <v>0</v>
      </c>
    </row>
    <row r="47" spans="1:15">
      <c r="A47" s="17">
        <f>34500</f>
        <v>34500</v>
      </c>
      <c r="B47" s="9">
        <f>'P-Parametri'!$B$19*$A47</f>
        <v>3170.5499999999997</v>
      </c>
      <c r="C47" s="9">
        <f t="shared" si="6"/>
        <v>31329.45</v>
      </c>
      <c r="D47" s="9">
        <f>IF($C47&lt;='P-Parametri'!$B$6,'P-Parametri'!$C$6*$C47,IF($C47&lt;='P-Parametri'!$B$7,'P-Parametri'!$B$9+'P-Parametri'!$C$7*($C47-'P-Parametri'!$B$6),'P-Parametri'!$B$10+'P-Parametri'!$C$8*($C47-'P-Parametri'!$B$7)))</f>
        <v>7538.7185000000009</v>
      </c>
      <c r="E47" s="9">
        <f>IF($C47&lt;='P-Parametri'!$C$12,'P-Parametri'!$B$12,IF($C47&lt;='P-Parametri'!$B$6,'P-Parametri'!$B$13+'P-Parametri'!$C$13*('P-Parametri'!$B$6-$C47)/'P-Parametri'!$D$13,IF($C47&lt;='P-Parametri'!$B$7,'P-Parametri'!$B$14*('P-Parametri'!$B$7-$C47)/'P-Parametri'!$C$14,0)))</f>
        <v>1620.9432045454546</v>
      </c>
      <c r="F47" s="9">
        <f>IF($C47&lt;='P-Parametri'!$C$15,0,IF($C47&lt;='P-Parametri'!$D$15,'P-Parametri'!$B$15,IF($C47&lt;'P-Parametri'!$E$15,'P-Parametri'!$B$15*('P-Parametri'!$E$15-$C47)/('P-Parametri'!$E$15-'P-Parametri'!$D$15),0)))</f>
        <v>1000</v>
      </c>
      <c r="G47" s="9">
        <f>IF($C47&gt;'P-Parametri'!$D$18,0,IF($C47&lt;='P-Parametri'!$B$18,'P-Parametri'!$B$17*$C47,IF($C47&lt;='P-Parametri'!$C$18,'P-Parametri'!$C$17*$C47,'P-Parametri'!$D$17*$C47)))</f>
        <v>0</v>
      </c>
      <c r="H47" s="9">
        <f>IF(AND($C47&lt;='P-Parametri'!$C$16,D47&gt;E47-'P-Parametri'!$D$16),'P-Parametri'!$B$16,0)</f>
        <v>0</v>
      </c>
      <c r="I47" s="9">
        <f t="shared" si="7"/>
        <v>4917.7752954545467</v>
      </c>
      <c r="J47" s="9">
        <f>IF(I47&gt;0,'P-Parametri'!$B$20*$C47,0)</f>
        <v>626.58900000000006</v>
      </c>
      <c r="K47" s="9">
        <f t="shared" si="8"/>
        <v>25785.085704545454</v>
      </c>
      <c r="L47" s="11">
        <f t="shared" si="9"/>
        <v>0.74739378853754934</v>
      </c>
      <c r="M47" s="11">
        <f t="shared" si="10"/>
        <v>0.51826834090909324</v>
      </c>
      <c r="N47" s="11">
        <f>'P-Parametri'!$B$19+(1-'P-Parametri'!$B$19)*((IF(($A47*(1-'P-Parametri'!$B$19))&lt;='P-Parametri'!$B$6,'P-Parametri'!$C$6,IF(($A47*(1-'P-Parametri'!$B$19))&lt;='P-Parametri'!$B$7,'P-Parametri'!$C$7,'P-Parametri'!$C$8)))+(IF(($A47*(1-'P-Parametri'!$B$19))&lt;='P-Parametri'!$C$12,0,IF(($A47*(1-'P-Parametri'!$B$19))&lt;='P-Parametri'!$B$6,'P-Parametri'!$C$13/'P-Parametri'!$D$13,IF(($A47*(1-'P-Parametri'!$B$19))&lt;='P-Parametri'!$B$7,'P-Parametri'!$B$14/'P-Parametri'!$C$14,0))))+(IF(AND(($A47*(1-'P-Parametri'!$B$19))&gt;'P-Parametri'!$D$15,($A47*(1-'P-Parametri'!$B$19))&lt;'P-Parametri'!$E$15),'P-Parametri'!$B$15/('P-Parametri'!$E$15-'P-Parametri'!$D$15),0))+'P-Parametri'!$B$20)</f>
        <v>0.48857459090909094</v>
      </c>
      <c r="O47" s="11">
        <f t="shared" si="11"/>
        <v>2.9693750000002295E-2</v>
      </c>
    </row>
    <row r="48" spans="1:15">
      <c r="A48" s="17">
        <f>35000</f>
        <v>35000</v>
      </c>
      <c r="B48" s="9">
        <f>'P-Parametri'!$B$19*$A48</f>
        <v>3216.5</v>
      </c>
      <c r="C48" s="9">
        <f t="shared" si="6"/>
        <v>31783.5</v>
      </c>
      <c r="D48" s="9">
        <f>IF($C48&lt;='P-Parametri'!$B$6,'P-Parametri'!$C$6*$C48,IF($C48&lt;='P-Parametri'!$B$7,'P-Parametri'!$B$9+'P-Parametri'!$C$7*($C48-'P-Parametri'!$B$6),'P-Parametri'!$B$10+'P-Parametri'!$C$8*($C48-'P-Parametri'!$B$7)))</f>
        <v>7688.5550000000003</v>
      </c>
      <c r="E48" s="9">
        <f>IF($C48&lt;='P-Parametri'!$C$12,'P-Parametri'!$B$12,IF($C48&lt;='P-Parametri'!$B$6,'P-Parametri'!$B$13+'P-Parametri'!$C$13*('P-Parametri'!$B$6-$C48)/'P-Parametri'!$D$13,IF($C48&lt;='P-Parametri'!$B$7,'P-Parametri'!$B$14*('P-Parametri'!$B$7-$C48)/'P-Parametri'!$C$14,0)))</f>
        <v>1581.5234090909091</v>
      </c>
      <c r="F48" s="9">
        <f>IF($C48&lt;='P-Parametri'!$C$15,0,IF($C48&lt;='P-Parametri'!$D$15,'P-Parametri'!$B$15,IF($C48&lt;'P-Parametri'!$E$15,'P-Parametri'!$B$15*('P-Parametri'!$E$15-$C48)/('P-Parametri'!$E$15-'P-Parametri'!$D$15),0)))</f>
        <v>1000</v>
      </c>
      <c r="G48" s="9">
        <f>IF($C48&gt;'P-Parametri'!$D$18,0,IF($C48&lt;='P-Parametri'!$B$18,'P-Parametri'!$B$17*$C48,IF($C48&lt;='P-Parametri'!$C$18,'P-Parametri'!$C$17*$C48,'P-Parametri'!$D$17*$C48)))</f>
        <v>0</v>
      </c>
      <c r="H48" s="9">
        <f>IF(AND($C48&lt;='P-Parametri'!$C$16,D48&gt;E48-'P-Parametri'!$D$16),'P-Parametri'!$B$16,0)</f>
        <v>0</v>
      </c>
      <c r="I48" s="9">
        <f t="shared" si="7"/>
        <v>5107.0315909090914</v>
      </c>
      <c r="J48" s="9">
        <f>IF(I48&gt;0,'P-Parametri'!$B$20*$C48,0)</f>
        <v>635.66999999999996</v>
      </c>
      <c r="K48" s="9">
        <f t="shared" si="8"/>
        <v>26040.798409090909</v>
      </c>
      <c r="L48" s="11">
        <f t="shared" si="9"/>
        <v>0.74402281168831164</v>
      </c>
      <c r="M48" s="11">
        <f t="shared" si="10"/>
        <v>0.57502459090908808</v>
      </c>
      <c r="N48" s="11">
        <f>'P-Parametri'!$B$19+(1-'P-Parametri'!$B$19)*((IF(($A48*(1-'P-Parametri'!$B$19))&lt;='P-Parametri'!$B$6,'P-Parametri'!$C$6,IF(($A48*(1-'P-Parametri'!$B$19))&lt;='P-Parametri'!$B$7,'P-Parametri'!$C$7,'P-Parametri'!$C$8)))+(IF(($A48*(1-'P-Parametri'!$B$19))&lt;='P-Parametri'!$C$12,0,IF(($A48*(1-'P-Parametri'!$B$19))&lt;='P-Parametri'!$B$6,'P-Parametri'!$C$13/'P-Parametri'!$D$13,IF(($A48*(1-'P-Parametri'!$B$19))&lt;='P-Parametri'!$B$7,'P-Parametri'!$B$14/'P-Parametri'!$C$14,0))))+(IF(AND(($A48*(1-'P-Parametri'!$B$19))&gt;'P-Parametri'!$D$15,($A48*(1-'P-Parametri'!$B$19))&lt;'P-Parametri'!$E$15),'P-Parametri'!$B$15/('P-Parametri'!$E$15-'P-Parametri'!$D$15),0))+'P-Parametri'!$B$20)</f>
        <v>0.48857459090909094</v>
      </c>
      <c r="O48" s="11">
        <f t="shared" si="11"/>
        <v>8.644999999999714E-2</v>
      </c>
    </row>
    <row r="49" spans="1:15">
      <c r="A49" s="17">
        <f>35500</f>
        <v>35500</v>
      </c>
      <c r="B49" s="9">
        <f>'P-Parametri'!$B$19*$A49</f>
        <v>3262.45</v>
      </c>
      <c r="C49" s="9">
        <f t="shared" si="6"/>
        <v>32237.55</v>
      </c>
      <c r="D49" s="9">
        <f>IF($C49&lt;='P-Parametri'!$B$6,'P-Parametri'!$C$6*$C49,IF($C49&lt;='P-Parametri'!$B$7,'P-Parametri'!$B$9+'P-Parametri'!$C$7*($C49-'P-Parametri'!$B$6),'P-Parametri'!$B$10+'P-Parametri'!$C$8*($C49-'P-Parametri'!$B$7)))</f>
        <v>7838.3914999999997</v>
      </c>
      <c r="E49" s="9">
        <f>IF($C49&lt;='P-Parametri'!$C$12,'P-Parametri'!$B$12,IF($C49&lt;='P-Parametri'!$B$6,'P-Parametri'!$B$13+'P-Parametri'!$C$13*('P-Parametri'!$B$6-$C49)/'P-Parametri'!$D$13,IF($C49&lt;='P-Parametri'!$B$7,'P-Parametri'!$B$14*('P-Parametri'!$B$7-$C49)/'P-Parametri'!$C$14,0)))</f>
        <v>1542.1036136363637</v>
      </c>
      <c r="F49" s="9">
        <f>IF($C49&lt;='P-Parametri'!$C$15,0,IF($C49&lt;='P-Parametri'!$D$15,'P-Parametri'!$B$15,IF($C49&lt;'P-Parametri'!$E$15,'P-Parametri'!$B$15*('P-Parametri'!$E$15-$C49)/('P-Parametri'!$E$15-'P-Parametri'!$D$15),0)))</f>
        <v>970.30625000000009</v>
      </c>
      <c r="G49" s="9">
        <f>IF($C49&gt;'P-Parametri'!$D$18,0,IF($C49&lt;='P-Parametri'!$B$18,'P-Parametri'!$B$17*$C49,IF($C49&lt;='P-Parametri'!$C$18,'P-Parametri'!$C$17*$C49,'P-Parametri'!$D$17*$C49)))</f>
        <v>0</v>
      </c>
      <c r="H49" s="9">
        <f>IF(AND($C49&lt;='P-Parametri'!$C$16,D49&gt;E49-'P-Parametri'!$D$16),'P-Parametri'!$B$16,0)</f>
        <v>0</v>
      </c>
      <c r="I49" s="9">
        <f t="shared" si="7"/>
        <v>5325.9816363636364</v>
      </c>
      <c r="J49" s="9">
        <f>IF(I49&gt;0,'P-Parametri'!$B$20*$C49,0)</f>
        <v>644.75099999999998</v>
      </c>
      <c r="K49" s="9">
        <f t="shared" si="8"/>
        <v>26266.817363636361</v>
      </c>
      <c r="L49" s="11">
        <f t="shared" si="9"/>
        <v>0.73991034827144675</v>
      </c>
      <c r="M49" s="11">
        <f t="shared" si="10"/>
        <v>0.60208709090908807</v>
      </c>
      <c r="N49" s="11">
        <f>'P-Parametri'!$B$19+(1-'P-Parametri'!$B$19)*((IF(($A49*(1-'P-Parametri'!$B$19))&lt;='P-Parametri'!$B$6,'P-Parametri'!$C$6,IF(($A49*(1-'P-Parametri'!$B$19))&lt;='P-Parametri'!$B$7,'P-Parametri'!$C$7,'P-Parametri'!$C$8)))+(IF(($A49*(1-'P-Parametri'!$B$19))&lt;='P-Parametri'!$C$12,0,IF(($A49*(1-'P-Parametri'!$B$19))&lt;='P-Parametri'!$B$6,'P-Parametri'!$C$13/'P-Parametri'!$D$13,IF(($A49*(1-'P-Parametri'!$B$19))&lt;='P-Parametri'!$B$7,'P-Parametri'!$B$14/'P-Parametri'!$C$14,0))))+(IF(AND(($A49*(1-'P-Parametri'!$B$19))&gt;'P-Parametri'!$D$15,($A49*(1-'P-Parametri'!$B$19))&lt;'P-Parametri'!$E$15),'P-Parametri'!$B$15/('P-Parametri'!$E$15-'P-Parametri'!$D$15),0))+'P-Parametri'!$B$20)</f>
        <v>0.60208709090909096</v>
      </c>
      <c r="O49" s="11">
        <f t="shared" si="11"/>
        <v>-2.886579864025407E-15</v>
      </c>
    </row>
    <row r="50" spans="1:15">
      <c r="A50" s="18">
        <f>36000</f>
        <v>36000</v>
      </c>
      <c r="B50" s="19">
        <f>'P-Parametri'!$B$19*$A50</f>
        <v>3308.3999999999996</v>
      </c>
      <c r="C50" s="19">
        <f t="shared" si="6"/>
        <v>32691.599999999999</v>
      </c>
      <c r="D50" s="19">
        <f>IF($C50&lt;='P-Parametri'!$B$6,'P-Parametri'!$C$6*$C50,IF($C50&lt;='P-Parametri'!$B$7,'P-Parametri'!$B$9+'P-Parametri'!$C$7*($C50-'P-Parametri'!$B$6),'P-Parametri'!$B$10+'P-Parametri'!$C$8*($C50-'P-Parametri'!$B$7)))</f>
        <v>7988.2279999999992</v>
      </c>
      <c r="E50" s="19">
        <f>IF($C50&lt;='P-Parametri'!$C$12,'P-Parametri'!$B$12,IF($C50&lt;='P-Parametri'!$B$6,'P-Parametri'!$B$13+'P-Parametri'!$C$13*('P-Parametri'!$B$6-$C50)/'P-Parametri'!$D$13,IF($C50&lt;='P-Parametri'!$B$7,'P-Parametri'!$B$14*('P-Parametri'!$B$7-$C50)/'P-Parametri'!$C$14,0)))</f>
        <v>1502.6838181818184</v>
      </c>
      <c r="F50" s="19">
        <f>IF($C50&lt;='P-Parametri'!$C$15,0,IF($C50&lt;='P-Parametri'!$D$15,'P-Parametri'!$B$15,IF($C50&lt;'P-Parametri'!$E$15,'P-Parametri'!$B$15*('P-Parametri'!$E$15-$C50)/('P-Parametri'!$E$15-'P-Parametri'!$D$15),0)))</f>
        <v>913.55000000000018</v>
      </c>
      <c r="G50" s="19">
        <f>IF($C50&gt;'P-Parametri'!$D$18,0,IF($C50&lt;='P-Parametri'!$B$18,'P-Parametri'!$B$17*$C50,IF($C50&lt;='P-Parametri'!$C$18,'P-Parametri'!$C$17*$C50,'P-Parametri'!$D$17*$C50)))</f>
        <v>0</v>
      </c>
      <c r="H50" s="19">
        <f>IF(AND($C50&lt;='P-Parametri'!$C$16,D50&gt;E50-'P-Parametri'!$D$16),'P-Parametri'!$B$16,0)</f>
        <v>0</v>
      </c>
      <c r="I50" s="19">
        <f t="shared" si="7"/>
        <v>5571.9941818181806</v>
      </c>
      <c r="J50" s="19">
        <f>IF(I50&gt;0,'P-Parametri'!$B$20*$C50,0)</f>
        <v>653.83199999999999</v>
      </c>
      <c r="K50" s="19">
        <f t="shared" si="8"/>
        <v>26465.77381818182</v>
      </c>
      <c r="L50" s="20">
        <f t="shared" si="9"/>
        <v>0.73516038383838389</v>
      </c>
      <c r="M50" s="20">
        <f t="shared" si="10"/>
        <v>0.6020870909090954</v>
      </c>
      <c r="N50" s="20">
        <f>'P-Parametri'!$B$19+(1-'P-Parametri'!$B$19)*((IF(($A50*(1-'P-Parametri'!$B$19))&lt;='P-Parametri'!$B$6,'P-Parametri'!$C$6,IF(($A50*(1-'P-Parametri'!$B$19))&lt;='P-Parametri'!$B$7,'P-Parametri'!$C$7,'P-Parametri'!$C$8)))+(IF(($A50*(1-'P-Parametri'!$B$19))&lt;='P-Parametri'!$C$12,0,IF(($A50*(1-'P-Parametri'!$B$19))&lt;='P-Parametri'!$B$6,'P-Parametri'!$C$13/'P-Parametri'!$D$13,IF(($A50*(1-'P-Parametri'!$B$19))&lt;='P-Parametri'!$B$7,'P-Parametri'!$B$14/'P-Parametri'!$C$14,0))))+(IF(AND(($A50*(1-'P-Parametri'!$B$19))&gt;'P-Parametri'!$D$15,($A50*(1-'P-Parametri'!$B$19))&lt;'P-Parametri'!$E$15),'P-Parametri'!$B$15/('P-Parametri'!$E$15-'P-Parametri'!$D$15),0))+'P-Parametri'!$B$20)</f>
        <v>0.60208709090909096</v>
      </c>
      <c r="O50" s="20">
        <f t="shared" si="11"/>
        <v>4.4408920985006262E-15</v>
      </c>
    </row>
    <row r="51" spans="1:15">
      <c r="A51" s="17">
        <f>36500</f>
        <v>36500</v>
      </c>
      <c r="B51" s="9">
        <f>'P-Parametri'!$B$19*$A51</f>
        <v>3354.35</v>
      </c>
      <c r="C51" s="9">
        <f t="shared" si="6"/>
        <v>33145.65</v>
      </c>
      <c r="D51" s="9">
        <f>IF($C51&lt;='P-Parametri'!$B$6,'P-Parametri'!$C$6*$C51,IF($C51&lt;='P-Parametri'!$B$7,'P-Parametri'!$B$9+'P-Parametri'!$C$7*($C51-'P-Parametri'!$B$6),'P-Parametri'!$B$10+'P-Parametri'!$C$8*($C51-'P-Parametri'!$B$7)))</f>
        <v>8138.0645000000004</v>
      </c>
      <c r="E51" s="9">
        <f>IF($C51&lt;='P-Parametri'!$C$12,'P-Parametri'!$B$12,IF($C51&lt;='P-Parametri'!$B$6,'P-Parametri'!$B$13+'P-Parametri'!$C$13*('P-Parametri'!$B$6-$C51)/'P-Parametri'!$D$13,IF($C51&lt;='P-Parametri'!$B$7,'P-Parametri'!$B$14*('P-Parametri'!$B$7-$C51)/'P-Parametri'!$C$14,0)))</f>
        <v>1463.2640227272725</v>
      </c>
      <c r="F51" s="9">
        <f>IF($C51&lt;='P-Parametri'!$C$15,0,IF($C51&lt;='P-Parametri'!$D$15,'P-Parametri'!$B$15,IF($C51&lt;'P-Parametri'!$E$15,'P-Parametri'!$B$15*('P-Parametri'!$E$15-$C51)/('P-Parametri'!$E$15-'P-Parametri'!$D$15),0)))</f>
        <v>856.79374999999982</v>
      </c>
      <c r="G51" s="9">
        <f>IF($C51&gt;'P-Parametri'!$D$18,0,IF($C51&lt;='P-Parametri'!$B$18,'P-Parametri'!$B$17*$C51,IF($C51&lt;='P-Parametri'!$C$18,'P-Parametri'!$C$17*$C51,'P-Parametri'!$D$17*$C51)))</f>
        <v>0</v>
      </c>
      <c r="H51" s="9">
        <f>IF(AND($C51&lt;='P-Parametri'!$C$16,D51&gt;E51-'P-Parametri'!$D$16),'P-Parametri'!$B$16,0)</f>
        <v>0</v>
      </c>
      <c r="I51" s="9">
        <f t="shared" si="7"/>
        <v>5818.0067272727283</v>
      </c>
      <c r="J51" s="9">
        <f>IF(I51&gt;0,'P-Parametri'!$B$20*$C51,0)</f>
        <v>662.91300000000001</v>
      </c>
      <c r="K51" s="9">
        <f t="shared" si="8"/>
        <v>26664.730272727273</v>
      </c>
      <c r="L51" s="11">
        <f t="shared" si="9"/>
        <v>0.73054055541718554</v>
      </c>
      <c r="M51" s="11">
        <f t="shared" si="10"/>
        <v>0.60208709090909185</v>
      </c>
      <c r="N51" s="11">
        <f>'P-Parametri'!$B$19+(1-'P-Parametri'!$B$19)*((IF(($A51*(1-'P-Parametri'!$B$19))&lt;='P-Parametri'!$B$6,'P-Parametri'!$C$6,IF(($A51*(1-'P-Parametri'!$B$19))&lt;='P-Parametri'!$B$7,'P-Parametri'!$C$7,'P-Parametri'!$C$8)))+(IF(($A51*(1-'P-Parametri'!$B$19))&lt;='P-Parametri'!$C$12,0,IF(($A51*(1-'P-Parametri'!$B$19))&lt;='P-Parametri'!$B$6,'P-Parametri'!$C$13/'P-Parametri'!$D$13,IF(($A51*(1-'P-Parametri'!$B$19))&lt;='P-Parametri'!$B$7,'P-Parametri'!$B$14/'P-Parametri'!$C$14,0))))+(IF(AND(($A51*(1-'P-Parametri'!$B$19))&gt;'P-Parametri'!$D$15,($A51*(1-'P-Parametri'!$B$19))&lt;'P-Parametri'!$E$15),'P-Parametri'!$B$15/('P-Parametri'!$E$15-'P-Parametri'!$D$15),0))+'P-Parametri'!$B$20)</f>
        <v>0.60208709090909096</v>
      </c>
      <c r="O51" s="11">
        <f t="shared" si="11"/>
        <v>8.8817841970012523E-16</v>
      </c>
    </row>
    <row r="52" spans="1:15">
      <c r="A52" s="17">
        <f>37000</f>
        <v>37000</v>
      </c>
      <c r="B52" s="9">
        <f>'P-Parametri'!$B$19*$A52</f>
        <v>3400.2999999999997</v>
      </c>
      <c r="C52" s="9">
        <f t="shared" si="6"/>
        <v>33599.699999999997</v>
      </c>
      <c r="D52" s="9">
        <f>IF($C52&lt;='P-Parametri'!$B$6,'P-Parametri'!$C$6*$C52,IF($C52&lt;='P-Parametri'!$B$7,'P-Parametri'!$B$9+'P-Parametri'!$C$7*($C52-'P-Parametri'!$B$6),'P-Parametri'!$B$10+'P-Parametri'!$C$8*($C52-'P-Parametri'!$B$7)))</f>
        <v>8287.9009999999998</v>
      </c>
      <c r="E52" s="9">
        <f>IF($C52&lt;='P-Parametri'!$C$12,'P-Parametri'!$B$12,IF($C52&lt;='P-Parametri'!$B$6,'P-Parametri'!$B$13+'P-Parametri'!$C$13*('P-Parametri'!$B$6-$C52)/'P-Parametri'!$D$13,IF($C52&lt;='P-Parametri'!$B$7,'P-Parametri'!$B$14*('P-Parametri'!$B$7-$C52)/'P-Parametri'!$C$14,0)))</f>
        <v>1423.8442272727275</v>
      </c>
      <c r="F52" s="9">
        <f>IF($C52&lt;='P-Parametri'!$C$15,0,IF($C52&lt;='P-Parametri'!$D$15,'P-Parametri'!$B$15,IF($C52&lt;'P-Parametri'!$E$15,'P-Parametri'!$B$15*('P-Parametri'!$E$15-$C52)/('P-Parametri'!$E$15-'P-Parametri'!$D$15),0)))</f>
        <v>800.03750000000036</v>
      </c>
      <c r="G52" s="9">
        <f>IF($C52&gt;'P-Parametri'!$D$18,0,IF($C52&lt;='P-Parametri'!$B$18,'P-Parametri'!$B$17*$C52,IF($C52&lt;='P-Parametri'!$C$18,'P-Parametri'!$C$17*$C52,'P-Parametri'!$D$17*$C52)))</f>
        <v>0</v>
      </c>
      <c r="H52" s="9">
        <f>IF(AND($C52&lt;='P-Parametri'!$C$16,D52&gt;E52-'P-Parametri'!$D$16),'P-Parametri'!$B$16,0)</f>
        <v>0</v>
      </c>
      <c r="I52" s="9">
        <f t="shared" si="7"/>
        <v>6064.0192727272715</v>
      </c>
      <c r="J52" s="9">
        <f>IF(I52&gt;0,'P-Parametri'!$B$20*$C52,0)</f>
        <v>671.99399999999991</v>
      </c>
      <c r="K52" s="9">
        <f t="shared" si="8"/>
        <v>26863.686727272725</v>
      </c>
      <c r="L52" s="11">
        <f t="shared" si="9"/>
        <v>0.72604558722358714</v>
      </c>
      <c r="M52" s="11">
        <f t="shared" si="10"/>
        <v>0.60208709090908452</v>
      </c>
      <c r="N52" s="11">
        <f>'P-Parametri'!$B$19+(1-'P-Parametri'!$B$19)*((IF(($A52*(1-'P-Parametri'!$B$19))&lt;='P-Parametri'!$B$6,'P-Parametri'!$C$6,IF(($A52*(1-'P-Parametri'!$B$19))&lt;='P-Parametri'!$B$7,'P-Parametri'!$C$7,'P-Parametri'!$C$8)))+(IF(($A52*(1-'P-Parametri'!$B$19))&lt;='P-Parametri'!$C$12,0,IF(($A52*(1-'P-Parametri'!$B$19))&lt;='P-Parametri'!$B$6,'P-Parametri'!$C$13/'P-Parametri'!$D$13,IF(($A52*(1-'P-Parametri'!$B$19))&lt;='P-Parametri'!$B$7,'P-Parametri'!$B$14/'P-Parametri'!$C$14,0))))+(IF(AND(($A52*(1-'P-Parametri'!$B$19))&gt;'P-Parametri'!$D$15,($A52*(1-'P-Parametri'!$B$19))&lt;'P-Parametri'!$E$15),'P-Parametri'!$B$15/('P-Parametri'!$E$15-'P-Parametri'!$D$15),0))+'P-Parametri'!$B$20)</f>
        <v>0.60208709090909096</v>
      </c>
      <c r="O52" s="11">
        <f t="shared" si="11"/>
        <v>-6.4392935428259079E-15</v>
      </c>
    </row>
    <row r="53" spans="1:15">
      <c r="A53" s="17">
        <f>37500</f>
        <v>37500</v>
      </c>
      <c r="B53" s="9">
        <f>'P-Parametri'!$B$19*$A53</f>
        <v>3446.25</v>
      </c>
      <c r="C53" s="9">
        <f t="shared" si="6"/>
        <v>34053.75</v>
      </c>
      <c r="D53" s="9">
        <f>IF($C53&lt;='P-Parametri'!$B$6,'P-Parametri'!$C$6*$C53,IF($C53&lt;='P-Parametri'!$B$7,'P-Parametri'!$B$9+'P-Parametri'!$C$7*($C53-'P-Parametri'!$B$6),'P-Parametri'!$B$10+'P-Parametri'!$C$8*($C53-'P-Parametri'!$B$7)))</f>
        <v>8437.7374999999993</v>
      </c>
      <c r="E53" s="9">
        <f>IF($C53&lt;='P-Parametri'!$C$12,'P-Parametri'!$B$12,IF($C53&lt;='P-Parametri'!$B$6,'P-Parametri'!$B$13+'P-Parametri'!$C$13*('P-Parametri'!$B$6-$C53)/'P-Parametri'!$D$13,IF($C53&lt;='P-Parametri'!$B$7,'P-Parametri'!$B$14*('P-Parametri'!$B$7-$C53)/'P-Parametri'!$C$14,0)))</f>
        <v>1384.4244318181818</v>
      </c>
      <c r="F53" s="9">
        <f>IF($C53&lt;='P-Parametri'!$C$15,0,IF($C53&lt;='P-Parametri'!$D$15,'P-Parametri'!$B$15,IF($C53&lt;'P-Parametri'!$E$15,'P-Parametri'!$B$15*('P-Parametri'!$E$15-$C53)/('P-Parametri'!$E$15-'P-Parametri'!$D$15),0)))</f>
        <v>743.28125</v>
      </c>
      <c r="G53" s="9">
        <f>IF($C53&gt;'P-Parametri'!$D$18,0,IF($C53&lt;='P-Parametri'!$B$18,'P-Parametri'!$B$17*$C53,IF($C53&lt;='P-Parametri'!$C$18,'P-Parametri'!$C$17*$C53,'P-Parametri'!$D$17*$C53)))</f>
        <v>0</v>
      </c>
      <c r="H53" s="9">
        <f>IF(AND($C53&lt;='P-Parametri'!$C$16,D53&gt;E53-'P-Parametri'!$D$16),'P-Parametri'!$B$16,0)</f>
        <v>0</v>
      </c>
      <c r="I53" s="9">
        <f t="shared" si="7"/>
        <v>6310.0318181818175</v>
      </c>
      <c r="J53" s="9">
        <f>IF(I53&gt;0,'P-Parametri'!$B$20*$C53,0)</f>
        <v>681.07500000000005</v>
      </c>
      <c r="K53" s="9">
        <f t="shared" si="8"/>
        <v>27062.643181818181</v>
      </c>
      <c r="L53" s="11">
        <f t="shared" si="9"/>
        <v>0.72167048484848484</v>
      </c>
      <c r="M53" s="11">
        <f t="shared" si="10"/>
        <v>0.60208709090909185</v>
      </c>
      <c r="N53" s="11">
        <f>'P-Parametri'!$B$19+(1-'P-Parametri'!$B$19)*((IF(($A53*(1-'P-Parametri'!$B$19))&lt;='P-Parametri'!$B$6,'P-Parametri'!$C$6,IF(($A53*(1-'P-Parametri'!$B$19))&lt;='P-Parametri'!$B$7,'P-Parametri'!$C$7,'P-Parametri'!$C$8)))+(IF(($A53*(1-'P-Parametri'!$B$19))&lt;='P-Parametri'!$C$12,0,IF(($A53*(1-'P-Parametri'!$B$19))&lt;='P-Parametri'!$B$6,'P-Parametri'!$C$13/'P-Parametri'!$D$13,IF(($A53*(1-'P-Parametri'!$B$19))&lt;='P-Parametri'!$B$7,'P-Parametri'!$B$14/'P-Parametri'!$C$14,0))))+(IF(AND(($A53*(1-'P-Parametri'!$B$19))&gt;'P-Parametri'!$D$15,($A53*(1-'P-Parametri'!$B$19))&lt;'P-Parametri'!$E$15),'P-Parametri'!$B$15/('P-Parametri'!$E$15-'P-Parametri'!$D$15),0))+'P-Parametri'!$B$20)</f>
        <v>0.60208709090909096</v>
      </c>
      <c r="O53" s="11">
        <f t="shared" si="11"/>
        <v>8.8817841970012523E-16</v>
      </c>
    </row>
    <row r="54" spans="1:15">
      <c r="A54" s="17">
        <f>38000</f>
        <v>38000</v>
      </c>
      <c r="B54" s="9">
        <f>'P-Parametri'!$B$19*$A54</f>
        <v>3492.2</v>
      </c>
      <c r="C54" s="9">
        <f t="shared" si="6"/>
        <v>34507.800000000003</v>
      </c>
      <c r="D54" s="9">
        <f>IF($C54&lt;='P-Parametri'!$B$6,'P-Parametri'!$C$6*$C54,IF($C54&lt;='P-Parametri'!$B$7,'P-Parametri'!$B$9+'P-Parametri'!$C$7*($C54-'P-Parametri'!$B$6),'P-Parametri'!$B$10+'P-Parametri'!$C$8*($C54-'P-Parametri'!$B$7)))</f>
        <v>8587.5740000000005</v>
      </c>
      <c r="E54" s="9">
        <f>IF($C54&lt;='P-Parametri'!$C$12,'P-Parametri'!$B$12,IF($C54&lt;='P-Parametri'!$B$6,'P-Parametri'!$B$13+'P-Parametri'!$C$13*('P-Parametri'!$B$6-$C54)/'P-Parametri'!$D$13,IF($C54&lt;='P-Parametri'!$B$7,'P-Parametri'!$B$14*('P-Parametri'!$B$7-$C54)/'P-Parametri'!$C$14,0)))</f>
        <v>1345.0046363636361</v>
      </c>
      <c r="F54" s="9">
        <f>IF($C54&lt;='P-Parametri'!$C$15,0,IF($C54&lt;='P-Parametri'!$D$15,'P-Parametri'!$B$15,IF($C54&lt;'P-Parametri'!$E$15,'P-Parametri'!$B$15*('P-Parametri'!$E$15-$C54)/('P-Parametri'!$E$15-'P-Parametri'!$D$15),0)))</f>
        <v>686.52499999999964</v>
      </c>
      <c r="G54" s="9">
        <f>IF($C54&gt;'P-Parametri'!$D$18,0,IF($C54&lt;='P-Parametri'!$B$18,'P-Parametri'!$B$17*$C54,IF($C54&lt;='P-Parametri'!$C$18,'P-Parametri'!$C$17*$C54,'P-Parametri'!$D$17*$C54)))</f>
        <v>0</v>
      </c>
      <c r="H54" s="9">
        <f>IF(AND($C54&lt;='P-Parametri'!$C$16,D54&gt;E54-'P-Parametri'!$D$16),'P-Parametri'!$B$16,0)</f>
        <v>0</v>
      </c>
      <c r="I54" s="9">
        <f t="shared" si="7"/>
        <v>6556.0443636363652</v>
      </c>
      <c r="J54" s="9">
        <f>IF(I54&gt;0,'P-Parametri'!$B$20*$C54,0)</f>
        <v>690.15600000000006</v>
      </c>
      <c r="K54" s="9">
        <f t="shared" si="8"/>
        <v>27261.59963636364</v>
      </c>
      <c r="L54" s="11">
        <f t="shared" si="9"/>
        <v>0.71741051674641154</v>
      </c>
      <c r="M54" s="11">
        <f t="shared" si="10"/>
        <v>0.6020870909090954</v>
      </c>
      <c r="N54" s="11">
        <f>'P-Parametri'!$B$19+(1-'P-Parametri'!$B$19)*((IF(($A54*(1-'P-Parametri'!$B$19))&lt;='P-Parametri'!$B$6,'P-Parametri'!$C$6,IF(($A54*(1-'P-Parametri'!$B$19))&lt;='P-Parametri'!$B$7,'P-Parametri'!$C$7,'P-Parametri'!$C$8)))+(IF(($A54*(1-'P-Parametri'!$B$19))&lt;='P-Parametri'!$C$12,0,IF(($A54*(1-'P-Parametri'!$B$19))&lt;='P-Parametri'!$B$6,'P-Parametri'!$C$13/'P-Parametri'!$D$13,IF(($A54*(1-'P-Parametri'!$B$19))&lt;='P-Parametri'!$B$7,'P-Parametri'!$B$14/'P-Parametri'!$C$14,0))))+(IF(AND(($A54*(1-'P-Parametri'!$B$19))&gt;'P-Parametri'!$D$15,($A54*(1-'P-Parametri'!$B$19))&lt;'P-Parametri'!$E$15),'P-Parametri'!$B$15/('P-Parametri'!$E$15-'P-Parametri'!$D$15),0))+'P-Parametri'!$B$20)</f>
        <v>0.60208709090909096</v>
      </c>
      <c r="O54" s="11">
        <f t="shared" si="11"/>
        <v>4.4408920985006262E-15</v>
      </c>
    </row>
    <row r="55" spans="1:15">
      <c r="A55" s="17">
        <f>38500</f>
        <v>38500</v>
      </c>
      <c r="B55" s="9">
        <f>'P-Parametri'!$B$19*$A55</f>
        <v>3538.1499999999996</v>
      </c>
      <c r="C55" s="9">
        <f t="shared" si="6"/>
        <v>34961.85</v>
      </c>
      <c r="D55" s="9">
        <f>IF($C55&lt;='P-Parametri'!$B$6,'P-Parametri'!$C$6*$C55,IF($C55&lt;='P-Parametri'!$B$7,'P-Parametri'!$B$9+'P-Parametri'!$C$7*($C55-'P-Parametri'!$B$6),'P-Parametri'!$B$10+'P-Parametri'!$C$8*($C55-'P-Parametri'!$B$7)))</f>
        <v>8737.4105</v>
      </c>
      <c r="E55" s="9">
        <f>IF($C55&lt;='P-Parametri'!$C$12,'P-Parametri'!$B$12,IF($C55&lt;='P-Parametri'!$B$6,'P-Parametri'!$B$13+'P-Parametri'!$C$13*('P-Parametri'!$B$6-$C55)/'P-Parametri'!$D$13,IF($C55&lt;='P-Parametri'!$B$7,'P-Parametri'!$B$14*('P-Parametri'!$B$7-$C55)/'P-Parametri'!$C$14,0)))</f>
        <v>1305.5848409090911</v>
      </c>
      <c r="F55" s="9">
        <f>IF($C55&lt;='P-Parametri'!$C$15,0,IF($C55&lt;='P-Parametri'!$D$15,'P-Parametri'!$B$15,IF($C55&lt;'P-Parametri'!$E$15,'P-Parametri'!$B$15*('P-Parametri'!$E$15-$C55)/('P-Parametri'!$E$15-'P-Parametri'!$D$15),0)))</f>
        <v>629.76875000000018</v>
      </c>
      <c r="G55" s="9">
        <f>IF($C55&gt;'P-Parametri'!$D$18,0,IF($C55&lt;='P-Parametri'!$B$18,'P-Parametri'!$B$17*$C55,IF($C55&lt;='P-Parametri'!$C$18,'P-Parametri'!$C$17*$C55,'P-Parametri'!$D$17*$C55)))</f>
        <v>0</v>
      </c>
      <c r="H55" s="9">
        <f>IF(AND($C55&lt;='P-Parametri'!$C$16,D55&gt;E55-'P-Parametri'!$D$16),'P-Parametri'!$B$16,0)</f>
        <v>0</v>
      </c>
      <c r="I55" s="9">
        <f t="shared" si="7"/>
        <v>6802.0569090909084</v>
      </c>
      <c r="J55" s="9">
        <f>IF(I55&gt;0,'P-Parametri'!$B$20*$C55,0)</f>
        <v>699.23699999999997</v>
      </c>
      <c r="K55" s="9">
        <f t="shared" si="8"/>
        <v>27460.556090909089</v>
      </c>
      <c r="L55" s="11">
        <f t="shared" si="9"/>
        <v>0.71326119716646985</v>
      </c>
      <c r="M55" s="11">
        <f t="shared" si="10"/>
        <v>0.60208709090909185</v>
      </c>
      <c r="N55" s="11">
        <f>'P-Parametri'!$B$19+(1-'P-Parametri'!$B$19)*((IF(($A55*(1-'P-Parametri'!$B$19))&lt;='P-Parametri'!$B$6,'P-Parametri'!$C$6,IF(($A55*(1-'P-Parametri'!$B$19))&lt;='P-Parametri'!$B$7,'P-Parametri'!$C$7,'P-Parametri'!$C$8)))+(IF(($A55*(1-'P-Parametri'!$B$19))&lt;='P-Parametri'!$C$12,0,IF(($A55*(1-'P-Parametri'!$B$19))&lt;='P-Parametri'!$B$6,'P-Parametri'!$C$13/'P-Parametri'!$D$13,IF(($A55*(1-'P-Parametri'!$B$19))&lt;='P-Parametri'!$B$7,'P-Parametri'!$B$14/'P-Parametri'!$C$14,0))))+(IF(AND(($A55*(1-'P-Parametri'!$B$19))&gt;'P-Parametri'!$D$15,($A55*(1-'P-Parametri'!$B$19))&lt;'P-Parametri'!$E$15),'P-Parametri'!$B$15/('P-Parametri'!$E$15-'P-Parametri'!$D$15),0))+'P-Parametri'!$B$20)</f>
        <v>0.60208709090909096</v>
      </c>
      <c r="O55" s="11">
        <f t="shared" si="11"/>
        <v>8.8817841970012523E-16</v>
      </c>
    </row>
    <row r="56" spans="1:15">
      <c r="A56" s="17">
        <f>39000</f>
        <v>39000</v>
      </c>
      <c r="B56" s="9">
        <f>'P-Parametri'!$B$19*$A56</f>
        <v>3584.1</v>
      </c>
      <c r="C56" s="9">
        <f t="shared" si="6"/>
        <v>35415.9</v>
      </c>
      <c r="D56" s="9">
        <f>IF($C56&lt;='P-Parametri'!$B$6,'P-Parametri'!$C$6*$C56,IF($C56&lt;='P-Parametri'!$B$7,'P-Parametri'!$B$9+'P-Parametri'!$C$7*($C56-'P-Parametri'!$B$6),'P-Parametri'!$B$10+'P-Parametri'!$C$8*($C56-'P-Parametri'!$B$7)))</f>
        <v>8887.2470000000012</v>
      </c>
      <c r="E56" s="9">
        <f>IF($C56&lt;='P-Parametri'!$C$12,'P-Parametri'!$B$12,IF($C56&lt;='P-Parametri'!$B$6,'P-Parametri'!$B$13+'P-Parametri'!$C$13*('P-Parametri'!$B$6-$C56)/'P-Parametri'!$D$13,IF($C56&lt;='P-Parametri'!$B$7,'P-Parametri'!$B$14*('P-Parametri'!$B$7-$C56)/'P-Parametri'!$C$14,0)))</f>
        <v>1266.1650454545452</v>
      </c>
      <c r="F56" s="9">
        <f>IF($C56&lt;='P-Parametri'!$C$15,0,IF($C56&lt;='P-Parametri'!$D$15,'P-Parametri'!$B$15,IF($C56&lt;'P-Parametri'!$E$15,'P-Parametri'!$B$15*('P-Parametri'!$E$15-$C56)/('P-Parametri'!$E$15-'P-Parametri'!$D$15),0)))</f>
        <v>573.01249999999982</v>
      </c>
      <c r="G56" s="9">
        <f>IF($C56&gt;'P-Parametri'!$D$18,0,IF($C56&lt;='P-Parametri'!$B$18,'P-Parametri'!$B$17*$C56,IF($C56&lt;='P-Parametri'!$C$18,'P-Parametri'!$C$17*$C56,'P-Parametri'!$D$17*$C56)))</f>
        <v>0</v>
      </c>
      <c r="H56" s="9">
        <f>IF(AND($C56&lt;='P-Parametri'!$C$16,D56&gt;E56-'P-Parametri'!$D$16),'P-Parametri'!$B$16,0)</f>
        <v>0</v>
      </c>
      <c r="I56" s="9">
        <f t="shared" si="7"/>
        <v>7048.0694545454562</v>
      </c>
      <c r="J56" s="9">
        <f>IF(I56&gt;0,'P-Parametri'!$B$20*$C56,0)</f>
        <v>708.3180000000001</v>
      </c>
      <c r="K56" s="9">
        <f t="shared" si="8"/>
        <v>27659.512545454545</v>
      </c>
      <c r="L56" s="11">
        <f t="shared" si="9"/>
        <v>0.70921827039627039</v>
      </c>
      <c r="M56" s="11">
        <f t="shared" si="10"/>
        <v>0.60208709090908807</v>
      </c>
      <c r="N56" s="11">
        <f>'P-Parametri'!$B$19+(1-'P-Parametri'!$B$19)*((IF(($A56*(1-'P-Parametri'!$B$19))&lt;='P-Parametri'!$B$6,'P-Parametri'!$C$6,IF(($A56*(1-'P-Parametri'!$B$19))&lt;='P-Parametri'!$B$7,'P-Parametri'!$C$7,'P-Parametri'!$C$8)))+(IF(($A56*(1-'P-Parametri'!$B$19))&lt;='P-Parametri'!$C$12,0,IF(($A56*(1-'P-Parametri'!$B$19))&lt;='P-Parametri'!$B$6,'P-Parametri'!$C$13/'P-Parametri'!$D$13,IF(($A56*(1-'P-Parametri'!$B$19))&lt;='P-Parametri'!$B$7,'P-Parametri'!$B$14/'P-Parametri'!$C$14,0))))+(IF(AND(($A56*(1-'P-Parametri'!$B$19))&gt;'P-Parametri'!$D$15,($A56*(1-'P-Parametri'!$B$19))&lt;'P-Parametri'!$E$15),'P-Parametri'!$B$15/('P-Parametri'!$E$15-'P-Parametri'!$D$15),0))+'P-Parametri'!$B$20)</f>
        <v>0.60208709090909096</v>
      </c>
      <c r="O56" s="11">
        <f t="shared" si="11"/>
        <v>-2.886579864025407E-15</v>
      </c>
    </row>
    <row r="57" spans="1:15">
      <c r="A57" s="17">
        <f>39500</f>
        <v>39500</v>
      </c>
      <c r="B57" s="9">
        <f>'P-Parametri'!$B$19*$A57</f>
        <v>3630.0499999999997</v>
      </c>
      <c r="C57" s="9">
        <f t="shared" si="6"/>
        <v>35869.949999999997</v>
      </c>
      <c r="D57" s="9">
        <f>IF($C57&lt;='P-Parametri'!$B$6,'P-Parametri'!$C$6*$C57,IF($C57&lt;='P-Parametri'!$B$7,'P-Parametri'!$B$9+'P-Parametri'!$C$7*($C57-'P-Parametri'!$B$6),'P-Parametri'!$B$10+'P-Parametri'!$C$8*($C57-'P-Parametri'!$B$7)))</f>
        <v>9037.0834999999988</v>
      </c>
      <c r="E57" s="9">
        <f>IF($C57&lt;='P-Parametri'!$C$12,'P-Parametri'!$B$12,IF($C57&lt;='P-Parametri'!$B$6,'P-Parametri'!$B$13+'P-Parametri'!$C$13*('P-Parametri'!$B$6-$C57)/'P-Parametri'!$D$13,IF($C57&lt;='P-Parametri'!$B$7,'P-Parametri'!$B$14*('P-Parametri'!$B$7-$C57)/'P-Parametri'!$C$14,0)))</f>
        <v>1226.7452500000002</v>
      </c>
      <c r="F57" s="9">
        <f>IF($C57&lt;='P-Parametri'!$C$15,0,IF($C57&lt;='P-Parametri'!$D$15,'P-Parametri'!$B$15,IF($C57&lt;'P-Parametri'!$E$15,'P-Parametri'!$B$15*('P-Parametri'!$E$15-$C57)/('P-Parametri'!$E$15-'P-Parametri'!$D$15),0)))</f>
        <v>516.25625000000036</v>
      </c>
      <c r="G57" s="9">
        <f>IF($C57&gt;'P-Parametri'!$D$18,0,IF($C57&lt;='P-Parametri'!$B$18,'P-Parametri'!$B$17*$C57,IF($C57&lt;='P-Parametri'!$C$18,'P-Parametri'!$C$17*$C57,'P-Parametri'!$D$17*$C57)))</f>
        <v>0</v>
      </c>
      <c r="H57" s="9">
        <f>IF(AND($C57&lt;='P-Parametri'!$C$16,D57&gt;E57-'P-Parametri'!$D$16),'P-Parametri'!$B$16,0)</f>
        <v>0</v>
      </c>
      <c r="I57" s="9">
        <f t="shared" si="7"/>
        <v>7294.0819999999985</v>
      </c>
      <c r="J57" s="9">
        <f>IF(I57&gt;0,'P-Parametri'!$B$20*$C57,0)</f>
        <v>717.399</v>
      </c>
      <c r="K57" s="9">
        <f t="shared" si="8"/>
        <v>27858.468999999997</v>
      </c>
      <c r="L57" s="11">
        <f t="shared" si="9"/>
        <v>0.70527769620253156</v>
      </c>
      <c r="M57" s="11">
        <f t="shared" si="10"/>
        <v>0.60208709090908807</v>
      </c>
      <c r="N57" s="11">
        <f>'P-Parametri'!$B$19+(1-'P-Parametri'!$B$19)*((IF(($A57*(1-'P-Parametri'!$B$19))&lt;='P-Parametri'!$B$6,'P-Parametri'!$C$6,IF(($A57*(1-'P-Parametri'!$B$19))&lt;='P-Parametri'!$B$7,'P-Parametri'!$C$7,'P-Parametri'!$C$8)))+(IF(($A57*(1-'P-Parametri'!$B$19))&lt;='P-Parametri'!$C$12,0,IF(($A57*(1-'P-Parametri'!$B$19))&lt;='P-Parametri'!$B$6,'P-Parametri'!$C$13/'P-Parametri'!$D$13,IF(($A57*(1-'P-Parametri'!$B$19))&lt;='P-Parametri'!$B$7,'P-Parametri'!$B$14/'P-Parametri'!$C$14,0))))+(IF(AND(($A57*(1-'P-Parametri'!$B$19))&gt;'P-Parametri'!$D$15,($A57*(1-'P-Parametri'!$B$19))&lt;'P-Parametri'!$E$15),'P-Parametri'!$B$15/('P-Parametri'!$E$15-'P-Parametri'!$D$15),0))+'P-Parametri'!$B$20)</f>
        <v>0.60208709090909096</v>
      </c>
      <c r="O57" s="11">
        <f t="shared" si="11"/>
        <v>-2.886579864025407E-15</v>
      </c>
    </row>
    <row r="58" spans="1:15">
      <c r="A58" s="17">
        <f>40000</f>
        <v>40000</v>
      </c>
      <c r="B58" s="9">
        <f>'P-Parametri'!$B$19*$A58</f>
        <v>3676</v>
      </c>
      <c r="C58" s="9">
        <f t="shared" si="6"/>
        <v>36324</v>
      </c>
      <c r="D58" s="9">
        <f>IF($C58&lt;='P-Parametri'!$B$6,'P-Parametri'!$C$6*$C58,IF($C58&lt;='P-Parametri'!$B$7,'P-Parametri'!$B$9+'P-Parametri'!$C$7*($C58-'P-Parametri'!$B$6),'P-Parametri'!$B$10+'P-Parametri'!$C$8*($C58-'P-Parametri'!$B$7)))</f>
        <v>9186.92</v>
      </c>
      <c r="E58" s="9">
        <f>IF($C58&lt;='P-Parametri'!$C$12,'P-Parametri'!$B$12,IF($C58&lt;='P-Parametri'!$B$6,'P-Parametri'!$B$13+'P-Parametri'!$C$13*('P-Parametri'!$B$6-$C58)/'P-Parametri'!$D$13,IF($C58&lt;='P-Parametri'!$B$7,'P-Parametri'!$B$14*('P-Parametri'!$B$7-$C58)/'P-Parametri'!$C$14,0)))</f>
        <v>1187.3254545454545</v>
      </c>
      <c r="F58" s="9">
        <f>IF($C58&lt;='P-Parametri'!$C$15,0,IF($C58&lt;='P-Parametri'!$D$15,'P-Parametri'!$B$15,IF($C58&lt;'P-Parametri'!$E$15,'P-Parametri'!$B$15*('P-Parametri'!$E$15-$C58)/('P-Parametri'!$E$15-'P-Parametri'!$D$15),0)))</f>
        <v>459.5</v>
      </c>
      <c r="G58" s="9">
        <f>IF($C58&gt;'P-Parametri'!$D$18,0,IF($C58&lt;='P-Parametri'!$B$18,'P-Parametri'!$B$17*$C58,IF($C58&lt;='P-Parametri'!$C$18,'P-Parametri'!$C$17*$C58,'P-Parametri'!$D$17*$C58)))</f>
        <v>0</v>
      </c>
      <c r="H58" s="9">
        <f>IF(AND($C58&lt;='P-Parametri'!$C$16,D58&gt;E58-'P-Parametri'!$D$16),'P-Parametri'!$B$16,0)</f>
        <v>0</v>
      </c>
      <c r="I58" s="9">
        <f t="shared" si="7"/>
        <v>7540.0945454545454</v>
      </c>
      <c r="J58" s="9">
        <f>IF(I58&gt;0,'P-Parametri'!$B$20*$C58,0)</f>
        <v>726.48</v>
      </c>
      <c r="K58" s="9">
        <f t="shared" si="8"/>
        <v>28057.425454545457</v>
      </c>
      <c r="L58" s="11">
        <f t="shared" si="9"/>
        <v>0.70143563636363637</v>
      </c>
      <c r="M58" s="11">
        <f t="shared" si="10"/>
        <v>0.6020870909090954</v>
      </c>
      <c r="N58" s="11">
        <f>'P-Parametri'!$B$19+(1-'P-Parametri'!$B$19)*((IF(($A58*(1-'P-Parametri'!$B$19))&lt;='P-Parametri'!$B$6,'P-Parametri'!$C$6,IF(($A58*(1-'P-Parametri'!$B$19))&lt;='P-Parametri'!$B$7,'P-Parametri'!$C$7,'P-Parametri'!$C$8)))+(IF(($A58*(1-'P-Parametri'!$B$19))&lt;='P-Parametri'!$C$12,0,IF(($A58*(1-'P-Parametri'!$B$19))&lt;='P-Parametri'!$B$6,'P-Parametri'!$C$13/'P-Parametri'!$D$13,IF(($A58*(1-'P-Parametri'!$B$19))&lt;='P-Parametri'!$B$7,'P-Parametri'!$B$14/'P-Parametri'!$C$14,0))))+(IF(AND(($A58*(1-'P-Parametri'!$B$19))&gt;'P-Parametri'!$D$15,($A58*(1-'P-Parametri'!$B$19))&lt;'P-Parametri'!$E$15),'P-Parametri'!$B$15/('P-Parametri'!$E$15-'P-Parametri'!$D$15),0))+'P-Parametri'!$B$20)</f>
        <v>0.60208709090909096</v>
      </c>
      <c r="O58" s="11">
        <f t="shared" si="11"/>
        <v>4.4408920985006262E-15</v>
      </c>
    </row>
    <row r="59" spans="1:15">
      <c r="A59" s="17">
        <f>40500</f>
        <v>40500</v>
      </c>
      <c r="B59" s="9">
        <f>'P-Parametri'!$B$19*$A59</f>
        <v>3721.95</v>
      </c>
      <c r="C59" s="9">
        <f t="shared" si="6"/>
        <v>36778.050000000003</v>
      </c>
      <c r="D59" s="9">
        <f>IF($C59&lt;='P-Parametri'!$B$6,'P-Parametri'!$C$6*$C59,IF($C59&lt;='P-Parametri'!$B$7,'P-Parametri'!$B$9+'P-Parametri'!$C$7*($C59-'P-Parametri'!$B$6),'P-Parametri'!$B$10+'P-Parametri'!$C$8*($C59-'P-Parametri'!$B$7)))</f>
        <v>9336.7565000000013</v>
      </c>
      <c r="E59" s="9">
        <f>IF($C59&lt;='P-Parametri'!$C$12,'P-Parametri'!$B$12,IF($C59&lt;='P-Parametri'!$B$6,'P-Parametri'!$B$13+'P-Parametri'!$C$13*('P-Parametri'!$B$6-$C59)/'P-Parametri'!$D$13,IF($C59&lt;='P-Parametri'!$B$7,'P-Parametri'!$B$14*('P-Parametri'!$B$7-$C59)/'P-Parametri'!$C$14,0)))</f>
        <v>1147.905659090909</v>
      </c>
      <c r="F59" s="9">
        <f>IF($C59&lt;='P-Parametri'!$C$15,0,IF($C59&lt;='P-Parametri'!$D$15,'P-Parametri'!$B$15,IF($C59&lt;'P-Parametri'!$E$15,'P-Parametri'!$B$15*('P-Parametri'!$E$15-$C59)/('P-Parametri'!$E$15-'P-Parametri'!$D$15),0)))</f>
        <v>402.74374999999964</v>
      </c>
      <c r="G59" s="9">
        <f>IF($C59&gt;'P-Parametri'!$D$18,0,IF($C59&lt;='P-Parametri'!$B$18,'P-Parametri'!$B$17*$C59,IF($C59&lt;='P-Parametri'!$C$18,'P-Parametri'!$C$17*$C59,'P-Parametri'!$D$17*$C59)))</f>
        <v>0</v>
      </c>
      <c r="H59" s="9">
        <f>IF(AND($C59&lt;='P-Parametri'!$C$16,D59&gt;E59-'P-Parametri'!$D$16),'P-Parametri'!$B$16,0)</f>
        <v>0</v>
      </c>
      <c r="I59" s="9">
        <f t="shared" si="7"/>
        <v>7786.1070909090922</v>
      </c>
      <c r="J59" s="9">
        <f>IF(I59&gt;0,'P-Parametri'!$B$20*$C59,0)</f>
        <v>735.56100000000004</v>
      </c>
      <c r="K59" s="9">
        <f t="shared" si="8"/>
        <v>28256.381909090909</v>
      </c>
      <c r="L59" s="11">
        <f t="shared" si="9"/>
        <v>0.69768844219977555</v>
      </c>
      <c r="M59" s="11">
        <f t="shared" si="10"/>
        <v>0.60208709090909185</v>
      </c>
      <c r="N59" s="11">
        <f>'P-Parametri'!$B$19+(1-'P-Parametri'!$B$19)*((IF(($A59*(1-'P-Parametri'!$B$19))&lt;='P-Parametri'!$B$6,'P-Parametri'!$C$6,IF(($A59*(1-'P-Parametri'!$B$19))&lt;='P-Parametri'!$B$7,'P-Parametri'!$C$7,'P-Parametri'!$C$8)))+(IF(($A59*(1-'P-Parametri'!$B$19))&lt;='P-Parametri'!$C$12,0,IF(($A59*(1-'P-Parametri'!$B$19))&lt;='P-Parametri'!$B$6,'P-Parametri'!$C$13/'P-Parametri'!$D$13,IF(($A59*(1-'P-Parametri'!$B$19))&lt;='P-Parametri'!$B$7,'P-Parametri'!$B$14/'P-Parametri'!$C$14,0))))+(IF(AND(($A59*(1-'P-Parametri'!$B$19))&gt;'P-Parametri'!$D$15,($A59*(1-'P-Parametri'!$B$19))&lt;'P-Parametri'!$E$15),'P-Parametri'!$B$15/('P-Parametri'!$E$15-'P-Parametri'!$D$15),0))+'P-Parametri'!$B$20)</f>
        <v>0.60208709090909096</v>
      </c>
      <c r="O59" s="11">
        <f t="shared" si="11"/>
        <v>8.8817841970012523E-16</v>
      </c>
    </row>
    <row r="60" spans="1:15">
      <c r="A60" s="17">
        <f>41000</f>
        <v>41000</v>
      </c>
      <c r="B60" s="9">
        <f>'P-Parametri'!$B$19*$A60</f>
        <v>3767.8999999999996</v>
      </c>
      <c r="C60" s="9">
        <f t="shared" si="6"/>
        <v>37232.1</v>
      </c>
      <c r="D60" s="9">
        <f>IF($C60&lt;='P-Parametri'!$B$6,'P-Parametri'!$C$6*$C60,IF($C60&lt;='P-Parametri'!$B$7,'P-Parametri'!$B$9+'P-Parametri'!$C$7*($C60-'P-Parametri'!$B$6),'P-Parametri'!$B$10+'P-Parametri'!$C$8*($C60-'P-Parametri'!$B$7)))</f>
        <v>9486.5930000000008</v>
      </c>
      <c r="E60" s="9">
        <f>IF($C60&lt;='P-Parametri'!$C$12,'P-Parametri'!$B$12,IF($C60&lt;='P-Parametri'!$B$6,'P-Parametri'!$B$13+'P-Parametri'!$C$13*('P-Parametri'!$B$6-$C60)/'P-Parametri'!$D$13,IF($C60&lt;='P-Parametri'!$B$7,'P-Parametri'!$B$14*('P-Parametri'!$B$7-$C60)/'P-Parametri'!$C$14,0)))</f>
        <v>1108.4858636363638</v>
      </c>
      <c r="F60" s="9">
        <f>IF($C60&lt;='P-Parametri'!$C$15,0,IF($C60&lt;='P-Parametri'!$D$15,'P-Parametri'!$B$15,IF($C60&lt;'P-Parametri'!$E$15,'P-Parametri'!$B$15*('P-Parametri'!$E$15-$C60)/('P-Parametri'!$E$15-'P-Parametri'!$D$15),0)))</f>
        <v>345.98750000000018</v>
      </c>
      <c r="G60" s="9">
        <f>IF($C60&gt;'P-Parametri'!$D$18,0,IF($C60&lt;='P-Parametri'!$B$18,'P-Parametri'!$B$17*$C60,IF($C60&lt;='P-Parametri'!$C$18,'P-Parametri'!$C$17*$C60,'P-Parametri'!$D$17*$C60)))</f>
        <v>0</v>
      </c>
      <c r="H60" s="9">
        <f>IF(AND($C60&lt;='P-Parametri'!$C$16,D60&gt;E60-'P-Parametri'!$D$16),'P-Parametri'!$B$16,0)</f>
        <v>0</v>
      </c>
      <c r="I60" s="9">
        <f t="shared" si="7"/>
        <v>8032.1196363636363</v>
      </c>
      <c r="J60" s="9">
        <f>IF(I60&gt;0,'P-Parametri'!$B$20*$C60,0)</f>
        <v>744.64199999999994</v>
      </c>
      <c r="K60" s="9">
        <f t="shared" si="8"/>
        <v>28455.338363636361</v>
      </c>
      <c r="L60" s="11">
        <f t="shared" si="9"/>
        <v>0.69403264301552103</v>
      </c>
      <c r="M60" s="11">
        <f t="shared" si="10"/>
        <v>0.60208709090908807</v>
      </c>
      <c r="N60" s="11">
        <f>'P-Parametri'!$B$19+(1-'P-Parametri'!$B$19)*((IF(($A60*(1-'P-Parametri'!$B$19))&lt;='P-Parametri'!$B$6,'P-Parametri'!$C$6,IF(($A60*(1-'P-Parametri'!$B$19))&lt;='P-Parametri'!$B$7,'P-Parametri'!$C$7,'P-Parametri'!$C$8)))+(IF(($A60*(1-'P-Parametri'!$B$19))&lt;='P-Parametri'!$C$12,0,IF(($A60*(1-'P-Parametri'!$B$19))&lt;='P-Parametri'!$B$6,'P-Parametri'!$C$13/'P-Parametri'!$D$13,IF(($A60*(1-'P-Parametri'!$B$19))&lt;='P-Parametri'!$B$7,'P-Parametri'!$B$14/'P-Parametri'!$C$14,0))))+(IF(AND(($A60*(1-'P-Parametri'!$B$19))&gt;'P-Parametri'!$D$15,($A60*(1-'P-Parametri'!$B$19))&lt;'P-Parametri'!$E$15),'P-Parametri'!$B$15/('P-Parametri'!$E$15-'P-Parametri'!$D$15),0))+'P-Parametri'!$B$20)</f>
        <v>0.60208709090909096</v>
      </c>
      <c r="O60" s="11">
        <f t="shared" si="11"/>
        <v>-2.886579864025407E-15</v>
      </c>
    </row>
    <row r="61" spans="1:15">
      <c r="A61" s="17">
        <f>41500</f>
        <v>41500</v>
      </c>
      <c r="B61" s="9">
        <f>'P-Parametri'!$B$19*$A61</f>
        <v>3813.85</v>
      </c>
      <c r="C61" s="9">
        <f t="shared" si="6"/>
        <v>37686.15</v>
      </c>
      <c r="D61" s="9">
        <f>IF($C61&lt;='P-Parametri'!$B$6,'P-Parametri'!$C$6*$C61,IF($C61&lt;='P-Parametri'!$B$7,'P-Parametri'!$B$9+'P-Parametri'!$C$7*($C61-'P-Parametri'!$B$6),'P-Parametri'!$B$10+'P-Parametri'!$C$8*($C61-'P-Parametri'!$B$7)))</f>
        <v>9636.4295000000002</v>
      </c>
      <c r="E61" s="9">
        <f>IF($C61&lt;='P-Parametri'!$C$12,'P-Parametri'!$B$12,IF($C61&lt;='P-Parametri'!$B$6,'P-Parametri'!$B$13+'P-Parametri'!$C$13*('P-Parametri'!$B$6-$C61)/'P-Parametri'!$D$13,IF($C61&lt;='P-Parametri'!$B$7,'P-Parametri'!$B$14*('P-Parametri'!$B$7-$C61)/'P-Parametri'!$C$14,0)))</f>
        <v>1069.0660681818181</v>
      </c>
      <c r="F61" s="9">
        <f>IF($C61&lt;='P-Parametri'!$C$15,0,IF($C61&lt;='P-Parametri'!$D$15,'P-Parametri'!$B$15,IF($C61&lt;'P-Parametri'!$E$15,'P-Parametri'!$B$15*('P-Parametri'!$E$15-$C61)/('P-Parametri'!$E$15-'P-Parametri'!$D$15),0)))</f>
        <v>289.23124999999982</v>
      </c>
      <c r="G61" s="9">
        <f>IF($C61&gt;'P-Parametri'!$D$18,0,IF($C61&lt;='P-Parametri'!$B$18,'P-Parametri'!$B$17*$C61,IF($C61&lt;='P-Parametri'!$C$18,'P-Parametri'!$C$17*$C61,'P-Parametri'!$D$17*$C61)))</f>
        <v>0</v>
      </c>
      <c r="H61" s="9">
        <f>IF(AND($C61&lt;='P-Parametri'!$C$16,D61&gt;E61-'P-Parametri'!$D$16),'P-Parametri'!$B$16,0)</f>
        <v>0</v>
      </c>
      <c r="I61" s="9">
        <f t="shared" si="7"/>
        <v>8278.1321818181823</v>
      </c>
      <c r="J61" s="9">
        <f>IF(I61&gt;0,'P-Parametri'!$B$20*$C61,0)</f>
        <v>753.72300000000007</v>
      </c>
      <c r="K61" s="9">
        <f t="shared" si="8"/>
        <v>28654.294818181817</v>
      </c>
      <c r="L61" s="11">
        <f t="shared" si="9"/>
        <v>0.69046493537787512</v>
      </c>
      <c r="M61" s="11">
        <f t="shared" si="10"/>
        <v>0.60208709090908807</v>
      </c>
      <c r="N61" s="11">
        <f>'P-Parametri'!$B$19+(1-'P-Parametri'!$B$19)*((IF(($A61*(1-'P-Parametri'!$B$19))&lt;='P-Parametri'!$B$6,'P-Parametri'!$C$6,IF(($A61*(1-'P-Parametri'!$B$19))&lt;='P-Parametri'!$B$7,'P-Parametri'!$C$7,'P-Parametri'!$C$8)))+(IF(($A61*(1-'P-Parametri'!$B$19))&lt;='P-Parametri'!$C$12,0,IF(($A61*(1-'P-Parametri'!$B$19))&lt;='P-Parametri'!$B$6,'P-Parametri'!$C$13/'P-Parametri'!$D$13,IF(($A61*(1-'P-Parametri'!$B$19))&lt;='P-Parametri'!$B$7,'P-Parametri'!$B$14/'P-Parametri'!$C$14,0))))+(IF(AND(($A61*(1-'P-Parametri'!$B$19))&gt;'P-Parametri'!$D$15,($A61*(1-'P-Parametri'!$B$19))&lt;'P-Parametri'!$E$15),'P-Parametri'!$B$15/('P-Parametri'!$E$15-'P-Parametri'!$D$15),0))+'P-Parametri'!$B$20)</f>
        <v>0.60208709090909096</v>
      </c>
      <c r="O61" s="11">
        <f t="shared" si="11"/>
        <v>-2.886579864025407E-15</v>
      </c>
    </row>
    <row r="62" spans="1:15">
      <c r="A62" s="17">
        <f>42000</f>
        <v>42000</v>
      </c>
      <c r="B62" s="9">
        <f>'P-Parametri'!$B$19*$A62</f>
        <v>3859.7999999999997</v>
      </c>
      <c r="C62" s="9">
        <f t="shared" si="6"/>
        <v>38140.199999999997</v>
      </c>
      <c r="D62" s="9">
        <f>IF($C62&lt;='P-Parametri'!$B$6,'P-Parametri'!$C$6*$C62,IF($C62&lt;='P-Parametri'!$B$7,'P-Parametri'!$B$9+'P-Parametri'!$C$7*($C62-'P-Parametri'!$B$6),'P-Parametri'!$B$10+'P-Parametri'!$C$8*($C62-'P-Parametri'!$B$7)))</f>
        <v>9786.2659999999996</v>
      </c>
      <c r="E62" s="9">
        <f>IF($C62&lt;='P-Parametri'!$C$12,'P-Parametri'!$B$12,IF($C62&lt;='P-Parametri'!$B$6,'P-Parametri'!$B$13+'P-Parametri'!$C$13*('P-Parametri'!$B$6-$C62)/'P-Parametri'!$D$13,IF($C62&lt;='P-Parametri'!$B$7,'P-Parametri'!$B$14*('P-Parametri'!$B$7-$C62)/'P-Parametri'!$C$14,0)))</f>
        <v>1029.6462727272728</v>
      </c>
      <c r="F62" s="9">
        <f>IF($C62&lt;='P-Parametri'!$C$15,0,IF($C62&lt;='P-Parametri'!$D$15,'P-Parametri'!$B$15,IF($C62&lt;'P-Parametri'!$E$15,'P-Parametri'!$B$15*('P-Parametri'!$E$15-$C62)/('P-Parametri'!$E$15-'P-Parametri'!$D$15),0)))</f>
        <v>232.47500000000034</v>
      </c>
      <c r="G62" s="9">
        <f>IF($C62&gt;'P-Parametri'!$D$18,0,IF($C62&lt;='P-Parametri'!$B$18,'P-Parametri'!$B$17*$C62,IF($C62&lt;='P-Parametri'!$C$18,'P-Parametri'!$C$17*$C62,'P-Parametri'!$D$17*$C62)))</f>
        <v>0</v>
      </c>
      <c r="H62" s="9">
        <f>IF(AND($C62&lt;='P-Parametri'!$C$16,D62&gt;E62-'P-Parametri'!$D$16),'P-Parametri'!$B$16,0)</f>
        <v>0</v>
      </c>
      <c r="I62" s="9">
        <f t="shared" si="7"/>
        <v>8524.1447272727255</v>
      </c>
      <c r="J62" s="9">
        <f>IF(I62&gt;0,'P-Parametri'!$B$20*$C62,0)</f>
        <v>762.80399999999997</v>
      </c>
      <c r="K62" s="9">
        <f t="shared" si="8"/>
        <v>28853.251272727273</v>
      </c>
      <c r="L62" s="11">
        <f t="shared" si="9"/>
        <v>0.68698217316017318</v>
      </c>
      <c r="M62" s="11">
        <f t="shared" si="10"/>
        <v>0.60208709090909185</v>
      </c>
      <c r="N62" s="11">
        <f>'P-Parametri'!$B$19+(1-'P-Parametri'!$B$19)*((IF(($A62*(1-'P-Parametri'!$B$19))&lt;='P-Parametri'!$B$6,'P-Parametri'!$C$6,IF(($A62*(1-'P-Parametri'!$B$19))&lt;='P-Parametri'!$B$7,'P-Parametri'!$C$7,'P-Parametri'!$C$8)))+(IF(($A62*(1-'P-Parametri'!$B$19))&lt;='P-Parametri'!$C$12,0,IF(($A62*(1-'P-Parametri'!$B$19))&lt;='P-Parametri'!$B$6,'P-Parametri'!$C$13/'P-Parametri'!$D$13,IF(($A62*(1-'P-Parametri'!$B$19))&lt;='P-Parametri'!$B$7,'P-Parametri'!$B$14/'P-Parametri'!$C$14,0))))+(IF(AND(($A62*(1-'P-Parametri'!$B$19))&gt;'P-Parametri'!$D$15,($A62*(1-'P-Parametri'!$B$19))&lt;'P-Parametri'!$E$15),'P-Parametri'!$B$15/('P-Parametri'!$E$15-'P-Parametri'!$D$15),0))+'P-Parametri'!$B$20)</f>
        <v>0.60208709090909096</v>
      </c>
      <c r="O62" s="11">
        <f t="shared" si="11"/>
        <v>8.8817841970012523E-16</v>
      </c>
    </row>
    <row r="63" spans="1:15">
      <c r="A63" s="17">
        <f>42500</f>
        <v>42500</v>
      </c>
      <c r="B63" s="9">
        <f>'P-Parametri'!$B$19*$A63</f>
        <v>3905.75</v>
      </c>
      <c r="C63" s="9">
        <f t="shared" si="6"/>
        <v>38594.25</v>
      </c>
      <c r="D63" s="9">
        <f>IF($C63&lt;='P-Parametri'!$B$6,'P-Parametri'!$C$6*$C63,IF($C63&lt;='P-Parametri'!$B$7,'P-Parametri'!$B$9+'P-Parametri'!$C$7*($C63-'P-Parametri'!$B$6),'P-Parametri'!$B$10+'P-Parametri'!$C$8*($C63-'P-Parametri'!$B$7)))</f>
        <v>9936.1025000000009</v>
      </c>
      <c r="E63" s="9">
        <f>IF($C63&lt;='P-Parametri'!$C$12,'P-Parametri'!$B$12,IF($C63&lt;='P-Parametri'!$B$6,'P-Parametri'!$B$13+'P-Parametri'!$C$13*('P-Parametri'!$B$6-$C63)/'P-Parametri'!$D$13,IF($C63&lt;='P-Parametri'!$B$7,'P-Parametri'!$B$14*('P-Parametri'!$B$7-$C63)/'P-Parametri'!$C$14,0)))</f>
        <v>990.22647727272727</v>
      </c>
      <c r="F63" s="9">
        <f>IF($C63&lt;='P-Parametri'!$C$15,0,IF($C63&lt;='P-Parametri'!$D$15,'P-Parametri'!$B$15,IF($C63&lt;'P-Parametri'!$E$15,'P-Parametri'!$B$15*('P-Parametri'!$E$15-$C63)/('P-Parametri'!$E$15-'P-Parametri'!$D$15),0)))</f>
        <v>175.71875</v>
      </c>
      <c r="G63" s="9">
        <f>IF($C63&gt;'P-Parametri'!$D$18,0,IF($C63&lt;='P-Parametri'!$B$18,'P-Parametri'!$B$17*$C63,IF($C63&lt;='P-Parametri'!$C$18,'P-Parametri'!$C$17*$C63,'P-Parametri'!$D$17*$C63)))</f>
        <v>0</v>
      </c>
      <c r="H63" s="9">
        <f>IF(AND($C63&lt;='P-Parametri'!$C$16,D63&gt;E63-'P-Parametri'!$D$16),'P-Parametri'!$B$16,0)</f>
        <v>0</v>
      </c>
      <c r="I63" s="9">
        <f t="shared" si="7"/>
        <v>8770.1572727272742</v>
      </c>
      <c r="J63" s="9">
        <f>IF(I63&gt;0,'P-Parametri'!$B$20*$C63,0)</f>
        <v>771.88499999999999</v>
      </c>
      <c r="K63" s="9">
        <f t="shared" si="8"/>
        <v>29052.207727272729</v>
      </c>
      <c r="L63" s="11">
        <f t="shared" si="9"/>
        <v>0.68358135828877009</v>
      </c>
      <c r="M63" s="11">
        <f t="shared" si="10"/>
        <v>0.60208709090909185</v>
      </c>
      <c r="N63" s="11">
        <f>'P-Parametri'!$B$19+(1-'P-Parametri'!$B$19)*((IF(($A63*(1-'P-Parametri'!$B$19))&lt;='P-Parametri'!$B$6,'P-Parametri'!$C$6,IF(($A63*(1-'P-Parametri'!$B$19))&lt;='P-Parametri'!$B$7,'P-Parametri'!$C$7,'P-Parametri'!$C$8)))+(IF(($A63*(1-'P-Parametri'!$B$19))&lt;='P-Parametri'!$C$12,0,IF(($A63*(1-'P-Parametri'!$B$19))&lt;='P-Parametri'!$B$6,'P-Parametri'!$C$13/'P-Parametri'!$D$13,IF(($A63*(1-'P-Parametri'!$B$19))&lt;='P-Parametri'!$B$7,'P-Parametri'!$B$14/'P-Parametri'!$C$14,0))))+(IF(AND(($A63*(1-'P-Parametri'!$B$19))&gt;'P-Parametri'!$D$15,($A63*(1-'P-Parametri'!$B$19))&lt;'P-Parametri'!$E$15),'P-Parametri'!$B$15/('P-Parametri'!$E$15-'P-Parametri'!$D$15),0))+'P-Parametri'!$B$20)</f>
        <v>0.60208709090909096</v>
      </c>
      <c r="O63" s="11">
        <f t="shared" si="11"/>
        <v>8.8817841970012523E-16</v>
      </c>
    </row>
    <row r="64" spans="1:15">
      <c r="A64" s="18">
        <f>43000</f>
        <v>43000</v>
      </c>
      <c r="B64" s="19">
        <f>'P-Parametri'!$B$19*$A64</f>
        <v>3951.7</v>
      </c>
      <c r="C64" s="19">
        <f t="shared" si="6"/>
        <v>39048.300000000003</v>
      </c>
      <c r="D64" s="19">
        <f>IF($C64&lt;='P-Parametri'!$B$6,'P-Parametri'!$C$6*$C64,IF($C64&lt;='P-Parametri'!$B$7,'P-Parametri'!$B$9+'P-Parametri'!$C$7*($C64-'P-Parametri'!$B$6),'P-Parametri'!$B$10+'P-Parametri'!$C$8*($C64-'P-Parametri'!$B$7)))</f>
        <v>10085.939000000002</v>
      </c>
      <c r="E64" s="19">
        <f>IF($C64&lt;='P-Parametri'!$C$12,'P-Parametri'!$B$12,IF($C64&lt;='P-Parametri'!$B$6,'P-Parametri'!$B$13+'P-Parametri'!$C$13*('P-Parametri'!$B$6-$C64)/'P-Parametri'!$D$13,IF($C64&lt;='P-Parametri'!$B$7,'P-Parametri'!$B$14*('P-Parametri'!$B$7-$C64)/'P-Parametri'!$C$14,0)))</f>
        <v>950.80668181818169</v>
      </c>
      <c r="F64" s="19">
        <f>IF($C64&lt;='P-Parametri'!$C$15,0,IF($C64&lt;='P-Parametri'!$D$15,'P-Parametri'!$B$15,IF($C64&lt;'P-Parametri'!$E$15,'P-Parametri'!$B$15*('P-Parametri'!$E$15-$C64)/('P-Parametri'!$E$15-'P-Parametri'!$D$15),0)))</f>
        <v>118.96249999999964</v>
      </c>
      <c r="G64" s="19">
        <f>IF($C64&gt;'P-Parametri'!$D$18,0,IF($C64&lt;='P-Parametri'!$B$18,'P-Parametri'!$B$17*$C64,IF($C64&lt;='P-Parametri'!$C$18,'P-Parametri'!$C$17*$C64,'P-Parametri'!$D$17*$C64)))</f>
        <v>0</v>
      </c>
      <c r="H64" s="19">
        <f>IF(AND($C64&lt;='P-Parametri'!$C$16,D64&gt;E64-'P-Parametri'!$D$16),'P-Parametri'!$B$16,0)</f>
        <v>0</v>
      </c>
      <c r="I64" s="19">
        <f t="shared" si="7"/>
        <v>9016.169818181821</v>
      </c>
      <c r="J64" s="19">
        <f>IF(I64&gt;0,'P-Parametri'!$B$20*$C64,0)</f>
        <v>780.96600000000012</v>
      </c>
      <c r="K64" s="19">
        <f t="shared" si="8"/>
        <v>29251.164181818182</v>
      </c>
      <c r="L64" s="20">
        <f t="shared" si="9"/>
        <v>0.6802596321353066</v>
      </c>
      <c r="M64" s="20">
        <f t="shared" si="10"/>
        <v>0.60208709090909185</v>
      </c>
      <c r="N64" s="20">
        <f>'P-Parametri'!$B$19+(1-'P-Parametri'!$B$19)*((IF(($A64*(1-'P-Parametri'!$B$19))&lt;='P-Parametri'!$B$6,'P-Parametri'!$C$6,IF(($A64*(1-'P-Parametri'!$B$19))&lt;='P-Parametri'!$B$7,'P-Parametri'!$C$7,'P-Parametri'!$C$8)))+(IF(($A64*(1-'P-Parametri'!$B$19))&lt;='P-Parametri'!$C$12,0,IF(($A64*(1-'P-Parametri'!$B$19))&lt;='P-Parametri'!$B$6,'P-Parametri'!$C$13/'P-Parametri'!$D$13,IF(($A64*(1-'P-Parametri'!$B$19))&lt;='P-Parametri'!$B$7,'P-Parametri'!$B$14/'P-Parametri'!$C$14,0))))+(IF(AND(($A64*(1-'P-Parametri'!$B$19))&gt;'P-Parametri'!$D$15,($A64*(1-'P-Parametri'!$B$19))&lt;'P-Parametri'!$E$15),'P-Parametri'!$B$15/('P-Parametri'!$E$15-'P-Parametri'!$D$15),0))+'P-Parametri'!$B$20)</f>
        <v>0.60208709090909096</v>
      </c>
      <c r="O64" s="20">
        <f t="shared" si="11"/>
        <v>8.8817841970012523E-16</v>
      </c>
    </row>
    <row r="65" spans="1:15">
      <c r="A65" s="17">
        <f>43500</f>
        <v>43500</v>
      </c>
      <c r="B65" s="9">
        <f>'P-Parametri'!$B$19*$A65</f>
        <v>3997.6499999999996</v>
      </c>
      <c r="C65" s="9">
        <f t="shared" si="6"/>
        <v>39502.35</v>
      </c>
      <c r="D65" s="9">
        <f>IF($C65&lt;='P-Parametri'!$B$6,'P-Parametri'!$C$6*$C65,IF($C65&lt;='P-Parametri'!$B$7,'P-Parametri'!$B$9+'P-Parametri'!$C$7*($C65-'P-Parametri'!$B$6),'P-Parametri'!$B$10+'P-Parametri'!$C$8*($C65-'P-Parametri'!$B$7)))</f>
        <v>10235.7755</v>
      </c>
      <c r="E65" s="9">
        <f>IF($C65&lt;='P-Parametri'!$C$12,'P-Parametri'!$B$12,IF($C65&lt;='P-Parametri'!$B$6,'P-Parametri'!$B$13+'P-Parametri'!$C$13*('P-Parametri'!$B$6-$C65)/'P-Parametri'!$D$13,IF($C65&lt;='P-Parametri'!$B$7,'P-Parametri'!$B$14*('P-Parametri'!$B$7-$C65)/'P-Parametri'!$C$14,0)))</f>
        <v>911.38688636363656</v>
      </c>
      <c r="F65" s="9">
        <f>IF($C65&lt;='P-Parametri'!$C$15,0,IF($C65&lt;='P-Parametri'!$D$15,'P-Parametri'!$B$15,IF($C65&lt;'P-Parametri'!$E$15,'P-Parametri'!$B$15*('P-Parametri'!$E$15-$C65)/('P-Parametri'!$E$15-'P-Parametri'!$D$15),0)))</f>
        <v>62.206250000000182</v>
      </c>
      <c r="G65" s="9">
        <f>IF($C65&gt;'P-Parametri'!$D$18,0,IF($C65&lt;='P-Parametri'!$B$18,'P-Parametri'!$B$17*$C65,IF($C65&lt;='P-Parametri'!$C$18,'P-Parametri'!$C$17*$C65,'P-Parametri'!$D$17*$C65)))</f>
        <v>0</v>
      </c>
      <c r="H65" s="9">
        <f>IF(AND($C65&lt;='P-Parametri'!$C$16,D65&gt;E65-'P-Parametri'!$D$16),'P-Parametri'!$B$16,0)</f>
        <v>0</v>
      </c>
      <c r="I65" s="9">
        <f t="shared" si="7"/>
        <v>9262.1823636363624</v>
      </c>
      <c r="J65" s="9">
        <f>IF(I65&gt;0,'P-Parametri'!$B$20*$C65,0)</f>
        <v>790.04700000000003</v>
      </c>
      <c r="K65" s="9">
        <f t="shared" si="8"/>
        <v>29450.120636363637</v>
      </c>
      <c r="L65" s="11">
        <f t="shared" si="9"/>
        <v>0.6770142675026124</v>
      </c>
      <c r="M65" s="11">
        <f t="shared" si="10"/>
        <v>0.55078084090909041</v>
      </c>
      <c r="N65" s="11">
        <f>'P-Parametri'!$B$19+(1-'P-Parametri'!$B$19)*((IF(($A65*(1-'P-Parametri'!$B$19))&lt;='P-Parametri'!$B$6,'P-Parametri'!$C$6,IF(($A65*(1-'P-Parametri'!$B$19))&lt;='P-Parametri'!$B$7,'P-Parametri'!$C$7,'P-Parametri'!$C$8)))+(IF(($A65*(1-'P-Parametri'!$B$19))&lt;='P-Parametri'!$C$12,0,IF(($A65*(1-'P-Parametri'!$B$19))&lt;='P-Parametri'!$B$6,'P-Parametri'!$C$13/'P-Parametri'!$D$13,IF(($A65*(1-'P-Parametri'!$B$19))&lt;='P-Parametri'!$B$7,'P-Parametri'!$B$14/'P-Parametri'!$C$14,0))))+(IF(AND(($A65*(1-'P-Parametri'!$B$19))&gt;'P-Parametri'!$D$15,($A65*(1-'P-Parametri'!$B$19))&lt;'P-Parametri'!$E$15),'P-Parametri'!$B$15/('P-Parametri'!$E$15-'P-Parametri'!$D$15),0))+'P-Parametri'!$B$20)</f>
        <v>0.60208709090909096</v>
      </c>
      <c r="O65" s="11">
        <f t="shared" si="11"/>
        <v>-5.1306250000000553E-2</v>
      </c>
    </row>
    <row r="66" spans="1:15">
      <c r="A66" s="17">
        <f>44000</f>
        <v>44000</v>
      </c>
      <c r="B66" s="9">
        <f>'P-Parametri'!$B$19*$A66</f>
        <v>4043.6</v>
      </c>
      <c r="C66" s="9">
        <f t="shared" si="6"/>
        <v>39956.400000000001</v>
      </c>
      <c r="D66" s="9">
        <f>IF($C66&lt;='P-Parametri'!$B$6,'P-Parametri'!$C$6*$C66,IF($C66&lt;='P-Parametri'!$B$7,'P-Parametri'!$B$9+'P-Parametri'!$C$7*($C66-'P-Parametri'!$B$6),'P-Parametri'!$B$10+'P-Parametri'!$C$8*($C66-'P-Parametri'!$B$7)))</f>
        <v>10385.612000000001</v>
      </c>
      <c r="E66" s="9">
        <f>IF($C66&lt;='P-Parametri'!$C$12,'P-Parametri'!$B$12,IF($C66&lt;='P-Parametri'!$B$6,'P-Parametri'!$B$13+'P-Parametri'!$C$13*('P-Parametri'!$B$6-$C66)/'P-Parametri'!$D$13,IF($C66&lt;='P-Parametri'!$B$7,'P-Parametri'!$B$14*('P-Parametri'!$B$7-$C66)/'P-Parametri'!$C$14,0)))</f>
        <v>871.96709090909076</v>
      </c>
      <c r="F66" s="9">
        <f>IF($C66&lt;='P-Parametri'!$C$15,0,IF($C66&lt;='P-Parametri'!$D$15,'P-Parametri'!$B$15,IF($C66&lt;'P-Parametri'!$E$15,'P-Parametri'!$B$15*('P-Parametri'!$E$15-$C66)/('P-Parametri'!$E$15-'P-Parametri'!$D$15),0)))</f>
        <v>5.4499999999998181</v>
      </c>
      <c r="G66" s="9">
        <f>IF($C66&gt;'P-Parametri'!$D$18,0,IF($C66&lt;='P-Parametri'!$B$18,'P-Parametri'!$B$17*$C66,IF($C66&lt;='P-Parametri'!$C$18,'P-Parametri'!$C$17*$C66,'P-Parametri'!$D$17*$C66)))</f>
        <v>0</v>
      </c>
      <c r="H66" s="9">
        <f>IF(AND($C66&lt;='P-Parametri'!$C$16,D66&gt;E66-'P-Parametri'!$D$16),'P-Parametri'!$B$16,0)</f>
        <v>0</v>
      </c>
      <c r="I66" s="9">
        <f t="shared" si="7"/>
        <v>9508.1949090909111</v>
      </c>
      <c r="J66" s="9">
        <f>IF(I66&gt;0,'P-Parametri'!$B$20*$C66,0)</f>
        <v>799.12800000000004</v>
      </c>
      <c r="K66" s="9">
        <f t="shared" si="8"/>
        <v>29649.07709090909</v>
      </c>
      <c r="L66" s="11">
        <f t="shared" si="9"/>
        <v>0.67384266115702474</v>
      </c>
      <c r="M66" s="11">
        <f t="shared" si="10"/>
        <v>0.49402459090909179</v>
      </c>
      <c r="N66" s="11">
        <f>'P-Parametri'!$B$19+(1-'P-Parametri'!$B$19)*((IF(($A66*(1-'P-Parametri'!$B$19))&lt;='P-Parametri'!$B$6,'P-Parametri'!$C$6,IF(($A66*(1-'P-Parametri'!$B$19))&lt;='P-Parametri'!$B$7,'P-Parametri'!$C$7,'P-Parametri'!$C$8)))+(IF(($A66*(1-'P-Parametri'!$B$19))&lt;='P-Parametri'!$C$12,0,IF(($A66*(1-'P-Parametri'!$B$19))&lt;='P-Parametri'!$B$6,'P-Parametri'!$C$13/'P-Parametri'!$D$13,IF(($A66*(1-'P-Parametri'!$B$19))&lt;='P-Parametri'!$B$7,'P-Parametri'!$B$14/'P-Parametri'!$C$14,0))))+(IF(AND(($A66*(1-'P-Parametri'!$B$19))&gt;'P-Parametri'!$D$15,($A66*(1-'P-Parametri'!$B$19))&lt;'P-Parametri'!$E$15),'P-Parametri'!$B$15/('P-Parametri'!$E$15-'P-Parametri'!$D$15),0))+'P-Parametri'!$B$20)</f>
        <v>0.60208709090909096</v>
      </c>
      <c r="O66" s="11">
        <f t="shared" si="11"/>
        <v>-0.10806249999999917</v>
      </c>
    </row>
    <row r="67" spans="1:15">
      <c r="A67" s="17">
        <f>44500</f>
        <v>44500</v>
      </c>
      <c r="B67" s="9">
        <f>'P-Parametri'!$B$19*$A67</f>
        <v>4089.5499999999997</v>
      </c>
      <c r="C67" s="9">
        <f t="shared" si="6"/>
        <v>40410.449999999997</v>
      </c>
      <c r="D67" s="9">
        <f>IF($C67&lt;='P-Parametri'!$B$6,'P-Parametri'!$C$6*$C67,IF($C67&lt;='P-Parametri'!$B$7,'P-Parametri'!$B$9+'P-Parametri'!$C$7*($C67-'P-Parametri'!$B$6),'P-Parametri'!$B$10+'P-Parametri'!$C$8*($C67-'P-Parametri'!$B$7)))</f>
        <v>10535.448499999999</v>
      </c>
      <c r="E67" s="9">
        <f>IF($C67&lt;='P-Parametri'!$C$12,'P-Parametri'!$B$12,IF($C67&lt;='P-Parametri'!$B$6,'P-Parametri'!$B$13+'P-Parametri'!$C$13*('P-Parametri'!$B$6-$C67)/'P-Parametri'!$D$13,IF($C67&lt;='P-Parametri'!$B$7,'P-Parametri'!$B$14*('P-Parametri'!$B$7-$C67)/'P-Parametri'!$C$14,0)))</f>
        <v>832.54729545454563</v>
      </c>
      <c r="F67" s="9">
        <f>IF($C67&lt;='P-Parametri'!$C$15,0,IF($C67&lt;='P-Parametri'!$D$15,'P-Parametri'!$B$15,IF($C67&lt;'P-Parametri'!$E$15,'P-Parametri'!$B$15*('P-Parametri'!$E$15-$C67)/('P-Parametri'!$E$15-'P-Parametri'!$D$15),0)))</f>
        <v>0</v>
      </c>
      <c r="G67" s="9">
        <f>IF($C67&gt;'P-Parametri'!$D$18,0,IF($C67&lt;='P-Parametri'!$B$18,'P-Parametri'!$B$17*$C67,IF($C67&lt;='P-Parametri'!$C$18,'P-Parametri'!$C$17*$C67,'P-Parametri'!$D$17*$C67)))</f>
        <v>0</v>
      </c>
      <c r="H67" s="9">
        <f>IF(AND($C67&lt;='P-Parametri'!$C$16,D67&gt;E67-'P-Parametri'!$D$16),'P-Parametri'!$B$16,0)</f>
        <v>0</v>
      </c>
      <c r="I67" s="9">
        <f t="shared" si="7"/>
        <v>9702.9012045454529</v>
      </c>
      <c r="J67" s="9">
        <f>IF(I67&gt;0,'P-Parametri'!$B$20*$C67,0)</f>
        <v>808.20899999999995</v>
      </c>
      <c r="K67" s="9">
        <f t="shared" si="8"/>
        <v>29899.339795454547</v>
      </c>
      <c r="L67" s="11">
        <f t="shared" si="9"/>
        <v>0.67189527630234935</v>
      </c>
      <c r="M67" s="11">
        <f t="shared" si="10"/>
        <v>0.48857459090909106</v>
      </c>
      <c r="N67" s="11">
        <f>'P-Parametri'!$B$19+(1-'P-Parametri'!$B$19)*((IF(($A67*(1-'P-Parametri'!$B$19))&lt;='P-Parametri'!$B$6,'P-Parametri'!$C$6,IF(($A67*(1-'P-Parametri'!$B$19))&lt;='P-Parametri'!$B$7,'P-Parametri'!$C$7,'P-Parametri'!$C$8)))+(IF(($A67*(1-'P-Parametri'!$B$19))&lt;='P-Parametri'!$C$12,0,IF(($A67*(1-'P-Parametri'!$B$19))&lt;='P-Parametri'!$B$6,'P-Parametri'!$C$13/'P-Parametri'!$D$13,IF(($A67*(1-'P-Parametri'!$B$19))&lt;='P-Parametri'!$B$7,'P-Parametri'!$B$14/'P-Parametri'!$C$14,0))))+(IF(AND(($A67*(1-'P-Parametri'!$B$19))&gt;'P-Parametri'!$D$15,($A67*(1-'P-Parametri'!$B$19))&lt;'P-Parametri'!$E$15),'P-Parametri'!$B$15/('P-Parametri'!$E$15-'P-Parametri'!$D$15),0))+'P-Parametri'!$B$20)</f>
        <v>0.48857459090909094</v>
      </c>
      <c r="O67" s="11">
        <f t="shared" si="11"/>
        <v>0</v>
      </c>
    </row>
    <row r="68" spans="1:15">
      <c r="A68" s="17">
        <f>45000</f>
        <v>45000</v>
      </c>
      <c r="B68" s="9">
        <f>'P-Parametri'!$B$19*$A68</f>
        <v>4135.5</v>
      </c>
      <c r="C68" s="9">
        <f t="shared" si="6"/>
        <v>40864.5</v>
      </c>
      <c r="D68" s="9">
        <f>IF($C68&lt;='P-Parametri'!$B$6,'P-Parametri'!$C$6*$C68,IF($C68&lt;='P-Parametri'!$B$7,'P-Parametri'!$B$9+'P-Parametri'!$C$7*($C68-'P-Parametri'!$B$6),'P-Parametri'!$B$10+'P-Parametri'!$C$8*($C68-'P-Parametri'!$B$7)))</f>
        <v>10685.285</v>
      </c>
      <c r="E68" s="9">
        <f>IF($C68&lt;='P-Parametri'!$C$12,'P-Parametri'!$B$12,IF($C68&lt;='P-Parametri'!$B$6,'P-Parametri'!$B$13+'P-Parametri'!$C$13*('P-Parametri'!$B$6-$C68)/'P-Parametri'!$D$13,IF($C68&lt;='P-Parametri'!$B$7,'P-Parametri'!$B$14*('P-Parametri'!$B$7-$C68)/'P-Parametri'!$C$14,0)))</f>
        <v>793.12750000000005</v>
      </c>
      <c r="F68" s="9">
        <f>IF($C68&lt;='P-Parametri'!$C$15,0,IF($C68&lt;='P-Parametri'!$D$15,'P-Parametri'!$B$15,IF($C68&lt;'P-Parametri'!$E$15,'P-Parametri'!$B$15*('P-Parametri'!$E$15-$C68)/('P-Parametri'!$E$15-'P-Parametri'!$D$15),0)))</f>
        <v>0</v>
      </c>
      <c r="G68" s="9">
        <f>IF($C68&gt;'P-Parametri'!$D$18,0,IF($C68&lt;='P-Parametri'!$B$18,'P-Parametri'!$B$17*$C68,IF($C68&lt;='P-Parametri'!$C$18,'P-Parametri'!$C$17*$C68,'P-Parametri'!$D$17*$C68)))</f>
        <v>0</v>
      </c>
      <c r="H68" s="9">
        <f>IF(AND($C68&lt;='P-Parametri'!$C$16,D68&gt;E68-'P-Parametri'!$D$16),'P-Parametri'!$B$16,0)</f>
        <v>0</v>
      </c>
      <c r="I68" s="9">
        <f t="shared" si="7"/>
        <v>9892.1574999999993</v>
      </c>
      <c r="J68" s="9">
        <f>IF(I68&gt;0,'P-Parametri'!$B$20*$C68,0)</f>
        <v>817.29</v>
      </c>
      <c r="K68" s="9">
        <f t="shared" si="8"/>
        <v>30155.052499999998</v>
      </c>
      <c r="L68" s="11">
        <f t="shared" si="9"/>
        <v>0.67011227777777771</v>
      </c>
      <c r="M68" s="11">
        <f t="shared" si="10"/>
        <v>0.48857459090909106</v>
      </c>
      <c r="N68" s="11">
        <f>'P-Parametri'!$B$19+(1-'P-Parametri'!$B$19)*((IF(($A68*(1-'P-Parametri'!$B$19))&lt;='P-Parametri'!$B$6,'P-Parametri'!$C$6,IF(($A68*(1-'P-Parametri'!$B$19))&lt;='P-Parametri'!$B$7,'P-Parametri'!$C$7,'P-Parametri'!$C$8)))+(IF(($A68*(1-'P-Parametri'!$B$19))&lt;='P-Parametri'!$C$12,0,IF(($A68*(1-'P-Parametri'!$B$19))&lt;='P-Parametri'!$B$6,'P-Parametri'!$C$13/'P-Parametri'!$D$13,IF(($A68*(1-'P-Parametri'!$B$19))&lt;='P-Parametri'!$B$7,'P-Parametri'!$B$14/'P-Parametri'!$C$14,0))))+(IF(AND(($A68*(1-'P-Parametri'!$B$19))&gt;'P-Parametri'!$D$15,($A68*(1-'P-Parametri'!$B$19))&lt;'P-Parametri'!$E$15),'P-Parametri'!$B$15/('P-Parametri'!$E$15-'P-Parametri'!$D$15),0))+'P-Parametri'!$B$20)</f>
        <v>0.48857459090909094</v>
      </c>
      <c r="O68" s="11">
        <f t="shared" si="11"/>
        <v>0</v>
      </c>
    </row>
    <row r="69" spans="1:15">
      <c r="A69" s="17">
        <f>45500</f>
        <v>45500</v>
      </c>
      <c r="B69" s="9">
        <f>'P-Parametri'!$B$19*$A69</f>
        <v>4181.45</v>
      </c>
      <c r="C69" s="9">
        <f t="shared" si="6"/>
        <v>41318.550000000003</v>
      </c>
      <c r="D69" s="9">
        <f>IF($C69&lt;='P-Parametri'!$B$6,'P-Parametri'!$C$6*$C69,IF($C69&lt;='P-Parametri'!$B$7,'P-Parametri'!$B$9+'P-Parametri'!$C$7*($C69-'P-Parametri'!$B$6),'P-Parametri'!$B$10+'P-Parametri'!$C$8*($C69-'P-Parametri'!$B$7)))</f>
        <v>10835.121500000001</v>
      </c>
      <c r="E69" s="9">
        <f>IF($C69&lt;='P-Parametri'!$C$12,'P-Parametri'!$B$12,IF($C69&lt;='P-Parametri'!$B$6,'P-Parametri'!$B$13+'P-Parametri'!$C$13*('P-Parametri'!$B$6-$C69)/'P-Parametri'!$D$13,IF($C69&lt;='P-Parametri'!$B$7,'P-Parametri'!$B$14*('P-Parametri'!$B$7-$C69)/'P-Parametri'!$C$14,0)))</f>
        <v>753.70770454545425</v>
      </c>
      <c r="F69" s="9">
        <f>IF($C69&lt;='P-Parametri'!$C$15,0,IF($C69&lt;='P-Parametri'!$D$15,'P-Parametri'!$B$15,IF($C69&lt;'P-Parametri'!$E$15,'P-Parametri'!$B$15*('P-Parametri'!$E$15-$C69)/('P-Parametri'!$E$15-'P-Parametri'!$D$15),0)))</f>
        <v>0</v>
      </c>
      <c r="G69" s="9">
        <f>IF($C69&gt;'P-Parametri'!$D$18,0,IF($C69&lt;='P-Parametri'!$B$18,'P-Parametri'!$B$17*$C69,IF($C69&lt;='P-Parametri'!$C$18,'P-Parametri'!$C$17*$C69,'P-Parametri'!$D$17*$C69)))</f>
        <v>0</v>
      </c>
      <c r="H69" s="9">
        <f>IF(AND($C69&lt;='P-Parametri'!$C$16,D69&gt;E69-'P-Parametri'!$D$16),'P-Parametri'!$B$16,0)</f>
        <v>0</v>
      </c>
      <c r="I69" s="9">
        <f t="shared" si="7"/>
        <v>10081.413795454548</v>
      </c>
      <c r="J69" s="9">
        <f>IF(I69&gt;0,'P-Parametri'!$B$20*$C69,0)</f>
        <v>826.37100000000009</v>
      </c>
      <c r="K69" s="9">
        <f t="shared" si="8"/>
        <v>30410.765204545456</v>
      </c>
      <c r="L69" s="11">
        <f t="shared" si="9"/>
        <v>0.66836846603396605</v>
      </c>
      <c r="M69" s="11">
        <f t="shared" si="10"/>
        <v>0.48857459090909106</v>
      </c>
      <c r="N69" s="11">
        <f>'P-Parametri'!$B$19+(1-'P-Parametri'!$B$19)*((IF(($A69*(1-'P-Parametri'!$B$19))&lt;='P-Parametri'!$B$6,'P-Parametri'!$C$6,IF(($A69*(1-'P-Parametri'!$B$19))&lt;='P-Parametri'!$B$7,'P-Parametri'!$C$7,'P-Parametri'!$C$8)))+(IF(($A69*(1-'P-Parametri'!$B$19))&lt;='P-Parametri'!$C$12,0,IF(($A69*(1-'P-Parametri'!$B$19))&lt;='P-Parametri'!$B$6,'P-Parametri'!$C$13/'P-Parametri'!$D$13,IF(($A69*(1-'P-Parametri'!$B$19))&lt;='P-Parametri'!$B$7,'P-Parametri'!$B$14/'P-Parametri'!$C$14,0))))+(IF(AND(($A69*(1-'P-Parametri'!$B$19))&gt;'P-Parametri'!$D$15,($A69*(1-'P-Parametri'!$B$19))&lt;'P-Parametri'!$E$15),'P-Parametri'!$B$15/('P-Parametri'!$E$15-'P-Parametri'!$D$15),0))+'P-Parametri'!$B$20)</f>
        <v>0.48857459090909094</v>
      </c>
      <c r="O69" s="11">
        <f t="shared" si="11"/>
        <v>0</v>
      </c>
    </row>
    <row r="70" spans="1:15">
      <c r="A70" s="17">
        <f>46000</f>
        <v>46000</v>
      </c>
      <c r="B70" s="9">
        <f>'P-Parametri'!$B$19*$A70</f>
        <v>4227.3999999999996</v>
      </c>
      <c r="C70" s="9">
        <f t="shared" si="6"/>
        <v>41772.6</v>
      </c>
      <c r="D70" s="9">
        <f>IF($C70&lt;='P-Parametri'!$B$6,'P-Parametri'!$C$6*$C70,IF($C70&lt;='P-Parametri'!$B$7,'P-Parametri'!$B$9+'P-Parametri'!$C$7*($C70-'P-Parametri'!$B$6),'P-Parametri'!$B$10+'P-Parametri'!$C$8*($C70-'P-Parametri'!$B$7)))</f>
        <v>10984.957999999999</v>
      </c>
      <c r="E70" s="9">
        <f>IF($C70&lt;='P-Parametri'!$C$12,'P-Parametri'!$B$12,IF($C70&lt;='P-Parametri'!$B$6,'P-Parametri'!$B$13+'P-Parametri'!$C$13*('P-Parametri'!$B$6-$C70)/'P-Parametri'!$D$13,IF($C70&lt;='P-Parametri'!$B$7,'P-Parametri'!$B$14*('P-Parametri'!$B$7-$C70)/'P-Parametri'!$C$14,0)))</f>
        <v>714.28790909090912</v>
      </c>
      <c r="F70" s="9">
        <f>IF($C70&lt;='P-Parametri'!$C$15,0,IF($C70&lt;='P-Parametri'!$D$15,'P-Parametri'!$B$15,IF($C70&lt;'P-Parametri'!$E$15,'P-Parametri'!$B$15*('P-Parametri'!$E$15-$C70)/('P-Parametri'!$E$15-'P-Parametri'!$D$15),0)))</f>
        <v>0</v>
      </c>
      <c r="G70" s="9">
        <f>IF($C70&gt;'P-Parametri'!$D$18,0,IF($C70&lt;='P-Parametri'!$B$18,'P-Parametri'!$B$17*$C70,IF($C70&lt;='P-Parametri'!$C$18,'P-Parametri'!$C$17*$C70,'P-Parametri'!$D$17*$C70)))</f>
        <v>0</v>
      </c>
      <c r="H70" s="9">
        <f>IF(AND($C70&lt;='P-Parametri'!$C$16,D70&gt;E70-'P-Parametri'!$D$16),'P-Parametri'!$B$16,0)</f>
        <v>0</v>
      </c>
      <c r="I70" s="9">
        <f t="shared" si="7"/>
        <v>10270.670090909091</v>
      </c>
      <c r="J70" s="9">
        <f>IF(I70&gt;0,'P-Parametri'!$B$20*$C70,0)</f>
        <v>835.452</v>
      </c>
      <c r="K70" s="9">
        <f t="shared" si="8"/>
        <v>30666.477909090907</v>
      </c>
      <c r="L70" s="11">
        <f t="shared" si="9"/>
        <v>0.66666256324110662</v>
      </c>
      <c r="M70" s="11">
        <f t="shared" si="10"/>
        <v>0.48857459090909106</v>
      </c>
      <c r="N70" s="11">
        <f>'P-Parametri'!$B$19+(1-'P-Parametri'!$B$19)*((IF(($A70*(1-'P-Parametri'!$B$19))&lt;='P-Parametri'!$B$6,'P-Parametri'!$C$6,IF(($A70*(1-'P-Parametri'!$B$19))&lt;='P-Parametri'!$B$7,'P-Parametri'!$C$7,'P-Parametri'!$C$8)))+(IF(($A70*(1-'P-Parametri'!$B$19))&lt;='P-Parametri'!$C$12,0,IF(($A70*(1-'P-Parametri'!$B$19))&lt;='P-Parametri'!$B$6,'P-Parametri'!$C$13/'P-Parametri'!$D$13,IF(($A70*(1-'P-Parametri'!$B$19))&lt;='P-Parametri'!$B$7,'P-Parametri'!$B$14/'P-Parametri'!$C$14,0))))+(IF(AND(($A70*(1-'P-Parametri'!$B$19))&gt;'P-Parametri'!$D$15,($A70*(1-'P-Parametri'!$B$19))&lt;'P-Parametri'!$E$15),'P-Parametri'!$B$15/('P-Parametri'!$E$15-'P-Parametri'!$D$15),0))+'P-Parametri'!$B$20)</f>
        <v>0.48857459090909094</v>
      </c>
      <c r="O70" s="11">
        <f t="shared" si="11"/>
        <v>0</v>
      </c>
    </row>
    <row r="71" spans="1:15">
      <c r="A71" s="17">
        <f>46500</f>
        <v>46500</v>
      </c>
      <c r="B71" s="9">
        <f>'P-Parametri'!$B$19*$A71</f>
        <v>4273.3499999999995</v>
      </c>
      <c r="C71" s="9">
        <f t="shared" si="6"/>
        <v>42226.65</v>
      </c>
      <c r="D71" s="9">
        <f>IF($C71&lt;='P-Parametri'!$B$6,'P-Parametri'!$C$6*$C71,IF($C71&lt;='P-Parametri'!$B$7,'P-Parametri'!$B$9+'P-Parametri'!$C$7*($C71-'P-Parametri'!$B$6),'P-Parametri'!$B$10+'P-Parametri'!$C$8*($C71-'P-Parametri'!$B$7)))</f>
        <v>11134.7945</v>
      </c>
      <c r="E71" s="9">
        <f>IF($C71&lt;='P-Parametri'!$C$12,'P-Parametri'!$B$12,IF($C71&lt;='P-Parametri'!$B$6,'P-Parametri'!$B$13+'P-Parametri'!$C$13*('P-Parametri'!$B$6-$C71)/'P-Parametri'!$D$13,IF($C71&lt;='P-Parametri'!$B$7,'P-Parametri'!$B$14*('P-Parametri'!$B$7-$C71)/'P-Parametri'!$C$14,0)))</f>
        <v>674.86811363636355</v>
      </c>
      <c r="F71" s="9">
        <f>IF($C71&lt;='P-Parametri'!$C$15,0,IF($C71&lt;='P-Parametri'!$D$15,'P-Parametri'!$B$15,IF($C71&lt;'P-Parametri'!$E$15,'P-Parametri'!$B$15*('P-Parametri'!$E$15-$C71)/('P-Parametri'!$E$15-'P-Parametri'!$D$15),0)))</f>
        <v>0</v>
      </c>
      <c r="G71" s="9">
        <f>IF($C71&gt;'P-Parametri'!$D$18,0,IF($C71&lt;='P-Parametri'!$B$18,'P-Parametri'!$B$17*$C71,IF($C71&lt;='P-Parametri'!$C$18,'P-Parametri'!$C$17*$C71,'P-Parametri'!$D$17*$C71)))</f>
        <v>0</v>
      </c>
      <c r="H71" s="9">
        <f>IF(AND($C71&lt;='P-Parametri'!$C$16,D71&gt;E71-'P-Parametri'!$D$16),'P-Parametri'!$B$16,0)</f>
        <v>0</v>
      </c>
      <c r="I71" s="9">
        <f t="shared" si="7"/>
        <v>10459.926386363637</v>
      </c>
      <c r="J71" s="9">
        <f>IF(I71&gt;0,'P-Parametri'!$B$20*$C71,0)</f>
        <v>844.53300000000002</v>
      </c>
      <c r="K71" s="9">
        <f t="shared" si="8"/>
        <v>30922.190613636365</v>
      </c>
      <c r="L71" s="11">
        <f t="shared" si="9"/>
        <v>0.66499334652981434</v>
      </c>
      <c r="M71" s="11">
        <f t="shared" si="10"/>
        <v>0.48857459090909472</v>
      </c>
      <c r="N71" s="11">
        <f>'P-Parametri'!$B$19+(1-'P-Parametri'!$B$19)*((IF(($A71*(1-'P-Parametri'!$B$19))&lt;='P-Parametri'!$B$6,'P-Parametri'!$C$6,IF(($A71*(1-'P-Parametri'!$B$19))&lt;='P-Parametri'!$B$7,'P-Parametri'!$C$7,'P-Parametri'!$C$8)))+(IF(($A71*(1-'P-Parametri'!$B$19))&lt;='P-Parametri'!$C$12,0,IF(($A71*(1-'P-Parametri'!$B$19))&lt;='P-Parametri'!$B$6,'P-Parametri'!$C$13/'P-Parametri'!$D$13,IF(($A71*(1-'P-Parametri'!$B$19))&lt;='P-Parametri'!$B$7,'P-Parametri'!$B$14/'P-Parametri'!$C$14,0))))+(IF(AND(($A71*(1-'P-Parametri'!$B$19))&gt;'P-Parametri'!$D$15,($A71*(1-'P-Parametri'!$B$19))&lt;'P-Parametri'!$E$15),'P-Parametri'!$B$15/('P-Parametri'!$E$15-'P-Parametri'!$D$15),0))+'P-Parametri'!$B$20)</f>
        <v>0.48857459090909094</v>
      </c>
      <c r="O71" s="11">
        <f t="shared" si="11"/>
        <v>3.7747582837255322E-15</v>
      </c>
    </row>
    <row r="72" spans="1:15">
      <c r="A72" s="17">
        <f>47000</f>
        <v>47000</v>
      </c>
      <c r="B72" s="9">
        <f>'P-Parametri'!$B$19*$A72</f>
        <v>4319.3</v>
      </c>
      <c r="C72" s="9">
        <f t="shared" ref="C72:C103" si="12">$A72-B72</f>
        <v>42680.7</v>
      </c>
      <c r="D72" s="9">
        <f>IF($C72&lt;='P-Parametri'!$B$6,'P-Parametri'!$C$6*$C72,IF($C72&lt;='P-Parametri'!$B$7,'P-Parametri'!$B$9+'P-Parametri'!$C$7*($C72-'P-Parametri'!$B$6),'P-Parametri'!$B$10+'P-Parametri'!$C$8*($C72-'P-Parametri'!$B$7)))</f>
        <v>11284.630999999999</v>
      </c>
      <c r="E72" s="9">
        <f>IF($C72&lt;='P-Parametri'!$C$12,'P-Parametri'!$B$12,IF($C72&lt;='P-Parametri'!$B$6,'P-Parametri'!$B$13+'P-Parametri'!$C$13*('P-Parametri'!$B$6-$C72)/'P-Parametri'!$D$13,IF($C72&lt;='P-Parametri'!$B$7,'P-Parametri'!$B$14*('P-Parametri'!$B$7-$C72)/'P-Parametri'!$C$14,0)))</f>
        <v>635.44831818181842</v>
      </c>
      <c r="F72" s="9">
        <f>IF($C72&lt;='P-Parametri'!$C$15,0,IF($C72&lt;='P-Parametri'!$D$15,'P-Parametri'!$B$15,IF($C72&lt;'P-Parametri'!$E$15,'P-Parametri'!$B$15*('P-Parametri'!$E$15-$C72)/('P-Parametri'!$E$15-'P-Parametri'!$D$15),0)))</f>
        <v>0</v>
      </c>
      <c r="G72" s="9">
        <f>IF($C72&gt;'P-Parametri'!$D$18,0,IF($C72&lt;='P-Parametri'!$B$18,'P-Parametri'!$B$17*$C72,IF($C72&lt;='P-Parametri'!$C$18,'P-Parametri'!$C$17*$C72,'P-Parametri'!$D$17*$C72)))</f>
        <v>0</v>
      </c>
      <c r="H72" s="9">
        <f>IF(AND($C72&lt;='P-Parametri'!$C$16,D72&gt;E72-'P-Parametri'!$D$16),'P-Parametri'!$B$16,0)</f>
        <v>0</v>
      </c>
      <c r="I72" s="9">
        <f t="shared" ref="I72:I102" si="13">MAX(0,D72-E72-F72)</f>
        <v>10649.182681818182</v>
      </c>
      <c r="J72" s="9">
        <f>IF(I72&gt;0,'P-Parametri'!$B$20*$C72,0)</f>
        <v>853.61399999999992</v>
      </c>
      <c r="K72" s="9">
        <f t="shared" ref="K72:K103" si="14">$C72-I72-J72+H72+G72</f>
        <v>31177.903318181816</v>
      </c>
      <c r="L72" s="11">
        <f t="shared" ref="L72:L103" si="15">K72/$A72</f>
        <v>0.66335964506769818</v>
      </c>
      <c r="M72" s="11">
        <f t="shared" ref="M72:M103" si="16">1-(K74-K72)/1000</f>
        <v>0.48857459090908739</v>
      </c>
      <c r="N72" s="11">
        <f>'P-Parametri'!$B$19+(1-'P-Parametri'!$B$19)*((IF(($A72*(1-'P-Parametri'!$B$19))&lt;='P-Parametri'!$B$6,'P-Parametri'!$C$6,IF(($A72*(1-'P-Parametri'!$B$19))&lt;='P-Parametri'!$B$7,'P-Parametri'!$C$7,'P-Parametri'!$C$8)))+(IF(($A72*(1-'P-Parametri'!$B$19))&lt;='P-Parametri'!$C$12,0,IF(($A72*(1-'P-Parametri'!$B$19))&lt;='P-Parametri'!$B$6,'P-Parametri'!$C$13/'P-Parametri'!$D$13,IF(($A72*(1-'P-Parametri'!$B$19))&lt;='P-Parametri'!$B$7,'P-Parametri'!$B$14/'P-Parametri'!$C$14,0))))+(IF(AND(($A72*(1-'P-Parametri'!$B$19))&gt;'P-Parametri'!$D$15,($A72*(1-'P-Parametri'!$B$19))&lt;'P-Parametri'!$E$15),'P-Parametri'!$B$15/('P-Parametri'!$E$15-'P-Parametri'!$D$15),0))+'P-Parametri'!$B$20)</f>
        <v>0.48857459090909094</v>
      </c>
      <c r="O72" s="11">
        <f t="shared" ref="O72:O103" si="17">M72-N72</f>
        <v>-3.5527136788005009E-15</v>
      </c>
    </row>
    <row r="73" spans="1:15">
      <c r="A73" s="17">
        <f>47500</f>
        <v>47500</v>
      </c>
      <c r="B73" s="9">
        <f>'P-Parametri'!$B$19*$A73</f>
        <v>4365.25</v>
      </c>
      <c r="C73" s="9">
        <f t="shared" si="12"/>
        <v>43134.75</v>
      </c>
      <c r="D73" s="9">
        <f>IF($C73&lt;='P-Parametri'!$B$6,'P-Parametri'!$C$6*$C73,IF($C73&lt;='P-Parametri'!$B$7,'P-Parametri'!$B$9+'P-Parametri'!$C$7*($C73-'P-Parametri'!$B$6),'P-Parametri'!$B$10+'P-Parametri'!$C$8*($C73-'P-Parametri'!$B$7)))</f>
        <v>11434.467500000001</v>
      </c>
      <c r="E73" s="9">
        <f>IF($C73&lt;='P-Parametri'!$C$12,'P-Parametri'!$B$12,IF($C73&lt;='P-Parametri'!$B$6,'P-Parametri'!$B$13+'P-Parametri'!$C$13*('P-Parametri'!$B$6-$C73)/'P-Parametri'!$D$13,IF($C73&lt;='P-Parametri'!$B$7,'P-Parametri'!$B$14*('P-Parametri'!$B$7-$C73)/'P-Parametri'!$C$14,0)))</f>
        <v>596.02852272727273</v>
      </c>
      <c r="F73" s="9">
        <f>IF($C73&lt;='P-Parametri'!$C$15,0,IF($C73&lt;='P-Parametri'!$D$15,'P-Parametri'!$B$15,IF($C73&lt;'P-Parametri'!$E$15,'P-Parametri'!$B$15*('P-Parametri'!$E$15-$C73)/('P-Parametri'!$E$15-'P-Parametri'!$D$15),0)))</f>
        <v>0</v>
      </c>
      <c r="G73" s="9">
        <f>IF($C73&gt;'P-Parametri'!$D$18,0,IF($C73&lt;='P-Parametri'!$B$18,'P-Parametri'!$B$17*$C73,IF($C73&lt;='P-Parametri'!$C$18,'P-Parametri'!$C$17*$C73,'P-Parametri'!$D$17*$C73)))</f>
        <v>0</v>
      </c>
      <c r="H73" s="9">
        <f>IF(AND($C73&lt;='P-Parametri'!$C$16,D73&gt;E73-'P-Parametri'!$D$16),'P-Parametri'!$B$16,0)</f>
        <v>0</v>
      </c>
      <c r="I73" s="9">
        <f t="shared" si="13"/>
        <v>10838.438977272728</v>
      </c>
      <c r="J73" s="9">
        <f>IF(I73&gt;0,'P-Parametri'!$B$20*$C73,0)</f>
        <v>862.69500000000005</v>
      </c>
      <c r="K73" s="9">
        <f t="shared" si="14"/>
        <v>31433.61602272727</v>
      </c>
      <c r="L73" s="11">
        <f t="shared" si="15"/>
        <v>0.66176033732057415</v>
      </c>
      <c r="M73" s="11">
        <f t="shared" si="16"/>
        <v>0.48857459090908739</v>
      </c>
      <c r="N73" s="11">
        <f>'P-Parametri'!$B$19+(1-'P-Parametri'!$B$19)*((IF(($A73*(1-'P-Parametri'!$B$19))&lt;='P-Parametri'!$B$6,'P-Parametri'!$C$6,IF(($A73*(1-'P-Parametri'!$B$19))&lt;='P-Parametri'!$B$7,'P-Parametri'!$C$7,'P-Parametri'!$C$8)))+(IF(($A73*(1-'P-Parametri'!$B$19))&lt;='P-Parametri'!$C$12,0,IF(($A73*(1-'P-Parametri'!$B$19))&lt;='P-Parametri'!$B$6,'P-Parametri'!$C$13/'P-Parametri'!$D$13,IF(($A73*(1-'P-Parametri'!$B$19))&lt;='P-Parametri'!$B$7,'P-Parametri'!$B$14/'P-Parametri'!$C$14,0))))+(IF(AND(($A73*(1-'P-Parametri'!$B$19))&gt;'P-Parametri'!$D$15,($A73*(1-'P-Parametri'!$B$19))&lt;'P-Parametri'!$E$15),'P-Parametri'!$B$15/('P-Parametri'!$E$15-'P-Parametri'!$D$15),0))+'P-Parametri'!$B$20)</f>
        <v>0.48857459090909094</v>
      </c>
      <c r="O73" s="11">
        <f t="shared" si="17"/>
        <v>-3.5527136788005009E-15</v>
      </c>
    </row>
    <row r="74" spans="1:15">
      <c r="A74" s="17">
        <f>48000</f>
        <v>48000</v>
      </c>
      <c r="B74" s="9">
        <f>'P-Parametri'!$B$19*$A74</f>
        <v>4411.2</v>
      </c>
      <c r="C74" s="9">
        <f t="shared" si="12"/>
        <v>43588.800000000003</v>
      </c>
      <c r="D74" s="9">
        <f>IF($C74&lt;='P-Parametri'!$B$6,'P-Parametri'!$C$6*$C74,IF($C74&lt;='P-Parametri'!$B$7,'P-Parametri'!$B$9+'P-Parametri'!$C$7*($C74-'P-Parametri'!$B$6),'P-Parametri'!$B$10+'P-Parametri'!$C$8*($C74-'P-Parametri'!$B$7)))</f>
        <v>11584.304</v>
      </c>
      <c r="E74" s="9">
        <f>IF($C74&lt;='P-Parametri'!$C$12,'P-Parametri'!$B$12,IF($C74&lt;='P-Parametri'!$B$6,'P-Parametri'!$B$13+'P-Parametri'!$C$13*('P-Parametri'!$B$6-$C74)/'P-Parametri'!$D$13,IF($C74&lt;='P-Parametri'!$B$7,'P-Parametri'!$B$14*('P-Parametri'!$B$7-$C74)/'P-Parametri'!$C$14,0)))</f>
        <v>556.60872727272704</v>
      </c>
      <c r="F74" s="9">
        <f>IF($C74&lt;='P-Parametri'!$C$15,0,IF($C74&lt;='P-Parametri'!$D$15,'P-Parametri'!$B$15,IF($C74&lt;'P-Parametri'!$E$15,'P-Parametri'!$B$15*('P-Parametri'!$E$15-$C74)/('P-Parametri'!$E$15-'P-Parametri'!$D$15),0)))</f>
        <v>0</v>
      </c>
      <c r="G74" s="9">
        <f>IF($C74&gt;'P-Parametri'!$D$18,0,IF($C74&lt;='P-Parametri'!$B$18,'P-Parametri'!$B$17*$C74,IF($C74&lt;='P-Parametri'!$C$18,'P-Parametri'!$C$17*$C74,'P-Parametri'!$D$17*$C74)))</f>
        <v>0</v>
      </c>
      <c r="H74" s="9">
        <f>IF(AND($C74&lt;='P-Parametri'!$C$16,D74&gt;E74-'P-Parametri'!$D$16),'P-Parametri'!$B$16,0)</f>
        <v>0</v>
      </c>
      <c r="I74" s="9">
        <f t="shared" si="13"/>
        <v>11027.695272727273</v>
      </c>
      <c r="J74" s="9">
        <f>IF(I74&gt;0,'P-Parametri'!$B$20*$C74,0)</f>
        <v>871.77600000000007</v>
      </c>
      <c r="K74" s="9">
        <f t="shared" si="14"/>
        <v>31689.328727272728</v>
      </c>
      <c r="L74" s="11">
        <f t="shared" si="15"/>
        <v>0.66019434848484848</v>
      </c>
      <c r="M74" s="11">
        <f t="shared" si="16"/>
        <v>0.48857459090909472</v>
      </c>
      <c r="N74" s="11">
        <f>'P-Parametri'!$B$19+(1-'P-Parametri'!$B$19)*((IF(($A74*(1-'P-Parametri'!$B$19))&lt;='P-Parametri'!$B$6,'P-Parametri'!$C$6,IF(($A74*(1-'P-Parametri'!$B$19))&lt;='P-Parametri'!$B$7,'P-Parametri'!$C$7,'P-Parametri'!$C$8)))+(IF(($A74*(1-'P-Parametri'!$B$19))&lt;='P-Parametri'!$C$12,0,IF(($A74*(1-'P-Parametri'!$B$19))&lt;='P-Parametri'!$B$6,'P-Parametri'!$C$13/'P-Parametri'!$D$13,IF(($A74*(1-'P-Parametri'!$B$19))&lt;='P-Parametri'!$B$7,'P-Parametri'!$B$14/'P-Parametri'!$C$14,0))))+(IF(AND(($A74*(1-'P-Parametri'!$B$19))&gt;'P-Parametri'!$D$15,($A74*(1-'P-Parametri'!$B$19))&lt;'P-Parametri'!$E$15),'P-Parametri'!$B$15/('P-Parametri'!$E$15-'P-Parametri'!$D$15),0))+'P-Parametri'!$B$20)</f>
        <v>0.48857459090909094</v>
      </c>
      <c r="O74" s="11">
        <f t="shared" si="17"/>
        <v>3.7747582837255322E-15</v>
      </c>
    </row>
    <row r="75" spans="1:15">
      <c r="A75" s="17">
        <f>48500</f>
        <v>48500</v>
      </c>
      <c r="B75" s="9">
        <f>'P-Parametri'!$B$19*$A75</f>
        <v>4457.1499999999996</v>
      </c>
      <c r="C75" s="9">
        <f t="shared" si="12"/>
        <v>44042.85</v>
      </c>
      <c r="D75" s="9">
        <f>IF($C75&lt;='P-Parametri'!$B$6,'P-Parametri'!$C$6*$C75,IF($C75&lt;='P-Parametri'!$B$7,'P-Parametri'!$B$9+'P-Parametri'!$C$7*($C75-'P-Parametri'!$B$6),'P-Parametri'!$B$10+'P-Parametri'!$C$8*($C75-'P-Parametri'!$B$7)))</f>
        <v>11734.1405</v>
      </c>
      <c r="E75" s="9">
        <f>IF($C75&lt;='P-Parametri'!$C$12,'P-Parametri'!$B$12,IF($C75&lt;='P-Parametri'!$B$6,'P-Parametri'!$B$13+'P-Parametri'!$C$13*('P-Parametri'!$B$6-$C75)/'P-Parametri'!$D$13,IF($C75&lt;='P-Parametri'!$B$7,'P-Parametri'!$B$14*('P-Parametri'!$B$7-$C75)/'P-Parametri'!$C$14,0)))</f>
        <v>517.18893181818191</v>
      </c>
      <c r="F75" s="9">
        <f>IF($C75&lt;='P-Parametri'!$C$15,0,IF($C75&lt;='P-Parametri'!$D$15,'P-Parametri'!$B$15,IF($C75&lt;'P-Parametri'!$E$15,'P-Parametri'!$B$15*('P-Parametri'!$E$15-$C75)/('P-Parametri'!$E$15-'P-Parametri'!$D$15),0)))</f>
        <v>0</v>
      </c>
      <c r="G75" s="9">
        <f>IF($C75&gt;'P-Parametri'!$D$18,0,IF($C75&lt;='P-Parametri'!$B$18,'P-Parametri'!$B$17*$C75,IF($C75&lt;='P-Parametri'!$C$18,'P-Parametri'!$C$17*$C75,'P-Parametri'!$D$17*$C75)))</f>
        <v>0</v>
      </c>
      <c r="H75" s="9">
        <f>IF(AND($C75&lt;='P-Parametri'!$C$16,D75&gt;E75-'P-Parametri'!$D$16),'P-Parametri'!$B$16,0)</f>
        <v>0</v>
      </c>
      <c r="I75" s="9">
        <f t="shared" si="13"/>
        <v>11216.951568181817</v>
      </c>
      <c r="J75" s="9">
        <f>IF(I75&gt;0,'P-Parametri'!$B$20*$C75,0)</f>
        <v>880.85699999999997</v>
      </c>
      <c r="K75" s="9">
        <f t="shared" si="14"/>
        <v>31945.041431818183</v>
      </c>
      <c r="L75" s="11">
        <f t="shared" si="15"/>
        <v>0.65866064807872537</v>
      </c>
      <c r="M75" s="11">
        <f t="shared" si="16"/>
        <v>0.48857459090909472</v>
      </c>
      <c r="N75" s="11">
        <f>'P-Parametri'!$B$19+(1-'P-Parametri'!$B$19)*((IF(($A75*(1-'P-Parametri'!$B$19))&lt;='P-Parametri'!$B$6,'P-Parametri'!$C$6,IF(($A75*(1-'P-Parametri'!$B$19))&lt;='P-Parametri'!$B$7,'P-Parametri'!$C$7,'P-Parametri'!$C$8)))+(IF(($A75*(1-'P-Parametri'!$B$19))&lt;='P-Parametri'!$C$12,0,IF(($A75*(1-'P-Parametri'!$B$19))&lt;='P-Parametri'!$B$6,'P-Parametri'!$C$13/'P-Parametri'!$D$13,IF(($A75*(1-'P-Parametri'!$B$19))&lt;='P-Parametri'!$B$7,'P-Parametri'!$B$14/'P-Parametri'!$C$14,0))))+(IF(AND(($A75*(1-'P-Parametri'!$B$19))&gt;'P-Parametri'!$D$15,($A75*(1-'P-Parametri'!$B$19))&lt;'P-Parametri'!$E$15),'P-Parametri'!$B$15/('P-Parametri'!$E$15-'P-Parametri'!$D$15),0))+'P-Parametri'!$B$20)</f>
        <v>0.48857459090909094</v>
      </c>
      <c r="O75" s="11">
        <f t="shared" si="17"/>
        <v>3.7747582837255322E-15</v>
      </c>
    </row>
    <row r="76" spans="1:15">
      <c r="A76" s="17">
        <f>49000</f>
        <v>49000</v>
      </c>
      <c r="B76" s="9">
        <f>'P-Parametri'!$B$19*$A76</f>
        <v>4503.0999999999995</v>
      </c>
      <c r="C76" s="9">
        <f t="shared" si="12"/>
        <v>44496.9</v>
      </c>
      <c r="D76" s="9">
        <f>IF($C76&lt;='P-Parametri'!$B$6,'P-Parametri'!$C$6*$C76,IF($C76&lt;='P-Parametri'!$B$7,'P-Parametri'!$B$9+'P-Parametri'!$C$7*($C76-'P-Parametri'!$B$6),'P-Parametri'!$B$10+'P-Parametri'!$C$8*($C76-'P-Parametri'!$B$7)))</f>
        <v>11883.977000000001</v>
      </c>
      <c r="E76" s="9">
        <f>IF($C76&lt;='P-Parametri'!$C$12,'P-Parametri'!$B$12,IF($C76&lt;='P-Parametri'!$B$6,'P-Parametri'!$B$13+'P-Parametri'!$C$13*('P-Parametri'!$B$6-$C76)/'P-Parametri'!$D$13,IF($C76&lt;='P-Parametri'!$B$7,'P-Parametri'!$B$14*('P-Parametri'!$B$7-$C76)/'P-Parametri'!$C$14,0)))</f>
        <v>477.76913636363628</v>
      </c>
      <c r="F76" s="9">
        <f>IF($C76&lt;='P-Parametri'!$C$15,0,IF($C76&lt;='P-Parametri'!$D$15,'P-Parametri'!$B$15,IF($C76&lt;'P-Parametri'!$E$15,'P-Parametri'!$B$15*('P-Parametri'!$E$15-$C76)/('P-Parametri'!$E$15-'P-Parametri'!$D$15),0)))</f>
        <v>0</v>
      </c>
      <c r="G76" s="9">
        <f>IF($C76&gt;'P-Parametri'!$D$18,0,IF($C76&lt;='P-Parametri'!$B$18,'P-Parametri'!$B$17*$C76,IF($C76&lt;='P-Parametri'!$C$18,'P-Parametri'!$C$17*$C76,'P-Parametri'!$D$17*$C76)))</f>
        <v>0</v>
      </c>
      <c r="H76" s="9">
        <f>IF(AND($C76&lt;='P-Parametri'!$C$16,D76&gt;E76-'P-Parametri'!$D$16),'P-Parametri'!$B$16,0)</f>
        <v>0</v>
      </c>
      <c r="I76" s="9">
        <f t="shared" si="13"/>
        <v>11406.207863636364</v>
      </c>
      <c r="J76" s="9">
        <f>IF(I76&gt;0,'P-Parametri'!$B$20*$C76,0)</f>
        <v>889.9380000000001</v>
      </c>
      <c r="K76" s="9">
        <f t="shared" si="14"/>
        <v>32200.754136363634</v>
      </c>
      <c r="L76" s="11">
        <f t="shared" si="15"/>
        <v>0.65715824768089048</v>
      </c>
      <c r="M76" s="11">
        <f t="shared" si="16"/>
        <v>0.48857459090909106</v>
      </c>
      <c r="N76" s="11">
        <f>'P-Parametri'!$B$19+(1-'P-Parametri'!$B$19)*((IF(($A76*(1-'P-Parametri'!$B$19))&lt;='P-Parametri'!$B$6,'P-Parametri'!$C$6,IF(($A76*(1-'P-Parametri'!$B$19))&lt;='P-Parametri'!$B$7,'P-Parametri'!$C$7,'P-Parametri'!$C$8)))+(IF(($A76*(1-'P-Parametri'!$B$19))&lt;='P-Parametri'!$C$12,0,IF(($A76*(1-'P-Parametri'!$B$19))&lt;='P-Parametri'!$B$6,'P-Parametri'!$C$13/'P-Parametri'!$D$13,IF(($A76*(1-'P-Parametri'!$B$19))&lt;='P-Parametri'!$B$7,'P-Parametri'!$B$14/'P-Parametri'!$C$14,0))))+(IF(AND(($A76*(1-'P-Parametri'!$B$19))&gt;'P-Parametri'!$D$15,($A76*(1-'P-Parametri'!$B$19))&lt;'P-Parametri'!$E$15),'P-Parametri'!$B$15/('P-Parametri'!$E$15-'P-Parametri'!$D$15),0))+'P-Parametri'!$B$20)</f>
        <v>0.48857459090909094</v>
      </c>
      <c r="O76" s="11">
        <f t="shared" si="17"/>
        <v>0</v>
      </c>
    </row>
    <row r="77" spans="1:15">
      <c r="A77" s="17">
        <f>49500</f>
        <v>49500</v>
      </c>
      <c r="B77" s="9">
        <f>'P-Parametri'!$B$19*$A77</f>
        <v>4549.05</v>
      </c>
      <c r="C77" s="9">
        <f t="shared" si="12"/>
        <v>44950.95</v>
      </c>
      <c r="D77" s="9">
        <f>IF($C77&lt;='P-Parametri'!$B$6,'P-Parametri'!$C$6*$C77,IF($C77&lt;='P-Parametri'!$B$7,'P-Parametri'!$B$9+'P-Parametri'!$C$7*($C77-'P-Parametri'!$B$6),'P-Parametri'!$B$10+'P-Parametri'!$C$8*($C77-'P-Parametri'!$B$7)))</f>
        <v>12033.8135</v>
      </c>
      <c r="E77" s="9">
        <f>IF($C77&lt;='P-Parametri'!$C$12,'P-Parametri'!$B$12,IF($C77&lt;='P-Parametri'!$B$6,'P-Parametri'!$B$13+'P-Parametri'!$C$13*('P-Parametri'!$B$6-$C77)/'P-Parametri'!$D$13,IF($C77&lt;='P-Parametri'!$B$7,'P-Parametri'!$B$14*('P-Parametri'!$B$7-$C77)/'P-Parametri'!$C$14,0)))</f>
        <v>438.34934090909115</v>
      </c>
      <c r="F77" s="9">
        <f>IF($C77&lt;='P-Parametri'!$C$15,0,IF($C77&lt;='P-Parametri'!$D$15,'P-Parametri'!$B$15,IF($C77&lt;'P-Parametri'!$E$15,'P-Parametri'!$B$15*('P-Parametri'!$E$15-$C77)/('P-Parametri'!$E$15-'P-Parametri'!$D$15),0)))</f>
        <v>0</v>
      </c>
      <c r="G77" s="9">
        <f>IF($C77&gt;'P-Parametri'!$D$18,0,IF($C77&lt;='P-Parametri'!$B$18,'P-Parametri'!$B$17*$C77,IF($C77&lt;='P-Parametri'!$C$18,'P-Parametri'!$C$17*$C77,'P-Parametri'!$D$17*$C77)))</f>
        <v>0</v>
      </c>
      <c r="H77" s="9">
        <f>IF(AND($C77&lt;='P-Parametri'!$C$16,D77&gt;E77-'P-Parametri'!$D$16),'P-Parametri'!$B$16,0)</f>
        <v>0</v>
      </c>
      <c r="I77" s="9">
        <f t="shared" si="13"/>
        <v>11595.464159090909</v>
      </c>
      <c r="J77" s="9">
        <f>IF(I77&gt;0,'P-Parametri'!$B$20*$C77,0)</f>
        <v>899.01900000000001</v>
      </c>
      <c r="K77" s="9">
        <f t="shared" si="14"/>
        <v>32456.466840909088</v>
      </c>
      <c r="L77" s="11">
        <f t="shared" si="15"/>
        <v>0.65568619880624424</v>
      </c>
      <c r="M77" s="11">
        <f t="shared" si="16"/>
        <v>0.48857459090908373</v>
      </c>
      <c r="N77" s="11">
        <f>'P-Parametri'!$B$19+(1-'P-Parametri'!$B$19)*((IF(($A77*(1-'P-Parametri'!$B$19))&lt;='P-Parametri'!$B$6,'P-Parametri'!$C$6,IF(($A77*(1-'P-Parametri'!$B$19))&lt;='P-Parametri'!$B$7,'P-Parametri'!$C$7,'P-Parametri'!$C$8)))+(IF(($A77*(1-'P-Parametri'!$B$19))&lt;='P-Parametri'!$C$12,0,IF(($A77*(1-'P-Parametri'!$B$19))&lt;='P-Parametri'!$B$6,'P-Parametri'!$C$13/'P-Parametri'!$D$13,IF(($A77*(1-'P-Parametri'!$B$19))&lt;='P-Parametri'!$B$7,'P-Parametri'!$B$14/'P-Parametri'!$C$14,0))))+(IF(AND(($A77*(1-'P-Parametri'!$B$19))&gt;'P-Parametri'!$D$15,($A77*(1-'P-Parametri'!$B$19))&lt;'P-Parametri'!$E$15),'P-Parametri'!$B$15/('P-Parametri'!$E$15-'P-Parametri'!$D$15),0))+'P-Parametri'!$B$20)</f>
        <v>0.48857459090909094</v>
      </c>
      <c r="O77" s="11">
        <f t="shared" si="17"/>
        <v>-7.2164496600635175E-15</v>
      </c>
    </row>
    <row r="78" spans="1:15">
      <c r="A78" s="17">
        <f>50000</f>
        <v>50000</v>
      </c>
      <c r="B78" s="9">
        <f>'P-Parametri'!$B$19*$A78</f>
        <v>4595</v>
      </c>
      <c r="C78" s="9">
        <f t="shared" si="12"/>
        <v>45405</v>
      </c>
      <c r="D78" s="9">
        <f>IF($C78&lt;='P-Parametri'!$B$6,'P-Parametri'!$C$6*$C78,IF($C78&lt;='P-Parametri'!$B$7,'P-Parametri'!$B$9+'P-Parametri'!$C$7*($C78-'P-Parametri'!$B$6),'P-Parametri'!$B$10+'P-Parametri'!$C$8*($C78-'P-Parametri'!$B$7)))</f>
        <v>12183.650000000001</v>
      </c>
      <c r="E78" s="9">
        <f>IF($C78&lt;='P-Parametri'!$C$12,'P-Parametri'!$B$12,IF($C78&lt;='P-Parametri'!$B$6,'P-Parametri'!$B$13+'P-Parametri'!$C$13*('P-Parametri'!$B$6-$C78)/'P-Parametri'!$D$13,IF($C78&lt;='P-Parametri'!$B$7,'P-Parametri'!$B$14*('P-Parametri'!$B$7-$C78)/'P-Parametri'!$C$14,0)))</f>
        <v>398.92954545454546</v>
      </c>
      <c r="F78" s="9">
        <f>IF($C78&lt;='P-Parametri'!$C$15,0,IF($C78&lt;='P-Parametri'!$D$15,'P-Parametri'!$B$15,IF($C78&lt;'P-Parametri'!$E$15,'P-Parametri'!$B$15*('P-Parametri'!$E$15-$C78)/('P-Parametri'!$E$15-'P-Parametri'!$D$15),0)))</f>
        <v>0</v>
      </c>
      <c r="G78" s="9">
        <f>IF($C78&gt;'P-Parametri'!$D$18,0,IF($C78&lt;='P-Parametri'!$B$18,'P-Parametri'!$B$17*$C78,IF($C78&lt;='P-Parametri'!$C$18,'P-Parametri'!$C$17*$C78,'P-Parametri'!$D$17*$C78)))</f>
        <v>0</v>
      </c>
      <c r="H78" s="9">
        <f>IF(AND($C78&lt;='P-Parametri'!$C$16,D78&gt;E78-'P-Parametri'!$D$16),'P-Parametri'!$B$16,0)</f>
        <v>0</v>
      </c>
      <c r="I78" s="9">
        <f t="shared" si="13"/>
        <v>11784.720454545455</v>
      </c>
      <c r="J78" s="9">
        <f>IF(I78&gt;0,'P-Parametri'!$B$20*$C78,0)</f>
        <v>908.1</v>
      </c>
      <c r="K78" s="9">
        <f t="shared" si="14"/>
        <v>32712.179545454543</v>
      </c>
      <c r="L78" s="11">
        <f t="shared" si="15"/>
        <v>0.6542435909090909</v>
      </c>
      <c r="M78" s="11">
        <f t="shared" si="16"/>
        <v>0.48857459090909106</v>
      </c>
      <c r="N78" s="11">
        <f>'P-Parametri'!$B$19+(1-'P-Parametri'!$B$19)*((IF(($A78*(1-'P-Parametri'!$B$19))&lt;='P-Parametri'!$B$6,'P-Parametri'!$C$6,IF(($A78*(1-'P-Parametri'!$B$19))&lt;='P-Parametri'!$B$7,'P-Parametri'!$C$7,'P-Parametri'!$C$8)))+(IF(($A78*(1-'P-Parametri'!$B$19))&lt;='P-Parametri'!$C$12,0,IF(($A78*(1-'P-Parametri'!$B$19))&lt;='P-Parametri'!$B$6,'P-Parametri'!$C$13/'P-Parametri'!$D$13,IF(($A78*(1-'P-Parametri'!$B$19))&lt;='P-Parametri'!$B$7,'P-Parametri'!$B$14/'P-Parametri'!$C$14,0))))+(IF(AND(($A78*(1-'P-Parametri'!$B$19))&gt;'P-Parametri'!$D$15,($A78*(1-'P-Parametri'!$B$19))&lt;'P-Parametri'!$E$15),'P-Parametri'!$B$15/('P-Parametri'!$E$15-'P-Parametri'!$D$15),0))+'P-Parametri'!$B$20)</f>
        <v>0.48857459090909094</v>
      </c>
      <c r="O78" s="11">
        <f t="shared" si="17"/>
        <v>0</v>
      </c>
    </row>
    <row r="79" spans="1:15">
      <c r="A79" s="17">
        <f>50500</f>
        <v>50500</v>
      </c>
      <c r="B79" s="9">
        <f>'P-Parametri'!$B$19*$A79</f>
        <v>4640.95</v>
      </c>
      <c r="C79" s="9">
        <f t="shared" si="12"/>
        <v>45859.05</v>
      </c>
      <c r="D79" s="9">
        <f>IF($C79&lt;='P-Parametri'!$B$6,'P-Parametri'!$C$6*$C79,IF($C79&lt;='P-Parametri'!$B$7,'P-Parametri'!$B$9+'P-Parametri'!$C$7*($C79-'P-Parametri'!$B$6),'P-Parametri'!$B$10+'P-Parametri'!$C$8*($C79-'P-Parametri'!$B$7)))</f>
        <v>12333.486500000001</v>
      </c>
      <c r="E79" s="9">
        <f>IF($C79&lt;='P-Parametri'!$C$12,'P-Parametri'!$B$12,IF($C79&lt;='P-Parametri'!$B$6,'P-Parametri'!$B$13+'P-Parametri'!$C$13*('P-Parametri'!$B$6-$C79)/'P-Parametri'!$D$13,IF($C79&lt;='P-Parametri'!$B$7,'P-Parametri'!$B$14*('P-Parametri'!$B$7-$C79)/'P-Parametri'!$C$14,0)))</f>
        <v>359.50974999999977</v>
      </c>
      <c r="F79" s="9">
        <f>IF($C79&lt;='P-Parametri'!$C$15,0,IF($C79&lt;='P-Parametri'!$D$15,'P-Parametri'!$B$15,IF($C79&lt;'P-Parametri'!$E$15,'P-Parametri'!$B$15*('P-Parametri'!$E$15-$C79)/('P-Parametri'!$E$15-'P-Parametri'!$D$15),0)))</f>
        <v>0</v>
      </c>
      <c r="G79" s="9">
        <f>IF($C79&gt;'P-Parametri'!$D$18,0,IF($C79&lt;='P-Parametri'!$B$18,'P-Parametri'!$B$17*$C79,IF($C79&lt;='P-Parametri'!$C$18,'P-Parametri'!$C$17*$C79,'P-Parametri'!$D$17*$C79)))</f>
        <v>0</v>
      </c>
      <c r="H79" s="9">
        <f>IF(AND($C79&lt;='P-Parametri'!$C$16,D79&gt;E79-'P-Parametri'!$D$16),'P-Parametri'!$B$16,0)</f>
        <v>0</v>
      </c>
      <c r="I79" s="9">
        <f t="shared" si="13"/>
        <v>11973.976750000002</v>
      </c>
      <c r="J79" s="9">
        <f>IF(I79&gt;0,'P-Parametri'!$B$20*$C79,0)</f>
        <v>917.18100000000004</v>
      </c>
      <c r="K79" s="9">
        <f t="shared" si="14"/>
        <v>32967.892250000004</v>
      </c>
      <c r="L79" s="11">
        <f t="shared" si="15"/>
        <v>0.65282954950495053</v>
      </c>
      <c r="M79" s="11">
        <f t="shared" si="16"/>
        <v>0.48857459090909838</v>
      </c>
      <c r="N79" s="11">
        <f>'P-Parametri'!$B$19+(1-'P-Parametri'!$B$19)*((IF(($A79*(1-'P-Parametri'!$B$19))&lt;='P-Parametri'!$B$6,'P-Parametri'!$C$6,IF(($A79*(1-'P-Parametri'!$B$19))&lt;='P-Parametri'!$B$7,'P-Parametri'!$C$7,'P-Parametri'!$C$8)))+(IF(($A79*(1-'P-Parametri'!$B$19))&lt;='P-Parametri'!$C$12,0,IF(($A79*(1-'P-Parametri'!$B$19))&lt;='P-Parametri'!$B$6,'P-Parametri'!$C$13/'P-Parametri'!$D$13,IF(($A79*(1-'P-Parametri'!$B$19))&lt;='P-Parametri'!$B$7,'P-Parametri'!$B$14/'P-Parametri'!$C$14,0))))+(IF(AND(($A79*(1-'P-Parametri'!$B$19))&gt;'P-Parametri'!$D$15,($A79*(1-'P-Parametri'!$B$19))&lt;'P-Parametri'!$E$15),'P-Parametri'!$B$15/('P-Parametri'!$E$15-'P-Parametri'!$D$15),0))+'P-Parametri'!$B$20)</f>
        <v>0.48857459090909094</v>
      </c>
      <c r="O79" s="11">
        <f t="shared" si="17"/>
        <v>7.4384942649885488E-15</v>
      </c>
    </row>
    <row r="80" spans="1:15">
      <c r="A80" s="17">
        <f>51000</f>
        <v>51000</v>
      </c>
      <c r="B80" s="9">
        <f>'P-Parametri'!$B$19*$A80</f>
        <v>4686.8999999999996</v>
      </c>
      <c r="C80" s="9">
        <f t="shared" si="12"/>
        <v>46313.1</v>
      </c>
      <c r="D80" s="9">
        <f>IF($C80&lt;='P-Parametri'!$B$6,'P-Parametri'!$C$6*$C80,IF($C80&lt;='P-Parametri'!$B$7,'P-Parametri'!$B$9+'P-Parametri'!$C$7*($C80-'P-Parametri'!$B$6),'P-Parametri'!$B$10+'P-Parametri'!$C$8*($C80-'P-Parametri'!$B$7)))</f>
        <v>12483.323</v>
      </c>
      <c r="E80" s="9">
        <f>IF($C80&lt;='P-Parametri'!$C$12,'P-Parametri'!$B$12,IF($C80&lt;='P-Parametri'!$B$6,'P-Parametri'!$B$13+'P-Parametri'!$C$13*('P-Parametri'!$B$6-$C80)/'P-Parametri'!$D$13,IF($C80&lt;='P-Parametri'!$B$7,'P-Parametri'!$B$14*('P-Parametri'!$B$7-$C80)/'P-Parametri'!$C$14,0)))</f>
        <v>320.08995454545465</v>
      </c>
      <c r="F80" s="9">
        <f>IF($C80&lt;='P-Parametri'!$C$15,0,IF($C80&lt;='P-Parametri'!$D$15,'P-Parametri'!$B$15,IF($C80&lt;'P-Parametri'!$E$15,'P-Parametri'!$B$15*('P-Parametri'!$E$15-$C80)/('P-Parametri'!$E$15-'P-Parametri'!$D$15),0)))</f>
        <v>0</v>
      </c>
      <c r="G80" s="9">
        <f>IF($C80&gt;'P-Parametri'!$D$18,0,IF($C80&lt;='P-Parametri'!$B$18,'P-Parametri'!$B$17*$C80,IF($C80&lt;='P-Parametri'!$C$18,'P-Parametri'!$C$17*$C80,'P-Parametri'!$D$17*$C80)))</f>
        <v>0</v>
      </c>
      <c r="H80" s="9">
        <f>IF(AND($C80&lt;='P-Parametri'!$C$16,D80&gt;E80-'P-Parametri'!$D$16),'P-Parametri'!$B$16,0)</f>
        <v>0</v>
      </c>
      <c r="I80" s="9">
        <f t="shared" si="13"/>
        <v>12163.233045454546</v>
      </c>
      <c r="J80" s="9">
        <f>IF(I80&gt;0,'P-Parametri'!$B$20*$C80,0)</f>
        <v>926.26199999999994</v>
      </c>
      <c r="K80" s="9">
        <f t="shared" si="14"/>
        <v>33223.604954545452</v>
      </c>
      <c r="L80" s="11">
        <f t="shared" si="15"/>
        <v>0.65144323440285201</v>
      </c>
      <c r="M80" s="11">
        <f t="shared" si="16"/>
        <v>0.48857459090909106</v>
      </c>
      <c r="N80" s="11">
        <f>'P-Parametri'!$B$19+(1-'P-Parametri'!$B$19)*((IF(($A80*(1-'P-Parametri'!$B$19))&lt;='P-Parametri'!$B$6,'P-Parametri'!$C$6,IF(($A80*(1-'P-Parametri'!$B$19))&lt;='P-Parametri'!$B$7,'P-Parametri'!$C$7,'P-Parametri'!$C$8)))+(IF(($A80*(1-'P-Parametri'!$B$19))&lt;='P-Parametri'!$C$12,0,IF(($A80*(1-'P-Parametri'!$B$19))&lt;='P-Parametri'!$B$6,'P-Parametri'!$C$13/'P-Parametri'!$D$13,IF(($A80*(1-'P-Parametri'!$B$19))&lt;='P-Parametri'!$B$7,'P-Parametri'!$B$14/'P-Parametri'!$C$14,0))))+(IF(AND(($A80*(1-'P-Parametri'!$B$19))&gt;'P-Parametri'!$D$15,($A80*(1-'P-Parametri'!$B$19))&lt;'P-Parametri'!$E$15),'P-Parametri'!$B$15/('P-Parametri'!$E$15-'P-Parametri'!$D$15),0))+'P-Parametri'!$B$20)</f>
        <v>0.48857459090909094</v>
      </c>
      <c r="O80" s="11">
        <f t="shared" si="17"/>
        <v>0</v>
      </c>
    </row>
    <row r="81" spans="1:15">
      <c r="A81" s="17">
        <f>51500</f>
        <v>51500</v>
      </c>
      <c r="B81" s="9">
        <f>'P-Parametri'!$B$19*$A81</f>
        <v>4732.8499999999995</v>
      </c>
      <c r="C81" s="9">
        <f t="shared" si="12"/>
        <v>46767.15</v>
      </c>
      <c r="D81" s="9">
        <f>IF($C81&lt;='P-Parametri'!$B$6,'P-Parametri'!$C$6*$C81,IF($C81&lt;='P-Parametri'!$B$7,'P-Parametri'!$B$9+'P-Parametri'!$C$7*($C81-'P-Parametri'!$B$6),'P-Parametri'!$B$10+'P-Parametri'!$C$8*($C81-'P-Parametri'!$B$7)))</f>
        <v>12633.159500000002</v>
      </c>
      <c r="E81" s="9">
        <f>IF($C81&lt;='P-Parametri'!$C$12,'P-Parametri'!$B$12,IF($C81&lt;='P-Parametri'!$B$6,'P-Parametri'!$B$13+'P-Parametri'!$C$13*('P-Parametri'!$B$6-$C81)/'P-Parametri'!$D$13,IF($C81&lt;='P-Parametri'!$B$7,'P-Parametri'!$B$14*('P-Parametri'!$B$7-$C81)/'P-Parametri'!$C$14,0)))</f>
        <v>280.67015909090895</v>
      </c>
      <c r="F81" s="9">
        <f>IF($C81&lt;='P-Parametri'!$C$15,0,IF($C81&lt;='P-Parametri'!$D$15,'P-Parametri'!$B$15,IF($C81&lt;'P-Parametri'!$E$15,'P-Parametri'!$B$15*('P-Parametri'!$E$15-$C81)/('P-Parametri'!$E$15-'P-Parametri'!$D$15),0)))</f>
        <v>0</v>
      </c>
      <c r="G81" s="9">
        <f>IF($C81&gt;'P-Parametri'!$D$18,0,IF($C81&lt;='P-Parametri'!$B$18,'P-Parametri'!$B$17*$C81,IF($C81&lt;='P-Parametri'!$C$18,'P-Parametri'!$C$17*$C81,'P-Parametri'!$D$17*$C81)))</f>
        <v>0</v>
      </c>
      <c r="H81" s="9">
        <f>IF(AND($C81&lt;='P-Parametri'!$C$16,D81&gt;E81-'P-Parametri'!$D$16),'P-Parametri'!$B$16,0)</f>
        <v>0</v>
      </c>
      <c r="I81" s="9">
        <f t="shared" si="13"/>
        <v>12352.489340909093</v>
      </c>
      <c r="J81" s="9">
        <f>IF(I81&gt;0,'P-Parametri'!$B$20*$C81,0)</f>
        <v>935.34300000000007</v>
      </c>
      <c r="K81" s="9">
        <f t="shared" si="14"/>
        <v>33479.317659090906</v>
      </c>
      <c r="L81" s="11">
        <f t="shared" si="15"/>
        <v>0.6500838380406001</v>
      </c>
      <c r="M81" s="11">
        <f t="shared" si="16"/>
        <v>0.48857459090908373</v>
      </c>
      <c r="N81" s="11">
        <f>'P-Parametri'!$B$19+(1-'P-Parametri'!$B$19)*((IF(($A81*(1-'P-Parametri'!$B$19))&lt;='P-Parametri'!$B$6,'P-Parametri'!$C$6,IF(($A81*(1-'P-Parametri'!$B$19))&lt;='P-Parametri'!$B$7,'P-Parametri'!$C$7,'P-Parametri'!$C$8)))+(IF(($A81*(1-'P-Parametri'!$B$19))&lt;='P-Parametri'!$C$12,0,IF(($A81*(1-'P-Parametri'!$B$19))&lt;='P-Parametri'!$B$6,'P-Parametri'!$C$13/'P-Parametri'!$D$13,IF(($A81*(1-'P-Parametri'!$B$19))&lt;='P-Parametri'!$B$7,'P-Parametri'!$B$14/'P-Parametri'!$C$14,0))))+(IF(AND(($A81*(1-'P-Parametri'!$B$19))&gt;'P-Parametri'!$D$15,($A81*(1-'P-Parametri'!$B$19))&lt;'P-Parametri'!$E$15),'P-Parametri'!$B$15/('P-Parametri'!$E$15-'P-Parametri'!$D$15),0))+'P-Parametri'!$B$20)</f>
        <v>0.48857459090909094</v>
      </c>
      <c r="O81" s="11">
        <f t="shared" si="17"/>
        <v>-7.2164496600635175E-15</v>
      </c>
    </row>
    <row r="82" spans="1:15">
      <c r="A82" s="17">
        <f>52000</f>
        <v>52000</v>
      </c>
      <c r="B82" s="9">
        <f>'P-Parametri'!$B$19*$A82</f>
        <v>4778.8</v>
      </c>
      <c r="C82" s="9">
        <f t="shared" si="12"/>
        <v>47221.2</v>
      </c>
      <c r="D82" s="9">
        <f>IF($C82&lt;='P-Parametri'!$B$6,'P-Parametri'!$C$6*$C82,IF($C82&lt;='P-Parametri'!$B$7,'P-Parametri'!$B$9+'P-Parametri'!$C$7*($C82-'P-Parametri'!$B$6),'P-Parametri'!$B$10+'P-Parametri'!$C$8*($C82-'P-Parametri'!$B$7)))</f>
        <v>12782.995999999999</v>
      </c>
      <c r="E82" s="9">
        <f>IF($C82&lt;='P-Parametri'!$C$12,'P-Parametri'!$B$12,IF($C82&lt;='P-Parametri'!$B$6,'P-Parametri'!$B$13+'P-Parametri'!$C$13*('P-Parametri'!$B$6-$C82)/'P-Parametri'!$D$13,IF($C82&lt;='P-Parametri'!$B$7,'P-Parametri'!$B$14*('P-Parametri'!$B$7-$C82)/'P-Parametri'!$C$14,0)))</f>
        <v>241.25036363636389</v>
      </c>
      <c r="F82" s="9">
        <f>IF($C82&lt;='P-Parametri'!$C$15,0,IF($C82&lt;='P-Parametri'!$D$15,'P-Parametri'!$B$15,IF($C82&lt;'P-Parametri'!$E$15,'P-Parametri'!$B$15*('P-Parametri'!$E$15-$C82)/('P-Parametri'!$E$15-'P-Parametri'!$D$15),0)))</f>
        <v>0</v>
      </c>
      <c r="G82" s="9">
        <f>IF($C82&gt;'P-Parametri'!$D$18,0,IF($C82&lt;='P-Parametri'!$B$18,'P-Parametri'!$B$17*$C82,IF($C82&lt;='P-Parametri'!$C$18,'P-Parametri'!$C$17*$C82,'P-Parametri'!$D$17*$C82)))</f>
        <v>0</v>
      </c>
      <c r="H82" s="9">
        <f>IF(AND($C82&lt;='P-Parametri'!$C$16,D82&gt;E82-'P-Parametri'!$D$16),'P-Parametri'!$B$16,0)</f>
        <v>0</v>
      </c>
      <c r="I82" s="9">
        <f t="shared" si="13"/>
        <v>12541.745636363636</v>
      </c>
      <c r="J82" s="9">
        <f>IF(I82&gt;0,'P-Parametri'!$B$20*$C82,0)</f>
        <v>944.42399999999998</v>
      </c>
      <c r="K82" s="9">
        <f t="shared" si="14"/>
        <v>33735.030363636361</v>
      </c>
      <c r="L82" s="11">
        <f t="shared" si="15"/>
        <v>0.64875058391608387</v>
      </c>
      <c r="M82" s="11">
        <f t="shared" si="16"/>
        <v>0.48857459090909106</v>
      </c>
      <c r="N82" s="11">
        <f>'P-Parametri'!$B$19+(1-'P-Parametri'!$B$19)*((IF(($A82*(1-'P-Parametri'!$B$19))&lt;='P-Parametri'!$B$6,'P-Parametri'!$C$6,IF(($A82*(1-'P-Parametri'!$B$19))&lt;='P-Parametri'!$B$7,'P-Parametri'!$C$7,'P-Parametri'!$C$8)))+(IF(($A82*(1-'P-Parametri'!$B$19))&lt;='P-Parametri'!$C$12,0,IF(($A82*(1-'P-Parametri'!$B$19))&lt;='P-Parametri'!$B$6,'P-Parametri'!$C$13/'P-Parametri'!$D$13,IF(($A82*(1-'P-Parametri'!$B$19))&lt;='P-Parametri'!$B$7,'P-Parametri'!$B$14/'P-Parametri'!$C$14,0))))+(IF(AND(($A82*(1-'P-Parametri'!$B$19))&gt;'P-Parametri'!$D$15,($A82*(1-'P-Parametri'!$B$19))&lt;'P-Parametri'!$E$15),'P-Parametri'!$B$15/('P-Parametri'!$E$15-'P-Parametri'!$D$15),0))+'P-Parametri'!$B$20)</f>
        <v>0.48857459090909094</v>
      </c>
      <c r="O82" s="11">
        <f t="shared" si="17"/>
        <v>0</v>
      </c>
    </row>
    <row r="83" spans="1:15">
      <c r="A83" s="17">
        <f>52500</f>
        <v>52500</v>
      </c>
      <c r="B83" s="9">
        <f>'P-Parametri'!$B$19*$A83</f>
        <v>4824.75</v>
      </c>
      <c r="C83" s="9">
        <f t="shared" si="12"/>
        <v>47675.25</v>
      </c>
      <c r="D83" s="9">
        <f>IF($C83&lt;='P-Parametri'!$B$6,'P-Parametri'!$C$6*$C83,IF($C83&lt;='P-Parametri'!$B$7,'P-Parametri'!$B$9+'P-Parametri'!$C$7*($C83-'P-Parametri'!$B$6),'P-Parametri'!$B$10+'P-Parametri'!$C$8*($C83-'P-Parametri'!$B$7)))</f>
        <v>12932.8325</v>
      </c>
      <c r="E83" s="9">
        <f>IF($C83&lt;='P-Parametri'!$C$12,'P-Parametri'!$B$12,IF($C83&lt;='P-Parametri'!$B$6,'P-Parametri'!$B$13+'P-Parametri'!$C$13*('P-Parametri'!$B$6-$C83)/'P-Parametri'!$D$13,IF($C83&lt;='P-Parametri'!$B$7,'P-Parametri'!$B$14*('P-Parametri'!$B$7-$C83)/'P-Parametri'!$C$14,0)))</f>
        <v>201.83056818181819</v>
      </c>
      <c r="F83" s="9">
        <f>IF($C83&lt;='P-Parametri'!$C$15,0,IF($C83&lt;='P-Parametri'!$D$15,'P-Parametri'!$B$15,IF($C83&lt;'P-Parametri'!$E$15,'P-Parametri'!$B$15*('P-Parametri'!$E$15-$C83)/('P-Parametri'!$E$15-'P-Parametri'!$D$15),0)))</f>
        <v>0</v>
      </c>
      <c r="G83" s="9">
        <f>IF($C83&gt;'P-Parametri'!$D$18,0,IF($C83&lt;='P-Parametri'!$B$18,'P-Parametri'!$B$17*$C83,IF($C83&lt;='P-Parametri'!$C$18,'P-Parametri'!$C$17*$C83,'P-Parametri'!$D$17*$C83)))</f>
        <v>0</v>
      </c>
      <c r="H83" s="9">
        <f>IF(AND($C83&lt;='P-Parametri'!$C$16,D83&gt;E83-'P-Parametri'!$D$16),'P-Parametri'!$B$16,0)</f>
        <v>0</v>
      </c>
      <c r="I83" s="9">
        <f t="shared" si="13"/>
        <v>12731.001931818182</v>
      </c>
      <c r="J83" s="9">
        <f>IF(I83&gt;0,'P-Parametri'!$B$20*$C83,0)</f>
        <v>953.505</v>
      </c>
      <c r="K83" s="9">
        <f t="shared" si="14"/>
        <v>33990.743068181822</v>
      </c>
      <c r="L83" s="11">
        <f t="shared" si="15"/>
        <v>0.6474427251082252</v>
      </c>
      <c r="M83" s="11">
        <f t="shared" si="16"/>
        <v>0.48857459090909838</v>
      </c>
      <c r="N83" s="11">
        <f>'P-Parametri'!$B$19+(1-'P-Parametri'!$B$19)*((IF(($A83*(1-'P-Parametri'!$B$19))&lt;='P-Parametri'!$B$6,'P-Parametri'!$C$6,IF(($A83*(1-'P-Parametri'!$B$19))&lt;='P-Parametri'!$B$7,'P-Parametri'!$C$7,'P-Parametri'!$C$8)))+(IF(($A83*(1-'P-Parametri'!$B$19))&lt;='P-Parametri'!$C$12,0,IF(($A83*(1-'P-Parametri'!$B$19))&lt;='P-Parametri'!$B$6,'P-Parametri'!$C$13/'P-Parametri'!$D$13,IF(($A83*(1-'P-Parametri'!$B$19))&lt;='P-Parametri'!$B$7,'P-Parametri'!$B$14/'P-Parametri'!$C$14,0))))+(IF(AND(($A83*(1-'P-Parametri'!$B$19))&gt;'P-Parametri'!$D$15,($A83*(1-'P-Parametri'!$B$19))&lt;'P-Parametri'!$E$15),'P-Parametri'!$B$15/('P-Parametri'!$E$15-'P-Parametri'!$D$15),0))+'P-Parametri'!$B$20)</f>
        <v>0.48857459090909094</v>
      </c>
      <c r="O83" s="11">
        <f t="shared" si="17"/>
        <v>7.4384942649885488E-15</v>
      </c>
    </row>
    <row r="84" spans="1:15">
      <c r="A84" s="17">
        <f>53000</f>
        <v>53000</v>
      </c>
      <c r="B84" s="9">
        <f>'P-Parametri'!$B$19*$A84</f>
        <v>4870.7</v>
      </c>
      <c r="C84" s="9">
        <f t="shared" si="12"/>
        <v>48129.3</v>
      </c>
      <c r="D84" s="9">
        <f>IF($C84&lt;='P-Parametri'!$B$6,'P-Parametri'!$C$6*$C84,IF($C84&lt;='P-Parametri'!$B$7,'P-Parametri'!$B$9+'P-Parametri'!$C$7*($C84-'P-Parametri'!$B$6),'P-Parametri'!$B$10+'P-Parametri'!$C$8*($C84-'P-Parametri'!$B$7)))</f>
        <v>13082.669000000002</v>
      </c>
      <c r="E84" s="9">
        <f>IF($C84&lt;='P-Parametri'!$C$12,'P-Parametri'!$B$12,IF($C84&lt;='P-Parametri'!$B$6,'P-Parametri'!$B$13+'P-Parametri'!$C$13*('P-Parametri'!$B$6-$C84)/'P-Parametri'!$D$13,IF($C84&lt;='P-Parametri'!$B$7,'P-Parametri'!$B$14*('P-Parametri'!$B$7-$C84)/'P-Parametri'!$C$14,0)))</f>
        <v>162.41077272727247</v>
      </c>
      <c r="F84" s="9">
        <f>IF($C84&lt;='P-Parametri'!$C$15,0,IF($C84&lt;='P-Parametri'!$D$15,'P-Parametri'!$B$15,IF($C84&lt;'P-Parametri'!$E$15,'P-Parametri'!$B$15*('P-Parametri'!$E$15-$C84)/('P-Parametri'!$E$15-'P-Parametri'!$D$15),0)))</f>
        <v>0</v>
      </c>
      <c r="G84" s="9">
        <f>IF($C84&gt;'P-Parametri'!$D$18,0,IF($C84&lt;='P-Parametri'!$B$18,'P-Parametri'!$B$17*$C84,IF($C84&lt;='P-Parametri'!$C$18,'P-Parametri'!$C$17*$C84,'P-Parametri'!$D$17*$C84)))</f>
        <v>0</v>
      </c>
      <c r="H84" s="9">
        <f>IF(AND($C84&lt;='P-Parametri'!$C$16,D84&gt;E84-'P-Parametri'!$D$16),'P-Parametri'!$B$16,0)</f>
        <v>0</v>
      </c>
      <c r="I84" s="9">
        <f t="shared" si="13"/>
        <v>12920.258227272729</v>
      </c>
      <c r="J84" s="9">
        <f>IF(I84&gt;0,'P-Parametri'!$B$20*$C84,0)</f>
        <v>962.58600000000013</v>
      </c>
      <c r="K84" s="9">
        <f t="shared" si="14"/>
        <v>34246.45577272727</v>
      </c>
      <c r="L84" s="11">
        <f t="shared" si="15"/>
        <v>0.64615954288164656</v>
      </c>
      <c r="M84" s="11">
        <f t="shared" si="16"/>
        <v>0.48857459090909106</v>
      </c>
      <c r="N84" s="11">
        <f>'P-Parametri'!$B$19+(1-'P-Parametri'!$B$19)*((IF(($A84*(1-'P-Parametri'!$B$19))&lt;='P-Parametri'!$B$6,'P-Parametri'!$C$6,IF(($A84*(1-'P-Parametri'!$B$19))&lt;='P-Parametri'!$B$7,'P-Parametri'!$C$7,'P-Parametri'!$C$8)))+(IF(($A84*(1-'P-Parametri'!$B$19))&lt;='P-Parametri'!$C$12,0,IF(($A84*(1-'P-Parametri'!$B$19))&lt;='P-Parametri'!$B$6,'P-Parametri'!$C$13/'P-Parametri'!$D$13,IF(($A84*(1-'P-Parametri'!$B$19))&lt;='P-Parametri'!$B$7,'P-Parametri'!$B$14/'P-Parametri'!$C$14,0))))+(IF(AND(($A84*(1-'P-Parametri'!$B$19))&gt;'P-Parametri'!$D$15,($A84*(1-'P-Parametri'!$B$19))&lt;'P-Parametri'!$E$15),'P-Parametri'!$B$15/('P-Parametri'!$E$15-'P-Parametri'!$D$15),0))+'P-Parametri'!$B$20)</f>
        <v>0.48857459090909094</v>
      </c>
      <c r="O84" s="11">
        <f t="shared" si="17"/>
        <v>0</v>
      </c>
    </row>
    <row r="85" spans="1:15">
      <c r="A85" s="17">
        <f>53500</f>
        <v>53500</v>
      </c>
      <c r="B85" s="9">
        <f>'P-Parametri'!$B$19*$A85</f>
        <v>4916.6499999999996</v>
      </c>
      <c r="C85" s="9">
        <f t="shared" si="12"/>
        <v>48583.35</v>
      </c>
      <c r="D85" s="9">
        <f>IF($C85&lt;='P-Parametri'!$B$6,'P-Parametri'!$C$6*$C85,IF($C85&lt;='P-Parametri'!$B$7,'P-Parametri'!$B$9+'P-Parametri'!$C$7*($C85-'P-Parametri'!$B$6),'P-Parametri'!$B$10+'P-Parametri'!$C$8*($C85-'P-Parametri'!$B$7)))</f>
        <v>13232.505499999999</v>
      </c>
      <c r="E85" s="9">
        <f>IF($C85&lt;='P-Parametri'!$C$12,'P-Parametri'!$B$12,IF($C85&lt;='P-Parametri'!$B$6,'P-Parametri'!$B$13+'P-Parametri'!$C$13*('P-Parametri'!$B$6-$C85)/'P-Parametri'!$D$13,IF($C85&lt;='P-Parametri'!$B$7,'P-Parametri'!$B$14*('P-Parametri'!$B$7-$C85)/'P-Parametri'!$C$14,0)))</f>
        <v>122.99097727272741</v>
      </c>
      <c r="F85" s="9">
        <f>IF($C85&lt;='P-Parametri'!$C$15,0,IF($C85&lt;='P-Parametri'!$D$15,'P-Parametri'!$B$15,IF($C85&lt;'P-Parametri'!$E$15,'P-Parametri'!$B$15*('P-Parametri'!$E$15-$C85)/('P-Parametri'!$E$15-'P-Parametri'!$D$15),0)))</f>
        <v>0</v>
      </c>
      <c r="G85" s="9">
        <f>IF($C85&gt;'P-Parametri'!$D$18,0,IF($C85&lt;='P-Parametri'!$B$18,'P-Parametri'!$B$17*$C85,IF($C85&lt;='P-Parametri'!$C$18,'P-Parametri'!$C$17*$C85,'P-Parametri'!$D$17*$C85)))</f>
        <v>0</v>
      </c>
      <c r="H85" s="9">
        <f>IF(AND($C85&lt;='P-Parametri'!$C$16,D85&gt;E85-'P-Parametri'!$D$16),'P-Parametri'!$B$16,0)</f>
        <v>0</v>
      </c>
      <c r="I85" s="9">
        <f t="shared" si="13"/>
        <v>13109.514522727271</v>
      </c>
      <c r="J85" s="9">
        <f>IF(I85&gt;0,'P-Parametri'!$B$20*$C85,0)</f>
        <v>971.66700000000003</v>
      </c>
      <c r="K85" s="9">
        <f t="shared" si="14"/>
        <v>34502.168477272724</v>
      </c>
      <c r="L85" s="11">
        <f t="shared" si="15"/>
        <v>0.64490034536958363</v>
      </c>
      <c r="M85" s="11">
        <f t="shared" si="16"/>
        <v>0.48857459090908373</v>
      </c>
      <c r="N85" s="11">
        <f>'P-Parametri'!$B$19+(1-'P-Parametri'!$B$19)*((IF(($A85*(1-'P-Parametri'!$B$19))&lt;='P-Parametri'!$B$6,'P-Parametri'!$C$6,IF(($A85*(1-'P-Parametri'!$B$19))&lt;='P-Parametri'!$B$7,'P-Parametri'!$C$7,'P-Parametri'!$C$8)))+(IF(($A85*(1-'P-Parametri'!$B$19))&lt;='P-Parametri'!$C$12,0,IF(($A85*(1-'P-Parametri'!$B$19))&lt;='P-Parametri'!$B$6,'P-Parametri'!$C$13/'P-Parametri'!$D$13,IF(($A85*(1-'P-Parametri'!$B$19))&lt;='P-Parametri'!$B$7,'P-Parametri'!$B$14/'P-Parametri'!$C$14,0))))+(IF(AND(($A85*(1-'P-Parametri'!$B$19))&gt;'P-Parametri'!$D$15,($A85*(1-'P-Parametri'!$B$19))&lt;'P-Parametri'!$E$15),'P-Parametri'!$B$15/('P-Parametri'!$E$15-'P-Parametri'!$D$15),0))+'P-Parametri'!$B$20)</f>
        <v>0.48857459090909094</v>
      </c>
      <c r="O85" s="11">
        <f t="shared" si="17"/>
        <v>-7.2164496600635175E-15</v>
      </c>
    </row>
    <row r="86" spans="1:15">
      <c r="A86" s="17">
        <f>54000</f>
        <v>54000</v>
      </c>
      <c r="B86" s="9">
        <f>'P-Parametri'!$B$19*$A86</f>
        <v>4962.5999999999995</v>
      </c>
      <c r="C86" s="9">
        <f t="shared" si="12"/>
        <v>49037.4</v>
      </c>
      <c r="D86" s="9">
        <f>IF($C86&lt;='P-Parametri'!$B$6,'P-Parametri'!$C$6*$C86,IF($C86&lt;='P-Parametri'!$B$7,'P-Parametri'!$B$9+'P-Parametri'!$C$7*($C86-'P-Parametri'!$B$6),'P-Parametri'!$B$10+'P-Parametri'!$C$8*($C86-'P-Parametri'!$B$7)))</f>
        <v>13382.342000000001</v>
      </c>
      <c r="E86" s="9">
        <f>IF($C86&lt;='P-Parametri'!$C$12,'P-Parametri'!$B$12,IF($C86&lt;='P-Parametri'!$B$6,'P-Parametri'!$B$13+'P-Parametri'!$C$13*('P-Parametri'!$B$6-$C86)/'P-Parametri'!$D$13,IF($C86&lt;='P-Parametri'!$B$7,'P-Parametri'!$B$14*('P-Parametri'!$B$7-$C86)/'P-Parametri'!$C$14,0)))</f>
        <v>83.571181818181685</v>
      </c>
      <c r="F86" s="9">
        <f>IF($C86&lt;='P-Parametri'!$C$15,0,IF($C86&lt;='P-Parametri'!$D$15,'P-Parametri'!$B$15,IF($C86&lt;'P-Parametri'!$E$15,'P-Parametri'!$B$15*('P-Parametri'!$E$15-$C86)/('P-Parametri'!$E$15-'P-Parametri'!$D$15),0)))</f>
        <v>0</v>
      </c>
      <c r="G86" s="9">
        <f>IF($C86&gt;'P-Parametri'!$D$18,0,IF($C86&lt;='P-Parametri'!$B$18,'P-Parametri'!$B$17*$C86,IF($C86&lt;='P-Parametri'!$C$18,'P-Parametri'!$C$17*$C86,'P-Parametri'!$D$17*$C86)))</f>
        <v>0</v>
      </c>
      <c r="H86" s="9">
        <f>IF(AND($C86&lt;='P-Parametri'!$C$16,D86&gt;E86-'P-Parametri'!$D$16),'P-Parametri'!$B$16,0)</f>
        <v>0</v>
      </c>
      <c r="I86" s="9">
        <f t="shared" si="13"/>
        <v>13298.77081818182</v>
      </c>
      <c r="J86" s="9">
        <f>IF(I86&gt;0,'P-Parametri'!$B$20*$C86,0)</f>
        <v>980.74800000000005</v>
      </c>
      <c r="K86" s="9">
        <f t="shared" si="14"/>
        <v>34757.881181818178</v>
      </c>
      <c r="L86" s="11">
        <f t="shared" si="15"/>
        <v>0.64366446632996632</v>
      </c>
      <c r="M86" s="11">
        <f t="shared" si="16"/>
        <v>0.48857459090909106</v>
      </c>
      <c r="N86" s="11">
        <f>'P-Parametri'!$B$19+(1-'P-Parametri'!$B$19)*((IF(($A86*(1-'P-Parametri'!$B$19))&lt;='P-Parametri'!$B$6,'P-Parametri'!$C$6,IF(($A86*(1-'P-Parametri'!$B$19))&lt;='P-Parametri'!$B$7,'P-Parametri'!$C$7,'P-Parametri'!$C$8)))+(IF(($A86*(1-'P-Parametri'!$B$19))&lt;='P-Parametri'!$C$12,0,IF(($A86*(1-'P-Parametri'!$B$19))&lt;='P-Parametri'!$B$6,'P-Parametri'!$C$13/'P-Parametri'!$D$13,IF(($A86*(1-'P-Parametri'!$B$19))&lt;='P-Parametri'!$B$7,'P-Parametri'!$B$14/'P-Parametri'!$C$14,0))))+(IF(AND(($A86*(1-'P-Parametri'!$B$19))&gt;'P-Parametri'!$D$15,($A86*(1-'P-Parametri'!$B$19))&lt;'P-Parametri'!$E$15),'P-Parametri'!$B$15/('P-Parametri'!$E$15-'P-Parametri'!$D$15),0))+'P-Parametri'!$B$20)</f>
        <v>0.48857459090909094</v>
      </c>
      <c r="O86" s="11">
        <f t="shared" si="17"/>
        <v>0</v>
      </c>
    </row>
    <row r="87" spans="1:15">
      <c r="A87" s="17">
        <f>54500</f>
        <v>54500</v>
      </c>
      <c r="B87" s="9">
        <f>'P-Parametri'!$B$19*$A87</f>
        <v>5008.55</v>
      </c>
      <c r="C87" s="9">
        <f t="shared" si="12"/>
        <v>49491.45</v>
      </c>
      <c r="D87" s="9">
        <f>IF($C87&lt;='P-Parametri'!$B$6,'P-Parametri'!$C$6*$C87,IF($C87&lt;='P-Parametri'!$B$7,'P-Parametri'!$B$9+'P-Parametri'!$C$7*($C87-'P-Parametri'!$B$6),'P-Parametri'!$B$10+'P-Parametri'!$C$8*($C87-'P-Parametri'!$B$7)))</f>
        <v>13532.178499999998</v>
      </c>
      <c r="E87" s="9">
        <f>IF($C87&lt;='P-Parametri'!$C$12,'P-Parametri'!$B$12,IF($C87&lt;='P-Parametri'!$B$6,'P-Parametri'!$B$13+'P-Parametri'!$C$13*('P-Parametri'!$B$6-$C87)/'P-Parametri'!$D$13,IF($C87&lt;='P-Parametri'!$B$7,'P-Parametri'!$B$14*('P-Parametri'!$B$7-$C87)/'P-Parametri'!$C$14,0)))</f>
        <v>44.151386363636618</v>
      </c>
      <c r="F87" s="9">
        <f>IF($C87&lt;='P-Parametri'!$C$15,0,IF($C87&lt;='P-Parametri'!$D$15,'P-Parametri'!$B$15,IF($C87&lt;'P-Parametri'!$E$15,'P-Parametri'!$B$15*('P-Parametri'!$E$15-$C87)/('P-Parametri'!$E$15-'P-Parametri'!$D$15),0)))</f>
        <v>0</v>
      </c>
      <c r="G87" s="9">
        <f>IF($C87&gt;'P-Parametri'!$D$18,0,IF($C87&lt;='P-Parametri'!$B$18,'P-Parametri'!$B$17*$C87,IF($C87&lt;='P-Parametri'!$C$18,'P-Parametri'!$C$17*$C87,'P-Parametri'!$D$17*$C87)))</f>
        <v>0</v>
      </c>
      <c r="H87" s="9">
        <f>IF(AND($C87&lt;='P-Parametri'!$C$16,D87&gt;E87-'P-Parametri'!$D$16),'P-Parametri'!$B$16,0)</f>
        <v>0</v>
      </c>
      <c r="I87" s="9">
        <f t="shared" si="13"/>
        <v>13488.027113636361</v>
      </c>
      <c r="J87" s="9">
        <f>IF(I87&gt;0,'P-Parametri'!$B$20*$C87,0)</f>
        <v>989.82899999999995</v>
      </c>
      <c r="K87" s="9">
        <f t="shared" si="14"/>
        <v>35013.59388636364</v>
      </c>
      <c r="L87" s="11">
        <f t="shared" si="15"/>
        <v>0.64245126396997509</v>
      </c>
      <c r="M87" s="11">
        <f t="shared" si="16"/>
        <v>0.49384138636363784</v>
      </c>
      <c r="N87" s="11">
        <f>'P-Parametri'!$B$19+(1-'P-Parametri'!$B$19)*((IF(($A87*(1-'P-Parametri'!$B$19))&lt;='P-Parametri'!$B$6,'P-Parametri'!$C$6,IF(($A87*(1-'P-Parametri'!$B$19))&lt;='P-Parametri'!$B$7,'P-Parametri'!$C$7,'P-Parametri'!$C$8)))+(IF(($A87*(1-'P-Parametri'!$B$19))&lt;='P-Parametri'!$C$12,0,IF(($A87*(1-'P-Parametri'!$B$19))&lt;='P-Parametri'!$B$6,'P-Parametri'!$C$13/'P-Parametri'!$D$13,IF(($A87*(1-'P-Parametri'!$B$19))&lt;='P-Parametri'!$B$7,'P-Parametri'!$B$14/'P-Parametri'!$C$14,0))))+(IF(AND(($A87*(1-'P-Parametri'!$B$19))&gt;'P-Parametri'!$D$15,($A87*(1-'P-Parametri'!$B$19))&lt;'P-Parametri'!$E$15),'P-Parametri'!$B$15/('P-Parametri'!$E$15-'P-Parametri'!$D$15),0))+'P-Parametri'!$B$20)</f>
        <v>0.48857459090909094</v>
      </c>
      <c r="O87" s="11">
        <f t="shared" si="17"/>
        <v>5.2667954545468909E-3</v>
      </c>
    </row>
    <row r="88" spans="1:15">
      <c r="A88" s="17">
        <f>55000</f>
        <v>55000</v>
      </c>
      <c r="B88" s="9">
        <f>'P-Parametri'!$B$19*$A88</f>
        <v>5054.5</v>
      </c>
      <c r="C88" s="9">
        <f t="shared" si="12"/>
        <v>49945.5</v>
      </c>
      <c r="D88" s="9">
        <f>IF($C88&lt;='P-Parametri'!$B$6,'P-Parametri'!$C$6*$C88,IF($C88&lt;='P-Parametri'!$B$7,'P-Parametri'!$B$9+'P-Parametri'!$C$7*($C88-'P-Parametri'!$B$6),'P-Parametri'!$B$10+'P-Parametri'!$C$8*($C88-'P-Parametri'!$B$7)))</f>
        <v>13682.014999999999</v>
      </c>
      <c r="E88" s="9">
        <f>IF($C88&lt;='P-Parametri'!$C$12,'P-Parametri'!$B$12,IF($C88&lt;='P-Parametri'!$B$6,'P-Parametri'!$B$13+'P-Parametri'!$C$13*('P-Parametri'!$B$6-$C88)/'P-Parametri'!$D$13,IF($C88&lt;='P-Parametri'!$B$7,'P-Parametri'!$B$14*('P-Parametri'!$B$7-$C88)/'P-Parametri'!$C$14,0)))</f>
        <v>4.731590909090909</v>
      </c>
      <c r="F88" s="9">
        <f>IF($C88&lt;='P-Parametri'!$C$15,0,IF($C88&lt;='P-Parametri'!$D$15,'P-Parametri'!$B$15,IF($C88&lt;'P-Parametri'!$E$15,'P-Parametri'!$B$15*('P-Parametri'!$E$15-$C88)/('P-Parametri'!$E$15-'P-Parametri'!$D$15),0)))</f>
        <v>0</v>
      </c>
      <c r="G88" s="9">
        <f>IF($C88&gt;'P-Parametri'!$D$18,0,IF($C88&lt;='P-Parametri'!$B$18,'P-Parametri'!$B$17*$C88,IF($C88&lt;='P-Parametri'!$C$18,'P-Parametri'!$C$17*$C88,'P-Parametri'!$D$17*$C88)))</f>
        <v>0</v>
      </c>
      <c r="H88" s="9">
        <f>IF(AND($C88&lt;='P-Parametri'!$C$16,D88&gt;E88-'P-Parametri'!$D$16),'P-Parametri'!$B$16,0)</f>
        <v>0</v>
      </c>
      <c r="I88" s="9">
        <f t="shared" si="13"/>
        <v>13677.283409090909</v>
      </c>
      <c r="J88" s="9">
        <f>IF(I88&gt;0,'P-Parametri'!$B$20*$C88,0)</f>
        <v>998.91</v>
      </c>
      <c r="K88" s="9">
        <f t="shared" si="14"/>
        <v>35269.306590909087</v>
      </c>
      <c r="L88" s="11">
        <f t="shared" si="15"/>
        <v>0.64126011983471065</v>
      </c>
      <c r="M88" s="11">
        <f t="shared" si="16"/>
        <v>0.49982659090909143</v>
      </c>
      <c r="N88" s="11">
        <f>'P-Parametri'!$B$19+(1-'P-Parametri'!$B$19)*((IF(($A88*(1-'P-Parametri'!$B$19))&lt;='P-Parametri'!$B$6,'P-Parametri'!$C$6,IF(($A88*(1-'P-Parametri'!$B$19))&lt;='P-Parametri'!$B$7,'P-Parametri'!$C$7,'P-Parametri'!$C$8)))+(IF(($A88*(1-'P-Parametri'!$B$19))&lt;='P-Parametri'!$C$12,0,IF(($A88*(1-'P-Parametri'!$B$19))&lt;='P-Parametri'!$B$6,'P-Parametri'!$C$13/'P-Parametri'!$D$13,IF(($A88*(1-'P-Parametri'!$B$19))&lt;='P-Parametri'!$B$7,'P-Parametri'!$B$14/'P-Parametri'!$C$14,0))))+(IF(AND(($A88*(1-'P-Parametri'!$B$19))&gt;'P-Parametri'!$D$15,($A88*(1-'P-Parametri'!$B$19))&lt;'P-Parametri'!$E$15),'P-Parametri'!$B$15/('P-Parametri'!$E$15-'P-Parametri'!$D$15),0))+'P-Parametri'!$B$20)</f>
        <v>0.48857459090909094</v>
      </c>
      <c r="O88" s="11">
        <f t="shared" si="17"/>
        <v>1.1252000000000484E-2</v>
      </c>
    </row>
    <row r="89" spans="1:15">
      <c r="A89" s="17">
        <f>55500</f>
        <v>55500</v>
      </c>
      <c r="B89" s="9">
        <f>'P-Parametri'!$B$19*$A89</f>
        <v>5100.45</v>
      </c>
      <c r="C89" s="9">
        <f t="shared" si="12"/>
        <v>50399.55</v>
      </c>
      <c r="D89" s="9">
        <f>IF($C89&lt;='P-Parametri'!$B$6,'P-Parametri'!$C$6*$C89,IF($C89&lt;='P-Parametri'!$B$7,'P-Parametri'!$B$9+'P-Parametri'!$C$7*($C89-'P-Parametri'!$B$6),'P-Parametri'!$B$10+'P-Parametri'!$C$8*($C89-'P-Parametri'!$B$7)))</f>
        <v>13871.806500000001</v>
      </c>
      <c r="E89" s="9">
        <f>IF($C89&lt;='P-Parametri'!$C$12,'P-Parametri'!$B$12,IF($C89&lt;='P-Parametri'!$B$6,'P-Parametri'!$B$13+'P-Parametri'!$C$13*('P-Parametri'!$B$6-$C89)/'P-Parametri'!$D$13,IF($C89&lt;='P-Parametri'!$B$7,'P-Parametri'!$B$14*('P-Parametri'!$B$7-$C89)/'P-Parametri'!$C$14,0)))</f>
        <v>0</v>
      </c>
      <c r="F89" s="9">
        <f>IF($C89&lt;='P-Parametri'!$C$15,0,IF($C89&lt;='P-Parametri'!$D$15,'P-Parametri'!$B$15,IF($C89&lt;'P-Parametri'!$E$15,'P-Parametri'!$B$15*('P-Parametri'!$E$15-$C89)/('P-Parametri'!$E$15-'P-Parametri'!$D$15),0)))</f>
        <v>0</v>
      </c>
      <c r="G89" s="9">
        <f>IF($C89&gt;'P-Parametri'!$D$18,0,IF($C89&lt;='P-Parametri'!$B$18,'P-Parametri'!$B$17*$C89,IF($C89&lt;='P-Parametri'!$C$18,'P-Parametri'!$C$17*$C89,'P-Parametri'!$D$17*$C89)))</f>
        <v>0</v>
      </c>
      <c r="H89" s="9">
        <f>IF(AND($C89&lt;='P-Parametri'!$C$16,D89&gt;E89-'P-Parametri'!$D$16),'P-Parametri'!$B$16,0)</f>
        <v>0</v>
      </c>
      <c r="I89" s="9">
        <f t="shared" si="13"/>
        <v>13871.806500000001</v>
      </c>
      <c r="J89" s="9">
        <f>IF(I89&gt;0,'P-Parametri'!$B$20*$C89,0)</f>
        <v>1007.9910000000001</v>
      </c>
      <c r="K89" s="9">
        <f t="shared" si="14"/>
        <v>35519.752500000002</v>
      </c>
      <c r="L89" s="11">
        <f t="shared" si="15"/>
        <v>0.63999554054054053</v>
      </c>
      <c r="M89" s="11">
        <f t="shared" si="16"/>
        <v>0.50054499999999824</v>
      </c>
      <c r="N89" s="11">
        <f>'P-Parametri'!$B$19+(1-'P-Parametri'!$B$19)*((IF(($A89*(1-'P-Parametri'!$B$19))&lt;='P-Parametri'!$B$6,'P-Parametri'!$C$6,IF(($A89*(1-'P-Parametri'!$B$19))&lt;='P-Parametri'!$B$7,'P-Parametri'!$C$7,'P-Parametri'!$C$8)))+(IF(($A89*(1-'P-Parametri'!$B$19))&lt;='P-Parametri'!$C$12,0,IF(($A89*(1-'P-Parametri'!$B$19))&lt;='P-Parametri'!$B$6,'P-Parametri'!$C$13/'P-Parametri'!$D$13,IF(($A89*(1-'P-Parametri'!$B$19))&lt;='P-Parametri'!$B$7,'P-Parametri'!$B$14/'P-Parametri'!$C$14,0))))+(IF(AND(($A89*(1-'P-Parametri'!$B$19))&gt;'P-Parametri'!$D$15,($A89*(1-'P-Parametri'!$B$19))&lt;'P-Parametri'!$E$15),'P-Parametri'!$B$15/('P-Parametri'!$E$15-'P-Parametri'!$D$15),0))+'P-Parametri'!$B$20)</f>
        <v>0.50054500000000002</v>
      </c>
      <c r="O89" s="11">
        <f t="shared" si="17"/>
        <v>-1.7763568394002505E-15</v>
      </c>
    </row>
    <row r="90" spans="1:15">
      <c r="A90" s="17">
        <f>56000</f>
        <v>56000</v>
      </c>
      <c r="B90" s="9">
        <f>'P-Parametri'!$B$19*$A90</f>
        <v>5146.3999999999996</v>
      </c>
      <c r="C90" s="9">
        <f t="shared" si="12"/>
        <v>50853.599999999999</v>
      </c>
      <c r="D90" s="9">
        <f>IF($C90&lt;='P-Parametri'!$B$6,'P-Parametri'!$C$6*$C90,IF($C90&lt;='P-Parametri'!$B$7,'P-Parametri'!$B$9+'P-Parametri'!$C$7*($C90-'P-Parametri'!$B$6),'P-Parametri'!$B$10+'P-Parametri'!$C$8*($C90-'P-Parametri'!$B$7)))</f>
        <v>14067.047999999999</v>
      </c>
      <c r="E90" s="9">
        <f>IF($C90&lt;='P-Parametri'!$C$12,'P-Parametri'!$B$12,IF($C90&lt;='P-Parametri'!$B$6,'P-Parametri'!$B$13+'P-Parametri'!$C$13*('P-Parametri'!$B$6-$C90)/'P-Parametri'!$D$13,IF($C90&lt;='P-Parametri'!$B$7,'P-Parametri'!$B$14*('P-Parametri'!$B$7-$C90)/'P-Parametri'!$C$14,0)))</f>
        <v>0</v>
      </c>
      <c r="F90" s="9">
        <f>IF($C90&lt;='P-Parametri'!$C$15,0,IF($C90&lt;='P-Parametri'!$D$15,'P-Parametri'!$B$15,IF($C90&lt;'P-Parametri'!$E$15,'P-Parametri'!$B$15*('P-Parametri'!$E$15-$C90)/('P-Parametri'!$E$15-'P-Parametri'!$D$15),0)))</f>
        <v>0</v>
      </c>
      <c r="G90" s="9">
        <f>IF($C90&gt;'P-Parametri'!$D$18,0,IF($C90&lt;='P-Parametri'!$B$18,'P-Parametri'!$B$17*$C90,IF($C90&lt;='P-Parametri'!$C$18,'P-Parametri'!$C$17*$C90,'P-Parametri'!$D$17*$C90)))</f>
        <v>0</v>
      </c>
      <c r="H90" s="9">
        <f>IF(AND($C90&lt;='P-Parametri'!$C$16,D90&gt;E90-'P-Parametri'!$D$16),'P-Parametri'!$B$16,0)</f>
        <v>0</v>
      </c>
      <c r="I90" s="9">
        <f t="shared" si="13"/>
        <v>14067.047999999999</v>
      </c>
      <c r="J90" s="9">
        <f>IF(I90&gt;0,'P-Parametri'!$B$20*$C90,0)</f>
        <v>1017.072</v>
      </c>
      <c r="K90" s="9">
        <f t="shared" si="14"/>
        <v>35769.479999999996</v>
      </c>
      <c r="L90" s="11">
        <f t="shared" si="15"/>
        <v>0.63874071428571422</v>
      </c>
      <c r="M90" s="11">
        <f t="shared" si="16"/>
        <v>0.50054499999999824</v>
      </c>
      <c r="N90" s="11">
        <f>'P-Parametri'!$B$19+(1-'P-Parametri'!$B$19)*((IF(($A90*(1-'P-Parametri'!$B$19))&lt;='P-Parametri'!$B$6,'P-Parametri'!$C$6,IF(($A90*(1-'P-Parametri'!$B$19))&lt;='P-Parametri'!$B$7,'P-Parametri'!$C$7,'P-Parametri'!$C$8)))+(IF(($A90*(1-'P-Parametri'!$B$19))&lt;='P-Parametri'!$C$12,0,IF(($A90*(1-'P-Parametri'!$B$19))&lt;='P-Parametri'!$B$6,'P-Parametri'!$C$13/'P-Parametri'!$D$13,IF(($A90*(1-'P-Parametri'!$B$19))&lt;='P-Parametri'!$B$7,'P-Parametri'!$B$14/'P-Parametri'!$C$14,0))))+(IF(AND(($A90*(1-'P-Parametri'!$B$19))&gt;'P-Parametri'!$D$15,($A90*(1-'P-Parametri'!$B$19))&lt;'P-Parametri'!$E$15),'P-Parametri'!$B$15/('P-Parametri'!$E$15-'P-Parametri'!$D$15),0))+'P-Parametri'!$B$20)</f>
        <v>0.50054500000000002</v>
      </c>
      <c r="O90" s="11">
        <f t="shared" si="17"/>
        <v>-1.7763568394002505E-15</v>
      </c>
    </row>
    <row r="91" spans="1:15">
      <c r="A91" s="17">
        <f>56500</f>
        <v>56500</v>
      </c>
      <c r="B91" s="9">
        <f>'P-Parametri'!$B$19*$A91</f>
        <v>5192.3499999999995</v>
      </c>
      <c r="C91" s="9">
        <f t="shared" si="12"/>
        <v>51307.65</v>
      </c>
      <c r="D91" s="9">
        <f>IF($C91&lt;='P-Parametri'!$B$6,'P-Parametri'!$C$6*$C91,IF($C91&lt;='P-Parametri'!$B$7,'P-Parametri'!$B$9+'P-Parametri'!$C$7*($C91-'P-Parametri'!$B$6),'P-Parametri'!$B$10+'P-Parametri'!$C$8*($C91-'P-Parametri'!$B$7)))</f>
        <v>14262.289500000001</v>
      </c>
      <c r="E91" s="9">
        <f>IF($C91&lt;='P-Parametri'!$C$12,'P-Parametri'!$B$12,IF($C91&lt;='P-Parametri'!$B$6,'P-Parametri'!$B$13+'P-Parametri'!$C$13*('P-Parametri'!$B$6-$C91)/'P-Parametri'!$D$13,IF($C91&lt;='P-Parametri'!$B$7,'P-Parametri'!$B$14*('P-Parametri'!$B$7-$C91)/'P-Parametri'!$C$14,0)))</f>
        <v>0</v>
      </c>
      <c r="F91" s="9">
        <f>IF($C91&lt;='P-Parametri'!$C$15,0,IF($C91&lt;='P-Parametri'!$D$15,'P-Parametri'!$B$15,IF($C91&lt;'P-Parametri'!$E$15,'P-Parametri'!$B$15*('P-Parametri'!$E$15-$C91)/('P-Parametri'!$E$15-'P-Parametri'!$D$15),0)))</f>
        <v>0</v>
      </c>
      <c r="G91" s="9">
        <f>IF($C91&gt;'P-Parametri'!$D$18,0,IF($C91&lt;='P-Parametri'!$B$18,'P-Parametri'!$B$17*$C91,IF($C91&lt;='P-Parametri'!$C$18,'P-Parametri'!$C$17*$C91,'P-Parametri'!$D$17*$C91)))</f>
        <v>0</v>
      </c>
      <c r="H91" s="9">
        <f>IF(AND($C91&lt;='P-Parametri'!$C$16,D91&gt;E91-'P-Parametri'!$D$16),'P-Parametri'!$B$16,0)</f>
        <v>0</v>
      </c>
      <c r="I91" s="9">
        <f t="shared" si="13"/>
        <v>14262.289500000001</v>
      </c>
      <c r="J91" s="9">
        <f>IF(I91&gt;0,'P-Parametri'!$B$20*$C91,0)</f>
        <v>1026.153</v>
      </c>
      <c r="K91" s="9">
        <f t="shared" si="14"/>
        <v>36019.207500000004</v>
      </c>
      <c r="L91" s="11">
        <f t="shared" si="15"/>
        <v>0.63750809734513281</v>
      </c>
      <c r="M91" s="11">
        <f t="shared" si="16"/>
        <v>0.50054500000000557</v>
      </c>
      <c r="N91" s="11">
        <f>'P-Parametri'!$B$19+(1-'P-Parametri'!$B$19)*((IF(($A91*(1-'P-Parametri'!$B$19))&lt;='P-Parametri'!$B$6,'P-Parametri'!$C$6,IF(($A91*(1-'P-Parametri'!$B$19))&lt;='P-Parametri'!$B$7,'P-Parametri'!$C$7,'P-Parametri'!$C$8)))+(IF(($A91*(1-'P-Parametri'!$B$19))&lt;='P-Parametri'!$C$12,0,IF(($A91*(1-'P-Parametri'!$B$19))&lt;='P-Parametri'!$B$6,'P-Parametri'!$C$13/'P-Parametri'!$D$13,IF(($A91*(1-'P-Parametri'!$B$19))&lt;='P-Parametri'!$B$7,'P-Parametri'!$B$14/'P-Parametri'!$C$14,0))))+(IF(AND(($A91*(1-'P-Parametri'!$B$19))&gt;'P-Parametri'!$D$15,($A91*(1-'P-Parametri'!$B$19))&lt;'P-Parametri'!$E$15),'P-Parametri'!$B$15/('P-Parametri'!$E$15-'P-Parametri'!$D$15),0))+'P-Parametri'!$B$20)</f>
        <v>0.50054500000000002</v>
      </c>
      <c r="O91" s="11">
        <f t="shared" si="17"/>
        <v>5.5511151231257827E-15</v>
      </c>
    </row>
    <row r="92" spans="1:15">
      <c r="A92" s="17">
        <f>57000</f>
        <v>57000</v>
      </c>
      <c r="B92" s="9">
        <f>'P-Parametri'!$B$19*$A92</f>
        <v>5238.3</v>
      </c>
      <c r="C92" s="9">
        <f t="shared" si="12"/>
        <v>51761.7</v>
      </c>
      <c r="D92" s="9">
        <f>IF($C92&lt;='P-Parametri'!$B$6,'P-Parametri'!$C$6*$C92,IF($C92&lt;='P-Parametri'!$B$7,'P-Parametri'!$B$9+'P-Parametri'!$C$7*($C92-'P-Parametri'!$B$6),'P-Parametri'!$B$10+'P-Parametri'!$C$8*($C92-'P-Parametri'!$B$7)))</f>
        <v>14457.530999999999</v>
      </c>
      <c r="E92" s="9">
        <f>IF($C92&lt;='P-Parametri'!$C$12,'P-Parametri'!$B$12,IF($C92&lt;='P-Parametri'!$B$6,'P-Parametri'!$B$13+'P-Parametri'!$C$13*('P-Parametri'!$B$6-$C92)/'P-Parametri'!$D$13,IF($C92&lt;='P-Parametri'!$B$7,'P-Parametri'!$B$14*('P-Parametri'!$B$7-$C92)/'P-Parametri'!$C$14,0)))</f>
        <v>0</v>
      </c>
      <c r="F92" s="9">
        <f>IF($C92&lt;='P-Parametri'!$C$15,0,IF($C92&lt;='P-Parametri'!$D$15,'P-Parametri'!$B$15,IF($C92&lt;'P-Parametri'!$E$15,'P-Parametri'!$B$15*('P-Parametri'!$E$15-$C92)/('P-Parametri'!$E$15-'P-Parametri'!$D$15),0)))</f>
        <v>0</v>
      </c>
      <c r="G92" s="9">
        <f>IF($C92&gt;'P-Parametri'!$D$18,0,IF($C92&lt;='P-Parametri'!$B$18,'P-Parametri'!$B$17*$C92,IF($C92&lt;='P-Parametri'!$C$18,'P-Parametri'!$C$17*$C92,'P-Parametri'!$D$17*$C92)))</f>
        <v>0</v>
      </c>
      <c r="H92" s="9">
        <f>IF(AND($C92&lt;='P-Parametri'!$C$16,D92&gt;E92-'P-Parametri'!$D$16),'P-Parametri'!$B$16,0)</f>
        <v>0</v>
      </c>
      <c r="I92" s="9">
        <f t="shared" si="13"/>
        <v>14457.530999999999</v>
      </c>
      <c r="J92" s="9">
        <f>IF(I92&gt;0,'P-Parametri'!$B$20*$C92,0)</f>
        <v>1035.2339999999999</v>
      </c>
      <c r="K92" s="9">
        <f t="shared" si="14"/>
        <v>36268.934999999998</v>
      </c>
      <c r="L92" s="11">
        <f t="shared" si="15"/>
        <v>0.63629710526315786</v>
      </c>
      <c r="M92" s="11">
        <f t="shared" si="16"/>
        <v>0.50054499999999824</v>
      </c>
      <c r="N92" s="11">
        <f>'P-Parametri'!$B$19+(1-'P-Parametri'!$B$19)*((IF(($A92*(1-'P-Parametri'!$B$19))&lt;='P-Parametri'!$B$6,'P-Parametri'!$C$6,IF(($A92*(1-'P-Parametri'!$B$19))&lt;='P-Parametri'!$B$7,'P-Parametri'!$C$7,'P-Parametri'!$C$8)))+(IF(($A92*(1-'P-Parametri'!$B$19))&lt;='P-Parametri'!$C$12,0,IF(($A92*(1-'P-Parametri'!$B$19))&lt;='P-Parametri'!$B$6,'P-Parametri'!$C$13/'P-Parametri'!$D$13,IF(($A92*(1-'P-Parametri'!$B$19))&lt;='P-Parametri'!$B$7,'P-Parametri'!$B$14/'P-Parametri'!$C$14,0))))+(IF(AND(($A92*(1-'P-Parametri'!$B$19))&gt;'P-Parametri'!$D$15,($A92*(1-'P-Parametri'!$B$19))&lt;'P-Parametri'!$E$15),'P-Parametri'!$B$15/('P-Parametri'!$E$15-'P-Parametri'!$D$15),0))+'P-Parametri'!$B$20)</f>
        <v>0.50054500000000002</v>
      </c>
      <c r="O92" s="11">
        <f t="shared" si="17"/>
        <v>-1.7763568394002505E-15</v>
      </c>
    </row>
    <row r="93" spans="1:15">
      <c r="A93" s="17">
        <f>57500</f>
        <v>57500</v>
      </c>
      <c r="B93" s="9">
        <f>'P-Parametri'!$B$19*$A93</f>
        <v>5284.25</v>
      </c>
      <c r="C93" s="9">
        <f t="shared" si="12"/>
        <v>52215.75</v>
      </c>
      <c r="D93" s="9">
        <f>IF($C93&lt;='P-Parametri'!$B$6,'P-Parametri'!$C$6*$C93,IF($C93&lt;='P-Parametri'!$B$7,'P-Parametri'!$B$9+'P-Parametri'!$C$7*($C93-'P-Parametri'!$B$6),'P-Parametri'!$B$10+'P-Parametri'!$C$8*($C93-'P-Parametri'!$B$7)))</f>
        <v>14652.772499999999</v>
      </c>
      <c r="E93" s="9">
        <f>IF($C93&lt;='P-Parametri'!$C$12,'P-Parametri'!$B$12,IF($C93&lt;='P-Parametri'!$B$6,'P-Parametri'!$B$13+'P-Parametri'!$C$13*('P-Parametri'!$B$6-$C93)/'P-Parametri'!$D$13,IF($C93&lt;='P-Parametri'!$B$7,'P-Parametri'!$B$14*('P-Parametri'!$B$7-$C93)/'P-Parametri'!$C$14,0)))</f>
        <v>0</v>
      </c>
      <c r="F93" s="9">
        <f>IF($C93&lt;='P-Parametri'!$C$15,0,IF($C93&lt;='P-Parametri'!$D$15,'P-Parametri'!$B$15,IF($C93&lt;'P-Parametri'!$E$15,'P-Parametri'!$B$15*('P-Parametri'!$E$15-$C93)/('P-Parametri'!$E$15-'P-Parametri'!$D$15),0)))</f>
        <v>0</v>
      </c>
      <c r="G93" s="9">
        <f>IF($C93&gt;'P-Parametri'!$D$18,0,IF($C93&lt;='P-Parametri'!$B$18,'P-Parametri'!$B$17*$C93,IF($C93&lt;='P-Parametri'!$C$18,'P-Parametri'!$C$17*$C93,'P-Parametri'!$D$17*$C93)))</f>
        <v>0</v>
      </c>
      <c r="H93" s="9">
        <f>IF(AND($C93&lt;='P-Parametri'!$C$16,D93&gt;E93-'P-Parametri'!$D$16),'P-Parametri'!$B$16,0)</f>
        <v>0</v>
      </c>
      <c r="I93" s="9">
        <f t="shared" si="13"/>
        <v>14652.772499999999</v>
      </c>
      <c r="J93" s="9">
        <f>IF(I93&gt;0,'P-Parametri'!$B$20*$C93,0)</f>
        <v>1044.3150000000001</v>
      </c>
      <c r="K93" s="9">
        <f t="shared" si="14"/>
        <v>36518.662499999999</v>
      </c>
      <c r="L93" s="11">
        <f t="shared" si="15"/>
        <v>0.6351071739130435</v>
      </c>
      <c r="M93" s="11">
        <f t="shared" si="16"/>
        <v>0.50054499999999824</v>
      </c>
      <c r="N93" s="11">
        <f>'P-Parametri'!$B$19+(1-'P-Parametri'!$B$19)*((IF(($A93*(1-'P-Parametri'!$B$19))&lt;='P-Parametri'!$B$6,'P-Parametri'!$C$6,IF(($A93*(1-'P-Parametri'!$B$19))&lt;='P-Parametri'!$B$7,'P-Parametri'!$C$7,'P-Parametri'!$C$8)))+(IF(($A93*(1-'P-Parametri'!$B$19))&lt;='P-Parametri'!$C$12,0,IF(($A93*(1-'P-Parametri'!$B$19))&lt;='P-Parametri'!$B$6,'P-Parametri'!$C$13/'P-Parametri'!$D$13,IF(($A93*(1-'P-Parametri'!$B$19))&lt;='P-Parametri'!$B$7,'P-Parametri'!$B$14/'P-Parametri'!$C$14,0))))+(IF(AND(($A93*(1-'P-Parametri'!$B$19))&gt;'P-Parametri'!$D$15,($A93*(1-'P-Parametri'!$B$19))&lt;'P-Parametri'!$E$15),'P-Parametri'!$B$15/('P-Parametri'!$E$15-'P-Parametri'!$D$15),0))+'P-Parametri'!$B$20)</f>
        <v>0.50054500000000002</v>
      </c>
      <c r="O93" s="11">
        <f t="shared" si="17"/>
        <v>-1.7763568394002505E-15</v>
      </c>
    </row>
    <row r="94" spans="1:15">
      <c r="A94" s="17">
        <f>58000</f>
        <v>58000</v>
      </c>
      <c r="B94" s="9">
        <f>'P-Parametri'!$B$19*$A94</f>
        <v>5330.2</v>
      </c>
      <c r="C94" s="9">
        <f t="shared" si="12"/>
        <v>52669.8</v>
      </c>
      <c r="D94" s="9">
        <f>IF($C94&lt;='P-Parametri'!$B$6,'P-Parametri'!$C$6*$C94,IF($C94&lt;='P-Parametri'!$B$7,'P-Parametri'!$B$9+'P-Parametri'!$C$7*($C94-'P-Parametri'!$B$6),'P-Parametri'!$B$10+'P-Parametri'!$C$8*($C94-'P-Parametri'!$B$7)))</f>
        <v>14848.014000000001</v>
      </c>
      <c r="E94" s="9">
        <f>IF($C94&lt;='P-Parametri'!$C$12,'P-Parametri'!$B$12,IF($C94&lt;='P-Parametri'!$B$6,'P-Parametri'!$B$13+'P-Parametri'!$C$13*('P-Parametri'!$B$6-$C94)/'P-Parametri'!$D$13,IF($C94&lt;='P-Parametri'!$B$7,'P-Parametri'!$B$14*('P-Parametri'!$B$7-$C94)/'P-Parametri'!$C$14,0)))</f>
        <v>0</v>
      </c>
      <c r="F94" s="9">
        <f>IF($C94&lt;='P-Parametri'!$C$15,0,IF($C94&lt;='P-Parametri'!$D$15,'P-Parametri'!$B$15,IF($C94&lt;'P-Parametri'!$E$15,'P-Parametri'!$B$15*('P-Parametri'!$E$15-$C94)/('P-Parametri'!$E$15-'P-Parametri'!$D$15),0)))</f>
        <v>0</v>
      </c>
      <c r="G94" s="9">
        <f>IF($C94&gt;'P-Parametri'!$D$18,0,IF($C94&lt;='P-Parametri'!$B$18,'P-Parametri'!$B$17*$C94,IF($C94&lt;='P-Parametri'!$C$18,'P-Parametri'!$C$17*$C94,'P-Parametri'!$D$17*$C94)))</f>
        <v>0</v>
      </c>
      <c r="H94" s="9">
        <f>IF(AND($C94&lt;='P-Parametri'!$C$16,D94&gt;E94-'P-Parametri'!$D$16),'P-Parametri'!$B$16,0)</f>
        <v>0</v>
      </c>
      <c r="I94" s="9">
        <f t="shared" si="13"/>
        <v>14848.014000000001</v>
      </c>
      <c r="J94" s="9">
        <f>IF(I94&gt;0,'P-Parametri'!$B$20*$C94,0)</f>
        <v>1053.3960000000002</v>
      </c>
      <c r="K94" s="9">
        <f t="shared" si="14"/>
        <v>36768.39</v>
      </c>
      <c r="L94" s="11">
        <f t="shared" si="15"/>
        <v>0.63393775862068968</v>
      </c>
      <c r="M94" s="11">
        <f t="shared" si="16"/>
        <v>0.50054499999999824</v>
      </c>
      <c r="N94" s="11">
        <f>'P-Parametri'!$B$19+(1-'P-Parametri'!$B$19)*((IF(($A94*(1-'P-Parametri'!$B$19))&lt;='P-Parametri'!$B$6,'P-Parametri'!$C$6,IF(($A94*(1-'P-Parametri'!$B$19))&lt;='P-Parametri'!$B$7,'P-Parametri'!$C$7,'P-Parametri'!$C$8)))+(IF(($A94*(1-'P-Parametri'!$B$19))&lt;='P-Parametri'!$C$12,0,IF(($A94*(1-'P-Parametri'!$B$19))&lt;='P-Parametri'!$B$6,'P-Parametri'!$C$13/'P-Parametri'!$D$13,IF(($A94*(1-'P-Parametri'!$B$19))&lt;='P-Parametri'!$B$7,'P-Parametri'!$B$14/'P-Parametri'!$C$14,0))))+(IF(AND(($A94*(1-'P-Parametri'!$B$19))&gt;'P-Parametri'!$D$15,($A94*(1-'P-Parametri'!$B$19))&lt;'P-Parametri'!$E$15),'P-Parametri'!$B$15/('P-Parametri'!$E$15-'P-Parametri'!$D$15),0))+'P-Parametri'!$B$20)</f>
        <v>0.50054500000000002</v>
      </c>
      <c r="O94" s="11">
        <f t="shared" si="17"/>
        <v>-1.7763568394002505E-15</v>
      </c>
    </row>
    <row r="95" spans="1:15">
      <c r="A95" s="17">
        <f>58500</f>
        <v>58500</v>
      </c>
      <c r="B95" s="9">
        <f>'P-Parametri'!$B$19*$A95</f>
        <v>5376.15</v>
      </c>
      <c r="C95" s="9">
        <f t="shared" si="12"/>
        <v>53123.85</v>
      </c>
      <c r="D95" s="9">
        <f>IF($C95&lt;='P-Parametri'!$B$6,'P-Parametri'!$C$6*$C95,IF($C95&lt;='P-Parametri'!$B$7,'P-Parametri'!$B$9+'P-Parametri'!$C$7*($C95-'P-Parametri'!$B$6),'P-Parametri'!$B$10+'P-Parametri'!$C$8*($C95-'P-Parametri'!$B$7)))</f>
        <v>15043.255499999999</v>
      </c>
      <c r="E95" s="9">
        <f>IF($C95&lt;='P-Parametri'!$C$12,'P-Parametri'!$B$12,IF($C95&lt;='P-Parametri'!$B$6,'P-Parametri'!$B$13+'P-Parametri'!$C$13*('P-Parametri'!$B$6-$C95)/'P-Parametri'!$D$13,IF($C95&lt;='P-Parametri'!$B$7,'P-Parametri'!$B$14*('P-Parametri'!$B$7-$C95)/'P-Parametri'!$C$14,0)))</f>
        <v>0</v>
      </c>
      <c r="F95" s="9">
        <f>IF($C95&lt;='P-Parametri'!$C$15,0,IF($C95&lt;='P-Parametri'!$D$15,'P-Parametri'!$B$15,IF($C95&lt;'P-Parametri'!$E$15,'P-Parametri'!$B$15*('P-Parametri'!$E$15-$C95)/('P-Parametri'!$E$15-'P-Parametri'!$D$15),0)))</f>
        <v>0</v>
      </c>
      <c r="G95" s="9">
        <f>IF($C95&gt;'P-Parametri'!$D$18,0,IF($C95&lt;='P-Parametri'!$B$18,'P-Parametri'!$B$17*$C95,IF($C95&lt;='P-Parametri'!$C$18,'P-Parametri'!$C$17*$C95,'P-Parametri'!$D$17*$C95)))</f>
        <v>0</v>
      </c>
      <c r="H95" s="9">
        <f>IF(AND($C95&lt;='P-Parametri'!$C$16,D95&gt;E95-'P-Parametri'!$D$16),'P-Parametri'!$B$16,0)</f>
        <v>0</v>
      </c>
      <c r="I95" s="9">
        <f t="shared" si="13"/>
        <v>15043.255499999999</v>
      </c>
      <c r="J95" s="9">
        <f>IF(I95&gt;0,'P-Parametri'!$B$20*$C95,0)</f>
        <v>1062.4770000000001</v>
      </c>
      <c r="K95" s="9">
        <f t="shared" si="14"/>
        <v>37018.1175</v>
      </c>
      <c r="L95" s="11">
        <f t="shared" si="15"/>
        <v>0.63278833333333329</v>
      </c>
      <c r="M95" s="11">
        <f t="shared" si="16"/>
        <v>0.50054500000000557</v>
      </c>
      <c r="N95" s="11">
        <f>'P-Parametri'!$B$19+(1-'P-Parametri'!$B$19)*((IF(($A95*(1-'P-Parametri'!$B$19))&lt;='P-Parametri'!$B$6,'P-Parametri'!$C$6,IF(($A95*(1-'P-Parametri'!$B$19))&lt;='P-Parametri'!$B$7,'P-Parametri'!$C$7,'P-Parametri'!$C$8)))+(IF(($A95*(1-'P-Parametri'!$B$19))&lt;='P-Parametri'!$C$12,0,IF(($A95*(1-'P-Parametri'!$B$19))&lt;='P-Parametri'!$B$6,'P-Parametri'!$C$13/'P-Parametri'!$D$13,IF(($A95*(1-'P-Parametri'!$B$19))&lt;='P-Parametri'!$B$7,'P-Parametri'!$B$14/'P-Parametri'!$C$14,0))))+(IF(AND(($A95*(1-'P-Parametri'!$B$19))&gt;'P-Parametri'!$D$15,($A95*(1-'P-Parametri'!$B$19))&lt;'P-Parametri'!$E$15),'P-Parametri'!$B$15/('P-Parametri'!$E$15-'P-Parametri'!$D$15),0))+'P-Parametri'!$B$20)</f>
        <v>0.50054500000000002</v>
      </c>
      <c r="O95" s="11">
        <f t="shared" si="17"/>
        <v>5.5511151231257827E-15</v>
      </c>
    </row>
    <row r="96" spans="1:15">
      <c r="A96" s="17">
        <f>59000</f>
        <v>59000</v>
      </c>
      <c r="B96" s="9">
        <f>'P-Parametri'!$B$19*$A96</f>
        <v>5422.0999999999995</v>
      </c>
      <c r="C96" s="9">
        <f t="shared" si="12"/>
        <v>53577.9</v>
      </c>
      <c r="D96" s="9">
        <f>IF($C96&lt;='P-Parametri'!$B$6,'P-Parametri'!$C$6*$C96,IF($C96&lt;='P-Parametri'!$B$7,'P-Parametri'!$B$9+'P-Parametri'!$C$7*($C96-'P-Parametri'!$B$6),'P-Parametri'!$B$10+'P-Parametri'!$C$8*($C96-'P-Parametri'!$B$7)))</f>
        <v>15238.497000000001</v>
      </c>
      <c r="E96" s="9">
        <f>IF($C96&lt;='P-Parametri'!$C$12,'P-Parametri'!$B$12,IF($C96&lt;='P-Parametri'!$B$6,'P-Parametri'!$B$13+'P-Parametri'!$C$13*('P-Parametri'!$B$6-$C96)/'P-Parametri'!$D$13,IF($C96&lt;='P-Parametri'!$B$7,'P-Parametri'!$B$14*('P-Parametri'!$B$7-$C96)/'P-Parametri'!$C$14,0)))</f>
        <v>0</v>
      </c>
      <c r="F96" s="9">
        <f>IF($C96&lt;='P-Parametri'!$C$15,0,IF($C96&lt;='P-Parametri'!$D$15,'P-Parametri'!$B$15,IF($C96&lt;'P-Parametri'!$E$15,'P-Parametri'!$B$15*('P-Parametri'!$E$15-$C96)/('P-Parametri'!$E$15-'P-Parametri'!$D$15),0)))</f>
        <v>0</v>
      </c>
      <c r="G96" s="9">
        <f>IF($C96&gt;'P-Parametri'!$D$18,0,IF($C96&lt;='P-Parametri'!$B$18,'P-Parametri'!$B$17*$C96,IF($C96&lt;='P-Parametri'!$C$18,'P-Parametri'!$C$17*$C96,'P-Parametri'!$D$17*$C96)))</f>
        <v>0</v>
      </c>
      <c r="H96" s="9">
        <f>IF(AND($C96&lt;='P-Parametri'!$C$16,D96&gt;E96-'P-Parametri'!$D$16),'P-Parametri'!$B$16,0)</f>
        <v>0</v>
      </c>
      <c r="I96" s="9">
        <f t="shared" si="13"/>
        <v>15238.497000000001</v>
      </c>
      <c r="J96" s="9">
        <f>IF(I96&gt;0,'P-Parametri'!$B$20*$C96,0)</f>
        <v>1071.558</v>
      </c>
      <c r="K96" s="9">
        <f t="shared" si="14"/>
        <v>37267.845000000001</v>
      </c>
      <c r="L96" s="11">
        <f t="shared" si="15"/>
        <v>0.63165838983050848</v>
      </c>
      <c r="M96" s="11">
        <f t="shared" si="16"/>
        <v>0.50054499999999824</v>
      </c>
      <c r="N96" s="11">
        <f>'P-Parametri'!$B$19+(1-'P-Parametri'!$B$19)*((IF(($A96*(1-'P-Parametri'!$B$19))&lt;='P-Parametri'!$B$6,'P-Parametri'!$C$6,IF(($A96*(1-'P-Parametri'!$B$19))&lt;='P-Parametri'!$B$7,'P-Parametri'!$C$7,'P-Parametri'!$C$8)))+(IF(($A96*(1-'P-Parametri'!$B$19))&lt;='P-Parametri'!$C$12,0,IF(($A96*(1-'P-Parametri'!$B$19))&lt;='P-Parametri'!$B$6,'P-Parametri'!$C$13/'P-Parametri'!$D$13,IF(($A96*(1-'P-Parametri'!$B$19))&lt;='P-Parametri'!$B$7,'P-Parametri'!$B$14/'P-Parametri'!$C$14,0))))+(IF(AND(($A96*(1-'P-Parametri'!$B$19))&gt;'P-Parametri'!$D$15,($A96*(1-'P-Parametri'!$B$19))&lt;'P-Parametri'!$E$15),'P-Parametri'!$B$15/('P-Parametri'!$E$15-'P-Parametri'!$D$15),0))+'P-Parametri'!$B$20)</f>
        <v>0.50054500000000002</v>
      </c>
      <c r="O96" s="11">
        <f t="shared" si="17"/>
        <v>-1.7763568394002505E-15</v>
      </c>
    </row>
    <row r="97" spans="1:16">
      <c r="A97" s="17">
        <f>59500</f>
        <v>59500</v>
      </c>
      <c r="B97" s="9">
        <f>'P-Parametri'!$B$19*$A97</f>
        <v>5468.05</v>
      </c>
      <c r="C97" s="9">
        <f t="shared" si="12"/>
        <v>54031.95</v>
      </c>
      <c r="D97" s="9">
        <f>IF($C97&lt;='P-Parametri'!$B$6,'P-Parametri'!$C$6*$C97,IF($C97&lt;='P-Parametri'!$B$7,'P-Parametri'!$B$9+'P-Parametri'!$C$7*($C97-'P-Parametri'!$B$6),'P-Parametri'!$B$10+'P-Parametri'!$C$8*($C97-'P-Parametri'!$B$7)))</f>
        <v>15433.738499999999</v>
      </c>
      <c r="E97" s="9">
        <f>IF($C97&lt;='P-Parametri'!$C$12,'P-Parametri'!$B$12,IF($C97&lt;='P-Parametri'!$B$6,'P-Parametri'!$B$13+'P-Parametri'!$C$13*('P-Parametri'!$B$6-$C97)/'P-Parametri'!$D$13,IF($C97&lt;='P-Parametri'!$B$7,'P-Parametri'!$B$14*('P-Parametri'!$B$7-$C97)/'P-Parametri'!$C$14,0)))</f>
        <v>0</v>
      </c>
      <c r="F97" s="9">
        <f>IF($C97&lt;='P-Parametri'!$C$15,0,IF($C97&lt;='P-Parametri'!$D$15,'P-Parametri'!$B$15,IF($C97&lt;'P-Parametri'!$E$15,'P-Parametri'!$B$15*('P-Parametri'!$E$15-$C97)/('P-Parametri'!$E$15-'P-Parametri'!$D$15),0)))</f>
        <v>0</v>
      </c>
      <c r="G97" s="9">
        <f>IF($C97&gt;'P-Parametri'!$D$18,0,IF($C97&lt;='P-Parametri'!$B$18,'P-Parametri'!$B$17*$C97,IF($C97&lt;='P-Parametri'!$C$18,'P-Parametri'!$C$17*$C97,'P-Parametri'!$D$17*$C97)))</f>
        <v>0</v>
      </c>
      <c r="H97" s="9">
        <f>IF(AND($C97&lt;='P-Parametri'!$C$16,D97&gt;E97-'P-Parametri'!$D$16),'P-Parametri'!$B$16,0)</f>
        <v>0</v>
      </c>
      <c r="I97" s="9">
        <f t="shared" si="13"/>
        <v>15433.738499999999</v>
      </c>
      <c r="J97" s="9">
        <f>IF(I97&gt;0,'P-Parametri'!$B$20*$C97,0)</f>
        <v>1080.6389999999999</v>
      </c>
      <c r="K97" s="9">
        <f t="shared" si="14"/>
        <v>37517.572499999995</v>
      </c>
      <c r="L97" s="11">
        <f t="shared" si="15"/>
        <v>0.63054743697478988</v>
      </c>
      <c r="M97" s="11">
        <f t="shared" si="16"/>
        <v>0.50054499999999091</v>
      </c>
      <c r="N97" s="11">
        <f>'P-Parametri'!$B$19+(1-'P-Parametri'!$B$19)*((IF(($A97*(1-'P-Parametri'!$B$19))&lt;='P-Parametri'!$B$6,'P-Parametri'!$C$6,IF(($A97*(1-'P-Parametri'!$B$19))&lt;='P-Parametri'!$B$7,'P-Parametri'!$C$7,'P-Parametri'!$C$8)))+(IF(($A97*(1-'P-Parametri'!$B$19))&lt;='P-Parametri'!$C$12,0,IF(($A97*(1-'P-Parametri'!$B$19))&lt;='P-Parametri'!$B$6,'P-Parametri'!$C$13/'P-Parametri'!$D$13,IF(($A97*(1-'P-Parametri'!$B$19))&lt;='P-Parametri'!$B$7,'P-Parametri'!$B$14/'P-Parametri'!$C$14,0))))+(IF(AND(($A97*(1-'P-Parametri'!$B$19))&gt;'P-Parametri'!$D$15,($A97*(1-'P-Parametri'!$B$19))&lt;'P-Parametri'!$E$15),'P-Parametri'!$B$15/('P-Parametri'!$E$15-'P-Parametri'!$D$15),0))+'P-Parametri'!$B$20)</f>
        <v>0.50054500000000002</v>
      </c>
      <c r="O97" s="11">
        <f t="shared" si="17"/>
        <v>-9.1038288019262836E-15</v>
      </c>
    </row>
    <row r="98" spans="1:16">
      <c r="A98" s="17">
        <f>60000</f>
        <v>60000</v>
      </c>
      <c r="B98" s="9">
        <f>'P-Parametri'!$B$19*$A98</f>
        <v>5514</v>
      </c>
      <c r="C98" s="9">
        <f t="shared" si="12"/>
        <v>54486</v>
      </c>
      <c r="D98" s="9">
        <f>IF($C98&lt;='P-Parametri'!$B$6,'P-Parametri'!$C$6*$C98,IF($C98&lt;='P-Parametri'!$B$7,'P-Parametri'!$B$9+'P-Parametri'!$C$7*($C98-'P-Parametri'!$B$6),'P-Parametri'!$B$10+'P-Parametri'!$C$8*($C98-'P-Parametri'!$B$7)))</f>
        <v>15628.98</v>
      </c>
      <c r="E98" s="9">
        <f>IF($C98&lt;='P-Parametri'!$C$12,'P-Parametri'!$B$12,IF($C98&lt;='P-Parametri'!$B$6,'P-Parametri'!$B$13+'P-Parametri'!$C$13*('P-Parametri'!$B$6-$C98)/'P-Parametri'!$D$13,IF($C98&lt;='P-Parametri'!$B$7,'P-Parametri'!$B$14*('P-Parametri'!$B$7-$C98)/'P-Parametri'!$C$14,0)))</f>
        <v>0</v>
      </c>
      <c r="F98" s="9">
        <f>IF($C98&lt;='P-Parametri'!$C$15,0,IF($C98&lt;='P-Parametri'!$D$15,'P-Parametri'!$B$15,IF($C98&lt;'P-Parametri'!$E$15,'P-Parametri'!$B$15*('P-Parametri'!$E$15-$C98)/('P-Parametri'!$E$15-'P-Parametri'!$D$15),0)))</f>
        <v>0</v>
      </c>
      <c r="G98" s="9">
        <f>IF($C98&gt;'P-Parametri'!$D$18,0,IF($C98&lt;='P-Parametri'!$B$18,'P-Parametri'!$B$17*$C98,IF($C98&lt;='P-Parametri'!$C$18,'P-Parametri'!$C$17*$C98,'P-Parametri'!$D$17*$C98)))</f>
        <v>0</v>
      </c>
      <c r="H98" s="9">
        <f>IF(AND($C98&lt;='P-Parametri'!$C$16,D98&gt;E98-'P-Parametri'!$D$16),'P-Parametri'!$B$16,0)</f>
        <v>0</v>
      </c>
      <c r="I98" s="9">
        <f t="shared" si="13"/>
        <v>15628.98</v>
      </c>
      <c r="J98" s="9">
        <f>IF(I98&gt;0,'P-Parametri'!$B$20*$C98,0)</f>
        <v>1089.72</v>
      </c>
      <c r="K98" s="9">
        <f t="shared" si="14"/>
        <v>37767.300000000003</v>
      </c>
      <c r="L98" s="11">
        <f t="shared" si="15"/>
        <v>0.6294550000000001</v>
      </c>
      <c r="M98" s="11">
        <f t="shared" si="16"/>
        <v>0.50054499999999824</v>
      </c>
      <c r="N98" s="11">
        <f>'P-Parametri'!$B$19+(1-'P-Parametri'!$B$19)*((IF(($A98*(1-'P-Parametri'!$B$19))&lt;='P-Parametri'!$B$6,'P-Parametri'!$C$6,IF(($A98*(1-'P-Parametri'!$B$19))&lt;='P-Parametri'!$B$7,'P-Parametri'!$C$7,'P-Parametri'!$C$8)))+(IF(($A98*(1-'P-Parametri'!$B$19))&lt;='P-Parametri'!$C$12,0,IF(($A98*(1-'P-Parametri'!$B$19))&lt;='P-Parametri'!$B$6,'P-Parametri'!$C$13/'P-Parametri'!$D$13,IF(($A98*(1-'P-Parametri'!$B$19))&lt;='P-Parametri'!$B$7,'P-Parametri'!$B$14/'P-Parametri'!$C$14,0))))+(IF(AND(($A98*(1-'P-Parametri'!$B$19))&gt;'P-Parametri'!$D$15,($A98*(1-'P-Parametri'!$B$19))&lt;'P-Parametri'!$E$15),'P-Parametri'!$B$15/('P-Parametri'!$E$15-'P-Parametri'!$D$15),0))+'P-Parametri'!$B$20)</f>
        <v>0.50054500000000002</v>
      </c>
      <c r="O98" s="11">
        <f t="shared" si="17"/>
        <v>-1.7763568394002505E-15</v>
      </c>
    </row>
    <row r="99" spans="1:16">
      <c r="A99" s="17">
        <f>60500</f>
        <v>60500</v>
      </c>
      <c r="B99" s="9">
        <f>'P-Parametri'!$B$19*$A99</f>
        <v>5559.95</v>
      </c>
      <c r="C99" s="9">
        <f t="shared" si="12"/>
        <v>54940.05</v>
      </c>
      <c r="D99" s="9">
        <f>IF($C99&lt;='P-Parametri'!$B$6,'P-Parametri'!$C$6*$C99,IF($C99&lt;='P-Parametri'!$B$7,'P-Parametri'!$B$9+'P-Parametri'!$C$7*($C99-'P-Parametri'!$B$6),'P-Parametri'!$B$10+'P-Parametri'!$C$8*($C99-'P-Parametri'!$B$7)))</f>
        <v>15824.221500000001</v>
      </c>
      <c r="E99" s="9">
        <f>IF($C99&lt;='P-Parametri'!$C$12,'P-Parametri'!$B$12,IF($C99&lt;='P-Parametri'!$B$6,'P-Parametri'!$B$13+'P-Parametri'!$C$13*('P-Parametri'!$B$6-$C99)/'P-Parametri'!$D$13,IF($C99&lt;='P-Parametri'!$B$7,'P-Parametri'!$B$14*('P-Parametri'!$B$7-$C99)/'P-Parametri'!$C$14,0)))</f>
        <v>0</v>
      </c>
      <c r="F99" s="9">
        <f>IF($C99&lt;='P-Parametri'!$C$15,0,IF($C99&lt;='P-Parametri'!$D$15,'P-Parametri'!$B$15,IF($C99&lt;'P-Parametri'!$E$15,'P-Parametri'!$B$15*('P-Parametri'!$E$15-$C99)/('P-Parametri'!$E$15-'P-Parametri'!$D$15),0)))</f>
        <v>0</v>
      </c>
      <c r="G99" s="9">
        <f>IF($C99&gt;'P-Parametri'!$D$18,0,IF($C99&lt;='P-Parametri'!$B$18,'P-Parametri'!$B$17*$C99,IF($C99&lt;='P-Parametri'!$C$18,'P-Parametri'!$C$17*$C99,'P-Parametri'!$D$17*$C99)))</f>
        <v>0</v>
      </c>
      <c r="H99" s="9">
        <f>IF(AND($C99&lt;='P-Parametri'!$C$16,D99&gt;E99-'P-Parametri'!$D$16),'P-Parametri'!$B$16,0)</f>
        <v>0</v>
      </c>
      <c r="I99" s="9">
        <f t="shared" si="13"/>
        <v>15824.221500000001</v>
      </c>
      <c r="J99" s="9">
        <f>IF(I99&gt;0,'P-Parametri'!$B$20*$C99,0)</f>
        <v>1098.8010000000002</v>
      </c>
      <c r="K99" s="9">
        <f t="shared" si="14"/>
        <v>38017.027500000004</v>
      </c>
      <c r="L99" s="11">
        <f t="shared" si="15"/>
        <v>0.62838061983471083</v>
      </c>
      <c r="M99" s="11">
        <f t="shared" si="16"/>
        <v>0.50054500000000557</v>
      </c>
      <c r="N99" s="11">
        <f>'P-Parametri'!$B$19+(1-'P-Parametri'!$B$19)*((IF(($A99*(1-'P-Parametri'!$B$19))&lt;='P-Parametri'!$B$6,'P-Parametri'!$C$6,IF(($A99*(1-'P-Parametri'!$B$19))&lt;='P-Parametri'!$B$7,'P-Parametri'!$C$7,'P-Parametri'!$C$8)))+(IF(($A99*(1-'P-Parametri'!$B$19))&lt;='P-Parametri'!$C$12,0,IF(($A99*(1-'P-Parametri'!$B$19))&lt;='P-Parametri'!$B$6,'P-Parametri'!$C$13/'P-Parametri'!$D$13,IF(($A99*(1-'P-Parametri'!$B$19))&lt;='P-Parametri'!$B$7,'P-Parametri'!$B$14/'P-Parametri'!$C$14,0))))+(IF(AND(($A99*(1-'P-Parametri'!$B$19))&gt;'P-Parametri'!$D$15,($A99*(1-'P-Parametri'!$B$19))&lt;'P-Parametri'!$E$15),'P-Parametri'!$B$15/('P-Parametri'!$E$15-'P-Parametri'!$D$15),0))+'P-Parametri'!$B$20)</f>
        <v>0.50054500000000002</v>
      </c>
      <c r="O99" s="11">
        <f t="shared" si="17"/>
        <v>5.5511151231257827E-15</v>
      </c>
    </row>
    <row r="100" spans="1:16">
      <c r="A100" s="17">
        <f>61000</f>
        <v>61000</v>
      </c>
      <c r="B100" s="9">
        <f>'P-Parametri'!$B$19*$A100</f>
        <v>5605.9</v>
      </c>
      <c r="C100" s="9">
        <f t="shared" si="12"/>
        <v>55394.1</v>
      </c>
      <c r="D100" s="9">
        <f>IF($C100&lt;='P-Parametri'!$B$6,'P-Parametri'!$C$6*$C100,IF($C100&lt;='P-Parametri'!$B$7,'P-Parametri'!$B$9+'P-Parametri'!$C$7*($C100-'P-Parametri'!$B$6),'P-Parametri'!$B$10+'P-Parametri'!$C$8*($C100-'P-Parametri'!$B$7)))</f>
        <v>16019.463</v>
      </c>
      <c r="E100" s="9">
        <f>IF($C100&lt;='P-Parametri'!$C$12,'P-Parametri'!$B$12,IF($C100&lt;='P-Parametri'!$B$6,'P-Parametri'!$B$13+'P-Parametri'!$C$13*('P-Parametri'!$B$6-$C100)/'P-Parametri'!$D$13,IF($C100&lt;='P-Parametri'!$B$7,'P-Parametri'!$B$14*('P-Parametri'!$B$7-$C100)/'P-Parametri'!$C$14,0)))</f>
        <v>0</v>
      </c>
      <c r="F100" s="9">
        <f>IF($C100&lt;='P-Parametri'!$C$15,0,IF($C100&lt;='P-Parametri'!$D$15,'P-Parametri'!$B$15,IF($C100&lt;'P-Parametri'!$E$15,'P-Parametri'!$B$15*('P-Parametri'!$E$15-$C100)/('P-Parametri'!$E$15-'P-Parametri'!$D$15),0)))</f>
        <v>0</v>
      </c>
      <c r="G100" s="9">
        <f>IF($C100&gt;'P-Parametri'!$D$18,0,IF($C100&lt;='P-Parametri'!$B$18,'P-Parametri'!$B$17*$C100,IF($C100&lt;='P-Parametri'!$C$18,'P-Parametri'!$C$17*$C100,'P-Parametri'!$D$17*$C100)))</f>
        <v>0</v>
      </c>
      <c r="H100" s="9">
        <f>IF(AND($C100&lt;='P-Parametri'!$C$16,D100&gt;E100-'P-Parametri'!$D$16),'P-Parametri'!$B$16,0)</f>
        <v>0</v>
      </c>
      <c r="I100" s="9">
        <f t="shared" si="13"/>
        <v>16019.463</v>
      </c>
      <c r="J100" s="9">
        <f>IF(I100&gt;0,'P-Parametri'!$B$20*$C100,0)</f>
        <v>1107.8820000000001</v>
      </c>
      <c r="K100" s="9">
        <f t="shared" si="14"/>
        <v>38266.755000000005</v>
      </c>
      <c r="L100" s="11">
        <f t="shared" si="15"/>
        <v>0.62732385245901645</v>
      </c>
      <c r="M100" s="11">
        <f t="shared" si="16"/>
        <v>0.50054500000000557</v>
      </c>
      <c r="N100" s="11">
        <f>'P-Parametri'!$B$19+(1-'P-Parametri'!$B$19)*((IF(($A100*(1-'P-Parametri'!$B$19))&lt;='P-Parametri'!$B$6,'P-Parametri'!$C$6,IF(($A100*(1-'P-Parametri'!$B$19))&lt;='P-Parametri'!$B$7,'P-Parametri'!$C$7,'P-Parametri'!$C$8)))+(IF(($A100*(1-'P-Parametri'!$B$19))&lt;='P-Parametri'!$C$12,0,IF(($A100*(1-'P-Parametri'!$B$19))&lt;='P-Parametri'!$B$6,'P-Parametri'!$C$13/'P-Parametri'!$D$13,IF(($A100*(1-'P-Parametri'!$B$19))&lt;='P-Parametri'!$B$7,'P-Parametri'!$B$14/'P-Parametri'!$C$14,0))))+(IF(AND(($A100*(1-'P-Parametri'!$B$19))&gt;'P-Parametri'!$D$15,($A100*(1-'P-Parametri'!$B$19))&lt;'P-Parametri'!$E$15),'P-Parametri'!$B$15/('P-Parametri'!$E$15-'P-Parametri'!$D$15),0))+'P-Parametri'!$B$20)</f>
        <v>0.50054500000000002</v>
      </c>
      <c r="O100" s="11">
        <f t="shared" si="17"/>
        <v>5.5511151231257827E-15</v>
      </c>
    </row>
    <row r="101" spans="1:16">
      <c r="A101" s="17">
        <f>61500</f>
        <v>61500</v>
      </c>
      <c r="B101" s="9">
        <f>'P-Parametri'!$B$19*$A101</f>
        <v>5651.8499999999995</v>
      </c>
      <c r="C101" s="9">
        <f t="shared" si="12"/>
        <v>55848.15</v>
      </c>
      <c r="D101" s="9">
        <f>IF($C101&lt;='P-Parametri'!$B$6,'P-Parametri'!$C$6*$C101,IF($C101&lt;='P-Parametri'!$B$7,'P-Parametri'!$B$9+'P-Parametri'!$C$7*($C101-'P-Parametri'!$B$6),'P-Parametri'!$B$10+'P-Parametri'!$C$8*($C101-'P-Parametri'!$B$7)))</f>
        <v>16214.7045</v>
      </c>
      <c r="E101" s="9">
        <f>IF($C101&lt;='P-Parametri'!$C$12,'P-Parametri'!$B$12,IF($C101&lt;='P-Parametri'!$B$6,'P-Parametri'!$B$13+'P-Parametri'!$C$13*('P-Parametri'!$B$6-$C101)/'P-Parametri'!$D$13,IF($C101&lt;='P-Parametri'!$B$7,'P-Parametri'!$B$14*('P-Parametri'!$B$7-$C101)/'P-Parametri'!$C$14,0)))</f>
        <v>0</v>
      </c>
      <c r="F101" s="9">
        <f>IF($C101&lt;='P-Parametri'!$C$15,0,IF($C101&lt;='P-Parametri'!$D$15,'P-Parametri'!$B$15,IF($C101&lt;'P-Parametri'!$E$15,'P-Parametri'!$B$15*('P-Parametri'!$E$15-$C101)/('P-Parametri'!$E$15-'P-Parametri'!$D$15),0)))</f>
        <v>0</v>
      </c>
      <c r="G101" s="9">
        <f>IF($C101&gt;'P-Parametri'!$D$18,0,IF($C101&lt;='P-Parametri'!$B$18,'P-Parametri'!$B$17*$C101,IF($C101&lt;='P-Parametri'!$C$18,'P-Parametri'!$C$17*$C101,'P-Parametri'!$D$17*$C101)))</f>
        <v>0</v>
      </c>
      <c r="H101" s="9">
        <f>IF(AND($C101&lt;='P-Parametri'!$C$16,D101&gt;E101-'P-Parametri'!$D$16),'P-Parametri'!$B$16,0)</f>
        <v>0</v>
      </c>
      <c r="I101" s="9">
        <f t="shared" si="13"/>
        <v>16214.7045</v>
      </c>
      <c r="J101" s="9">
        <f>IF(I101&gt;0,'P-Parametri'!$B$20*$C101,0)</f>
        <v>1116.963</v>
      </c>
      <c r="K101" s="9">
        <f t="shared" si="14"/>
        <v>38516.482499999998</v>
      </c>
      <c r="L101" s="11">
        <f t="shared" si="15"/>
        <v>0.62628426829268291</v>
      </c>
      <c r="N101" s="11">
        <f>'P-Parametri'!$B$19+(1-'P-Parametri'!$B$19)*((IF(($A101*(1-'P-Parametri'!$B$19))&lt;='P-Parametri'!$B$6,'P-Parametri'!$C$6,IF(($A101*(1-'P-Parametri'!$B$19))&lt;='P-Parametri'!$B$7,'P-Parametri'!$C$7,'P-Parametri'!$C$8)))+(IF(($A101*(1-'P-Parametri'!$B$19))&lt;='P-Parametri'!$C$12,0,IF(($A101*(1-'P-Parametri'!$B$19))&lt;='P-Parametri'!$B$6,'P-Parametri'!$C$13/'P-Parametri'!$D$13,IF(($A101*(1-'P-Parametri'!$B$19))&lt;='P-Parametri'!$B$7,'P-Parametri'!$B$14/'P-Parametri'!$C$14,0))))+(IF(AND(($A101*(1-'P-Parametri'!$B$19))&gt;'P-Parametri'!$D$15,($A101*(1-'P-Parametri'!$B$19))&lt;'P-Parametri'!$E$15),'P-Parametri'!$B$15/('P-Parametri'!$E$15-'P-Parametri'!$D$15),0))+'P-Parametri'!$B$20)</f>
        <v>0.50054500000000002</v>
      </c>
    </row>
    <row r="102" spans="1:16">
      <c r="A102" s="17">
        <f>62000</f>
        <v>62000</v>
      </c>
      <c r="B102" s="9">
        <f>'P-Parametri'!$B$19*$A102</f>
        <v>5697.7999999999993</v>
      </c>
      <c r="C102" s="9">
        <f t="shared" si="12"/>
        <v>56302.2</v>
      </c>
      <c r="D102" s="9">
        <f>IF($C102&lt;='P-Parametri'!$B$6,'P-Parametri'!$C$6*$C102,IF($C102&lt;='P-Parametri'!$B$7,'P-Parametri'!$B$9+'P-Parametri'!$C$7*($C102-'P-Parametri'!$B$6),'P-Parametri'!$B$10+'P-Parametri'!$C$8*($C102-'P-Parametri'!$B$7)))</f>
        <v>16409.946</v>
      </c>
      <c r="E102" s="9">
        <f>IF($C102&lt;='P-Parametri'!$C$12,'P-Parametri'!$B$12,IF($C102&lt;='P-Parametri'!$B$6,'P-Parametri'!$B$13+'P-Parametri'!$C$13*('P-Parametri'!$B$6-$C102)/'P-Parametri'!$D$13,IF($C102&lt;='P-Parametri'!$B$7,'P-Parametri'!$B$14*('P-Parametri'!$B$7-$C102)/'P-Parametri'!$C$14,0)))</f>
        <v>0</v>
      </c>
      <c r="F102" s="9">
        <f>IF($C102&lt;='P-Parametri'!$C$15,0,IF($C102&lt;='P-Parametri'!$D$15,'P-Parametri'!$B$15,IF($C102&lt;'P-Parametri'!$E$15,'P-Parametri'!$B$15*('P-Parametri'!$E$15-$C102)/('P-Parametri'!$E$15-'P-Parametri'!$D$15),0)))</f>
        <v>0</v>
      </c>
      <c r="G102" s="9">
        <f>IF($C102&gt;'P-Parametri'!$D$18,0,IF($C102&lt;='P-Parametri'!$B$18,'P-Parametri'!$B$17*$C102,IF($C102&lt;='P-Parametri'!$C$18,'P-Parametri'!$C$17*$C102,'P-Parametri'!$D$17*$C102)))</f>
        <v>0</v>
      </c>
      <c r="H102" s="9">
        <f>IF(AND($C102&lt;='P-Parametri'!$C$16,D102&gt;E102-'P-Parametri'!$D$16),'P-Parametri'!$B$16,0)</f>
        <v>0</v>
      </c>
      <c r="I102" s="9">
        <f t="shared" si="13"/>
        <v>16409.946</v>
      </c>
      <c r="J102" s="9">
        <f>IF(I102&gt;0,'P-Parametri'!$B$20*$C102,0)</f>
        <v>1126.0439999999999</v>
      </c>
      <c r="K102" s="9">
        <f t="shared" si="14"/>
        <v>38766.21</v>
      </c>
      <c r="L102" s="11">
        <f t="shared" si="15"/>
        <v>0.62526145161290325</v>
      </c>
      <c r="N102" s="11">
        <f>'P-Parametri'!$B$19+(1-'P-Parametri'!$B$19)*((IF(($A102*(1-'P-Parametri'!$B$19))&lt;='P-Parametri'!$B$6,'P-Parametri'!$C$6,IF(($A102*(1-'P-Parametri'!$B$19))&lt;='P-Parametri'!$B$7,'P-Parametri'!$C$7,'P-Parametri'!$C$8)))+(IF(($A102*(1-'P-Parametri'!$B$19))&lt;='P-Parametri'!$C$12,0,IF(($A102*(1-'P-Parametri'!$B$19))&lt;='P-Parametri'!$B$6,'P-Parametri'!$C$13/'P-Parametri'!$D$13,IF(($A102*(1-'P-Parametri'!$B$19))&lt;='P-Parametri'!$B$7,'P-Parametri'!$B$14/'P-Parametri'!$C$14,0))))+(IF(AND(($A102*(1-'P-Parametri'!$B$19))&gt;'P-Parametri'!$D$15,($A102*(1-'P-Parametri'!$B$19))&lt;'P-Parametri'!$E$15),'P-Parametri'!$B$15/('P-Parametri'!$E$15-'P-Parametri'!$D$15),0))+'P-Parametri'!$B$20)</f>
        <v>0.50054500000000002</v>
      </c>
    </row>
    <row r="104" spans="1:16" ht="30" customHeight="1">
      <c r="A104" s="40" t="s">
        <v>154</v>
      </c>
      <c r="B104" s="38"/>
      <c r="C104" s="38"/>
      <c r="D104" s="38"/>
      <c r="E104" s="38"/>
      <c r="F104" s="38"/>
      <c r="G104" s="38"/>
      <c r="H104" s="38"/>
      <c r="I104" s="38"/>
      <c r="J104" s="38"/>
      <c r="K104" s="38"/>
      <c r="L104" s="38"/>
      <c r="M104" s="38"/>
      <c r="N104" s="38"/>
      <c r="O104" s="38"/>
      <c r="P104" s="38"/>
    </row>
    <row r="105" spans="1:16" ht="30" customHeight="1">
      <c r="A105" s="40" t="s">
        <v>155</v>
      </c>
      <c r="B105" s="38"/>
      <c r="C105" s="38"/>
      <c r="D105" s="38"/>
      <c r="E105" s="38"/>
      <c r="F105" s="38"/>
      <c r="G105" s="38"/>
      <c r="H105" s="38"/>
      <c r="I105" s="38"/>
      <c r="J105" s="38"/>
      <c r="K105" s="38"/>
      <c r="L105" s="38"/>
      <c r="M105" s="38"/>
      <c r="N105" s="38"/>
      <c r="O105" s="38"/>
      <c r="P105" s="38"/>
    </row>
  </sheetData>
  <mergeCells count="6">
    <mergeCell ref="A1:P1"/>
    <mergeCell ref="A105:P105"/>
    <mergeCell ref="A4:P4"/>
    <mergeCell ref="A3:P3"/>
    <mergeCell ref="A104:P104"/>
    <mergeCell ref="A2:P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sheetViews>
  <sheetFormatPr defaultRowHeight="15"/>
  <cols>
    <col min="1" max="1" width="58" customWidth="1"/>
    <col min="2" max="5" width="16" customWidth="1"/>
    <col min="6" max="7" width="14" customWidth="1"/>
  </cols>
  <sheetData>
    <row r="1" spans="1:7" ht="24.95" customHeight="1">
      <c r="A1" s="39" t="s">
        <v>156</v>
      </c>
      <c r="B1" s="38"/>
      <c r="C1" s="38"/>
      <c r="D1" s="38"/>
      <c r="E1" s="38"/>
      <c r="F1" s="38"/>
      <c r="G1" s="38"/>
    </row>
    <row r="2" spans="1:7" ht="32.1" customHeight="1">
      <c r="A2" s="37" t="s">
        <v>1</v>
      </c>
      <c r="B2" s="38"/>
      <c r="C2" s="38"/>
      <c r="D2" s="38"/>
      <c r="E2" s="38"/>
      <c r="F2" s="38"/>
      <c r="G2" s="38"/>
    </row>
    <row r="3" spans="1:7" ht="45" customHeight="1">
      <c r="A3" s="40" t="s">
        <v>157</v>
      </c>
      <c r="B3" s="38"/>
      <c r="C3" s="38"/>
      <c r="D3" s="38"/>
      <c r="E3" s="38"/>
      <c r="F3" s="38"/>
      <c r="G3" s="38"/>
    </row>
    <row r="5" spans="1:7">
      <c r="A5" s="41" t="s">
        <v>158</v>
      </c>
      <c r="B5" s="38"/>
      <c r="C5" s="38"/>
      <c r="D5" s="38"/>
      <c r="E5" s="38"/>
      <c r="F5" s="38"/>
      <c r="G5" s="38"/>
    </row>
    <row r="6" spans="1:7">
      <c r="A6" s="6" t="s">
        <v>159</v>
      </c>
      <c r="B6" s="9">
        <f>'1-Input'!$B$6</f>
        <v>36000</v>
      </c>
    </row>
    <row r="7" spans="1:7">
      <c r="A7" s="6" t="s">
        <v>160</v>
      </c>
      <c r="B7" s="9">
        <f>'1-Input'!$B$6+'1-Input'!$B$9</f>
        <v>43000</v>
      </c>
    </row>
    <row r="8" spans="1:7">
      <c r="A8" s="6" t="s">
        <v>161</v>
      </c>
      <c r="B8" s="9">
        <f>('1-Input'!$B$6*(1-'P-Parametri'!$B$19))-(MAX(0,(IF(('1-Input'!$B$6*(1-'P-Parametri'!$B$19))&lt;='P-Parametri'!$B$6,'P-Parametri'!$C$6*('1-Input'!$B$6*(1-'P-Parametri'!$B$19)),IF(('1-Input'!$B$6*(1-'P-Parametri'!$B$19))&lt;='P-Parametri'!$B$7,'P-Parametri'!$B$9+'P-Parametri'!$C$7*(('1-Input'!$B$6*(1-'P-Parametri'!$B$19))-'P-Parametri'!$B$6),'P-Parametri'!$B$10+'P-Parametri'!$C$8*(('1-Input'!$B$6*(1-'P-Parametri'!$B$19))-'P-Parametri'!$B$7))))-(IF(('1-Input'!$B$6*(1-'P-Parametri'!$B$19))&lt;='P-Parametri'!$C$12,'P-Parametri'!$B$12,IF(('1-Input'!$B$6*(1-'P-Parametri'!$B$19))&lt;='P-Parametri'!$B$6,'P-Parametri'!$B$13+'P-Parametri'!$C$13*('P-Parametri'!$B$6-('1-Input'!$B$6*(1-'P-Parametri'!$B$19)))/'P-Parametri'!$D$13,IF(('1-Input'!$B$6*(1-'P-Parametri'!$B$19))&lt;='P-Parametri'!$B$7,'P-Parametri'!$B$14*('P-Parametri'!$B$7-('1-Input'!$B$6*(1-'P-Parametri'!$B$19)))/'P-Parametri'!$C$14,0))))-(IF(('1-Input'!$B$6*(1-'P-Parametri'!$B$19))&lt;='P-Parametri'!$C$15,0,IF(('1-Input'!$B$6*(1-'P-Parametri'!$B$19))&lt;='P-Parametri'!$D$15,'P-Parametri'!$B$15,IF(('1-Input'!$B$6*(1-'P-Parametri'!$B$19))&lt;'P-Parametri'!$E$15,'P-Parametri'!$B$15*('P-Parametri'!$E$15-('1-Input'!$B$6*(1-'P-Parametri'!$B$19)))/('P-Parametri'!$E$15-'P-Parametri'!$D$15),0))))))-(IF(MAX(0,(IF(('1-Input'!$B$6*(1-'P-Parametri'!$B$19))&lt;='P-Parametri'!$B$6,'P-Parametri'!$C$6*('1-Input'!$B$6*(1-'P-Parametri'!$B$19)),IF(('1-Input'!$B$6*(1-'P-Parametri'!$B$19))&lt;='P-Parametri'!$B$7,'P-Parametri'!$B$9+'P-Parametri'!$C$7*(('1-Input'!$B$6*(1-'P-Parametri'!$B$19))-'P-Parametri'!$B$6),'P-Parametri'!$B$10+'P-Parametri'!$C$8*(('1-Input'!$B$6*(1-'P-Parametri'!$B$19))-'P-Parametri'!$B$7))))-(IF(('1-Input'!$B$6*(1-'P-Parametri'!$B$19))&lt;='P-Parametri'!$C$12,'P-Parametri'!$B$12,IF(('1-Input'!$B$6*(1-'P-Parametri'!$B$19))&lt;='P-Parametri'!$B$6,'P-Parametri'!$B$13+'P-Parametri'!$C$13*('P-Parametri'!$B$6-('1-Input'!$B$6*(1-'P-Parametri'!$B$19)))/'P-Parametri'!$D$13,IF(('1-Input'!$B$6*(1-'P-Parametri'!$B$19))&lt;='P-Parametri'!$B$7,'P-Parametri'!$B$14*('P-Parametri'!$B$7-('1-Input'!$B$6*(1-'P-Parametri'!$B$19)))/'P-Parametri'!$C$14,0))))-(IF(('1-Input'!$B$6*(1-'P-Parametri'!$B$19))&lt;='P-Parametri'!$C$15,0,IF(('1-Input'!$B$6*(1-'P-Parametri'!$B$19))&lt;='P-Parametri'!$D$15,'P-Parametri'!$B$15,IF(('1-Input'!$B$6*(1-'P-Parametri'!$B$19))&lt;'P-Parametri'!$E$15,'P-Parametri'!$B$15*('P-Parametri'!$E$15-('1-Input'!$B$6*(1-'P-Parametri'!$B$19)))/('P-Parametri'!$E$15-'P-Parametri'!$D$15),0)))))&gt;0,'P-Parametri'!$B$20*('1-Input'!$B$6*(1-'P-Parametri'!$B$19)),0))+(IF(AND(('1-Input'!$B$6*(1-'P-Parametri'!$B$19))&lt;='P-Parametri'!$C$16,(IF(('1-Input'!$B$6*(1-'P-Parametri'!$B$19))&lt;='P-Parametri'!$B$6,'P-Parametri'!$C$6*('1-Input'!$B$6*(1-'P-Parametri'!$B$19)),IF(('1-Input'!$B$6*(1-'P-Parametri'!$B$19))&lt;='P-Parametri'!$B$7,'P-Parametri'!$B$9+'P-Parametri'!$C$7*(('1-Input'!$B$6*(1-'P-Parametri'!$B$19))-'P-Parametri'!$B$6),'P-Parametri'!$B$10+'P-Parametri'!$C$8*(('1-Input'!$B$6*(1-'P-Parametri'!$B$19))-'P-Parametri'!$B$7))))&gt;(IF(('1-Input'!$B$6*(1-'P-Parametri'!$B$19))&lt;='P-Parametri'!$C$12,'P-Parametri'!$B$12,IF(('1-Input'!$B$6*(1-'P-Parametri'!$B$19))&lt;='P-Parametri'!$B$6,'P-Parametri'!$B$13+'P-Parametri'!$C$13*('P-Parametri'!$B$6-('1-Input'!$B$6*(1-'P-Parametri'!$B$19)))/'P-Parametri'!$D$13,IF(('1-Input'!$B$6*(1-'P-Parametri'!$B$19))&lt;='P-Parametri'!$B$7,'P-Parametri'!$B$14*('P-Parametri'!$B$7-('1-Input'!$B$6*(1-'P-Parametri'!$B$19)))/'P-Parametri'!$C$14,0))))-'P-Parametri'!$D$16),'P-Parametri'!$B$16,0))+(IF(('1-Input'!$B$6*(1-'P-Parametri'!$B$19))&gt;'P-Parametri'!$D$18,0,IF(('1-Input'!$B$6*(1-'P-Parametri'!$B$19))&lt;='P-Parametri'!$B$18,'P-Parametri'!$B$17*('1-Input'!$B$6*(1-'P-Parametri'!$B$19)),IF(('1-Input'!$B$6*(1-'P-Parametri'!$B$19))&lt;='P-Parametri'!$C$18,'P-Parametri'!$C$17*('1-Input'!$B$6*(1-'P-Parametri'!$B$19)),'P-Parametri'!$D$17*('1-Input'!$B$6*(1-'P-Parametri'!$B$19))))))</f>
        <v>26465.77381818182</v>
      </c>
    </row>
    <row r="9" spans="1:7">
      <c r="A9" s="6" t="s">
        <v>162</v>
      </c>
      <c r="B9" s="9">
        <f>('3-Aumento'!$B$7*(1-'P-Parametri'!$B$19))-(MAX(0,(IF(('3-Aumento'!$B$7*(1-'P-Parametri'!$B$19))&lt;='P-Parametri'!$B$6,'P-Parametri'!$C$6*('3-Aumento'!$B$7*(1-'P-Parametri'!$B$19)),IF(('3-Aumento'!$B$7*(1-'P-Parametri'!$B$19))&lt;='P-Parametri'!$B$7,'P-Parametri'!$B$9+'P-Parametri'!$C$7*(('3-Aumento'!$B$7*(1-'P-Parametri'!$B$19))-'P-Parametri'!$B$6),'P-Parametri'!$B$10+'P-Parametri'!$C$8*(('3-Aumento'!$B$7*(1-'P-Parametri'!$B$19))-'P-Parametri'!$B$7))))-(IF(('3-Aumento'!$B$7*(1-'P-Parametri'!$B$19))&lt;='P-Parametri'!$C$12,'P-Parametri'!$B$12,IF(('3-Aumento'!$B$7*(1-'P-Parametri'!$B$19))&lt;='P-Parametri'!$B$6,'P-Parametri'!$B$13+'P-Parametri'!$C$13*('P-Parametri'!$B$6-('3-Aumento'!$B$7*(1-'P-Parametri'!$B$19)))/'P-Parametri'!$D$13,IF(('3-Aumento'!$B$7*(1-'P-Parametri'!$B$19))&lt;='P-Parametri'!$B$7,'P-Parametri'!$B$14*('P-Parametri'!$B$7-('3-Aumento'!$B$7*(1-'P-Parametri'!$B$19)))/'P-Parametri'!$C$14,0))))-(IF(('3-Aumento'!$B$7*(1-'P-Parametri'!$B$19))&lt;='P-Parametri'!$C$15,0,IF(('3-Aumento'!$B$7*(1-'P-Parametri'!$B$19))&lt;='P-Parametri'!$D$15,'P-Parametri'!$B$15,IF(('3-Aumento'!$B$7*(1-'P-Parametri'!$B$19))&lt;'P-Parametri'!$E$15,'P-Parametri'!$B$15*('P-Parametri'!$E$15-('3-Aumento'!$B$7*(1-'P-Parametri'!$B$19)))/('P-Parametri'!$E$15-'P-Parametri'!$D$15),0))))))-(IF(MAX(0,(IF(('3-Aumento'!$B$7*(1-'P-Parametri'!$B$19))&lt;='P-Parametri'!$B$6,'P-Parametri'!$C$6*('3-Aumento'!$B$7*(1-'P-Parametri'!$B$19)),IF(('3-Aumento'!$B$7*(1-'P-Parametri'!$B$19))&lt;='P-Parametri'!$B$7,'P-Parametri'!$B$9+'P-Parametri'!$C$7*(('3-Aumento'!$B$7*(1-'P-Parametri'!$B$19))-'P-Parametri'!$B$6),'P-Parametri'!$B$10+'P-Parametri'!$C$8*(('3-Aumento'!$B$7*(1-'P-Parametri'!$B$19))-'P-Parametri'!$B$7))))-(IF(('3-Aumento'!$B$7*(1-'P-Parametri'!$B$19))&lt;='P-Parametri'!$C$12,'P-Parametri'!$B$12,IF(('3-Aumento'!$B$7*(1-'P-Parametri'!$B$19))&lt;='P-Parametri'!$B$6,'P-Parametri'!$B$13+'P-Parametri'!$C$13*('P-Parametri'!$B$6-('3-Aumento'!$B$7*(1-'P-Parametri'!$B$19)))/'P-Parametri'!$D$13,IF(('3-Aumento'!$B$7*(1-'P-Parametri'!$B$19))&lt;='P-Parametri'!$B$7,'P-Parametri'!$B$14*('P-Parametri'!$B$7-('3-Aumento'!$B$7*(1-'P-Parametri'!$B$19)))/'P-Parametri'!$C$14,0))))-(IF(('3-Aumento'!$B$7*(1-'P-Parametri'!$B$19))&lt;='P-Parametri'!$C$15,0,IF(('3-Aumento'!$B$7*(1-'P-Parametri'!$B$19))&lt;='P-Parametri'!$D$15,'P-Parametri'!$B$15,IF(('3-Aumento'!$B$7*(1-'P-Parametri'!$B$19))&lt;'P-Parametri'!$E$15,'P-Parametri'!$B$15*('P-Parametri'!$E$15-('3-Aumento'!$B$7*(1-'P-Parametri'!$B$19)))/('P-Parametri'!$E$15-'P-Parametri'!$D$15),0)))))&gt;0,'P-Parametri'!$B$20*('3-Aumento'!$B$7*(1-'P-Parametri'!$B$19)),0))+(IF(AND(('3-Aumento'!$B$7*(1-'P-Parametri'!$B$19))&lt;='P-Parametri'!$C$16,(IF(('3-Aumento'!$B$7*(1-'P-Parametri'!$B$19))&lt;='P-Parametri'!$B$6,'P-Parametri'!$C$6*('3-Aumento'!$B$7*(1-'P-Parametri'!$B$19)),IF(('3-Aumento'!$B$7*(1-'P-Parametri'!$B$19))&lt;='P-Parametri'!$B$7,'P-Parametri'!$B$9+'P-Parametri'!$C$7*(('3-Aumento'!$B$7*(1-'P-Parametri'!$B$19))-'P-Parametri'!$B$6),'P-Parametri'!$B$10+'P-Parametri'!$C$8*(('3-Aumento'!$B$7*(1-'P-Parametri'!$B$19))-'P-Parametri'!$B$7))))&gt;(IF(('3-Aumento'!$B$7*(1-'P-Parametri'!$B$19))&lt;='P-Parametri'!$C$12,'P-Parametri'!$B$12,IF(('3-Aumento'!$B$7*(1-'P-Parametri'!$B$19))&lt;='P-Parametri'!$B$6,'P-Parametri'!$B$13+'P-Parametri'!$C$13*('P-Parametri'!$B$6-('3-Aumento'!$B$7*(1-'P-Parametri'!$B$19)))/'P-Parametri'!$D$13,IF(('3-Aumento'!$B$7*(1-'P-Parametri'!$B$19))&lt;='P-Parametri'!$B$7,'P-Parametri'!$B$14*('P-Parametri'!$B$7-('3-Aumento'!$B$7*(1-'P-Parametri'!$B$19)))/'P-Parametri'!$C$14,0))))-'P-Parametri'!$D$16),'P-Parametri'!$B$16,0))+(IF(('3-Aumento'!$B$7*(1-'P-Parametri'!$B$19))&gt;'P-Parametri'!$D$18,0,IF(('3-Aumento'!$B$7*(1-'P-Parametri'!$B$19))&lt;='P-Parametri'!$B$18,'P-Parametri'!$B$17*('3-Aumento'!$B$7*(1-'P-Parametri'!$B$19)),IF(('3-Aumento'!$B$7*(1-'P-Parametri'!$B$19))&lt;='P-Parametri'!$C$18,'P-Parametri'!$C$17*('3-Aumento'!$B$7*(1-'P-Parametri'!$B$19)),'P-Parametri'!$D$17*('3-Aumento'!$B$7*(1-'P-Parametri'!$B$19))))))</f>
        <v>29251.164181818182</v>
      </c>
    </row>
    <row r="10" spans="1:7">
      <c r="A10" s="6" t="s">
        <v>163</v>
      </c>
      <c r="B10" s="9">
        <f>'3-Aumento'!$B$9-'3-Aumento'!$B$8</f>
        <v>2785.3903636363611</v>
      </c>
    </row>
    <row r="11" spans="1:7">
      <c r="A11" s="6" t="s">
        <v>164</v>
      </c>
      <c r="B11" s="9">
        <f>'3-Aumento'!$B$10/12</f>
        <v>232.11586363636343</v>
      </c>
    </row>
    <row r="12" spans="1:7">
      <c r="A12" s="6" t="s">
        <v>165</v>
      </c>
      <c r="B12" s="11">
        <f>'3-Aumento'!$B$10/'1-Input'!$B$9</f>
        <v>0.39791290909090876</v>
      </c>
    </row>
    <row r="13" spans="1:7">
      <c r="A13" s="6" t="s">
        <v>166</v>
      </c>
      <c r="B13" s="9">
        <f>'1-Input'!$B$9/12</f>
        <v>583.33333333333337</v>
      </c>
    </row>
    <row r="14" spans="1:7">
      <c r="A14" s="6" t="s">
        <v>167</v>
      </c>
      <c r="B14" s="11">
        <f>'1-Input'!$B$9/'1-Input'!$B$6</f>
        <v>0.19444444444444445</v>
      </c>
    </row>
    <row r="15" spans="1:7" ht="30">
      <c r="A15" s="6" t="s">
        <v>168</v>
      </c>
      <c r="B15" s="9">
        <f>'P-Parametri'!$B$19*'1-Input'!$B$9</f>
        <v>643.29999999999995</v>
      </c>
      <c r="C15" s="11">
        <f>'P-Parametri'!$B$19</f>
        <v>9.1899999999999996E-2</v>
      </c>
    </row>
    <row r="16" spans="1:7">
      <c r="A16" s="6" t="s">
        <v>169</v>
      </c>
      <c r="B16" s="9">
        <f>'1-Input'!$B$9-'3-Aumento'!$B$10-'3-Aumento'!$B$15</f>
        <v>3571.3096363636387</v>
      </c>
      <c r="C16" s="11">
        <f>'3-Aumento'!$B$16/'1-Input'!$B$9</f>
        <v>0.5101870909090912</v>
      </c>
    </row>
    <row r="17" spans="1:7">
      <c r="A17" s="6" t="s">
        <v>170</v>
      </c>
      <c r="B17" s="9">
        <f>'3-Aumento'!$B$10</f>
        <v>2785.3903636363611</v>
      </c>
      <c r="C17" s="11">
        <f>'3-Aumento'!$B$12</f>
        <v>0.39791290909090876</v>
      </c>
    </row>
    <row r="18" spans="1:7">
      <c r="A18" s="6" t="s">
        <v>171</v>
      </c>
      <c r="B18" s="9">
        <f>'3-Aumento'!$B$10+'3-Aumento'!$B$15+'3-Aumento'!$B$16-'1-Input'!$B$9</f>
        <v>0</v>
      </c>
    </row>
    <row r="19" spans="1:7" ht="30" customHeight="1">
      <c r="A19" s="40" t="s">
        <v>172</v>
      </c>
      <c r="B19" s="38"/>
      <c r="C19" s="38"/>
      <c r="D19" s="38"/>
      <c r="E19" s="38"/>
      <c r="F19" s="38"/>
      <c r="G19" s="38"/>
    </row>
    <row r="20" spans="1:7">
      <c r="A20" s="6" t="s">
        <v>173</v>
      </c>
      <c r="B20" s="11">
        <f>1-'3-Aumento'!$B$12</f>
        <v>0.60208709090909118</v>
      </c>
    </row>
    <row r="21" spans="1:7">
      <c r="A21" s="6" t="s">
        <v>174</v>
      </c>
      <c r="B21" s="11">
        <f>'P-Parametri'!$B$19</f>
        <v>9.1899999999999996E-2</v>
      </c>
    </row>
    <row r="22" spans="1:7">
      <c r="A22" s="6" t="s">
        <v>175</v>
      </c>
      <c r="B22" s="11">
        <f>(1-'P-Parametri'!$B$19)*'P-Parametri'!$C$7</f>
        <v>0.29967300000000002</v>
      </c>
    </row>
    <row r="23" spans="1:7">
      <c r="A23" s="6" t="s">
        <v>176</v>
      </c>
      <c r="B23" s="11">
        <f>(1-'P-Parametri'!$B$19)*'P-Parametri'!$B$14/'P-Parametri'!$C$14</f>
        <v>7.8839590909090915E-2</v>
      </c>
    </row>
    <row r="24" spans="1:7">
      <c r="A24" s="6" t="s">
        <v>177</v>
      </c>
      <c r="B24" s="11">
        <f>(1-'P-Parametri'!$B$19)*'P-Parametri'!$B$15/('P-Parametri'!$E$15-'P-Parametri'!$D$15)</f>
        <v>0.1135125</v>
      </c>
    </row>
    <row r="25" spans="1:7">
      <c r="A25" s="6" t="s">
        <v>178</v>
      </c>
      <c r="B25" s="11">
        <f>(1-'P-Parametri'!$B$19)*'P-Parametri'!$B$20</f>
        <v>1.8162000000000001E-2</v>
      </c>
    </row>
    <row r="26" spans="1:7">
      <c r="A26" s="6" t="s">
        <v>179</v>
      </c>
      <c r="B26" s="11">
        <f>SUM(B21:B25)</f>
        <v>0.60208709090909096</v>
      </c>
    </row>
    <row r="27" spans="1:7">
      <c r="A27" s="6" t="s">
        <v>180</v>
      </c>
      <c r="B27" s="21">
        <f>B26-'3-Aumento'!$B$20</f>
        <v>0</v>
      </c>
    </row>
    <row r="28" spans="1:7" ht="30" customHeight="1">
      <c r="A28" s="40" t="s">
        <v>181</v>
      </c>
      <c r="B28" s="38"/>
      <c r="C28" s="38"/>
      <c r="D28" s="38"/>
      <c r="E28" s="38"/>
      <c r="F28" s="38"/>
      <c r="G28" s="38"/>
    </row>
    <row r="30" spans="1:7">
      <c r="A30" s="41" t="s">
        <v>182</v>
      </c>
      <c r="B30" s="38"/>
      <c r="C30" s="38"/>
      <c r="D30" s="38"/>
      <c r="E30" s="38"/>
      <c r="F30" s="38"/>
      <c r="G30" s="38"/>
    </row>
    <row r="31" spans="1:7" ht="30">
      <c r="A31" s="6" t="s">
        <v>183</v>
      </c>
      <c r="B31" s="22">
        <v>27</v>
      </c>
      <c r="C31" s="22">
        <v>53</v>
      </c>
      <c r="D31" s="22">
        <v>59</v>
      </c>
      <c r="E31" s="22">
        <v>61</v>
      </c>
    </row>
    <row r="32" spans="1:7">
      <c r="A32" s="6" t="s">
        <v>184</v>
      </c>
      <c r="B32" s="10">
        <v>5</v>
      </c>
      <c r="C32" s="10">
        <v>7</v>
      </c>
    </row>
    <row r="33" spans="1:7">
      <c r="A33" s="6" t="s">
        <v>185</v>
      </c>
      <c r="B33" s="13" t="str">
        <f>IF(AND('1-Input'!$B$16="privato",'1-Input'!$B$29&lt;='P-Parametri'!$B$24,'1-Input'!$B$17='P-Parametri'!$B$25),"AMMESSO","NON AMMESSO")</f>
        <v>AMMESSO</v>
      </c>
    </row>
    <row r="34" spans="1:7">
      <c r="A34" s="6" t="s">
        <v>186</v>
      </c>
      <c r="B34" s="9">
        <f>'3-Aumento'!$B$31*'3-Aumento'!$B$32+('3-Aumento'!$B$31+'3-Aumento'!$C$31)*'3-Aumento'!$C$32</f>
        <v>695</v>
      </c>
    </row>
    <row r="35" spans="1:7">
      <c r="A35" s="6" t="s">
        <v>187</v>
      </c>
      <c r="B35" s="9">
        <f>'3-Aumento'!$B$34*(1-'P-Parametri'!$B$19)</f>
        <v>631.12950000000001</v>
      </c>
    </row>
    <row r="36" spans="1:7">
      <c r="A36" s="6" t="s">
        <v>188</v>
      </c>
      <c r="B36" s="9">
        <f>'3-Aumento'!$B$35*'P-Parametri'!$B$23</f>
        <v>31.556475000000002</v>
      </c>
    </row>
    <row r="37" spans="1:7">
      <c r="A37" s="6" t="s">
        <v>189</v>
      </c>
      <c r="B37" s="9">
        <f>'3-Aumento'!$B$35-'3-Aumento'!$B$36</f>
        <v>599.57302500000003</v>
      </c>
      <c r="C37" s="11">
        <f>'3-Aumento'!$B$37/'3-Aumento'!$B$34</f>
        <v>0.86269499999999999</v>
      </c>
    </row>
    <row r="38" spans="1:7">
      <c r="A38" s="6" t="s">
        <v>190</v>
      </c>
      <c r="B38" s="11">
        <f>(1-'P-Parametri'!$B$19)*(1-'P-Parametri'!$B$23)</f>
        <v>0.86269499999999999</v>
      </c>
    </row>
    <row r="39" spans="1:7" ht="30">
      <c r="A39" s="6" t="s">
        <v>191</v>
      </c>
      <c r="B39" s="9">
        <f>'3-Aumento'!$B$34*(1-('P-Parametri'!$B$19+(1-'P-Parametri'!$B$19)*((IF(('1-Input'!$B$6*(1-'P-Parametri'!$B$19))&lt;='P-Parametri'!$B$6,'P-Parametri'!$C$6,IF(('1-Input'!$B$6*(1-'P-Parametri'!$B$19))&lt;='P-Parametri'!$B$7,'P-Parametri'!$C$7,'P-Parametri'!$C$8)))+(IF(('1-Input'!$B$6*(1-'P-Parametri'!$B$19))&lt;='P-Parametri'!$C$12,0,IF(('1-Input'!$B$6*(1-'P-Parametri'!$B$19))&lt;='P-Parametri'!$B$6,'P-Parametri'!$C$13/'P-Parametri'!$D$13,IF(('1-Input'!$B$6*(1-'P-Parametri'!$B$19))&lt;='P-Parametri'!$B$7,'P-Parametri'!$B$14/'P-Parametri'!$C$14,0))))+(IF(AND(('1-Input'!$B$6*(1-'P-Parametri'!$B$19))&gt;'P-Parametri'!$D$15,('1-Input'!$B$6*(1-'P-Parametri'!$B$19))&lt;'P-Parametri'!$E$15),'P-Parametri'!$B$15/('P-Parametri'!$E$15-'P-Parametri'!$D$15),0))+'P-Parametri'!$B$20)))</f>
        <v>276.54947181818176</v>
      </c>
      <c r="C39" s="11">
        <f>'3-Aumento'!$B$39/'3-Aumento'!$B$34</f>
        <v>0.39791290909090898</v>
      </c>
    </row>
    <row r="40" spans="1:7" ht="30">
      <c r="A40" s="6" t="s">
        <v>192</v>
      </c>
      <c r="B40" s="9">
        <f>(('1-Input'!$B$6+'3-Aumento'!$B$34)*(1-'P-Parametri'!$B$19))-(MAX(0,(IF((('1-Input'!$B$6+'3-Aumento'!$B$34)*(1-'P-Parametri'!$B$19))&lt;='P-Parametri'!$B$6,'P-Parametri'!$C$6*(('1-Input'!$B$6+'3-Aumento'!$B$34)*(1-'P-Parametri'!$B$19)),IF((('1-Input'!$B$6+'3-Aumento'!$B$34)*(1-'P-Parametri'!$B$19))&lt;='P-Parametri'!$B$7,'P-Parametri'!$B$9+'P-Parametri'!$C$7*((('1-Input'!$B$6+'3-Aumento'!$B$34)*(1-'P-Parametri'!$B$19))-'P-Parametri'!$B$6),'P-Parametri'!$B$10+'P-Parametri'!$C$8*((('1-Input'!$B$6+'3-Aumento'!$B$34)*(1-'P-Parametri'!$B$19))-'P-Parametri'!$B$7))))-(IF((('1-Input'!$B$6+'3-Aumento'!$B$34)*(1-'P-Parametri'!$B$19))&lt;='P-Parametri'!$C$12,'P-Parametri'!$B$12,IF((('1-Input'!$B$6+'3-Aumento'!$B$34)*(1-'P-Parametri'!$B$19))&lt;='P-Parametri'!$B$6,'P-Parametri'!$B$13+'P-Parametri'!$C$13*('P-Parametri'!$B$6-(('1-Input'!$B$6+'3-Aumento'!$B$34)*(1-'P-Parametri'!$B$19)))/'P-Parametri'!$D$13,IF((('1-Input'!$B$6+'3-Aumento'!$B$34)*(1-'P-Parametri'!$B$19))&lt;='P-Parametri'!$B$7,'P-Parametri'!$B$14*('P-Parametri'!$B$7-(('1-Input'!$B$6+'3-Aumento'!$B$34)*(1-'P-Parametri'!$B$19)))/'P-Parametri'!$C$14,0))))-(IF((('1-Input'!$B$6+'3-Aumento'!$B$34)*(1-'P-Parametri'!$B$19))&lt;='P-Parametri'!$C$15,0,IF((('1-Input'!$B$6+'3-Aumento'!$B$34)*(1-'P-Parametri'!$B$19))&lt;='P-Parametri'!$D$15,'P-Parametri'!$B$15,IF((('1-Input'!$B$6+'3-Aumento'!$B$34)*(1-'P-Parametri'!$B$19))&lt;'P-Parametri'!$E$15,'P-Parametri'!$B$15*('P-Parametri'!$E$15-(('1-Input'!$B$6+'3-Aumento'!$B$34)*(1-'P-Parametri'!$B$19)))/('P-Parametri'!$E$15-'P-Parametri'!$D$15),0))))))-(IF(MAX(0,(IF((('1-Input'!$B$6+'3-Aumento'!$B$34)*(1-'P-Parametri'!$B$19))&lt;='P-Parametri'!$B$6,'P-Parametri'!$C$6*(('1-Input'!$B$6+'3-Aumento'!$B$34)*(1-'P-Parametri'!$B$19)),IF((('1-Input'!$B$6+'3-Aumento'!$B$34)*(1-'P-Parametri'!$B$19))&lt;='P-Parametri'!$B$7,'P-Parametri'!$B$9+'P-Parametri'!$C$7*((('1-Input'!$B$6+'3-Aumento'!$B$34)*(1-'P-Parametri'!$B$19))-'P-Parametri'!$B$6),'P-Parametri'!$B$10+'P-Parametri'!$C$8*((('1-Input'!$B$6+'3-Aumento'!$B$34)*(1-'P-Parametri'!$B$19))-'P-Parametri'!$B$7))))-(IF((('1-Input'!$B$6+'3-Aumento'!$B$34)*(1-'P-Parametri'!$B$19))&lt;='P-Parametri'!$C$12,'P-Parametri'!$B$12,IF((('1-Input'!$B$6+'3-Aumento'!$B$34)*(1-'P-Parametri'!$B$19))&lt;='P-Parametri'!$B$6,'P-Parametri'!$B$13+'P-Parametri'!$C$13*('P-Parametri'!$B$6-(('1-Input'!$B$6+'3-Aumento'!$B$34)*(1-'P-Parametri'!$B$19)))/'P-Parametri'!$D$13,IF((('1-Input'!$B$6+'3-Aumento'!$B$34)*(1-'P-Parametri'!$B$19))&lt;='P-Parametri'!$B$7,'P-Parametri'!$B$14*('P-Parametri'!$B$7-(('1-Input'!$B$6+'3-Aumento'!$B$34)*(1-'P-Parametri'!$B$19)))/'P-Parametri'!$C$14,0))))-(IF((('1-Input'!$B$6+'3-Aumento'!$B$34)*(1-'P-Parametri'!$B$19))&lt;='P-Parametri'!$C$15,0,IF((('1-Input'!$B$6+'3-Aumento'!$B$34)*(1-'P-Parametri'!$B$19))&lt;='P-Parametri'!$D$15,'P-Parametri'!$B$15,IF((('1-Input'!$B$6+'3-Aumento'!$B$34)*(1-'P-Parametri'!$B$19))&lt;'P-Parametri'!$E$15,'P-Parametri'!$B$15*('P-Parametri'!$E$15-(('1-Input'!$B$6+'3-Aumento'!$B$34)*(1-'P-Parametri'!$B$19)))/('P-Parametri'!$E$15-'P-Parametri'!$D$15),0)))))&gt;0,'P-Parametri'!$B$20*(('1-Input'!$B$6+'3-Aumento'!$B$34)*(1-'P-Parametri'!$B$19)),0))+(IF(AND((('1-Input'!$B$6+'3-Aumento'!$B$34)*(1-'P-Parametri'!$B$19))&lt;='P-Parametri'!$C$16,(IF((('1-Input'!$B$6+'3-Aumento'!$B$34)*(1-'P-Parametri'!$B$19))&lt;='P-Parametri'!$B$6,'P-Parametri'!$C$6*(('1-Input'!$B$6+'3-Aumento'!$B$34)*(1-'P-Parametri'!$B$19)),IF((('1-Input'!$B$6+'3-Aumento'!$B$34)*(1-'P-Parametri'!$B$19))&lt;='P-Parametri'!$B$7,'P-Parametri'!$B$9+'P-Parametri'!$C$7*((('1-Input'!$B$6+'3-Aumento'!$B$34)*(1-'P-Parametri'!$B$19))-'P-Parametri'!$B$6),'P-Parametri'!$B$10+'P-Parametri'!$C$8*((('1-Input'!$B$6+'3-Aumento'!$B$34)*(1-'P-Parametri'!$B$19))-'P-Parametri'!$B$7))))&gt;(IF((('1-Input'!$B$6+'3-Aumento'!$B$34)*(1-'P-Parametri'!$B$19))&lt;='P-Parametri'!$C$12,'P-Parametri'!$B$12,IF((('1-Input'!$B$6+'3-Aumento'!$B$34)*(1-'P-Parametri'!$B$19))&lt;='P-Parametri'!$B$6,'P-Parametri'!$B$13+'P-Parametri'!$C$13*('P-Parametri'!$B$6-(('1-Input'!$B$6+'3-Aumento'!$B$34)*(1-'P-Parametri'!$B$19)))/'P-Parametri'!$D$13,IF((('1-Input'!$B$6+'3-Aumento'!$B$34)*(1-'P-Parametri'!$B$19))&lt;='P-Parametri'!$B$7,'P-Parametri'!$B$14*('P-Parametri'!$B$7-(('1-Input'!$B$6+'3-Aumento'!$B$34)*(1-'P-Parametri'!$B$19)))/'P-Parametri'!$C$14,0))))-'P-Parametri'!$D$16),'P-Parametri'!$B$16,0))+(IF((('1-Input'!$B$6+'3-Aumento'!$B$34)*(1-'P-Parametri'!$B$19))&gt;'P-Parametri'!$D$18,0,IF((('1-Input'!$B$6+'3-Aumento'!$B$34)*(1-'P-Parametri'!$B$19))&lt;='P-Parametri'!$B$18,'P-Parametri'!$B$17*(('1-Input'!$B$6+'3-Aumento'!$B$34)*(1-'P-Parametri'!$B$19)),IF((('1-Input'!$B$6+'3-Aumento'!$B$34)*(1-'P-Parametri'!$B$19))&lt;='P-Parametri'!$C$18,'P-Parametri'!$C$17*(('1-Input'!$B$6+'3-Aumento'!$B$34)*(1-'P-Parametri'!$B$19)),'P-Parametri'!$D$17*(('1-Input'!$B$6+'3-Aumento'!$B$34)*(1-'P-Parametri'!$B$19))))))-'3-Aumento'!$B$8</f>
        <v>276.54947181817988</v>
      </c>
    </row>
    <row r="41" spans="1:7">
      <c r="A41" s="6" t="s">
        <v>193</v>
      </c>
      <c r="B41" s="9">
        <f>'3-Aumento'!$B$37-'3-Aumento'!$B$39</f>
        <v>323.02355318181827</v>
      </c>
    </row>
    <row r="42" spans="1:7">
      <c r="A42" s="6" t="s">
        <v>194</v>
      </c>
      <c r="B42" s="23">
        <f>'3-Aumento'!$B$37/'3-Aumento'!$B$39</f>
        <v>2.1680497925311211</v>
      </c>
    </row>
    <row r="43" spans="1:7">
      <c r="A43" s="6" t="s">
        <v>195</v>
      </c>
      <c r="B43" s="12">
        <f>LN(('1-Input'!$B$28+'1-Input'!$B$25/'1-Input'!$B$11)/('1-Input'!$B$8+'1-Input'!$B$25/'1-Input'!$B$11))/LN(1+'1-Input'!$B$11)-(LN(('1-Input'!$B$28+'1-Input'!$B$25/'1-Input'!$B$11)/(('1-Input'!$B$8+'3-Aumento'!$B$41/(1+'1-Input'!$B$11))+'1-Input'!$B$25/'1-Input'!$B$11))/LN(1+'1-Input'!$B$11))</f>
        <v>5.0923498910378839E-2</v>
      </c>
    </row>
    <row r="44" spans="1:7">
      <c r="A44" s="6" t="s">
        <v>196</v>
      </c>
      <c r="B44" s="14">
        <f>B43*365</f>
        <v>18.587077102288276</v>
      </c>
    </row>
    <row r="45" spans="1:7" ht="45" customHeight="1">
      <c r="A45" s="40" t="s">
        <v>197</v>
      </c>
      <c r="B45" s="38"/>
      <c r="C45" s="38"/>
      <c r="D45" s="38"/>
      <c r="E45" s="38"/>
      <c r="F45" s="38"/>
      <c r="G45" s="38"/>
    </row>
    <row r="46" spans="1:7" ht="30" customHeight="1">
      <c r="A46" s="40" t="s">
        <v>198</v>
      </c>
      <c r="B46" s="38"/>
      <c r="C46" s="38"/>
      <c r="D46" s="38"/>
      <c r="E46" s="38"/>
      <c r="F46" s="38"/>
      <c r="G46" s="38"/>
    </row>
    <row r="47" spans="1:7" ht="30" customHeight="1">
      <c r="A47" s="40" t="s">
        <v>199</v>
      </c>
      <c r="B47" s="38"/>
      <c r="C47" s="38"/>
      <c r="D47" s="38"/>
      <c r="E47" s="38"/>
      <c r="F47" s="38"/>
      <c r="G47" s="38"/>
    </row>
    <row r="48" spans="1:7" ht="45" customHeight="1">
      <c r="A48" s="40" t="s">
        <v>200</v>
      </c>
      <c r="B48" s="38"/>
      <c r="C48" s="38"/>
      <c r="D48" s="38"/>
      <c r="E48" s="38"/>
      <c r="F48" s="38"/>
      <c r="G48" s="38"/>
    </row>
    <row r="49" spans="1:7">
      <c r="A49" s="6" t="s">
        <v>201</v>
      </c>
      <c r="B49" s="9">
        <f>'3-Aumento'!$B$34*(1-'P-Parametri'!$B$19)-'3-Aumento'!$B$34*'P-Parametri'!$B$23</f>
        <v>596.37950000000001</v>
      </c>
    </row>
    <row r="50" spans="1:7">
      <c r="A50" s="6" t="s">
        <v>202</v>
      </c>
      <c r="B50" s="11">
        <f>B49/'3-Aumento'!$B$37-1</f>
        <v>-5.3263320176888396E-3</v>
      </c>
    </row>
    <row r="52" spans="1:7">
      <c r="A52" s="41" t="s">
        <v>203</v>
      </c>
      <c r="B52" s="38"/>
      <c r="C52" s="38"/>
      <c r="D52" s="38"/>
      <c r="E52" s="38"/>
      <c r="F52" s="38"/>
      <c r="G52" s="38"/>
    </row>
    <row r="53" spans="1:7" ht="60" customHeight="1">
      <c r="A53" s="40" t="s">
        <v>204</v>
      </c>
      <c r="B53" s="38"/>
      <c r="C53" s="38"/>
      <c r="D53" s="38"/>
      <c r="E53" s="38"/>
      <c r="F53" s="38"/>
      <c r="G53" s="38"/>
    </row>
    <row r="54" spans="1:7" ht="30">
      <c r="A54" s="6" t="s">
        <v>205</v>
      </c>
      <c r="B54" s="9">
        <f>'1-Input'!$B$22+'3-Aumento'!$B$35</f>
        <v>33322.729500000001</v>
      </c>
    </row>
    <row r="55" spans="1:7">
      <c r="A55" s="6" t="s">
        <v>206</v>
      </c>
      <c r="B55" s="13" t="str">
        <f>IF(B54&lt;='P-Parametri'!$C$16,"SI — va applicato il test di capienza","NO — il reddito supera la soglia del trattamento integrativo")</f>
        <v>NO — il reddito supera la soglia del trattamento integrativo</v>
      </c>
    </row>
  </sheetData>
  <mergeCells count="13">
    <mergeCell ref="A1:G1"/>
    <mergeCell ref="A45:G45"/>
    <mergeCell ref="A3:G3"/>
    <mergeCell ref="A53:G53"/>
    <mergeCell ref="A48:G48"/>
    <mergeCell ref="A30:G30"/>
    <mergeCell ref="A2:G2"/>
    <mergeCell ref="A52:G52"/>
    <mergeCell ref="A28:G28"/>
    <mergeCell ref="A19:G19"/>
    <mergeCell ref="A47:G47"/>
    <mergeCell ref="A5:G5"/>
    <mergeCell ref="A46:G4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2"/>
  <sheetViews>
    <sheetView workbookViewId="0"/>
  </sheetViews>
  <sheetFormatPr defaultRowHeight="15"/>
  <cols>
    <col min="1" max="1" width="52" customWidth="1"/>
    <col min="2" max="7" width="16" customWidth="1"/>
    <col min="8" max="8" width="14" customWidth="1"/>
  </cols>
  <sheetData>
    <row r="1" spans="1:8" ht="24.95" customHeight="1">
      <c r="A1" s="39" t="s">
        <v>207</v>
      </c>
      <c r="B1" s="38"/>
      <c r="C1" s="38"/>
      <c r="D1" s="38"/>
      <c r="E1" s="38"/>
      <c r="F1" s="38"/>
      <c r="G1" s="38"/>
      <c r="H1" s="38"/>
    </row>
    <row r="2" spans="1:8" ht="32.1" customHeight="1">
      <c r="A2" s="37" t="s">
        <v>1</v>
      </c>
      <c r="B2" s="38"/>
      <c r="C2" s="38"/>
      <c r="D2" s="38"/>
      <c r="E2" s="38"/>
      <c r="F2" s="38"/>
      <c r="G2" s="38"/>
      <c r="H2" s="38"/>
    </row>
    <row r="3" spans="1:8" ht="45" customHeight="1">
      <c r="A3" s="40" t="s">
        <v>208</v>
      </c>
      <c r="B3" s="38"/>
      <c r="C3" s="38"/>
      <c r="D3" s="38"/>
      <c r="E3" s="38"/>
      <c r="F3" s="38"/>
      <c r="G3" s="38"/>
      <c r="H3" s="38"/>
    </row>
    <row r="5" spans="1:8">
      <c r="A5" s="41" t="s">
        <v>209</v>
      </c>
      <c r="B5" s="38"/>
      <c r="C5" s="38"/>
      <c r="D5" s="38"/>
      <c r="E5" s="38"/>
      <c r="F5" s="38"/>
      <c r="G5" s="38"/>
      <c r="H5" s="38"/>
    </row>
    <row r="7" spans="1:8">
      <c r="A7" s="6" t="s">
        <v>210</v>
      </c>
      <c r="B7" s="9">
        <f>28000/(1-'P-Parametri'!$B$19)</f>
        <v>30833.608633410418</v>
      </c>
    </row>
    <row r="8" spans="1:8" ht="30">
      <c r="A8" s="6" t="s">
        <v>211</v>
      </c>
      <c r="B8" s="9">
        <f>32000/(1-'P-Parametri'!$B$19)</f>
        <v>35238.409866754759</v>
      </c>
    </row>
    <row r="9" spans="1:8" ht="30">
      <c r="A9" s="6" t="s">
        <v>212</v>
      </c>
      <c r="B9" s="9">
        <f>33000/(1-'P-Parametri'!$B$19)</f>
        <v>36339.610175090849</v>
      </c>
    </row>
    <row r="10" spans="1:8" ht="30">
      <c r="A10" s="6" t="s">
        <v>213</v>
      </c>
      <c r="B10" s="9">
        <f>40000/(1-'P-Parametri'!$B$19)</f>
        <v>44048.012333443454</v>
      </c>
    </row>
    <row r="11" spans="1:8">
      <c r="A11" s="6" t="s">
        <v>214</v>
      </c>
      <c r="B11" s="9">
        <f>'4-Rapporto-RAL'!$B$9-'4-Rapporto-RAL'!$B$8</f>
        <v>1101.2003083360905</v>
      </c>
    </row>
    <row r="12" spans="1:8">
      <c r="A12" s="6" t="s">
        <v>215</v>
      </c>
      <c r="B12" s="9">
        <f>'4-Rapporto-RAL'!$B$10-'4-Rapporto-RAL'!$B$8</f>
        <v>8809.6024666886951</v>
      </c>
    </row>
    <row r="13" spans="1:8">
      <c r="A13" s="6" t="s">
        <v>216</v>
      </c>
      <c r="B13" s="16">
        <f>('4-Rapporto-RAL'!$B$9-'4-Rapporto-RAL'!$B$8)/('4-Rapporto-RAL'!$B$10-'4-Rapporto-RAL'!$B$8)</f>
        <v>0.12500000000000042</v>
      </c>
    </row>
    <row r="14" spans="1:8" ht="30" customHeight="1">
      <c r="A14" s="40" t="s">
        <v>217</v>
      </c>
      <c r="B14" s="38"/>
      <c r="C14" s="38"/>
      <c r="D14" s="38"/>
      <c r="E14" s="38"/>
      <c r="F14" s="38"/>
      <c r="G14" s="38"/>
      <c r="H14" s="38"/>
    </row>
    <row r="16" spans="1:8">
      <c r="A16" s="41" t="s">
        <v>218</v>
      </c>
      <c r="B16" s="38"/>
      <c r="C16" s="38"/>
      <c r="D16" s="38"/>
      <c r="E16" s="38"/>
      <c r="F16" s="38"/>
      <c r="G16" s="38"/>
      <c r="H16" s="38"/>
    </row>
    <row r="17" spans="1:8" ht="30">
      <c r="A17" s="15" t="s">
        <v>219</v>
      </c>
      <c r="B17" s="15" t="s">
        <v>220</v>
      </c>
      <c r="C17" s="15" t="s">
        <v>221</v>
      </c>
      <c r="D17" s="15" t="s">
        <v>222</v>
      </c>
      <c r="E17" s="15" t="s">
        <v>223</v>
      </c>
      <c r="F17" s="15" t="s">
        <v>224</v>
      </c>
      <c r="G17" s="15" t="s">
        <v>225</v>
      </c>
    </row>
    <row r="18" spans="1:8">
      <c r="A18" s="6" t="s">
        <v>226</v>
      </c>
      <c r="B18" s="9">
        <f>0</f>
        <v>0</v>
      </c>
      <c r="C18" s="9">
        <f>'4-Rapporto-RAL'!$B$7</f>
        <v>30833.608633410418</v>
      </c>
      <c r="D18" s="11">
        <f>'P-Parametri'!$B$19+(1-'P-Parametri'!$B$19)*((IF((30000*(1-'P-Parametri'!$B$19))&lt;='P-Parametri'!$B$6,'P-Parametri'!$C$6,IF((30000*(1-'P-Parametri'!$B$19))&lt;='P-Parametri'!$B$7,'P-Parametri'!$C$7,'P-Parametri'!$C$8)))+(IF((30000*(1-'P-Parametri'!$B$19))&lt;='P-Parametri'!$C$12,0,IF((30000*(1-'P-Parametri'!$B$19))&lt;='P-Parametri'!$B$6,'P-Parametri'!$C$13/'P-Parametri'!$D$13,IF((30000*(1-'P-Parametri'!$B$19))&lt;='P-Parametri'!$B$7,'P-Parametri'!$B$14/'P-Parametri'!$C$14,0))))+(IF(AND((30000*(1-'P-Parametri'!$B$19))&gt;'P-Parametri'!$D$15,(30000*(1-'P-Parametri'!$B$19))&lt;'P-Parametri'!$E$15),'P-Parametri'!$B$15/('P-Parametri'!$E$15-'P-Parametri'!$D$15),0))+'P-Parametri'!$B$20)</f>
        <v>0.40205107692307696</v>
      </c>
      <c r="E18" s="11">
        <f>1-D18</f>
        <v>0.59794892307692304</v>
      </c>
      <c r="F18" s="11">
        <f>(1-'P-Parametri'!$B$19)*(1-'P-Parametri'!$B$23)</f>
        <v>0.86269499999999999</v>
      </c>
      <c r="G18" s="23">
        <f>F18/E18</f>
        <v>1.4427570093457944</v>
      </c>
    </row>
    <row r="19" spans="1:8">
      <c r="A19" s="6" t="s">
        <v>227</v>
      </c>
      <c r="B19" s="9">
        <f>'4-Rapporto-RAL'!$B$7</f>
        <v>30833.608633410418</v>
      </c>
      <c r="C19" s="9">
        <f>'4-Rapporto-RAL'!$B$8</f>
        <v>35238.409866754759</v>
      </c>
      <c r="D19" s="11">
        <f>'P-Parametri'!$B$19+(1-'P-Parametri'!$B$19)*((IF((33000*(1-'P-Parametri'!$B$19))&lt;='P-Parametri'!$B$6,'P-Parametri'!$C$6,IF((33000*(1-'P-Parametri'!$B$19))&lt;='P-Parametri'!$B$7,'P-Parametri'!$C$7,'P-Parametri'!$C$8)))+(IF((33000*(1-'P-Parametri'!$B$19))&lt;='P-Parametri'!$C$12,0,IF((33000*(1-'P-Parametri'!$B$19))&lt;='P-Parametri'!$B$6,'P-Parametri'!$C$13/'P-Parametri'!$D$13,IF((33000*(1-'P-Parametri'!$B$19))&lt;='P-Parametri'!$B$7,'P-Parametri'!$B$14/'P-Parametri'!$C$14,0))))+(IF(AND((33000*(1-'P-Parametri'!$B$19))&gt;'P-Parametri'!$D$15,(33000*(1-'P-Parametri'!$B$19))&lt;'P-Parametri'!$E$15),'P-Parametri'!$B$15/('P-Parametri'!$E$15-'P-Parametri'!$D$15),0))+'P-Parametri'!$B$20)</f>
        <v>0.48857459090909094</v>
      </c>
      <c r="E19" s="11">
        <f>1-D19</f>
        <v>0.51142540909090906</v>
      </c>
      <c r="F19" s="11">
        <f>(1-'P-Parametri'!$B$19)*(1-'P-Parametri'!$B$23)</f>
        <v>0.86269499999999999</v>
      </c>
      <c r="G19" s="23">
        <f>F19/E19</f>
        <v>1.6868442292171106</v>
      </c>
    </row>
    <row r="20" spans="1:8">
      <c r="A20" s="24" t="s">
        <v>228</v>
      </c>
      <c r="B20" s="25">
        <f>'4-Rapporto-RAL'!$B$8</f>
        <v>35238.409866754759</v>
      </c>
      <c r="C20" s="25">
        <f>'4-Rapporto-RAL'!$B$9</f>
        <v>36339.610175090849</v>
      </c>
      <c r="D20" s="26">
        <f>'P-Parametri'!$B$19+(1-'P-Parametri'!$B$19)*((IF((36000*(1-'P-Parametri'!$B$19))&lt;='P-Parametri'!$B$6,'P-Parametri'!$C$6,IF((36000*(1-'P-Parametri'!$B$19))&lt;='P-Parametri'!$B$7,'P-Parametri'!$C$7,'P-Parametri'!$C$8)))+(IF((36000*(1-'P-Parametri'!$B$19))&lt;='P-Parametri'!$C$12,0,IF((36000*(1-'P-Parametri'!$B$19))&lt;='P-Parametri'!$B$6,'P-Parametri'!$C$13/'P-Parametri'!$D$13,IF((36000*(1-'P-Parametri'!$B$19))&lt;='P-Parametri'!$B$7,'P-Parametri'!$B$14/'P-Parametri'!$C$14,0))))+(IF(AND((36000*(1-'P-Parametri'!$B$19))&gt;'P-Parametri'!$D$15,(36000*(1-'P-Parametri'!$B$19))&lt;'P-Parametri'!$E$15),'P-Parametri'!$B$15/('P-Parametri'!$E$15-'P-Parametri'!$D$15),0))+'P-Parametri'!$B$20)</f>
        <v>0.60208709090909096</v>
      </c>
      <c r="E20" s="26">
        <f>1-D20</f>
        <v>0.39791290909090904</v>
      </c>
      <c r="F20" s="26">
        <f>(1-'P-Parametri'!$B$19)*(1-'P-Parametri'!$B$23)</f>
        <v>0.86269499999999999</v>
      </c>
      <c r="G20" s="27">
        <f>F20/E20</f>
        <v>2.1680497925311206</v>
      </c>
    </row>
    <row r="21" spans="1:8">
      <c r="A21" s="6" t="s">
        <v>229</v>
      </c>
      <c r="B21" s="9">
        <f>'4-Rapporto-RAL'!$B$9</f>
        <v>36339.610175090849</v>
      </c>
      <c r="G21" s="2" t="s">
        <v>230</v>
      </c>
    </row>
    <row r="22" spans="1:8">
      <c r="A22" s="6" t="s">
        <v>231</v>
      </c>
      <c r="B22" s="9">
        <f>'1-Input'!$B$29</f>
        <v>32691.599999999999</v>
      </c>
    </row>
    <row r="23" spans="1:8">
      <c r="A23" s="6" t="s">
        <v>232</v>
      </c>
      <c r="B23" s="9">
        <f>'P-Parametri'!$B$24-'1-Input'!$B$29</f>
        <v>308.40000000000146</v>
      </c>
    </row>
    <row r="24" spans="1:8" ht="75">
      <c r="A24" s="6" t="s">
        <v>233</v>
      </c>
      <c r="B24" s="23">
        <f>((1-'P-Parametri'!$B$19)*(1-'P-Parametri'!$B$23))/(1-('P-Parametri'!$B$19+(1-'P-Parametri'!$B$19)*((IF((('1-Input'!$B$6-100)*(1-'P-Parametri'!$B$19))&lt;='P-Parametri'!$B$6,'P-Parametri'!$C$6,IF((('1-Input'!$B$6-100)*(1-'P-Parametri'!$B$19))&lt;='P-Parametri'!$B$7,'P-Parametri'!$C$7,'P-Parametri'!$C$8)))+(IF((('1-Input'!$B$6-100)*(1-'P-Parametri'!$B$19))&lt;='P-Parametri'!$C$12,0,IF((('1-Input'!$B$6-100)*(1-'P-Parametri'!$B$19))&lt;='P-Parametri'!$B$6,'P-Parametri'!$C$13/'P-Parametri'!$D$13,IF((('1-Input'!$B$6-100)*(1-'P-Parametri'!$B$19))&lt;='P-Parametri'!$B$7,'P-Parametri'!$B$14/'P-Parametri'!$C$14,0))))+(IF(AND((('1-Input'!$B$6-100)*(1-'P-Parametri'!$B$19))&gt;'P-Parametri'!$D$15,(('1-Input'!$B$6-100)*(1-'P-Parametri'!$B$19))&lt;'P-Parametri'!$E$15),'P-Parametri'!$B$15/('P-Parametri'!$E$15-'P-Parametri'!$D$15),0))+'P-Parametri'!$B$20)))</f>
        <v>2.1680497925311206</v>
      </c>
      <c r="D24" s="6" t="s">
        <v>234</v>
      </c>
      <c r="E24" s="9">
        <f>'1-Input'!$B$6-'4-Rapporto-RAL'!$B$8</f>
        <v>761.5901332452413</v>
      </c>
      <c r="F24" s="6" t="s">
        <v>235</v>
      </c>
      <c r="G24" s="23">
        <f>((1-'P-Parametri'!$B$19)*(1-'P-Parametri'!$B$23))/(1-('P-Parametri'!$B$19+(1-'P-Parametri'!$B$19)*((IF((('4-Rapporto-RAL'!$B$8-1)*(1-'P-Parametri'!$B$19))&lt;='P-Parametri'!$B$6,'P-Parametri'!$C$6,IF((('4-Rapporto-RAL'!$B$8-1)*(1-'P-Parametri'!$B$19))&lt;='P-Parametri'!$B$7,'P-Parametri'!$C$7,'P-Parametri'!$C$8)))+(IF((('4-Rapporto-RAL'!$B$8-1)*(1-'P-Parametri'!$B$19))&lt;='P-Parametri'!$C$12,0,IF((('4-Rapporto-RAL'!$B$8-1)*(1-'P-Parametri'!$B$19))&lt;='P-Parametri'!$B$6,'P-Parametri'!$C$13/'P-Parametri'!$D$13,IF((('4-Rapporto-RAL'!$B$8-1)*(1-'P-Parametri'!$B$19))&lt;='P-Parametri'!$B$7,'P-Parametri'!$B$14/'P-Parametri'!$C$14,0))))+(IF(AND((('4-Rapporto-RAL'!$B$8-1)*(1-'P-Parametri'!$B$19))&gt;'P-Parametri'!$D$15,(('4-Rapporto-RAL'!$B$8-1)*(1-'P-Parametri'!$B$19))&lt;'P-Parametri'!$E$15),'P-Parametri'!$B$15/('P-Parametri'!$E$15-'P-Parametri'!$D$15),0))+'P-Parametri'!$B$20)))</f>
        <v>1.6868442292171106</v>
      </c>
    </row>
    <row r="25" spans="1:8" ht="30">
      <c r="A25" s="15" t="s">
        <v>123</v>
      </c>
      <c r="B25" s="15" t="s">
        <v>141</v>
      </c>
      <c r="C25" s="15" t="s">
        <v>236</v>
      </c>
      <c r="D25" s="15" t="s">
        <v>237</v>
      </c>
      <c r="E25" s="15" t="s">
        <v>223</v>
      </c>
      <c r="F25" s="15" t="s">
        <v>224</v>
      </c>
      <c r="G25" s="15" t="s">
        <v>225</v>
      </c>
      <c r="H25" s="15" t="s">
        <v>238</v>
      </c>
    </row>
    <row r="26" spans="1:8">
      <c r="A26" s="17">
        <f>28000</f>
        <v>28000</v>
      </c>
      <c r="B26" s="9">
        <f>$A26*(1-'P-Parametri'!$B$19)</f>
        <v>25426.799999999999</v>
      </c>
      <c r="C26" s="13" t="str">
        <f>IF(B26&lt;='P-Parametri'!$B$24,"sì","no")</f>
        <v>sì</v>
      </c>
      <c r="D26" s="11">
        <f>'P-Parametri'!$B$19+(1-'P-Parametri'!$B$19)*((IF(($A26*(1-'P-Parametri'!$B$19))&lt;='P-Parametri'!$B$6,'P-Parametri'!$C$6,IF(($A26*(1-'P-Parametri'!$B$19))&lt;='P-Parametri'!$B$7,'P-Parametri'!$C$7,'P-Parametri'!$C$8)))+(IF(($A26*(1-'P-Parametri'!$B$19))&lt;='P-Parametri'!$C$12,0,IF(($A26*(1-'P-Parametri'!$B$19))&lt;='P-Parametri'!$B$6,'P-Parametri'!$C$13/'P-Parametri'!$D$13,IF(($A26*(1-'P-Parametri'!$B$19))&lt;='P-Parametri'!$B$7,'P-Parametri'!$B$14/'P-Parametri'!$C$14,0))))+(IF(AND(($A26*(1-'P-Parametri'!$B$19))&gt;'P-Parametri'!$D$15,($A26*(1-'P-Parametri'!$B$19))&lt;'P-Parametri'!$E$15),'P-Parametri'!$B$15/('P-Parametri'!$E$15-'P-Parametri'!$D$15),0))+'P-Parametri'!$B$20)</f>
        <v>0.40205107692307696</v>
      </c>
      <c r="E26" s="11">
        <f t="shared" ref="E26:E57" si="0">1-D26</f>
        <v>0.59794892307692304</v>
      </c>
      <c r="F26" s="11">
        <f>(1-'P-Parametri'!$B$19)*(1-'P-Parametri'!$B$23)</f>
        <v>0.86269499999999999</v>
      </c>
      <c r="G26" s="23">
        <f t="shared" ref="G26:G57" si="1">IF(C26="sì",F26/E26,"")</f>
        <v>1.4427570093457944</v>
      </c>
      <c r="H26" s="13" t="str">
        <f>IF(AND($A26&gt;='4-Rapporto-RAL'!$B$8,$A26&lt;='4-Rapporto-RAL'!$B$9),"FINESTRA","")</f>
        <v/>
      </c>
    </row>
    <row r="27" spans="1:8">
      <c r="A27" s="17">
        <f>28100</f>
        <v>28100</v>
      </c>
      <c r="B27" s="9">
        <f>$A27*(1-'P-Parametri'!$B$19)</f>
        <v>25517.61</v>
      </c>
      <c r="C27" s="13" t="str">
        <f>IF(B27&lt;='P-Parametri'!$B$24,"sì","no")</f>
        <v>sì</v>
      </c>
      <c r="D27" s="11">
        <f>'P-Parametri'!$B$19+(1-'P-Parametri'!$B$19)*((IF(($A27*(1-'P-Parametri'!$B$19))&lt;='P-Parametri'!$B$6,'P-Parametri'!$C$6,IF(($A27*(1-'P-Parametri'!$B$19))&lt;='P-Parametri'!$B$7,'P-Parametri'!$C$7,'P-Parametri'!$C$8)))+(IF(($A27*(1-'P-Parametri'!$B$19))&lt;='P-Parametri'!$C$12,0,IF(($A27*(1-'P-Parametri'!$B$19))&lt;='P-Parametri'!$B$6,'P-Parametri'!$C$13/'P-Parametri'!$D$13,IF(($A27*(1-'P-Parametri'!$B$19))&lt;='P-Parametri'!$B$7,'P-Parametri'!$B$14/'P-Parametri'!$C$14,0))))+(IF(AND(($A27*(1-'P-Parametri'!$B$19))&gt;'P-Parametri'!$D$15,($A27*(1-'P-Parametri'!$B$19))&lt;'P-Parametri'!$E$15),'P-Parametri'!$B$15/('P-Parametri'!$E$15-'P-Parametri'!$D$15),0))+'P-Parametri'!$B$20)</f>
        <v>0.40205107692307696</v>
      </c>
      <c r="E27" s="11">
        <f t="shared" si="0"/>
        <v>0.59794892307692304</v>
      </c>
      <c r="F27" s="11">
        <f>(1-'P-Parametri'!$B$19)*(1-'P-Parametri'!$B$23)</f>
        <v>0.86269499999999999</v>
      </c>
      <c r="G27" s="23">
        <f t="shared" si="1"/>
        <v>1.4427570093457944</v>
      </c>
      <c r="H27" s="13" t="str">
        <f>IF(AND($A27&gt;='4-Rapporto-RAL'!$B$8,$A27&lt;='4-Rapporto-RAL'!$B$9),"FINESTRA","")</f>
        <v/>
      </c>
    </row>
    <row r="28" spans="1:8">
      <c r="A28" s="17">
        <f>28200</f>
        <v>28200</v>
      </c>
      <c r="B28" s="9">
        <f>$A28*(1-'P-Parametri'!$B$19)</f>
        <v>25608.420000000002</v>
      </c>
      <c r="C28" s="13" t="str">
        <f>IF(B28&lt;='P-Parametri'!$B$24,"sì","no")</f>
        <v>sì</v>
      </c>
      <c r="D28" s="11">
        <f>'P-Parametri'!$B$19+(1-'P-Parametri'!$B$19)*((IF(($A28*(1-'P-Parametri'!$B$19))&lt;='P-Parametri'!$B$6,'P-Parametri'!$C$6,IF(($A28*(1-'P-Parametri'!$B$19))&lt;='P-Parametri'!$B$7,'P-Parametri'!$C$7,'P-Parametri'!$C$8)))+(IF(($A28*(1-'P-Parametri'!$B$19))&lt;='P-Parametri'!$C$12,0,IF(($A28*(1-'P-Parametri'!$B$19))&lt;='P-Parametri'!$B$6,'P-Parametri'!$C$13/'P-Parametri'!$D$13,IF(($A28*(1-'P-Parametri'!$B$19))&lt;='P-Parametri'!$B$7,'P-Parametri'!$B$14/'P-Parametri'!$C$14,0))))+(IF(AND(($A28*(1-'P-Parametri'!$B$19))&gt;'P-Parametri'!$D$15,($A28*(1-'P-Parametri'!$B$19))&lt;'P-Parametri'!$E$15),'P-Parametri'!$B$15/('P-Parametri'!$E$15-'P-Parametri'!$D$15),0))+'P-Parametri'!$B$20)</f>
        <v>0.40205107692307696</v>
      </c>
      <c r="E28" s="11">
        <f t="shared" si="0"/>
        <v>0.59794892307692304</v>
      </c>
      <c r="F28" s="11">
        <f>(1-'P-Parametri'!$B$19)*(1-'P-Parametri'!$B$23)</f>
        <v>0.86269499999999999</v>
      </c>
      <c r="G28" s="23">
        <f t="shared" si="1"/>
        <v>1.4427570093457944</v>
      </c>
      <c r="H28" s="13" t="str">
        <f>IF(AND($A28&gt;='4-Rapporto-RAL'!$B$8,$A28&lt;='4-Rapporto-RAL'!$B$9),"FINESTRA","")</f>
        <v/>
      </c>
    </row>
    <row r="29" spans="1:8">
      <c r="A29" s="17">
        <f>28300</f>
        <v>28300</v>
      </c>
      <c r="B29" s="9">
        <f>$A29*(1-'P-Parametri'!$B$19)</f>
        <v>25699.23</v>
      </c>
      <c r="C29" s="13" t="str">
        <f>IF(B29&lt;='P-Parametri'!$B$24,"sì","no")</f>
        <v>sì</v>
      </c>
      <c r="D29" s="11">
        <f>'P-Parametri'!$B$19+(1-'P-Parametri'!$B$19)*((IF(($A29*(1-'P-Parametri'!$B$19))&lt;='P-Parametri'!$B$6,'P-Parametri'!$C$6,IF(($A29*(1-'P-Parametri'!$B$19))&lt;='P-Parametri'!$B$7,'P-Parametri'!$C$7,'P-Parametri'!$C$8)))+(IF(($A29*(1-'P-Parametri'!$B$19))&lt;='P-Parametri'!$C$12,0,IF(($A29*(1-'P-Parametri'!$B$19))&lt;='P-Parametri'!$B$6,'P-Parametri'!$C$13/'P-Parametri'!$D$13,IF(($A29*(1-'P-Parametri'!$B$19))&lt;='P-Parametri'!$B$7,'P-Parametri'!$B$14/'P-Parametri'!$C$14,0))))+(IF(AND(($A29*(1-'P-Parametri'!$B$19))&gt;'P-Parametri'!$D$15,($A29*(1-'P-Parametri'!$B$19))&lt;'P-Parametri'!$E$15),'P-Parametri'!$B$15/('P-Parametri'!$E$15-'P-Parametri'!$D$15),0))+'P-Parametri'!$B$20)</f>
        <v>0.40205107692307696</v>
      </c>
      <c r="E29" s="11">
        <f t="shared" si="0"/>
        <v>0.59794892307692304</v>
      </c>
      <c r="F29" s="11">
        <f>(1-'P-Parametri'!$B$19)*(1-'P-Parametri'!$B$23)</f>
        <v>0.86269499999999999</v>
      </c>
      <c r="G29" s="23">
        <f t="shared" si="1"/>
        <v>1.4427570093457944</v>
      </c>
      <c r="H29" s="13" t="str">
        <f>IF(AND($A29&gt;='4-Rapporto-RAL'!$B$8,$A29&lt;='4-Rapporto-RAL'!$B$9),"FINESTRA","")</f>
        <v/>
      </c>
    </row>
    <row r="30" spans="1:8">
      <c r="A30" s="17">
        <f>28400</f>
        <v>28400</v>
      </c>
      <c r="B30" s="9">
        <f>$A30*(1-'P-Parametri'!$B$19)</f>
        <v>25790.04</v>
      </c>
      <c r="C30" s="13" t="str">
        <f>IF(B30&lt;='P-Parametri'!$B$24,"sì","no")</f>
        <v>sì</v>
      </c>
      <c r="D30" s="11">
        <f>'P-Parametri'!$B$19+(1-'P-Parametri'!$B$19)*((IF(($A30*(1-'P-Parametri'!$B$19))&lt;='P-Parametri'!$B$6,'P-Parametri'!$C$6,IF(($A30*(1-'P-Parametri'!$B$19))&lt;='P-Parametri'!$B$7,'P-Parametri'!$C$7,'P-Parametri'!$C$8)))+(IF(($A30*(1-'P-Parametri'!$B$19))&lt;='P-Parametri'!$C$12,0,IF(($A30*(1-'P-Parametri'!$B$19))&lt;='P-Parametri'!$B$6,'P-Parametri'!$C$13/'P-Parametri'!$D$13,IF(($A30*(1-'P-Parametri'!$B$19))&lt;='P-Parametri'!$B$7,'P-Parametri'!$B$14/'P-Parametri'!$C$14,0))))+(IF(AND(($A30*(1-'P-Parametri'!$B$19))&gt;'P-Parametri'!$D$15,($A30*(1-'P-Parametri'!$B$19))&lt;'P-Parametri'!$E$15),'P-Parametri'!$B$15/('P-Parametri'!$E$15-'P-Parametri'!$D$15),0))+'P-Parametri'!$B$20)</f>
        <v>0.40205107692307696</v>
      </c>
      <c r="E30" s="11">
        <f t="shared" si="0"/>
        <v>0.59794892307692304</v>
      </c>
      <c r="F30" s="11">
        <f>(1-'P-Parametri'!$B$19)*(1-'P-Parametri'!$B$23)</f>
        <v>0.86269499999999999</v>
      </c>
      <c r="G30" s="23">
        <f t="shared" si="1"/>
        <v>1.4427570093457944</v>
      </c>
      <c r="H30" s="13" t="str">
        <f>IF(AND($A30&gt;='4-Rapporto-RAL'!$B$8,$A30&lt;='4-Rapporto-RAL'!$B$9),"FINESTRA","")</f>
        <v/>
      </c>
    </row>
    <row r="31" spans="1:8">
      <c r="A31" s="17">
        <f>28500</f>
        <v>28500</v>
      </c>
      <c r="B31" s="9">
        <f>$A31*(1-'P-Parametri'!$B$19)</f>
        <v>25880.850000000002</v>
      </c>
      <c r="C31" s="13" t="str">
        <f>IF(B31&lt;='P-Parametri'!$B$24,"sì","no")</f>
        <v>sì</v>
      </c>
      <c r="D31" s="11">
        <f>'P-Parametri'!$B$19+(1-'P-Parametri'!$B$19)*((IF(($A31*(1-'P-Parametri'!$B$19))&lt;='P-Parametri'!$B$6,'P-Parametri'!$C$6,IF(($A31*(1-'P-Parametri'!$B$19))&lt;='P-Parametri'!$B$7,'P-Parametri'!$C$7,'P-Parametri'!$C$8)))+(IF(($A31*(1-'P-Parametri'!$B$19))&lt;='P-Parametri'!$C$12,0,IF(($A31*(1-'P-Parametri'!$B$19))&lt;='P-Parametri'!$B$6,'P-Parametri'!$C$13/'P-Parametri'!$D$13,IF(($A31*(1-'P-Parametri'!$B$19))&lt;='P-Parametri'!$B$7,'P-Parametri'!$B$14/'P-Parametri'!$C$14,0))))+(IF(AND(($A31*(1-'P-Parametri'!$B$19))&gt;'P-Parametri'!$D$15,($A31*(1-'P-Parametri'!$B$19))&lt;'P-Parametri'!$E$15),'P-Parametri'!$B$15/('P-Parametri'!$E$15-'P-Parametri'!$D$15),0))+'P-Parametri'!$B$20)</f>
        <v>0.40205107692307696</v>
      </c>
      <c r="E31" s="11">
        <f t="shared" si="0"/>
        <v>0.59794892307692304</v>
      </c>
      <c r="F31" s="11">
        <f>(1-'P-Parametri'!$B$19)*(1-'P-Parametri'!$B$23)</f>
        <v>0.86269499999999999</v>
      </c>
      <c r="G31" s="23">
        <f t="shared" si="1"/>
        <v>1.4427570093457944</v>
      </c>
      <c r="H31" s="13" t="str">
        <f>IF(AND($A31&gt;='4-Rapporto-RAL'!$B$8,$A31&lt;='4-Rapporto-RAL'!$B$9),"FINESTRA","")</f>
        <v/>
      </c>
    </row>
    <row r="32" spans="1:8">
      <c r="A32" s="17">
        <f>28600</f>
        <v>28600</v>
      </c>
      <c r="B32" s="9">
        <f>$A32*(1-'P-Parametri'!$B$19)</f>
        <v>25971.66</v>
      </c>
      <c r="C32" s="13" t="str">
        <f>IF(B32&lt;='P-Parametri'!$B$24,"sì","no")</f>
        <v>sì</v>
      </c>
      <c r="D32" s="11">
        <f>'P-Parametri'!$B$19+(1-'P-Parametri'!$B$19)*((IF(($A32*(1-'P-Parametri'!$B$19))&lt;='P-Parametri'!$B$6,'P-Parametri'!$C$6,IF(($A32*(1-'P-Parametri'!$B$19))&lt;='P-Parametri'!$B$7,'P-Parametri'!$C$7,'P-Parametri'!$C$8)))+(IF(($A32*(1-'P-Parametri'!$B$19))&lt;='P-Parametri'!$C$12,0,IF(($A32*(1-'P-Parametri'!$B$19))&lt;='P-Parametri'!$B$6,'P-Parametri'!$C$13/'P-Parametri'!$D$13,IF(($A32*(1-'P-Parametri'!$B$19))&lt;='P-Parametri'!$B$7,'P-Parametri'!$B$14/'P-Parametri'!$C$14,0))))+(IF(AND(($A32*(1-'P-Parametri'!$B$19))&gt;'P-Parametri'!$D$15,($A32*(1-'P-Parametri'!$B$19))&lt;'P-Parametri'!$E$15),'P-Parametri'!$B$15/('P-Parametri'!$E$15-'P-Parametri'!$D$15),0))+'P-Parametri'!$B$20)</f>
        <v>0.40205107692307696</v>
      </c>
      <c r="E32" s="11">
        <f t="shared" si="0"/>
        <v>0.59794892307692304</v>
      </c>
      <c r="F32" s="11">
        <f>(1-'P-Parametri'!$B$19)*(1-'P-Parametri'!$B$23)</f>
        <v>0.86269499999999999</v>
      </c>
      <c r="G32" s="23">
        <f t="shared" si="1"/>
        <v>1.4427570093457944</v>
      </c>
      <c r="H32" s="13" t="str">
        <f>IF(AND($A32&gt;='4-Rapporto-RAL'!$B$8,$A32&lt;='4-Rapporto-RAL'!$B$9),"FINESTRA","")</f>
        <v/>
      </c>
    </row>
    <row r="33" spans="1:8">
      <c r="A33" s="17">
        <f>28700</f>
        <v>28700</v>
      </c>
      <c r="B33" s="9">
        <f>$A33*(1-'P-Parametri'!$B$19)</f>
        <v>26062.47</v>
      </c>
      <c r="C33" s="13" t="str">
        <f>IF(B33&lt;='P-Parametri'!$B$24,"sì","no")</f>
        <v>sì</v>
      </c>
      <c r="D33" s="11">
        <f>'P-Parametri'!$B$19+(1-'P-Parametri'!$B$19)*((IF(($A33*(1-'P-Parametri'!$B$19))&lt;='P-Parametri'!$B$6,'P-Parametri'!$C$6,IF(($A33*(1-'P-Parametri'!$B$19))&lt;='P-Parametri'!$B$7,'P-Parametri'!$C$7,'P-Parametri'!$C$8)))+(IF(($A33*(1-'P-Parametri'!$B$19))&lt;='P-Parametri'!$C$12,0,IF(($A33*(1-'P-Parametri'!$B$19))&lt;='P-Parametri'!$B$6,'P-Parametri'!$C$13/'P-Parametri'!$D$13,IF(($A33*(1-'P-Parametri'!$B$19))&lt;='P-Parametri'!$B$7,'P-Parametri'!$B$14/'P-Parametri'!$C$14,0))))+(IF(AND(($A33*(1-'P-Parametri'!$B$19))&gt;'P-Parametri'!$D$15,($A33*(1-'P-Parametri'!$B$19))&lt;'P-Parametri'!$E$15),'P-Parametri'!$B$15/('P-Parametri'!$E$15-'P-Parametri'!$D$15),0))+'P-Parametri'!$B$20)</f>
        <v>0.40205107692307696</v>
      </c>
      <c r="E33" s="11">
        <f t="shared" si="0"/>
        <v>0.59794892307692304</v>
      </c>
      <c r="F33" s="11">
        <f>(1-'P-Parametri'!$B$19)*(1-'P-Parametri'!$B$23)</f>
        <v>0.86269499999999999</v>
      </c>
      <c r="G33" s="23">
        <f t="shared" si="1"/>
        <v>1.4427570093457944</v>
      </c>
      <c r="H33" s="13" t="str">
        <f>IF(AND($A33&gt;='4-Rapporto-RAL'!$B$8,$A33&lt;='4-Rapporto-RAL'!$B$9),"FINESTRA","")</f>
        <v/>
      </c>
    </row>
    <row r="34" spans="1:8">
      <c r="A34" s="17">
        <f>28800</f>
        <v>28800</v>
      </c>
      <c r="B34" s="9">
        <f>$A34*(1-'P-Parametri'!$B$19)</f>
        <v>26153.279999999999</v>
      </c>
      <c r="C34" s="13" t="str">
        <f>IF(B34&lt;='P-Parametri'!$B$24,"sì","no")</f>
        <v>sì</v>
      </c>
      <c r="D34" s="11">
        <f>'P-Parametri'!$B$19+(1-'P-Parametri'!$B$19)*((IF(($A34*(1-'P-Parametri'!$B$19))&lt;='P-Parametri'!$B$6,'P-Parametri'!$C$6,IF(($A34*(1-'P-Parametri'!$B$19))&lt;='P-Parametri'!$B$7,'P-Parametri'!$C$7,'P-Parametri'!$C$8)))+(IF(($A34*(1-'P-Parametri'!$B$19))&lt;='P-Parametri'!$C$12,0,IF(($A34*(1-'P-Parametri'!$B$19))&lt;='P-Parametri'!$B$6,'P-Parametri'!$C$13/'P-Parametri'!$D$13,IF(($A34*(1-'P-Parametri'!$B$19))&lt;='P-Parametri'!$B$7,'P-Parametri'!$B$14/'P-Parametri'!$C$14,0))))+(IF(AND(($A34*(1-'P-Parametri'!$B$19))&gt;'P-Parametri'!$D$15,($A34*(1-'P-Parametri'!$B$19))&lt;'P-Parametri'!$E$15),'P-Parametri'!$B$15/('P-Parametri'!$E$15-'P-Parametri'!$D$15),0))+'P-Parametri'!$B$20)</f>
        <v>0.40205107692307696</v>
      </c>
      <c r="E34" s="11">
        <f t="shared" si="0"/>
        <v>0.59794892307692304</v>
      </c>
      <c r="F34" s="11">
        <f>(1-'P-Parametri'!$B$19)*(1-'P-Parametri'!$B$23)</f>
        <v>0.86269499999999999</v>
      </c>
      <c r="G34" s="23">
        <f t="shared" si="1"/>
        <v>1.4427570093457944</v>
      </c>
      <c r="H34" s="13" t="str">
        <f>IF(AND($A34&gt;='4-Rapporto-RAL'!$B$8,$A34&lt;='4-Rapporto-RAL'!$B$9),"FINESTRA","")</f>
        <v/>
      </c>
    </row>
    <row r="35" spans="1:8">
      <c r="A35" s="17">
        <f>28900</f>
        <v>28900</v>
      </c>
      <c r="B35" s="9">
        <f>$A35*(1-'P-Parametri'!$B$19)</f>
        <v>26244.09</v>
      </c>
      <c r="C35" s="13" t="str">
        <f>IF(B35&lt;='P-Parametri'!$B$24,"sì","no")</f>
        <v>sì</v>
      </c>
      <c r="D35" s="11">
        <f>'P-Parametri'!$B$19+(1-'P-Parametri'!$B$19)*((IF(($A35*(1-'P-Parametri'!$B$19))&lt;='P-Parametri'!$B$6,'P-Parametri'!$C$6,IF(($A35*(1-'P-Parametri'!$B$19))&lt;='P-Parametri'!$B$7,'P-Parametri'!$C$7,'P-Parametri'!$C$8)))+(IF(($A35*(1-'P-Parametri'!$B$19))&lt;='P-Parametri'!$C$12,0,IF(($A35*(1-'P-Parametri'!$B$19))&lt;='P-Parametri'!$B$6,'P-Parametri'!$C$13/'P-Parametri'!$D$13,IF(($A35*(1-'P-Parametri'!$B$19))&lt;='P-Parametri'!$B$7,'P-Parametri'!$B$14/'P-Parametri'!$C$14,0))))+(IF(AND(($A35*(1-'P-Parametri'!$B$19))&gt;'P-Parametri'!$D$15,($A35*(1-'P-Parametri'!$B$19))&lt;'P-Parametri'!$E$15),'P-Parametri'!$B$15/('P-Parametri'!$E$15-'P-Parametri'!$D$15),0))+'P-Parametri'!$B$20)</f>
        <v>0.40205107692307696</v>
      </c>
      <c r="E35" s="11">
        <f t="shared" si="0"/>
        <v>0.59794892307692304</v>
      </c>
      <c r="F35" s="11">
        <f>(1-'P-Parametri'!$B$19)*(1-'P-Parametri'!$B$23)</f>
        <v>0.86269499999999999</v>
      </c>
      <c r="G35" s="23">
        <f t="shared" si="1"/>
        <v>1.4427570093457944</v>
      </c>
      <c r="H35" s="13" t="str">
        <f>IF(AND($A35&gt;='4-Rapporto-RAL'!$B$8,$A35&lt;='4-Rapporto-RAL'!$B$9),"FINESTRA","")</f>
        <v/>
      </c>
    </row>
    <row r="36" spans="1:8">
      <c r="A36" s="17">
        <f>29000</f>
        <v>29000</v>
      </c>
      <c r="B36" s="9">
        <f>$A36*(1-'P-Parametri'!$B$19)</f>
        <v>26334.9</v>
      </c>
      <c r="C36" s="13" t="str">
        <f>IF(B36&lt;='P-Parametri'!$B$24,"sì","no")</f>
        <v>sì</v>
      </c>
      <c r="D36" s="11">
        <f>'P-Parametri'!$B$19+(1-'P-Parametri'!$B$19)*((IF(($A36*(1-'P-Parametri'!$B$19))&lt;='P-Parametri'!$B$6,'P-Parametri'!$C$6,IF(($A36*(1-'P-Parametri'!$B$19))&lt;='P-Parametri'!$B$7,'P-Parametri'!$C$7,'P-Parametri'!$C$8)))+(IF(($A36*(1-'P-Parametri'!$B$19))&lt;='P-Parametri'!$C$12,0,IF(($A36*(1-'P-Parametri'!$B$19))&lt;='P-Parametri'!$B$6,'P-Parametri'!$C$13/'P-Parametri'!$D$13,IF(($A36*(1-'P-Parametri'!$B$19))&lt;='P-Parametri'!$B$7,'P-Parametri'!$B$14/'P-Parametri'!$C$14,0))))+(IF(AND(($A36*(1-'P-Parametri'!$B$19))&gt;'P-Parametri'!$D$15,($A36*(1-'P-Parametri'!$B$19))&lt;'P-Parametri'!$E$15),'P-Parametri'!$B$15/('P-Parametri'!$E$15-'P-Parametri'!$D$15),0))+'P-Parametri'!$B$20)</f>
        <v>0.40205107692307696</v>
      </c>
      <c r="E36" s="11">
        <f t="shared" si="0"/>
        <v>0.59794892307692304</v>
      </c>
      <c r="F36" s="11">
        <f>(1-'P-Parametri'!$B$19)*(1-'P-Parametri'!$B$23)</f>
        <v>0.86269499999999999</v>
      </c>
      <c r="G36" s="23">
        <f t="shared" si="1"/>
        <v>1.4427570093457944</v>
      </c>
      <c r="H36" s="13" t="str">
        <f>IF(AND($A36&gt;='4-Rapporto-RAL'!$B$8,$A36&lt;='4-Rapporto-RAL'!$B$9),"FINESTRA","")</f>
        <v/>
      </c>
    </row>
    <row r="37" spans="1:8">
      <c r="A37" s="17">
        <f>29100</f>
        <v>29100</v>
      </c>
      <c r="B37" s="9">
        <f>$A37*(1-'P-Parametri'!$B$19)</f>
        <v>26425.71</v>
      </c>
      <c r="C37" s="13" t="str">
        <f>IF(B37&lt;='P-Parametri'!$B$24,"sì","no")</f>
        <v>sì</v>
      </c>
      <c r="D37" s="11">
        <f>'P-Parametri'!$B$19+(1-'P-Parametri'!$B$19)*((IF(($A37*(1-'P-Parametri'!$B$19))&lt;='P-Parametri'!$B$6,'P-Parametri'!$C$6,IF(($A37*(1-'P-Parametri'!$B$19))&lt;='P-Parametri'!$B$7,'P-Parametri'!$C$7,'P-Parametri'!$C$8)))+(IF(($A37*(1-'P-Parametri'!$B$19))&lt;='P-Parametri'!$C$12,0,IF(($A37*(1-'P-Parametri'!$B$19))&lt;='P-Parametri'!$B$6,'P-Parametri'!$C$13/'P-Parametri'!$D$13,IF(($A37*(1-'P-Parametri'!$B$19))&lt;='P-Parametri'!$B$7,'P-Parametri'!$B$14/'P-Parametri'!$C$14,0))))+(IF(AND(($A37*(1-'P-Parametri'!$B$19))&gt;'P-Parametri'!$D$15,($A37*(1-'P-Parametri'!$B$19))&lt;'P-Parametri'!$E$15),'P-Parametri'!$B$15/('P-Parametri'!$E$15-'P-Parametri'!$D$15),0))+'P-Parametri'!$B$20)</f>
        <v>0.40205107692307696</v>
      </c>
      <c r="E37" s="11">
        <f t="shared" si="0"/>
        <v>0.59794892307692304</v>
      </c>
      <c r="F37" s="11">
        <f>(1-'P-Parametri'!$B$19)*(1-'P-Parametri'!$B$23)</f>
        <v>0.86269499999999999</v>
      </c>
      <c r="G37" s="23">
        <f t="shared" si="1"/>
        <v>1.4427570093457944</v>
      </c>
      <c r="H37" s="13" t="str">
        <f>IF(AND($A37&gt;='4-Rapporto-RAL'!$B$8,$A37&lt;='4-Rapporto-RAL'!$B$9),"FINESTRA","")</f>
        <v/>
      </c>
    </row>
    <row r="38" spans="1:8">
      <c r="A38" s="17">
        <f>29200</f>
        <v>29200</v>
      </c>
      <c r="B38" s="9">
        <f>$A38*(1-'P-Parametri'!$B$19)</f>
        <v>26516.52</v>
      </c>
      <c r="C38" s="13" t="str">
        <f>IF(B38&lt;='P-Parametri'!$B$24,"sì","no")</f>
        <v>sì</v>
      </c>
      <c r="D38" s="11">
        <f>'P-Parametri'!$B$19+(1-'P-Parametri'!$B$19)*((IF(($A38*(1-'P-Parametri'!$B$19))&lt;='P-Parametri'!$B$6,'P-Parametri'!$C$6,IF(($A38*(1-'P-Parametri'!$B$19))&lt;='P-Parametri'!$B$7,'P-Parametri'!$C$7,'P-Parametri'!$C$8)))+(IF(($A38*(1-'P-Parametri'!$B$19))&lt;='P-Parametri'!$C$12,0,IF(($A38*(1-'P-Parametri'!$B$19))&lt;='P-Parametri'!$B$6,'P-Parametri'!$C$13/'P-Parametri'!$D$13,IF(($A38*(1-'P-Parametri'!$B$19))&lt;='P-Parametri'!$B$7,'P-Parametri'!$B$14/'P-Parametri'!$C$14,0))))+(IF(AND(($A38*(1-'P-Parametri'!$B$19))&gt;'P-Parametri'!$D$15,($A38*(1-'P-Parametri'!$B$19))&lt;'P-Parametri'!$E$15),'P-Parametri'!$B$15/('P-Parametri'!$E$15-'P-Parametri'!$D$15),0))+'P-Parametri'!$B$20)</f>
        <v>0.40205107692307696</v>
      </c>
      <c r="E38" s="11">
        <f t="shared" si="0"/>
        <v>0.59794892307692304</v>
      </c>
      <c r="F38" s="11">
        <f>(1-'P-Parametri'!$B$19)*(1-'P-Parametri'!$B$23)</f>
        <v>0.86269499999999999</v>
      </c>
      <c r="G38" s="23">
        <f t="shared" si="1"/>
        <v>1.4427570093457944</v>
      </c>
      <c r="H38" s="13" t="str">
        <f>IF(AND($A38&gt;='4-Rapporto-RAL'!$B$8,$A38&lt;='4-Rapporto-RAL'!$B$9),"FINESTRA","")</f>
        <v/>
      </c>
    </row>
    <row r="39" spans="1:8">
      <c r="A39" s="17">
        <f>29300</f>
        <v>29300</v>
      </c>
      <c r="B39" s="9">
        <f>$A39*(1-'P-Parametri'!$B$19)</f>
        <v>26607.33</v>
      </c>
      <c r="C39" s="13" t="str">
        <f>IF(B39&lt;='P-Parametri'!$B$24,"sì","no")</f>
        <v>sì</v>
      </c>
      <c r="D39" s="11">
        <f>'P-Parametri'!$B$19+(1-'P-Parametri'!$B$19)*((IF(($A39*(1-'P-Parametri'!$B$19))&lt;='P-Parametri'!$B$6,'P-Parametri'!$C$6,IF(($A39*(1-'P-Parametri'!$B$19))&lt;='P-Parametri'!$B$7,'P-Parametri'!$C$7,'P-Parametri'!$C$8)))+(IF(($A39*(1-'P-Parametri'!$B$19))&lt;='P-Parametri'!$C$12,0,IF(($A39*(1-'P-Parametri'!$B$19))&lt;='P-Parametri'!$B$6,'P-Parametri'!$C$13/'P-Parametri'!$D$13,IF(($A39*(1-'P-Parametri'!$B$19))&lt;='P-Parametri'!$B$7,'P-Parametri'!$B$14/'P-Parametri'!$C$14,0))))+(IF(AND(($A39*(1-'P-Parametri'!$B$19))&gt;'P-Parametri'!$D$15,($A39*(1-'P-Parametri'!$B$19))&lt;'P-Parametri'!$E$15),'P-Parametri'!$B$15/('P-Parametri'!$E$15-'P-Parametri'!$D$15),0))+'P-Parametri'!$B$20)</f>
        <v>0.40205107692307696</v>
      </c>
      <c r="E39" s="11">
        <f t="shared" si="0"/>
        <v>0.59794892307692304</v>
      </c>
      <c r="F39" s="11">
        <f>(1-'P-Parametri'!$B$19)*(1-'P-Parametri'!$B$23)</f>
        <v>0.86269499999999999</v>
      </c>
      <c r="G39" s="23">
        <f t="shared" si="1"/>
        <v>1.4427570093457944</v>
      </c>
      <c r="H39" s="13" t="str">
        <f>IF(AND($A39&gt;='4-Rapporto-RAL'!$B$8,$A39&lt;='4-Rapporto-RAL'!$B$9),"FINESTRA","")</f>
        <v/>
      </c>
    </row>
    <row r="40" spans="1:8">
      <c r="A40" s="17">
        <f>29400</f>
        <v>29400</v>
      </c>
      <c r="B40" s="9">
        <f>$A40*(1-'P-Parametri'!$B$19)</f>
        <v>26698.14</v>
      </c>
      <c r="C40" s="13" t="str">
        <f>IF(B40&lt;='P-Parametri'!$B$24,"sì","no")</f>
        <v>sì</v>
      </c>
      <c r="D40" s="11">
        <f>'P-Parametri'!$B$19+(1-'P-Parametri'!$B$19)*((IF(($A40*(1-'P-Parametri'!$B$19))&lt;='P-Parametri'!$B$6,'P-Parametri'!$C$6,IF(($A40*(1-'P-Parametri'!$B$19))&lt;='P-Parametri'!$B$7,'P-Parametri'!$C$7,'P-Parametri'!$C$8)))+(IF(($A40*(1-'P-Parametri'!$B$19))&lt;='P-Parametri'!$C$12,0,IF(($A40*(1-'P-Parametri'!$B$19))&lt;='P-Parametri'!$B$6,'P-Parametri'!$C$13/'P-Parametri'!$D$13,IF(($A40*(1-'P-Parametri'!$B$19))&lt;='P-Parametri'!$B$7,'P-Parametri'!$B$14/'P-Parametri'!$C$14,0))))+(IF(AND(($A40*(1-'P-Parametri'!$B$19))&gt;'P-Parametri'!$D$15,($A40*(1-'P-Parametri'!$B$19))&lt;'P-Parametri'!$E$15),'P-Parametri'!$B$15/('P-Parametri'!$E$15-'P-Parametri'!$D$15),0))+'P-Parametri'!$B$20)</f>
        <v>0.40205107692307696</v>
      </c>
      <c r="E40" s="11">
        <f t="shared" si="0"/>
        <v>0.59794892307692304</v>
      </c>
      <c r="F40" s="11">
        <f>(1-'P-Parametri'!$B$19)*(1-'P-Parametri'!$B$23)</f>
        <v>0.86269499999999999</v>
      </c>
      <c r="G40" s="23">
        <f t="shared" si="1"/>
        <v>1.4427570093457944</v>
      </c>
      <c r="H40" s="13" t="str">
        <f>IF(AND($A40&gt;='4-Rapporto-RAL'!$B$8,$A40&lt;='4-Rapporto-RAL'!$B$9),"FINESTRA","")</f>
        <v/>
      </c>
    </row>
    <row r="41" spans="1:8">
      <c r="A41" s="17">
        <f>29500</f>
        <v>29500</v>
      </c>
      <c r="B41" s="9">
        <f>$A41*(1-'P-Parametri'!$B$19)</f>
        <v>26788.95</v>
      </c>
      <c r="C41" s="13" t="str">
        <f>IF(B41&lt;='P-Parametri'!$B$24,"sì","no")</f>
        <v>sì</v>
      </c>
      <c r="D41" s="11">
        <f>'P-Parametri'!$B$19+(1-'P-Parametri'!$B$19)*((IF(($A41*(1-'P-Parametri'!$B$19))&lt;='P-Parametri'!$B$6,'P-Parametri'!$C$6,IF(($A41*(1-'P-Parametri'!$B$19))&lt;='P-Parametri'!$B$7,'P-Parametri'!$C$7,'P-Parametri'!$C$8)))+(IF(($A41*(1-'P-Parametri'!$B$19))&lt;='P-Parametri'!$C$12,0,IF(($A41*(1-'P-Parametri'!$B$19))&lt;='P-Parametri'!$B$6,'P-Parametri'!$C$13/'P-Parametri'!$D$13,IF(($A41*(1-'P-Parametri'!$B$19))&lt;='P-Parametri'!$B$7,'P-Parametri'!$B$14/'P-Parametri'!$C$14,0))))+(IF(AND(($A41*(1-'P-Parametri'!$B$19))&gt;'P-Parametri'!$D$15,($A41*(1-'P-Parametri'!$B$19))&lt;'P-Parametri'!$E$15),'P-Parametri'!$B$15/('P-Parametri'!$E$15-'P-Parametri'!$D$15),0))+'P-Parametri'!$B$20)</f>
        <v>0.40205107692307696</v>
      </c>
      <c r="E41" s="11">
        <f t="shared" si="0"/>
        <v>0.59794892307692304</v>
      </c>
      <c r="F41" s="11">
        <f>(1-'P-Parametri'!$B$19)*(1-'P-Parametri'!$B$23)</f>
        <v>0.86269499999999999</v>
      </c>
      <c r="G41" s="23">
        <f t="shared" si="1"/>
        <v>1.4427570093457944</v>
      </c>
      <c r="H41" s="13" t="str">
        <f>IF(AND($A41&gt;='4-Rapporto-RAL'!$B$8,$A41&lt;='4-Rapporto-RAL'!$B$9),"FINESTRA","")</f>
        <v/>
      </c>
    </row>
    <row r="42" spans="1:8">
      <c r="A42" s="17">
        <f>29600</f>
        <v>29600</v>
      </c>
      <c r="B42" s="9">
        <f>$A42*(1-'P-Parametri'!$B$19)</f>
        <v>26879.760000000002</v>
      </c>
      <c r="C42" s="13" t="str">
        <f>IF(B42&lt;='P-Parametri'!$B$24,"sì","no")</f>
        <v>sì</v>
      </c>
      <c r="D42" s="11">
        <f>'P-Parametri'!$B$19+(1-'P-Parametri'!$B$19)*((IF(($A42*(1-'P-Parametri'!$B$19))&lt;='P-Parametri'!$B$6,'P-Parametri'!$C$6,IF(($A42*(1-'P-Parametri'!$B$19))&lt;='P-Parametri'!$B$7,'P-Parametri'!$C$7,'P-Parametri'!$C$8)))+(IF(($A42*(1-'P-Parametri'!$B$19))&lt;='P-Parametri'!$C$12,0,IF(($A42*(1-'P-Parametri'!$B$19))&lt;='P-Parametri'!$B$6,'P-Parametri'!$C$13/'P-Parametri'!$D$13,IF(($A42*(1-'P-Parametri'!$B$19))&lt;='P-Parametri'!$B$7,'P-Parametri'!$B$14/'P-Parametri'!$C$14,0))))+(IF(AND(($A42*(1-'P-Parametri'!$B$19))&gt;'P-Parametri'!$D$15,($A42*(1-'P-Parametri'!$B$19))&lt;'P-Parametri'!$E$15),'P-Parametri'!$B$15/('P-Parametri'!$E$15-'P-Parametri'!$D$15),0))+'P-Parametri'!$B$20)</f>
        <v>0.40205107692307696</v>
      </c>
      <c r="E42" s="11">
        <f t="shared" si="0"/>
        <v>0.59794892307692304</v>
      </c>
      <c r="F42" s="11">
        <f>(1-'P-Parametri'!$B$19)*(1-'P-Parametri'!$B$23)</f>
        <v>0.86269499999999999</v>
      </c>
      <c r="G42" s="23">
        <f t="shared" si="1"/>
        <v>1.4427570093457944</v>
      </c>
      <c r="H42" s="13" t="str">
        <f>IF(AND($A42&gt;='4-Rapporto-RAL'!$B$8,$A42&lt;='4-Rapporto-RAL'!$B$9),"FINESTRA","")</f>
        <v/>
      </c>
    </row>
    <row r="43" spans="1:8">
      <c r="A43" s="17">
        <f>29700</f>
        <v>29700</v>
      </c>
      <c r="B43" s="9">
        <f>$A43*(1-'P-Parametri'!$B$19)</f>
        <v>26970.57</v>
      </c>
      <c r="C43" s="13" t="str">
        <f>IF(B43&lt;='P-Parametri'!$B$24,"sì","no")</f>
        <v>sì</v>
      </c>
      <c r="D43" s="11">
        <f>'P-Parametri'!$B$19+(1-'P-Parametri'!$B$19)*((IF(($A43*(1-'P-Parametri'!$B$19))&lt;='P-Parametri'!$B$6,'P-Parametri'!$C$6,IF(($A43*(1-'P-Parametri'!$B$19))&lt;='P-Parametri'!$B$7,'P-Parametri'!$C$7,'P-Parametri'!$C$8)))+(IF(($A43*(1-'P-Parametri'!$B$19))&lt;='P-Parametri'!$C$12,0,IF(($A43*(1-'P-Parametri'!$B$19))&lt;='P-Parametri'!$B$6,'P-Parametri'!$C$13/'P-Parametri'!$D$13,IF(($A43*(1-'P-Parametri'!$B$19))&lt;='P-Parametri'!$B$7,'P-Parametri'!$B$14/'P-Parametri'!$C$14,0))))+(IF(AND(($A43*(1-'P-Parametri'!$B$19))&gt;'P-Parametri'!$D$15,($A43*(1-'P-Parametri'!$B$19))&lt;'P-Parametri'!$E$15),'P-Parametri'!$B$15/('P-Parametri'!$E$15-'P-Parametri'!$D$15),0))+'P-Parametri'!$B$20)</f>
        <v>0.40205107692307696</v>
      </c>
      <c r="E43" s="11">
        <f t="shared" si="0"/>
        <v>0.59794892307692304</v>
      </c>
      <c r="F43" s="11">
        <f>(1-'P-Parametri'!$B$19)*(1-'P-Parametri'!$B$23)</f>
        <v>0.86269499999999999</v>
      </c>
      <c r="G43" s="23">
        <f t="shared" si="1"/>
        <v>1.4427570093457944</v>
      </c>
      <c r="H43" s="13" t="str">
        <f>IF(AND($A43&gt;='4-Rapporto-RAL'!$B$8,$A43&lt;='4-Rapporto-RAL'!$B$9),"FINESTRA","")</f>
        <v/>
      </c>
    </row>
    <row r="44" spans="1:8">
      <c r="A44" s="17">
        <f>29800</f>
        <v>29800</v>
      </c>
      <c r="B44" s="9">
        <f>$A44*(1-'P-Parametri'!$B$19)</f>
        <v>27061.38</v>
      </c>
      <c r="C44" s="13" t="str">
        <f>IF(B44&lt;='P-Parametri'!$B$24,"sì","no")</f>
        <v>sì</v>
      </c>
      <c r="D44" s="11">
        <f>'P-Parametri'!$B$19+(1-'P-Parametri'!$B$19)*((IF(($A44*(1-'P-Parametri'!$B$19))&lt;='P-Parametri'!$B$6,'P-Parametri'!$C$6,IF(($A44*(1-'P-Parametri'!$B$19))&lt;='P-Parametri'!$B$7,'P-Parametri'!$C$7,'P-Parametri'!$C$8)))+(IF(($A44*(1-'P-Parametri'!$B$19))&lt;='P-Parametri'!$C$12,0,IF(($A44*(1-'P-Parametri'!$B$19))&lt;='P-Parametri'!$B$6,'P-Parametri'!$C$13/'P-Parametri'!$D$13,IF(($A44*(1-'P-Parametri'!$B$19))&lt;='P-Parametri'!$B$7,'P-Parametri'!$B$14/'P-Parametri'!$C$14,0))))+(IF(AND(($A44*(1-'P-Parametri'!$B$19))&gt;'P-Parametri'!$D$15,($A44*(1-'P-Parametri'!$B$19))&lt;'P-Parametri'!$E$15),'P-Parametri'!$B$15/('P-Parametri'!$E$15-'P-Parametri'!$D$15),0))+'P-Parametri'!$B$20)</f>
        <v>0.40205107692307696</v>
      </c>
      <c r="E44" s="11">
        <f t="shared" si="0"/>
        <v>0.59794892307692304</v>
      </c>
      <c r="F44" s="11">
        <f>(1-'P-Parametri'!$B$19)*(1-'P-Parametri'!$B$23)</f>
        <v>0.86269499999999999</v>
      </c>
      <c r="G44" s="23">
        <f t="shared" si="1"/>
        <v>1.4427570093457944</v>
      </c>
      <c r="H44" s="13" t="str">
        <f>IF(AND($A44&gt;='4-Rapporto-RAL'!$B$8,$A44&lt;='4-Rapporto-RAL'!$B$9),"FINESTRA","")</f>
        <v/>
      </c>
    </row>
    <row r="45" spans="1:8">
      <c r="A45" s="17">
        <f>29900</f>
        <v>29900</v>
      </c>
      <c r="B45" s="9">
        <f>$A45*(1-'P-Parametri'!$B$19)</f>
        <v>27152.190000000002</v>
      </c>
      <c r="C45" s="13" t="str">
        <f>IF(B45&lt;='P-Parametri'!$B$24,"sì","no")</f>
        <v>sì</v>
      </c>
      <c r="D45" s="11">
        <f>'P-Parametri'!$B$19+(1-'P-Parametri'!$B$19)*((IF(($A45*(1-'P-Parametri'!$B$19))&lt;='P-Parametri'!$B$6,'P-Parametri'!$C$6,IF(($A45*(1-'P-Parametri'!$B$19))&lt;='P-Parametri'!$B$7,'P-Parametri'!$C$7,'P-Parametri'!$C$8)))+(IF(($A45*(1-'P-Parametri'!$B$19))&lt;='P-Parametri'!$C$12,0,IF(($A45*(1-'P-Parametri'!$B$19))&lt;='P-Parametri'!$B$6,'P-Parametri'!$C$13/'P-Parametri'!$D$13,IF(($A45*(1-'P-Parametri'!$B$19))&lt;='P-Parametri'!$B$7,'P-Parametri'!$B$14/'P-Parametri'!$C$14,0))))+(IF(AND(($A45*(1-'P-Parametri'!$B$19))&gt;'P-Parametri'!$D$15,($A45*(1-'P-Parametri'!$B$19))&lt;'P-Parametri'!$E$15),'P-Parametri'!$B$15/('P-Parametri'!$E$15-'P-Parametri'!$D$15),0))+'P-Parametri'!$B$20)</f>
        <v>0.40205107692307696</v>
      </c>
      <c r="E45" s="11">
        <f t="shared" si="0"/>
        <v>0.59794892307692304</v>
      </c>
      <c r="F45" s="11">
        <f>(1-'P-Parametri'!$B$19)*(1-'P-Parametri'!$B$23)</f>
        <v>0.86269499999999999</v>
      </c>
      <c r="G45" s="23">
        <f t="shared" si="1"/>
        <v>1.4427570093457944</v>
      </c>
      <c r="H45" s="13" t="str">
        <f>IF(AND($A45&gt;='4-Rapporto-RAL'!$B$8,$A45&lt;='4-Rapporto-RAL'!$B$9),"FINESTRA","")</f>
        <v/>
      </c>
    </row>
    <row r="46" spans="1:8">
      <c r="A46" s="17">
        <f>30000</f>
        <v>30000</v>
      </c>
      <c r="B46" s="9">
        <f>$A46*(1-'P-Parametri'!$B$19)</f>
        <v>27243</v>
      </c>
      <c r="C46" s="13" t="str">
        <f>IF(B46&lt;='P-Parametri'!$B$24,"sì","no")</f>
        <v>sì</v>
      </c>
      <c r="D46" s="11">
        <f>'P-Parametri'!$B$19+(1-'P-Parametri'!$B$19)*((IF(($A46*(1-'P-Parametri'!$B$19))&lt;='P-Parametri'!$B$6,'P-Parametri'!$C$6,IF(($A46*(1-'P-Parametri'!$B$19))&lt;='P-Parametri'!$B$7,'P-Parametri'!$C$7,'P-Parametri'!$C$8)))+(IF(($A46*(1-'P-Parametri'!$B$19))&lt;='P-Parametri'!$C$12,0,IF(($A46*(1-'P-Parametri'!$B$19))&lt;='P-Parametri'!$B$6,'P-Parametri'!$C$13/'P-Parametri'!$D$13,IF(($A46*(1-'P-Parametri'!$B$19))&lt;='P-Parametri'!$B$7,'P-Parametri'!$B$14/'P-Parametri'!$C$14,0))))+(IF(AND(($A46*(1-'P-Parametri'!$B$19))&gt;'P-Parametri'!$D$15,($A46*(1-'P-Parametri'!$B$19))&lt;'P-Parametri'!$E$15),'P-Parametri'!$B$15/('P-Parametri'!$E$15-'P-Parametri'!$D$15),0))+'P-Parametri'!$B$20)</f>
        <v>0.40205107692307696</v>
      </c>
      <c r="E46" s="11">
        <f t="shared" si="0"/>
        <v>0.59794892307692304</v>
      </c>
      <c r="F46" s="11">
        <f>(1-'P-Parametri'!$B$19)*(1-'P-Parametri'!$B$23)</f>
        <v>0.86269499999999999</v>
      </c>
      <c r="G46" s="23">
        <f t="shared" si="1"/>
        <v>1.4427570093457944</v>
      </c>
      <c r="H46" s="13" t="str">
        <f>IF(AND($A46&gt;='4-Rapporto-RAL'!$B$8,$A46&lt;='4-Rapporto-RAL'!$B$9),"FINESTRA","")</f>
        <v/>
      </c>
    </row>
    <row r="47" spans="1:8">
      <c r="A47" s="17">
        <f>30100</f>
        <v>30100</v>
      </c>
      <c r="B47" s="9">
        <f>$A47*(1-'P-Parametri'!$B$19)</f>
        <v>27333.81</v>
      </c>
      <c r="C47" s="13" t="str">
        <f>IF(B47&lt;='P-Parametri'!$B$24,"sì","no")</f>
        <v>sì</v>
      </c>
      <c r="D47" s="11">
        <f>'P-Parametri'!$B$19+(1-'P-Parametri'!$B$19)*((IF(($A47*(1-'P-Parametri'!$B$19))&lt;='P-Parametri'!$B$6,'P-Parametri'!$C$6,IF(($A47*(1-'P-Parametri'!$B$19))&lt;='P-Parametri'!$B$7,'P-Parametri'!$C$7,'P-Parametri'!$C$8)))+(IF(($A47*(1-'P-Parametri'!$B$19))&lt;='P-Parametri'!$C$12,0,IF(($A47*(1-'P-Parametri'!$B$19))&lt;='P-Parametri'!$B$6,'P-Parametri'!$C$13/'P-Parametri'!$D$13,IF(($A47*(1-'P-Parametri'!$B$19))&lt;='P-Parametri'!$B$7,'P-Parametri'!$B$14/'P-Parametri'!$C$14,0))))+(IF(AND(($A47*(1-'P-Parametri'!$B$19))&gt;'P-Parametri'!$D$15,($A47*(1-'P-Parametri'!$B$19))&lt;'P-Parametri'!$E$15),'P-Parametri'!$B$15/('P-Parametri'!$E$15-'P-Parametri'!$D$15),0))+'P-Parametri'!$B$20)</f>
        <v>0.40205107692307696</v>
      </c>
      <c r="E47" s="11">
        <f t="shared" si="0"/>
        <v>0.59794892307692304</v>
      </c>
      <c r="F47" s="11">
        <f>(1-'P-Parametri'!$B$19)*(1-'P-Parametri'!$B$23)</f>
        <v>0.86269499999999999</v>
      </c>
      <c r="G47" s="23">
        <f t="shared" si="1"/>
        <v>1.4427570093457944</v>
      </c>
      <c r="H47" s="13" t="str">
        <f>IF(AND($A47&gt;='4-Rapporto-RAL'!$B$8,$A47&lt;='4-Rapporto-RAL'!$B$9),"FINESTRA","")</f>
        <v/>
      </c>
    </row>
    <row r="48" spans="1:8">
      <c r="A48" s="17">
        <f>30200</f>
        <v>30200</v>
      </c>
      <c r="B48" s="9">
        <f>$A48*(1-'P-Parametri'!$B$19)</f>
        <v>27424.62</v>
      </c>
      <c r="C48" s="13" t="str">
        <f>IF(B48&lt;='P-Parametri'!$B$24,"sì","no")</f>
        <v>sì</v>
      </c>
      <c r="D48" s="11">
        <f>'P-Parametri'!$B$19+(1-'P-Parametri'!$B$19)*((IF(($A48*(1-'P-Parametri'!$B$19))&lt;='P-Parametri'!$B$6,'P-Parametri'!$C$6,IF(($A48*(1-'P-Parametri'!$B$19))&lt;='P-Parametri'!$B$7,'P-Parametri'!$C$7,'P-Parametri'!$C$8)))+(IF(($A48*(1-'P-Parametri'!$B$19))&lt;='P-Parametri'!$C$12,0,IF(($A48*(1-'P-Parametri'!$B$19))&lt;='P-Parametri'!$B$6,'P-Parametri'!$C$13/'P-Parametri'!$D$13,IF(($A48*(1-'P-Parametri'!$B$19))&lt;='P-Parametri'!$B$7,'P-Parametri'!$B$14/'P-Parametri'!$C$14,0))))+(IF(AND(($A48*(1-'P-Parametri'!$B$19))&gt;'P-Parametri'!$D$15,($A48*(1-'P-Parametri'!$B$19))&lt;'P-Parametri'!$E$15),'P-Parametri'!$B$15/('P-Parametri'!$E$15-'P-Parametri'!$D$15),0))+'P-Parametri'!$B$20)</f>
        <v>0.40205107692307696</v>
      </c>
      <c r="E48" s="11">
        <f t="shared" si="0"/>
        <v>0.59794892307692304</v>
      </c>
      <c r="F48" s="11">
        <f>(1-'P-Parametri'!$B$19)*(1-'P-Parametri'!$B$23)</f>
        <v>0.86269499999999999</v>
      </c>
      <c r="G48" s="23">
        <f t="shared" si="1"/>
        <v>1.4427570093457944</v>
      </c>
      <c r="H48" s="13" t="str">
        <f>IF(AND($A48&gt;='4-Rapporto-RAL'!$B$8,$A48&lt;='4-Rapporto-RAL'!$B$9),"FINESTRA","")</f>
        <v/>
      </c>
    </row>
    <row r="49" spans="1:8">
      <c r="A49" s="17">
        <f>30300</f>
        <v>30300</v>
      </c>
      <c r="B49" s="9">
        <f>$A49*(1-'P-Parametri'!$B$19)</f>
        <v>27515.43</v>
      </c>
      <c r="C49" s="13" t="str">
        <f>IF(B49&lt;='P-Parametri'!$B$24,"sì","no")</f>
        <v>sì</v>
      </c>
      <c r="D49" s="11">
        <f>'P-Parametri'!$B$19+(1-'P-Parametri'!$B$19)*((IF(($A49*(1-'P-Parametri'!$B$19))&lt;='P-Parametri'!$B$6,'P-Parametri'!$C$6,IF(($A49*(1-'P-Parametri'!$B$19))&lt;='P-Parametri'!$B$7,'P-Parametri'!$C$7,'P-Parametri'!$C$8)))+(IF(($A49*(1-'P-Parametri'!$B$19))&lt;='P-Parametri'!$C$12,0,IF(($A49*(1-'P-Parametri'!$B$19))&lt;='P-Parametri'!$B$6,'P-Parametri'!$C$13/'P-Parametri'!$D$13,IF(($A49*(1-'P-Parametri'!$B$19))&lt;='P-Parametri'!$B$7,'P-Parametri'!$B$14/'P-Parametri'!$C$14,0))))+(IF(AND(($A49*(1-'P-Parametri'!$B$19))&gt;'P-Parametri'!$D$15,($A49*(1-'P-Parametri'!$B$19))&lt;'P-Parametri'!$E$15),'P-Parametri'!$B$15/('P-Parametri'!$E$15-'P-Parametri'!$D$15),0))+'P-Parametri'!$B$20)</f>
        <v>0.40205107692307696</v>
      </c>
      <c r="E49" s="11">
        <f t="shared" si="0"/>
        <v>0.59794892307692304</v>
      </c>
      <c r="F49" s="11">
        <f>(1-'P-Parametri'!$B$19)*(1-'P-Parametri'!$B$23)</f>
        <v>0.86269499999999999</v>
      </c>
      <c r="G49" s="23">
        <f t="shared" si="1"/>
        <v>1.4427570093457944</v>
      </c>
      <c r="H49" s="13" t="str">
        <f>IF(AND($A49&gt;='4-Rapporto-RAL'!$B$8,$A49&lt;='4-Rapporto-RAL'!$B$9),"FINESTRA","")</f>
        <v/>
      </c>
    </row>
    <row r="50" spans="1:8">
      <c r="A50" s="17">
        <f>30400</f>
        <v>30400</v>
      </c>
      <c r="B50" s="9">
        <f>$A50*(1-'P-Parametri'!$B$19)</f>
        <v>27606.240000000002</v>
      </c>
      <c r="C50" s="13" t="str">
        <f>IF(B50&lt;='P-Parametri'!$B$24,"sì","no")</f>
        <v>sì</v>
      </c>
      <c r="D50" s="11">
        <f>'P-Parametri'!$B$19+(1-'P-Parametri'!$B$19)*((IF(($A50*(1-'P-Parametri'!$B$19))&lt;='P-Parametri'!$B$6,'P-Parametri'!$C$6,IF(($A50*(1-'P-Parametri'!$B$19))&lt;='P-Parametri'!$B$7,'P-Parametri'!$C$7,'P-Parametri'!$C$8)))+(IF(($A50*(1-'P-Parametri'!$B$19))&lt;='P-Parametri'!$C$12,0,IF(($A50*(1-'P-Parametri'!$B$19))&lt;='P-Parametri'!$B$6,'P-Parametri'!$C$13/'P-Parametri'!$D$13,IF(($A50*(1-'P-Parametri'!$B$19))&lt;='P-Parametri'!$B$7,'P-Parametri'!$B$14/'P-Parametri'!$C$14,0))))+(IF(AND(($A50*(1-'P-Parametri'!$B$19))&gt;'P-Parametri'!$D$15,($A50*(1-'P-Parametri'!$B$19))&lt;'P-Parametri'!$E$15),'P-Parametri'!$B$15/('P-Parametri'!$E$15-'P-Parametri'!$D$15),0))+'P-Parametri'!$B$20)</f>
        <v>0.40205107692307696</v>
      </c>
      <c r="E50" s="11">
        <f t="shared" si="0"/>
        <v>0.59794892307692304</v>
      </c>
      <c r="F50" s="11">
        <f>(1-'P-Parametri'!$B$19)*(1-'P-Parametri'!$B$23)</f>
        <v>0.86269499999999999</v>
      </c>
      <c r="G50" s="23">
        <f t="shared" si="1"/>
        <v>1.4427570093457944</v>
      </c>
      <c r="H50" s="13" t="str">
        <f>IF(AND($A50&gt;='4-Rapporto-RAL'!$B$8,$A50&lt;='4-Rapporto-RAL'!$B$9),"FINESTRA","")</f>
        <v/>
      </c>
    </row>
    <row r="51" spans="1:8">
      <c r="A51" s="17">
        <f>30500</f>
        <v>30500</v>
      </c>
      <c r="B51" s="9">
        <f>$A51*(1-'P-Parametri'!$B$19)</f>
        <v>27697.05</v>
      </c>
      <c r="C51" s="13" t="str">
        <f>IF(B51&lt;='P-Parametri'!$B$24,"sì","no")</f>
        <v>sì</v>
      </c>
      <c r="D51" s="11">
        <f>'P-Parametri'!$B$19+(1-'P-Parametri'!$B$19)*((IF(($A51*(1-'P-Parametri'!$B$19))&lt;='P-Parametri'!$B$6,'P-Parametri'!$C$6,IF(($A51*(1-'P-Parametri'!$B$19))&lt;='P-Parametri'!$B$7,'P-Parametri'!$C$7,'P-Parametri'!$C$8)))+(IF(($A51*(1-'P-Parametri'!$B$19))&lt;='P-Parametri'!$C$12,0,IF(($A51*(1-'P-Parametri'!$B$19))&lt;='P-Parametri'!$B$6,'P-Parametri'!$C$13/'P-Parametri'!$D$13,IF(($A51*(1-'P-Parametri'!$B$19))&lt;='P-Parametri'!$B$7,'P-Parametri'!$B$14/'P-Parametri'!$C$14,0))))+(IF(AND(($A51*(1-'P-Parametri'!$B$19))&gt;'P-Parametri'!$D$15,($A51*(1-'P-Parametri'!$B$19))&lt;'P-Parametri'!$E$15),'P-Parametri'!$B$15/('P-Parametri'!$E$15-'P-Parametri'!$D$15),0))+'P-Parametri'!$B$20)</f>
        <v>0.40205107692307696</v>
      </c>
      <c r="E51" s="11">
        <f t="shared" si="0"/>
        <v>0.59794892307692304</v>
      </c>
      <c r="F51" s="11">
        <f>(1-'P-Parametri'!$B$19)*(1-'P-Parametri'!$B$23)</f>
        <v>0.86269499999999999</v>
      </c>
      <c r="G51" s="23">
        <f t="shared" si="1"/>
        <v>1.4427570093457944</v>
      </c>
      <c r="H51" s="13" t="str">
        <f>IF(AND($A51&gt;='4-Rapporto-RAL'!$B$8,$A51&lt;='4-Rapporto-RAL'!$B$9),"FINESTRA","")</f>
        <v/>
      </c>
    </row>
    <row r="52" spans="1:8">
      <c r="A52" s="17">
        <f>30600</f>
        <v>30600</v>
      </c>
      <c r="B52" s="9">
        <f>$A52*(1-'P-Parametri'!$B$19)</f>
        <v>27787.86</v>
      </c>
      <c r="C52" s="13" t="str">
        <f>IF(B52&lt;='P-Parametri'!$B$24,"sì","no")</f>
        <v>sì</v>
      </c>
      <c r="D52" s="11">
        <f>'P-Parametri'!$B$19+(1-'P-Parametri'!$B$19)*((IF(($A52*(1-'P-Parametri'!$B$19))&lt;='P-Parametri'!$B$6,'P-Parametri'!$C$6,IF(($A52*(1-'P-Parametri'!$B$19))&lt;='P-Parametri'!$B$7,'P-Parametri'!$C$7,'P-Parametri'!$C$8)))+(IF(($A52*(1-'P-Parametri'!$B$19))&lt;='P-Parametri'!$C$12,0,IF(($A52*(1-'P-Parametri'!$B$19))&lt;='P-Parametri'!$B$6,'P-Parametri'!$C$13/'P-Parametri'!$D$13,IF(($A52*(1-'P-Parametri'!$B$19))&lt;='P-Parametri'!$B$7,'P-Parametri'!$B$14/'P-Parametri'!$C$14,0))))+(IF(AND(($A52*(1-'P-Parametri'!$B$19))&gt;'P-Parametri'!$D$15,($A52*(1-'P-Parametri'!$B$19))&lt;'P-Parametri'!$E$15),'P-Parametri'!$B$15/('P-Parametri'!$E$15-'P-Parametri'!$D$15),0))+'P-Parametri'!$B$20)</f>
        <v>0.40205107692307696</v>
      </c>
      <c r="E52" s="11">
        <f t="shared" si="0"/>
        <v>0.59794892307692304</v>
      </c>
      <c r="F52" s="11">
        <f>(1-'P-Parametri'!$B$19)*(1-'P-Parametri'!$B$23)</f>
        <v>0.86269499999999999</v>
      </c>
      <c r="G52" s="23">
        <f t="shared" si="1"/>
        <v>1.4427570093457944</v>
      </c>
      <c r="H52" s="13" t="str">
        <f>IF(AND($A52&gt;='4-Rapporto-RAL'!$B$8,$A52&lt;='4-Rapporto-RAL'!$B$9),"FINESTRA","")</f>
        <v/>
      </c>
    </row>
    <row r="53" spans="1:8">
      <c r="A53" s="17">
        <f>30700</f>
        <v>30700</v>
      </c>
      <c r="B53" s="9">
        <f>$A53*(1-'P-Parametri'!$B$19)</f>
        <v>27878.670000000002</v>
      </c>
      <c r="C53" s="13" t="str">
        <f>IF(B53&lt;='P-Parametri'!$B$24,"sì","no")</f>
        <v>sì</v>
      </c>
      <c r="D53" s="11">
        <f>'P-Parametri'!$B$19+(1-'P-Parametri'!$B$19)*((IF(($A53*(1-'P-Parametri'!$B$19))&lt;='P-Parametri'!$B$6,'P-Parametri'!$C$6,IF(($A53*(1-'P-Parametri'!$B$19))&lt;='P-Parametri'!$B$7,'P-Parametri'!$C$7,'P-Parametri'!$C$8)))+(IF(($A53*(1-'P-Parametri'!$B$19))&lt;='P-Parametri'!$C$12,0,IF(($A53*(1-'P-Parametri'!$B$19))&lt;='P-Parametri'!$B$6,'P-Parametri'!$C$13/'P-Parametri'!$D$13,IF(($A53*(1-'P-Parametri'!$B$19))&lt;='P-Parametri'!$B$7,'P-Parametri'!$B$14/'P-Parametri'!$C$14,0))))+(IF(AND(($A53*(1-'P-Parametri'!$B$19))&gt;'P-Parametri'!$D$15,($A53*(1-'P-Parametri'!$B$19))&lt;'P-Parametri'!$E$15),'P-Parametri'!$B$15/('P-Parametri'!$E$15-'P-Parametri'!$D$15),0))+'P-Parametri'!$B$20)</f>
        <v>0.40205107692307696</v>
      </c>
      <c r="E53" s="11">
        <f t="shared" si="0"/>
        <v>0.59794892307692304</v>
      </c>
      <c r="F53" s="11">
        <f>(1-'P-Parametri'!$B$19)*(1-'P-Parametri'!$B$23)</f>
        <v>0.86269499999999999</v>
      </c>
      <c r="G53" s="23">
        <f t="shared" si="1"/>
        <v>1.4427570093457944</v>
      </c>
      <c r="H53" s="13" t="str">
        <f>IF(AND($A53&gt;='4-Rapporto-RAL'!$B$8,$A53&lt;='4-Rapporto-RAL'!$B$9),"FINESTRA","")</f>
        <v/>
      </c>
    </row>
    <row r="54" spans="1:8">
      <c r="A54" s="17">
        <f>30800</f>
        <v>30800</v>
      </c>
      <c r="B54" s="9">
        <f>$A54*(1-'P-Parametri'!$B$19)</f>
        <v>27969.48</v>
      </c>
      <c r="C54" s="13" t="str">
        <f>IF(B54&lt;='P-Parametri'!$B$24,"sì","no")</f>
        <v>sì</v>
      </c>
      <c r="D54" s="11">
        <f>'P-Parametri'!$B$19+(1-'P-Parametri'!$B$19)*((IF(($A54*(1-'P-Parametri'!$B$19))&lt;='P-Parametri'!$B$6,'P-Parametri'!$C$6,IF(($A54*(1-'P-Parametri'!$B$19))&lt;='P-Parametri'!$B$7,'P-Parametri'!$C$7,'P-Parametri'!$C$8)))+(IF(($A54*(1-'P-Parametri'!$B$19))&lt;='P-Parametri'!$C$12,0,IF(($A54*(1-'P-Parametri'!$B$19))&lt;='P-Parametri'!$B$6,'P-Parametri'!$C$13/'P-Parametri'!$D$13,IF(($A54*(1-'P-Parametri'!$B$19))&lt;='P-Parametri'!$B$7,'P-Parametri'!$B$14/'P-Parametri'!$C$14,0))))+(IF(AND(($A54*(1-'P-Parametri'!$B$19))&gt;'P-Parametri'!$D$15,($A54*(1-'P-Parametri'!$B$19))&lt;'P-Parametri'!$E$15),'P-Parametri'!$B$15/('P-Parametri'!$E$15-'P-Parametri'!$D$15),0))+'P-Parametri'!$B$20)</f>
        <v>0.40205107692307696</v>
      </c>
      <c r="E54" s="11">
        <f t="shared" si="0"/>
        <v>0.59794892307692304</v>
      </c>
      <c r="F54" s="11">
        <f>(1-'P-Parametri'!$B$19)*(1-'P-Parametri'!$B$23)</f>
        <v>0.86269499999999999</v>
      </c>
      <c r="G54" s="23">
        <f t="shared" si="1"/>
        <v>1.4427570093457944</v>
      </c>
      <c r="H54" s="13" t="str">
        <f>IF(AND($A54&gt;='4-Rapporto-RAL'!$B$8,$A54&lt;='4-Rapporto-RAL'!$B$9),"FINESTRA","")</f>
        <v/>
      </c>
    </row>
    <row r="55" spans="1:8">
      <c r="A55" s="17">
        <f>30900</f>
        <v>30900</v>
      </c>
      <c r="B55" s="9">
        <f>$A55*(1-'P-Parametri'!$B$19)</f>
        <v>28060.29</v>
      </c>
      <c r="C55" s="13" t="str">
        <f>IF(B55&lt;='P-Parametri'!$B$24,"sì","no")</f>
        <v>sì</v>
      </c>
      <c r="D55" s="11">
        <f>'P-Parametri'!$B$19+(1-'P-Parametri'!$B$19)*((IF(($A55*(1-'P-Parametri'!$B$19))&lt;='P-Parametri'!$B$6,'P-Parametri'!$C$6,IF(($A55*(1-'P-Parametri'!$B$19))&lt;='P-Parametri'!$B$7,'P-Parametri'!$C$7,'P-Parametri'!$C$8)))+(IF(($A55*(1-'P-Parametri'!$B$19))&lt;='P-Parametri'!$C$12,0,IF(($A55*(1-'P-Parametri'!$B$19))&lt;='P-Parametri'!$B$6,'P-Parametri'!$C$13/'P-Parametri'!$D$13,IF(($A55*(1-'P-Parametri'!$B$19))&lt;='P-Parametri'!$B$7,'P-Parametri'!$B$14/'P-Parametri'!$C$14,0))))+(IF(AND(($A55*(1-'P-Parametri'!$B$19))&gt;'P-Parametri'!$D$15,($A55*(1-'P-Parametri'!$B$19))&lt;'P-Parametri'!$E$15),'P-Parametri'!$B$15/('P-Parametri'!$E$15-'P-Parametri'!$D$15),0))+'P-Parametri'!$B$20)</f>
        <v>0.48857459090909094</v>
      </c>
      <c r="E55" s="11">
        <f t="shared" si="0"/>
        <v>0.51142540909090906</v>
      </c>
      <c r="F55" s="11">
        <f>(1-'P-Parametri'!$B$19)*(1-'P-Parametri'!$B$23)</f>
        <v>0.86269499999999999</v>
      </c>
      <c r="G55" s="23">
        <f t="shared" si="1"/>
        <v>1.6868442292171106</v>
      </c>
      <c r="H55" s="13" t="str">
        <f>IF(AND($A55&gt;='4-Rapporto-RAL'!$B$8,$A55&lt;='4-Rapporto-RAL'!$B$9),"FINESTRA","")</f>
        <v/>
      </c>
    </row>
    <row r="56" spans="1:8">
      <c r="A56" s="17">
        <f>31000</f>
        <v>31000</v>
      </c>
      <c r="B56" s="9">
        <f>$A56*(1-'P-Parametri'!$B$19)</f>
        <v>28151.100000000002</v>
      </c>
      <c r="C56" s="13" t="str">
        <f>IF(B56&lt;='P-Parametri'!$B$24,"sì","no")</f>
        <v>sì</v>
      </c>
      <c r="D56" s="11">
        <f>'P-Parametri'!$B$19+(1-'P-Parametri'!$B$19)*((IF(($A56*(1-'P-Parametri'!$B$19))&lt;='P-Parametri'!$B$6,'P-Parametri'!$C$6,IF(($A56*(1-'P-Parametri'!$B$19))&lt;='P-Parametri'!$B$7,'P-Parametri'!$C$7,'P-Parametri'!$C$8)))+(IF(($A56*(1-'P-Parametri'!$B$19))&lt;='P-Parametri'!$C$12,0,IF(($A56*(1-'P-Parametri'!$B$19))&lt;='P-Parametri'!$B$6,'P-Parametri'!$C$13/'P-Parametri'!$D$13,IF(($A56*(1-'P-Parametri'!$B$19))&lt;='P-Parametri'!$B$7,'P-Parametri'!$B$14/'P-Parametri'!$C$14,0))))+(IF(AND(($A56*(1-'P-Parametri'!$B$19))&gt;'P-Parametri'!$D$15,($A56*(1-'P-Parametri'!$B$19))&lt;'P-Parametri'!$E$15),'P-Parametri'!$B$15/('P-Parametri'!$E$15-'P-Parametri'!$D$15),0))+'P-Parametri'!$B$20)</f>
        <v>0.48857459090909094</v>
      </c>
      <c r="E56" s="11">
        <f t="shared" si="0"/>
        <v>0.51142540909090906</v>
      </c>
      <c r="F56" s="11">
        <f>(1-'P-Parametri'!$B$19)*(1-'P-Parametri'!$B$23)</f>
        <v>0.86269499999999999</v>
      </c>
      <c r="G56" s="23">
        <f t="shared" si="1"/>
        <v>1.6868442292171106</v>
      </c>
      <c r="H56" s="13" t="str">
        <f>IF(AND($A56&gt;='4-Rapporto-RAL'!$B$8,$A56&lt;='4-Rapporto-RAL'!$B$9),"FINESTRA","")</f>
        <v/>
      </c>
    </row>
    <row r="57" spans="1:8">
      <c r="A57" s="17">
        <f>31100</f>
        <v>31100</v>
      </c>
      <c r="B57" s="9">
        <f>$A57*(1-'P-Parametri'!$B$19)</f>
        <v>28241.91</v>
      </c>
      <c r="C57" s="13" t="str">
        <f>IF(B57&lt;='P-Parametri'!$B$24,"sì","no")</f>
        <v>sì</v>
      </c>
      <c r="D57" s="11">
        <f>'P-Parametri'!$B$19+(1-'P-Parametri'!$B$19)*((IF(($A57*(1-'P-Parametri'!$B$19))&lt;='P-Parametri'!$B$6,'P-Parametri'!$C$6,IF(($A57*(1-'P-Parametri'!$B$19))&lt;='P-Parametri'!$B$7,'P-Parametri'!$C$7,'P-Parametri'!$C$8)))+(IF(($A57*(1-'P-Parametri'!$B$19))&lt;='P-Parametri'!$C$12,0,IF(($A57*(1-'P-Parametri'!$B$19))&lt;='P-Parametri'!$B$6,'P-Parametri'!$C$13/'P-Parametri'!$D$13,IF(($A57*(1-'P-Parametri'!$B$19))&lt;='P-Parametri'!$B$7,'P-Parametri'!$B$14/'P-Parametri'!$C$14,0))))+(IF(AND(($A57*(1-'P-Parametri'!$B$19))&gt;'P-Parametri'!$D$15,($A57*(1-'P-Parametri'!$B$19))&lt;'P-Parametri'!$E$15),'P-Parametri'!$B$15/('P-Parametri'!$E$15-'P-Parametri'!$D$15),0))+'P-Parametri'!$B$20)</f>
        <v>0.48857459090909094</v>
      </c>
      <c r="E57" s="11">
        <f t="shared" si="0"/>
        <v>0.51142540909090906</v>
      </c>
      <c r="F57" s="11">
        <f>(1-'P-Parametri'!$B$19)*(1-'P-Parametri'!$B$23)</f>
        <v>0.86269499999999999</v>
      </c>
      <c r="G57" s="23">
        <f t="shared" si="1"/>
        <v>1.6868442292171106</v>
      </c>
      <c r="H57" s="13" t="str">
        <f>IF(AND($A57&gt;='4-Rapporto-RAL'!$B$8,$A57&lt;='4-Rapporto-RAL'!$B$9),"FINESTRA","")</f>
        <v/>
      </c>
    </row>
    <row r="58" spans="1:8">
      <c r="A58" s="17">
        <f>31200</f>
        <v>31200</v>
      </c>
      <c r="B58" s="9">
        <f>$A58*(1-'P-Parametri'!$B$19)</f>
        <v>28332.720000000001</v>
      </c>
      <c r="C58" s="13" t="str">
        <f>IF(B58&lt;='P-Parametri'!$B$24,"sì","no")</f>
        <v>sì</v>
      </c>
      <c r="D58" s="11">
        <f>'P-Parametri'!$B$19+(1-'P-Parametri'!$B$19)*((IF(($A58*(1-'P-Parametri'!$B$19))&lt;='P-Parametri'!$B$6,'P-Parametri'!$C$6,IF(($A58*(1-'P-Parametri'!$B$19))&lt;='P-Parametri'!$B$7,'P-Parametri'!$C$7,'P-Parametri'!$C$8)))+(IF(($A58*(1-'P-Parametri'!$B$19))&lt;='P-Parametri'!$C$12,0,IF(($A58*(1-'P-Parametri'!$B$19))&lt;='P-Parametri'!$B$6,'P-Parametri'!$C$13/'P-Parametri'!$D$13,IF(($A58*(1-'P-Parametri'!$B$19))&lt;='P-Parametri'!$B$7,'P-Parametri'!$B$14/'P-Parametri'!$C$14,0))))+(IF(AND(($A58*(1-'P-Parametri'!$B$19))&gt;'P-Parametri'!$D$15,($A58*(1-'P-Parametri'!$B$19))&lt;'P-Parametri'!$E$15),'P-Parametri'!$B$15/('P-Parametri'!$E$15-'P-Parametri'!$D$15),0))+'P-Parametri'!$B$20)</f>
        <v>0.48857459090909094</v>
      </c>
      <c r="E58" s="11">
        <f t="shared" ref="E58:E89" si="2">1-D58</f>
        <v>0.51142540909090906</v>
      </c>
      <c r="F58" s="11">
        <f>(1-'P-Parametri'!$B$19)*(1-'P-Parametri'!$B$23)</f>
        <v>0.86269499999999999</v>
      </c>
      <c r="G58" s="23">
        <f t="shared" ref="G58:G89" si="3">IF(C58="sì",F58/E58,"")</f>
        <v>1.6868442292171106</v>
      </c>
      <c r="H58" s="13" t="str">
        <f>IF(AND($A58&gt;='4-Rapporto-RAL'!$B$8,$A58&lt;='4-Rapporto-RAL'!$B$9),"FINESTRA","")</f>
        <v/>
      </c>
    </row>
    <row r="59" spans="1:8">
      <c r="A59" s="17">
        <f>31300</f>
        <v>31300</v>
      </c>
      <c r="B59" s="9">
        <f>$A59*(1-'P-Parametri'!$B$19)</f>
        <v>28423.53</v>
      </c>
      <c r="C59" s="13" t="str">
        <f>IF(B59&lt;='P-Parametri'!$B$24,"sì","no")</f>
        <v>sì</v>
      </c>
      <c r="D59" s="11">
        <f>'P-Parametri'!$B$19+(1-'P-Parametri'!$B$19)*((IF(($A59*(1-'P-Parametri'!$B$19))&lt;='P-Parametri'!$B$6,'P-Parametri'!$C$6,IF(($A59*(1-'P-Parametri'!$B$19))&lt;='P-Parametri'!$B$7,'P-Parametri'!$C$7,'P-Parametri'!$C$8)))+(IF(($A59*(1-'P-Parametri'!$B$19))&lt;='P-Parametri'!$C$12,0,IF(($A59*(1-'P-Parametri'!$B$19))&lt;='P-Parametri'!$B$6,'P-Parametri'!$C$13/'P-Parametri'!$D$13,IF(($A59*(1-'P-Parametri'!$B$19))&lt;='P-Parametri'!$B$7,'P-Parametri'!$B$14/'P-Parametri'!$C$14,0))))+(IF(AND(($A59*(1-'P-Parametri'!$B$19))&gt;'P-Parametri'!$D$15,($A59*(1-'P-Parametri'!$B$19))&lt;'P-Parametri'!$E$15),'P-Parametri'!$B$15/('P-Parametri'!$E$15-'P-Parametri'!$D$15),0))+'P-Parametri'!$B$20)</f>
        <v>0.48857459090909094</v>
      </c>
      <c r="E59" s="11">
        <f t="shared" si="2"/>
        <v>0.51142540909090906</v>
      </c>
      <c r="F59" s="11">
        <f>(1-'P-Parametri'!$B$19)*(1-'P-Parametri'!$B$23)</f>
        <v>0.86269499999999999</v>
      </c>
      <c r="G59" s="23">
        <f t="shared" si="3"/>
        <v>1.6868442292171106</v>
      </c>
      <c r="H59" s="13" t="str">
        <f>IF(AND($A59&gt;='4-Rapporto-RAL'!$B$8,$A59&lt;='4-Rapporto-RAL'!$B$9),"FINESTRA","")</f>
        <v/>
      </c>
    </row>
    <row r="60" spans="1:8">
      <c r="A60" s="17">
        <f>31400</f>
        <v>31400</v>
      </c>
      <c r="B60" s="9">
        <f>$A60*(1-'P-Parametri'!$B$19)</f>
        <v>28514.34</v>
      </c>
      <c r="C60" s="13" t="str">
        <f>IF(B60&lt;='P-Parametri'!$B$24,"sì","no")</f>
        <v>sì</v>
      </c>
      <c r="D60" s="11">
        <f>'P-Parametri'!$B$19+(1-'P-Parametri'!$B$19)*((IF(($A60*(1-'P-Parametri'!$B$19))&lt;='P-Parametri'!$B$6,'P-Parametri'!$C$6,IF(($A60*(1-'P-Parametri'!$B$19))&lt;='P-Parametri'!$B$7,'P-Parametri'!$C$7,'P-Parametri'!$C$8)))+(IF(($A60*(1-'P-Parametri'!$B$19))&lt;='P-Parametri'!$C$12,0,IF(($A60*(1-'P-Parametri'!$B$19))&lt;='P-Parametri'!$B$6,'P-Parametri'!$C$13/'P-Parametri'!$D$13,IF(($A60*(1-'P-Parametri'!$B$19))&lt;='P-Parametri'!$B$7,'P-Parametri'!$B$14/'P-Parametri'!$C$14,0))))+(IF(AND(($A60*(1-'P-Parametri'!$B$19))&gt;'P-Parametri'!$D$15,($A60*(1-'P-Parametri'!$B$19))&lt;'P-Parametri'!$E$15),'P-Parametri'!$B$15/('P-Parametri'!$E$15-'P-Parametri'!$D$15),0))+'P-Parametri'!$B$20)</f>
        <v>0.48857459090909094</v>
      </c>
      <c r="E60" s="11">
        <f t="shared" si="2"/>
        <v>0.51142540909090906</v>
      </c>
      <c r="F60" s="11">
        <f>(1-'P-Parametri'!$B$19)*(1-'P-Parametri'!$B$23)</f>
        <v>0.86269499999999999</v>
      </c>
      <c r="G60" s="23">
        <f t="shared" si="3"/>
        <v>1.6868442292171106</v>
      </c>
      <c r="H60" s="13" t="str">
        <f>IF(AND($A60&gt;='4-Rapporto-RAL'!$B$8,$A60&lt;='4-Rapporto-RAL'!$B$9),"FINESTRA","")</f>
        <v/>
      </c>
    </row>
    <row r="61" spans="1:8">
      <c r="A61" s="17">
        <f>31500</f>
        <v>31500</v>
      </c>
      <c r="B61" s="9">
        <f>$A61*(1-'P-Parametri'!$B$19)</f>
        <v>28605.15</v>
      </c>
      <c r="C61" s="13" t="str">
        <f>IF(B61&lt;='P-Parametri'!$B$24,"sì","no")</f>
        <v>sì</v>
      </c>
      <c r="D61" s="11">
        <f>'P-Parametri'!$B$19+(1-'P-Parametri'!$B$19)*((IF(($A61*(1-'P-Parametri'!$B$19))&lt;='P-Parametri'!$B$6,'P-Parametri'!$C$6,IF(($A61*(1-'P-Parametri'!$B$19))&lt;='P-Parametri'!$B$7,'P-Parametri'!$C$7,'P-Parametri'!$C$8)))+(IF(($A61*(1-'P-Parametri'!$B$19))&lt;='P-Parametri'!$C$12,0,IF(($A61*(1-'P-Parametri'!$B$19))&lt;='P-Parametri'!$B$6,'P-Parametri'!$C$13/'P-Parametri'!$D$13,IF(($A61*(1-'P-Parametri'!$B$19))&lt;='P-Parametri'!$B$7,'P-Parametri'!$B$14/'P-Parametri'!$C$14,0))))+(IF(AND(($A61*(1-'P-Parametri'!$B$19))&gt;'P-Parametri'!$D$15,($A61*(1-'P-Parametri'!$B$19))&lt;'P-Parametri'!$E$15),'P-Parametri'!$B$15/('P-Parametri'!$E$15-'P-Parametri'!$D$15),0))+'P-Parametri'!$B$20)</f>
        <v>0.48857459090909094</v>
      </c>
      <c r="E61" s="11">
        <f t="shared" si="2"/>
        <v>0.51142540909090906</v>
      </c>
      <c r="F61" s="11">
        <f>(1-'P-Parametri'!$B$19)*(1-'P-Parametri'!$B$23)</f>
        <v>0.86269499999999999</v>
      </c>
      <c r="G61" s="23">
        <f t="shared" si="3"/>
        <v>1.6868442292171106</v>
      </c>
      <c r="H61" s="13" t="str">
        <f>IF(AND($A61&gt;='4-Rapporto-RAL'!$B$8,$A61&lt;='4-Rapporto-RAL'!$B$9),"FINESTRA","")</f>
        <v/>
      </c>
    </row>
    <row r="62" spans="1:8">
      <c r="A62" s="17">
        <f>31600</f>
        <v>31600</v>
      </c>
      <c r="B62" s="9">
        <f>$A62*(1-'P-Parametri'!$B$19)</f>
        <v>28695.96</v>
      </c>
      <c r="C62" s="13" t="str">
        <f>IF(B62&lt;='P-Parametri'!$B$24,"sì","no")</f>
        <v>sì</v>
      </c>
      <c r="D62" s="11">
        <f>'P-Parametri'!$B$19+(1-'P-Parametri'!$B$19)*((IF(($A62*(1-'P-Parametri'!$B$19))&lt;='P-Parametri'!$B$6,'P-Parametri'!$C$6,IF(($A62*(1-'P-Parametri'!$B$19))&lt;='P-Parametri'!$B$7,'P-Parametri'!$C$7,'P-Parametri'!$C$8)))+(IF(($A62*(1-'P-Parametri'!$B$19))&lt;='P-Parametri'!$C$12,0,IF(($A62*(1-'P-Parametri'!$B$19))&lt;='P-Parametri'!$B$6,'P-Parametri'!$C$13/'P-Parametri'!$D$13,IF(($A62*(1-'P-Parametri'!$B$19))&lt;='P-Parametri'!$B$7,'P-Parametri'!$B$14/'P-Parametri'!$C$14,0))))+(IF(AND(($A62*(1-'P-Parametri'!$B$19))&gt;'P-Parametri'!$D$15,($A62*(1-'P-Parametri'!$B$19))&lt;'P-Parametri'!$E$15),'P-Parametri'!$B$15/('P-Parametri'!$E$15-'P-Parametri'!$D$15),0))+'P-Parametri'!$B$20)</f>
        <v>0.48857459090909094</v>
      </c>
      <c r="E62" s="11">
        <f t="shared" si="2"/>
        <v>0.51142540909090906</v>
      </c>
      <c r="F62" s="11">
        <f>(1-'P-Parametri'!$B$19)*(1-'P-Parametri'!$B$23)</f>
        <v>0.86269499999999999</v>
      </c>
      <c r="G62" s="23">
        <f t="shared" si="3"/>
        <v>1.6868442292171106</v>
      </c>
      <c r="H62" s="13" t="str">
        <f>IF(AND($A62&gt;='4-Rapporto-RAL'!$B$8,$A62&lt;='4-Rapporto-RAL'!$B$9),"FINESTRA","")</f>
        <v/>
      </c>
    </row>
    <row r="63" spans="1:8">
      <c r="A63" s="17">
        <f>31700</f>
        <v>31700</v>
      </c>
      <c r="B63" s="9">
        <f>$A63*(1-'P-Parametri'!$B$19)</f>
        <v>28786.77</v>
      </c>
      <c r="C63" s="13" t="str">
        <f>IF(B63&lt;='P-Parametri'!$B$24,"sì","no")</f>
        <v>sì</v>
      </c>
      <c r="D63" s="11">
        <f>'P-Parametri'!$B$19+(1-'P-Parametri'!$B$19)*((IF(($A63*(1-'P-Parametri'!$B$19))&lt;='P-Parametri'!$B$6,'P-Parametri'!$C$6,IF(($A63*(1-'P-Parametri'!$B$19))&lt;='P-Parametri'!$B$7,'P-Parametri'!$C$7,'P-Parametri'!$C$8)))+(IF(($A63*(1-'P-Parametri'!$B$19))&lt;='P-Parametri'!$C$12,0,IF(($A63*(1-'P-Parametri'!$B$19))&lt;='P-Parametri'!$B$6,'P-Parametri'!$C$13/'P-Parametri'!$D$13,IF(($A63*(1-'P-Parametri'!$B$19))&lt;='P-Parametri'!$B$7,'P-Parametri'!$B$14/'P-Parametri'!$C$14,0))))+(IF(AND(($A63*(1-'P-Parametri'!$B$19))&gt;'P-Parametri'!$D$15,($A63*(1-'P-Parametri'!$B$19))&lt;'P-Parametri'!$E$15),'P-Parametri'!$B$15/('P-Parametri'!$E$15-'P-Parametri'!$D$15),0))+'P-Parametri'!$B$20)</f>
        <v>0.48857459090909094</v>
      </c>
      <c r="E63" s="11">
        <f t="shared" si="2"/>
        <v>0.51142540909090906</v>
      </c>
      <c r="F63" s="11">
        <f>(1-'P-Parametri'!$B$19)*(1-'P-Parametri'!$B$23)</f>
        <v>0.86269499999999999</v>
      </c>
      <c r="G63" s="23">
        <f t="shared" si="3"/>
        <v>1.6868442292171106</v>
      </c>
      <c r="H63" s="13" t="str">
        <f>IF(AND($A63&gt;='4-Rapporto-RAL'!$B$8,$A63&lt;='4-Rapporto-RAL'!$B$9),"FINESTRA","")</f>
        <v/>
      </c>
    </row>
    <row r="64" spans="1:8">
      <c r="A64" s="17">
        <f>31800</f>
        <v>31800</v>
      </c>
      <c r="B64" s="9">
        <f>$A64*(1-'P-Parametri'!$B$19)</f>
        <v>28877.58</v>
      </c>
      <c r="C64" s="13" t="str">
        <f>IF(B64&lt;='P-Parametri'!$B$24,"sì","no")</f>
        <v>sì</v>
      </c>
      <c r="D64" s="11">
        <f>'P-Parametri'!$B$19+(1-'P-Parametri'!$B$19)*((IF(($A64*(1-'P-Parametri'!$B$19))&lt;='P-Parametri'!$B$6,'P-Parametri'!$C$6,IF(($A64*(1-'P-Parametri'!$B$19))&lt;='P-Parametri'!$B$7,'P-Parametri'!$C$7,'P-Parametri'!$C$8)))+(IF(($A64*(1-'P-Parametri'!$B$19))&lt;='P-Parametri'!$C$12,0,IF(($A64*(1-'P-Parametri'!$B$19))&lt;='P-Parametri'!$B$6,'P-Parametri'!$C$13/'P-Parametri'!$D$13,IF(($A64*(1-'P-Parametri'!$B$19))&lt;='P-Parametri'!$B$7,'P-Parametri'!$B$14/'P-Parametri'!$C$14,0))))+(IF(AND(($A64*(1-'P-Parametri'!$B$19))&gt;'P-Parametri'!$D$15,($A64*(1-'P-Parametri'!$B$19))&lt;'P-Parametri'!$E$15),'P-Parametri'!$B$15/('P-Parametri'!$E$15-'P-Parametri'!$D$15),0))+'P-Parametri'!$B$20)</f>
        <v>0.48857459090909094</v>
      </c>
      <c r="E64" s="11">
        <f t="shared" si="2"/>
        <v>0.51142540909090906</v>
      </c>
      <c r="F64" s="11">
        <f>(1-'P-Parametri'!$B$19)*(1-'P-Parametri'!$B$23)</f>
        <v>0.86269499999999999</v>
      </c>
      <c r="G64" s="23">
        <f t="shared" si="3"/>
        <v>1.6868442292171106</v>
      </c>
      <c r="H64" s="13" t="str">
        <f>IF(AND($A64&gt;='4-Rapporto-RAL'!$B$8,$A64&lt;='4-Rapporto-RAL'!$B$9),"FINESTRA","")</f>
        <v/>
      </c>
    </row>
    <row r="65" spans="1:8">
      <c r="A65" s="17">
        <f>31900</f>
        <v>31900</v>
      </c>
      <c r="B65" s="9">
        <f>$A65*(1-'P-Parametri'!$B$19)</f>
        <v>28968.39</v>
      </c>
      <c r="C65" s="13" t="str">
        <f>IF(B65&lt;='P-Parametri'!$B$24,"sì","no")</f>
        <v>sì</v>
      </c>
      <c r="D65" s="11">
        <f>'P-Parametri'!$B$19+(1-'P-Parametri'!$B$19)*((IF(($A65*(1-'P-Parametri'!$B$19))&lt;='P-Parametri'!$B$6,'P-Parametri'!$C$6,IF(($A65*(1-'P-Parametri'!$B$19))&lt;='P-Parametri'!$B$7,'P-Parametri'!$C$7,'P-Parametri'!$C$8)))+(IF(($A65*(1-'P-Parametri'!$B$19))&lt;='P-Parametri'!$C$12,0,IF(($A65*(1-'P-Parametri'!$B$19))&lt;='P-Parametri'!$B$6,'P-Parametri'!$C$13/'P-Parametri'!$D$13,IF(($A65*(1-'P-Parametri'!$B$19))&lt;='P-Parametri'!$B$7,'P-Parametri'!$B$14/'P-Parametri'!$C$14,0))))+(IF(AND(($A65*(1-'P-Parametri'!$B$19))&gt;'P-Parametri'!$D$15,($A65*(1-'P-Parametri'!$B$19))&lt;'P-Parametri'!$E$15),'P-Parametri'!$B$15/('P-Parametri'!$E$15-'P-Parametri'!$D$15),0))+'P-Parametri'!$B$20)</f>
        <v>0.48857459090909094</v>
      </c>
      <c r="E65" s="11">
        <f t="shared" si="2"/>
        <v>0.51142540909090906</v>
      </c>
      <c r="F65" s="11">
        <f>(1-'P-Parametri'!$B$19)*(1-'P-Parametri'!$B$23)</f>
        <v>0.86269499999999999</v>
      </c>
      <c r="G65" s="23">
        <f t="shared" si="3"/>
        <v>1.6868442292171106</v>
      </c>
      <c r="H65" s="13" t="str">
        <f>IF(AND($A65&gt;='4-Rapporto-RAL'!$B$8,$A65&lt;='4-Rapporto-RAL'!$B$9),"FINESTRA","")</f>
        <v/>
      </c>
    </row>
    <row r="66" spans="1:8">
      <c r="A66" s="17">
        <f>32000</f>
        <v>32000</v>
      </c>
      <c r="B66" s="9">
        <f>$A66*(1-'P-Parametri'!$B$19)</f>
        <v>29059.200000000001</v>
      </c>
      <c r="C66" s="13" t="str">
        <f>IF(B66&lt;='P-Parametri'!$B$24,"sì","no")</f>
        <v>sì</v>
      </c>
      <c r="D66" s="11">
        <f>'P-Parametri'!$B$19+(1-'P-Parametri'!$B$19)*((IF(($A66*(1-'P-Parametri'!$B$19))&lt;='P-Parametri'!$B$6,'P-Parametri'!$C$6,IF(($A66*(1-'P-Parametri'!$B$19))&lt;='P-Parametri'!$B$7,'P-Parametri'!$C$7,'P-Parametri'!$C$8)))+(IF(($A66*(1-'P-Parametri'!$B$19))&lt;='P-Parametri'!$C$12,0,IF(($A66*(1-'P-Parametri'!$B$19))&lt;='P-Parametri'!$B$6,'P-Parametri'!$C$13/'P-Parametri'!$D$13,IF(($A66*(1-'P-Parametri'!$B$19))&lt;='P-Parametri'!$B$7,'P-Parametri'!$B$14/'P-Parametri'!$C$14,0))))+(IF(AND(($A66*(1-'P-Parametri'!$B$19))&gt;'P-Parametri'!$D$15,($A66*(1-'P-Parametri'!$B$19))&lt;'P-Parametri'!$E$15),'P-Parametri'!$B$15/('P-Parametri'!$E$15-'P-Parametri'!$D$15),0))+'P-Parametri'!$B$20)</f>
        <v>0.48857459090909094</v>
      </c>
      <c r="E66" s="11">
        <f t="shared" si="2"/>
        <v>0.51142540909090906</v>
      </c>
      <c r="F66" s="11">
        <f>(1-'P-Parametri'!$B$19)*(1-'P-Parametri'!$B$23)</f>
        <v>0.86269499999999999</v>
      </c>
      <c r="G66" s="23">
        <f t="shared" si="3"/>
        <v>1.6868442292171106</v>
      </c>
      <c r="H66" s="13" t="str">
        <f>IF(AND($A66&gt;='4-Rapporto-RAL'!$B$8,$A66&lt;='4-Rapporto-RAL'!$B$9),"FINESTRA","")</f>
        <v/>
      </c>
    </row>
    <row r="67" spans="1:8">
      <c r="A67" s="17">
        <f>32100</f>
        <v>32100</v>
      </c>
      <c r="B67" s="9">
        <f>$A67*(1-'P-Parametri'!$B$19)</f>
        <v>29150.010000000002</v>
      </c>
      <c r="C67" s="13" t="str">
        <f>IF(B67&lt;='P-Parametri'!$B$24,"sì","no")</f>
        <v>sì</v>
      </c>
      <c r="D67" s="11">
        <f>'P-Parametri'!$B$19+(1-'P-Parametri'!$B$19)*((IF(($A67*(1-'P-Parametri'!$B$19))&lt;='P-Parametri'!$B$6,'P-Parametri'!$C$6,IF(($A67*(1-'P-Parametri'!$B$19))&lt;='P-Parametri'!$B$7,'P-Parametri'!$C$7,'P-Parametri'!$C$8)))+(IF(($A67*(1-'P-Parametri'!$B$19))&lt;='P-Parametri'!$C$12,0,IF(($A67*(1-'P-Parametri'!$B$19))&lt;='P-Parametri'!$B$6,'P-Parametri'!$C$13/'P-Parametri'!$D$13,IF(($A67*(1-'P-Parametri'!$B$19))&lt;='P-Parametri'!$B$7,'P-Parametri'!$B$14/'P-Parametri'!$C$14,0))))+(IF(AND(($A67*(1-'P-Parametri'!$B$19))&gt;'P-Parametri'!$D$15,($A67*(1-'P-Parametri'!$B$19))&lt;'P-Parametri'!$E$15),'P-Parametri'!$B$15/('P-Parametri'!$E$15-'P-Parametri'!$D$15),0))+'P-Parametri'!$B$20)</f>
        <v>0.48857459090909094</v>
      </c>
      <c r="E67" s="11">
        <f t="shared" si="2"/>
        <v>0.51142540909090906</v>
      </c>
      <c r="F67" s="11">
        <f>(1-'P-Parametri'!$B$19)*(1-'P-Parametri'!$B$23)</f>
        <v>0.86269499999999999</v>
      </c>
      <c r="G67" s="23">
        <f t="shared" si="3"/>
        <v>1.6868442292171106</v>
      </c>
      <c r="H67" s="13" t="str">
        <f>IF(AND($A67&gt;='4-Rapporto-RAL'!$B$8,$A67&lt;='4-Rapporto-RAL'!$B$9),"FINESTRA","")</f>
        <v/>
      </c>
    </row>
    <row r="68" spans="1:8">
      <c r="A68" s="17">
        <f>32200</f>
        <v>32200</v>
      </c>
      <c r="B68" s="9">
        <f>$A68*(1-'P-Parametri'!$B$19)</f>
        <v>29240.82</v>
      </c>
      <c r="C68" s="13" t="str">
        <f>IF(B68&lt;='P-Parametri'!$B$24,"sì","no")</f>
        <v>sì</v>
      </c>
      <c r="D68" s="11">
        <f>'P-Parametri'!$B$19+(1-'P-Parametri'!$B$19)*((IF(($A68*(1-'P-Parametri'!$B$19))&lt;='P-Parametri'!$B$6,'P-Parametri'!$C$6,IF(($A68*(1-'P-Parametri'!$B$19))&lt;='P-Parametri'!$B$7,'P-Parametri'!$C$7,'P-Parametri'!$C$8)))+(IF(($A68*(1-'P-Parametri'!$B$19))&lt;='P-Parametri'!$C$12,0,IF(($A68*(1-'P-Parametri'!$B$19))&lt;='P-Parametri'!$B$6,'P-Parametri'!$C$13/'P-Parametri'!$D$13,IF(($A68*(1-'P-Parametri'!$B$19))&lt;='P-Parametri'!$B$7,'P-Parametri'!$B$14/'P-Parametri'!$C$14,0))))+(IF(AND(($A68*(1-'P-Parametri'!$B$19))&gt;'P-Parametri'!$D$15,($A68*(1-'P-Parametri'!$B$19))&lt;'P-Parametri'!$E$15),'P-Parametri'!$B$15/('P-Parametri'!$E$15-'P-Parametri'!$D$15),0))+'P-Parametri'!$B$20)</f>
        <v>0.48857459090909094</v>
      </c>
      <c r="E68" s="11">
        <f t="shared" si="2"/>
        <v>0.51142540909090906</v>
      </c>
      <c r="F68" s="11">
        <f>(1-'P-Parametri'!$B$19)*(1-'P-Parametri'!$B$23)</f>
        <v>0.86269499999999999</v>
      </c>
      <c r="G68" s="23">
        <f t="shared" si="3"/>
        <v>1.6868442292171106</v>
      </c>
      <c r="H68" s="13" t="str">
        <f>IF(AND($A68&gt;='4-Rapporto-RAL'!$B$8,$A68&lt;='4-Rapporto-RAL'!$B$9),"FINESTRA","")</f>
        <v/>
      </c>
    </row>
    <row r="69" spans="1:8">
      <c r="A69" s="17">
        <f>32300</f>
        <v>32300</v>
      </c>
      <c r="B69" s="9">
        <f>$A69*(1-'P-Parametri'!$B$19)</f>
        <v>29331.63</v>
      </c>
      <c r="C69" s="13" t="str">
        <f>IF(B69&lt;='P-Parametri'!$B$24,"sì","no")</f>
        <v>sì</v>
      </c>
      <c r="D69" s="11">
        <f>'P-Parametri'!$B$19+(1-'P-Parametri'!$B$19)*((IF(($A69*(1-'P-Parametri'!$B$19))&lt;='P-Parametri'!$B$6,'P-Parametri'!$C$6,IF(($A69*(1-'P-Parametri'!$B$19))&lt;='P-Parametri'!$B$7,'P-Parametri'!$C$7,'P-Parametri'!$C$8)))+(IF(($A69*(1-'P-Parametri'!$B$19))&lt;='P-Parametri'!$C$12,0,IF(($A69*(1-'P-Parametri'!$B$19))&lt;='P-Parametri'!$B$6,'P-Parametri'!$C$13/'P-Parametri'!$D$13,IF(($A69*(1-'P-Parametri'!$B$19))&lt;='P-Parametri'!$B$7,'P-Parametri'!$B$14/'P-Parametri'!$C$14,0))))+(IF(AND(($A69*(1-'P-Parametri'!$B$19))&gt;'P-Parametri'!$D$15,($A69*(1-'P-Parametri'!$B$19))&lt;'P-Parametri'!$E$15),'P-Parametri'!$B$15/('P-Parametri'!$E$15-'P-Parametri'!$D$15),0))+'P-Parametri'!$B$20)</f>
        <v>0.48857459090909094</v>
      </c>
      <c r="E69" s="11">
        <f t="shared" si="2"/>
        <v>0.51142540909090906</v>
      </c>
      <c r="F69" s="11">
        <f>(1-'P-Parametri'!$B$19)*(1-'P-Parametri'!$B$23)</f>
        <v>0.86269499999999999</v>
      </c>
      <c r="G69" s="23">
        <f t="shared" si="3"/>
        <v>1.6868442292171106</v>
      </c>
      <c r="H69" s="13" t="str">
        <f>IF(AND($A69&gt;='4-Rapporto-RAL'!$B$8,$A69&lt;='4-Rapporto-RAL'!$B$9),"FINESTRA","")</f>
        <v/>
      </c>
    </row>
    <row r="70" spans="1:8">
      <c r="A70" s="17">
        <f>32400</f>
        <v>32400</v>
      </c>
      <c r="B70" s="9">
        <f>$A70*(1-'P-Parametri'!$B$19)</f>
        <v>29422.440000000002</v>
      </c>
      <c r="C70" s="13" t="str">
        <f>IF(B70&lt;='P-Parametri'!$B$24,"sì","no")</f>
        <v>sì</v>
      </c>
      <c r="D70" s="11">
        <f>'P-Parametri'!$B$19+(1-'P-Parametri'!$B$19)*((IF(($A70*(1-'P-Parametri'!$B$19))&lt;='P-Parametri'!$B$6,'P-Parametri'!$C$6,IF(($A70*(1-'P-Parametri'!$B$19))&lt;='P-Parametri'!$B$7,'P-Parametri'!$C$7,'P-Parametri'!$C$8)))+(IF(($A70*(1-'P-Parametri'!$B$19))&lt;='P-Parametri'!$C$12,0,IF(($A70*(1-'P-Parametri'!$B$19))&lt;='P-Parametri'!$B$6,'P-Parametri'!$C$13/'P-Parametri'!$D$13,IF(($A70*(1-'P-Parametri'!$B$19))&lt;='P-Parametri'!$B$7,'P-Parametri'!$B$14/'P-Parametri'!$C$14,0))))+(IF(AND(($A70*(1-'P-Parametri'!$B$19))&gt;'P-Parametri'!$D$15,($A70*(1-'P-Parametri'!$B$19))&lt;'P-Parametri'!$E$15),'P-Parametri'!$B$15/('P-Parametri'!$E$15-'P-Parametri'!$D$15),0))+'P-Parametri'!$B$20)</f>
        <v>0.48857459090909094</v>
      </c>
      <c r="E70" s="11">
        <f t="shared" si="2"/>
        <v>0.51142540909090906</v>
      </c>
      <c r="F70" s="11">
        <f>(1-'P-Parametri'!$B$19)*(1-'P-Parametri'!$B$23)</f>
        <v>0.86269499999999999</v>
      </c>
      <c r="G70" s="23">
        <f t="shared" si="3"/>
        <v>1.6868442292171106</v>
      </c>
      <c r="H70" s="13" t="str">
        <f>IF(AND($A70&gt;='4-Rapporto-RAL'!$B$8,$A70&lt;='4-Rapporto-RAL'!$B$9),"FINESTRA","")</f>
        <v/>
      </c>
    </row>
    <row r="71" spans="1:8">
      <c r="A71" s="17">
        <f>32500</f>
        <v>32500</v>
      </c>
      <c r="B71" s="9">
        <f>$A71*(1-'P-Parametri'!$B$19)</f>
        <v>29513.25</v>
      </c>
      <c r="C71" s="13" t="str">
        <f>IF(B71&lt;='P-Parametri'!$B$24,"sì","no")</f>
        <v>sì</v>
      </c>
      <c r="D71" s="11">
        <f>'P-Parametri'!$B$19+(1-'P-Parametri'!$B$19)*((IF(($A71*(1-'P-Parametri'!$B$19))&lt;='P-Parametri'!$B$6,'P-Parametri'!$C$6,IF(($A71*(1-'P-Parametri'!$B$19))&lt;='P-Parametri'!$B$7,'P-Parametri'!$C$7,'P-Parametri'!$C$8)))+(IF(($A71*(1-'P-Parametri'!$B$19))&lt;='P-Parametri'!$C$12,0,IF(($A71*(1-'P-Parametri'!$B$19))&lt;='P-Parametri'!$B$6,'P-Parametri'!$C$13/'P-Parametri'!$D$13,IF(($A71*(1-'P-Parametri'!$B$19))&lt;='P-Parametri'!$B$7,'P-Parametri'!$B$14/'P-Parametri'!$C$14,0))))+(IF(AND(($A71*(1-'P-Parametri'!$B$19))&gt;'P-Parametri'!$D$15,($A71*(1-'P-Parametri'!$B$19))&lt;'P-Parametri'!$E$15),'P-Parametri'!$B$15/('P-Parametri'!$E$15-'P-Parametri'!$D$15),0))+'P-Parametri'!$B$20)</f>
        <v>0.48857459090909094</v>
      </c>
      <c r="E71" s="11">
        <f t="shared" si="2"/>
        <v>0.51142540909090906</v>
      </c>
      <c r="F71" s="11">
        <f>(1-'P-Parametri'!$B$19)*(1-'P-Parametri'!$B$23)</f>
        <v>0.86269499999999999</v>
      </c>
      <c r="G71" s="23">
        <f t="shared" si="3"/>
        <v>1.6868442292171106</v>
      </c>
      <c r="H71" s="13" t="str">
        <f>IF(AND($A71&gt;='4-Rapporto-RAL'!$B$8,$A71&lt;='4-Rapporto-RAL'!$B$9),"FINESTRA","")</f>
        <v/>
      </c>
    </row>
    <row r="72" spans="1:8">
      <c r="A72" s="17">
        <f>32600</f>
        <v>32600</v>
      </c>
      <c r="B72" s="9">
        <f>$A72*(1-'P-Parametri'!$B$19)</f>
        <v>29604.06</v>
      </c>
      <c r="C72" s="13" t="str">
        <f>IF(B72&lt;='P-Parametri'!$B$24,"sì","no")</f>
        <v>sì</v>
      </c>
      <c r="D72" s="11">
        <f>'P-Parametri'!$B$19+(1-'P-Parametri'!$B$19)*((IF(($A72*(1-'P-Parametri'!$B$19))&lt;='P-Parametri'!$B$6,'P-Parametri'!$C$6,IF(($A72*(1-'P-Parametri'!$B$19))&lt;='P-Parametri'!$B$7,'P-Parametri'!$C$7,'P-Parametri'!$C$8)))+(IF(($A72*(1-'P-Parametri'!$B$19))&lt;='P-Parametri'!$C$12,0,IF(($A72*(1-'P-Parametri'!$B$19))&lt;='P-Parametri'!$B$6,'P-Parametri'!$C$13/'P-Parametri'!$D$13,IF(($A72*(1-'P-Parametri'!$B$19))&lt;='P-Parametri'!$B$7,'P-Parametri'!$B$14/'P-Parametri'!$C$14,0))))+(IF(AND(($A72*(1-'P-Parametri'!$B$19))&gt;'P-Parametri'!$D$15,($A72*(1-'P-Parametri'!$B$19))&lt;'P-Parametri'!$E$15),'P-Parametri'!$B$15/('P-Parametri'!$E$15-'P-Parametri'!$D$15),0))+'P-Parametri'!$B$20)</f>
        <v>0.48857459090909094</v>
      </c>
      <c r="E72" s="11">
        <f t="shared" si="2"/>
        <v>0.51142540909090906</v>
      </c>
      <c r="F72" s="11">
        <f>(1-'P-Parametri'!$B$19)*(1-'P-Parametri'!$B$23)</f>
        <v>0.86269499999999999</v>
      </c>
      <c r="G72" s="23">
        <f t="shared" si="3"/>
        <v>1.6868442292171106</v>
      </c>
      <c r="H72" s="13" t="str">
        <f>IF(AND($A72&gt;='4-Rapporto-RAL'!$B$8,$A72&lt;='4-Rapporto-RAL'!$B$9),"FINESTRA","")</f>
        <v/>
      </c>
    </row>
    <row r="73" spans="1:8">
      <c r="A73" s="17">
        <f>32700</f>
        <v>32700</v>
      </c>
      <c r="B73" s="9">
        <f>$A73*(1-'P-Parametri'!$B$19)</f>
        <v>29694.87</v>
      </c>
      <c r="C73" s="13" t="str">
        <f>IF(B73&lt;='P-Parametri'!$B$24,"sì","no")</f>
        <v>sì</v>
      </c>
      <c r="D73" s="11">
        <f>'P-Parametri'!$B$19+(1-'P-Parametri'!$B$19)*((IF(($A73*(1-'P-Parametri'!$B$19))&lt;='P-Parametri'!$B$6,'P-Parametri'!$C$6,IF(($A73*(1-'P-Parametri'!$B$19))&lt;='P-Parametri'!$B$7,'P-Parametri'!$C$7,'P-Parametri'!$C$8)))+(IF(($A73*(1-'P-Parametri'!$B$19))&lt;='P-Parametri'!$C$12,0,IF(($A73*(1-'P-Parametri'!$B$19))&lt;='P-Parametri'!$B$6,'P-Parametri'!$C$13/'P-Parametri'!$D$13,IF(($A73*(1-'P-Parametri'!$B$19))&lt;='P-Parametri'!$B$7,'P-Parametri'!$B$14/'P-Parametri'!$C$14,0))))+(IF(AND(($A73*(1-'P-Parametri'!$B$19))&gt;'P-Parametri'!$D$15,($A73*(1-'P-Parametri'!$B$19))&lt;'P-Parametri'!$E$15),'P-Parametri'!$B$15/('P-Parametri'!$E$15-'P-Parametri'!$D$15),0))+'P-Parametri'!$B$20)</f>
        <v>0.48857459090909094</v>
      </c>
      <c r="E73" s="11">
        <f t="shared" si="2"/>
        <v>0.51142540909090906</v>
      </c>
      <c r="F73" s="11">
        <f>(1-'P-Parametri'!$B$19)*(1-'P-Parametri'!$B$23)</f>
        <v>0.86269499999999999</v>
      </c>
      <c r="G73" s="23">
        <f t="shared" si="3"/>
        <v>1.6868442292171106</v>
      </c>
      <c r="H73" s="13" t="str">
        <f>IF(AND($A73&gt;='4-Rapporto-RAL'!$B$8,$A73&lt;='4-Rapporto-RAL'!$B$9),"FINESTRA","")</f>
        <v/>
      </c>
    </row>
    <row r="74" spans="1:8">
      <c r="A74" s="17">
        <f>32800</f>
        <v>32800</v>
      </c>
      <c r="B74" s="9">
        <f>$A74*(1-'P-Parametri'!$B$19)</f>
        <v>29785.68</v>
      </c>
      <c r="C74" s="13" t="str">
        <f>IF(B74&lt;='P-Parametri'!$B$24,"sì","no")</f>
        <v>sì</v>
      </c>
      <c r="D74" s="11">
        <f>'P-Parametri'!$B$19+(1-'P-Parametri'!$B$19)*((IF(($A74*(1-'P-Parametri'!$B$19))&lt;='P-Parametri'!$B$6,'P-Parametri'!$C$6,IF(($A74*(1-'P-Parametri'!$B$19))&lt;='P-Parametri'!$B$7,'P-Parametri'!$C$7,'P-Parametri'!$C$8)))+(IF(($A74*(1-'P-Parametri'!$B$19))&lt;='P-Parametri'!$C$12,0,IF(($A74*(1-'P-Parametri'!$B$19))&lt;='P-Parametri'!$B$6,'P-Parametri'!$C$13/'P-Parametri'!$D$13,IF(($A74*(1-'P-Parametri'!$B$19))&lt;='P-Parametri'!$B$7,'P-Parametri'!$B$14/'P-Parametri'!$C$14,0))))+(IF(AND(($A74*(1-'P-Parametri'!$B$19))&gt;'P-Parametri'!$D$15,($A74*(1-'P-Parametri'!$B$19))&lt;'P-Parametri'!$E$15),'P-Parametri'!$B$15/('P-Parametri'!$E$15-'P-Parametri'!$D$15),0))+'P-Parametri'!$B$20)</f>
        <v>0.48857459090909094</v>
      </c>
      <c r="E74" s="11">
        <f t="shared" si="2"/>
        <v>0.51142540909090906</v>
      </c>
      <c r="F74" s="11">
        <f>(1-'P-Parametri'!$B$19)*(1-'P-Parametri'!$B$23)</f>
        <v>0.86269499999999999</v>
      </c>
      <c r="G74" s="23">
        <f t="shared" si="3"/>
        <v>1.6868442292171106</v>
      </c>
      <c r="H74" s="13" t="str">
        <f>IF(AND($A74&gt;='4-Rapporto-RAL'!$B$8,$A74&lt;='4-Rapporto-RAL'!$B$9),"FINESTRA","")</f>
        <v/>
      </c>
    </row>
    <row r="75" spans="1:8">
      <c r="A75" s="17">
        <f>32900</f>
        <v>32900</v>
      </c>
      <c r="B75" s="9">
        <f>$A75*(1-'P-Parametri'!$B$19)</f>
        <v>29876.49</v>
      </c>
      <c r="C75" s="13" t="str">
        <f>IF(B75&lt;='P-Parametri'!$B$24,"sì","no")</f>
        <v>sì</v>
      </c>
      <c r="D75" s="11">
        <f>'P-Parametri'!$B$19+(1-'P-Parametri'!$B$19)*((IF(($A75*(1-'P-Parametri'!$B$19))&lt;='P-Parametri'!$B$6,'P-Parametri'!$C$6,IF(($A75*(1-'P-Parametri'!$B$19))&lt;='P-Parametri'!$B$7,'P-Parametri'!$C$7,'P-Parametri'!$C$8)))+(IF(($A75*(1-'P-Parametri'!$B$19))&lt;='P-Parametri'!$C$12,0,IF(($A75*(1-'P-Parametri'!$B$19))&lt;='P-Parametri'!$B$6,'P-Parametri'!$C$13/'P-Parametri'!$D$13,IF(($A75*(1-'P-Parametri'!$B$19))&lt;='P-Parametri'!$B$7,'P-Parametri'!$B$14/'P-Parametri'!$C$14,0))))+(IF(AND(($A75*(1-'P-Parametri'!$B$19))&gt;'P-Parametri'!$D$15,($A75*(1-'P-Parametri'!$B$19))&lt;'P-Parametri'!$E$15),'P-Parametri'!$B$15/('P-Parametri'!$E$15-'P-Parametri'!$D$15),0))+'P-Parametri'!$B$20)</f>
        <v>0.48857459090909094</v>
      </c>
      <c r="E75" s="11">
        <f t="shared" si="2"/>
        <v>0.51142540909090906</v>
      </c>
      <c r="F75" s="11">
        <f>(1-'P-Parametri'!$B$19)*(1-'P-Parametri'!$B$23)</f>
        <v>0.86269499999999999</v>
      </c>
      <c r="G75" s="23">
        <f t="shared" si="3"/>
        <v>1.6868442292171106</v>
      </c>
      <c r="H75" s="13" t="str">
        <f>IF(AND($A75&gt;='4-Rapporto-RAL'!$B$8,$A75&lt;='4-Rapporto-RAL'!$B$9),"FINESTRA","")</f>
        <v/>
      </c>
    </row>
    <row r="76" spans="1:8">
      <c r="A76" s="17">
        <f>33000</f>
        <v>33000</v>
      </c>
      <c r="B76" s="9">
        <f>$A76*(1-'P-Parametri'!$B$19)</f>
        <v>29967.3</v>
      </c>
      <c r="C76" s="13" t="str">
        <f>IF(B76&lt;='P-Parametri'!$B$24,"sì","no")</f>
        <v>sì</v>
      </c>
      <c r="D76" s="11">
        <f>'P-Parametri'!$B$19+(1-'P-Parametri'!$B$19)*((IF(($A76*(1-'P-Parametri'!$B$19))&lt;='P-Parametri'!$B$6,'P-Parametri'!$C$6,IF(($A76*(1-'P-Parametri'!$B$19))&lt;='P-Parametri'!$B$7,'P-Parametri'!$C$7,'P-Parametri'!$C$8)))+(IF(($A76*(1-'P-Parametri'!$B$19))&lt;='P-Parametri'!$C$12,0,IF(($A76*(1-'P-Parametri'!$B$19))&lt;='P-Parametri'!$B$6,'P-Parametri'!$C$13/'P-Parametri'!$D$13,IF(($A76*(1-'P-Parametri'!$B$19))&lt;='P-Parametri'!$B$7,'P-Parametri'!$B$14/'P-Parametri'!$C$14,0))))+(IF(AND(($A76*(1-'P-Parametri'!$B$19))&gt;'P-Parametri'!$D$15,($A76*(1-'P-Parametri'!$B$19))&lt;'P-Parametri'!$E$15),'P-Parametri'!$B$15/('P-Parametri'!$E$15-'P-Parametri'!$D$15),0))+'P-Parametri'!$B$20)</f>
        <v>0.48857459090909094</v>
      </c>
      <c r="E76" s="11">
        <f t="shared" si="2"/>
        <v>0.51142540909090906</v>
      </c>
      <c r="F76" s="11">
        <f>(1-'P-Parametri'!$B$19)*(1-'P-Parametri'!$B$23)</f>
        <v>0.86269499999999999</v>
      </c>
      <c r="G76" s="23">
        <f t="shared" si="3"/>
        <v>1.6868442292171106</v>
      </c>
      <c r="H76" s="13" t="str">
        <f>IF(AND($A76&gt;='4-Rapporto-RAL'!$B$8,$A76&lt;='4-Rapporto-RAL'!$B$9),"FINESTRA","")</f>
        <v/>
      </c>
    </row>
    <row r="77" spans="1:8">
      <c r="A77" s="17">
        <f>33100</f>
        <v>33100</v>
      </c>
      <c r="B77" s="9">
        <f>$A77*(1-'P-Parametri'!$B$19)</f>
        <v>30058.11</v>
      </c>
      <c r="C77" s="13" t="str">
        <f>IF(B77&lt;='P-Parametri'!$B$24,"sì","no")</f>
        <v>sì</v>
      </c>
      <c r="D77" s="11">
        <f>'P-Parametri'!$B$19+(1-'P-Parametri'!$B$19)*((IF(($A77*(1-'P-Parametri'!$B$19))&lt;='P-Parametri'!$B$6,'P-Parametri'!$C$6,IF(($A77*(1-'P-Parametri'!$B$19))&lt;='P-Parametri'!$B$7,'P-Parametri'!$C$7,'P-Parametri'!$C$8)))+(IF(($A77*(1-'P-Parametri'!$B$19))&lt;='P-Parametri'!$C$12,0,IF(($A77*(1-'P-Parametri'!$B$19))&lt;='P-Parametri'!$B$6,'P-Parametri'!$C$13/'P-Parametri'!$D$13,IF(($A77*(1-'P-Parametri'!$B$19))&lt;='P-Parametri'!$B$7,'P-Parametri'!$B$14/'P-Parametri'!$C$14,0))))+(IF(AND(($A77*(1-'P-Parametri'!$B$19))&gt;'P-Parametri'!$D$15,($A77*(1-'P-Parametri'!$B$19))&lt;'P-Parametri'!$E$15),'P-Parametri'!$B$15/('P-Parametri'!$E$15-'P-Parametri'!$D$15),0))+'P-Parametri'!$B$20)</f>
        <v>0.48857459090909094</v>
      </c>
      <c r="E77" s="11">
        <f t="shared" si="2"/>
        <v>0.51142540909090906</v>
      </c>
      <c r="F77" s="11">
        <f>(1-'P-Parametri'!$B$19)*(1-'P-Parametri'!$B$23)</f>
        <v>0.86269499999999999</v>
      </c>
      <c r="G77" s="23">
        <f t="shared" si="3"/>
        <v>1.6868442292171106</v>
      </c>
      <c r="H77" s="13" t="str">
        <f>IF(AND($A77&gt;='4-Rapporto-RAL'!$B$8,$A77&lt;='4-Rapporto-RAL'!$B$9),"FINESTRA","")</f>
        <v/>
      </c>
    </row>
    <row r="78" spans="1:8">
      <c r="A78" s="17">
        <f>33200</f>
        <v>33200</v>
      </c>
      <c r="B78" s="9">
        <f>$A78*(1-'P-Parametri'!$B$19)</f>
        <v>30148.920000000002</v>
      </c>
      <c r="C78" s="13" t="str">
        <f>IF(B78&lt;='P-Parametri'!$B$24,"sì","no")</f>
        <v>sì</v>
      </c>
      <c r="D78" s="11">
        <f>'P-Parametri'!$B$19+(1-'P-Parametri'!$B$19)*((IF(($A78*(1-'P-Parametri'!$B$19))&lt;='P-Parametri'!$B$6,'P-Parametri'!$C$6,IF(($A78*(1-'P-Parametri'!$B$19))&lt;='P-Parametri'!$B$7,'P-Parametri'!$C$7,'P-Parametri'!$C$8)))+(IF(($A78*(1-'P-Parametri'!$B$19))&lt;='P-Parametri'!$C$12,0,IF(($A78*(1-'P-Parametri'!$B$19))&lt;='P-Parametri'!$B$6,'P-Parametri'!$C$13/'P-Parametri'!$D$13,IF(($A78*(1-'P-Parametri'!$B$19))&lt;='P-Parametri'!$B$7,'P-Parametri'!$B$14/'P-Parametri'!$C$14,0))))+(IF(AND(($A78*(1-'P-Parametri'!$B$19))&gt;'P-Parametri'!$D$15,($A78*(1-'P-Parametri'!$B$19))&lt;'P-Parametri'!$E$15),'P-Parametri'!$B$15/('P-Parametri'!$E$15-'P-Parametri'!$D$15),0))+'P-Parametri'!$B$20)</f>
        <v>0.48857459090909094</v>
      </c>
      <c r="E78" s="11">
        <f t="shared" si="2"/>
        <v>0.51142540909090906</v>
      </c>
      <c r="F78" s="11">
        <f>(1-'P-Parametri'!$B$19)*(1-'P-Parametri'!$B$23)</f>
        <v>0.86269499999999999</v>
      </c>
      <c r="G78" s="23">
        <f t="shared" si="3"/>
        <v>1.6868442292171106</v>
      </c>
      <c r="H78" s="13" t="str">
        <f>IF(AND($A78&gt;='4-Rapporto-RAL'!$B$8,$A78&lt;='4-Rapporto-RAL'!$B$9),"FINESTRA","")</f>
        <v/>
      </c>
    </row>
    <row r="79" spans="1:8">
      <c r="A79" s="17">
        <f>33300</f>
        <v>33300</v>
      </c>
      <c r="B79" s="9">
        <f>$A79*(1-'P-Parametri'!$B$19)</f>
        <v>30239.73</v>
      </c>
      <c r="C79" s="13" t="str">
        <f>IF(B79&lt;='P-Parametri'!$B$24,"sì","no")</f>
        <v>sì</v>
      </c>
      <c r="D79" s="11">
        <f>'P-Parametri'!$B$19+(1-'P-Parametri'!$B$19)*((IF(($A79*(1-'P-Parametri'!$B$19))&lt;='P-Parametri'!$B$6,'P-Parametri'!$C$6,IF(($A79*(1-'P-Parametri'!$B$19))&lt;='P-Parametri'!$B$7,'P-Parametri'!$C$7,'P-Parametri'!$C$8)))+(IF(($A79*(1-'P-Parametri'!$B$19))&lt;='P-Parametri'!$C$12,0,IF(($A79*(1-'P-Parametri'!$B$19))&lt;='P-Parametri'!$B$6,'P-Parametri'!$C$13/'P-Parametri'!$D$13,IF(($A79*(1-'P-Parametri'!$B$19))&lt;='P-Parametri'!$B$7,'P-Parametri'!$B$14/'P-Parametri'!$C$14,0))))+(IF(AND(($A79*(1-'P-Parametri'!$B$19))&gt;'P-Parametri'!$D$15,($A79*(1-'P-Parametri'!$B$19))&lt;'P-Parametri'!$E$15),'P-Parametri'!$B$15/('P-Parametri'!$E$15-'P-Parametri'!$D$15),0))+'P-Parametri'!$B$20)</f>
        <v>0.48857459090909094</v>
      </c>
      <c r="E79" s="11">
        <f t="shared" si="2"/>
        <v>0.51142540909090906</v>
      </c>
      <c r="F79" s="11">
        <f>(1-'P-Parametri'!$B$19)*(1-'P-Parametri'!$B$23)</f>
        <v>0.86269499999999999</v>
      </c>
      <c r="G79" s="23">
        <f t="shared" si="3"/>
        <v>1.6868442292171106</v>
      </c>
      <c r="H79" s="13" t="str">
        <f>IF(AND($A79&gt;='4-Rapporto-RAL'!$B$8,$A79&lt;='4-Rapporto-RAL'!$B$9),"FINESTRA","")</f>
        <v/>
      </c>
    </row>
    <row r="80" spans="1:8">
      <c r="A80" s="17">
        <f>33400</f>
        <v>33400</v>
      </c>
      <c r="B80" s="9">
        <f>$A80*(1-'P-Parametri'!$B$19)</f>
        <v>30330.54</v>
      </c>
      <c r="C80" s="13" t="str">
        <f>IF(B80&lt;='P-Parametri'!$B$24,"sì","no")</f>
        <v>sì</v>
      </c>
      <c r="D80" s="11">
        <f>'P-Parametri'!$B$19+(1-'P-Parametri'!$B$19)*((IF(($A80*(1-'P-Parametri'!$B$19))&lt;='P-Parametri'!$B$6,'P-Parametri'!$C$6,IF(($A80*(1-'P-Parametri'!$B$19))&lt;='P-Parametri'!$B$7,'P-Parametri'!$C$7,'P-Parametri'!$C$8)))+(IF(($A80*(1-'P-Parametri'!$B$19))&lt;='P-Parametri'!$C$12,0,IF(($A80*(1-'P-Parametri'!$B$19))&lt;='P-Parametri'!$B$6,'P-Parametri'!$C$13/'P-Parametri'!$D$13,IF(($A80*(1-'P-Parametri'!$B$19))&lt;='P-Parametri'!$B$7,'P-Parametri'!$B$14/'P-Parametri'!$C$14,0))))+(IF(AND(($A80*(1-'P-Parametri'!$B$19))&gt;'P-Parametri'!$D$15,($A80*(1-'P-Parametri'!$B$19))&lt;'P-Parametri'!$E$15),'P-Parametri'!$B$15/('P-Parametri'!$E$15-'P-Parametri'!$D$15),0))+'P-Parametri'!$B$20)</f>
        <v>0.48857459090909094</v>
      </c>
      <c r="E80" s="11">
        <f t="shared" si="2"/>
        <v>0.51142540909090906</v>
      </c>
      <c r="F80" s="11">
        <f>(1-'P-Parametri'!$B$19)*(1-'P-Parametri'!$B$23)</f>
        <v>0.86269499999999999</v>
      </c>
      <c r="G80" s="23">
        <f t="shared" si="3"/>
        <v>1.6868442292171106</v>
      </c>
      <c r="H80" s="13" t="str">
        <f>IF(AND($A80&gt;='4-Rapporto-RAL'!$B$8,$A80&lt;='4-Rapporto-RAL'!$B$9),"FINESTRA","")</f>
        <v/>
      </c>
    </row>
    <row r="81" spans="1:8">
      <c r="A81" s="17">
        <f>33500</f>
        <v>33500</v>
      </c>
      <c r="B81" s="9">
        <f>$A81*(1-'P-Parametri'!$B$19)</f>
        <v>30421.350000000002</v>
      </c>
      <c r="C81" s="13" t="str">
        <f>IF(B81&lt;='P-Parametri'!$B$24,"sì","no")</f>
        <v>sì</v>
      </c>
      <c r="D81" s="11">
        <f>'P-Parametri'!$B$19+(1-'P-Parametri'!$B$19)*((IF(($A81*(1-'P-Parametri'!$B$19))&lt;='P-Parametri'!$B$6,'P-Parametri'!$C$6,IF(($A81*(1-'P-Parametri'!$B$19))&lt;='P-Parametri'!$B$7,'P-Parametri'!$C$7,'P-Parametri'!$C$8)))+(IF(($A81*(1-'P-Parametri'!$B$19))&lt;='P-Parametri'!$C$12,0,IF(($A81*(1-'P-Parametri'!$B$19))&lt;='P-Parametri'!$B$6,'P-Parametri'!$C$13/'P-Parametri'!$D$13,IF(($A81*(1-'P-Parametri'!$B$19))&lt;='P-Parametri'!$B$7,'P-Parametri'!$B$14/'P-Parametri'!$C$14,0))))+(IF(AND(($A81*(1-'P-Parametri'!$B$19))&gt;'P-Parametri'!$D$15,($A81*(1-'P-Parametri'!$B$19))&lt;'P-Parametri'!$E$15),'P-Parametri'!$B$15/('P-Parametri'!$E$15-'P-Parametri'!$D$15),0))+'P-Parametri'!$B$20)</f>
        <v>0.48857459090909094</v>
      </c>
      <c r="E81" s="11">
        <f t="shared" si="2"/>
        <v>0.51142540909090906</v>
      </c>
      <c r="F81" s="11">
        <f>(1-'P-Parametri'!$B$19)*(1-'P-Parametri'!$B$23)</f>
        <v>0.86269499999999999</v>
      </c>
      <c r="G81" s="23">
        <f t="shared" si="3"/>
        <v>1.6868442292171106</v>
      </c>
      <c r="H81" s="13" t="str">
        <f>IF(AND($A81&gt;='4-Rapporto-RAL'!$B$8,$A81&lt;='4-Rapporto-RAL'!$B$9),"FINESTRA","")</f>
        <v/>
      </c>
    </row>
    <row r="82" spans="1:8">
      <c r="A82" s="17">
        <f>33600</f>
        <v>33600</v>
      </c>
      <c r="B82" s="9">
        <f>$A82*(1-'P-Parametri'!$B$19)</f>
        <v>30512.16</v>
      </c>
      <c r="C82" s="13" t="str">
        <f>IF(B82&lt;='P-Parametri'!$B$24,"sì","no")</f>
        <v>sì</v>
      </c>
      <c r="D82" s="11">
        <f>'P-Parametri'!$B$19+(1-'P-Parametri'!$B$19)*((IF(($A82*(1-'P-Parametri'!$B$19))&lt;='P-Parametri'!$B$6,'P-Parametri'!$C$6,IF(($A82*(1-'P-Parametri'!$B$19))&lt;='P-Parametri'!$B$7,'P-Parametri'!$C$7,'P-Parametri'!$C$8)))+(IF(($A82*(1-'P-Parametri'!$B$19))&lt;='P-Parametri'!$C$12,0,IF(($A82*(1-'P-Parametri'!$B$19))&lt;='P-Parametri'!$B$6,'P-Parametri'!$C$13/'P-Parametri'!$D$13,IF(($A82*(1-'P-Parametri'!$B$19))&lt;='P-Parametri'!$B$7,'P-Parametri'!$B$14/'P-Parametri'!$C$14,0))))+(IF(AND(($A82*(1-'P-Parametri'!$B$19))&gt;'P-Parametri'!$D$15,($A82*(1-'P-Parametri'!$B$19))&lt;'P-Parametri'!$E$15),'P-Parametri'!$B$15/('P-Parametri'!$E$15-'P-Parametri'!$D$15),0))+'P-Parametri'!$B$20)</f>
        <v>0.48857459090909094</v>
      </c>
      <c r="E82" s="11">
        <f t="shared" si="2"/>
        <v>0.51142540909090906</v>
      </c>
      <c r="F82" s="11">
        <f>(1-'P-Parametri'!$B$19)*(1-'P-Parametri'!$B$23)</f>
        <v>0.86269499999999999</v>
      </c>
      <c r="G82" s="23">
        <f t="shared" si="3"/>
        <v>1.6868442292171106</v>
      </c>
      <c r="H82" s="13" t="str">
        <f>IF(AND($A82&gt;='4-Rapporto-RAL'!$B$8,$A82&lt;='4-Rapporto-RAL'!$B$9),"FINESTRA","")</f>
        <v/>
      </c>
    </row>
    <row r="83" spans="1:8">
      <c r="A83" s="17">
        <f>33700</f>
        <v>33700</v>
      </c>
      <c r="B83" s="9">
        <f>$A83*(1-'P-Parametri'!$B$19)</f>
        <v>30602.97</v>
      </c>
      <c r="C83" s="13" t="str">
        <f>IF(B83&lt;='P-Parametri'!$B$24,"sì","no")</f>
        <v>sì</v>
      </c>
      <c r="D83" s="11">
        <f>'P-Parametri'!$B$19+(1-'P-Parametri'!$B$19)*((IF(($A83*(1-'P-Parametri'!$B$19))&lt;='P-Parametri'!$B$6,'P-Parametri'!$C$6,IF(($A83*(1-'P-Parametri'!$B$19))&lt;='P-Parametri'!$B$7,'P-Parametri'!$C$7,'P-Parametri'!$C$8)))+(IF(($A83*(1-'P-Parametri'!$B$19))&lt;='P-Parametri'!$C$12,0,IF(($A83*(1-'P-Parametri'!$B$19))&lt;='P-Parametri'!$B$6,'P-Parametri'!$C$13/'P-Parametri'!$D$13,IF(($A83*(1-'P-Parametri'!$B$19))&lt;='P-Parametri'!$B$7,'P-Parametri'!$B$14/'P-Parametri'!$C$14,0))))+(IF(AND(($A83*(1-'P-Parametri'!$B$19))&gt;'P-Parametri'!$D$15,($A83*(1-'P-Parametri'!$B$19))&lt;'P-Parametri'!$E$15),'P-Parametri'!$B$15/('P-Parametri'!$E$15-'P-Parametri'!$D$15),0))+'P-Parametri'!$B$20)</f>
        <v>0.48857459090909094</v>
      </c>
      <c r="E83" s="11">
        <f t="shared" si="2"/>
        <v>0.51142540909090906</v>
      </c>
      <c r="F83" s="11">
        <f>(1-'P-Parametri'!$B$19)*(1-'P-Parametri'!$B$23)</f>
        <v>0.86269499999999999</v>
      </c>
      <c r="G83" s="23">
        <f t="shared" si="3"/>
        <v>1.6868442292171106</v>
      </c>
      <c r="H83" s="13" t="str">
        <f>IF(AND($A83&gt;='4-Rapporto-RAL'!$B$8,$A83&lt;='4-Rapporto-RAL'!$B$9),"FINESTRA","")</f>
        <v/>
      </c>
    </row>
    <row r="84" spans="1:8">
      <c r="A84" s="17">
        <f>33800</f>
        <v>33800</v>
      </c>
      <c r="B84" s="9">
        <f>$A84*(1-'P-Parametri'!$B$19)</f>
        <v>30693.78</v>
      </c>
      <c r="C84" s="13" t="str">
        <f>IF(B84&lt;='P-Parametri'!$B$24,"sì","no")</f>
        <v>sì</v>
      </c>
      <c r="D84" s="11">
        <f>'P-Parametri'!$B$19+(1-'P-Parametri'!$B$19)*((IF(($A84*(1-'P-Parametri'!$B$19))&lt;='P-Parametri'!$B$6,'P-Parametri'!$C$6,IF(($A84*(1-'P-Parametri'!$B$19))&lt;='P-Parametri'!$B$7,'P-Parametri'!$C$7,'P-Parametri'!$C$8)))+(IF(($A84*(1-'P-Parametri'!$B$19))&lt;='P-Parametri'!$C$12,0,IF(($A84*(1-'P-Parametri'!$B$19))&lt;='P-Parametri'!$B$6,'P-Parametri'!$C$13/'P-Parametri'!$D$13,IF(($A84*(1-'P-Parametri'!$B$19))&lt;='P-Parametri'!$B$7,'P-Parametri'!$B$14/'P-Parametri'!$C$14,0))))+(IF(AND(($A84*(1-'P-Parametri'!$B$19))&gt;'P-Parametri'!$D$15,($A84*(1-'P-Parametri'!$B$19))&lt;'P-Parametri'!$E$15),'P-Parametri'!$B$15/('P-Parametri'!$E$15-'P-Parametri'!$D$15),0))+'P-Parametri'!$B$20)</f>
        <v>0.48857459090909094</v>
      </c>
      <c r="E84" s="11">
        <f t="shared" si="2"/>
        <v>0.51142540909090906</v>
      </c>
      <c r="F84" s="11">
        <f>(1-'P-Parametri'!$B$19)*(1-'P-Parametri'!$B$23)</f>
        <v>0.86269499999999999</v>
      </c>
      <c r="G84" s="23">
        <f t="shared" si="3"/>
        <v>1.6868442292171106</v>
      </c>
      <c r="H84" s="13" t="str">
        <f>IF(AND($A84&gt;='4-Rapporto-RAL'!$B$8,$A84&lt;='4-Rapporto-RAL'!$B$9),"FINESTRA","")</f>
        <v/>
      </c>
    </row>
    <row r="85" spans="1:8">
      <c r="A85" s="17">
        <f>33900</f>
        <v>33900</v>
      </c>
      <c r="B85" s="9">
        <f>$A85*(1-'P-Parametri'!$B$19)</f>
        <v>30784.59</v>
      </c>
      <c r="C85" s="13" t="str">
        <f>IF(B85&lt;='P-Parametri'!$B$24,"sì","no")</f>
        <v>sì</v>
      </c>
      <c r="D85" s="11">
        <f>'P-Parametri'!$B$19+(1-'P-Parametri'!$B$19)*((IF(($A85*(1-'P-Parametri'!$B$19))&lt;='P-Parametri'!$B$6,'P-Parametri'!$C$6,IF(($A85*(1-'P-Parametri'!$B$19))&lt;='P-Parametri'!$B$7,'P-Parametri'!$C$7,'P-Parametri'!$C$8)))+(IF(($A85*(1-'P-Parametri'!$B$19))&lt;='P-Parametri'!$C$12,0,IF(($A85*(1-'P-Parametri'!$B$19))&lt;='P-Parametri'!$B$6,'P-Parametri'!$C$13/'P-Parametri'!$D$13,IF(($A85*(1-'P-Parametri'!$B$19))&lt;='P-Parametri'!$B$7,'P-Parametri'!$B$14/'P-Parametri'!$C$14,0))))+(IF(AND(($A85*(1-'P-Parametri'!$B$19))&gt;'P-Parametri'!$D$15,($A85*(1-'P-Parametri'!$B$19))&lt;'P-Parametri'!$E$15),'P-Parametri'!$B$15/('P-Parametri'!$E$15-'P-Parametri'!$D$15),0))+'P-Parametri'!$B$20)</f>
        <v>0.48857459090909094</v>
      </c>
      <c r="E85" s="11">
        <f t="shared" si="2"/>
        <v>0.51142540909090906</v>
      </c>
      <c r="F85" s="11">
        <f>(1-'P-Parametri'!$B$19)*(1-'P-Parametri'!$B$23)</f>
        <v>0.86269499999999999</v>
      </c>
      <c r="G85" s="23">
        <f t="shared" si="3"/>
        <v>1.6868442292171106</v>
      </c>
      <c r="H85" s="13" t="str">
        <f>IF(AND($A85&gt;='4-Rapporto-RAL'!$B$8,$A85&lt;='4-Rapporto-RAL'!$B$9),"FINESTRA","")</f>
        <v/>
      </c>
    </row>
    <row r="86" spans="1:8">
      <c r="A86" s="17">
        <f>34000</f>
        <v>34000</v>
      </c>
      <c r="B86" s="9">
        <f>$A86*(1-'P-Parametri'!$B$19)</f>
        <v>30875.4</v>
      </c>
      <c r="C86" s="13" t="str">
        <f>IF(B86&lt;='P-Parametri'!$B$24,"sì","no")</f>
        <v>sì</v>
      </c>
      <c r="D86" s="11">
        <f>'P-Parametri'!$B$19+(1-'P-Parametri'!$B$19)*((IF(($A86*(1-'P-Parametri'!$B$19))&lt;='P-Parametri'!$B$6,'P-Parametri'!$C$6,IF(($A86*(1-'P-Parametri'!$B$19))&lt;='P-Parametri'!$B$7,'P-Parametri'!$C$7,'P-Parametri'!$C$8)))+(IF(($A86*(1-'P-Parametri'!$B$19))&lt;='P-Parametri'!$C$12,0,IF(($A86*(1-'P-Parametri'!$B$19))&lt;='P-Parametri'!$B$6,'P-Parametri'!$C$13/'P-Parametri'!$D$13,IF(($A86*(1-'P-Parametri'!$B$19))&lt;='P-Parametri'!$B$7,'P-Parametri'!$B$14/'P-Parametri'!$C$14,0))))+(IF(AND(($A86*(1-'P-Parametri'!$B$19))&gt;'P-Parametri'!$D$15,($A86*(1-'P-Parametri'!$B$19))&lt;'P-Parametri'!$E$15),'P-Parametri'!$B$15/('P-Parametri'!$E$15-'P-Parametri'!$D$15),0))+'P-Parametri'!$B$20)</f>
        <v>0.48857459090909094</v>
      </c>
      <c r="E86" s="11">
        <f t="shared" si="2"/>
        <v>0.51142540909090906</v>
      </c>
      <c r="F86" s="11">
        <f>(1-'P-Parametri'!$B$19)*(1-'P-Parametri'!$B$23)</f>
        <v>0.86269499999999999</v>
      </c>
      <c r="G86" s="23">
        <f t="shared" si="3"/>
        <v>1.6868442292171106</v>
      </c>
      <c r="H86" s="13" t="str">
        <f>IF(AND($A86&gt;='4-Rapporto-RAL'!$B$8,$A86&lt;='4-Rapporto-RAL'!$B$9),"FINESTRA","")</f>
        <v/>
      </c>
    </row>
    <row r="87" spans="1:8">
      <c r="A87" s="17">
        <f>34100</f>
        <v>34100</v>
      </c>
      <c r="B87" s="9">
        <f>$A87*(1-'P-Parametri'!$B$19)</f>
        <v>30966.21</v>
      </c>
      <c r="C87" s="13" t="str">
        <f>IF(B87&lt;='P-Parametri'!$B$24,"sì","no")</f>
        <v>sì</v>
      </c>
      <c r="D87" s="11">
        <f>'P-Parametri'!$B$19+(1-'P-Parametri'!$B$19)*((IF(($A87*(1-'P-Parametri'!$B$19))&lt;='P-Parametri'!$B$6,'P-Parametri'!$C$6,IF(($A87*(1-'P-Parametri'!$B$19))&lt;='P-Parametri'!$B$7,'P-Parametri'!$C$7,'P-Parametri'!$C$8)))+(IF(($A87*(1-'P-Parametri'!$B$19))&lt;='P-Parametri'!$C$12,0,IF(($A87*(1-'P-Parametri'!$B$19))&lt;='P-Parametri'!$B$6,'P-Parametri'!$C$13/'P-Parametri'!$D$13,IF(($A87*(1-'P-Parametri'!$B$19))&lt;='P-Parametri'!$B$7,'P-Parametri'!$B$14/'P-Parametri'!$C$14,0))))+(IF(AND(($A87*(1-'P-Parametri'!$B$19))&gt;'P-Parametri'!$D$15,($A87*(1-'P-Parametri'!$B$19))&lt;'P-Parametri'!$E$15),'P-Parametri'!$B$15/('P-Parametri'!$E$15-'P-Parametri'!$D$15),0))+'P-Parametri'!$B$20)</f>
        <v>0.48857459090909094</v>
      </c>
      <c r="E87" s="11">
        <f t="shared" si="2"/>
        <v>0.51142540909090906</v>
      </c>
      <c r="F87" s="11">
        <f>(1-'P-Parametri'!$B$19)*(1-'P-Parametri'!$B$23)</f>
        <v>0.86269499999999999</v>
      </c>
      <c r="G87" s="23">
        <f t="shared" si="3"/>
        <v>1.6868442292171106</v>
      </c>
      <c r="H87" s="13" t="str">
        <f>IF(AND($A87&gt;='4-Rapporto-RAL'!$B$8,$A87&lt;='4-Rapporto-RAL'!$B$9),"FINESTRA","")</f>
        <v/>
      </c>
    </row>
    <row r="88" spans="1:8">
      <c r="A88" s="17">
        <f>34200</f>
        <v>34200</v>
      </c>
      <c r="B88" s="9">
        <f>$A88*(1-'P-Parametri'!$B$19)</f>
        <v>31057.02</v>
      </c>
      <c r="C88" s="13" t="str">
        <f>IF(B88&lt;='P-Parametri'!$B$24,"sì","no")</f>
        <v>sì</v>
      </c>
      <c r="D88" s="11">
        <f>'P-Parametri'!$B$19+(1-'P-Parametri'!$B$19)*((IF(($A88*(1-'P-Parametri'!$B$19))&lt;='P-Parametri'!$B$6,'P-Parametri'!$C$6,IF(($A88*(1-'P-Parametri'!$B$19))&lt;='P-Parametri'!$B$7,'P-Parametri'!$C$7,'P-Parametri'!$C$8)))+(IF(($A88*(1-'P-Parametri'!$B$19))&lt;='P-Parametri'!$C$12,0,IF(($A88*(1-'P-Parametri'!$B$19))&lt;='P-Parametri'!$B$6,'P-Parametri'!$C$13/'P-Parametri'!$D$13,IF(($A88*(1-'P-Parametri'!$B$19))&lt;='P-Parametri'!$B$7,'P-Parametri'!$B$14/'P-Parametri'!$C$14,0))))+(IF(AND(($A88*(1-'P-Parametri'!$B$19))&gt;'P-Parametri'!$D$15,($A88*(1-'P-Parametri'!$B$19))&lt;'P-Parametri'!$E$15),'P-Parametri'!$B$15/('P-Parametri'!$E$15-'P-Parametri'!$D$15),0))+'P-Parametri'!$B$20)</f>
        <v>0.48857459090909094</v>
      </c>
      <c r="E88" s="11">
        <f t="shared" si="2"/>
        <v>0.51142540909090906</v>
      </c>
      <c r="F88" s="11">
        <f>(1-'P-Parametri'!$B$19)*(1-'P-Parametri'!$B$23)</f>
        <v>0.86269499999999999</v>
      </c>
      <c r="G88" s="23">
        <f t="shared" si="3"/>
        <v>1.6868442292171106</v>
      </c>
      <c r="H88" s="13" t="str">
        <f>IF(AND($A88&gt;='4-Rapporto-RAL'!$B$8,$A88&lt;='4-Rapporto-RAL'!$B$9),"FINESTRA","")</f>
        <v/>
      </c>
    </row>
    <row r="89" spans="1:8">
      <c r="A89" s="17">
        <f>34300</f>
        <v>34300</v>
      </c>
      <c r="B89" s="9">
        <f>$A89*(1-'P-Parametri'!$B$19)</f>
        <v>31147.83</v>
      </c>
      <c r="C89" s="13" t="str">
        <f>IF(B89&lt;='P-Parametri'!$B$24,"sì","no")</f>
        <v>sì</v>
      </c>
      <c r="D89" s="11">
        <f>'P-Parametri'!$B$19+(1-'P-Parametri'!$B$19)*((IF(($A89*(1-'P-Parametri'!$B$19))&lt;='P-Parametri'!$B$6,'P-Parametri'!$C$6,IF(($A89*(1-'P-Parametri'!$B$19))&lt;='P-Parametri'!$B$7,'P-Parametri'!$C$7,'P-Parametri'!$C$8)))+(IF(($A89*(1-'P-Parametri'!$B$19))&lt;='P-Parametri'!$C$12,0,IF(($A89*(1-'P-Parametri'!$B$19))&lt;='P-Parametri'!$B$6,'P-Parametri'!$C$13/'P-Parametri'!$D$13,IF(($A89*(1-'P-Parametri'!$B$19))&lt;='P-Parametri'!$B$7,'P-Parametri'!$B$14/'P-Parametri'!$C$14,0))))+(IF(AND(($A89*(1-'P-Parametri'!$B$19))&gt;'P-Parametri'!$D$15,($A89*(1-'P-Parametri'!$B$19))&lt;'P-Parametri'!$E$15),'P-Parametri'!$B$15/('P-Parametri'!$E$15-'P-Parametri'!$D$15),0))+'P-Parametri'!$B$20)</f>
        <v>0.48857459090909094</v>
      </c>
      <c r="E89" s="11">
        <f t="shared" si="2"/>
        <v>0.51142540909090906</v>
      </c>
      <c r="F89" s="11">
        <f>(1-'P-Parametri'!$B$19)*(1-'P-Parametri'!$B$23)</f>
        <v>0.86269499999999999</v>
      </c>
      <c r="G89" s="23">
        <f t="shared" si="3"/>
        <v>1.6868442292171106</v>
      </c>
      <c r="H89" s="13" t="str">
        <f>IF(AND($A89&gt;='4-Rapporto-RAL'!$B$8,$A89&lt;='4-Rapporto-RAL'!$B$9),"FINESTRA","")</f>
        <v/>
      </c>
    </row>
    <row r="90" spans="1:8">
      <c r="A90" s="17">
        <f>34400</f>
        <v>34400</v>
      </c>
      <c r="B90" s="9">
        <f>$A90*(1-'P-Parametri'!$B$19)</f>
        <v>31238.639999999999</v>
      </c>
      <c r="C90" s="13" t="str">
        <f>IF(B90&lt;='P-Parametri'!$B$24,"sì","no")</f>
        <v>sì</v>
      </c>
      <c r="D90" s="11">
        <f>'P-Parametri'!$B$19+(1-'P-Parametri'!$B$19)*((IF(($A90*(1-'P-Parametri'!$B$19))&lt;='P-Parametri'!$B$6,'P-Parametri'!$C$6,IF(($A90*(1-'P-Parametri'!$B$19))&lt;='P-Parametri'!$B$7,'P-Parametri'!$C$7,'P-Parametri'!$C$8)))+(IF(($A90*(1-'P-Parametri'!$B$19))&lt;='P-Parametri'!$C$12,0,IF(($A90*(1-'P-Parametri'!$B$19))&lt;='P-Parametri'!$B$6,'P-Parametri'!$C$13/'P-Parametri'!$D$13,IF(($A90*(1-'P-Parametri'!$B$19))&lt;='P-Parametri'!$B$7,'P-Parametri'!$B$14/'P-Parametri'!$C$14,0))))+(IF(AND(($A90*(1-'P-Parametri'!$B$19))&gt;'P-Parametri'!$D$15,($A90*(1-'P-Parametri'!$B$19))&lt;'P-Parametri'!$E$15),'P-Parametri'!$B$15/('P-Parametri'!$E$15-'P-Parametri'!$D$15),0))+'P-Parametri'!$B$20)</f>
        <v>0.48857459090909094</v>
      </c>
      <c r="E90" s="11">
        <f t="shared" ref="E90:E121" si="4">1-D90</f>
        <v>0.51142540909090906</v>
      </c>
      <c r="F90" s="11">
        <f>(1-'P-Parametri'!$B$19)*(1-'P-Parametri'!$B$23)</f>
        <v>0.86269499999999999</v>
      </c>
      <c r="G90" s="23">
        <f t="shared" ref="G90:G121" si="5">IF(C90="sì",F90/E90,"")</f>
        <v>1.6868442292171106</v>
      </c>
      <c r="H90" s="13" t="str">
        <f>IF(AND($A90&gt;='4-Rapporto-RAL'!$B$8,$A90&lt;='4-Rapporto-RAL'!$B$9),"FINESTRA","")</f>
        <v/>
      </c>
    </row>
    <row r="91" spans="1:8">
      <c r="A91" s="17">
        <f>34500</f>
        <v>34500</v>
      </c>
      <c r="B91" s="9">
        <f>$A91*(1-'P-Parametri'!$B$19)</f>
        <v>31329.45</v>
      </c>
      <c r="C91" s="13" t="str">
        <f>IF(B91&lt;='P-Parametri'!$B$24,"sì","no")</f>
        <v>sì</v>
      </c>
      <c r="D91" s="11">
        <f>'P-Parametri'!$B$19+(1-'P-Parametri'!$B$19)*((IF(($A91*(1-'P-Parametri'!$B$19))&lt;='P-Parametri'!$B$6,'P-Parametri'!$C$6,IF(($A91*(1-'P-Parametri'!$B$19))&lt;='P-Parametri'!$B$7,'P-Parametri'!$C$7,'P-Parametri'!$C$8)))+(IF(($A91*(1-'P-Parametri'!$B$19))&lt;='P-Parametri'!$C$12,0,IF(($A91*(1-'P-Parametri'!$B$19))&lt;='P-Parametri'!$B$6,'P-Parametri'!$C$13/'P-Parametri'!$D$13,IF(($A91*(1-'P-Parametri'!$B$19))&lt;='P-Parametri'!$B$7,'P-Parametri'!$B$14/'P-Parametri'!$C$14,0))))+(IF(AND(($A91*(1-'P-Parametri'!$B$19))&gt;'P-Parametri'!$D$15,($A91*(1-'P-Parametri'!$B$19))&lt;'P-Parametri'!$E$15),'P-Parametri'!$B$15/('P-Parametri'!$E$15-'P-Parametri'!$D$15),0))+'P-Parametri'!$B$20)</f>
        <v>0.48857459090909094</v>
      </c>
      <c r="E91" s="11">
        <f t="shared" si="4"/>
        <v>0.51142540909090906</v>
      </c>
      <c r="F91" s="11">
        <f>(1-'P-Parametri'!$B$19)*(1-'P-Parametri'!$B$23)</f>
        <v>0.86269499999999999</v>
      </c>
      <c r="G91" s="23">
        <f t="shared" si="5"/>
        <v>1.6868442292171106</v>
      </c>
      <c r="H91" s="13" t="str">
        <f>IF(AND($A91&gt;='4-Rapporto-RAL'!$B$8,$A91&lt;='4-Rapporto-RAL'!$B$9),"FINESTRA","")</f>
        <v/>
      </c>
    </row>
    <row r="92" spans="1:8">
      <c r="A92" s="17">
        <f>34600</f>
        <v>34600</v>
      </c>
      <c r="B92" s="9">
        <f>$A92*(1-'P-Parametri'!$B$19)</f>
        <v>31420.260000000002</v>
      </c>
      <c r="C92" s="13" t="str">
        <f>IF(B92&lt;='P-Parametri'!$B$24,"sì","no")</f>
        <v>sì</v>
      </c>
      <c r="D92" s="11">
        <f>'P-Parametri'!$B$19+(1-'P-Parametri'!$B$19)*((IF(($A92*(1-'P-Parametri'!$B$19))&lt;='P-Parametri'!$B$6,'P-Parametri'!$C$6,IF(($A92*(1-'P-Parametri'!$B$19))&lt;='P-Parametri'!$B$7,'P-Parametri'!$C$7,'P-Parametri'!$C$8)))+(IF(($A92*(1-'P-Parametri'!$B$19))&lt;='P-Parametri'!$C$12,0,IF(($A92*(1-'P-Parametri'!$B$19))&lt;='P-Parametri'!$B$6,'P-Parametri'!$C$13/'P-Parametri'!$D$13,IF(($A92*(1-'P-Parametri'!$B$19))&lt;='P-Parametri'!$B$7,'P-Parametri'!$B$14/'P-Parametri'!$C$14,0))))+(IF(AND(($A92*(1-'P-Parametri'!$B$19))&gt;'P-Parametri'!$D$15,($A92*(1-'P-Parametri'!$B$19))&lt;'P-Parametri'!$E$15),'P-Parametri'!$B$15/('P-Parametri'!$E$15-'P-Parametri'!$D$15),0))+'P-Parametri'!$B$20)</f>
        <v>0.48857459090909094</v>
      </c>
      <c r="E92" s="11">
        <f t="shared" si="4"/>
        <v>0.51142540909090906</v>
      </c>
      <c r="F92" s="11">
        <f>(1-'P-Parametri'!$B$19)*(1-'P-Parametri'!$B$23)</f>
        <v>0.86269499999999999</v>
      </c>
      <c r="G92" s="23">
        <f t="shared" si="5"/>
        <v>1.6868442292171106</v>
      </c>
      <c r="H92" s="13" t="str">
        <f>IF(AND($A92&gt;='4-Rapporto-RAL'!$B$8,$A92&lt;='4-Rapporto-RAL'!$B$9),"FINESTRA","")</f>
        <v/>
      </c>
    </row>
    <row r="93" spans="1:8">
      <c r="A93" s="17">
        <f>34700</f>
        <v>34700</v>
      </c>
      <c r="B93" s="9">
        <f>$A93*(1-'P-Parametri'!$B$19)</f>
        <v>31511.07</v>
      </c>
      <c r="C93" s="13" t="str">
        <f>IF(B93&lt;='P-Parametri'!$B$24,"sì","no")</f>
        <v>sì</v>
      </c>
      <c r="D93" s="11">
        <f>'P-Parametri'!$B$19+(1-'P-Parametri'!$B$19)*((IF(($A93*(1-'P-Parametri'!$B$19))&lt;='P-Parametri'!$B$6,'P-Parametri'!$C$6,IF(($A93*(1-'P-Parametri'!$B$19))&lt;='P-Parametri'!$B$7,'P-Parametri'!$C$7,'P-Parametri'!$C$8)))+(IF(($A93*(1-'P-Parametri'!$B$19))&lt;='P-Parametri'!$C$12,0,IF(($A93*(1-'P-Parametri'!$B$19))&lt;='P-Parametri'!$B$6,'P-Parametri'!$C$13/'P-Parametri'!$D$13,IF(($A93*(1-'P-Parametri'!$B$19))&lt;='P-Parametri'!$B$7,'P-Parametri'!$B$14/'P-Parametri'!$C$14,0))))+(IF(AND(($A93*(1-'P-Parametri'!$B$19))&gt;'P-Parametri'!$D$15,($A93*(1-'P-Parametri'!$B$19))&lt;'P-Parametri'!$E$15),'P-Parametri'!$B$15/('P-Parametri'!$E$15-'P-Parametri'!$D$15),0))+'P-Parametri'!$B$20)</f>
        <v>0.48857459090909094</v>
      </c>
      <c r="E93" s="11">
        <f t="shared" si="4"/>
        <v>0.51142540909090906</v>
      </c>
      <c r="F93" s="11">
        <f>(1-'P-Parametri'!$B$19)*(1-'P-Parametri'!$B$23)</f>
        <v>0.86269499999999999</v>
      </c>
      <c r="G93" s="23">
        <f t="shared" si="5"/>
        <v>1.6868442292171106</v>
      </c>
      <c r="H93" s="13" t="str">
        <f>IF(AND($A93&gt;='4-Rapporto-RAL'!$B$8,$A93&lt;='4-Rapporto-RAL'!$B$9),"FINESTRA","")</f>
        <v/>
      </c>
    </row>
    <row r="94" spans="1:8">
      <c r="A94" s="17">
        <f>34800</f>
        <v>34800</v>
      </c>
      <c r="B94" s="9">
        <f>$A94*(1-'P-Parametri'!$B$19)</f>
        <v>31601.88</v>
      </c>
      <c r="C94" s="13" t="str">
        <f>IF(B94&lt;='P-Parametri'!$B$24,"sì","no")</f>
        <v>sì</v>
      </c>
      <c r="D94" s="11">
        <f>'P-Parametri'!$B$19+(1-'P-Parametri'!$B$19)*((IF(($A94*(1-'P-Parametri'!$B$19))&lt;='P-Parametri'!$B$6,'P-Parametri'!$C$6,IF(($A94*(1-'P-Parametri'!$B$19))&lt;='P-Parametri'!$B$7,'P-Parametri'!$C$7,'P-Parametri'!$C$8)))+(IF(($A94*(1-'P-Parametri'!$B$19))&lt;='P-Parametri'!$C$12,0,IF(($A94*(1-'P-Parametri'!$B$19))&lt;='P-Parametri'!$B$6,'P-Parametri'!$C$13/'P-Parametri'!$D$13,IF(($A94*(1-'P-Parametri'!$B$19))&lt;='P-Parametri'!$B$7,'P-Parametri'!$B$14/'P-Parametri'!$C$14,0))))+(IF(AND(($A94*(1-'P-Parametri'!$B$19))&gt;'P-Parametri'!$D$15,($A94*(1-'P-Parametri'!$B$19))&lt;'P-Parametri'!$E$15),'P-Parametri'!$B$15/('P-Parametri'!$E$15-'P-Parametri'!$D$15),0))+'P-Parametri'!$B$20)</f>
        <v>0.48857459090909094</v>
      </c>
      <c r="E94" s="11">
        <f t="shared" si="4"/>
        <v>0.51142540909090906</v>
      </c>
      <c r="F94" s="11">
        <f>(1-'P-Parametri'!$B$19)*(1-'P-Parametri'!$B$23)</f>
        <v>0.86269499999999999</v>
      </c>
      <c r="G94" s="23">
        <f t="shared" si="5"/>
        <v>1.6868442292171106</v>
      </c>
      <c r="H94" s="13" t="str">
        <f>IF(AND($A94&gt;='4-Rapporto-RAL'!$B$8,$A94&lt;='4-Rapporto-RAL'!$B$9),"FINESTRA","")</f>
        <v/>
      </c>
    </row>
    <row r="95" spans="1:8">
      <c r="A95" s="17">
        <f>34900</f>
        <v>34900</v>
      </c>
      <c r="B95" s="9">
        <f>$A95*(1-'P-Parametri'!$B$19)</f>
        <v>31692.690000000002</v>
      </c>
      <c r="C95" s="13" t="str">
        <f>IF(B95&lt;='P-Parametri'!$B$24,"sì","no")</f>
        <v>sì</v>
      </c>
      <c r="D95" s="11">
        <f>'P-Parametri'!$B$19+(1-'P-Parametri'!$B$19)*((IF(($A95*(1-'P-Parametri'!$B$19))&lt;='P-Parametri'!$B$6,'P-Parametri'!$C$6,IF(($A95*(1-'P-Parametri'!$B$19))&lt;='P-Parametri'!$B$7,'P-Parametri'!$C$7,'P-Parametri'!$C$8)))+(IF(($A95*(1-'P-Parametri'!$B$19))&lt;='P-Parametri'!$C$12,0,IF(($A95*(1-'P-Parametri'!$B$19))&lt;='P-Parametri'!$B$6,'P-Parametri'!$C$13/'P-Parametri'!$D$13,IF(($A95*(1-'P-Parametri'!$B$19))&lt;='P-Parametri'!$B$7,'P-Parametri'!$B$14/'P-Parametri'!$C$14,0))))+(IF(AND(($A95*(1-'P-Parametri'!$B$19))&gt;'P-Parametri'!$D$15,($A95*(1-'P-Parametri'!$B$19))&lt;'P-Parametri'!$E$15),'P-Parametri'!$B$15/('P-Parametri'!$E$15-'P-Parametri'!$D$15),0))+'P-Parametri'!$B$20)</f>
        <v>0.48857459090909094</v>
      </c>
      <c r="E95" s="11">
        <f t="shared" si="4"/>
        <v>0.51142540909090906</v>
      </c>
      <c r="F95" s="11">
        <f>(1-'P-Parametri'!$B$19)*(1-'P-Parametri'!$B$23)</f>
        <v>0.86269499999999999</v>
      </c>
      <c r="G95" s="23">
        <f t="shared" si="5"/>
        <v>1.6868442292171106</v>
      </c>
      <c r="H95" s="13" t="str">
        <f>IF(AND($A95&gt;='4-Rapporto-RAL'!$B$8,$A95&lt;='4-Rapporto-RAL'!$B$9),"FINESTRA","")</f>
        <v/>
      </c>
    </row>
    <row r="96" spans="1:8">
      <c r="A96" s="17">
        <f>35000</f>
        <v>35000</v>
      </c>
      <c r="B96" s="9">
        <f>$A96*(1-'P-Parametri'!$B$19)</f>
        <v>31783.5</v>
      </c>
      <c r="C96" s="13" t="str">
        <f>IF(B96&lt;='P-Parametri'!$B$24,"sì","no")</f>
        <v>sì</v>
      </c>
      <c r="D96" s="11">
        <f>'P-Parametri'!$B$19+(1-'P-Parametri'!$B$19)*((IF(($A96*(1-'P-Parametri'!$B$19))&lt;='P-Parametri'!$B$6,'P-Parametri'!$C$6,IF(($A96*(1-'P-Parametri'!$B$19))&lt;='P-Parametri'!$B$7,'P-Parametri'!$C$7,'P-Parametri'!$C$8)))+(IF(($A96*(1-'P-Parametri'!$B$19))&lt;='P-Parametri'!$C$12,0,IF(($A96*(1-'P-Parametri'!$B$19))&lt;='P-Parametri'!$B$6,'P-Parametri'!$C$13/'P-Parametri'!$D$13,IF(($A96*(1-'P-Parametri'!$B$19))&lt;='P-Parametri'!$B$7,'P-Parametri'!$B$14/'P-Parametri'!$C$14,0))))+(IF(AND(($A96*(1-'P-Parametri'!$B$19))&gt;'P-Parametri'!$D$15,($A96*(1-'P-Parametri'!$B$19))&lt;'P-Parametri'!$E$15),'P-Parametri'!$B$15/('P-Parametri'!$E$15-'P-Parametri'!$D$15),0))+'P-Parametri'!$B$20)</f>
        <v>0.48857459090909094</v>
      </c>
      <c r="E96" s="11">
        <f t="shared" si="4"/>
        <v>0.51142540909090906</v>
      </c>
      <c r="F96" s="11">
        <f>(1-'P-Parametri'!$B$19)*(1-'P-Parametri'!$B$23)</f>
        <v>0.86269499999999999</v>
      </c>
      <c r="G96" s="23">
        <f t="shared" si="5"/>
        <v>1.6868442292171106</v>
      </c>
      <c r="H96" s="13" t="str">
        <f>IF(AND($A96&gt;='4-Rapporto-RAL'!$B$8,$A96&lt;='4-Rapporto-RAL'!$B$9),"FINESTRA","")</f>
        <v/>
      </c>
    </row>
    <row r="97" spans="1:8">
      <c r="A97" s="17">
        <f>35100</f>
        <v>35100</v>
      </c>
      <c r="B97" s="9">
        <f>$A97*(1-'P-Parametri'!$B$19)</f>
        <v>31874.31</v>
      </c>
      <c r="C97" s="13" t="str">
        <f>IF(B97&lt;='P-Parametri'!$B$24,"sì","no")</f>
        <v>sì</v>
      </c>
      <c r="D97" s="11">
        <f>'P-Parametri'!$B$19+(1-'P-Parametri'!$B$19)*((IF(($A97*(1-'P-Parametri'!$B$19))&lt;='P-Parametri'!$B$6,'P-Parametri'!$C$6,IF(($A97*(1-'P-Parametri'!$B$19))&lt;='P-Parametri'!$B$7,'P-Parametri'!$C$7,'P-Parametri'!$C$8)))+(IF(($A97*(1-'P-Parametri'!$B$19))&lt;='P-Parametri'!$C$12,0,IF(($A97*(1-'P-Parametri'!$B$19))&lt;='P-Parametri'!$B$6,'P-Parametri'!$C$13/'P-Parametri'!$D$13,IF(($A97*(1-'P-Parametri'!$B$19))&lt;='P-Parametri'!$B$7,'P-Parametri'!$B$14/'P-Parametri'!$C$14,0))))+(IF(AND(($A97*(1-'P-Parametri'!$B$19))&gt;'P-Parametri'!$D$15,($A97*(1-'P-Parametri'!$B$19))&lt;'P-Parametri'!$E$15),'P-Parametri'!$B$15/('P-Parametri'!$E$15-'P-Parametri'!$D$15),0))+'P-Parametri'!$B$20)</f>
        <v>0.48857459090909094</v>
      </c>
      <c r="E97" s="11">
        <f t="shared" si="4"/>
        <v>0.51142540909090906</v>
      </c>
      <c r="F97" s="11">
        <f>(1-'P-Parametri'!$B$19)*(1-'P-Parametri'!$B$23)</f>
        <v>0.86269499999999999</v>
      </c>
      <c r="G97" s="23">
        <f t="shared" si="5"/>
        <v>1.6868442292171106</v>
      </c>
      <c r="H97" s="13" t="str">
        <f>IF(AND($A97&gt;='4-Rapporto-RAL'!$B$8,$A97&lt;='4-Rapporto-RAL'!$B$9),"FINESTRA","")</f>
        <v/>
      </c>
    </row>
    <row r="98" spans="1:8">
      <c r="A98" s="17">
        <f>35200</f>
        <v>35200</v>
      </c>
      <c r="B98" s="9">
        <f>$A98*(1-'P-Parametri'!$B$19)</f>
        <v>31965.119999999999</v>
      </c>
      <c r="C98" s="13" t="str">
        <f>IF(B98&lt;='P-Parametri'!$B$24,"sì","no")</f>
        <v>sì</v>
      </c>
      <c r="D98" s="11">
        <f>'P-Parametri'!$B$19+(1-'P-Parametri'!$B$19)*((IF(($A98*(1-'P-Parametri'!$B$19))&lt;='P-Parametri'!$B$6,'P-Parametri'!$C$6,IF(($A98*(1-'P-Parametri'!$B$19))&lt;='P-Parametri'!$B$7,'P-Parametri'!$C$7,'P-Parametri'!$C$8)))+(IF(($A98*(1-'P-Parametri'!$B$19))&lt;='P-Parametri'!$C$12,0,IF(($A98*(1-'P-Parametri'!$B$19))&lt;='P-Parametri'!$B$6,'P-Parametri'!$C$13/'P-Parametri'!$D$13,IF(($A98*(1-'P-Parametri'!$B$19))&lt;='P-Parametri'!$B$7,'P-Parametri'!$B$14/'P-Parametri'!$C$14,0))))+(IF(AND(($A98*(1-'P-Parametri'!$B$19))&gt;'P-Parametri'!$D$15,($A98*(1-'P-Parametri'!$B$19))&lt;'P-Parametri'!$E$15),'P-Parametri'!$B$15/('P-Parametri'!$E$15-'P-Parametri'!$D$15),0))+'P-Parametri'!$B$20)</f>
        <v>0.48857459090909094</v>
      </c>
      <c r="E98" s="11">
        <f t="shared" si="4"/>
        <v>0.51142540909090906</v>
      </c>
      <c r="F98" s="11">
        <f>(1-'P-Parametri'!$B$19)*(1-'P-Parametri'!$B$23)</f>
        <v>0.86269499999999999</v>
      </c>
      <c r="G98" s="23">
        <f t="shared" si="5"/>
        <v>1.6868442292171106</v>
      </c>
      <c r="H98" s="13" t="str">
        <f>IF(AND($A98&gt;='4-Rapporto-RAL'!$B$8,$A98&lt;='4-Rapporto-RAL'!$B$9),"FINESTRA","")</f>
        <v/>
      </c>
    </row>
    <row r="99" spans="1:8">
      <c r="A99" s="28">
        <f>35300</f>
        <v>35300</v>
      </c>
      <c r="B99" s="25">
        <f>$A99*(1-'P-Parametri'!$B$19)</f>
        <v>32055.93</v>
      </c>
      <c r="C99" s="29" t="str">
        <f>IF(B99&lt;='P-Parametri'!$B$24,"sì","no")</f>
        <v>sì</v>
      </c>
      <c r="D99" s="26">
        <f>'P-Parametri'!$B$19+(1-'P-Parametri'!$B$19)*((IF(($A99*(1-'P-Parametri'!$B$19))&lt;='P-Parametri'!$B$6,'P-Parametri'!$C$6,IF(($A99*(1-'P-Parametri'!$B$19))&lt;='P-Parametri'!$B$7,'P-Parametri'!$C$7,'P-Parametri'!$C$8)))+(IF(($A99*(1-'P-Parametri'!$B$19))&lt;='P-Parametri'!$C$12,0,IF(($A99*(1-'P-Parametri'!$B$19))&lt;='P-Parametri'!$B$6,'P-Parametri'!$C$13/'P-Parametri'!$D$13,IF(($A99*(1-'P-Parametri'!$B$19))&lt;='P-Parametri'!$B$7,'P-Parametri'!$B$14/'P-Parametri'!$C$14,0))))+(IF(AND(($A99*(1-'P-Parametri'!$B$19))&gt;'P-Parametri'!$D$15,($A99*(1-'P-Parametri'!$B$19))&lt;'P-Parametri'!$E$15),'P-Parametri'!$B$15/('P-Parametri'!$E$15-'P-Parametri'!$D$15),0))+'P-Parametri'!$B$20)</f>
        <v>0.60208709090909096</v>
      </c>
      <c r="E99" s="26">
        <f t="shared" si="4"/>
        <v>0.39791290909090904</v>
      </c>
      <c r="F99" s="26">
        <f>(1-'P-Parametri'!$B$19)*(1-'P-Parametri'!$B$23)</f>
        <v>0.86269499999999999</v>
      </c>
      <c r="G99" s="27">
        <f t="shared" si="5"/>
        <v>2.1680497925311206</v>
      </c>
      <c r="H99" s="29" t="str">
        <f>IF(AND($A99&gt;='4-Rapporto-RAL'!$B$8,$A99&lt;='4-Rapporto-RAL'!$B$9),"FINESTRA","")</f>
        <v>FINESTRA</v>
      </c>
    </row>
    <row r="100" spans="1:8">
      <c r="A100" s="28">
        <f>35400</f>
        <v>35400</v>
      </c>
      <c r="B100" s="25">
        <f>$A100*(1-'P-Parametri'!$B$19)</f>
        <v>32146.74</v>
      </c>
      <c r="C100" s="29" t="str">
        <f>IF(B100&lt;='P-Parametri'!$B$24,"sì","no")</f>
        <v>sì</v>
      </c>
      <c r="D100" s="26">
        <f>'P-Parametri'!$B$19+(1-'P-Parametri'!$B$19)*((IF(($A100*(1-'P-Parametri'!$B$19))&lt;='P-Parametri'!$B$6,'P-Parametri'!$C$6,IF(($A100*(1-'P-Parametri'!$B$19))&lt;='P-Parametri'!$B$7,'P-Parametri'!$C$7,'P-Parametri'!$C$8)))+(IF(($A100*(1-'P-Parametri'!$B$19))&lt;='P-Parametri'!$C$12,0,IF(($A100*(1-'P-Parametri'!$B$19))&lt;='P-Parametri'!$B$6,'P-Parametri'!$C$13/'P-Parametri'!$D$13,IF(($A100*(1-'P-Parametri'!$B$19))&lt;='P-Parametri'!$B$7,'P-Parametri'!$B$14/'P-Parametri'!$C$14,0))))+(IF(AND(($A100*(1-'P-Parametri'!$B$19))&gt;'P-Parametri'!$D$15,($A100*(1-'P-Parametri'!$B$19))&lt;'P-Parametri'!$E$15),'P-Parametri'!$B$15/('P-Parametri'!$E$15-'P-Parametri'!$D$15),0))+'P-Parametri'!$B$20)</f>
        <v>0.60208709090909096</v>
      </c>
      <c r="E100" s="26">
        <f t="shared" si="4"/>
        <v>0.39791290909090904</v>
      </c>
      <c r="F100" s="26">
        <f>(1-'P-Parametri'!$B$19)*(1-'P-Parametri'!$B$23)</f>
        <v>0.86269499999999999</v>
      </c>
      <c r="G100" s="27">
        <f t="shared" si="5"/>
        <v>2.1680497925311206</v>
      </c>
      <c r="H100" s="29" t="str">
        <f>IF(AND($A100&gt;='4-Rapporto-RAL'!$B$8,$A100&lt;='4-Rapporto-RAL'!$B$9),"FINESTRA","")</f>
        <v>FINESTRA</v>
      </c>
    </row>
    <row r="101" spans="1:8">
      <c r="A101" s="28">
        <f>35500</f>
        <v>35500</v>
      </c>
      <c r="B101" s="25">
        <f>$A101*(1-'P-Parametri'!$B$19)</f>
        <v>32237.55</v>
      </c>
      <c r="C101" s="29" t="str">
        <f>IF(B101&lt;='P-Parametri'!$B$24,"sì","no")</f>
        <v>sì</v>
      </c>
      <c r="D101" s="26">
        <f>'P-Parametri'!$B$19+(1-'P-Parametri'!$B$19)*((IF(($A101*(1-'P-Parametri'!$B$19))&lt;='P-Parametri'!$B$6,'P-Parametri'!$C$6,IF(($A101*(1-'P-Parametri'!$B$19))&lt;='P-Parametri'!$B$7,'P-Parametri'!$C$7,'P-Parametri'!$C$8)))+(IF(($A101*(1-'P-Parametri'!$B$19))&lt;='P-Parametri'!$C$12,0,IF(($A101*(1-'P-Parametri'!$B$19))&lt;='P-Parametri'!$B$6,'P-Parametri'!$C$13/'P-Parametri'!$D$13,IF(($A101*(1-'P-Parametri'!$B$19))&lt;='P-Parametri'!$B$7,'P-Parametri'!$B$14/'P-Parametri'!$C$14,0))))+(IF(AND(($A101*(1-'P-Parametri'!$B$19))&gt;'P-Parametri'!$D$15,($A101*(1-'P-Parametri'!$B$19))&lt;'P-Parametri'!$E$15),'P-Parametri'!$B$15/('P-Parametri'!$E$15-'P-Parametri'!$D$15),0))+'P-Parametri'!$B$20)</f>
        <v>0.60208709090909096</v>
      </c>
      <c r="E101" s="26">
        <f t="shared" si="4"/>
        <v>0.39791290909090904</v>
      </c>
      <c r="F101" s="26">
        <f>(1-'P-Parametri'!$B$19)*(1-'P-Parametri'!$B$23)</f>
        <v>0.86269499999999999</v>
      </c>
      <c r="G101" s="27">
        <f t="shared" si="5"/>
        <v>2.1680497925311206</v>
      </c>
      <c r="H101" s="29" t="str">
        <f>IF(AND($A101&gt;='4-Rapporto-RAL'!$B$8,$A101&lt;='4-Rapporto-RAL'!$B$9),"FINESTRA","")</f>
        <v>FINESTRA</v>
      </c>
    </row>
    <row r="102" spans="1:8">
      <c r="A102" s="28">
        <f>35600</f>
        <v>35600</v>
      </c>
      <c r="B102" s="25">
        <f>$A102*(1-'P-Parametri'!$B$19)</f>
        <v>32328.36</v>
      </c>
      <c r="C102" s="29" t="str">
        <f>IF(B102&lt;='P-Parametri'!$B$24,"sì","no")</f>
        <v>sì</v>
      </c>
      <c r="D102" s="26">
        <f>'P-Parametri'!$B$19+(1-'P-Parametri'!$B$19)*((IF(($A102*(1-'P-Parametri'!$B$19))&lt;='P-Parametri'!$B$6,'P-Parametri'!$C$6,IF(($A102*(1-'P-Parametri'!$B$19))&lt;='P-Parametri'!$B$7,'P-Parametri'!$C$7,'P-Parametri'!$C$8)))+(IF(($A102*(1-'P-Parametri'!$B$19))&lt;='P-Parametri'!$C$12,0,IF(($A102*(1-'P-Parametri'!$B$19))&lt;='P-Parametri'!$B$6,'P-Parametri'!$C$13/'P-Parametri'!$D$13,IF(($A102*(1-'P-Parametri'!$B$19))&lt;='P-Parametri'!$B$7,'P-Parametri'!$B$14/'P-Parametri'!$C$14,0))))+(IF(AND(($A102*(1-'P-Parametri'!$B$19))&gt;'P-Parametri'!$D$15,($A102*(1-'P-Parametri'!$B$19))&lt;'P-Parametri'!$E$15),'P-Parametri'!$B$15/('P-Parametri'!$E$15-'P-Parametri'!$D$15),0))+'P-Parametri'!$B$20)</f>
        <v>0.60208709090909096</v>
      </c>
      <c r="E102" s="26">
        <f t="shared" si="4"/>
        <v>0.39791290909090904</v>
      </c>
      <c r="F102" s="26">
        <f>(1-'P-Parametri'!$B$19)*(1-'P-Parametri'!$B$23)</f>
        <v>0.86269499999999999</v>
      </c>
      <c r="G102" s="27">
        <f t="shared" si="5"/>
        <v>2.1680497925311206</v>
      </c>
      <c r="H102" s="29" t="str">
        <f>IF(AND($A102&gt;='4-Rapporto-RAL'!$B$8,$A102&lt;='4-Rapporto-RAL'!$B$9),"FINESTRA","")</f>
        <v>FINESTRA</v>
      </c>
    </row>
    <row r="103" spans="1:8">
      <c r="A103" s="28">
        <f>35700</f>
        <v>35700</v>
      </c>
      <c r="B103" s="25">
        <f>$A103*(1-'P-Parametri'!$B$19)</f>
        <v>32419.170000000002</v>
      </c>
      <c r="C103" s="29" t="str">
        <f>IF(B103&lt;='P-Parametri'!$B$24,"sì","no")</f>
        <v>sì</v>
      </c>
      <c r="D103" s="26">
        <f>'P-Parametri'!$B$19+(1-'P-Parametri'!$B$19)*((IF(($A103*(1-'P-Parametri'!$B$19))&lt;='P-Parametri'!$B$6,'P-Parametri'!$C$6,IF(($A103*(1-'P-Parametri'!$B$19))&lt;='P-Parametri'!$B$7,'P-Parametri'!$C$7,'P-Parametri'!$C$8)))+(IF(($A103*(1-'P-Parametri'!$B$19))&lt;='P-Parametri'!$C$12,0,IF(($A103*(1-'P-Parametri'!$B$19))&lt;='P-Parametri'!$B$6,'P-Parametri'!$C$13/'P-Parametri'!$D$13,IF(($A103*(1-'P-Parametri'!$B$19))&lt;='P-Parametri'!$B$7,'P-Parametri'!$B$14/'P-Parametri'!$C$14,0))))+(IF(AND(($A103*(1-'P-Parametri'!$B$19))&gt;'P-Parametri'!$D$15,($A103*(1-'P-Parametri'!$B$19))&lt;'P-Parametri'!$E$15),'P-Parametri'!$B$15/('P-Parametri'!$E$15-'P-Parametri'!$D$15),0))+'P-Parametri'!$B$20)</f>
        <v>0.60208709090909096</v>
      </c>
      <c r="E103" s="26">
        <f t="shared" si="4"/>
        <v>0.39791290909090904</v>
      </c>
      <c r="F103" s="26">
        <f>(1-'P-Parametri'!$B$19)*(1-'P-Parametri'!$B$23)</f>
        <v>0.86269499999999999</v>
      </c>
      <c r="G103" s="27">
        <f t="shared" si="5"/>
        <v>2.1680497925311206</v>
      </c>
      <c r="H103" s="29" t="str">
        <f>IF(AND($A103&gt;='4-Rapporto-RAL'!$B$8,$A103&lt;='4-Rapporto-RAL'!$B$9),"FINESTRA","")</f>
        <v>FINESTRA</v>
      </c>
    </row>
    <row r="104" spans="1:8">
      <c r="A104" s="28">
        <f>35800</f>
        <v>35800</v>
      </c>
      <c r="B104" s="25">
        <f>$A104*(1-'P-Parametri'!$B$19)</f>
        <v>32509.98</v>
      </c>
      <c r="C104" s="29" t="str">
        <f>IF(B104&lt;='P-Parametri'!$B$24,"sì","no")</f>
        <v>sì</v>
      </c>
      <c r="D104" s="26">
        <f>'P-Parametri'!$B$19+(1-'P-Parametri'!$B$19)*((IF(($A104*(1-'P-Parametri'!$B$19))&lt;='P-Parametri'!$B$6,'P-Parametri'!$C$6,IF(($A104*(1-'P-Parametri'!$B$19))&lt;='P-Parametri'!$B$7,'P-Parametri'!$C$7,'P-Parametri'!$C$8)))+(IF(($A104*(1-'P-Parametri'!$B$19))&lt;='P-Parametri'!$C$12,0,IF(($A104*(1-'P-Parametri'!$B$19))&lt;='P-Parametri'!$B$6,'P-Parametri'!$C$13/'P-Parametri'!$D$13,IF(($A104*(1-'P-Parametri'!$B$19))&lt;='P-Parametri'!$B$7,'P-Parametri'!$B$14/'P-Parametri'!$C$14,0))))+(IF(AND(($A104*(1-'P-Parametri'!$B$19))&gt;'P-Parametri'!$D$15,($A104*(1-'P-Parametri'!$B$19))&lt;'P-Parametri'!$E$15),'P-Parametri'!$B$15/('P-Parametri'!$E$15-'P-Parametri'!$D$15),0))+'P-Parametri'!$B$20)</f>
        <v>0.60208709090909096</v>
      </c>
      <c r="E104" s="26">
        <f t="shared" si="4"/>
        <v>0.39791290909090904</v>
      </c>
      <c r="F104" s="26">
        <f>(1-'P-Parametri'!$B$19)*(1-'P-Parametri'!$B$23)</f>
        <v>0.86269499999999999</v>
      </c>
      <c r="G104" s="27">
        <f t="shared" si="5"/>
        <v>2.1680497925311206</v>
      </c>
      <c r="H104" s="29" t="str">
        <f>IF(AND($A104&gt;='4-Rapporto-RAL'!$B$8,$A104&lt;='4-Rapporto-RAL'!$B$9),"FINESTRA","")</f>
        <v>FINESTRA</v>
      </c>
    </row>
    <row r="105" spans="1:8">
      <c r="A105" s="28">
        <f>35900</f>
        <v>35900</v>
      </c>
      <c r="B105" s="25">
        <f>$A105*(1-'P-Parametri'!$B$19)</f>
        <v>32600.79</v>
      </c>
      <c r="C105" s="29" t="str">
        <f>IF(B105&lt;='P-Parametri'!$B$24,"sì","no")</f>
        <v>sì</v>
      </c>
      <c r="D105" s="26">
        <f>'P-Parametri'!$B$19+(1-'P-Parametri'!$B$19)*((IF(($A105*(1-'P-Parametri'!$B$19))&lt;='P-Parametri'!$B$6,'P-Parametri'!$C$6,IF(($A105*(1-'P-Parametri'!$B$19))&lt;='P-Parametri'!$B$7,'P-Parametri'!$C$7,'P-Parametri'!$C$8)))+(IF(($A105*(1-'P-Parametri'!$B$19))&lt;='P-Parametri'!$C$12,0,IF(($A105*(1-'P-Parametri'!$B$19))&lt;='P-Parametri'!$B$6,'P-Parametri'!$C$13/'P-Parametri'!$D$13,IF(($A105*(1-'P-Parametri'!$B$19))&lt;='P-Parametri'!$B$7,'P-Parametri'!$B$14/'P-Parametri'!$C$14,0))))+(IF(AND(($A105*(1-'P-Parametri'!$B$19))&gt;'P-Parametri'!$D$15,($A105*(1-'P-Parametri'!$B$19))&lt;'P-Parametri'!$E$15),'P-Parametri'!$B$15/('P-Parametri'!$E$15-'P-Parametri'!$D$15),0))+'P-Parametri'!$B$20)</f>
        <v>0.60208709090909096</v>
      </c>
      <c r="E105" s="26">
        <f t="shared" si="4"/>
        <v>0.39791290909090904</v>
      </c>
      <c r="F105" s="26">
        <f>(1-'P-Parametri'!$B$19)*(1-'P-Parametri'!$B$23)</f>
        <v>0.86269499999999999</v>
      </c>
      <c r="G105" s="27">
        <f t="shared" si="5"/>
        <v>2.1680497925311206</v>
      </c>
      <c r="H105" s="29" t="str">
        <f>IF(AND($A105&gt;='4-Rapporto-RAL'!$B$8,$A105&lt;='4-Rapporto-RAL'!$B$9),"FINESTRA","")</f>
        <v>FINESTRA</v>
      </c>
    </row>
    <row r="106" spans="1:8">
      <c r="A106" s="28">
        <f>36000</f>
        <v>36000</v>
      </c>
      <c r="B106" s="25">
        <f>$A106*(1-'P-Parametri'!$B$19)</f>
        <v>32691.600000000002</v>
      </c>
      <c r="C106" s="29" t="str">
        <f>IF(B106&lt;='P-Parametri'!$B$24,"sì","no")</f>
        <v>sì</v>
      </c>
      <c r="D106" s="26">
        <f>'P-Parametri'!$B$19+(1-'P-Parametri'!$B$19)*((IF(($A106*(1-'P-Parametri'!$B$19))&lt;='P-Parametri'!$B$6,'P-Parametri'!$C$6,IF(($A106*(1-'P-Parametri'!$B$19))&lt;='P-Parametri'!$B$7,'P-Parametri'!$C$7,'P-Parametri'!$C$8)))+(IF(($A106*(1-'P-Parametri'!$B$19))&lt;='P-Parametri'!$C$12,0,IF(($A106*(1-'P-Parametri'!$B$19))&lt;='P-Parametri'!$B$6,'P-Parametri'!$C$13/'P-Parametri'!$D$13,IF(($A106*(1-'P-Parametri'!$B$19))&lt;='P-Parametri'!$B$7,'P-Parametri'!$B$14/'P-Parametri'!$C$14,0))))+(IF(AND(($A106*(1-'P-Parametri'!$B$19))&gt;'P-Parametri'!$D$15,($A106*(1-'P-Parametri'!$B$19))&lt;'P-Parametri'!$E$15),'P-Parametri'!$B$15/('P-Parametri'!$E$15-'P-Parametri'!$D$15),0))+'P-Parametri'!$B$20)</f>
        <v>0.60208709090909096</v>
      </c>
      <c r="E106" s="26">
        <f t="shared" si="4"/>
        <v>0.39791290909090904</v>
      </c>
      <c r="F106" s="26">
        <f>(1-'P-Parametri'!$B$19)*(1-'P-Parametri'!$B$23)</f>
        <v>0.86269499999999999</v>
      </c>
      <c r="G106" s="27">
        <f t="shared" si="5"/>
        <v>2.1680497925311206</v>
      </c>
      <c r="H106" s="29" t="str">
        <f>IF(AND($A106&gt;='4-Rapporto-RAL'!$B$8,$A106&lt;='4-Rapporto-RAL'!$B$9),"FINESTRA","")</f>
        <v>FINESTRA</v>
      </c>
    </row>
    <row r="107" spans="1:8">
      <c r="A107" s="28">
        <f>36100</f>
        <v>36100</v>
      </c>
      <c r="B107" s="25">
        <f>$A107*(1-'P-Parametri'!$B$19)</f>
        <v>32782.410000000003</v>
      </c>
      <c r="C107" s="29" t="str">
        <f>IF(B107&lt;='P-Parametri'!$B$24,"sì","no")</f>
        <v>sì</v>
      </c>
      <c r="D107" s="26">
        <f>'P-Parametri'!$B$19+(1-'P-Parametri'!$B$19)*((IF(($A107*(1-'P-Parametri'!$B$19))&lt;='P-Parametri'!$B$6,'P-Parametri'!$C$6,IF(($A107*(1-'P-Parametri'!$B$19))&lt;='P-Parametri'!$B$7,'P-Parametri'!$C$7,'P-Parametri'!$C$8)))+(IF(($A107*(1-'P-Parametri'!$B$19))&lt;='P-Parametri'!$C$12,0,IF(($A107*(1-'P-Parametri'!$B$19))&lt;='P-Parametri'!$B$6,'P-Parametri'!$C$13/'P-Parametri'!$D$13,IF(($A107*(1-'P-Parametri'!$B$19))&lt;='P-Parametri'!$B$7,'P-Parametri'!$B$14/'P-Parametri'!$C$14,0))))+(IF(AND(($A107*(1-'P-Parametri'!$B$19))&gt;'P-Parametri'!$D$15,($A107*(1-'P-Parametri'!$B$19))&lt;'P-Parametri'!$E$15),'P-Parametri'!$B$15/('P-Parametri'!$E$15-'P-Parametri'!$D$15),0))+'P-Parametri'!$B$20)</f>
        <v>0.60208709090909096</v>
      </c>
      <c r="E107" s="26">
        <f t="shared" si="4"/>
        <v>0.39791290909090904</v>
      </c>
      <c r="F107" s="26">
        <f>(1-'P-Parametri'!$B$19)*(1-'P-Parametri'!$B$23)</f>
        <v>0.86269499999999999</v>
      </c>
      <c r="G107" s="27">
        <f t="shared" si="5"/>
        <v>2.1680497925311206</v>
      </c>
      <c r="H107" s="29" t="str">
        <f>IF(AND($A107&gt;='4-Rapporto-RAL'!$B$8,$A107&lt;='4-Rapporto-RAL'!$B$9),"FINESTRA","")</f>
        <v>FINESTRA</v>
      </c>
    </row>
    <row r="108" spans="1:8">
      <c r="A108" s="28">
        <f>36200</f>
        <v>36200</v>
      </c>
      <c r="B108" s="25">
        <f>$A108*(1-'P-Parametri'!$B$19)</f>
        <v>32873.22</v>
      </c>
      <c r="C108" s="29" t="str">
        <f>IF(B108&lt;='P-Parametri'!$B$24,"sì","no")</f>
        <v>sì</v>
      </c>
      <c r="D108" s="26">
        <f>'P-Parametri'!$B$19+(1-'P-Parametri'!$B$19)*((IF(($A108*(1-'P-Parametri'!$B$19))&lt;='P-Parametri'!$B$6,'P-Parametri'!$C$6,IF(($A108*(1-'P-Parametri'!$B$19))&lt;='P-Parametri'!$B$7,'P-Parametri'!$C$7,'P-Parametri'!$C$8)))+(IF(($A108*(1-'P-Parametri'!$B$19))&lt;='P-Parametri'!$C$12,0,IF(($A108*(1-'P-Parametri'!$B$19))&lt;='P-Parametri'!$B$6,'P-Parametri'!$C$13/'P-Parametri'!$D$13,IF(($A108*(1-'P-Parametri'!$B$19))&lt;='P-Parametri'!$B$7,'P-Parametri'!$B$14/'P-Parametri'!$C$14,0))))+(IF(AND(($A108*(1-'P-Parametri'!$B$19))&gt;'P-Parametri'!$D$15,($A108*(1-'P-Parametri'!$B$19))&lt;'P-Parametri'!$E$15),'P-Parametri'!$B$15/('P-Parametri'!$E$15-'P-Parametri'!$D$15),0))+'P-Parametri'!$B$20)</f>
        <v>0.60208709090909096</v>
      </c>
      <c r="E108" s="26">
        <f t="shared" si="4"/>
        <v>0.39791290909090904</v>
      </c>
      <c r="F108" s="26">
        <f>(1-'P-Parametri'!$B$19)*(1-'P-Parametri'!$B$23)</f>
        <v>0.86269499999999999</v>
      </c>
      <c r="G108" s="27">
        <f t="shared" si="5"/>
        <v>2.1680497925311206</v>
      </c>
      <c r="H108" s="29" t="str">
        <f>IF(AND($A108&gt;='4-Rapporto-RAL'!$B$8,$A108&lt;='4-Rapporto-RAL'!$B$9),"FINESTRA","")</f>
        <v>FINESTRA</v>
      </c>
    </row>
    <row r="109" spans="1:8">
      <c r="A109" s="28">
        <f>36300</f>
        <v>36300</v>
      </c>
      <c r="B109" s="25">
        <f>$A109*(1-'P-Parametri'!$B$19)</f>
        <v>32964.03</v>
      </c>
      <c r="C109" s="29" t="str">
        <f>IF(B109&lt;='P-Parametri'!$B$24,"sì","no")</f>
        <v>sì</v>
      </c>
      <c r="D109" s="26">
        <f>'P-Parametri'!$B$19+(1-'P-Parametri'!$B$19)*((IF(($A109*(1-'P-Parametri'!$B$19))&lt;='P-Parametri'!$B$6,'P-Parametri'!$C$6,IF(($A109*(1-'P-Parametri'!$B$19))&lt;='P-Parametri'!$B$7,'P-Parametri'!$C$7,'P-Parametri'!$C$8)))+(IF(($A109*(1-'P-Parametri'!$B$19))&lt;='P-Parametri'!$C$12,0,IF(($A109*(1-'P-Parametri'!$B$19))&lt;='P-Parametri'!$B$6,'P-Parametri'!$C$13/'P-Parametri'!$D$13,IF(($A109*(1-'P-Parametri'!$B$19))&lt;='P-Parametri'!$B$7,'P-Parametri'!$B$14/'P-Parametri'!$C$14,0))))+(IF(AND(($A109*(1-'P-Parametri'!$B$19))&gt;'P-Parametri'!$D$15,($A109*(1-'P-Parametri'!$B$19))&lt;'P-Parametri'!$E$15),'P-Parametri'!$B$15/('P-Parametri'!$E$15-'P-Parametri'!$D$15),0))+'P-Parametri'!$B$20)</f>
        <v>0.60208709090909096</v>
      </c>
      <c r="E109" s="26">
        <f t="shared" si="4"/>
        <v>0.39791290909090904</v>
      </c>
      <c r="F109" s="26">
        <f>(1-'P-Parametri'!$B$19)*(1-'P-Parametri'!$B$23)</f>
        <v>0.86269499999999999</v>
      </c>
      <c r="G109" s="27">
        <f t="shared" si="5"/>
        <v>2.1680497925311206</v>
      </c>
      <c r="H109" s="29" t="str">
        <f>IF(AND($A109&gt;='4-Rapporto-RAL'!$B$8,$A109&lt;='4-Rapporto-RAL'!$B$9),"FINESTRA","")</f>
        <v>FINESTRA</v>
      </c>
    </row>
    <row r="110" spans="1:8">
      <c r="A110" s="17">
        <f>36400</f>
        <v>36400</v>
      </c>
      <c r="B110" s="9">
        <f>$A110*(1-'P-Parametri'!$B$19)</f>
        <v>33054.840000000004</v>
      </c>
      <c r="C110" s="13" t="str">
        <f>IF(B110&lt;='P-Parametri'!$B$24,"sì","no")</f>
        <v>no</v>
      </c>
      <c r="D110" s="11">
        <f>'P-Parametri'!$B$19+(1-'P-Parametri'!$B$19)*((IF(($A110*(1-'P-Parametri'!$B$19))&lt;='P-Parametri'!$B$6,'P-Parametri'!$C$6,IF(($A110*(1-'P-Parametri'!$B$19))&lt;='P-Parametri'!$B$7,'P-Parametri'!$C$7,'P-Parametri'!$C$8)))+(IF(($A110*(1-'P-Parametri'!$B$19))&lt;='P-Parametri'!$C$12,0,IF(($A110*(1-'P-Parametri'!$B$19))&lt;='P-Parametri'!$B$6,'P-Parametri'!$C$13/'P-Parametri'!$D$13,IF(($A110*(1-'P-Parametri'!$B$19))&lt;='P-Parametri'!$B$7,'P-Parametri'!$B$14/'P-Parametri'!$C$14,0))))+(IF(AND(($A110*(1-'P-Parametri'!$B$19))&gt;'P-Parametri'!$D$15,($A110*(1-'P-Parametri'!$B$19))&lt;'P-Parametri'!$E$15),'P-Parametri'!$B$15/('P-Parametri'!$E$15-'P-Parametri'!$D$15),0))+'P-Parametri'!$B$20)</f>
        <v>0.60208709090909096</v>
      </c>
      <c r="E110" s="11">
        <f t="shared" si="4"/>
        <v>0.39791290909090904</v>
      </c>
      <c r="F110" s="11">
        <f>(1-'P-Parametri'!$B$19)*(1-'P-Parametri'!$B$23)</f>
        <v>0.86269499999999999</v>
      </c>
      <c r="G110" s="23" t="str">
        <f t="shared" si="5"/>
        <v/>
      </c>
      <c r="H110" s="13" t="str">
        <f>IF(AND($A110&gt;='4-Rapporto-RAL'!$B$8,$A110&lt;='4-Rapporto-RAL'!$B$9),"FINESTRA","")</f>
        <v/>
      </c>
    </row>
    <row r="111" spans="1:8">
      <c r="A111" s="17">
        <f>36500</f>
        <v>36500</v>
      </c>
      <c r="B111" s="9">
        <f>$A111*(1-'P-Parametri'!$B$19)</f>
        <v>33145.65</v>
      </c>
      <c r="C111" s="13" t="str">
        <f>IF(B111&lt;='P-Parametri'!$B$24,"sì","no")</f>
        <v>no</v>
      </c>
      <c r="D111" s="11">
        <f>'P-Parametri'!$B$19+(1-'P-Parametri'!$B$19)*((IF(($A111*(1-'P-Parametri'!$B$19))&lt;='P-Parametri'!$B$6,'P-Parametri'!$C$6,IF(($A111*(1-'P-Parametri'!$B$19))&lt;='P-Parametri'!$B$7,'P-Parametri'!$C$7,'P-Parametri'!$C$8)))+(IF(($A111*(1-'P-Parametri'!$B$19))&lt;='P-Parametri'!$C$12,0,IF(($A111*(1-'P-Parametri'!$B$19))&lt;='P-Parametri'!$B$6,'P-Parametri'!$C$13/'P-Parametri'!$D$13,IF(($A111*(1-'P-Parametri'!$B$19))&lt;='P-Parametri'!$B$7,'P-Parametri'!$B$14/'P-Parametri'!$C$14,0))))+(IF(AND(($A111*(1-'P-Parametri'!$B$19))&gt;'P-Parametri'!$D$15,($A111*(1-'P-Parametri'!$B$19))&lt;'P-Parametri'!$E$15),'P-Parametri'!$B$15/('P-Parametri'!$E$15-'P-Parametri'!$D$15),0))+'P-Parametri'!$B$20)</f>
        <v>0.60208709090909096</v>
      </c>
      <c r="E111" s="11">
        <f t="shared" si="4"/>
        <v>0.39791290909090904</v>
      </c>
      <c r="F111" s="11">
        <f>(1-'P-Parametri'!$B$19)*(1-'P-Parametri'!$B$23)</f>
        <v>0.86269499999999999</v>
      </c>
      <c r="G111" s="23" t="str">
        <f t="shared" si="5"/>
        <v/>
      </c>
      <c r="H111" s="13" t="str">
        <f>IF(AND($A111&gt;='4-Rapporto-RAL'!$B$8,$A111&lt;='4-Rapporto-RAL'!$B$9),"FINESTRA","")</f>
        <v/>
      </c>
    </row>
    <row r="112" spans="1:8">
      <c r="A112" s="17">
        <f>36600</f>
        <v>36600</v>
      </c>
      <c r="B112" s="9">
        <f>$A112*(1-'P-Parametri'!$B$19)</f>
        <v>33236.46</v>
      </c>
      <c r="C112" s="13" t="str">
        <f>IF(B112&lt;='P-Parametri'!$B$24,"sì","no")</f>
        <v>no</v>
      </c>
      <c r="D112" s="11">
        <f>'P-Parametri'!$B$19+(1-'P-Parametri'!$B$19)*((IF(($A112*(1-'P-Parametri'!$B$19))&lt;='P-Parametri'!$B$6,'P-Parametri'!$C$6,IF(($A112*(1-'P-Parametri'!$B$19))&lt;='P-Parametri'!$B$7,'P-Parametri'!$C$7,'P-Parametri'!$C$8)))+(IF(($A112*(1-'P-Parametri'!$B$19))&lt;='P-Parametri'!$C$12,0,IF(($A112*(1-'P-Parametri'!$B$19))&lt;='P-Parametri'!$B$6,'P-Parametri'!$C$13/'P-Parametri'!$D$13,IF(($A112*(1-'P-Parametri'!$B$19))&lt;='P-Parametri'!$B$7,'P-Parametri'!$B$14/'P-Parametri'!$C$14,0))))+(IF(AND(($A112*(1-'P-Parametri'!$B$19))&gt;'P-Parametri'!$D$15,($A112*(1-'P-Parametri'!$B$19))&lt;'P-Parametri'!$E$15),'P-Parametri'!$B$15/('P-Parametri'!$E$15-'P-Parametri'!$D$15),0))+'P-Parametri'!$B$20)</f>
        <v>0.60208709090909096</v>
      </c>
      <c r="E112" s="11">
        <f t="shared" si="4"/>
        <v>0.39791290909090904</v>
      </c>
      <c r="F112" s="11">
        <f>(1-'P-Parametri'!$B$19)*(1-'P-Parametri'!$B$23)</f>
        <v>0.86269499999999999</v>
      </c>
      <c r="G112" s="23" t="str">
        <f t="shared" si="5"/>
        <v/>
      </c>
      <c r="H112" s="13" t="str">
        <f>IF(AND($A112&gt;='4-Rapporto-RAL'!$B$8,$A112&lt;='4-Rapporto-RAL'!$B$9),"FINESTRA","")</f>
        <v/>
      </c>
    </row>
    <row r="113" spans="1:8">
      <c r="A113" s="17">
        <f>36700</f>
        <v>36700</v>
      </c>
      <c r="B113" s="9">
        <f>$A113*(1-'P-Parametri'!$B$19)</f>
        <v>33327.270000000004</v>
      </c>
      <c r="C113" s="13" t="str">
        <f>IF(B113&lt;='P-Parametri'!$B$24,"sì","no")</f>
        <v>no</v>
      </c>
      <c r="D113" s="11">
        <f>'P-Parametri'!$B$19+(1-'P-Parametri'!$B$19)*((IF(($A113*(1-'P-Parametri'!$B$19))&lt;='P-Parametri'!$B$6,'P-Parametri'!$C$6,IF(($A113*(1-'P-Parametri'!$B$19))&lt;='P-Parametri'!$B$7,'P-Parametri'!$C$7,'P-Parametri'!$C$8)))+(IF(($A113*(1-'P-Parametri'!$B$19))&lt;='P-Parametri'!$C$12,0,IF(($A113*(1-'P-Parametri'!$B$19))&lt;='P-Parametri'!$B$6,'P-Parametri'!$C$13/'P-Parametri'!$D$13,IF(($A113*(1-'P-Parametri'!$B$19))&lt;='P-Parametri'!$B$7,'P-Parametri'!$B$14/'P-Parametri'!$C$14,0))))+(IF(AND(($A113*(1-'P-Parametri'!$B$19))&gt;'P-Parametri'!$D$15,($A113*(1-'P-Parametri'!$B$19))&lt;'P-Parametri'!$E$15),'P-Parametri'!$B$15/('P-Parametri'!$E$15-'P-Parametri'!$D$15),0))+'P-Parametri'!$B$20)</f>
        <v>0.60208709090909096</v>
      </c>
      <c r="E113" s="11">
        <f t="shared" si="4"/>
        <v>0.39791290909090904</v>
      </c>
      <c r="F113" s="11">
        <f>(1-'P-Parametri'!$B$19)*(1-'P-Parametri'!$B$23)</f>
        <v>0.86269499999999999</v>
      </c>
      <c r="G113" s="23" t="str">
        <f t="shared" si="5"/>
        <v/>
      </c>
      <c r="H113" s="13" t="str">
        <f>IF(AND($A113&gt;='4-Rapporto-RAL'!$B$8,$A113&lt;='4-Rapporto-RAL'!$B$9),"FINESTRA","")</f>
        <v/>
      </c>
    </row>
    <row r="114" spans="1:8">
      <c r="A114" s="17">
        <f>36800</f>
        <v>36800</v>
      </c>
      <c r="B114" s="9">
        <f>$A114*(1-'P-Parametri'!$B$19)</f>
        <v>33418.080000000002</v>
      </c>
      <c r="C114" s="13" t="str">
        <f>IF(B114&lt;='P-Parametri'!$B$24,"sì","no")</f>
        <v>no</v>
      </c>
      <c r="D114" s="11">
        <f>'P-Parametri'!$B$19+(1-'P-Parametri'!$B$19)*((IF(($A114*(1-'P-Parametri'!$B$19))&lt;='P-Parametri'!$B$6,'P-Parametri'!$C$6,IF(($A114*(1-'P-Parametri'!$B$19))&lt;='P-Parametri'!$B$7,'P-Parametri'!$C$7,'P-Parametri'!$C$8)))+(IF(($A114*(1-'P-Parametri'!$B$19))&lt;='P-Parametri'!$C$12,0,IF(($A114*(1-'P-Parametri'!$B$19))&lt;='P-Parametri'!$B$6,'P-Parametri'!$C$13/'P-Parametri'!$D$13,IF(($A114*(1-'P-Parametri'!$B$19))&lt;='P-Parametri'!$B$7,'P-Parametri'!$B$14/'P-Parametri'!$C$14,0))))+(IF(AND(($A114*(1-'P-Parametri'!$B$19))&gt;'P-Parametri'!$D$15,($A114*(1-'P-Parametri'!$B$19))&lt;'P-Parametri'!$E$15),'P-Parametri'!$B$15/('P-Parametri'!$E$15-'P-Parametri'!$D$15),0))+'P-Parametri'!$B$20)</f>
        <v>0.60208709090909096</v>
      </c>
      <c r="E114" s="11">
        <f t="shared" si="4"/>
        <v>0.39791290909090904</v>
      </c>
      <c r="F114" s="11">
        <f>(1-'P-Parametri'!$B$19)*(1-'P-Parametri'!$B$23)</f>
        <v>0.86269499999999999</v>
      </c>
      <c r="G114" s="23" t="str">
        <f t="shared" si="5"/>
        <v/>
      </c>
      <c r="H114" s="13" t="str">
        <f>IF(AND($A114&gt;='4-Rapporto-RAL'!$B$8,$A114&lt;='4-Rapporto-RAL'!$B$9),"FINESTRA","")</f>
        <v/>
      </c>
    </row>
    <row r="115" spans="1:8">
      <c r="A115" s="17">
        <f>36900</f>
        <v>36900</v>
      </c>
      <c r="B115" s="9">
        <f>$A115*(1-'P-Parametri'!$B$19)</f>
        <v>33508.89</v>
      </c>
      <c r="C115" s="13" t="str">
        <f>IF(B115&lt;='P-Parametri'!$B$24,"sì","no")</f>
        <v>no</v>
      </c>
      <c r="D115" s="11">
        <f>'P-Parametri'!$B$19+(1-'P-Parametri'!$B$19)*((IF(($A115*(1-'P-Parametri'!$B$19))&lt;='P-Parametri'!$B$6,'P-Parametri'!$C$6,IF(($A115*(1-'P-Parametri'!$B$19))&lt;='P-Parametri'!$B$7,'P-Parametri'!$C$7,'P-Parametri'!$C$8)))+(IF(($A115*(1-'P-Parametri'!$B$19))&lt;='P-Parametri'!$C$12,0,IF(($A115*(1-'P-Parametri'!$B$19))&lt;='P-Parametri'!$B$6,'P-Parametri'!$C$13/'P-Parametri'!$D$13,IF(($A115*(1-'P-Parametri'!$B$19))&lt;='P-Parametri'!$B$7,'P-Parametri'!$B$14/'P-Parametri'!$C$14,0))))+(IF(AND(($A115*(1-'P-Parametri'!$B$19))&gt;'P-Parametri'!$D$15,($A115*(1-'P-Parametri'!$B$19))&lt;'P-Parametri'!$E$15),'P-Parametri'!$B$15/('P-Parametri'!$E$15-'P-Parametri'!$D$15),0))+'P-Parametri'!$B$20)</f>
        <v>0.60208709090909096</v>
      </c>
      <c r="E115" s="11">
        <f t="shared" si="4"/>
        <v>0.39791290909090904</v>
      </c>
      <c r="F115" s="11">
        <f>(1-'P-Parametri'!$B$19)*(1-'P-Parametri'!$B$23)</f>
        <v>0.86269499999999999</v>
      </c>
      <c r="G115" s="23" t="str">
        <f t="shared" si="5"/>
        <v/>
      </c>
      <c r="H115" s="13" t="str">
        <f>IF(AND($A115&gt;='4-Rapporto-RAL'!$B$8,$A115&lt;='4-Rapporto-RAL'!$B$9),"FINESTRA","")</f>
        <v/>
      </c>
    </row>
    <row r="116" spans="1:8">
      <c r="A116" s="17">
        <f>37000</f>
        <v>37000</v>
      </c>
      <c r="B116" s="9">
        <f>$A116*(1-'P-Parametri'!$B$19)</f>
        <v>33599.699999999997</v>
      </c>
      <c r="C116" s="13" t="str">
        <f>IF(B116&lt;='P-Parametri'!$B$24,"sì","no")</f>
        <v>no</v>
      </c>
      <c r="D116" s="11">
        <f>'P-Parametri'!$B$19+(1-'P-Parametri'!$B$19)*((IF(($A116*(1-'P-Parametri'!$B$19))&lt;='P-Parametri'!$B$6,'P-Parametri'!$C$6,IF(($A116*(1-'P-Parametri'!$B$19))&lt;='P-Parametri'!$B$7,'P-Parametri'!$C$7,'P-Parametri'!$C$8)))+(IF(($A116*(1-'P-Parametri'!$B$19))&lt;='P-Parametri'!$C$12,0,IF(($A116*(1-'P-Parametri'!$B$19))&lt;='P-Parametri'!$B$6,'P-Parametri'!$C$13/'P-Parametri'!$D$13,IF(($A116*(1-'P-Parametri'!$B$19))&lt;='P-Parametri'!$B$7,'P-Parametri'!$B$14/'P-Parametri'!$C$14,0))))+(IF(AND(($A116*(1-'P-Parametri'!$B$19))&gt;'P-Parametri'!$D$15,($A116*(1-'P-Parametri'!$B$19))&lt;'P-Parametri'!$E$15),'P-Parametri'!$B$15/('P-Parametri'!$E$15-'P-Parametri'!$D$15),0))+'P-Parametri'!$B$20)</f>
        <v>0.60208709090909096</v>
      </c>
      <c r="E116" s="11">
        <f t="shared" si="4"/>
        <v>0.39791290909090904</v>
      </c>
      <c r="F116" s="11">
        <f>(1-'P-Parametri'!$B$19)*(1-'P-Parametri'!$B$23)</f>
        <v>0.86269499999999999</v>
      </c>
      <c r="G116" s="23" t="str">
        <f t="shared" si="5"/>
        <v/>
      </c>
      <c r="H116" s="13" t="str">
        <f>IF(AND($A116&gt;='4-Rapporto-RAL'!$B$8,$A116&lt;='4-Rapporto-RAL'!$B$9),"FINESTRA","")</f>
        <v/>
      </c>
    </row>
    <row r="117" spans="1:8">
      <c r="A117" s="17">
        <f>37100</f>
        <v>37100</v>
      </c>
      <c r="B117" s="9">
        <f>$A117*(1-'P-Parametri'!$B$19)</f>
        <v>33690.51</v>
      </c>
      <c r="C117" s="13" t="str">
        <f>IF(B117&lt;='P-Parametri'!$B$24,"sì","no")</f>
        <v>no</v>
      </c>
      <c r="D117" s="11">
        <f>'P-Parametri'!$B$19+(1-'P-Parametri'!$B$19)*((IF(($A117*(1-'P-Parametri'!$B$19))&lt;='P-Parametri'!$B$6,'P-Parametri'!$C$6,IF(($A117*(1-'P-Parametri'!$B$19))&lt;='P-Parametri'!$B$7,'P-Parametri'!$C$7,'P-Parametri'!$C$8)))+(IF(($A117*(1-'P-Parametri'!$B$19))&lt;='P-Parametri'!$C$12,0,IF(($A117*(1-'P-Parametri'!$B$19))&lt;='P-Parametri'!$B$6,'P-Parametri'!$C$13/'P-Parametri'!$D$13,IF(($A117*(1-'P-Parametri'!$B$19))&lt;='P-Parametri'!$B$7,'P-Parametri'!$B$14/'P-Parametri'!$C$14,0))))+(IF(AND(($A117*(1-'P-Parametri'!$B$19))&gt;'P-Parametri'!$D$15,($A117*(1-'P-Parametri'!$B$19))&lt;'P-Parametri'!$E$15),'P-Parametri'!$B$15/('P-Parametri'!$E$15-'P-Parametri'!$D$15),0))+'P-Parametri'!$B$20)</f>
        <v>0.60208709090909096</v>
      </c>
      <c r="E117" s="11">
        <f t="shared" si="4"/>
        <v>0.39791290909090904</v>
      </c>
      <c r="F117" s="11">
        <f>(1-'P-Parametri'!$B$19)*(1-'P-Parametri'!$B$23)</f>
        <v>0.86269499999999999</v>
      </c>
      <c r="G117" s="23" t="str">
        <f t="shared" si="5"/>
        <v/>
      </c>
      <c r="H117" s="13" t="str">
        <f>IF(AND($A117&gt;='4-Rapporto-RAL'!$B$8,$A117&lt;='4-Rapporto-RAL'!$B$9),"FINESTRA","")</f>
        <v/>
      </c>
    </row>
    <row r="118" spans="1:8">
      <c r="A118" s="17">
        <f>37200</f>
        <v>37200</v>
      </c>
      <c r="B118" s="9">
        <f>$A118*(1-'P-Parametri'!$B$19)</f>
        <v>33781.32</v>
      </c>
      <c r="C118" s="13" t="str">
        <f>IF(B118&lt;='P-Parametri'!$B$24,"sì","no")</f>
        <v>no</v>
      </c>
      <c r="D118" s="11">
        <f>'P-Parametri'!$B$19+(1-'P-Parametri'!$B$19)*((IF(($A118*(1-'P-Parametri'!$B$19))&lt;='P-Parametri'!$B$6,'P-Parametri'!$C$6,IF(($A118*(1-'P-Parametri'!$B$19))&lt;='P-Parametri'!$B$7,'P-Parametri'!$C$7,'P-Parametri'!$C$8)))+(IF(($A118*(1-'P-Parametri'!$B$19))&lt;='P-Parametri'!$C$12,0,IF(($A118*(1-'P-Parametri'!$B$19))&lt;='P-Parametri'!$B$6,'P-Parametri'!$C$13/'P-Parametri'!$D$13,IF(($A118*(1-'P-Parametri'!$B$19))&lt;='P-Parametri'!$B$7,'P-Parametri'!$B$14/'P-Parametri'!$C$14,0))))+(IF(AND(($A118*(1-'P-Parametri'!$B$19))&gt;'P-Parametri'!$D$15,($A118*(1-'P-Parametri'!$B$19))&lt;'P-Parametri'!$E$15),'P-Parametri'!$B$15/('P-Parametri'!$E$15-'P-Parametri'!$D$15),0))+'P-Parametri'!$B$20)</f>
        <v>0.60208709090909096</v>
      </c>
      <c r="E118" s="11">
        <f t="shared" si="4"/>
        <v>0.39791290909090904</v>
      </c>
      <c r="F118" s="11">
        <f>(1-'P-Parametri'!$B$19)*(1-'P-Parametri'!$B$23)</f>
        <v>0.86269499999999999</v>
      </c>
      <c r="G118" s="23" t="str">
        <f t="shared" si="5"/>
        <v/>
      </c>
      <c r="H118" s="13" t="str">
        <f>IF(AND($A118&gt;='4-Rapporto-RAL'!$B$8,$A118&lt;='4-Rapporto-RAL'!$B$9),"FINESTRA","")</f>
        <v/>
      </c>
    </row>
    <row r="119" spans="1:8">
      <c r="A119" s="17">
        <f>37300</f>
        <v>37300</v>
      </c>
      <c r="B119" s="9">
        <f>$A119*(1-'P-Parametri'!$B$19)</f>
        <v>33872.129999999997</v>
      </c>
      <c r="C119" s="13" t="str">
        <f>IF(B119&lt;='P-Parametri'!$B$24,"sì","no")</f>
        <v>no</v>
      </c>
      <c r="D119" s="11">
        <f>'P-Parametri'!$B$19+(1-'P-Parametri'!$B$19)*((IF(($A119*(1-'P-Parametri'!$B$19))&lt;='P-Parametri'!$B$6,'P-Parametri'!$C$6,IF(($A119*(1-'P-Parametri'!$B$19))&lt;='P-Parametri'!$B$7,'P-Parametri'!$C$7,'P-Parametri'!$C$8)))+(IF(($A119*(1-'P-Parametri'!$B$19))&lt;='P-Parametri'!$C$12,0,IF(($A119*(1-'P-Parametri'!$B$19))&lt;='P-Parametri'!$B$6,'P-Parametri'!$C$13/'P-Parametri'!$D$13,IF(($A119*(1-'P-Parametri'!$B$19))&lt;='P-Parametri'!$B$7,'P-Parametri'!$B$14/'P-Parametri'!$C$14,0))))+(IF(AND(($A119*(1-'P-Parametri'!$B$19))&gt;'P-Parametri'!$D$15,($A119*(1-'P-Parametri'!$B$19))&lt;'P-Parametri'!$E$15),'P-Parametri'!$B$15/('P-Parametri'!$E$15-'P-Parametri'!$D$15),0))+'P-Parametri'!$B$20)</f>
        <v>0.60208709090909096</v>
      </c>
      <c r="E119" s="11">
        <f t="shared" si="4"/>
        <v>0.39791290909090904</v>
      </c>
      <c r="F119" s="11">
        <f>(1-'P-Parametri'!$B$19)*(1-'P-Parametri'!$B$23)</f>
        <v>0.86269499999999999</v>
      </c>
      <c r="G119" s="23" t="str">
        <f t="shared" si="5"/>
        <v/>
      </c>
      <c r="H119" s="13" t="str">
        <f>IF(AND($A119&gt;='4-Rapporto-RAL'!$B$8,$A119&lt;='4-Rapporto-RAL'!$B$9),"FINESTRA","")</f>
        <v/>
      </c>
    </row>
    <row r="120" spans="1:8">
      <c r="A120" s="17">
        <f>37400</f>
        <v>37400</v>
      </c>
      <c r="B120" s="9">
        <f>$A120*(1-'P-Parametri'!$B$19)</f>
        <v>33962.94</v>
      </c>
      <c r="C120" s="13" t="str">
        <f>IF(B120&lt;='P-Parametri'!$B$24,"sì","no")</f>
        <v>no</v>
      </c>
      <c r="D120" s="11">
        <f>'P-Parametri'!$B$19+(1-'P-Parametri'!$B$19)*((IF(($A120*(1-'P-Parametri'!$B$19))&lt;='P-Parametri'!$B$6,'P-Parametri'!$C$6,IF(($A120*(1-'P-Parametri'!$B$19))&lt;='P-Parametri'!$B$7,'P-Parametri'!$C$7,'P-Parametri'!$C$8)))+(IF(($A120*(1-'P-Parametri'!$B$19))&lt;='P-Parametri'!$C$12,0,IF(($A120*(1-'P-Parametri'!$B$19))&lt;='P-Parametri'!$B$6,'P-Parametri'!$C$13/'P-Parametri'!$D$13,IF(($A120*(1-'P-Parametri'!$B$19))&lt;='P-Parametri'!$B$7,'P-Parametri'!$B$14/'P-Parametri'!$C$14,0))))+(IF(AND(($A120*(1-'P-Parametri'!$B$19))&gt;'P-Parametri'!$D$15,($A120*(1-'P-Parametri'!$B$19))&lt;'P-Parametri'!$E$15),'P-Parametri'!$B$15/('P-Parametri'!$E$15-'P-Parametri'!$D$15),0))+'P-Parametri'!$B$20)</f>
        <v>0.60208709090909096</v>
      </c>
      <c r="E120" s="11">
        <f t="shared" si="4"/>
        <v>0.39791290909090904</v>
      </c>
      <c r="F120" s="11">
        <f>(1-'P-Parametri'!$B$19)*(1-'P-Parametri'!$B$23)</f>
        <v>0.86269499999999999</v>
      </c>
      <c r="G120" s="23" t="str">
        <f t="shared" si="5"/>
        <v/>
      </c>
      <c r="H120" s="13" t="str">
        <f>IF(AND($A120&gt;='4-Rapporto-RAL'!$B$8,$A120&lt;='4-Rapporto-RAL'!$B$9),"FINESTRA","")</f>
        <v/>
      </c>
    </row>
    <row r="121" spans="1:8">
      <c r="A121" s="17">
        <f>37500</f>
        <v>37500</v>
      </c>
      <c r="B121" s="9">
        <f>$A121*(1-'P-Parametri'!$B$19)</f>
        <v>34053.75</v>
      </c>
      <c r="C121" s="13" t="str">
        <f>IF(B121&lt;='P-Parametri'!$B$24,"sì","no")</f>
        <v>no</v>
      </c>
      <c r="D121" s="11">
        <f>'P-Parametri'!$B$19+(1-'P-Parametri'!$B$19)*((IF(($A121*(1-'P-Parametri'!$B$19))&lt;='P-Parametri'!$B$6,'P-Parametri'!$C$6,IF(($A121*(1-'P-Parametri'!$B$19))&lt;='P-Parametri'!$B$7,'P-Parametri'!$C$7,'P-Parametri'!$C$8)))+(IF(($A121*(1-'P-Parametri'!$B$19))&lt;='P-Parametri'!$C$12,0,IF(($A121*(1-'P-Parametri'!$B$19))&lt;='P-Parametri'!$B$6,'P-Parametri'!$C$13/'P-Parametri'!$D$13,IF(($A121*(1-'P-Parametri'!$B$19))&lt;='P-Parametri'!$B$7,'P-Parametri'!$B$14/'P-Parametri'!$C$14,0))))+(IF(AND(($A121*(1-'P-Parametri'!$B$19))&gt;'P-Parametri'!$D$15,($A121*(1-'P-Parametri'!$B$19))&lt;'P-Parametri'!$E$15),'P-Parametri'!$B$15/('P-Parametri'!$E$15-'P-Parametri'!$D$15),0))+'P-Parametri'!$B$20)</f>
        <v>0.60208709090909096</v>
      </c>
      <c r="E121" s="11">
        <f t="shared" si="4"/>
        <v>0.39791290909090904</v>
      </c>
      <c r="F121" s="11">
        <f>(1-'P-Parametri'!$B$19)*(1-'P-Parametri'!$B$23)</f>
        <v>0.86269499999999999</v>
      </c>
      <c r="G121" s="23" t="str">
        <f t="shared" si="5"/>
        <v/>
      </c>
      <c r="H121" s="13" t="str">
        <f>IF(AND($A121&gt;='4-Rapporto-RAL'!$B$8,$A121&lt;='4-Rapporto-RAL'!$B$9),"FINESTRA","")</f>
        <v/>
      </c>
    </row>
    <row r="122" spans="1:8">
      <c r="A122" s="17">
        <f>37600</f>
        <v>37600</v>
      </c>
      <c r="B122" s="9">
        <f>$A122*(1-'P-Parametri'!$B$19)</f>
        <v>34144.559999999998</v>
      </c>
      <c r="C122" s="13" t="str">
        <f>IF(B122&lt;='P-Parametri'!$B$24,"sì","no")</f>
        <v>no</v>
      </c>
      <c r="D122" s="11">
        <f>'P-Parametri'!$B$19+(1-'P-Parametri'!$B$19)*((IF(($A122*(1-'P-Parametri'!$B$19))&lt;='P-Parametri'!$B$6,'P-Parametri'!$C$6,IF(($A122*(1-'P-Parametri'!$B$19))&lt;='P-Parametri'!$B$7,'P-Parametri'!$C$7,'P-Parametri'!$C$8)))+(IF(($A122*(1-'P-Parametri'!$B$19))&lt;='P-Parametri'!$C$12,0,IF(($A122*(1-'P-Parametri'!$B$19))&lt;='P-Parametri'!$B$6,'P-Parametri'!$C$13/'P-Parametri'!$D$13,IF(($A122*(1-'P-Parametri'!$B$19))&lt;='P-Parametri'!$B$7,'P-Parametri'!$B$14/'P-Parametri'!$C$14,0))))+(IF(AND(($A122*(1-'P-Parametri'!$B$19))&gt;'P-Parametri'!$D$15,($A122*(1-'P-Parametri'!$B$19))&lt;'P-Parametri'!$E$15),'P-Parametri'!$B$15/('P-Parametri'!$E$15-'P-Parametri'!$D$15),0))+'P-Parametri'!$B$20)</f>
        <v>0.60208709090909096</v>
      </c>
      <c r="E122" s="11">
        <f t="shared" ref="E122:E153" si="6">1-D122</f>
        <v>0.39791290909090904</v>
      </c>
      <c r="F122" s="11">
        <f>(1-'P-Parametri'!$B$19)*(1-'P-Parametri'!$B$23)</f>
        <v>0.86269499999999999</v>
      </c>
      <c r="G122" s="23" t="str">
        <f t="shared" ref="G122:G153" si="7">IF(C122="sì",F122/E122,"")</f>
        <v/>
      </c>
      <c r="H122" s="13" t="str">
        <f>IF(AND($A122&gt;='4-Rapporto-RAL'!$B$8,$A122&lt;='4-Rapporto-RAL'!$B$9),"FINESTRA","")</f>
        <v/>
      </c>
    </row>
    <row r="123" spans="1:8">
      <c r="A123" s="17">
        <f>37700</f>
        <v>37700</v>
      </c>
      <c r="B123" s="9">
        <f>$A123*(1-'P-Parametri'!$B$19)</f>
        <v>34235.370000000003</v>
      </c>
      <c r="C123" s="13" t="str">
        <f>IF(B123&lt;='P-Parametri'!$B$24,"sì","no")</f>
        <v>no</v>
      </c>
      <c r="D123" s="11">
        <f>'P-Parametri'!$B$19+(1-'P-Parametri'!$B$19)*((IF(($A123*(1-'P-Parametri'!$B$19))&lt;='P-Parametri'!$B$6,'P-Parametri'!$C$6,IF(($A123*(1-'P-Parametri'!$B$19))&lt;='P-Parametri'!$B$7,'P-Parametri'!$C$7,'P-Parametri'!$C$8)))+(IF(($A123*(1-'P-Parametri'!$B$19))&lt;='P-Parametri'!$C$12,0,IF(($A123*(1-'P-Parametri'!$B$19))&lt;='P-Parametri'!$B$6,'P-Parametri'!$C$13/'P-Parametri'!$D$13,IF(($A123*(1-'P-Parametri'!$B$19))&lt;='P-Parametri'!$B$7,'P-Parametri'!$B$14/'P-Parametri'!$C$14,0))))+(IF(AND(($A123*(1-'P-Parametri'!$B$19))&gt;'P-Parametri'!$D$15,($A123*(1-'P-Parametri'!$B$19))&lt;'P-Parametri'!$E$15),'P-Parametri'!$B$15/('P-Parametri'!$E$15-'P-Parametri'!$D$15),0))+'P-Parametri'!$B$20)</f>
        <v>0.60208709090909096</v>
      </c>
      <c r="E123" s="11">
        <f t="shared" si="6"/>
        <v>0.39791290909090904</v>
      </c>
      <c r="F123" s="11">
        <f>(1-'P-Parametri'!$B$19)*(1-'P-Parametri'!$B$23)</f>
        <v>0.86269499999999999</v>
      </c>
      <c r="G123" s="23" t="str">
        <f t="shared" si="7"/>
        <v/>
      </c>
      <c r="H123" s="13" t="str">
        <f>IF(AND($A123&gt;='4-Rapporto-RAL'!$B$8,$A123&lt;='4-Rapporto-RAL'!$B$9),"FINESTRA","")</f>
        <v/>
      </c>
    </row>
    <row r="124" spans="1:8">
      <c r="A124" s="17">
        <f>37800</f>
        <v>37800</v>
      </c>
      <c r="B124" s="9">
        <f>$A124*(1-'P-Parametri'!$B$19)</f>
        <v>34326.18</v>
      </c>
      <c r="C124" s="13" t="str">
        <f>IF(B124&lt;='P-Parametri'!$B$24,"sì","no")</f>
        <v>no</v>
      </c>
      <c r="D124" s="11">
        <f>'P-Parametri'!$B$19+(1-'P-Parametri'!$B$19)*((IF(($A124*(1-'P-Parametri'!$B$19))&lt;='P-Parametri'!$B$6,'P-Parametri'!$C$6,IF(($A124*(1-'P-Parametri'!$B$19))&lt;='P-Parametri'!$B$7,'P-Parametri'!$C$7,'P-Parametri'!$C$8)))+(IF(($A124*(1-'P-Parametri'!$B$19))&lt;='P-Parametri'!$C$12,0,IF(($A124*(1-'P-Parametri'!$B$19))&lt;='P-Parametri'!$B$6,'P-Parametri'!$C$13/'P-Parametri'!$D$13,IF(($A124*(1-'P-Parametri'!$B$19))&lt;='P-Parametri'!$B$7,'P-Parametri'!$B$14/'P-Parametri'!$C$14,0))))+(IF(AND(($A124*(1-'P-Parametri'!$B$19))&gt;'P-Parametri'!$D$15,($A124*(1-'P-Parametri'!$B$19))&lt;'P-Parametri'!$E$15),'P-Parametri'!$B$15/('P-Parametri'!$E$15-'P-Parametri'!$D$15),0))+'P-Parametri'!$B$20)</f>
        <v>0.60208709090909096</v>
      </c>
      <c r="E124" s="11">
        <f t="shared" si="6"/>
        <v>0.39791290909090904</v>
      </c>
      <c r="F124" s="11">
        <f>(1-'P-Parametri'!$B$19)*(1-'P-Parametri'!$B$23)</f>
        <v>0.86269499999999999</v>
      </c>
      <c r="G124" s="23" t="str">
        <f t="shared" si="7"/>
        <v/>
      </c>
      <c r="H124" s="13" t="str">
        <f>IF(AND($A124&gt;='4-Rapporto-RAL'!$B$8,$A124&lt;='4-Rapporto-RAL'!$B$9),"FINESTRA","")</f>
        <v/>
      </c>
    </row>
    <row r="125" spans="1:8">
      <c r="A125" s="17">
        <f>37900</f>
        <v>37900</v>
      </c>
      <c r="B125" s="9">
        <f>$A125*(1-'P-Parametri'!$B$19)</f>
        <v>34416.99</v>
      </c>
      <c r="C125" s="13" t="str">
        <f>IF(B125&lt;='P-Parametri'!$B$24,"sì","no")</f>
        <v>no</v>
      </c>
      <c r="D125" s="11">
        <f>'P-Parametri'!$B$19+(1-'P-Parametri'!$B$19)*((IF(($A125*(1-'P-Parametri'!$B$19))&lt;='P-Parametri'!$B$6,'P-Parametri'!$C$6,IF(($A125*(1-'P-Parametri'!$B$19))&lt;='P-Parametri'!$B$7,'P-Parametri'!$C$7,'P-Parametri'!$C$8)))+(IF(($A125*(1-'P-Parametri'!$B$19))&lt;='P-Parametri'!$C$12,0,IF(($A125*(1-'P-Parametri'!$B$19))&lt;='P-Parametri'!$B$6,'P-Parametri'!$C$13/'P-Parametri'!$D$13,IF(($A125*(1-'P-Parametri'!$B$19))&lt;='P-Parametri'!$B$7,'P-Parametri'!$B$14/'P-Parametri'!$C$14,0))))+(IF(AND(($A125*(1-'P-Parametri'!$B$19))&gt;'P-Parametri'!$D$15,($A125*(1-'P-Parametri'!$B$19))&lt;'P-Parametri'!$E$15),'P-Parametri'!$B$15/('P-Parametri'!$E$15-'P-Parametri'!$D$15),0))+'P-Parametri'!$B$20)</f>
        <v>0.60208709090909096</v>
      </c>
      <c r="E125" s="11">
        <f t="shared" si="6"/>
        <v>0.39791290909090904</v>
      </c>
      <c r="F125" s="11">
        <f>(1-'P-Parametri'!$B$19)*(1-'P-Parametri'!$B$23)</f>
        <v>0.86269499999999999</v>
      </c>
      <c r="G125" s="23" t="str">
        <f t="shared" si="7"/>
        <v/>
      </c>
      <c r="H125" s="13" t="str">
        <f>IF(AND($A125&gt;='4-Rapporto-RAL'!$B$8,$A125&lt;='4-Rapporto-RAL'!$B$9),"FINESTRA","")</f>
        <v/>
      </c>
    </row>
    <row r="126" spans="1:8">
      <c r="A126" s="17">
        <f>38000</f>
        <v>38000</v>
      </c>
      <c r="B126" s="9">
        <f>$A126*(1-'P-Parametri'!$B$19)</f>
        <v>34507.800000000003</v>
      </c>
      <c r="C126" s="13" t="str">
        <f>IF(B126&lt;='P-Parametri'!$B$24,"sì","no")</f>
        <v>no</v>
      </c>
      <c r="D126" s="11">
        <f>'P-Parametri'!$B$19+(1-'P-Parametri'!$B$19)*((IF(($A126*(1-'P-Parametri'!$B$19))&lt;='P-Parametri'!$B$6,'P-Parametri'!$C$6,IF(($A126*(1-'P-Parametri'!$B$19))&lt;='P-Parametri'!$B$7,'P-Parametri'!$C$7,'P-Parametri'!$C$8)))+(IF(($A126*(1-'P-Parametri'!$B$19))&lt;='P-Parametri'!$C$12,0,IF(($A126*(1-'P-Parametri'!$B$19))&lt;='P-Parametri'!$B$6,'P-Parametri'!$C$13/'P-Parametri'!$D$13,IF(($A126*(1-'P-Parametri'!$B$19))&lt;='P-Parametri'!$B$7,'P-Parametri'!$B$14/'P-Parametri'!$C$14,0))))+(IF(AND(($A126*(1-'P-Parametri'!$B$19))&gt;'P-Parametri'!$D$15,($A126*(1-'P-Parametri'!$B$19))&lt;'P-Parametri'!$E$15),'P-Parametri'!$B$15/('P-Parametri'!$E$15-'P-Parametri'!$D$15),0))+'P-Parametri'!$B$20)</f>
        <v>0.60208709090909096</v>
      </c>
      <c r="E126" s="11">
        <f t="shared" si="6"/>
        <v>0.39791290909090904</v>
      </c>
      <c r="F126" s="11">
        <f>(1-'P-Parametri'!$B$19)*(1-'P-Parametri'!$B$23)</f>
        <v>0.86269499999999999</v>
      </c>
      <c r="G126" s="23" t="str">
        <f t="shared" si="7"/>
        <v/>
      </c>
      <c r="H126" s="13" t="str">
        <f>IF(AND($A126&gt;='4-Rapporto-RAL'!$B$8,$A126&lt;='4-Rapporto-RAL'!$B$9),"FINESTRA","")</f>
        <v/>
      </c>
    </row>
    <row r="128" spans="1:8" ht="30" customHeight="1">
      <c r="A128" s="40" t="s">
        <v>239</v>
      </c>
      <c r="B128" s="38"/>
      <c r="C128" s="38"/>
      <c r="D128" s="38"/>
      <c r="E128" s="38"/>
      <c r="F128" s="38"/>
      <c r="G128" s="38"/>
      <c r="H128" s="38"/>
    </row>
    <row r="129" spans="1:8" ht="30" customHeight="1">
      <c r="A129" s="40" t="s">
        <v>240</v>
      </c>
      <c r="B129" s="38"/>
      <c r="C129" s="38"/>
      <c r="D129" s="38"/>
      <c r="E129" s="38"/>
      <c r="F129" s="38"/>
      <c r="G129" s="38"/>
      <c r="H129" s="38"/>
    </row>
    <row r="130" spans="1:8" ht="30" customHeight="1">
      <c r="A130" s="40" t="s">
        <v>241</v>
      </c>
      <c r="B130" s="38"/>
      <c r="C130" s="38"/>
      <c r="D130" s="38"/>
      <c r="E130" s="38"/>
      <c r="F130" s="38"/>
      <c r="G130" s="38"/>
      <c r="H130" s="38"/>
    </row>
    <row r="131" spans="1:8" ht="60" customHeight="1">
      <c r="A131" s="40" t="s">
        <v>242</v>
      </c>
      <c r="B131" s="38"/>
      <c r="C131" s="38"/>
      <c r="D131" s="38"/>
      <c r="E131" s="38"/>
      <c r="F131" s="38"/>
      <c r="G131" s="38"/>
      <c r="H131" s="38"/>
    </row>
    <row r="132" spans="1:8" ht="30" customHeight="1">
      <c r="A132" s="40" t="s">
        <v>243</v>
      </c>
      <c r="B132" s="38"/>
      <c r="C132" s="38"/>
      <c r="D132" s="38"/>
      <c r="E132" s="38"/>
      <c r="F132" s="38"/>
      <c r="G132" s="38"/>
      <c r="H132" s="38"/>
    </row>
  </sheetData>
  <mergeCells count="11">
    <mergeCell ref="A132:H132"/>
    <mergeCell ref="A5:H5"/>
    <mergeCell ref="A1:H1"/>
    <mergeCell ref="A131:H131"/>
    <mergeCell ref="A3:H3"/>
    <mergeCell ref="A130:H130"/>
    <mergeCell ref="A2:H2"/>
    <mergeCell ref="A16:H16"/>
    <mergeCell ref="A129:H129"/>
    <mergeCell ref="A128:H128"/>
    <mergeCell ref="A14:H1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Views>
    <sheetView workbookViewId="0"/>
  </sheetViews>
  <sheetFormatPr defaultRowHeight="15"/>
  <cols>
    <col min="1" max="1" width="46" customWidth="1"/>
    <col min="2" max="6" width="16" customWidth="1"/>
  </cols>
  <sheetData>
    <row r="1" spans="1:6" ht="24.95" customHeight="1">
      <c r="A1" s="39" t="s">
        <v>244</v>
      </c>
      <c r="B1" s="38"/>
      <c r="C1" s="38"/>
      <c r="D1" s="38"/>
      <c r="E1" s="38"/>
      <c r="F1" s="38"/>
    </row>
    <row r="2" spans="1:6" ht="32.1" customHeight="1">
      <c r="A2" s="37" t="s">
        <v>1</v>
      </c>
      <c r="B2" s="38"/>
      <c r="C2" s="38"/>
      <c r="D2" s="38"/>
      <c r="E2" s="38"/>
      <c r="F2" s="38"/>
    </row>
    <row r="3" spans="1:6" ht="45" customHeight="1">
      <c r="A3" s="40" t="s">
        <v>245</v>
      </c>
      <c r="B3" s="38"/>
      <c r="C3" s="38"/>
      <c r="D3" s="38"/>
      <c r="E3" s="38"/>
      <c r="F3" s="38"/>
    </row>
    <row r="5" spans="1:6" ht="30">
      <c r="A5" s="15" t="s">
        <v>246</v>
      </c>
      <c r="B5" s="15" t="s">
        <v>247</v>
      </c>
      <c r="C5" s="15" t="s">
        <v>248</v>
      </c>
      <c r="D5" s="15" t="s">
        <v>249</v>
      </c>
    </row>
    <row r="6" spans="1:6">
      <c r="A6" s="11">
        <f>'P-Parametri'!$B$29</f>
        <v>0.04</v>
      </c>
      <c r="B6" s="12">
        <f>1/A6</f>
        <v>25</v>
      </c>
      <c r="C6" s="9">
        <f>12/A6</f>
        <v>300</v>
      </c>
      <c r="D6" s="9">
        <f>12*B6</f>
        <v>300</v>
      </c>
    </row>
    <row r="7" spans="1:6">
      <c r="A7" s="11">
        <f>'P-Parametri'!$C$29</f>
        <v>0.03</v>
      </c>
      <c r="B7" s="12">
        <f>1/A7</f>
        <v>33.333333333333336</v>
      </c>
      <c r="C7" s="9">
        <f>12/A7</f>
        <v>400</v>
      </c>
      <c r="D7" s="9">
        <f>12*B7</f>
        <v>400</v>
      </c>
    </row>
    <row r="8" spans="1:6">
      <c r="A8" s="11">
        <f>'P-Parametri'!$D$29</f>
        <v>2.3099999999999999E-2</v>
      </c>
      <c r="B8" s="12">
        <f>1/A8</f>
        <v>43.290043290043293</v>
      </c>
      <c r="C8" s="9">
        <f>12/A8</f>
        <v>519.48051948051955</v>
      </c>
      <c r="D8" s="9">
        <f>12*B8</f>
        <v>519.48051948051955</v>
      </c>
    </row>
    <row r="9" spans="1:6" ht="30" customHeight="1">
      <c r="A9" s="40" t="s">
        <v>250</v>
      </c>
      <c r="B9" s="38"/>
      <c r="C9" s="38"/>
      <c r="D9" s="38"/>
      <c r="E9" s="38"/>
      <c r="F9" s="38"/>
    </row>
    <row r="11" spans="1:6" ht="30">
      <c r="A11" s="15" t="s">
        <v>251</v>
      </c>
      <c r="B11" s="15" t="s">
        <v>252</v>
      </c>
      <c r="C11" s="15" t="s">
        <v>253</v>
      </c>
      <c r="D11" s="15" t="s">
        <v>254</v>
      </c>
      <c r="E11" s="15" t="s">
        <v>255</v>
      </c>
    </row>
    <row r="12" spans="1:6">
      <c r="A12" s="13">
        <f>0</f>
        <v>0</v>
      </c>
      <c r="B12" s="9">
        <f t="shared" ref="B12:B43" si="0">A12*12</f>
        <v>0</v>
      </c>
      <c r="C12" s="9">
        <f>B12/'P-Parametri'!$B$29</f>
        <v>0</v>
      </c>
      <c r="D12" s="9">
        <f>B12/'P-Parametri'!$C$29</f>
        <v>0</v>
      </c>
      <c r="E12" s="9">
        <f>B12/'P-Parametri'!$D$29</f>
        <v>0</v>
      </c>
    </row>
    <row r="13" spans="1:6">
      <c r="A13" s="13">
        <f>10</f>
        <v>10</v>
      </c>
      <c r="B13" s="9">
        <f t="shared" si="0"/>
        <v>120</v>
      </c>
      <c r="C13" s="9">
        <f>B13/'P-Parametri'!$B$29</f>
        <v>3000</v>
      </c>
      <c r="D13" s="9">
        <f>B13/'P-Parametri'!$C$29</f>
        <v>4000</v>
      </c>
      <c r="E13" s="9">
        <f>B13/'P-Parametri'!$D$29</f>
        <v>5194.8051948051952</v>
      </c>
    </row>
    <row r="14" spans="1:6">
      <c r="A14" s="13">
        <f>20</f>
        <v>20</v>
      </c>
      <c r="B14" s="9">
        <f t="shared" si="0"/>
        <v>240</v>
      </c>
      <c r="C14" s="9">
        <f>B14/'P-Parametri'!$B$29</f>
        <v>6000</v>
      </c>
      <c r="D14" s="9">
        <f>B14/'P-Parametri'!$C$29</f>
        <v>8000</v>
      </c>
      <c r="E14" s="9">
        <f>B14/'P-Parametri'!$D$29</f>
        <v>10389.61038961039</v>
      </c>
    </row>
    <row r="15" spans="1:6">
      <c r="A15" s="13">
        <f>30</f>
        <v>30</v>
      </c>
      <c r="B15" s="9">
        <f t="shared" si="0"/>
        <v>360</v>
      </c>
      <c r="C15" s="9">
        <f>B15/'P-Parametri'!$B$29</f>
        <v>9000</v>
      </c>
      <c r="D15" s="9">
        <f>B15/'P-Parametri'!$C$29</f>
        <v>12000</v>
      </c>
      <c r="E15" s="9">
        <f>B15/'P-Parametri'!$D$29</f>
        <v>15584.415584415585</v>
      </c>
    </row>
    <row r="16" spans="1:6">
      <c r="A16" s="13">
        <f>40</f>
        <v>40</v>
      </c>
      <c r="B16" s="9">
        <f t="shared" si="0"/>
        <v>480</v>
      </c>
      <c r="C16" s="9">
        <f>B16/'P-Parametri'!$B$29</f>
        <v>12000</v>
      </c>
      <c r="D16" s="9">
        <f>B16/'P-Parametri'!$C$29</f>
        <v>16000</v>
      </c>
      <c r="E16" s="9">
        <f>B16/'P-Parametri'!$D$29</f>
        <v>20779.220779220781</v>
      </c>
    </row>
    <row r="17" spans="1:5">
      <c r="A17" s="13">
        <f>50</f>
        <v>50</v>
      </c>
      <c r="B17" s="9">
        <f t="shared" si="0"/>
        <v>600</v>
      </c>
      <c r="C17" s="9">
        <f>B17/'P-Parametri'!$B$29</f>
        <v>15000</v>
      </c>
      <c r="D17" s="9">
        <f>B17/'P-Parametri'!$C$29</f>
        <v>20000</v>
      </c>
      <c r="E17" s="9">
        <f>B17/'P-Parametri'!$D$29</f>
        <v>25974.025974025975</v>
      </c>
    </row>
    <row r="18" spans="1:5">
      <c r="A18" s="13">
        <f>60</f>
        <v>60</v>
      </c>
      <c r="B18" s="9">
        <f t="shared" si="0"/>
        <v>720</v>
      </c>
      <c r="C18" s="9">
        <f>B18/'P-Parametri'!$B$29</f>
        <v>18000</v>
      </c>
      <c r="D18" s="9">
        <f>B18/'P-Parametri'!$C$29</f>
        <v>24000</v>
      </c>
      <c r="E18" s="9">
        <f>B18/'P-Parametri'!$D$29</f>
        <v>31168.83116883117</v>
      </c>
    </row>
    <row r="19" spans="1:5">
      <c r="A19" s="13">
        <f>70</f>
        <v>70</v>
      </c>
      <c r="B19" s="9">
        <f t="shared" si="0"/>
        <v>840</v>
      </c>
      <c r="C19" s="9">
        <f>B19/'P-Parametri'!$B$29</f>
        <v>21000</v>
      </c>
      <c r="D19" s="9">
        <f>B19/'P-Parametri'!$C$29</f>
        <v>28000</v>
      </c>
      <c r="E19" s="9">
        <f>B19/'P-Parametri'!$D$29</f>
        <v>36363.636363636368</v>
      </c>
    </row>
    <row r="20" spans="1:5">
      <c r="A20" s="13">
        <f>80</f>
        <v>80</v>
      </c>
      <c r="B20" s="9">
        <f t="shared" si="0"/>
        <v>960</v>
      </c>
      <c r="C20" s="9">
        <f>B20/'P-Parametri'!$B$29</f>
        <v>24000</v>
      </c>
      <c r="D20" s="9">
        <f>B20/'P-Parametri'!$C$29</f>
        <v>32000</v>
      </c>
      <c r="E20" s="9">
        <f>B20/'P-Parametri'!$D$29</f>
        <v>41558.441558441562</v>
      </c>
    </row>
    <row r="21" spans="1:5">
      <c r="A21" s="13">
        <f>90</f>
        <v>90</v>
      </c>
      <c r="B21" s="9">
        <f t="shared" si="0"/>
        <v>1080</v>
      </c>
      <c r="C21" s="9">
        <f>B21/'P-Parametri'!$B$29</f>
        <v>27000</v>
      </c>
      <c r="D21" s="9">
        <f>B21/'P-Parametri'!$C$29</f>
        <v>36000</v>
      </c>
      <c r="E21" s="9">
        <f>B21/'P-Parametri'!$D$29</f>
        <v>46753.246753246756</v>
      </c>
    </row>
    <row r="22" spans="1:5">
      <c r="A22" s="13">
        <f>100</f>
        <v>100</v>
      </c>
      <c r="B22" s="9">
        <f t="shared" si="0"/>
        <v>1200</v>
      </c>
      <c r="C22" s="9">
        <f>B22/'P-Parametri'!$B$29</f>
        <v>30000</v>
      </c>
      <c r="D22" s="9">
        <f>B22/'P-Parametri'!$C$29</f>
        <v>40000</v>
      </c>
      <c r="E22" s="9">
        <f>B22/'P-Parametri'!$D$29</f>
        <v>51948.051948051951</v>
      </c>
    </row>
    <row r="23" spans="1:5">
      <c r="A23" s="13">
        <f>110</f>
        <v>110</v>
      </c>
      <c r="B23" s="9">
        <f t="shared" si="0"/>
        <v>1320</v>
      </c>
      <c r="C23" s="9">
        <f>B23/'P-Parametri'!$B$29</f>
        <v>33000</v>
      </c>
      <c r="D23" s="9">
        <f>B23/'P-Parametri'!$C$29</f>
        <v>44000</v>
      </c>
      <c r="E23" s="9">
        <f>B23/'P-Parametri'!$D$29</f>
        <v>57142.857142857145</v>
      </c>
    </row>
    <row r="24" spans="1:5">
      <c r="A24" s="13">
        <f>120</f>
        <v>120</v>
      </c>
      <c r="B24" s="9">
        <f t="shared" si="0"/>
        <v>1440</v>
      </c>
      <c r="C24" s="9">
        <f>B24/'P-Parametri'!$B$29</f>
        <v>36000</v>
      </c>
      <c r="D24" s="9">
        <f>B24/'P-Parametri'!$C$29</f>
        <v>48000</v>
      </c>
      <c r="E24" s="9">
        <f>B24/'P-Parametri'!$D$29</f>
        <v>62337.662337662339</v>
      </c>
    </row>
    <row r="25" spans="1:5">
      <c r="A25" s="13">
        <f>130</f>
        <v>130</v>
      </c>
      <c r="B25" s="9">
        <f t="shared" si="0"/>
        <v>1560</v>
      </c>
      <c r="C25" s="9">
        <f>B25/'P-Parametri'!$B$29</f>
        <v>39000</v>
      </c>
      <c r="D25" s="9">
        <f>B25/'P-Parametri'!$C$29</f>
        <v>52000</v>
      </c>
      <c r="E25" s="9">
        <f>B25/'P-Parametri'!$D$29</f>
        <v>67532.467532467534</v>
      </c>
    </row>
    <row r="26" spans="1:5">
      <c r="A26" s="13">
        <f>140</f>
        <v>140</v>
      </c>
      <c r="B26" s="9">
        <f t="shared" si="0"/>
        <v>1680</v>
      </c>
      <c r="C26" s="9">
        <f>B26/'P-Parametri'!$B$29</f>
        <v>42000</v>
      </c>
      <c r="D26" s="9">
        <f>B26/'P-Parametri'!$C$29</f>
        <v>56000</v>
      </c>
      <c r="E26" s="9">
        <f>B26/'P-Parametri'!$D$29</f>
        <v>72727.272727272735</v>
      </c>
    </row>
    <row r="27" spans="1:5">
      <c r="A27" s="13">
        <f>150</f>
        <v>150</v>
      </c>
      <c r="B27" s="9">
        <f t="shared" si="0"/>
        <v>1800</v>
      </c>
      <c r="C27" s="9">
        <f>B27/'P-Parametri'!$B$29</f>
        <v>45000</v>
      </c>
      <c r="D27" s="9">
        <f>B27/'P-Parametri'!$C$29</f>
        <v>60000</v>
      </c>
      <c r="E27" s="9">
        <f>B27/'P-Parametri'!$D$29</f>
        <v>77922.077922077922</v>
      </c>
    </row>
    <row r="28" spans="1:5">
      <c r="A28" s="13">
        <f>160</f>
        <v>160</v>
      </c>
      <c r="B28" s="9">
        <f t="shared" si="0"/>
        <v>1920</v>
      </c>
      <c r="C28" s="9">
        <f>B28/'P-Parametri'!$B$29</f>
        <v>48000</v>
      </c>
      <c r="D28" s="9">
        <f>B28/'P-Parametri'!$C$29</f>
        <v>64000</v>
      </c>
      <c r="E28" s="9">
        <f>B28/'P-Parametri'!$D$29</f>
        <v>83116.883116883124</v>
      </c>
    </row>
    <row r="29" spans="1:5">
      <c r="A29" s="13">
        <f>170</f>
        <v>170</v>
      </c>
      <c r="B29" s="9">
        <f t="shared" si="0"/>
        <v>2040</v>
      </c>
      <c r="C29" s="9">
        <f>B29/'P-Parametri'!$B$29</f>
        <v>51000</v>
      </c>
      <c r="D29" s="9">
        <f>B29/'P-Parametri'!$C$29</f>
        <v>68000</v>
      </c>
      <c r="E29" s="9">
        <f>B29/'P-Parametri'!$D$29</f>
        <v>88311.688311688311</v>
      </c>
    </row>
    <row r="30" spans="1:5">
      <c r="A30" s="13">
        <f>180</f>
        <v>180</v>
      </c>
      <c r="B30" s="9">
        <f t="shared" si="0"/>
        <v>2160</v>
      </c>
      <c r="C30" s="9">
        <f>B30/'P-Parametri'!$B$29</f>
        <v>54000</v>
      </c>
      <c r="D30" s="9">
        <f>B30/'P-Parametri'!$C$29</f>
        <v>72000</v>
      </c>
      <c r="E30" s="9">
        <f>B30/'P-Parametri'!$D$29</f>
        <v>93506.493506493513</v>
      </c>
    </row>
    <row r="31" spans="1:5">
      <c r="A31" s="13">
        <f>190</f>
        <v>190</v>
      </c>
      <c r="B31" s="9">
        <f t="shared" si="0"/>
        <v>2280</v>
      </c>
      <c r="C31" s="9">
        <f>B31/'P-Parametri'!$B$29</f>
        <v>57000</v>
      </c>
      <c r="D31" s="9">
        <f>B31/'P-Parametri'!$C$29</f>
        <v>76000</v>
      </c>
      <c r="E31" s="9">
        <f>B31/'P-Parametri'!$D$29</f>
        <v>98701.2987012987</v>
      </c>
    </row>
    <row r="32" spans="1:5">
      <c r="A32" s="13">
        <f>200</f>
        <v>200</v>
      </c>
      <c r="B32" s="9">
        <f t="shared" si="0"/>
        <v>2400</v>
      </c>
      <c r="C32" s="9">
        <f>B32/'P-Parametri'!$B$29</f>
        <v>60000</v>
      </c>
      <c r="D32" s="9">
        <f>B32/'P-Parametri'!$C$29</f>
        <v>80000</v>
      </c>
      <c r="E32" s="9">
        <f>B32/'P-Parametri'!$D$29</f>
        <v>103896.1038961039</v>
      </c>
    </row>
    <row r="33" spans="1:5">
      <c r="A33" s="13">
        <f>210</f>
        <v>210</v>
      </c>
      <c r="B33" s="9">
        <f t="shared" si="0"/>
        <v>2520</v>
      </c>
      <c r="C33" s="9">
        <f>B33/'P-Parametri'!$B$29</f>
        <v>63000</v>
      </c>
      <c r="D33" s="9">
        <f>B33/'P-Parametri'!$C$29</f>
        <v>84000</v>
      </c>
      <c r="E33" s="9">
        <f>B33/'P-Parametri'!$D$29</f>
        <v>109090.9090909091</v>
      </c>
    </row>
    <row r="34" spans="1:5">
      <c r="A34" s="13">
        <f>220</f>
        <v>220</v>
      </c>
      <c r="B34" s="9">
        <f t="shared" si="0"/>
        <v>2640</v>
      </c>
      <c r="C34" s="9">
        <f>B34/'P-Parametri'!$B$29</f>
        <v>66000</v>
      </c>
      <c r="D34" s="9">
        <f>B34/'P-Parametri'!$C$29</f>
        <v>88000</v>
      </c>
      <c r="E34" s="9">
        <f>B34/'P-Parametri'!$D$29</f>
        <v>114285.71428571429</v>
      </c>
    </row>
    <row r="35" spans="1:5">
      <c r="A35" s="13">
        <f>230</f>
        <v>230</v>
      </c>
      <c r="B35" s="9">
        <f t="shared" si="0"/>
        <v>2760</v>
      </c>
      <c r="C35" s="9">
        <f>B35/'P-Parametri'!$B$29</f>
        <v>69000</v>
      </c>
      <c r="D35" s="9">
        <f>B35/'P-Parametri'!$C$29</f>
        <v>92000</v>
      </c>
      <c r="E35" s="9">
        <f>B35/'P-Parametri'!$D$29</f>
        <v>119480.51948051949</v>
      </c>
    </row>
    <row r="36" spans="1:5">
      <c r="A36" s="13">
        <f>240</f>
        <v>240</v>
      </c>
      <c r="B36" s="9">
        <f t="shared" si="0"/>
        <v>2880</v>
      </c>
      <c r="C36" s="9">
        <f>B36/'P-Parametri'!$B$29</f>
        <v>72000</v>
      </c>
      <c r="D36" s="9">
        <f>B36/'P-Parametri'!$C$29</f>
        <v>96000</v>
      </c>
      <c r="E36" s="9">
        <f>B36/'P-Parametri'!$D$29</f>
        <v>124675.32467532468</v>
      </c>
    </row>
    <row r="37" spans="1:5">
      <c r="A37" s="13">
        <f>250</f>
        <v>250</v>
      </c>
      <c r="B37" s="9">
        <f t="shared" si="0"/>
        <v>3000</v>
      </c>
      <c r="C37" s="9">
        <f>B37/'P-Parametri'!$B$29</f>
        <v>75000</v>
      </c>
      <c r="D37" s="9">
        <f>B37/'P-Parametri'!$C$29</f>
        <v>100000</v>
      </c>
      <c r="E37" s="9">
        <f>B37/'P-Parametri'!$D$29</f>
        <v>129870.12987012988</v>
      </c>
    </row>
    <row r="38" spans="1:5">
      <c r="A38" s="13">
        <f>260</f>
        <v>260</v>
      </c>
      <c r="B38" s="9">
        <f t="shared" si="0"/>
        <v>3120</v>
      </c>
      <c r="C38" s="9">
        <f>B38/'P-Parametri'!$B$29</f>
        <v>78000</v>
      </c>
      <c r="D38" s="9">
        <f>B38/'P-Parametri'!$C$29</f>
        <v>104000</v>
      </c>
      <c r="E38" s="9">
        <f>B38/'P-Parametri'!$D$29</f>
        <v>135064.93506493507</v>
      </c>
    </row>
    <row r="39" spans="1:5">
      <c r="A39" s="13">
        <f>270</f>
        <v>270</v>
      </c>
      <c r="B39" s="9">
        <f t="shared" si="0"/>
        <v>3240</v>
      </c>
      <c r="C39" s="9">
        <f>B39/'P-Parametri'!$B$29</f>
        <v>81000</v>
      </c>
      <c r="D39" s="9">
        <f>B39/'P-Parametri'!$C$29</f>
        <v>108000</v>
      </c>
      <c r="E39" s="9">
        <f>B39/'P-Parametri'!$D$29</f>
        <v>140259.74025974027</v>
      </c>
    </row>
    <row r="40" spans="1:5">
      <c r="A40" s="13">
        <f>280</f>
        <v>280</v>
      </c>
      <c r="B40" s="9">
        <f t="shared" si="0"/>
        <v>3360</v>
      </c>
      <c r="C40" s="9">
        <f>B40/'P-Parametri'!$B$29</f>
        <v>84000</v>
      </c>
      <c r="D40" s="9">
        <f>B40/'P-Parametri'!$C$29</f>
        <v>112000</v>
      </c>
      <c r="E40" s="9">
        <f>B40/'P-Parametri'!$D$29</f>
        <v>145454.54545454547</v>
      </c>
    </row>
    <row r="41" spans="1:5">
      <c r="A41" s="13">
        <f>290</f>
        <v>290</v>
      </c>
      <c r="B41" s="9">
        <f t="shared" si="0"/>
        <v>3480</v>
      </c>
      <c r="C41" s="9">
        <f>B41/'P-Parametri'!$B$29</f>
        <v>87000</v>
      </c>
      <c r="D41" s="9">
        <f>B41/'P-Parametri'!$C$29</f>
        <v>116000</v>
      </c>
      <c r="E41" s="9">
        <f>B41/'P-Parametri'!$D$29</f>
        <v>150649.35064935064</v>
      </c>
    </row>
    <row r="42" spans="1:5">
      <c r="A42" s="13">
        <f>300</f>
        <v>300</v>
      </c>
      <c r="B42" s="9">
        <f t="shared" si="0"/>
        <v>3600</v>
      </c>
      <c r="C42" s="9">
        <f>B42/'P-Parametri'!$B$29</f>
        <v>90000</v>
      </c>
      <c r="D42" s="9">
        <f>B42/'P-Parametri'!$C$29</f>
        <v>120000</v>
      </c>
      <c r="E42" s="9">
        <f>B42/'P-Parametri'!$D$29</f>
        <v>155844.15584415584</v>
      </c>
    </row>
    <row r="43" spans="1:5">
      <c r="A43" s="13">
        <f>310</f>
        <v>310</v>
      </c>
      <c r="B43" s="9">
        <f t="shared" si="0"/>
        <v>3720</v>
      </c>
      <c r="C43" s="9">
        <f>B43/'P-Parametri'!$B$29</f>
        <v>93000</v>
      </c>
      <c r="D43" s="9">
        <f>B43/'P-Parametri'!$C$29</f>
        <v>124000</v>
      </c>
      <c r="E43" s="9">
        <f>B43/'P-Parametri'!$D$29</f>
        <v>161038.96103896105</v>
      </c>
    </row>
    <row r="44" spans="1:5">
      <c r="A44" s="13">
        <f>320</f>
        <v>320</v>
      </c>
      <c r="B44" s="9">
        <f t="shared" ref="B44:B75" si="1">A44*12</f>
        <v>3840</v>
      </c>
      <c r="C44" s="9">
        <f>B44/'P-Parametri'!$B$29</f>
        <v>96000</v>
      </c>
      <c r="D44" s="9">
        <f>B44/'P-Parametri'!$C$29</f>
        <v>128000</v>
      </c>
      <c r="E44" s="9">
        <f>B44/'P-Parametri'!$D$29</f>
        <v>166233.76623376625</v>
      </c>
    </row>
    <row r="45" spans="1:5">
      <c r="A45" s="13">
        <f>330</f>
        <v>330</v>
      </c>
      <c r="B45" s="9">
        <f t="shared" si="1"/>
        <v>3960</v>
      </c>
      <c r="C45" s="9">
        <f>B45/'P-Parametri'!$B$29</f>
        <v>99000</v>
      </c>
      <c r="D45" s="9">
        <f>B45/'P-Parametri'!$C$29</f>
        <v>132000</v>
      </c>
      <c r="E45" s="9">
        <f>B45/'P-Parametri'!$D$29</f>
        <v>171428.57142857145</v>
      </c>
    </row>
    <row r="46" spans="1:5">
      <c r="A46" s="13">
        <f>340</f>
        <v>340</v>
      </c>
      <c r="B46" s="9">
        <f t="shared" si="1"/>
        <v>4080</v>
      </c>
      <c r="C46" s="9">
        <f>B46/'P-Parametri'!$B$29</f>
        <v>102000</v>
      </c>
      <c r="D46" s="9">
        <f>B46/'P-Parametri'!$C$29</f>
        <v>136000</v>
      </c>
      <c r="E46" s="9">
        <f>B46/'P-Parametri'!$D$29</f>
        <v>176623.37662337662</v>
      </c>
    </row>
    <row r="47" spans="1:5">
      <c r="A47" s="13">
        <f>350</f>
        <v>350</v>
      </c>
      <c r="B47" s="9">
        <f t="shared" si="1"/>
        <v>4200</v>
      </c>
      <c r="C47" s="9">
        <f>B47/'P-Parametri'!$B$29</f>
        <v>105000</v>
      </c>
      <c r="D47" s="9">
        <f>B47/'P-Parametri'!$C$29</f>
        <v>140000</v>
      </c>
      <c r="E47" s="9">
        <f>B47/'P-Parametri'!$D$29</f>
        <v>181818.18181818182</v>
      </c>
    </row>
    <row r="48" spans="1:5">
      <c r="A48" s="13">
        <f>360</f>
        <v>360</v>
      </c>
      <c r="B48" s="9">
        <f t="shared" si="1"/>
        <v>4320</v>
      </c>
      <c r="C48" s="9">
        <f>B48/'P-Parametri'!$B$29</f>
        <v>108000</v>
      </c>
      <c r="D48" s="9">
        <f>B48/'P-Parametri'!$C$29</f>
        <v>144000</v>
      </c>
      <c r="E48" s="9">
        <f>B48/'P-Parametri'!$D$29</f>
        <v>187012.98701298703</v>
      </c>
    </row>
    <row r="49" spans="1:6">
      <c r="A49" s="13">
        <f>370</f>
        <v>370</v>
      </c>
      <c r="B49" s="9">
        <f t="shared" si="1"/>
        <v>4440</v>
      </c>
      <c r="C49" s="9">
        <f>B49/'P-Parametri'!$B$29</f>
        <v>111000</v>
      </c>
      <c r="D49" s="9">
        <f>B49/'P-Parametri'!$C$29</f>
        <v>148000</v>
      </c>
      <c r="E49" s="9">
        <f>B49/'P-Parametri'!$D$29</f>
        <v>192207.79220779223</v>
      </c>
    </row>
    <row r="50" spans="1:6">
      <c r="A50" s="13">
        <f>380</f>
        <v>380</v>
      </c>
      <c r="B50" s="9">
        <f t="shared" si="1"/>
        <v>4560</v>
      </c>
      <c r="C50" s="9">
        <f>B50/'P-Parametri'!$B$29</f>
        <v>114000</v>
      </c>
      <c r="D50" s="9">
        <f>B50/'P-Parametri'!$C$29</f>
        <v>152000</v>
      </c>
      <c r="E50" s="9">
        <f>B50/'P-Parametri'!$D$29</f>
        <v>197402.5974025974</v>
      </c>
    </row>
    <row r="51" spans="1:6">
      <c r="A51" s="13">
        <f>390</f>
        <v>390</v>
      </c>
      <c r="B51" s="9">
        <f t="shared" si="1"/>
        <v>4680</v>
      </c>
      <c r="C51" s="9">
        <f>B51/'P-Parametri'!$B$29</f>
        <v>117000</v>
      </c>
      <c r="D51" s="9">
        <f>B51/'P-Parametri'!$C$29</f>
        <v>156000</v>
      </c>
      <c r="E51" s="9">
        <f>B51/'P-Parametri'!$D$29</f>
        <v>202597.4025974026</v>
      </c>
    </row>
    <row r="52" spans="1:6">
      <c r="A52" s="13">
        <f>400</f>
        <v>400</v>
      </c>
      <c r="B52" s="9">
        <f t="shared" si="1"/>
        <v>4800</v>
      </c>
      <c r="C52" s="9">
        <f>B52/'P-Parametri'!$B$29</f>
        <v>120000</v>
      </c>
      <c r="D52" s="9">
        <f>B52/'P-Parametri'!$C$29</f>
        <v>160000</v>
      </c>
      <c r="E52" s="9">
        <f>B52/'P-Parametri'!$D$29</f>
        <v>207792.2077922078</v>
      </c>
    </row>
    <row r="53" spans="1:6">
      <c r="A53" s="13">
        <f>410</f>
        <v>410</v>
      </c>
      <c r="B53" s="9">
        <f t="shared" si="1"/>
        <v>4920</v>
      </c>
      <c r="C53" s="9">
        <f>B53/'P-Parametri'!$B$29</f>
        <v>123000</v>
      </c>
      <c r="D53" s="9">
        <f>B53/'P-Parametri'!$C$29</f>
        <v>164000</v>
      </c>
      <c r="E53" s="9">
        <f>B53/'P-Parametri'!$D$29</f>
        <v>212987.012987013</v>
      </c>
    </row>
    <row r="54" spans="1:6">
      <c r="A54" s="13">
        <f>420</f>
        <v>420</v>
      </c>
      <c r="B54" s="9">
        <f t="shared" si="1"/>
        <v>5040</v>
      </c>
      <c r="C54" s="9">
        <f>B54/'P-Parametri'!$B$29</f>
        <v>126000</v>
      </c>
      <c r="D54" s="9">
        <f>B54/'P-Parametri'!$C$29</f>
        <v>168000</v>
      </c>
      <c r="E54" s="9">
        <f>B54/'P-Parametri'!$D$29</f>
        <v>218181.81818181821</v>
      </c>
    </row>
    <row r="55" spans="1:6">
      <c r="A55" s="13">
        <f>430</f>
        <v>430</v>
      </c>
      <c r="B55" s="9">
        <f t="shared" si="1"/>
        <v>5160</v>
      </c>
      <c r="C55" s="9">
        <f>B55/'P-Parametri'!$B$29</f>
        <v>129000</v>
      </c>
      <c r="D55" s="9">
        <f>B55/'P-Parametri'!$C$29</f>
        <v>172000</v>
      </c>
      <c r="E55" s="9">
        <f>B55/'P-Parametri'!$D$29</f>
        <v>223376.62337662338</v>
      </c>
    </row>
    <row r="56" spans="1:6">
      <c r="A56" s="13">
        <f>440</f>
        <v>440</v>
      </c>
      <c r="B56" s="9">
        <f t="shared" si="1"/>
        <v>5280</v>
      </c>
      <c r="C56" s="9">
        <f>B56/'P-Parametri'!$B$29</f>
        <v>132000</v>
      </c>
      <c r="D56" s="9">
        <f>B56/'P-Parametri'!$C$29</f>
        <v>176000</v>
      </c>
      <c r="E56" s="9">
        <f>B56/'P-Parametri'!$D$29</f>
        <v>228571.42857142858</v>
      </c>
    </row>
    <row r="57" spans="1:6">
      <c r="A57" s="13">
        <f>450</f>
        <v>450</v>
      </c>
      <c r="B57" s="9">
        <f t="shared" si="1"/>
        <v>5400</v>
      </c>
      <c r="C57" s="9">
        <f>B57/'P-Parametri'!$B$29</f>
        <v>135000</v>
      </c>
      <c r="D57" s="9">
        <f>B57/'P-Parametri'!$C$29</f>
        <v>180000</v>
      </c>
      <c r="E57" s="9">
        <f>B57/'P-Parametri'!$D$29</f>
        <v>233766.23376623378</v>
      </c>
    </row>
    <row r="58" spans="1:6">
      <c r="A58" s="13">
        <f>460</f>
        <v>460</v>
      </c>
      <c r="B58" s="9">
        <f t="shared" si="1"/>
        <v>5520</v>
      </c>
      <c r="C58" s="9">
        <f>B58/'P-Parametri'!$B$29</f>
        <v>138000</v>
      </c>
      <c r="D58" s="9">
        <f>B58/'P-Parametri'!$C$29</f>
        <v>184000</v>
      </c>
      <c r="E58" s="9">
        <f>B58/'P-Parametri'!$D$29</f>
        <v>238961.03896103898</v>
      </c>
    </row>
    <row r="59" spans="1:6">
      <c r="A59" s="13">
        <f>470</f>
        <v>470</v>
      </c>
      <c r="B59" s="9">
        <f t="shared" si="1"/>
        <v>5640</v>
      </c>
      <c r="C59" s="9">
        <f>B59/'P-Parametri'!$B$29</f>
        <v>141000</v>
      </c>
      <c r="D59" s="9">
        <f>B59/'P-Parametri'!$C$29</f>
        <v>188000</v>
      </c>
      <c r="E59" s="9">
        <f>B59/'P-Parametri'!$D$29</f>
        <v>244155.84415584416</v>
      </c>
    </row>
    <row r="60" spans="1:6">
      <c r="A60" s="13">
        <f>480</f>
        <v>480</v>
      </c>
      <c r="B60" s="9">
        <f t="shared" si="1"/>
        <v>5760</v>
      </c>
      <c r="C60" s="9">
        <f>B60/'P-Parametri'!$B$29</f>
        <v>144000</v>
      </c>
      <c r="D60" s="9">
        <f>B60/'P-Parametri'!$C$29</f>
        <v>192000</v>
      </c>
      <c r="E60" s="9">
        <f>B60/'P-Parametri'!$D$29</f>
        <v>249350.64935064936</v>
      </c>
    </row>
    <row r="61" spans="1:6">
      <c r="A61" s="13">
        <f>490</f>
        <v>490</v>
      </c>
      <c r="B61" s="9">
        <f t="shared" si="1"/>
        <v>5880</v>
      </c>
      <c r="C61" s="9">
        <f>B61/'P-Parametri'!$B$29</f>
        <v>147000</v>
      </c>
      <c r="D61" s="9">
        <f>B61/'P-Parametri'!$C$29</f>
        <v>196000</v>
      </c>
      <c r="E61" s="9">
        <f>B61/'P-Parametri'!$D$29</f>
        <v>254545.45454545456</v>
      </c>
    </row>
    <row r="62" spans="1:6">
      <c r="A62" s="13">
        <f>500</f>
        <v>500</v>
      </c>
      <c r="B62" s="9">
        <f t="shared" si="1"/>
        <v>6000</v>
      </c>
      <c r="C62" s="9">
        <f>B62/'P-Parametri'!$B$29</f>
        <v>150000</v>
      </c>
      <c r="D62" s="9">
        <f>B62/'P-Parametri'!$C$29</f>
        <v>200000</v>
      </c>
      <c r="E62" s="9">
        <f>B62/'P-Parametri'!$D$29</f>
        <v>259740.25974025976</v>
      </c>
    </row>
    <row r="64" spans="1:6" ht="30" customHeight="1">
      <c r="A64" s="40" t="s">
        <v>256</v>
      </c>
      <c r="B64" s="38"/>
      <c r="C64" s="38"/>
      <c r="D64" s="38"/>
      <c r="E64" s="38"/>
      <c r="F64" s="38"/>
    </row>
  </sheetData>
  <mergeCells count="5">
    <mergeCell ref="A2:F2"/>
    <mergeCell ref="A1:F1"/>
    <mergeCell ref="A9:F9"/>
    <mergeCell ref="A3:F3"/>
    <mergeCell ref="A64:F6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6"/>
  <sheetViews>
    <sheetView workbookViewId="0"/>
  </sheetViews>
  <sheetFormatPr defaultRowHeight="15"/>
  <cols>
    <col min="1" max="1" width="46" customWidth="1"/>
    <col min="2" max="8" width="16" customWidth="1"/>
  </cols>
  <sheetData>
    <row r="1" spans="1:8" ht="24.95" customHeight="1">
      <c r="A1" s="39" t="s">
        <v>257</v>
      </c>
      <c r="B1" s="38"/>
      <c r="C1" s="38"/>
      <c r="D1" s="38"/>
      <c r="E1" s="38"/>
      <c r="F1" s="38"/>
      <c r="G1" s="38"/>
      <c r="H1" s="38"/>
    </row>
    <row r="2" spans="1:8" ht="32.1" customHeight="1">
      <c r="A2" s="37" t="s">
        <v>1</v>
      </c>
      <c r="B2" s="38"/>
      <c r="C2" s="38"/>
      <c r="D2" s="38"/>
      <c r="E2" s="38"/>
      <c r="F2" s="38"/>
      <c r="G2" s="38"/>
      <c r="H2" s="38"/>
    </row>
    <row r="3" spans="1:8" ht="30" customHeight="1">
      <c r="A3" s="40" t="s">
        <v>258</v>
      </c>
      <c r="B3" s="38"/>
      <c r="C3" s="38"/>
      <c r="D3" s="38"/>
      <c r="E3" s="38"/>
      <c r="F3" s="38"/>
      <c r="G3" s="38"/>
      <c r="H3" s="38"/>
    </row>
    <row r="5" spans="1:8">
      <c r="A5" s="41" t="s">
        <v>259</v>
      </c>
      <c r="B5" s="38"/>
      <c r="C5" s="38"/>
      <c r="D5" s="38"/>
      <c r="E5" s="38"/>
      <c r="F5" s="38"/>
      <c r="G5" s="38"/>
      <c r="H5" s="38"/>
    </row>
    <row r="6" spans="1:8">
      <c r="A6" s="6" t="s">
        <v>260</v>
      </c>
      <c r="B6" s="9">
        <f>'1-Input'!$B$8</f>
        <v>26000</v>
      </c>
    </row>
    <row r="7" spans="1:8">
      <c r="A7" s="6" t="s">
        <v>261</v>
      </c>
      <c r="B7" s="9">
        <f>'1-Input'!$B$25</f>
        <v>5465.7738181818204</v>
      </c>
    </row>
    <row r="8" spans="1:8">
      <c r="A8" s="6" t="s">
        <v>262</v>
      </c>
      <c r="B8" s="9">
        <f>'1-Input'!$B$25/'1-Input'!$B$11</f>
        <v>182192.46060606069</v>
      </c>
    </row>
    <row r="9" spans="1:8">
      <c r="A9" s="6" t="s">
        <v>263</v>
      </c>
      <c r="B9" s="9">
        <f>'1-Input'!$B$28</f>
        <v>525000</v>
      </c>
    </row>
    <row r="10" spans="1:8">
      <c r="A10" s="6" t="s">
        <v>264</v>
      </c>
      <c r="B10" s="30">
        <f>(B9+B8)/(B6+B8)</f>
        <v>3.3968207040129177</v>
      </c>
    </row>
    <row r="11" spans="1:8">
      <c r="A11" s="6" t="s">
        <v>265</v>
      </c>
      <c r="B11" s="12">
        <f>LN(B10)/LN(1+'1-Input'!$B$11)</f>
        <v>41.369738093845186</v>
      </c>
    </row>
    <row r="12" spans="1:8">
      <c r="A12" s="6" t="s">
        <v>266</v>
      </c>
      <c r="B12" s="14">
        <f>'1-Input'!$B$5+B11</f>
        <v>73.369738093845186</v>
      </c>
    </row>
    <row r="13" spans="1:8">
      <c r="A13" s="41" t="s">
        <v>267</v>
      </c>
      <c r="B13" s="38"/>
      <c r="C13" s="38"/>
      <c r="D13" s="38"/>
      <c r="E13" s="38"/>
      <c r="F13" s="38"/>
      <c r="G13" s="38"/>
      <c r="H13" s="38"/>
    </row>
    <row r="14" spans="1:8">
      <c r="A14" s="6" t="s">
        <v>268</v>
      </c>
      <c r="B14" s="13" t="str">
        <f>IF(ABS('1-Input'!$B$27-1/'1-Input'!$B$11)&lt;0.001,"sì","no")</f>
        <v>no</v>
      </c>
    </row>
    <row r="15" spans="1:8">
      <c r="A15" s="6" t="s">
        <v>269</v>
      </c>
      <c r="B15" s="12" t="str">
        <f>IF('1-Input'!$B$8&lt;&gt;0,"NON VALE: l'identità richiede capitale iniziale zero",LN(1/'1-Input'!$B$26)/LN(1+'1-Input'!$B$11))</f>
        <v>NON VALE: l'identità richiede capitale iniziale zero</v>
      </c>
    </row>
    <row r="16" spans="1:8" ht="30">
      <c r="A16" s="6" t="s">
        <v>270</v>
      </c>
      <c r="B16" s="12">
        <f>LN((('1-Input'!$B$7/'1-Input'!$B$11)+'1-Input'!$B$25/'1-Input'!$B$11)/('1-Input'!$B$8+'1-Input'!$B$25/'1-Input'!$B$11))/LN(1+'1-Input'!$B$11)</f>
        <v>48.849993529800521</v>
      </c>
    </row>
    <row r="17" spans="1:8" ht="45" customHeight="1">
      <c r="A17" s="40" t="s">
        <v>271</v>
      </c>
      <c r="B17" s="38"/>
      <c r="C17" s="38"/>
      <c r="D17" s="38"/>
      <c r="E17" s="38"/>
      <c r="F17" s="38"/>
      <c r="G17" s="38"/>
      <c r="H17" s="38"/>
    </row>
    <row r="18" spans="1:8" ht="30" customHeight="1">
      <c r="A18" s="40" t="s">
        <v>272</v>
      </c>
      <c r="B18" s="38"/>
      <c r="C18" s="38"/>
      <c r="D18" s="38"/>
      <c r="E18" s="38"/>
      <c r="F18" s="38"/>
      <c r="G18" s="38"/>
      <c r="H18" s="38"/>
    </row>
    <row r="20" spans="1:8">
      <c r="A20" s="41" t="s">
        <v>273</v>
      </c>
      <c r="B20" s="38"/>
      <c r="C20" s="38"/>
      <c r="D20" s="38"/>
      <c r="E20" s="38"/>
      <c r="F20" s="38"/>
      <c r="G20" s="38"/>
      <c r="H20" s="38"/>
    </row>
    <row r="21" spans="1:8" ht="30" customHeight="1">
      <c r="A21" s="40" t="s">
        <v>274</v>
      </c>
      <c r="B21" s="38"/>
      <c r="C21" s="38"/>
      <c r="D21" s="38"/>
      <c r="E21" s="38"/>
      <c r="F21" s="38"/>
      <c r="G21" s="38"/>
      <c r="H21" s="38"/>
    </row>
    <row r="22" spans="1:8">
      <c r="A22" s="15" t="s">
        <v>122</v>
      </c>
      <c r="B22" s="15" t="s">
        <v>91</v>
      </c>
      <c r="C22" s="15" t="s">
        <v>275</v>
      </c>
      <c r="D22" s="15" t="s">
        <v>276</v>
      </c>
      <c r="E22" s="15" t="s">
        <v>277</v>
      </c>
      <c r="F22" s="15" t="s">
        <v>278</v>
      </c>
      <c r="G22" s="15" t="s">
        <v>279</v>
      </c>
      <c r="H22" s="15" t="s">
        <v>280</v>
      </c>
    </row>
    <row r="23" spans="1:8">
      <c r="A23" s="13">
        <f>1</f>
        <v>1</v>
      </c>
      <c r="B23" s="13">
        <f>'1-Input'!$B$5+A23</f>
        <v>33</v>
      </c>
      <c r="C23" s="9">
        <f>'1-Input'!$B$8</f>
        <v>26000</v>
      </c>
      <c r="D23" s="9">
        <f>'1-Input'!$B$25</f>
        <v>5465.7738181818204</v>
      </c>
      <c r="E23" s="9">
        <f>C23*'1-Input'!$B$11</f>
        <v>780</v>
      </c>
      <c r="F23" s="9">
        <f t="shared" ref="F23:F54" si="0">C23+D23+E23</f>
        <v>32245.77381818182</v>
      </c>
      <c r="G23" s="9">
        <f>'1-Input'!$B$28</f>
        <v>525000</v>
      </c>
      <c r="H23" s="13" t="str">
        <f t="shared" ref="H23:H54" si="1">IF(F23&gt;=G23,"sì","")</f>
        <v/>
      </c>
    </row>
    <row r="24" spans="1:8">
      <c r="A24" s="13">
        <f>2</f>
        <v>2</v>
      </c>
      <c r="B24" s="13">
        <f>'1-Input'!$B$5+A24</f>
        <v>34</v>
      </c>
      <c r="C24" s="9">
        <f t="shared" ref="C24:C55" si="2">F23</f>
        <v>32245.77381818182</v>
      </c>
      <c r="D24" s="9">
        <f>'1-Input'!$B$25</f>
        <v>5465.7738181818204</v>
      </c>
      <c r="E24" s="9">
        <f>C24*'1-Input'!$B$11</f>
        <v>967.37321454545463</v>
      </c>
      <c r="F24" s="9">
        <f t="shared" si="0"/>
        <v>38678.920850909097</v>
      </c>
      <c r="G24" s="9">
        <f>'1-Input'!$B$28</f>
        <v>525000</v>
      </c>
      <c r="H24" s="13" t="str">
        <f t="shared" si="1"/>
        <v/>
      </c>
    </row>
    <row r="25" spans="1:8">
      <c r="A25" s="13">
        <f>3</f>
        <v>3</v>
      </c>
      <c r="B25" s="13">
        <f>'1-Input'!$B$5+A25</f>
        <v>35</v>
      </c>
      <c r="C25" s="9">
        <f t="shared" si="2"/>
        <v>38678.920850909097</v>
      </c>
      <c r="D25" s="9">
        <f>'1-Input'!$B$25</f>
        <v>5465.7738181818204</v>
      </c>
      <c r="E25" s="9">
        <f>C25*'1-Input'!$B$11</f>
        <v>1160.3676255272728</v>
      </c>
      <c r="F25" s="9">
        <f t="shared" si="0"/>
        <v>45305.06229461819</v>
      </c>
      <c r="G25" s="9">
        <f>'1-Input'!$B$28</f>
        <v>525000</v>
      </c>
      <c r="H25" s="13" t="str">
        <f t="shared" si="1"/>
        <v/>
      </c>
    </row>
    <row r="26" spans="1:8">
      <c r="A26" s="13">
        <f>4</f>
        <v>4</v>
      </c>
      <c r="B26" s="13">
        <f>'1-Input'!$B$5+A26</f>
        <v>36</v>
      </c>
      <c r="C26" s="9">
        <f t="shared" si="2"/>
        <v>45305.06229461819</v>
      </c>
      <c r="D26" s="9">
        <f>'1-Input'!$B$25</f>
        <v>5465.7738181818204</v>
      </c>
      <c r="E26" s="9">
        <f>C26*'1-Input'!$B$11</f>
        <v>1359.1518688385456</v>
      </c>
      <c r="F26" s="9">
        <f t="shared" si="0"/>
        <v>52129.987981638558</v>
      </c>
      <c r="G26" s="9">
        <f>'1-Input'!$B$28</f>
        <v>525000</v>
      </c>
      <c r="H26" s="13" t="str">
        <f t="shared" si="1"/>
        <v/>
      </c>
    </row>
    <row r="27" spans="1:8">
      <c r="A27" s="13">
        <f>5</f>
        <v>5</v>
      </c>
      <c r="B27" s="13">
        <f>'1-Input'!$B$5+A27</f>
        <v>37</v>
      </c>
      <c r="C27" s="9">
        <f t="shared" si="2"/>
        <v>52129.987981638558</v>
      </c>
      <c r="D27" s="9">
        <f>'1-Input'!$B$25</f>
        <v>5465.7738181818204</v>
      </c>
      <c r="E27" s="9">
        <f>C27*'1-Input'!$B$11</f>
        <v>1563.8996394491567</v>
      </c>
      <c r="F27" s="9">
        <f t="shared" si="0"/>
        <v>59159.661439269534</v>
      </c>
      <c r="G27" s="9">
        <f>'1-Input'!$B$28</f>
        <v>525000</v>
      </c>
      <c r="H27" s="13" t="str">
        <f t="shared" si="1"/>
        <v/>
      </c>
    </row>
    <row r="28" spans="1:8">
      <c r="A28" s="13">
        <f>6</f>
        <v>6</v>
      </c>
      <c r="B28" s="13">
        <f>'1-Input'!$B$5+A28</f>
        <v>38</v>
      </c>
      <c r="C28" s="9">
        <f t="shared" si="2"/>
        <v>59159.661439269534</v>
      </c>
      <c r="D28" s="9">
        <f>'1-Input'!$B$25</f>
        <v>5465.7738181818204</v>
      </c>
      <c r="E28" s="9">
        <f>C28*'1-Input'!$B$11</f>
        <v>1774.7898431780859</v>
      </c>
      <c r="F28" s="9">
        <f t="shared" si="0"/>
        <v>66400.225100629439</v>
      </c>
      <c r="G28" s="9">
        <f>'1-Input'!$B$28</f>
        <v>525000</v>
      </c>
      <c r="H28" s="13" t="str">
        <f t="shared" si="1"/>
        <v/>
      </c>
    </row>
    <row r="29" spans="1:8">
      <c r="A29" s="13">
        <f>7</f>
        <v>7</v>
      </c>
      <c r="B29" s="13">
        <f>'1-Input'!$B$5+A29</f>
        <v>39</v>
      </c>
      <c r="C29" s="9">
        <f t="shared" si="2"/>
        <v>66400.225100629439</v>
      </c>
      <c r="D29" s="9">
        <f>'1-Input'!$B$25</f>
        <v>5465.7738181818204</v>
      </c>
      <c r="E29" s="9">
        <f>C29*'1-Input'!$B$11</f>
        <v>1992.006753018883</v>
      </c>
      <c r="F29" s="9">
        <f t="shared" si="0"/>
        <v>73858.005671830149</v>
      </c>
      <c r="G29" s="9">
        <f>'1-Input'!$B$28</f>
        <v>525000</v>
      </c>
      <c r="H29" s="13" t="str">
        <f t="shared" si="1"/>
        <v/>
      </c>
    </row>
    <row r="30" spans="1:8">
      <c r="A30" s="13">
        <f>8</f>
        <v>8</v>
      </c>
      <c r="B30" s="13">
        <f>'1-Input'!$B$5+A30</f>
        <v>40</v>
      </c>
      <c r="C30" s="9">
        <f t="shared" si="2"/>
        <v>73858.005671830149</v>
      </c>
      <c r="D30" s="9">
        <f>'1-Input'!$B$25</f>
        <v>5465.7738181818204</v>
      </c>
      <c r="E30" s="9">
        <f>C30*'1-Input'!$B$11</f>
        <v>2215.7401701549043</v>
      </c>
      <c r="F30" s="9">
        <f t="shared" si="0"/>
        <v>81539.519660166887</v>
      </c>
      <c r="G30" s="9">
        <f>'1-Input'!$B$28</f>
        <v>525000</v>
      </c>
      <c r="H30" s="13" t="str">
        <f t="shared" si="1"/>
        <v/>
      </c>
    </row>
    <row r="31" spans="1:8">
      <c r="A31" s="13">
        <f>9</f>
        <v>9</v>
      </c>
      <c r="B31" s="13">
        <f>'1-Input'!$B$5+A31</f>
        <v>41</v>
      </c>
      <c r="C31" s="9">
        <f t="shared" si="2"/>
        <v>81539.519660166887</v>
      </c>
      <c r="D31" s="9">
        <f>'1-Input'!$B$25</f>
        <v>5465.7738181818204</v>
      </c>
      <c r="E31" s="9">
        <f>C31*'1-Input'!$B$11</f>
        <v>2446.1855898050067</v>
      </c>
      <c r="F31" s="9">
        <f t="shared" si="0"/>
        <v>89451.479068153712</v>
      </c>
      <c r="G31" s="9">
        <f>'1-Input'!$B$28</f>
        <v>525000</v>
      </c>
      <c r="H31" s="13" t="str">
        <f t="shared" si="1"/>
        <v/>
      </c>
    </row>
    <row r="32" spans="1:8">
      <c r="A32" s="13">
        <f>10</f>
        <v>10</v>
      </c>
      <c r="B32" s="13">
        <f>'1-Input'!$B$5+A32</f>
        <v>42</v>
      </c>
      <c r="C32" s="9">
        <f t="shared" si="2"/>
        <v>89451.479068153712</v>
      </c>
      <c r="D32" s="9">
        <f>'1-Input'!$B$25</f>
        <v>5465.7738181818204</v>
      </c>
      <c r="E32" s="9">
        <f>C32*'1-Input'!$B$11</f>
        <v>2683.5443720446115</v>
      </c>
      <c r="F32" s="9">
        <f t="shared" si="0"/>
        <v>97600.797258380146</v>
      </c>
      <c r="G32" s="9">
        <f>'1-Input'!$B$28</f>
        <v>525000</v>
      </c>
      <c r="H32" s="13" t="str">
        <f t="shared" si="1"/>
        <v/>
      </c>
    </row>
    <row r="33" spans="1:8">
      <c r="A33" s="13">
        <f>11</f>
        <v>11</v>
      </c>
      <c r="B33" s="13">
        <f>'1-Input'!$B$5+A33</f>
        <v>43</v>
      </c>
      <c r="C33" s="9">
        <f t="shared" si="2"/>
        <v>97600.797258380146</v>
      </c>
      <c r="D33" s="9">
        <f>'1-Input'!$B$25</f>
        <v>5465.7738181818204</v>
      </c>
      <c r="E33" s="9">
        <f>C33*'1-Input'!$B$11</f>
        <v>2928.023917751404</v>
      </c>
      <c r="F33" s="9">
        <f t="shared" si="0"/>
        <v>105994.59499431336</v>
      </c>
      <c r="G33" s="9">
        <f>'1-Input'!$B$28</f>
        <v>525000</v>
      </c>
      <c r="H33" s="13" t="str">
        <f t="shared" si="1"/>
        <v/>
      </c>
    </row>
    <row r="34" spans="1:8">
      <c r="A34" s="13">
        <f>12</f>
        <v>12</v>
      </c>
      <c r="B34" s="13">
        <f>'1-Input'!$B$5+A34</f>
        <v>44</v>
      </c>
      <c r="C34" s="9">
        <f t="shared" si="2"/>
        <v>105994.59499431336</v>
      </c>
      <c r="D34" s="9">
        <f>'1-Input'!$B$25</f>
        <v>5465.7738181818204</v>
      </c>
      <c r="E34" s="9">
        <f>C34*'1-Input'!$B$11</f>
        <v>3179.8378498294005</v>
      </c>
      <c r="F34" s="9">
        <f t="shared" si="0"/>
        <v>114640.20666232458</v>
      </c>
      <c r="G34" s="9">
        <f>'1-Input'!$B$28</f>
        <v>525000</v>
      </c>
      <c r="H34" s="13" t="str">
        <f t="shared" si="1"/>
        <v/>
      </c>
    </row>
    <row r="35" spans="1:8">
      <c r="A35" s="13">
        <f>13</f>
        <v>13</v>
      </c>
      <c r="B35" s="13">
        <f>'1-Input'!$B$5+A35</f>
        <v>45</v>
      </c>
      <c r="C35" s="9">
        <f t="shared" si="2"/>
        <v>114640.20666232458</v>
      </c>
      <c r="D35" s="9">
        <f>'1-Input'!$B$25</f>
        <v>5465.7738181818204</v>
      </c>
      <c r="E35" s="9">
        <f>C35*'1-Input'!$B$11</f>
        <v>3439.2061998697372</v>
      </c>
      <c r="F35" s="9">
        <f t="shared" si="0"/>
        <v>123545.18668037614</v>
      </c>
      <c r="G35" s="9">
        <f>'1-Input'!$B$28</f>
        <v>525000</v>
      </c>
      <c r="H35" s="13" t="str">
        <f t="shared" si="1"/>
        <v/>
      </c>
    </row>
    <row r="36" spans="1:8">
      <c r="A36" s="13">
        <f>14</f>
        <v>14</v>
      </c>
      <c r="B36" s="13">
        <f>'1-Input'!$B$5+A36</f>
        <v>46</v>
      </c>
      <c r="C36" s="9">
        <f t="shared" si="2"/>
        <v>123545.18668037614</v>
      </c>
      <c r="D36" s="9">
        <f>'1-Input'!$B$25</f>
        <v>5465.7738181818204</v>
      </c>
      <c r="E36" s="9">
        <f>C36*'1-Input'!$B$11</f>
        <v>3706.3556004112838</v>
      </c>
      <c r="F36" s="9">
        <f t="shared" si="0"/>
        <v>132717.31609896923</v>
      </c>
      <c r="G36" s="9">
        <f>'1-Input'!$B$28</f>
        <v>525000</v>
      </c>
      <c r="H36" s="13" t="str">
        <f t="shared" si="1"/>
        <v/>
      </c>
    </row>
    <row r="37" spans="1:8">
      <c r="A37" s="13">
        <f>15</f>
        <v>15</v>
      </c>
      <c r="B37" s="13">
        <f>'1-Input'!$B$5+A37</f>
        <v>47</v>
      </c>
      <c r="C37" s="9">
        <f t="shared" si="2"/>
        <v>132717.31609896923</v>
      </c>
      <c r="D37" s="9">
        <f>'1-Input'!$B$25</f>
        <v>5465.7738181818204</v>
      </c>
      <c r="E37" s="9">
        <f>C37*'1-Input'!$B$11</f>
        <v>3981.5194829690768</v>
      </c>
      <c r="F37" s="9">
        <f t="shared" si="0"/>
        <v>142164.60940012013</v>
      </c>
      <c r="G37" s="9">
        <f>'1-Input'!$B$28</f>
        <v>525000</v>
      </c>
      <c r="H37" s="13" t="str">
        <f t="shared" si="1"/>
        <v/>
      </c>
    </row>
    <row r="38" spans="1:8">
      <c r="A38" s="13">
        <f>16</f>
        <v>16</v>
      </c>
      <c r="B38" s="13">
        <f>'1-Input'!$B$5+A38</f>
        <v>48</v>
      </c>
      <c r="C38" s="9">
        <f t="shared" si="2"/>
        <v>142164.60940012013</v>
      </c>
      <c r="D38" s="9">
        <f>'1-Input'!$B$25</f>
        <v>5465.7738181818204</v>
      </c>
      <c r="E38" s="9">
        <f>C38*'1-Input'!$B$11</f>
        <v>4264.9382820036035</v>
      </c>
      <c r="F38" s="9">
        <f t="shared" si="0"/>
        <v>151895.32150030555</v>
      </c>
      <c r="G38" s="9">
        <f>'1-Input'!$B$28</f>
        <v>525000</v>
      </c>
      <c r="H38" s="13" t="str">
        <f t="shared" si="1"/>
        <v/>
      </c>
    </row>
    <row r="39" spans="1:8">
      <c r="A39" s="13">
        <f>17</f>
        <v>17</v>
      </c>
      <c r="B39" s="13">
        <f>'1-Input'!$B$5+A39</f>
        <v>49</v>
      </c>
      <c r="C39" s="9">
        <f t="shared" si="2"/>
        <v>151895.32150030555</v>
      </c>
      <c r="D39" s="9">
        <f>'1-Input'!$B$25</f>
        <v>5465.7738181818204</v>
      </c>
      <c r="E39" s="9">
        <f>C39*'1-Input'!$B$11</f>
        <v>4556.8596450091663</v>
      </c>
      <c r="F39" s="9">
        <f t="shared" si="0"/>
        <v>161917.95496349654</v>
      </c>
      <c r="G39" s="9">
        <f>'1-Input'!$B$28</f>
        <v>525000</v>
      </c>
      <c r="H39" s="13" t="str">
        <f t="shared" si="1"/>
        <v/>
      </c>
    </row>
    <row r="40" spans="1:8">
      <c r="A40" s="13">
        <f>18</f>
        <v>18</v>
      </c>
      <c r="B40" s="13">
        <f>'1-Input'!$B$5+A40</f>
        <v>50</v>
      </c>
      <c r="C40" s="9">
        <f t="shared" si="2"/>
        <v>161917.95496349654</v>
      </c>
      <c r="D40" s="9">
        <f>'1-Input'!$B$25</f>
        <v>5465.7738181818204</v>
      </c>
      <c r="E40" s="9">
        <f>C40*'1-Input'!$B$11</f>
        <v>4857.538648904896</v>
      </c>
      <c r="F40" s="9">
        <f t="shared" si="0"/>
        <v>172241.26743058325</v>
      </c>
      <c r="G40" s="9">
        <f>'1-Input'!$B$28</f>
        <v>525000</v>
      </c>
      <c r="H40" s="13" t="str">
        <f t="shared" si="1"/>
        <v/>
      </c>
    </row>
    <row r="41" spans="1:8">
      <c r="A41" s="13">
        <f>19</f>
        <v>19</v>
      </c>
      <c r="B41" s="13">
        <f>'1-Input'!$B$5+A41</f>
        <v>51</v>
      </c>
      <c r="C41" s="9">
        <f t="shared" si="2"/>
        <v>172241.26743058325</v>
      </c>
      <c r="D41" s="9">
        <f>'1-Input'!$B$25</f>
        <v>5465.7738181818204</v>
      </c>
      <c r="E41" s="9">
        <f>C41*'1-Input'!$B$11</f>
        <v>5167.2380229174969</v>
      </c>
      <c r="F41" s="9">
        <f t="shared" si="0"/>
        <v>182874.27927168258</v>
      </c>
      <c r="G41" s="9">
        <f>'1-Input'!$B$28</f>
        <v>525000</v>
      </c>
      <c r="H41" s="13" t="str">
        <f t="shared" si="1"/>
        <v/>
      </c>
    </row>
    <row r="42" spans="1:8">
      <c r="A42" s="13">
        <f>20</f>
        <v>20</v>
      </c>
      <c r="B42" s="13">
        <f>'1-Input'!$B$5+A42</f>
        <v>52</v>
      </c>
      <c r="C42" s="9">
        <f t="shared" si="2"/>
        <v>182874.27927168258</v>
      </c>
      <c r="D42" s="9">
        <f>'1-Input'!$B$25</f>
        <v>5465.7738181818204</v>
      </c>
      <c r="E42" s="9">
        <f>C42*'1-Input'!$B$11</f>
        <v>5486.2283781504775</v>
      </c>
      <c r="F42" s="9">
        <f t="shared" si="0"/>
        <v>193826.28146801487</v>
      </c>
      <c r="G42" s="9">
        <f>'1-Input'!$B$28</f>
        <v>525000</v>
      </c>
      <c r="H42" s="13" t="str">
        <f t="shared" si="1"/>
        <v/>
      </c>
    </row>
    <row r="43" spans="1:8">
      <c r="A43" s="13">
        <f>21</f>
        <v>21</v>
      </c>
      <c r="B43" s="13">
        <f>'1-Input'!$B$5+A43</f>
        <v>53</v>
      </c>
      <c r="C43" s="9">
        <f t="shared" si="2"/>
        <v>193826.28146801487</v>
      </c>
      <c r="D43" s="9">
        <f>'1-Input'!$B$25</f>
        <v>5465.7738181818204</v>
      </c>
      <c r="E43" s="9">
        <f>C43*'1-Input'!$B$11</f>
        <v>5814.7884440404459</v>
      </c>
      <c r="F43" s="9">
        <f t="shared" si="0"/>
        <v>205106.84373023716</v>
      </c>
      <c r="G43" s="9">
        <f>'1-Input'!$B$28</f>
        <v>525000</v>
      </c>
      <c r="H43" s="13" t="str">
        <f t="shared" si="1"/>
        <v/>
      </c>
    </row>
    <row r="44" spans="1:8">
      <c r="A44" s="13">
        <f>22</f>
        <v>22</v>
      </c>
      <c r="B44" s="13">
        <f>'1-Input'!$B$5+A44</f>
        <v>54</v>
      </c>
      <c r="C44" s="9">
        <f t="shared" si="2"/>
        <v>205106.84373023716</v>
      </c>
      <c r="D44" s="9">
        <f>'1-Input'!$B$25</f>
        <v>5465.7738181818204</v>
      </c>
      <c r="E44" s="9">
        <f>C44*'1-Input'!$B$11</f>
        <v>6153.2053119071143</v>
      </c>
      <c r="F44" s="9">
        <f t="shared" si="0"/>
        <v>216725.82286032609</v>
      </c>
      <c r="G44" s="9">
        <f>'1-Input'!$B$28</f>
        <v>525000</v>
      </c>
      <c r="H44" s="13" t="str">
        <f t="shared" si="1"/>
        <v/>
      </c>
    </row>
    <row r="45" spans="1:8">
      <c r="A45" s="13">
        <f>23</f>
        <v>23</v>
      </c>
      <c r="B45" s="13">
        <f>'1-Input'!$B$5+A45</f>
        <v>55</v>
      </c>
      <c r="C45" s="9">
        <f t="shared" si="2"/>
        <v>216725.82286032609</v>
      </c>
      <c r="D45" s="9">
        <f>'1-Input'!$B$25</f>
        <v>5465.7738181818204</v>
      </c>
      <c r="E45" s="9">
        <f>C45*'1-Input'!$B$11</f>
        <v>6501.7746858097826</v>
      </c>
      <c r="F45" s="9">
        <f t="shared" si="0"/>
        <v>228693.37136431772</v>
      </c>
      <c r="G45" s="9">
        <f>'1-Input'!$B$28</f>
        <v>525000</v>
      </c>
      <c r="H45" s="13" t="str">
        <f t="shared" si="1"/>
        <v/>
      </c>
    </row>
    <row r="46" spans="1:8">
      <c r="A46" s="13">
        <f>24</f>
        <v>24</v>
      </c>
      <c r="B46" s="13">
        <f>'1-Input'!$B$5+A46</f>
        <v>56</v>
      </c>
      <c r="C46" s="9">
        <f t="shared" si="2"/>
        <v>228693.37136431772</v>
      </c>
      <c r="D46" s="9">
        <f>'1-Input'!$B$25</f>
        <v>5465.7738181818204</v>
      </c>
      <c r="E46" s="9">
        <f>C46*'1-Input'!$B$11</f>
        <v>6860.8011409295314</v>
      </c>
      <c r="F46" s="9">
        <f t="shared" si="0"/>
        <v>241019.94632342909</v>
      </c>
      <c r="G46" s="9">
        <f>'1-Input'!$B$28</f>
        <v>525000</v>
      </c>
      <c r="H46" s="13" t="str">
        <f t="shared" si="1"/>
        <v/>
      </c>
    </row>
    <row r="47" spans="1:8">
      <c r="A47" s="13">
        <f>25</f>
        <v>25</v>
      </c>
      <c r="B47" s="13">
        <f>'1-Input'!$B$5+A47</f>
        <v>57</v>
      </c>
      <c r="C47" s="9">
        <f t="shared" si="2"/>
        <v>241019.94632342909</v>
      </c>
      <c r="D47" s="9">
        <f>'1-Input'!$B$25</f>
        <v>5465.7738181818204</v>
      </c>
      <c r="E47" s="9">
        <f>C47*'1-Input'!$B$11</f>
        <v>7230.5983897028727</v>
      </c>
      <c r="F47" s="9">
        <f t="shared" si="0"/>
        <v>253716.31853131379</v>
      </c>
      <c r="G47" s="9">
        <f>'1-Input'!$B$28</f>
        <v>525000</v>
      </c>
      <c r="H47" s="13" t="str">
        <f t="shared" si="1"/>
        <v/>
      </c>
    </row>
    <row r="48" spans="1:8">
      <c r="A48" s="13">
        <f>26</f>
        <v>26</v>
      </c>
      <c r="B48" s="13">
        <f>'1-Input'!$B$5+A48</f>
        <v>58</v>
      </c>
      <c r="C48" s="9">
        <f t="shared" si="2"/>
        <v>253716.31853131379</v>
      </c>
      <c r="D48" s="9">
        <f>'1-Input'!$B$25</f>
        <v>5465.7738181818204</v>
      </c>
      <c r="E48" s="9">
        <f>C48*'1-Input'!$B$11</f>
        <v>7611.4895559394135</v>
      </c>
      <c r="F48" s="9">
        <f t="shared" si="0"/>
        <v>266793.58190543501</v>
      </c>
      <c r="G48" s="9">
        <f>'1-Input'!$B$28</f>
        <v>525000</v>
      </c>
      <c r="H48" s="13" t="str">
        <f t="shared" si="1"/>
        <v/>
      </c>
    </row>
    <row r="49" spans="1:8">
      <c r="A49" s="13">
        <f>27</f>
        <v>27</v>
      </c>
      <c r="B49" s="13">
        <f>'1-Input'!$B$5+A49</f>
        <v>59</v>
      </c>
      <c r="C49" s="9">
        <f t="shared" si="2"/>
        <v>266793.58190543501</v>
      </c>
      <c r="D49" s="9">
        <f>'1-Input'!$B$25</f>
        <v>5465.7738181818204</v>
      </c>
      <c r="E49" s="9">
        <f>C49*'1-Input'!$B$11</f>
        <v>8003.8074571630505</v>
      </c>
      <c r="F49" s="9">
        <f t="shared" si="0"/>
        <v>280263.1631807799</v>
      </c>
      <c r="G49" s="9">
        <f>'1-Input'!$B$28</f>
        <v>525000</v>
      </c>
      <c r="H49" s="13" t="str">
        <f t="shared" si="1"/>
        <v/>
      </c>
    </row>
    <row r="50" spans="1:8">
      <c r="A50" s="13">
        <f>28</f>
        <v>28</v>
      </c>
      <c r="B50" s="13">
        <f>'1-Input'!$B$5+A50</f>
        <v>60</v>
      </c>
      <c r="C50" s="9">
        <f t="shared" si="2"/>
        <v>280263.1631807799</v>
      </c>
      <c r="D50" s="9">
        <f>'1-Input'!$B$25</f>
        <v>5465.7738181818204</v>
      </c>
      <c r="E50" s="9">
        <f>C50*'1-Input'!$B$11</f>
        <v>8407.8948954233965</v>
      </c>
      <c r="F50" s="9">
        <f t="shared" si="0"/>
        <v>294136.8318943851</v>
      </c>
      <c r="G50" s="9">
        <f>'1-Input'!$B$28</f>
        <v>525000</v>
      </c>
      <c r="H50" s="13" t="str">
        <f t="shared" si="1"/>
        <v/>
      </c>
    </row>
    <row r="51" spans="1:8">
      <c r="A51" s="13">
        <f>29</f>
        <v>29</v>
      </c>
      <c r="B51" s="13">
        <f>'1-Input'!$B$5+A51</f>
        <v>61</v>
      </c>
      <c r="C51" s="9">
        <f t="shared" si="2"/>
        <v>294136.8318943851</v>
      </c>
      <c r="D51" s="9">
        <f>'1-Input'!$B$25</f>
        <v>5465.7738181818204</v>
      </c>
      <c r="E51" s="9">
        <f>C51*'1-Input'!$B$11</f>
        <v>8824.104956831552</v>
      </c>
      <c r="F51" s="9">
        <f t="shared" si="0"/>
        <v>308426.71066939848</v>
      </c>
      <c r="G51" s="9">
        <f>'1-Input'!$B$28</f>
        <v>525000</v>
      </c>
      <c r="H51" s="13" t="str">
        <f t="shared" si="1"/>
        <v/>
      </c>
    </row>
    <row r="52" spans="1:8">
      <c r="A52" s="13">
        <f>30</f>
        <v>30</v>
      </c>
      <c r="B52" s="13">
        <f>'1-Input'!$B$5+A52</f>
        <v>62</v>
      </c>
      <c r="C52" s="9">
        <f t="shared" si="2"/>
        <v>308426.71066939848</v>
      </c>
      <c r="D52" s="9">
        <f>'1-Input'!$B$25</f>
        <v>5465.7738181818204</v>
      </c>
      <c r="E52" s="9">
        <f>C52*'1-Input'!$B$11</f>
        <v>9252.8013200819532</v>
      </c>
      <c r="F52" s="9">
        <f t="shared" si="0"/>
        <v>323145.28580766224</v>
      </c>
      <c r="G52" s="9">
        <f>'1-Input'!$B$28</f>
        <v>525000</v>
      </c>
      <c r="H52" s="13" t="str">
        <f t="shared" si="1"/>
        <v/>
      </c>
    </row>
    <row r="53" spans="1:8">
      <c r="A53" s="13">
        <f>31</f>
        <v>31</v>
      </c>
      <c r="B53" s="13">
        <f>'1-Input'!$B$5+A53</f>
        <v>63</v>
      </c>
      <c r="C53" s="9">
        <f t="shared" si="2"/>
        <v>323145.28580766224</v>
      </c>
      <c r="D53" s="9">
        <f>'1-Input'!$B$25</f>
        <v>5465.7738181818204</v>
      </c>
      <c r="E53" s="9">
        <f>C53*'1-Input'!$B$11</f>
        <v>9694.3585742298674</v>
      </c>
      <c r="F53" s="9">
        <f t="shared" si="0"/>
        <v>338305.41820007394</v>
      </c>
      <c r="G53" s="9">
        <f>'1-Input'!$B$28</f>
        <v>525000</v>
      </c>
      <c r="H53" s="13" t="str">
        <f t="shared" si="1"/>
        <v/>
      </c>
    </row>
    <row r="54" spans="1:8">
      <c r="A54" s="13">
        <f>32</f>
        <v>32</v>
      </c>
      <c r="B54" s="13">
        <f>'1-Input'!$B$5+A54</f>
        <v>64</v>
      </c>
      <c r="C54" s="9">
        <f t="shared" si="2"/>
        <v>338305.41820007394</v>
      </c>
      <c r="D54" s="9">
        <f>'1-Input'!$B$25</f>
        <v>5465.7738181818204</v>
      </c>
      <c r="E54" s="9">
        <f>C54*'1-Input'!$B$11</f>
        <v>10149.162546002217</v>
      </c>
      <c r="F54" s="9">
        <f t="shared" si="0"/>
        <v>353920.35456425796</v>
      </c>
      <c r="G54" s="9">
        <f>'1-Input'!$B$28</f>
        <v>525000</v>
      </c>
      <c r="H54" s="13" t="str">
        <f t="shared" si="1"/>
        <v/>
      </c>
    </row>
    <row r="55" spans="1:8">
      <c r="A55" s="13">
        <f>33</f>
        <v>33</v>
      </c>
      <c r="B55" s="13">
        <f>'1-Input'!$B$5+A55</f>
        <v>65</v>
      </c>
      <c r="C55" s="9">
        <f t="shared" si="2"/>
        <v>353920.35456425796</v>
      </c>
      <c r="D55" s="9">
        <f>'1-Input'!$B$25</f>
        <v>5465.7738181818204</v>
      </c>
      <c r="E55" s="9">
        <f>C55*'1-Input'!$B$11</f>
        <v>10617.610636927739</v>
      </c>
      <c r="F55" s="9">
        <f t="shared" ref="F55:F86" si="3">C55+D55+E55</f>
        <v>370003.73901936749</v>
      </c>
      <c r="G55" s="9">
        <f>'1-Input'!$B$28</f>
        <v>525000</v>
      </c>
      <c r="H55" s="13" t="str">
        <f t="shared" ref="H55:H86" si="4">IF(F55&gt;=G55,"sì","")</f>
        <v/>
      </c>
    </row>
    <row r="56" spans="1:8">
      <c r="A56" s="13">
        <f>34</f>
        <v>34</v>
      </c>
      <c r="B56" s="13">
        <f>'1-Input'!$B$5+A56</f>
        <v>66</v>
      </c>
      <c r="C56" s="9">
        <f t="shared" ref="C56:C82" si="5">F55</f>
        <v>370003.73901936749</v>
      </c>
      <c r="D56" s="9">
        <f>'1-Input'!$B$25</f>
        <v>5465.7738181818204</v>
      </c>
      <c r="E56" s="9">
        <f>C56*'1-Input'!$B$11</f>
        <v>11100.112170581024</v>
      </c>
      <c r="F56" s="9">
        <f t="shared" si="3"/>
        <v>386569.62500813033</v>
      </c>
      <c r="G56" s="9">
        <f>'1-Input'!$B$28</f>
        <v>525000</v>
      </c>
      <c r="H56" s="13" t="str">
        <f t="shared" si="4"/>
        <v/>
      </c>
    </row>
    <row r="57" spans="1:8">
      <c r="A57" s="13">
        <f>35</f>
        <v>35</v>
      </c>
      <c r="B57" s="13">
        <f>'1-Input'!$B$5+A57</f>
        <v>67</v>
      </c>
      <c r="C57" s="9">
        <f t="shared" si="5"/>
        <v>386569.62500813033</v>
      </c>
      <c r="D57" s="9">
        <f>'1-Input'!$B$25</f>
        <v>5465.7738181818204</v>
      </c>
      <c r="E57" s="9">
        <f>C57*'1-Input'!$B$11</f>
        <v>11597.088750243909</v>
      </c>
      <c r="F57" s="9">
        <f t="shared" si="3"/>
        <v>403632.48757655604</v>
      </c>
      <c r="G57" s="9">
        <f>'1-Input'!$B$28</f>
        <v>525000</v>
      </c>
      <c r="H57" s="13" t="str">
        <f t="shared" si="4"/>
        <v/>
      </c>
    </row>
    <row r="58" spans="1:8">
      <c r="A58" s="13">
        <f>36</f>
        <v>36</v>
      </c>
      <c r="B58" s="13">
        <f>'1-Input'!$B$5+A58</f>
        <v>68</v>
      </c>
      <c r="C58" s="9">
        <f t="shared" si="5"/>
        <v>403632.48757655604</v>
      </c>
      <c r="D58" s="9">
        <f>'1-Input'!$B$25</f>
        <v>5465.7738181818204</v>
      </c>
      <c r="E58" s="9">
        <f>C58*'1-Input'!$B$11</f>
        <v>12108.97462729668</v>
      </c>
      <c r="F58" s="9">
        <f t="shared" si="3"/>
        <v>421207.23602203454</v>
      </c>
      <c r="G58" s="9">
        <f>'1-Input'!$B$28</f>
        <v>525000</v>
      </c>
      <c r="H58" s="13" t="str">
        <f t="shared" si="4"/>
        <v/>
      </c>
    </row>
    <row r="59" spans="1:8">
      <c r="A59" s="13">
        <f>37</f>
        <v>37</v>
      </c>
      <c r="B59" s="13">
        <f>'1-Input'!$B$5+A59</f>
        <v>69</v>
      </c>
      <c r="C59" s="9">
        <f t="shared" si="5"/>
        <v>421207.23602203454</v>
      </c>
      <c r="D59" s="9">
        <f>'1-Input'!$B$25</f>
        <v>5465.7738181818204</v>
      </c>
      <c r="E59" s="9">
        <f>C59*'1-Input'!$B$11</f>
        <v>12636.217080661036</v>
      </c>
      <c r="F59" s="9">
        <f t="shared" si="3"/>
        <v>439309.22692087741</v>
      </c>
      <c r="G59" s="9">
        <f>'1-Input'!$B$28</f>
        <v>525000</v>
      </c>
      <c r="H59" s="13" t="str">
        <f t="shared" si="4"/>
        <v/>
      </c>
    </row>
    <row r="60" spans="1:8">
      <c r="A60" s="13">
        <f>38</f>
        <v>38</v>
      </c>
      <c r="B60" s="13">
        <f>'1-Input'!$B$5+A60</f>
        <v>70</v>
      </c>
      <c r="C60" s="9">
        <f t="shared" si="5"/>
        <v>439309.22692087741</v>
      </c>
      <c r="D60" s="9">
        <f>'1-Input'!$B$25</f>
        <v>5465.7738181818204</v>
      </c>
      <c r="E60" s="9">
        <f>C60*'1-Input'!$B$11</f>
        <v>13179.276807626322</v>
      </c>
      <c r="F60" s="9">
        <f t="shared" si="3"/>
        <v>457954.27754668554</v>
      </c>
      <c r="G60" s="9">
        <f>'1-Input'!$B$28</f>
        <v>525000</v>
      </c>
      <c r="H60" s="13" t="str">
        <f t="shared" si="4"/>
        <v/>
      </c>
    </row>
    <row r="61" spans="1:8">
      <c r="A61" s="13">
        <f>39</f>
        <v>39</v>
      </c>
      <c r="B61" s="13">
        <f>'1-Input'!$B$5+A61</f>
        <v>71</v>
      </c>
      <c r="C61" s="9">
        <f t="shared" si="5"/>
        <v>457954.27754668554</v>
      </c>
      <c r="D61" s="9">
        <f>'1-Input'!$B$25</f>
        <v>5465.7738181818204</v>
      </c>
      <c r="E61" s="9">
        <f>C61*'1-Input'!$B$11</f>
        <v>13738.628326400565</v>
      </c>
      <c r="F61" s="9">
        <f t="shared" si="3"/>
        <v>477158.67969126796</v>
      </c>
      <c r="G61" s="9">
        <f>'1-Input'!$B$28</f>
        <v>525000</v>
      </c>
      <c r="H61" s="13" t="str">
        <f t="shared" si="4"/>
        <v/>
      </c>
    </row>
    <row r="62" spans="1:8">
      <c r="A62" s="13">
        <f>40</f>
        <v>40</v>
      </c>
      <c r="B62" s="13">
        <f>'1-Input'!$B$5+A62</f>
        <v>72</v>
      </c>
      <c r="C62" s="9">
        <f t="shared" si="5"/>
        <v>477158.67969126796</v>
      </c>
      <c r="D62" s="9">
        <f>'1-Input'!$B$25</f>
        <v>5465.7738181818204</v>
      </c>
      <c r="E62" s="9">
        <f>C62*'1-Input'!$B$11</f>
        <v>14314.760390738038</v>
      </c>
      <c r="F62" s="9">
        <f t="shared" si="3"/>
        <v>496939.21390018781</v>
      </c>
      <c r="G62" s="9">
        <f>'1-Input'!$B$28</f>
        <v>525000</v>
      </c>
      <c r="H62" s="13" t="str">
        <f t="shared" si="4"/>
        <v/>
      </c>
    </row>
    <row r="63" spans="1:8">
      <c r="A63" s="13">
        <f>41</f>
        <v>41</v>
      </c>
      <c r="B63" s="13">
        <f>'1-Input'!$B$5+A63</f>
        <v>73</v>
      </c>
      <c r="C63" s="9">
        <f t="shared" si="5"/>
        <v>496939.21390018781</v>
      </c>
      <c r="D63" s="9">
        <f>'1-Input'!$B$25</f>
        <v>5465.7738181818204</v>
      </c>
      <c r="E63" s="9">
        <f>C63*'1-Input'!$B$11</f>
        <v>14908.176417005634</v>
      </c>
      <c r="F63" s="9">
        <f t="shared" si="3"/>
        <v>517313.16413537529</v>
      </c>
      <c r="G63" s="9">
        <f>'1-Input'!$B$28</f>
        <v>525000</v>
      </c>
      <c r="H63" s="13" t="str">
        <f t="shared" si="4"/>
        <v/>
      </c>
    </row>
    <row r="64" spans="1:8">
      <c r="A64" s="13">
        <f>42</f>
        <v>42</v>
      </c>
      <c r="B64" s="13">
        <f>'1-Input'!$B$5+A64</f>
        <v>74</v>
      </c>
      <c r="C64" s="9">
        <f t="shared" si="5"/>
        <v>517313.16413537529</v>
      </c>
      <c r="D64" s="9">
        <f>'1-Input'!$B$25</f>
        <v>5465.7738181818204</v>
      </c>
      <c r="E64" s="9">
        <f>C64*'1-Input'!$B$11</f>
        <v>15519.394924061258</v>
      </c>
      <c r="F64" s="9">
        <f t="shared" si="3"/>
        <v>538298.33287761838</v>
      </c>
      <c r="G64" s="9">
        <f>'1-Input'!$B$28</f>
        <v>525000</v>
      </c>
      <c r="H64" s="13" t="str">
        <f t="shared" si="4"/>
        <v>sì</v>
      </c>
    </row>
    <row r="65" spans="1:8">
      <c r="A65" s="13">
        <f>43</f>
        <v>43</v>
      </c>
      <c r="B65" s="13">
        <f>'1-Input'!$B$5+A65</f>
        <v>75</v>
      </c>
      <c r="C65" s="9">
        <f t="shared" si="5"/>
        <v>538298.33287761838</v>
      </c>
      <c r="D65" s="9">
        <f>'1-Input'!$B$25</f>
        <v>5465.7738181818204</v>
      </c>
      <c r="E65" s="9">
        <f>C65*'1-Input'!$B$11</f>
        <v>16148.949986328551</v>
      </c>
      <c r="F65" s="9">
        <f t="shared" si="3"/>
        <v>559913.05668212881</v>
      </c>
      <c r="G65" s="9">
        <f>'1-Input'!$B$28</f>
        <v>525000</v>
      </c>
      <c r="H65" s="13" t="str">
        <f t="shared" si="4"/>
        <v>sì</v>
      </c>
    </row>
    <row r="66" spans="1:8">
      <c r="A66" s="13">
        <f>44</f>
        <v>44</v>
      </c>
      <c r="B66" s="13">
        <f>'1-Input'!$B$5+A66</f>
        <v>76</v>
      </c>
      <c r="C66" s="9">
        <f t="shared" si="5"/>
        <v>559913.05668212881</v>
      </c>
      <c r="D66" s="9">
        <f>'1-Input'!$B$25</f>
        <v>5465.7738181818204</v>
      </c>
      <c r="E66" s="9">
        <f>C66*'1-Input'!$B$11</f>
        <v>16797.391700463864</v>
      </c>
      <c r="F66" s="9">
        <f t="shared" si="3"/>
        <v>582176.22220077447</v>
      </c>
      <c r="G66" s="9">
        <f>'1-Input'!$B$28</f>
        <v>525000</v>
      </c>
      <c r="H66" s="13" t="str">
        <f t="shared" si="4"/>
        <v>sì</v>
      </c>
    </row>
    <row r="67" spans="1:8">
      <c r="A67" s="13">
        <f>45</f>
        <v>45</v>
      </c>
      <c r="B67" s="13">
        <f>'1-Input'!$B$5+A67</f>
        <v>77</v>
      </c>
      <c r="C67" s="9">
        <f t="shared" si="5"/>
        <v>582176.22220077447</v>
      </c>
      <c r="D67" s="9">
        <f>'1-Input'!$B$25</f>
        <v>5465.7738181818204</v>
      </c>
      <c r="E67" s="9">
        <f>C67*'1-Input'!$B$11</f>
        <v>17465.286666023232</v>
      </c>
      <c r="F67" s="9">
        <f t="shared" si="3"/>
        <v>605107.28268497949</v>
      </c>
      <c r="G67" s="9">
        <f>'1-Input'!$B$28</f>
        <v>525000</v>
      </c>
      <c r="H67" s="13" t="str">
        <f t="shared" si="4"/>
        <v>sì</v>
      </c>
    </row>
    <row r="68" spans="1:8">
      <c r="A68" s="13">
        <f>46</f>
        <v>46</v>
      </c>
      <c r="B68" s="13">
        <f>'1-Input'!$B$5+A68</f>
        <v>78</v>
      </c>
      <c r="C68" s="9">
        <f t="shared" si="5"/>
        <v>605107.28268497949</v>
      </c>
      <c r="D68" s="9">
        <f>'1-Input'!$B$25</f>
        <v>5465.7738181818204</v>
      </c>
      <c r="E68" s="9">
        <f>C68*'1-Input'!$B$11</f>
        <v>18153.218480549385</v>
      </c>
      <c r="F68" s="9">
        <f t="shared" si="3"/>
        <v>628726.27498371073</v>
      </c>
      <c r="G68" s="9">
        <f>'1-Input'!$B$28</f>
        <v>525000</v>
      </c>
      <c r="H68" s="13" t="str">
        <f t="shared" si="4"/>
        <v>sì</v>
      </c>
    </row>
    <row r="69" spans="1:8">
      <c r="A69" s="13">
        <f>47</f>
        <v>47</v>
      </c>
      <c r="B69" s="13">
        <f>'1-Input'!$B$5+A69</f>
        <v>79</v>
      </c>
      <c r="C69" s="9">
        <f t="shared" si="5"/>
        <v>628726.27498371073</v>
      </c>
      <c r="D69" s="9">
        <f>'1-Input'!$B$25</f>
        <v>5465.7738181818204</v>
      </c>
      <c r="E69" s="9">
        <f>C69*'1-Input'!$B$11</f>
        <v>18861.788249511323</v>
      </c>
      <c r="F69" s="9">
        <f t="shared" si="3"/>
        <v>653053.83705140383</v>
      </c>
      <c r="G69" s="9">
        <f>'1-Input'!$B$28</f>
        <v>525000</v>
      </c>
      <c r="H69" s="13" t="str">
        <f t="shared" si="4"/>
        <v>sì</v>
      </c>
    </row>
    <row r="70" spans="1:8">
      <c r="A70" s="13">
        <f>48</f>
        <v>48</v>
      </c>
      <c r="B70" s="13">
        <f>'1-Input'!$B$5+A70</f>
        <v>80</v>
      </c>
      <c r="C70" s="9">
        <f t="shared" si="5"/>
        <v>653053.83705140383</v>
      </c>
      <c r="D70" s="9">
        <f>'1-Input'!$B$25</f>
        <v>5465.7738181818204</v>
      </c>
      <c r="E70" s="9">
        <f>C70*'1-Input'!$B$11</f>
        <v>19591.615111542113</v>
      </c>
      <c r="F70" s="9">
        <f t="shared" si="3"/>
        <v>678111.22598112782</v>
      </c>
      <c r="G70" s="9">
        <f>'1-Input'!$B$28</f>
        <v>525000</v>
      </c>
      <c r="H70" s="13" t="str">
        <f t="shared" si="4"/>
        <v>sì</v>
      </c>
    </row>
    <row r="71" spans="1:8">
      <c r="A71" s="13">
        <f>49</f>
        <v>49</v>
      </c>
      <c r="B71" s="13">
        <f>'1-Input'!$B$5+A71</f>
        <v>81</v>
      </c>
      <c r="C71" s="9">
        <f t="shared" si="5"/>
        <v>678111.22598112782</v>
      </c>
      <c r="D71" s="9">
        <f>'1-Input'!$B$25</f>
        <v>5465.7738181818204</v>
      </c>
      <c r="E71" s="9">
        <f>C71*'1-Input'!$B$11</f>
        <v>20343.336779433834</v>
      </c>
      <c r="F71" s="9">
        <f t="shared" si="3"/>
        <v>703920.33657874353</v>
      </c>
      <c r="G71" s="9">
        <f>'1-Input'!$B$28</f>
        <v>525000</v>
      </c>
      <c r="H71" s="13" t="str">
        <f t="shared" si="4"/>
        <v>sì</v>
      </c>
    </row>
    <row r="72" spans="1:8">
      <c r="A72" s="13">
        <f>50</f>
        <v>50</v>
      </c>
      <c r="B72" s="13">
        <f>'1-Input'!$B$5+A72</f>
        <v>82</v>
      </c>
      <c r="C72" s="9">
        <f t="shared" si="5"/>
        <v>703920.33657874353</v>
      </c>
      <c r="D72" s="9">
        <f>'1-Input'!$B$25</f>
        <v>5465.7738181818204</v>
      </c>
      <c r="E72" s="9">
        <f>C72*'1-Input'!$B$11</f>
        <v>21117.610097362307</v>
      </c>
      <c r="F72" s="9">
        <f t="shared" si="3"/>
        <v>730503.72049428767</v>
      </c>
      <c r="G72" s="9">
        <f>'1-Input'!$B$28</f>
        <v>525000</v>
      </c>
      <c r="H72" s="13" t="str">
        <f t="shared" si="4"/>
        <v>sì</v>
      </c>
    </row>
    <row r="73" spans="1:8">
      <c r="A73" s="13">
        <f>51</f>
        <v>51</v>
      </c>
      <c r="B73" s="13">
        <f>'1-Input'!$B$5+A73</f>
        <v>83</v>
      </c>
      <c r="C73" s="9">
        <f t="shared" si="5"/>
        <v>730503.72049428767</v>
      </c>
      <c r="D73" s="9">
        <f>'1-Input'!$B$25</f>
        <v>5465.7738181818204</v>
      </c>
      <c r="E73" s="9">
        <f>C73*'1-Input'!$B$11</f>
        <v>21915.111614828631</v>
      </c>
      <c r="F73" s="9">
        <f t="shared" si="3"/>
        <v>757884.60592729808</v>
      </c>
      <c r="G73" s="9">
        <f>'1-Input'!$B$28</f>
        <v>525000</v>
      </c>
      <c r="H73" s="13" t="str">
        <f t="shared" si="4"/>
        <v>sì</v>
      </c>
    </row>
    <row r="74" spans="1:8">
      <c r="A74" s="13">
        <f>52</f>
        <v>52</v>
      </c>
      <c r="B74" s="13">
        <f>'1-Input'!$B$5+A74</f>
        <v>84</v>
      </c>
      <c r="C74" s="9">
        <f t="shared" si="5"/>
        <v>757884.60592729808</v>
      </c>
      <c r="D74" s="9">
        <f>'1-Input'!$B$25</f>
        <v>5465.7738181818204</v>
      </c>
      <c r="E74" s="9">
        <f>C74*'1-Input'!$B$11</f>
        <v>22736.53817781894</v>
      </c>
      <c r="F74" s="9">
        <f t="shared" si="3"/>
        <v>786086.9179232989</v>
      </c>
      <c r="G74" s="9">
        <f>'1-Input'!$B$28</f>
        <v>525000</v>
      </c>
      <c r="H74" s="13" t="str">
        <f t="shared" si="4"/>
        <v>sì</v>
      </c>
    </row>
    <row r="75" spans="1:8">
      <c r="A75" s="13">
        <f>53</f>
        <v>53</v>
      </c>
      <c r="B75" s="13">
        <f>'1-Input'!$B$5+A75</f>
        <v>85</v>
      </c>
      <c r="C75" s="9">
        <f t="shared" si="5"/>
        <v>786086.9179232989</v>
      </c>
      <c r="D75" s="9">
        <f>'1-Input'!$B$25</f>
        <v>5465.7738181818204</v>
      </c>
      <c r="E75" s="9">
        <f>C75*'1-Input'!$B$11</f>
        <v>23582.607537698965</v>
      </c>
      <c r="F75" s="9">
        <f t="shared" si="3"/>
        <v>815135.29927917966</v>
      </c>
      <c r="G75" s="9">
        <f>'1-Input'!$B$28</f>
        <v>525000</v>
      </c>
      <c r="H75" s="13" t="str">
        <f t="shared" si="4"/>
        <v>sì</v>
      </c>
    </row>
    <row r="76" spans="1:8">
      <c r="A76" s="13">
        <f>54</f>
        <v>54</v>
      </c>
      <c r="B76" s="13">
        <f>'1-Input'!$B$5+A76</f>
        <v>86</v>
      </c>
      <c r="C76" s="9">
        <f t="shared" si="5"/>
        <v>815135.29927917966</v>
      </c>
      <c r="D76" s="9">
        <f>'1-Input'!$B$25</f>
        <v>5465.7738181818204</v>
      </c>
      <c r="E76" s="9">
        <f>C76*'1-Input'!$B$11</f>
        <v>24454.058978375389</v>
      </c>
      <c r="F76" s="9">
        <f t="shared" si="3"/>
        <v>845055.13207573688</v>
      </c>
      <c r="G76" s="9">
        <f>'1-Input'!$B$28</f>
        <v>525000</v>
      </c>
      <c r="H76" s="13" t="str">
        <f t="shared" si="4"/>
        <v>sì</v>
      </c>
    </row>
    <row r="77" spans="1:8">
      <c r="A77" s="13">
        <f>55</f>
        <v>55</v>
      </c>
      <c r="B77" s="13">
        <f>'1-Input'!$B$5+A77</f>
        <v>87</v>
      </c>
      <c r="C77" s="9">
        <f t="shared" si="5"/>
        <v>845055.13207573688</v>
      </c>
      <c r="D77" s="9">
        <f>'1-Input'!$B$25</f>
        <v>5465.7738181818204</v>
      </c>
      <c r="E77" s="9">
        <f>C77*'1-Input'!$B$11</f>
        <v>25351.653962272107</v>
      </c>
      <c r="F77" s="9">
        <f t="shared" si="3"/>
        <v>875872.55985619081</v>
      </c>
      <c r="G77" s="9">
        <f>'1-Input'!$B$28</f>
        <v>525000</v>
      </c>
      <c r="H77" s="13" t="str">
        <f t="shared" si="4"/>
        <v>sì</v>
      </c>
    </row>
    <row r="78" spans="1:8">
      <c r="A78" s="13">
        <f>56</f>
        <v>56</v>
      </c>
      <c r="B78" s="13">
        <f>'1-Input'!$B$5+A78</f>
        <v>88</v>
      </c>
      <c r="C78" s="9">
        <f t="shared" si="5"/>
        <v>875872.55985619081</v>
      </c>
      <c r="D78" s="9">
        <f>'1-Input'!$B$25</f>
        <v>5465.7738181818204</v>
      </c>
      <c r="E78" s="9">
        <f>C78*'1-Input'!$B$11</f>
        <v>26276.176795685722</v>
      </c>
      <c r="F78" s="9">
        <f t="shared" si="3"/>
        <v>907614.5104700583</v>
      </c>
      <c r="G78" s="9">
        <f>'1-Input'!$B$28</f>
        <v>525000</v>
      </c>
      <c r="H78" s="13" t="str">
        <f t="shared" si="4"/>
        <v>sì</v>
      </c>
    </row>
    <row r="79" spans="1:8">
      <c r="A79" s="13">
        <f>57</f>
        <v>57</v>
      </c>
      <c r="B79" s="13">
        <f>'1-Input'!$B$5+A79</f>
        <v>89</v>
      </c>
      <c r="C79" s="9">
        <f t="shared" si="5"/>
        <v>907614.5104700583</v>
      </c>
      <c r="D79" s="9">
        <f>'1-Input'!$B$25</f>
        <v>5465.7738181818204</v>
      </c>
      <c r="E79" s="9">
        <f>C79*'1-Input'!$B$11</f>
        <v>27228.435314101749</v>
      </c>
      <c r="F79" s="9">
        <f t="shared" si="3"/>
        <v>940308.71960234188</v>
      </c>
      <c r="G79" s="9">
        <f>'1-Input'!$B$28</f>
        <v>525000</v>
      </c>
      <c r="H79" s="13" t="str">
        <f t="shared" si="4"/>
        <v>sì</v>
      </c>
    </row>
    <row r="80" spans="1:8">
      <c r="A80" s="13">
        <f>58</f>
        <v>58</v>
      </c>
      <c r="B80" s="13">
        <f>'1-Input'!$B$5+A80</f>
        <v>90</v>
      </c>
      <c r="C80" s="9">
        <f t="shared" si="5"/>
        <v>940308.71960234188</v>
      </c>
      <c r="D80" s="9">
        <f>'1-Input'!$B$25</f>
        <v>5465.7738181818204</v>
      </c>
      <c r="E80" s="9">
        <f>C80*'1-Input'!$B$11</f>
        <v>28209.261588070254</v>
      </c>
      <c r="F80" s="9">
        <f t="shared" si="3"/>
        <v>973983.75500859402</v>
      </c>
      <c r="G80" s="9">
        <f>'1-Input'!$B$28</f>
        <v>525000</v>
      </c>
      <c r="H80" s="13" t="str">
        <f t="shared" si="4"/>
        <v>sì</v>
      </c>
    </row>
    <row r="81" spans="1:8">
      <c r="A81" s="13">
        <f>59</f>
        <v>59</v>
      </c>
      <c r="B81" s="13">
        <f>'1-Input'!$B$5+A81</f>
        <v>91</v>
      </c>
      <c r="C81" s="9">
        <f t="shared" si="5"/>
        <v>973983.75500859402</v>
      </c>
      <c r="D81" s="9">
        <f>'1-Input'!$B$25</f>
        <v>5465.7738181818204</v>
      </c>
      <c r="E81" s="9">
        <f>C81*'1-Input'!$B$11</f>
        <v>29219.51265025782</v>
      </c>
      <c r="F81" s="9">
        <f t="shared" si="3"/>
        <v>1008669.0414770336</v>
      </c>
      <c r="G81" s="9">
        <f>'1-Input'!$B$28</f>
        <v>525000</v>
      </c>
      <c r="H81" s="13" t="str">
        <f t="shared" si="4"/>
        <v>sì</v>
      </c>
    </row>
    <row r="82" spans="1:8">
      <c r="A82" s="13">
        <f>60</f>
        <v>60</v>
      </c>
      <c r="B82" s="13">
        <f>'1-Input'!$B$5+A82</f>
        <v>92</v>
      </c>
      <c r="C82" s="9">
        <f t="shared" si="5"/>
        <v>1008669.0414770336</v>
      </c>
      <c r="D82" s="9">
        <f>'1-Input'!$B$25</f>
        <v>5465.7738181818204</v>
      </c>
      <c r="E82" s="9">
        <f>C82*'1-Input'!$B$11</f>
        <v>30260.07124431101</v>
      </c>
      <c r="F82" s="9">
        <f t="shared" si="3"/>
        <v>1044394.8865395265</v>
      </c>
      <c r="G82" s="9">
        <f>'1-Input'!$B$28</f>
        <v>525000</v>
      </c>
      <c r="H82" s="13" t="str">
        <f t="shared" si="4"/>
        <v>sì</v>
      </c>
    </row>
    <row r="83" spans="1:8">
      <c r="A83" s="6" t="s">
        <v>281</v>
      </c>
      <c r="B83" s="13">
        <f>IFERROR(MATCH("sì",H23:H82,0),"oltre 60 anni")</f>
        <v>42</v>
      </c>
    </row>
    <row r="84" spans="1:8" ht="30">
      <c r="A84" s="6" t="s">
        <v>282</v>
      </c>
      <c r="B84" s="13">
        <f>CEILING('6-Anni-al-FIRE'!$B$11,1)</f>
        <v>42</v>
      </c>
    </row>
    <row r="85" spans="1:8">
      <c r="A85" s="6" t="s">
        <v>153</v>
      </c>
      <c r="B85" s="13">
        <f>B83-B84</f>
        <v>0</v>
      </c>
    </row>
    <row r="86" spans="1:8" ht="30" customHeight="1">
      <c r="A86" s="40" t="s">
        <v>283</v>
      </c>
      <c r="B86" s="38"/>
      <c r="C86" s="38"/>
      <c r="D86" s="38"/>
      <c r="E86" s="38"/>
      <c r="F86" s="38"/>
      <c r="G86" s="38"/>
      <c r="H86" s="38"/>
    </row>
  </sheetData>
  <mergeCells count="10">
    <mergeCell ref="A1:H1"/>
    <mergeCell ref="A18:H18"/>
    <mergeCell ref="A3:H3"/>
    <mergeCell ref="A21:H21"/>
    <mergeCell ref="A86:H86"/>
    <mergeCell ref="A20:H20"/>
    <mergeCell ref="A2:H2"/>
    <mergeCell ref="A13:H13"/>
    <mergeCell ref="A5:H5"/>
    <mergeCell ref="A17:H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1"/>
  <sheetViews>
    <sheetView workbookViewId="0"/>
  </sheetViews>
  <sheetFormatPr defaultRowHeight="15"/>
  <cols>
    <col min="1" max="1" width="42" customWidth="1"/>
    <col min="2" max="5" width="16" customWidth="1"/>
    <col min="6" max="9" width="14" customWidth="1"/>
  </cols>
  <sheetData>
    <row r="1" spans="1:9" ht="24.95" customHeight="1">
      <c r="A1" s="39" t="s">
        <v>284</v>
      </c>
      <c r="B1" s="38"/>
      <c r="C1" s="38"/>
      <c r="D1" s="38"/>
      <c r="E1" s="38"/>
      <c r="F1" s="38"/>
      <c r="G1" s="38"/>
      <c r="H1" s="38"/>
      <c r="I1" s="38"/>
    </row>
    <row r="2" spans="1:9" ht="32.1" customHeight="1">
      <c r="A2" s="37" t="s">
        <v>1</v>
      </c>
      <c r="B2" s="38"/>
      <c r="C2" s="38"/>
      <c r="D2" s="38"/>
      <c r="E2" s="38"/>
      <c r="F2" s="38"/>
      <c r="G2" s="38"/>
      <c r="H2" s="38"/>
      <c r="I2" s="38"/>
    </row>
    <row r="3" spans="1:9" ht="30" customHeight="1">
      <c r="A3" s="40" t="s">
        <v>285</v>
      </c>
      <c r="B3" s="38"/>
      <c r="C3" s="38"/>
      <c r="D3" s="38"/>
      <c r="E3" s="38"/>
      <c r="F3" s="38"/>
      <c r="G3" s="38"/>
      <c r="H3" s="38"/>
      <c r="I3" s="38"/>
    </row>
    <row r="6" spans="1:9" ht="30">
      <c r="A6" s="15" t="s">
        <v>286</v>
      </c>
      <c r="B6" s="15" t="s">
        <v>287</v>
      </c>
      <c r="C6" s="15" t="s">
        <v>93</v>
      </c>
      <c r="D6" s="15" t="s">
        <v>126</v>
      </c>
      <c r="E6" s="15" t="s">
        <v>127</v>
      </c>
      <c r="F6" s="15" t="s">
        <v>288</v>
      </c>
      <c r="G6" s="15" t="s">
        <v>91</v>
      </c>
      <c r="H6" s="15" t="s">
        <v>289</v>
      </c>
    </row>
    <row r="7" spans="1:9">
      <c r="A7" s="6" t="s">
        <v>290</v>
      </c>
      <c r="B7" s="3" t="s">
        <v>291</v>
      </c>
      <c r="C7" s="9">
        <f>'1-Input'!$B$7</f>
        <v>21000</v>
      </c>
      <c r="D7" s="9">
        <f>'1-Input'!$B$25</f>
        <v>5465.7738181818204</v>
      </c>
      <c r="E7" s="11">
        <f>D7/'1-Input'!$B$23</f>
        <v>0.20652235055477078</v>
      </c>
      <c r="F7" s="12">
        <f>LN((('1-Input'!$B$27*C7)+D7/'1-Input'!$B$11)/('1-Input'!$B$8+D7/'1-Input'!$B$11))/LN(1+'1-Input'!$B$11)</f>
        <v>41.369738093845186</v>
      </c>
      <c r="G7" s="14">
        <f>'1-Input'!$B$5+F7</f>
        <v>73.369738093845186</v>
      </c>
      <c r="H7" s="12">
        <f>F7-'7-Scenari'!$F$7</f>
        <v>0</v>
      </c>
    </row>
    <row r="8" spans="1:9">
      <c r="A8" s="6" t="s">
        <v>292</v>
      </c>
      <c r="B8" s="11">
        <f>1</f>
        <v>1</v>
      </c>
      <c r="C8" s="9">
        <f>'1-Input'!$B$7+B8*'3-Aumento'!$B$10</f>
        <v>23785.390363636361</v>
      </c>
      <c r="D8" s="9">
        <f>'1-Input'!$B$25+(1-B8)*'3-Aumento'!$B$10</f>
        <v>5465.7738181818204</v>
      </c>
      <c r="E8" s="11">
        <f>D8/('1-Input'!$B$23+'3-Aumento'!$B$10)</f>
        <v>0.1868566250631219</v>
      </c>
      <c r="F8" s="12">
        <f>LN((('1-Input'!$B$27*C8)+D8/'1-Input'!$B$11)/('1-Input'!$B$8+D8/'1-Input'!$B$11))/LN(1+'1-Input'!$B$11)</f>
        <v>44.546967876074383</v>
      </c>
      <c r="G8" s="14">
        <f>'1-Input'!$B$5+F8</f>
        <v>76.546967876074376</v>
      </c>
      <c r="H8" s="12">
        <f>F8-'7-Scenari'!$F$7</f>
        <v>3.1772297822291975</v>
      </c>
    </row>
    <row r="9" spans="1:9">
      <c r="A9" s="6" t="s">
        <v>293</v>
      </c>
      <c r="B9" s="11">
        <f>0.5</f>
        <v>0.5</v>
      </c>
      <c r="C9" s="9">
        <f>'1-Input'!$B$7+B9*'3-Aumento'!$B$10</f>
        <v>22392.695181818181</v>
      </c>
      <c r="D9" s="9">
        <f>'1-Input'!$B$25+(1-B9)*'3-Aumento'!$B$10</f>
        <v>6858.469000000001</v>
      </c>
      <c r="E9" s="11">
        <f>D9/('1-Input'!$B$23+'3-Aumento'!$B$10)</f>
        <v>0.23446824055854365</v>
      </c>
      <c r="F9" s="12">
        <f>LN((('1-Input'!$B$27*C9)+D9/'1-Input'!$B$11)/('1-Input'!$B$8+D9/'1-Input'!$B$11))/LN(1+'1-Input'!$B$11)</f>
        <v>38.238774043662126</v>
      </c>
      <c r="G9" s="14">
        <f>'1-Input'!$B$5+F9</f>
        <v>70.238774043662119</v>
      </c>
      <c r="H9" s="12">
        <f>F9-'7-Scenari'!$F$7</f>
        <v>-3.13096405018306</v>
      </c>
    </row>
    <row r="10" spans="1:9">
      <c r="A10" s="6" t="s">
        <v>294</v>
      </c>
      <c r="B10" s="11">
        <f>0</f>
        <v>0</v>
      </c>
      <c r="C10" s="9">
        <f>'1-Input'!$B$7+B10*'3-Aumento'!$B$10</f>
        <v>21000</v>
      </c>
      <c r="D10" s="9">
        <f>'1-Input'!$B$25+(1-B10)*'3-Aumento'!$B$10</f>
        <v>8251.1641818181815</v>
      </c>
      <c r="E10" s="11">
        <f>D10/('1-Input'!$B$23+'3-Aumento'!$B$10)</f>
        <v>0.28207985605396541</v>
      </c>
      <c r="F10" s="12">
        <f>LN((('1-Input'!$B$27*C10)+D10/'1-Input'!$B$11)/('1-Input'!$B$8+D10/'1-Input'!$B$11))/LN(1+'1-Input'!$B$11)</f>
        <v>33.067004740306203</v>
      </c>
      <c r="G10" s="14">
        <f>'1-Input'!$B$5+F10</f>
        <v>65.067004740306203</v>
      </c>
      <c r="H10" s="12">
        <f>F10-'7-Scenari'!$F$7</f>
        <v>-8.3027333535389829</v>
      </c>
    </row>
    <row r="11" spans="1:9" ht="30">
      <c r="A11" s="6" t="s">
        <v>295</v>
      </c>
      <c r="B11" s="12">
        <f>'7-Scenari'!$F$8-'7-Scenari'!$F$10</f>
        <v>11.47996313576818</v>
      </c>
    </row>
    <row r="12" spans="1:9">
      <c r="A12" s="6" t="s">
        <v>296</v>
      </c>
      <c r="B12" s="9">
        <f>'1-Input'!$B$27*C8</f>
        <v>594634.75909090904</v>
      </c>
    </row>
    <row r="14" spans="1:9">
      <c r="A14" s="41" t="s">
        <v>297</v>
      </c>
      <c r="B14" s="38"/>
      <c r="C14" s="38"/>
      <c r="D14" s="38"/>
      <c r="E14" s="38"/>
      <c r="F14" s="38"/>
      <c r="G14" s="38"/>
      <c r="H14" s="38"/>
      <c r="I14" s="38"/>
    </row>
    <row r="15" spans="1:9">
      <c r="A15" s="15" t="s">
        <v>298</v>
      </c>
      <c r="B15" s="15" t="s">
        <v>299</v>
      </c>
      <c r="C15" s="15" t="s">
        <v>300</v>
      </c>
      <c r="D15" s="15" t="s">
        <v>301</v>
      </c>
      <c r="E15" s="15" t="s">
        <v>302</v>
      </c>
      <c r="F15" s="15" t="s">
        <v>303</v>
      </c>
      <c r="G15" s="15" t="s">
        <v>304</v>
      </c>
      <c r="H15" s="15" t="s">
        <v>305</v>
      </c>
      <c r="I15" s="15" t="s">
        <v>306</v>
      </c>
    </row>
    <row r="16" spans="1:9">
      <c r="A16" s="11">
        <f>'P-Parametri'!$B$28</f>
        <v>0.02</v>
      </c>
      <c r="B16" s="31">
        <f>LN(('1-Input'!$B$28+'1-Input'!$B$25/$A16)/('1-Input'!$B$8+'1-Input'!$B$25/$A16))/LN(1+$A16)</f>
        <v>49.541995433279041</v>
      </c>
      <c r="C16" s="31">
        <f>LN((('1-Input'!$B$27*('1-Input'!$B$7+'3-Aumento'!$B$10))+'1-Input'!$B$25/$A16)/('1-Input'!$B$8+'1-Input'!$B$25/$A16))/LN(1+$A16)</f>
        <v>53.765335002929973</v>
      </c>
      <c r="D16" s="31">
        <f>LN((('1-Input'!$B$27*('1-Input'!$B$7+0.5*'3-Aumento'!$B$10))+('1-Input'!$B$25+0.5*'3-Aumento'!$B$10)/$A16)/('1-Input'!$B$8+('1-Input'!$B$25+0.5*'3-Aumento'!$B$10)/$A16))/LN(1+$A16)</f>
        <v>45.188263073523558</v>
      </c>
      <c r="E16" s="31">
        <f>LN(('1-Input'!$B$28+('1-Input'!$B$25+'3-Aumento'!$B$10)/$A16)/('1-Input'!$B$8+('1-Input'!$B$25+'3-Aumento'!$B$10)/$A16))/LN(1+$A16)</f>
        <v>38.36795417681634</v>
      </c>
      <c r="F16" s="31">
        <f>C16-E16</f>
        <v>15.397380826113633</v>
      </c>
      <c r="G16" s="31">
        <f>C16-B16</f>
        <v>4.2233395696509319</v>
      </c>
      <c r="H16" s="31">
        <f>B16-E16</f>
        <v>11.174041256462701</v>
      </c>
      <c r="I16" s="11">
        <f>((('1-Input'!$B$28+'1-Input'!$B$25/$A16)/('1-Input'!$B$8+'1-Input'!$B$25/$A16))-1)/((('1-Input'!$B$28+'1-Input'!$B$25/$A16)/('1-Input'!$B$8+'1-Input'!$B$25/$A16))-1+'1-Input'!$B$27*$A16)</f>
        <v>0.76929677025137655</v>
      </c>
    </row>
    <row r="17" spans="1:9">
      <c r="A17" s="11">
        <f>'P-Parametri'!$C$28</f>
        <v>0.03</v>
      </c>
      <c r="B17" s="31">
        <f>LN(('1-Input'!$B$28+'1-Input'!$B$25/$A17)/('1-Input'!$B$8+'1-Input'!$B$25/$A17))/LN(1+$A17)</f>
        <v>41.369738093845186</v>
      </c>
      <c r="C17" s="31">
        <f>LN((('1-Input'!$B$27*('1-Input'!$B$7+'3-Aumento'!$B$10))+'1-Input'!$B$25/$A17)/('1-Input'!$B$8+'1-Input'!$B$25/$A17))/LN(1+$A17)</f>
        <v>44.546967876074383</v>
      </c>
      <c r="D17" s="31">
        <f>LN((('1-Input'!$B$27*('1-Input'!$B$7+0.5*'3-Aumento'!$B$10))+('1-Input'!$B$25+0.5*'3-Aumento'!$B$10)/$A17)/('1-Input'!$B$8+('1-Input'!$B$25+0.5*'3-Aumento'!$B$10)/$A17))/LN(1+$A17)</f>
        <v>38.238774043662126</v>
      </c>
      <c r="E17" s="31">
        <f>LN(('1-Input'!$B$28+('1-Input'!$B$25+'3-Aumento'!$B$10)/$A17)/('1-Input'!$B$8+('1-Input'!$B$25+'3-Aumento'!$B$10)/$A17))/LN(1+$A17)</f>
        <v>33.067004740306203</v>
      </c>
      <c r="F17" s="31">
        <f>C17-E17</f>
        <v>11.47996313576818</v>
      </c>
      <c r="G17" s="31">
        <f>C17-B17</f>
        <v>3.1772297822291975</v>
      </c>
      <c r="H17" s="31">
        <f>B17-E17</f>
        <v>8.3027333535389829</v>
      </c>
      <c r="I17" s="11">
        <f>((('1-Input'!$B$28+'1-Input'!$B$25/$A17)/('1-Input'!$B$8+'1-Input'!$B$25/$A17))-1)/((('1-Input'!$B$28+'1-Input'!$B$25/$A17)/('1-Input'!$B$8+'1-Input'!$B$25/$A17))-1+'1-Input'!$B$27*$A17)</f>
        <v>0.76166420951674241</v>
      </c>
    </row>
    <row r="18" spans="1:9">
      <c r="A18" s="11">
        <f>'P-Parametri'!$D$28</f>
        <v>0.04</v>
      </c>
      <c r="B18" s="31">
        <f>LN(('1-Input'!$B$28+'1-Input'!$B$25/$A18)/('1-Input'!$B$8+'1-Input'!$B$25/$A18))/LN(1+$A18)</f>
        <v>35.776052219342112</v>
      </c>
      <c r="C18" s="31">
        <f>LN((('1-Input'!$B$27*('1-Input'!$B$7+'3-Aumento'!$B$10))+'1-Input'!$B$25/$A18)/('1-Input'!$B$8+'1-Input'!$B$25/$A18))/LN(1+$A18)</f>
        <v>38.327434428941388</v>
      </c>
      <c r="D18" s="31">
        <f>LN((('1-Input'!$B$27*('1-Input'!$B$7+0.5*'3-Aumento'!$B$10))+('1-Input'!$B$25+0.5*'3-Aumento'!$B$10)/$A18)/('1-Input'!$B$8+('1-Input'!$B$25+0.5*'3-Aumento'!$B$10)/$A18))/LN(1+$A18)</f>
        <v>33.381606949200069</v>
      </c>
      <c r="E18" s="31">
        <f>LN(('1-Input'!$B$28+('1-Input'!$B$25+'3-Aumento'!$B$10)/$A18)/('1-Input'!$B$8+('1-Input'!$B$25+'3-Aumento'!$B$10)/$A18))/LN(1+$A18)</f>
        <v>29.24106731380688</v>
      </c>
      <c r="F18" s="31">
        <f>C18-E18</f>
        <v>9.0863671151345073</v>
      </c>
      <c r="G18" s="31">
        <f>C18-B18</f>
        <v>2.5513822095992751</v>
      </c>
      <c r="H18" s="31">
        <f>B18-E18</f>
        <v>6.5349849055352323</v>
      </c>
      <c r="I18" s="11">
        <f>((('1-Input'!$B$28+'1-Input'!$B$25/$A18)/('1-Input'!$B$8+'1-Input'!$B$25/$A18))-1)/((('1-Input'!$B$28+'1-Input'!$B$25/$A18)/('1-Input'!$B$8+'1-Input'!$B$25/$A18))-1+'1-Input'!$B$27*$A18)</f>
        <v>0.75418161347270352</v>
      </c>
    </row>
    <row r="19" spans="1:9" ht="30" customHeight="1">
      <c r="A19" s="40" t="s">
        <v>307</v>
      </c>
      <c r="B19" s="38"/>
      <c r="C19" s="38"/>
      <c r="D19" s="38"/>
      <c r="E19" s="38"/>
      <c r="F19" s="38"/>
      <c r="G19" s="38"/>
      <c r="H19" s="38"/>
      <c r="I19" s="38"/>
    </row>
    <row r="21" spans="1:9">
      <c r="A21" s="41" t="s">
        <v>308</v>
      </c>
      <c r="B21" s="38"/>
      <c r="C21" s="38"/>
      <c r="D21" s="38"/>
      <c r="E21" s="38"/>
      <c r="F21" s="38"/>
      <c r="G21" s="38"/>
      <c r="H21" s="38"/>
      <c r="I21" s="38"/>
    </row>
    <row r="22" spans="1:9" ht="30">
      <c r="A22" s="6" t="s">
        <v>309</v>
      </c>
      <c r="B22" s="22">
        <v>100</v>
      </c>
    </row>
    <row r="23" spans="1:9">
      <c r="A23" s="6" t="s">
        <v>310</v>
      </c>
      <c r="B23" s="9">
        <f>B22*12</f>
        <v>1200</v>
      </c>
    </row>
    <row r="24" spans="1:9">
      <c r="A24" s="15" t="s">
        <v>311</v>
      </c>
      <c r="B24" s="15" t="s">
        <v>279</v>
      </c>
      <c r="C24" s="15" t="s">
        <v>126</v>
      </c>
      <c r="D24" s="15" t="s">
        <v>288</v>
      </c>
      <c r="E24" s="15" t="s">
        <v>312</v>
      </c>
    </row>
    <row r="25" spans="1:9">
      <c r="A25" s="6" t="s">
        <v>313</v>
      </c>
      <c r="B25" s="9">
        <f>'1-Input'!$B$28</f>
        <v>525000</v>
      </c>
      <c r="C25" s="9">
        <f>'1-Input'!$B$25</f>
        <v>5465.7738181818204</v>
      </c>
      <c r="D25" s="12">
        <f>LN(('1-Input'!$B$28+'1-Input'!$B$25/'1-Input'!$B$11)/('1-Input'!$B$8+'1-Input'!$B$25/'1-Input'!$B$11))/LN(1+'1-Input'!$B$11)</f>
        <v>41.369738093845186</v>
      </c>
      <c r="E25" s="12">
        <f>D25-$D$25</f>
        <v>0</v>
      </c>
    </row>
    <row r="26" spans="1:9">
      <c r="A26" s="6" t="s">
        <v>314</v>
      </c>
      <c r="B26" s="9">
        <f>('1-Input'!$B$28+'1-Input'!$B$27*$B$23)</f>
        <v>555000</v>
      </c>
      <c r="C26" s="9">
        <f>'1-Input'!$B$25</f>
        <v>5465.7738181818204</v>
      </c>
      <c r="D26" s="12">
        <f>LN((('1-Input'!$B$28+'1-Input'!$B$27*$B$23)+'1-Input'!$B$25/'1-Input'!$B$11)/('1-Input'!$B$8+'1-Input'!$B$25/'1-Input'!$B$11))/LN(1+'1-Input'!$B$11)</f>
        <v>42.77528044220508</v>
      </c>
      <c r="E26" s="12">
        <f>D26-$D$25</f>
        <v>1.4055423483598943</v>
      </c>
    </row>
    <row r="27" spans="1:9">
      <c r="A27" s="6" t="s">
        <v>315</v>
      </c>
      <c r="B27" s="9">
        <f>'1-Input'!$B$28</f>
        <v>525000</v>
      </c>
      <c r="C27" s="9">
        <f>('1-Input'!$B$25-$B$23)</f>
        <v>4265.7738181818204</v>
      </c>
      <c r="D27" s="12">
        <f>LN(('1-Input'!$B$28+('1-Input'!$B$25-$B$23)/'1-Input'!$B$11)/('1-Input'!$B$8+('1-Input'!$B$25-$B$23)/'1-Input'!$B$11))/LN(1+'1-Input'!$B$11)</f>
        <v>46.617911548590342</v>
      </c>
      <c r="E27" s="12">
        <f>D27-$D$25</f>
        <v>5.2481734547451566</v>
      </c>
    </row>
    <row r="28" spans="1:9">
      <c r="A28" s="6" t="s">
        <v>316</v>
      </c>
      <c r="B28" s="9">
        <f>('1-Input'!$B$28+'1-Input'!$B$27*$B$23)</f>
        <v>555000</v>
      </c>
      <c r="C28" s="9">
        <f>('1-Input'!$B$25-$B$23)</f>
        <v>4265.7738181818204</v>
      </c>
      <c r="D28" s="12">
        <f>LN((('1-Input'!$B$28+'1-Input'!$B$27*$B$23)+('1-Input'!$B$25-$B$23)/'1-Input'!$B$11)/('1-Input'!$B$8+('1-Input'!$B$25-$B$23)/'1-Input'!$B$11))/LN(1+'1-Input'!$B$11)</f>
        <v>48.10589297896486</v>
      </c>
      <c r="E28" s="12">
        <f>D28-$D$25</f>
        <v>6.7361548851196744</v>
      </c>
    </row>
    <row r="29" spans="1:9" ht="30">
      <c r="A29" s="6" t="s">
        <v>317</v>
      </c>
      <c r="B29" s="12">
        <f>E28-E26-E27</f>
        <v>8.2439082014623466E-2</v>
      </c>
    </row>
    <row r="30" spans="1:9">
      <c r="A30" s="6" t="s">
        <v>318</v>
      </c>
      <c r="B30" s="23">
        <f>E27/E26</f>
        <v>3.7339134326825296</v>
      </c>
    </row>
    <row r="31" spans="1:9" ht="45" customHeight="1">
      <c r="A31" s="40" t="s">
        <v>319</v>
      </c>
      <c r="B31" s="38"/>
      <c r="C31" s="38"/>
      <c r="D31" s="38"/>
      <c r="E31" s="38"/>
      <c r="F31" s="38"/>
      <c r="G31" s="38"/>
      <c r="H31" s="38"/>
      <c r="I31" s="38"/>
    </row>
    <row r="33" spans="1:9">
      <c r="A33" s="41" t="s">
        <v>320</v>
      </c>
      <c r="B33" s="38"/>
      <c r="C33" s="38"/>
      <c r="D33" s="38"/>
      <c r="E33" s="38"/>
      <c r="F33" s="38"/>
      <c r="G33" s="38"/>
      <c r="H33" s="38"/>
      <c r="I33" s="38"/>
    </row>
    <row r="34" spans="1:9" ht="45">
      <c r="A34" s="15" t="s">
        <v>321</v>
      </c>
      <c r="B34" s="15" t="s">
        <v>322</v>
      </c>
      <c r="C34" s="15" t="s">
        <v>323</v>
      </c>
      <c r="D34" s="15" t="s">
        <v>324</v>
      </c>
    </row>
    <row r="35" spans="1:9">
      <c r="A35" s="16">
        <f>0.1</f>
        <v>0.1</v>
      </c>
      <c r="B35" s="9">
        <f>A35*'1-Input'!$B$23</f>
        <v>2646.5773818181824</v>
      </c>
      <c r="C35" s="13" t="str">
        <f>IF(B35&gt;'1-Input'!$B$25,"sì, obbliga a mettere via di più","no")</f>
        <v>no</v>
      </c>
      <c r="D35" s="12">
        <f>LN((('1-Input'!$B$27*(1-A35)*('1-Input'!$B$23+'3-Aumento'!$B$10))+(A35*('1-Input'!$B$23+'3-Aumento'!$B$10))/'1-Input'!$B$11)/('1-Input'!$B$8+(A35*('1-Input'!$B$23+'3-Aumento'!$B$10))/'1-Input'!$B$11))/LN(1+'1-Input'!$B$11)</f>
        <v>61.278276074165447</v>
      </c>
    </row>
    <row r="36" spans="1:9">
      <c r="A36" s="16">
        <f>0.15</f>
        <v>0.15</v>
      </c>
      <c r="B36" s="9">
        <f>A36*'1-Input'!$B$23</f>
        <v>3969.8660727272727</v>
      </c>
      <c r="C36" s="13" t="str">
        <f>IF(B36&gt;'1-Input'!$B$25,"sì, obbliga a mettere via di più","no")</f>
        <v>no</v>
      </c>
      <c r="D36" s="12">
        <f>LN((('1-Input'!$B$27*(1-A36)*('1-Input'!$B$23+'3-Aumento'!$B$10))+(A36*('1-Input'!$B$23+'3-Aumento'!$B$10))/'1-Input'!$B$11)/('1-Input'!$B$8+(A36*('1-Input'!$B$23+'3-Aumento'!$B$10))/'1-Input'!$B$11))/LN(1+'1-Input'!$B$11)</f>
        <v>50.56377616720188</v>
      </c>
    </row>
    <row r="37" spans="1:9">
      <c r="A37" s="16">
        <f>0.2</f>
        <v>0.2</v>
      </c>
      <c r="B37" s="9">
        <f>A37*'1-Input'!$B$23</f>
        <v>5293.1547636363648</v>
      </c>
      <c r="C37" s="13" t="str">
        <f>IF(B37&gt;'1-Input'!$B$25,"sì, obbliga a mettere via di più","no")</f>
        <v>no</v>
      </c>
      <c r="D37" s="12">
        <f>LN((('1-Input'!$B$27*(1-A37)*('1-Input'!$B$23+'3-Aumento'!$B$10))+(A37*('1-Input'!$B$23+'3-Aumento'!$B$10))/'1-Input'!$B$11)/('1-Input'!$B$8+(A37*('1-Input'!$B$23+'3-Aumento'!$B$10))/'1-Input'!$B$11))/LN(1+'1-Input'!$B$11)</f>
        <v>42.66532487229464</v>
      </c>
    </row>
    <row r="38" spans="1:9">
      <c r="A38" s="16">
        <f>0.25</f>
        <v>0.25</v>
      </c>
      <c r="B38" s="9">
        <f>A38*'1-Input'!$B$23</f>
        <v>6616.4434545454551</v>
      </c>
      <c r="C38" s="13" t="str">
        <f>IF(B38&gt;'1-Input'!$B$25,"sì, obbliga a mettere via di più","no")</f>
        <v>sì, obbliga a mettere via di più</v>
      </c>
      <c r="D38" s="12">
        <f>LN((('1-Input'!$B$27*(1-A38)*('1-Input'!$B$23+'3-Aumento'!$B$10))+(A38*('1-Input'!$B$23+'3-Aumento'!$B$10))/'1-Input'!$B$11)/('1-Input'!$B$8+(A38*('1-Input'!$B$23+'3-Aumento'!$B$10))/'1-Input'!$B$11))/LN(1+'1-Input'!$B$11)</f>
        <v>36.446210823499648</v>
      </c>
    </row>
    <row r="39" spans="1:9" ht="45" customHeight="1">
      <c r="A39" s="40" t="s">
        <v>325</v>
      </c>
      <c r="B39" s="38"/>
      <c r="C39" s="38"/>
      <c r="D39" s="38"/>
      <c r="E39" s="38"/>
      <c r="F39" s="38"/>
      <c r="G39" s="38"/>
      <c r="H39" s="38"/>
      <c r="I39" s="38"/>
    </row>
    <row r="40" spans="1:9">
      <c r="A40" s="6" t="s">
        <v>326</v>
      </c>
    </row>
    <row r="41" spans="1:9" ht="30" customHeight="1">
      <c r="A41" s="40" t="s">
        <v>327</v>
      </c>
      <c r="B41" s="38"/>
      <c r="C41" s="38"/>
      <c r="D41" s="38"/>
      <c r="E41" s="38"/>
      <c r="F41" s="38"/>
      <c r="G41" s="38"/>
      <c r="H41" s="38"/>
      <c r="I41" s="38"/>
    </row>
  </sheetData>
  <mergeCells count="10">
    <mergeCell ref="A1:I1"/>
    <mergeCell ref="A31:I31"/>
    <mergeCell ref="A3:I3"/>
    <mergeCell ref="A39:I39"/>
    <mergeCell ref="A21:I21"/>
    <mergeCell ref="A41:I41"/>
    <mergeCell ref="A19:I19"/>
    <mergeCell ref="A2:I2"/>
    <mergeCell ref="A33:I33"/>
    <mergeCell ref="A14:I14"/>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3"/>
  <sheetViews>
    <sheetView workbookViewId="0"/>
  </sheetViews>
  <sheetFormatPr defaultRowHeight="15"/>
  <cols>
    <col min="1" max="1" width="44" customWidth="1"/>
    <col min="2" max="5" width="16" customWidth="1"/>
    <col min="6" max="7" width="18" customWidth="1"/>
    <col min="8" max="8" width="16" customWidth="1"/>
  </cols>
  <sheetData>
    <row r="1" spans="1:8" ht="24.95" customHeight="1">
      <c r="A1" s="39" t="s">
        <v>328</v>
      </c>
      <c r="B1" s="38"/>
      <c r="C1" s="38"/>
      <c r="D1" s="38"/>
      <c r="E1" s="38"/>
      <c r="F1" s="38"/>
      <c r="G1" s="38"/>
      <c r="H1" s="38"/>
    </row>
    <row r="2" spans="1:8" ht="32.1" customHeight="1">
      <c r="A2" s="37" t="s">
        <v>1</v>
      </c>
      <c r="B2" s="38"/>
      <c r="C2" s="38"/>
      <c r="D2" s="38"/>
      <c r="E2" s="38"/>
      <c r="F2" s="38"/>
      <c r="G2" s="38"/>
      <c r="H2" s="38"/>
    </row>
    <row r="3" spans="1:8" ht="45" customHeight="1">
      <c r="A3" s="40" t="s">
        <v>329</v>
      </c>
      <c r="B3" s="38"/>
      <c r="C3" s="38"/>
      <c r="D3" s="38"/>
      <c r="E3" s="38"/>
      <c r="F3" s="38"/>
      <c r="G3" s="38"/>
      <c r="H3" s="38"/>
    </row>
    <row r="5" spans="1:8">
      <c r="A5" s="41" t="s">
        <v>330</v>
      </c>
      <c r="B5" s="38"/>
      <c r="C5" s="38"/>
      <c r="D5" s="38"/>
      <c r="E5" s="38"/>
      <c r="F5" s="38"/>
      <c r="G5" s="38"/>
      <c r="H5" s="38"/>
    </row>
    <row r="6" spans="1:8">
      <c r="A6" s="6" t="s">
        <v>262</v>
      </c>
      <c r="B6" s="9">
        <f>'1-Input'!$B$25/'1-Input'!$B$11</f>
        <v>182192.46060606069</v>
      </c>
    </row>
    <row r="7" spans="1:8">
      <c r="A7" s="6" t="s">
        <v>331</v>
      </c>
      <c r="B7" s="12">
        <f>'1-Input'!$B$27*'1-Input'!$B$11</f>
        <v>0.75</v>
      </c>
    </row>
    <row r="8" spans="1:8">
      <c r="A8" s="6" t="s">
        <v>332</v>
      </c>
      <c r="B8" s="30">
        <f>('1-Input'!$B$28+B6)/('1-Input'!$B$8+B6)</f>
        <v>3.3968207040129177</v>
      </c>
    </row>
    <row r="9" spans="1:8" ht="15.75">
      <c r="A9" s="32" t="s">
        <v>333</v>
      </c>
      <c r="B9" s="11">
        <f>(B8-1)/(B8-1+B7)</f>
        <v>0.76166420951674241</v>
      </c>
    </row>
    <row r="10" spans="1:8">
      <c r="A10" s="6" t="s">
        <v>334</v>
      </c>
      <c r="B10" s="30">
        <f>LN(('1-Input'!$B$28+'1-Input'!$B$25/'1-Input'!$B$11)/('1-Input'!$B$8+'1-Input'!$B$25/'1-Input'!$B$11))/LN(1+'1-Input'!$B$11)</f>
        <v>41.369738093845186</v>
      </c>
    </row>
    <row r="12" spans="1:8">
      <c r="A12" s="41" t="s">
        <v>335</v>
      </c>
      <c r="B12" s="38"/>
      <c r="C12" s="38"/>
      <c r="D12" s="38"/>
      <c r="E12" s="38"/>
      <c r="F12" s="38"/>
      <c r="G12" s="38"/>
      <c r="H12" s="38"/>
    </row>
    <row r="13" spans="1:8" ht="45" customHeight="1">
      <c r="A13" s="40" t="s">
        <v>336</v>
      </c>
      <c r="B13" s="38"/>
      <c r="C13" s="38"/>
      <c r="D13" s="38"/>
      <c r="E13" s="38"/>
      <c r="F13" s="38"/>
      <c r="G13" s="38"/>
      <c r="H13" s="38"/>
    </row>
    <row r="14" spans="1:8" ht="30">
      <c r="A14" s="15" t="s">
        <v>337</v>
      </c>
      <c r="B14" s="15" t="s">
        <v>338</v>
      </c>
      <c r="C14" s="15" t="s">
        <v>339</v>
      </c>
      <c r="D14" s="15" t="s">
        <v>340</v>
      </c>
      <c r="E14" s="15" t="s">
        <v>341</v>
      </c>
      <c r="F14" s="15" t="s">
        <v>342</v>
      </c>
      <c r="G14" s="15" t="s">
        <v>343</v>
      </c>
    </row>
    <row r="15" spans="1:8">
      <c r="A15" s="17">
        <f>1000</f>
        <v>1000</v>
      </c>
      <c r="B15" s="9">
        <f>(('1-Input'!$B$6+$A15)*(1-'P-Parametri'!$B$19))-(MAX(0,(IF((('1-Input'!$B$6+$A15)*(1-'P-Parametri'!$B$19))&lt;='P-Parametri'!$B$6,'P-Parametri'!$C$6*(('1-Input'!$B$6+$A15)*(1-'P-Parametri'!$B$19)),IF((('1-Input'!$B$6+$A15)*(1-'P-Parametri'!$B$19))&lt;='P-Parametri'!$B$7,'P-Parametri'!$B$9+'P-Parametri'!$C$7*((('1-Input'!$B$6+$A15)*(1-'P-Parametri'!$B$19))-'P-Parametri'!$B$6),'P-Parametri'!$B$10+'P-Parametri'!$C$8*((('1-Input'!$B$6+$A15)*(1-'P-Parametri'!$B$19))-'P-Parametri'!$B$7))))-(IF((('1-Input'!$B$6+$A15)*(1-'P-Parametri'!$B$19))&lt;='P-Parametri'!$C$12,'P-Parametri'!$B$12,IF((('1-Input'!$B$6+$A15)*(1-'P-Parametri'!$B$19))&lt;='P-Parametri'!$B$6,'P-Parametri'!$B$13+'P-Parametri'!$C$13*('P-Parametri'!$B$6-(('1-Input'!$B$6+$A15)*(1-'P-Parametri'!$B$19)))/'P-Parametri'!$D$13,IF((('1-Input'!$B$6+$A15)*(1-'P-Parametri'!$B$19))&lt;='P-Parametri'!$B$7,'P-Parametri'!$B$14*('P-Parametri'!$B$7-(('1-Input'!$B$6+$A15)*(1-'P-Parametri'!$B$19)))/'P-Parametri'!$C$14,0))))-(IF((('1-Input'!$B$6+$A15)*(1-'P-Parametri'!$B$19))&lt;='P-Parametri'!$C$15,0,IF((('1-Input'!$B$6+$A15)*(1-'P-Parametri'!$B$19))&lt;='P-Parametri'!$D$15,'P-Parametri'!$B$15,IF((('1-Input'!$B$6+$A15)*(1-'P-Parametri'!$B$19))&lt;'P-Parametri'!$E$15,'P-Parametri'!$B$15*('P-Parametri'!$E$15-(('1-Input'!$B$6+$A15)*(1-'P-Parametri'!$B$19)))/('P-Parametri'!$E$15-'P-Parametri'!$D$15),0))))))-(IF(MAX(0,(IF((('1-Input'!$B$6+$A15)*(1-'P-Parametri'!$B$19))&lt;='P-Parametri'!$B$6,'P-Parametri'!$C$6*(('1-Input'!$B$6+$A15)*(1-'P-Parametri'!$B$19)),IF((('1-Input'!$B$6+$A15)*(1-'P-Parametri'!$B$19))&lt;='P-Parametri'!$B$7,'P-Parametri'!$B$9+'P-Parametri'!$C$7*((('1-Input'!$B$6+$A15)*(1-'P-Parametri'!$B$19))-'P-Parametri'!$B$6),'P-Parametri'!$B$10+'P-Parametri'!$C$8*((('1-Input'!$B$6+$A15)*(1-'P-Parametri'!$B$19))-'P-Parametri'!$B$7))))-(IF((('1-Input'!$B$6+$A15)*(1-'P-Parametri'!$B$19))&lt;='P-Parametri'!$C$12,'P-Parametri'!$B$12,IF((('1-Input'!$B$6+$A15)*(1-'P-Parametri'!$B$19))&lt;='P-Parametri'!$B$6,'P-Parametri'!$B$13+'P-Parametri'!$C$13*('P-Parametri'!$B$6-(('1-Input'!$B$6+$A15)*(1-'P-Parametri'!$B$19)))/'P-Parametri'!$D$13,IF((('1-Input'!$B$6+$A15)*(1-'P-Parametri'!$B$19))&lt;='P-Parametri'!$B$7,'P-Parametri'!$B$14*('P-Parametri'!$B$7-(('1-Input'!$B$6+$A15)*(1-'P-Parametri'!$B$19)))/'P-Parametri'!$C$14,0))))-(IF((('1-Input'!$B$6+$A15)*(1-'P-Parametri'!$B$19))&lt;='P-Parametri'!$C$15,0,IF((('1-Input'!$B$6+$A15)*(1-'P-Parametri'!$B$19))&lt;='P-Parametri'!$D$15,'P-Parametri'!$B$15,IF((('1-Input'!$B$6+$A15)*(1-'P-Parametri'!$B$19))&lt;'P-Parametri'!$E$15,'P-Parametri'!$B$15*('P-Parametri'!$E$15-(('1-Input'!$B$6+$A15)*(1-'P-Parametri'!$B$19)))/('P-Parametri'!$E$15-'P-Parametri'!$D$15),0)))))&gt;0,'P-Parametri'!$B$20*(('1-Input'!$B$6+$A15)*(1-'P-Parametri'!$B$19)),0))+(IF(AND((('1-Input'!$B$6+$A15)*(1-'P-Parametri'!$B$19))&lt;='P-Parametri'!$C$16,(IF((('1-Input'!$B$6+$A15)*(1-'P-Parametri'!$B$19))&lt;='P-Parametri'!$B$6,'P-Parametri'!$C$6*(('1-Input'!$B$6+$A15)*(1-'P-Parametri'!$B$19)),IF((('1-Input'!$B$6+$A15)*(1-'P-Parametri'!$B$19))&lt;='P-Parametri'!$B$7,'P-Parametri'!$B$9+'P-Parametri'!$C$7*((('1-Input'!$B$6+$A15)*(1-'P-Parametri'!$B$19))-'P-Parametri'!$B$6),'P-Parametri'!$B$10+'P-Parametri'!$C$8*((('1-Input'!$B$6+$A15)*(1-'P-Parametri'!$B$19))-'P-Parametri'!$B$7))))&gt;(IF((('1-Input'!$B$6+$A15)*(1-'P-Parametri'!$B$19))&lt;='P-Parametri'!$C$12,'P-Parametri'!$B$12,IF((('1-Input'!$B$6+$A15)*(1-'P-Parametri'!$B$19))&lt;='P-Parametri'!$B$6,'P-Parametri'!$B$13+'P-Parametri'!$C$13*('P-Parametri'!$B$6-(('1-Input'!$B$6+$A15)*(1-'P-Parametri'!$B$19)))/'P-Parametri'!$D$13,IF((('1-Input'!$B$6+$A15)*(1-'P-Parametri'!$B$19))&lt;='P-Parametri'!$B$7,'P-Parametri'!$B$14*('P-Parametri'!$B$7-(('1-Input'!$B$6+$A15)*(1-'P-Parametri'!$B$19)))/'P-Parametri'!$C$14,0))))-'P-Parametri'!$D$16),'P-Parametri'!$B$16,0))+(IF((('1-Input'!$B$6+$A15)*(1-'P-Parametri'!$B$19))&gt;'P-Parametri'!$D$18,0,IF((('1-Input'!$B$6+$A15)*(1-'P-Parametri'!$B$19))&lt;='P-Parametri'!$B$18,'P-Parametri'!$B$17*(('1-Input'!$B$6+$A15)*(1-'P-Parametri'!$B$19)),IF((('1-Input'!$B$6+$A15)*(1-'P-Parametri'!$B$19))&lt;='P-Parametri'!$C$18,'P-Parametri'!$C$17*(('1-Input'!$B$6+$A15)*(1-'P-Parametri'!$B$19)),'P-Parametri'!$D$17*(('1-Input'!$B$6+$A15)*(1-'P-Parametri'!$B$19))))))-'1-Input'!$B$23</f>
        <v>397.91290909090458</v>
      </c>
      <c r="C15" s="11">
        <f t="shared" ref="C15:C21" si="0">1-B15/A15</f>
        <v>0.6020870909090954</v>
      </c>
      <c r="D15" s="12">
        <f>LN((('1-Input'!$B$27*('1-Input'!$B$7+0.75*B15))+('1-Input'!$B$25+0.25*B15)/'1-Input'!$B$11)/('1-Input'!$B$8+('1-Input'!$B$25+0.25*B15)/'1-Input'!$B$11))/LN(1+'1-Input'!$B$11)</f>
        <v>41.346805446453189</v>
      </c>
      <c r="E15" s="30">
        <f>LN((('1-Input'!$B$27*('1-Input'!$B$7+'8-Soglia-q'!$B$9*B15))+('1-Input'!$B$25+(1-'8-Soglia-q'!$B$9)*B15)/'1-Input'!$B$11)/('1-Input'!$B$8+('1-Input'!$B$25+(1-'8-Soglia-q'!$B$9)*B15)/'1-Input'!$B$11))/LN(1+'1-Input'!$B$11)</f>
        <v>41.369738093845186</v>
      </c>
      <c r="F15" s="30">
        <f>E15-'8-Soglia-q'!$B$10</f>
        <v>0</v>
      </c>
      <c r="G15" s="21">
        <f>('8-Soglia-q'!$B$8*'1-Input'!$B$8+'8-Soglia-q'!$B$8*('1-Input'!$B$25/'1-Input'!$B$11)-'1-Input'!$B$28-('1-Input'!$B$25/'1-Input'!$B$11)+('8-Soglia-q'!$B$8-1)*B15/'1-Input'!$B$11)/(B15*('1-Input'!$B$27-1/'1-Input'!$B$11+'8-Soglia-q'!$B$8/'1-Input'!$B$11))</f>
        <v>0.7616642095167423</v>
      </c>
    </row>
    <row r="16" spans="1:8">
      <c r="A16" s="17">
        <f>2000</f>
        <v>2000</v>
      </c>
      <c r="B16" s="9">
        <f>(('1-Input'!$B$6+$A16)*(1-'P-Parametri'!$B$19))-(MAX(0,(IF((('1-Input'!$B$6+$A16)*(1-'P-Parametri'!$B$19))&lt;='P-Parametri'!$B$6,'P-Parametri'!$C$6*(('1-Input'!$B$6+$A16)*(1-'P-Parametri'!$B$19)),IF((('1-Input'!$B$6+$A16)*(1-'P-Parametri'!$B$19))&lt;='P-Parametri'!$B$7,'P-Parametri'!$B$9+'P-Parametri'!$C$7*((('1-Input'!$B$6+$A16)*(1-'P-Parametri'!$B$19))-'P-Parametri'!$B$6),'P-Parametri'!$B$10+'P-Parametri'!$C$8*((('1-Input'!$B$6+$A16)*(1-'P-Parametri'!$B$19))-'P-Parametri'!$B$7))))-(IF((('1-Input'!$B$6+$A16)*(1-'P-Parametri'!$B$19))&lt;='P-Parametri'!$C$12,'P-Parametri'!$B$12,IF((('1-Input'!$B$6+$A16)*(1-'P-Parametri'!$B$19))&lt;='P-Parametri'!$B$6,'P-Parametri'!$B$13+'P-Parametri'!$C$13*('P-Parametri'!$B$6-(('1-Input'!$B$6+$A16)*(1-'P-Parametri'!$B$19)))/'P-Parametri'!$D$13,IF((('1-Input'!$B$6+$A16)*(1-'P-Parametri'!$B$19))&lt;='P-Parametri'!$B$7,'P-Parametri'!$B$14*('P-Parametri'!$B$7-(('1-Input'!$B$6+$A16)*(1-'P-Parametri'!$B$19)))/'P-Parametri'!$C$14,0))))-(IF((('1-Input'!$B$6+$A16)*(1-'P-Parametri'!$B$19))&lt;='P-Parametri'!$C$15,0,IF((('1-Input'!$B$6+$A16)*(1-'P-Parametri'!$B$19))&lt;='P-Parametri'!$D$15,'P-Parametri'!$B$15,IF((('1-Input'!$B$6+$A16)*(1-'P-Parametri'!$B$19))&lt;'P-Parametri'!$E$15,'P-Parametri'!$B$15*('P-Parametri'!$E$15-(('1-Input'!$B$6+$A16)*(1-'P-Parametri'!$B$19)))/('P-Parametri'!$E$15-'P-Parametri'!$D$15),0))))))-(IF(MAX(0,(IF((('1-Input'!$B$6+$A16)*(1-'P-Parametri'!$B$19))&lt;='P-Parametri'!$B$6,'P-Parametri'!$C$6*(('1-Input'!$B$6+$A16)*(1-'P-Parametri'!$B$19)),IF((('1-Input'!$B$6+$A16)*(1-'P-Parametri'!$B$19))&lt;='P-Parametri'!$B$7,'P-Parametri'!$B$9+'P-Parametri'!$C$7*((('1-Input'!$B$6+$A16)*(1-'P-Parametri'!$B$19))-'P-Parametri'!$B$6),'P-Parametri'!$B$10+'P-Parametri'!$C$8*((('1-Input'!$B$6+$A16)*(1-'P-Parametri'!$B$19))-'P-Parametri'!$B$7))))-(IF((('1-Input'!$B$6+$A16)*(1-'P-Parametri'!$B$19))&lt;='P-Parametri'!$C$12,'P-Parametri'!$B$12,IF((('1-Input'!$B$6+$A16)*(1-'P-Parametri'!$B$19))&lt;='P-Parametri'!$B$6,'P-Parametri'!$B$13+'P-Parametri'!$C$13*('P-Parametri'!$B$6-(('1-Input'!$B$6+$A16)*(1-'P-Parametri'!$B$19)))/'P-Parametri'!$D$13,IF((('1-Input'!$B$6+$A16)*(1-'P-Parametri'!$B$19))&lt;='P-Parametri'!$B$7,'P-Parametri'!$B$14*('P-Parametri'!$B$7-(('1-Input'!$B$6+$A16)*(1-'P-Parametri'!$B$19)))/'P-Parametri'!$C$14,0))))-(IF((('1-Input'!$B$6+$A16)*(1-'P-Parametri'!$B$19))&lt;='P-Parametri'!$C$15,0,IF((('1-Input'!$B$6+$A16)*(1-'P-Parametri'!$B$19))&lt;='P-Parametri'!$D$15,'P-Parametri'!$B$15,IF((('1-Input'!$B$6+$A16)*(1-'P-Parametri'!$B$19))&lt;'P-Parametri'!$E$15,'P-Parametri'!$B$15*('P-Parametri'!$E$15-(('1-Input'!$B$6+$A16)*(1-'P-Parametri'!$B$19)))/('P-Parametri'!$E$15-'P-Parametri'!$D$15),0)))))&gt;0,'P-Parametri'!$B$20*(('1-Input'!$B$6+$A16)*(1-'P-Parametri'!$B$19)),0))+(IF(AND((('1-Input'!$B$6+$A16)*(1-'P-Parametri'!$B$19))&lt;='P-Parametri'!$C$16,(IF((('1-Input'!$B$6+$A16)*(1-'P-Parametri'!$B$19))&lt;='P-Parametri'!$B$6,'P-Parametri'!$C$6*(('1-Input'!$B$6+$A16)*(1-'P-Parametri'!$B$19)),IF((('1-Input'!$B$6+$A16)*(1-'P-Parametri'!$B$19))&lt;='P-Parametri'!$B$7,'P-Parametri'!$B$9+'P-Parametri'!$C$7*((('1-Input'!$B$6+$A16)*(1-'P-Parametri'!$B$19))-'P-Parametri'!$B$6),'P-Parametri'!$B$10+'P-Parametri'!$C$8*((('1-Input'!$B$6+$A16)*(1-'P-Parametri'!$B$19))-'P-Parametri'!$B$7))))&gt;(IF((('1-Input'!$B$6+$A16)*(1-'P-Parametri'!$B$19))&lt;='P-Parametri'!$C$12,'P-Parametri'!$B$12,IF((('1-Input'!$B$6+$A16)*(1-'P-Parametri'!$B$19))&lt;='P-Parametri'!$B$6,'P-Parametri'!$B$13+'P-Parametri'!$C$13*('P-Parametri'!$B$6-(('1-Input'!$B$6+$A16)*(1-'P-Parametri'!$B$19)))/'P-Parametri'!$D$13,IF((('1-Input'!$B$6+$A16)*(1-'P-Parametri'!$B$19))&lt;='P-Parametri'!$B$7,'P-Parametri'!$B$14*('P-Parametri'!$B$7-(('1-Input'!$B$6+$A16)*(1-'P-Parametri'!$B$19)))/'P-Parametri'!$C$14,0))))-'P-Parametri'!$D$16),'P-Parametri'!$B$16,0))+(IF((('1-Input'!$B$6+$A16)*(1-'P-Parametri'!$B$19))&gt;'P-Parametri'!$D$18,0,IF((('1-Input'!$B$6+$A16)*(1-'P-Parametri'!$B$19))&lt;='P-Parametri'!$B$18,'P-Parametri'!$B$17*(('1-Input'!$B$6+$A16)*(1-'P-Parametri'!$B$19)),IF((('1-Input'!$B$6+$A16)*(1-'P-Parametri'!$B$19))&lt;='P-Parametri'!$C$18,'P-Parametri'!$C$17*(('1-Input'!$B$6+$A16)*(1-'P-Parametri'!$B$19)),'P-Parametri'!$D$17*(('1-Input'!$B$6+$A16)*(1-'P-Parametri'!$B$19))))))-'1-Input'!$B$23</f>
        <v>795.82581818182007</v>
      </c>
      <c r="C16" s="11">
        <f t="shared" si="0"/>
        <v>0.60208709090908996</v>
      </c>
      <c r="D16" s="12">
        <f>LN((('1-Input'!$B$27*('1-Input'!$B$7+0.75*B16))+('1-Input'!$B$25+0.25*B16)/'1-Input'!$B$11)/('1-Input'!$B$8+('1-Input'!$B$25+0.25*B16)/'1-Input'!$B$11))/LN(1+'1-Input'!$B$11)</f>
        <v>41.324565914463385</v>
      </c>
      <c r="E16" s="30">
        <f>LN((('1-Input'!$B$27*('1-Input'!$B$7+'8-Soglia-q'!$B$9*B16))+('1-Input'!$B$25+(1-'8-Soglia-q'!$B$9)*B16)/'1-Input'!$B$11)/('1-Input'!$B$8+('1-Input'!$B$25+(1-'8-Soglia-q'!$B$9)*B16)/'1-Input'!$B$11))/LN(1+'1-Input'!$B$11)</f>
        <v>41.369738093845186</v>
      </c>
      <c r="F16" s="30">
        <f>E16-'8-Soglia-q'!$B$10</f>
        <v>0</v>
      </c>
      <c r="G16" s="21">
        <f>('8-Soglia-q'!$B$8*'1-Input'!$B$8+'8-Soglia-q'!$B$8*('1-Input'!$B$25/'1-Input'!$B$11)-'1-Input'!$B$28-('1-Input'!$B$25/'1-Input'!$B$11)+('8-Soglia-q'!$B$8-1)*B16/'1-Input'!$B$11)/(B16*('1-Input'!$B$27-1/'1-Input'!$B$11+'8-Soglia-q'!$B$8/'1-Input'!$B$11))</f>
        <v>0.76166420951674241</v>
      </c>
    </row>
    <row r="17" spans="1:8">
      <c r="A17" s="17">
        <f>3000</f>
        <v>3000</v>
      </c>
      <c r="B17" s="9">
        <f>(('1-Input'!$B$6+$A17)*(1-'P-Parametri'!$B$19))-(MAX(0,(IF((('1-Input'!$B$6+$A17)*(1-'P-Parametri'!$B$19))&lt;='P-Parametri'!$B$6,'P-Parametri'!$C$6*(('1-Input'!$B$6+$A17)*(1-'P-Parametri'!$B$19)),IF((('1-Input'!$B$6+$A17)*(1-'P-Parametri'!$B$19))&lt;='P-Parametri'!$B$7,'P-Parametri'!$B$9+'P-Parametri'!$C$7*((('1-Input'!$B$6+$A17)*(1-'P-Parametri'!$B$19))-'P-Parametri'!$B$6),'P-Parametri'!$B$10+'P-Parametri'!$C$8*((('1-Input'!$B$6+$A17)*(1-'P-Parametri'!$B$19))-'P-Parametri'!$B$7))))-(IF((('1-Input'!$B$6+$A17)*(1-'P-Parametri'!$B$19))&lt;='P-Parametri'!$C$12,'P-Parametri'!$B$12,IF((('1-Input'!$B$6+$A17)*(1-'P-Parametri'!$B$19))&lt;='P-Parametri'!$B$6,'P-Parametri'!$B$13+'P-Parametri'!$C$13*('P-Parametri'!$B$6-(('1-Input'!$B$6+$A17)*(1-'P-Parametri'!$B$19)))/'P-Parametri'!$D$13,IF((('1-Input'!$B$6+$A17)*(1-'P-Parametri'!$B$19))&lt;='P-Parametri'!$B$7,'P-Parametri'!$B$14*('P-Parametri'!$B$7-(('1-Input'!$B$6+$A17)*(1-'P-Parametri'!$B$19)))/'P-Parametri'!$C$14,0))))-(IF((('1-Input'!$B$6+$A17)*(1-'P-Parametri'!$B$19))&lt;='P-Parametri'!$C$15,0,IF((('1-Input'!$B$6+$A17)*(1-'P-Parametri'!$B$19))&lt;='P-Parametri'!$D$15,'P-Parametri'!$B$15,IF((('1-Input'!$B$6+$A17)*(1-'P-Parametri'!$B$19))&lt;'P-Parametri'!$E$15,'P-Parametri'!$B$15*('P-Parametri'!$E$15-(('1-Input'!$B$6+$A17)*(1-'P-Parametri'!$B$19)))/('P-Parametri'!$E$15-'P-Parametri'!$D$15),0))))))-(IF(MAX(0,(IF((('1-Input'!$B$6+$A17)*(1-'P-Parametri'!$B$19))&lt;='P-Parametri'!$B$6,'P-Parametri'!$C$6*(('1-Input'!$B$6+$A17)*(1-'P-Parametri'!$B$19)),IF((('1-Input'!$B$6+$A17)*(1-'P-Parametri'!$B$19))&lt;='P-Parametri'!$B$7,'P-Parametri'!$B$9+'P-Parametri'!$C$7*((('1-Input'!$B$6+$A17)*(1-'P-Parametri'!$B$19))-'P-Parametri'!$B$6),'P-Parametri'!$B$10+'P-Parametri'!$C$8*((('1-Input'!$B$6+$A17)*(1-'P-Parametri'!$B$19))-'P-Parametri'!$B$7))))-(IF((('1-Input'!$B$6+$A17)*(1-'P-Parametri'!$B$19))&lt;='P-Parametri'!$C$12,'P-Parametri'!$B$12,IF((('1-Input'!$B$6+$A17)*(1-'P-Parametri'!$B$19))&lt;='P-Parametri'!$B$6,'P-Parametri'!$B$13+'P-Parametri'!$C$13*('P-Parametri'!$B$6-(('1-Input'!$B$6+$A17)*(1-'P-Parametri'!$B$19)))/'P-Parametri'!$D$13,IF((('1-Input'!$B$6+$A17)*(1-'P-Parametri'!$B$19))&lt;='P-Parametri'!$B$7,'P-Parametri'!$B$14*('P-Parametri'!$B$7-(('1-Input'!$B$6+$A17)*(1-'P-Parametri'!$B$19)))/'P-Parametri'!$C$14,0))))-(IF((('1-Input'!$B$6+$A17)*(1-'P-Parametri'!$B$19))&lt;='P-Parametri'!$C$15,0,IF((('1-Input'!$B$6+$A17)*(1-'P-Parametri'!$B$19))&lt;='P-Parametri'!$D$15,'P-Parametri'!$B$15,IF((('1-Input'!$B$6+$A17)*(1-'P-Parametri'!$B$19))&lt;'P-Parametri'!$E$15,'P-Parametri'!$B$15*('P-Parametri'!$E$15-(('1-Input'!$B$6+$A17)*(1-'P-Parametri'!$B$19)))/('P-Parametri'!$E$15-'P-Parametri'!$D$15),0)))))&gt;0,'P-Parametri'!$B$20*(('1-Input'!$B$6+$A17)*(1-'P-Parametri'!$B$19)),0))+(IF(AND((('1-Input'!$B$6+$A17)*(1-'P-Parametri'!$B$19))&lt;='P-Parametri'!$C$16,(IF((('1-Input'!$B$6+$A17)*(1-'P-Parametri'!$B$19))&lt;='P-Parametri'!$B$6,'P-Parametri'!$C$6*(('1-Input'!$B$6+$A17)*(1-'P-Parametri'!$B$19)),IF((('1-Input'!$B$6+$A17)*(1-'P-Parametri'!$B$19))&lt;='P-Parametri'!$B$7,'P-Parametri'!$B$9+'P-Parametri'!$C$7*((('1-Input'!$B$6+$A17)*(1-'P-Parametri'!$B$19))-'P-Parametri'!$B$6),'P-Parametri'!$B$10+'P-Parametri'!$C$8*((('1-Input'!$B$6+$A17)*(1-'P-Parametri'!$B$19))-'P-Parametri'!$B$7))))&gt;(IF((('1-Input'!$B$6+$A17)*(1-'P-Parametri'!$B$19))&lt;='P-Parametri'!$C$12,'P-Parametri'!$B$12,IF((('1-Input'!$B$6+$A17)*(1-'P-Parametri'!$B$19))&lt;='P-Parametri'!$B$6,'P-Parametri'!$B$13+'P-Parametri'!$C$13*('P-Parametri'!$B$6-(('1-Input'!$B$6+$A17)*(1-'P-Parametri'!$B$19)))/'P-Parametri'!$D$13,IF((('1-Input'!$B$6+$A17)*(1-'P-Parametri'!$B$19))&lt;='P-Parametri'!$B$7,'P-Parametri'!$B$14*('P-Parametri'!$B$7-(('1-Input'!$B$6+$A17)*(1-'P-Parametri'!$B$19)))/'P-Parametri'!$C$14,0))))-'P-Parametri'!$D$16),'P-Parametri'!$B$16,0))+(IF((('1-Input'!$B$6+$A17)*(1-'P-Parametri'!$B$19))&gt;'P-Parametri'!$D$18,0,IF((('1-Input'!$B$6+$A17)*(1-'P-Parametri'!$B$19))&lt;='P-Parametri'!$B$18,'P-Parametri'!$B$17*(('1-Input'!$B$6+$A17)*(1-'P-Parametri'!$B$19)),IF((('1-Input'!$B$6+$A17)*(1-'P-Parametri'!$B$19))&lt;='P-Parametri'!$C$18,'P-Parametri'!$C$17*(('1-Input'!$B$6+$A17)*(1-'P-Parametri'!$B$19)),'P-Parametri'!$D$17*(('1-Input'!$B$6+$A17)*(1-'P-Parametri'!$B$19))))))-'1-Input'!$B$23</f>
        <v>1193.7387272727246</v>
      </c>
      <c r="C17" s="11">
        <f t="shared" si="0"/>
        <v>0.60208709090909185</v>
      </c>
      <c r="D17" s="12">
        <f>LN((('1-Input'!$B$27*('1-Input'!$B$7+0.75*B17))+('1-Input'!$B$25+0.25*B17)/'1-Input'!$B$11)/('1-Input'!$B$8+('1-Input'!$B$25+0.25*B17)/'1-Input'!$B$11))/LN(1+'1-Input'!$B$11)</f>
        <v>41.302988538038242</v>
      </c>
      <c r="E17" s="30">
        <f>LN((('1-Input'!$B$27*('1-Input'!$B$7+'8-Soglia-q'!$B$9*B17))+('1-Input'!$B$25+(1-'8-Soglia-q'!$B$9)*B17)/'1-Input'!$B$11)/('1-Input'!$B$8+('1-Input'!$B$25+(1-'8-Soglia-q'!$B$9)*B17)/'1-Input'!$B$11))/LN(1+'1-Input'!$B$11)</f>
        <v>41.369738093845186</v>
      </c>
      <c r="F17" s="30">
        <f>E17-'8-Soglia-q'!$B$10</f>
        <v>0</v>
      </c>
      <c r="G17" s="21">
        <f>('8-Soglia-q'!$B$8*'1-Input'!$B$8+'8-Soglia-q'!$B$8*('1-Input'!$B$25/'1-Input'!$B$11)-'1-Input'!$B$28-('1-Input'!$B$25/'1-Input'!$B$11)+('8-Soglia-q'!$B$8-1)*B17/'1-Input'!$B$11)/(B17*('1-Input'!$B$27-1/'1-Input'!$B$11+'8-Soglia-q'!$B$8/'1-Input'!$B$11))</f>
        <v>0.76166420951674219</v>
      </c>
    </row>
    <row r="18" spans="1:8">
      <c r="A18" s="17">
        <f>5000</f>
        <v>5000</v>
      </c>
      <c r="B18" s="9">
        <f>(('1-Input'!$B$6+$A18)*(1-'P-Parametri'!$B$19))-(MAX(0,(IF((('1-Input'!$B$6+$A18)*(1-'P-Parametri'!$B$19))&lt;='P-Parametri'!$B$6,'P-Parametri'!$C$6*(('1-Input'!$B$6+$A18)*(1-'P-Parametri'!$B$19)),IF((('1-Input'!$B$6+$A18)*(1-'P-Parametri'!$B$19))&lt;='P-Parametri'!$B$7,'P-Parametri'!$B$9+'P-Parametri'!$C$7*((('1-Input'!$B$6+$A18)*(1-'P-Parametri'!$B$19))-'P-Parametri'!$B$6),'P-Parametri'!$B$10+'P-Parametri'!$C$8*((('1-Input'!$B$6+$A18)*(1-'P-Parametri'!$B$19))-'P-Parametri'!$B$7))))-(IF((('1-Input'!$B$6+$A18)*(1-'P-Parametri'!$B$19))&lt;='P-Parametri'!$C$12,'P-Parametri'!$B$12,IF((('1-Input'!$B$6+$A18)*(1-'P-Parametri'!$B$19))&lt;='P-Parametri'!$B$6,'P-Parametri'!$B$13+'P-Parametri'!$C$13*('P-Parametri'!$B$6-(('1-Input'!$B$6+$A18)*(1-'P-Parametri'!$B$19)))/'P-Parametri'!$D$13,IF((('1-Input'!$B$6+$A18)*(1-'P-Parametri'!$B$19))&lt;='P-Parametri'!$B$7,'P-Parametri'!$B$14*('P-Parametri'!$B$7-(('1-Input'!$B$6+$A18)*(1-'P-Parametri'!$B$19)))/'P-Parametri'!$C$14,0))))-(IF((('1-Input'!$B$6+$A18)*(1-'P-Parametri'!$B$19))&lt;='P-Parametri'!$C$15,0,IF((('1-Input'!$B$6+$A18)*(1-'P-Parametri'!$B$19))&lt;='P-Parametri'!$D$15,'P-Parametri'!$B$15,IF((('1-Input'!$B$6+$A18)*(1-'P-Parametri'!$B$19))&lt;'P-Parametri'!$E$15,'P-Parametri'!$B$15*('P-Parametri'!$E$15-(('1-Input'!$B$6+$A18)*(1-'P-Parametri'!$B$19)))/('P-Parametri'!$E$15-'P-Parametri'!$D$15),0))))))-(IF(MAX(0,(IF((('1-Input'!$B$6+$A18)*(1-'P-Parametri'!$B$19))&lt;='P-Parametri'!$B$6,'P-Parametri'!$C$6*(('1-Input'!$B$6+$A18)*(1-'P-Parametri'!$B$19)),IF((('1-Input'!$B$6+$A18)*(1-'P-Parametri'!$B$19))&lt;='P-Parametri'!$B$7,'P-Parametri'!$B$9+'P-Parametri'!$C$7*((('1-Input'!$B$6+$A18)*(1-'P-Parametri'!$B$19))-'P-Parametri'!$B$6),'P-Parametri'!$B$10+'P-Parametri'!$C$8*((('1-Input'!$B$6+$A18)*(1-'P-Parametri'!$B$19))-'P-Parametri'!$B$7))))-(IF((('1-Input'!$B$6+$A18)*(1-'P-Parametri'!$B$19))&lt;='P-Parametri'!$C$12,'P-Parametri'!$B$12,IF((('1-Input'!$B$6+$A18)*(1-'P-Parametri'!$B$19))&lt;='P-Parametri'!$B$6,'P-Parametri'!$B$13+'P-Parametri'!$C$13*('P-Parametri'!$B$6-(('1-Input'!$B$6+$A18)*(1-'P-Parametri'!$B$19)))/'P-Parametri'!$D$13,IF((('1-Input'!$B$6+$A18)*(1-'P-Parametri'!$B$19))&lt;='P-Parametri'!$B$7,'P-Parametri'!$B$14*('P-Parametri'!$B$7-(('1-Input'!$B$6+$A18)*(1-'P-Parametri'!$B$19)))/'P-Parametri'!$C$14,0))))-(IF((('1-Input'!$B$6+$A18)*(1-'P-Parametri'!$B$19))&lt;='P-Parametri'!$C$15,0,IF((('1-Input'!$B$6+$A18)*(1-'P-Parametri'!$B$19))&lt;='P-Parametri'!$D$15,'P-Parametri'!$B$15,IF((('1-Input'!$B$6+$A18)*(1-'P-Parametri'!$B$19))&lt;'P-Parametri'!$E$15,'P-Parametri'!$B$15*('P-Parametri'!$E$15-(('1-Input'!$B$6+$A18)*(1-'P-Parametri'!$B$19)))/('P-Parametri'!$E$15-'P-Parametri'!$D$15),0)))))&gt;0,'P-Parametri'!$B$20*(('1-Input'!$B$6+$A18)*(1-'P-Parametri'!$B$19)),0))+(IF(AND((('1-Input'!$B$6+$A18)*(1-'P-Parametri'!$B$19))&lt;='P-Parametri'!$C$16,(IF((('1-Input'!$B$6+$A18)*(1-'P-Parametri'!$B$19))&lt;='P-Parametri'!$B$6,'P-Parametri'!$C$6*(('1-Input'!$B$6+$A18)*(1-'P-Parametri'!$B$19)),IF((('1-Input'!$B$6+$A18)*(1-'P-Parametri'!$B$19))&lt;='P-Parametri'!$B$7,'P-Parametri'!$B$9+'P-Parametri'!$C$7*((('1-Input'!$B$6+$A18)*(1-'P-Parametri'!$B$19))-'P-Parametri'!$B$6),'P-Parametri'!$B$10+'P-Parametri'!$C$8*((('1-Input'!$B$6+$A18)*(1-'P-Parametri'!$B$19))-'P-Parametri'!$B$7))))&gt;(IF((('1-Input'!$B$6+$A18)*(1-'P-Parametri'!$B$19))&lt;='P-Parametri'!$C$12,'P-Parametri'!$B$12,IF((('1-Input'!$B$6+$A18)*(1-'P-Parametri'!$B$19))&lt;='P-Parametri'!$B$6,'P-Parametri'!$B$13+'P-Parametri'!$C$13*('P-Parametri'!$B$6-(('1-Input'!$B$6+$A18)*(1-'P-Parametri'!$B$19)))/'P-Parametri'!$D$13,IF((('1-Input'!$B$6+$A18)*(1-'P-Parametri'!$B$19))&lt;='P-Parametri'!$B$7,'P-Parametri'!$B$14*('P-Parametri'!$B$7-(('1-Input'!$B$6+$A18)*(1-'P-Parametri'!$B$19)))/'P-Parametri'!$C$14,0))))-'P-Parametri'!$D$16),'P-Parametri'!$B$16,0))+(IF((('1-Input'!$B$6+$A18)*(1-'P-Parametri'!$B$19))&gt;'P-Parametri'!$D$18,0,IF((('1-Input'!$B$6+$A18)*(1-'P-Parametri'!$B$19))&lt;='P-Parametri'!$B$18,'P-Parametri'!$B$17*(('1-Input'!$B$6+$A18)*(1-'P-Parametri'!$B$19)),IF((('1-Input'!$B$6+$A18)*(1-'P-Parametri'!$B$19))&lt;='P-Parametri'!$C$18,'P-Parametri'!$C$17*(('1-Input'!$B$6+$A18)*(1-'P-Parametri'!$B$19)),'P-Parametri'!$D$17*(('1-Input'!$B$6+$A18)*(1-'P-Parametri'!$B$19))))))-'1-Input'!$B$23</f>
        <v>1989.5645454545411</v>
      </c>
      <c r="C18" s="11">
        <f t="shared" si="0"/>
        <v>0.60208709090909185</v>
      </c>
      <c r="D18" s="12">
        <f>LN((('1-Input'!$B$27*('1-Input'!$B$7+0.75*B18))+('1-Input'!$B$25+0.25*B18)/'1-Input'!$B$11)/('1-Input'!$B$8+('1-Input'!$B$25+0.25*B18)/'1-Input'!$B$11))/LN(1+'1-Input'!$B$11)</f>
        <v>41.26170536654022</v>
      </c>
      <c r="E18" s="30">
        <f>LN((('1-Input'!$B$27*('1-Input'!$B$7+'8-Soglia-q'!$B$9*B18))+('1-Input'!$B$25+(1-'8-Soglia-q'!$B$9)*B18)/'1-Input'!$B$11)/('1-Input'!$B$8+('1-Input'!$B$25+(1-'8-Soglia-q'!$B$9)*B18)/'1-Input'!$B$11))/LN(1+'1-Input'!$B$11)</f>
        <v>41.369738093845186</v>
      </c>
      <c r="F18" s="30">
        <f>E18-'8-Soglia-q'!$B$10</f>
        <v>0</v>
      </c>
      <c r="G18" s="21">
        <f>('8-Soglia-q'!$B$8*'1-Input'!$B$8+'8-Soglia-q'!$B$8*('1-Input'!$B$25/'1-Input'!$B$11)-'1-Input'!$B$28-('1-Input'!$B$25/'1-Input'!$B$11)+('8-Soglia-q'!$B$8-1)*B18/'1-Input'!$B$11)/(B18*('1-Input'!$B$27-1/'1-Input'!$B$11+'8-Soglia-q'!$B$8/'1-Input'!$B$11))</f>
        <v>0.76166420951674241</v>
      </c>
    </row>
    <row r="19" spans="1:8">
      <c r="A19" s="17">
        <f>7000</f>
        <v>7000</v>
      </c>
      <c r="B19" s="9">
        <f>(('1-Input'!$B$6+$A19)*(1-'P-Parametri'!$B$19))-(MAX(0,(IF((('1-Input'!$B$6+$A19)*(1-'P-Parametri'!$B$19))&lt;='P-Parametri'!$B$6,'P-Parametri'!$C$6*(('1-Input'!$B$6+$A19)*(1-'P-Parametri'!$B$19)),IF((('1-Input'!$B$6+$A19)*(1-'P-Parametri'!$B$19))&lt;='P-Parametri'!$B$7,'P-Parametri'!$B$9+'P-Parametri'!$C$7*((('1-Input'!$B$6+$A19)*(1-'P-Parametri'!$B$19))-'P-Parametri'!$B$6),'P-Parametri'!$B$10+'P-Parametri'!$C$8*((('1-Input'!$B$6+$A19)*(1-'P-Parametri'!$B$19))-'P-Parametri'!$B$7))))-(IF((('1-Input'!$B$6+$A19)*(1-'P-Parametri'!$B$19))&lt;='P-Parametri'!$C$12,'P-Parametri'!$B$12,IF((('1-Input'!$B$6+$A19)*(1-'P-Parametri'!$B$19))&lt;='P-Parametri'!$B$6,'P-Parametri'!$B$13+'P-Parametri'!$C$13*('P-Parametri'!$B$6-(('1-Input'!$B$6+$A19)*(1-'P-Parametri'!$B$19)))/'P-Parametri'!$D$13,IF((('1-Input'!$B$6+$A19)*(1-'P-Parametri'!$B$19))&lt;='P-Parametri'!$B$7,'P-Parametri'!$B$14*('P-Parametri'!$B$7-(('1-Input'!$B$6+$A19)*(1-'P-Parametri'!$B$19)))/'P-Parametri'!$C$14,0))))-(IF((('1-Input'!$B$6+$A19)*(1-'P-Parametri'!$B$19))&lt;='P-Parametri'!$C$15,0,IF((('1-Input'!$B$6+$A19)*(1-'P-Parametri'!$B$19))&lt;='P-Parametri'!$D$15,'P-Parametri'!$B$15,IF((('1-Input'!$B$6+$A19)*(1-'P-Parametri'!$B$19))&lt;'P-Parametri'!$E$15,'P-Parametri'!$B$15*('P-Parametri'!$E$15-(('1-Input'!$B$6+$A19)*(1-'P-Parametri'!$B$19)))/('P-Parametri'!$E$15-'P-Parametri'!$D$15),0))))))-(IF(MAX(0,(IF((('1-Input'!$B$6+$A19)*(1-'P-Parametri'!$B$19))&lt;='P-Parametri'!$B$6,'P-Parametri'!$C$6*(('1-Input'!$B$6+$A19)*(1-'P-Parametri'!$B$19)),IF((('1-Input'!$B$6+$A19)*(1-'P-Parametri'!$B$19))&lt;='P-Parametri'!$B$7,'P-Parametri'!$B$9+'P-Parametri'!$C$7*((('1-Input'!$B$6+$A19)*(1-'P-Parametri'!$B$19))-'P-Parametri'!$B$6),'P-Parametri'!$B$10+'P-Parametri'!$C$8*((('1-Input'!$B$6+$A19)*(1-'P-Parametri'!$B$19))-'P-Parametri'!$B$7))))-(IF((('1-Input'!$B$6+$A19)*(1-'P-Parametri'!$B$19))&lt;='P-Parametri'!$C$12,'P-Parametri'!$B$12,IF((('1-Input'!$B$6+$A19)*(1-'P-Parametri'!$B$19))&lt;='P-Parametri'!$B$6,'P-Parametri'!$B$13+'P-Parametri'!$C$13*('P-Parametri'!$B$6-(('1-Input'!$B$6+$A19)*(1-'P-Parametri'!$B$19)))/'P-Parametri'!$D$13,IF((('1-Input'!$B$6+$A19)*(1-'P-Parametri'!$B$19))&lt;='P-Parametri'!$B$7,'P-Parametri'!$B$14*('P-Parametri'!$B$7-(('1-Input'!$B$6+$A19)*(1-'P-Parametri'!$B$19)))/'P-Parametri'!$C$14,0))))-(IF((('1-Input'!$B$6+$A19)*(1-'P-Parametri'!$B$19))&lt;='P-Parametri'!$C$15,0,IF((('1-Input'!$B$6+$A19)*(1-'P-Parametri'!$B$19))&lt;='P-Parametri'!$D$15,'P-Parametri'!$B$15,IF((('1-Input'!$B$6+$A19)*(1-'P-Parametri'!$B$19))&lt;'P-Parametri'!$E$15,'P-Parametri'!$B$15*('P-Parametri'!$E$15-(('1-Input'!$B$6+$A19)*(1-'P-Parametri'!$B$19)))/('P-Parametri'!$E$15-'P-Parametri'!$D$15),0)))))&gt;0,'P-Parametri'!$B$20*(('1-Input'!$B$6+$A19)*(1-'P-Parametri'!$B$19)),0))+(IF(AND((('1-Input'!$B$6+$A19)*(1-'P-Parametri'!$B$19))&lt;='P-Parametri'!$C$16,(IF((('1-Input'!$B$6+$A19)*(1-'P-Parametri'!$B$19))&lt;='P-Parametri'!$B$6,'P-Parametri'!$C$6*(('1-Input'!$B$6+$A19)*(1-'P-Parametri'!$B$19)),IF((('1-Input'!$B$6+$A19)*(1-'P-Parametri'!$B$19))&lt;='P-Parametri'!$B$7,'P-Parametri'!$B$9+'P-Parametri'!$C$7*((('1-Input'!$B$6+$A19)*(1-'P-Parametri'!$B$19))-'P-Parametri'!$B$6),'P-Parametri'!$B$10+'P-Parametri'!$C$8*((('1-Input'!$B$6+$A19)*(1-'P-Parametri'!$B$19))-'P-Parametri'!$B$7))))&gt;(IF((('1-Input'!$B$6+$A19)*(1-'P-Parametri'!$B$19))&lt;='P-Parametri'!$C$12,'P-Parametri'!$B$12,IF((('1-Input'!$B$6+$A19)*(1-'P-Parametri'!$B$19))&lt;='P-Parametri'!$B$6,'P-Parametri'!$B$13+'P-Parametri'!$C$13*('P-Parametri'!$B$6-(('1-Input'!$B$6+$A19)*(1-'P-Parametri'!$B$19)))/'P-Parametri'!$D$13,IF((('1-Input'!$B$6+$A19)*(1-'P-Parametri'!$B$19))&lt;='P-Parametri'!$B$7,'P-Parametri'!$B$14*('P-Parametri'!$B$7-(('1-Input'!$B$6+$A19)*(1-'P-Parametri'!$B$19)))/'P-Parametri'!$C$14,0))))-'P-Parametri'!$D$16),'P-Parametri'!$B$16,0))+(IF((('1-Input'!$B$6+$A19)*(1-'P-Parametri'!$B$19))&gt;'P-Parametri'!$D$18,0,IF((('1-Input'!$B$6+$A19)*(1-'P-Parametri'!$B$19))&lt;='P-Parametri'!$B$18,'P-Parametri'!$B$17*(('1-Input'!$B$6+$A19)*(1-'P-Parametri'!$B$19)),IF((('1-Input'!$B$6+$A19)*(1-'P-Parametri'!$B$19))&lt;='P-Parametri'!$C$18,'P-Parametri'!$C$17*(('1-Input'!$B$6+$A19)*(1-'P-Parametri'!$B$19)),'P-Parametri'!$D$17*(('1-Input'!$B$6+$A19)*(1-'P-Parametri'!$B$19))))))-'1-Input'!$B$23</f>
        <v>2785.3903636363611</v>
      </c>
      <c r="C19" s="11">
        <f t="shared" si="0"/>
        <v>0.60208709090909118</v>
      </c>
      <c r="D19" s="12">
        <f>LN((('1-Input'!$B$27*('1-Input'!$B$7+0.75*B19))+('1-Input'!$B$25+0.25*B19)/'1-Input'!$B$11)/('1-Input'!$B$8+('1-Input'!$B$25+0.25*B19)/'1-Input'!$B$11))/LN(1+'1-Input'!$B$11)</f>
        <v>41.222742307278132</v>
      </c>
      <c r="E19" s="30">
        <f>LN((('1-Input'!$B$27*('1-Input'!$B$7+'8-Soglia-q'!$B$9*B19))+('1-Input'!$B$25+(1-'8-Soglia-q'!$B$9)*B19)/'1-Input'!$B$11)/('1-Input'!$B$8+('1-Input'!$B$25+(1-'8-Soglia-q'!$B$9)*B19)/'1-Input'!$B$11))/LN(1+'1-Input'!$B$11)</f>
        <v>41.369738093845186</v>
      </c>
      <c r="F19" s="30">
        <f>E19-'8-Soglia-q'!$B$10</f>
        <v>0</v>
      </c>
      <c r="G19" s="21">
        <f>('8-Soglia-q'!$B$8*'1-Input'!$B$8+'8-Soglia-q'!$B$8*('1-Input'!$B$25/'1-Input'!$B$11)-'1-Input'!$B$28-('1-Input'!$B$25/'1-Input'!$B$11)+('8-Soglia-q'!$B$8-1)*B19/'1-Input'!$B$11)/(B19*('1-Input'!$B$27-1/'1-Input'!$B$11+'8-Soglia-q'!$B$8/'1-Input'!$B$11))</f>
        <v>0.76166420951674241</v>
      </c>
    </row>
    <row r="20" spans="1:8">
      <c r="A20" s="17">
        <f>10000</f>
        <v>10000</v>
      </c>
      <c r="B20" s="9">
        <f>(('1-Input'!$B$6+$A20)*(1-'P-Parametri'!$B$19))-(MAX(0,(IF((('1-Input'!$B$6+$A20)*(1-'P-Parametri'!$B$19))&lt;='P-Parametri'!$B$6,'P-Parametri'!$C$6*(('1-Input'!$B$6+$A20)*(1-'P-Parametri'!$B$19)),IF((('1-Input'!$B$6+$A20)*(1-'P-Parametri'!$B$19))&lt;='P-Parametri'!$B$7,'P-Parametri'!$B$9+'P-Parametri'!$C$7*((('1-Input'!$B$6+$A20)*(1-'P-Parametri'!$B$19))-'P-Parametri'!$B$6),'P-Parametri'!$B$10+'P-Parametri'!$C$8*((('1-Input'!$B$6+$A20)*(1-'P-Parametri'!$B$19))-'P-Parametri'!$B$7))))-(IF((('1-Input'!$B$6+$A20)*(1-'P-Parametri'!$B$19))&lt;='P-Parametri'!$C$12,'P-Parametri'!$B$12,IF((('1-Input'!$B$6+$A20)*(1-'P-Parametri'!$B$19))&lt;='P-Parametri'!$B$6,'P-Parametri'!$B$13+'P-Parametri'!$C$13*('P-Parametri'!$B$6-(('1-Input'!$B$6+$A20)*(1-'P-Parametri'!$B$19)))/'P-Parametri'!$D$13,IF((('1-Input'!$B$6+$A20)*(1-'P-Parametri'!$B$19))&lt;='P-Parametri'!$B$7,'P-Parametri'!$B$14*('P-Parametri'!$B$7-(('1-Input'!$B$6+$A20)*(1-'P-Parametri'!$B$19)))/'P-Parametri'!$C$14,0))))-(IF((('1-Input'!$B$6+$A20)*(1-'P-Parametri'!$B$19))&lt;='P-Parametri'!$C$15,0,IF((('1-Input'!$B$6+$A20)*(1-'P-Parametri'!$B$19))&lt;='P-Parametri'!$D$15,'P-Parametri'!$B$15,IF((('1-Input'!$B$6+$A20)*(1-'P-Parametri'!$B$19))&lt;'P-Parametri'!$E$15,'P-Parametri'!$B$15*('P-Parametri'!$E$15-(('1-Input'!$B$6+$A20)*(1-'P-Parametri'!$B$19)))/('P-Parametri'!$E$15-'P-Parametri'!$D$15),0))))))-(IF(MAX(0,(IF((('1-Input'!$B$6+$A20)*(1-'P-Parametri'!$B$19))&lt;='P-Parametri'!$B$6,'P-Parametri'!$C$6*(('1-Input'!$B$6+$A20)*(1-'P-Parametri'!$B$19)),IF((('1-Input'!$B$6+$A20)*(1-'P-Parametri'!$B$19))&lt;='P-Parametri'!$B$7,'P-Parametri'!$B$9+'P-Parametri'!$C$7*((('1-Input'!$B$6+$A20)*(1-'P-Parametri'!$B$19))-'P-Parametri'!$B$6),'P-Parametri'!$B$10+'P-Parametri'!$C$8*((('1-Input'!$B$6+$A20)*(1-'P-Parametri'!$B$19))-'P-Parametri'!$B$7))))-(IF((('1-Input'!$B$6+$A20)*(1-'P-Parametri'!$B$19))&lt;='P-Parametri'!$C$12,'P-Parametri'!$B$12,IF((('1-Input'!$B$6+$A20)*(1-'P-Parametri'!$B$19))&lt;='P-Parametri'!$B$6,'P-Parametri'!$B$13+'P-Parametri'!$C$13*('P-Parametri'!$B$6-(('1-Input'!$B$6+$A20)*(1-'P-Parametri'!$B$19)))/'P-Parametri'!$D$13,IF((('1-Input'!$B$6+$A20)*(1-'P-Parametri'!$B$19))&lt;='P-Parametri'!$B$7,'P-Parametri'!$B$14*('P-Parametri'!$B$7-(('1-Input'!$B$6+$A20)*(1-'P-Parametri'!$B$19)))/'P-Parametri'!$C$14,0))))-(IF((('1-Input'!$B$6+$A20)*(1-'P-Parametri'!$B$19))&lt;='P-Parametri'!$C$15,0,IF((('1-Input'!$B$6+$A20)*(1-'P-Parametri'!$B$19))&lt;='P-Parametri'!$D$15,'P-Parametri'!$B$15,IF((('1-Input'!$B$6+$A20)*(1-'P-Parametri'!$B$19))&lt;'P-Parametri'!$E$15,'P-Parametri'!$B$15*('P-Parametri'!$E$15-(('1-Input'!$B$6+$A20)*(1-'P-Parametri'!$B$19)))/('P-Parametri'!$E$15-'P-Parametri'!$D$15),0)))))&gt;0,'P-Parametri'!$B$20*(('1-Input'!$B$6+$A20)*(1-'P-Parametri'!$B$19)),0))+(IF(AND((('1-Input'!$B$6+$A20)*(1-'P-Parametri'!$B$19))&lt;='P-Parametri'!$C$16,(IF((('1-Input'!$B$6+$A20)*(1-'P-Parametri'!$B$19))&lt;='P-Parametri'!$B$6,'P-Parametri'!$C$6*(('1-Input'!$B$6+$A20)*(1-'P-Parametri'!$B$19)),IF((('1-Input'!$B$6+$A20)*(1-'P-Parametri'!$B$19))&lt;='P-Parametri'!$B$7,'P-Parametri'!$B$9+'P-Parametri'!$C$7*((('1-Input'!$B$6+$A20)*(1-'P-Parametri'!$B$19))-'P-Parametri'!$B$6),'P-Parametri'!$B$10+'P-Parametri'!$C$8*((('1-Input'!$B$6+$A20)*(1-'P-Parametri'!$B$19))-'P-Parametri'!$B$7))))&gt;(IF((('1-Input'!$B$6+$A20)*(1-'P-Parametri'!$B$19))&lt;='P-Parametri'!$C$12,'P-Parametri'!$B$12,IF((('1-Input'!$B$6+$A20)*(1-'P-Parametri'!$B$19))&lt;='P-Parametri'!$B$6,'P-Parametri'!$B$13+'P-Parametri'!$C$13*('P-Parametri'!$B$6-(('1-Input'!$B$6+$A20)*(1-'P-Parametri'!$B$19)))/'P-Parametri'!$D$13,IF((('1-Input'!$B$6+$A20)*(1-'P-Parametri'!$B$19))&lt;='P-Parametri'!$B$7,'P-Parametri'!$B$14*('P-Parametri'!$B$7-(('1-Input'!$B$6+$A20)*(1-'P-Parametri'!$B$19)))/'P-Parametri'!$C$14,0))))-'P-Parametri'!$D$16),'P-Parametri'!$B$16,0))+(IF((('1-Input'!$B$6+$A20)*(1-'P-Parametri'!$B$19))&gt;'P-Parametri'!$D$18,0,IF((('1-Input'!$B$6+$A20)*(1-'P-Parametri'!$B$19))&lt;='P-Parametri'!$B$18,'P-Parametri'!$B$17*(('1-Input'!$B$6+$A20)*(1-'P-Parametri'!$B$19)),IF((('1-Input'!$B$6+$A20)*(1-'P-Parametri'!$B$19))&lt;='P-Parametri'!$C$18,'P-Parametri'!$C$17*(('1-Input'!$B$6+$A20)*(1-'P-Parametri'!$B$19)),'P-Parametri'!$D$17*(('1-Input'!$B$6+$A20)*(1-'P-Parametri'!$B$19))))))-'1-Input'!$B$23</f>
        <v>4200.7040909090865</v>
      </c>
      <c r="C20" s="11">
        <f t="shared" si="0"/>
        <v>0.57992959090909135</v>
      </c>
      <c r="D20" s="12">
        <f>LN((('1-Input'!$B$27*('1-Input'!$B$7+0.75*B20))+('1-Input'!$B$25+0.25*B20)/'1-Input'!$B$11)/('1-Input'!$B$8+('1-Input'!$B$25+0.25*B20)/'1-Input'!$B$11))/LN(1+'1-Input'!$B$11)</f>
        <v>41.158601942193997</v>
      </c>
      <c r="E20" s="30">
        <f>LN((('1-Input'!$B$27*('1-Input'!$B$7+'8-Soglia-q'!$B$9*B20))+('1-Input'!$B$25+(1-'8-Soglia-q'!$B$9)*B20)/'1-Input'!$B$11)/('1-Input'!$B$8+('1-Input'!$B$25+(1-'8-Soglia-q'!$B$9)*B20)/'1-Input'!$B$11))/LN(1+'1-Input'!$B$11)</f>
        <v>41.369738093845186</v>
      </c>
      <c r="F20" s="30">
        <f>E20-'8-Soglia-q'!$B$10</f>
        <v>0</v>
      </c>
      <c r="G20" s="21">
        <f>('8-Soglia-q'!$B$8*'1-Input'!$B$8+'8-Soglia-q'!$B$8*('1-Input'!$B$25/'1-Input'!$B$11)-'1-Input'!$B$28-('1-Input'!$B$25/'1-Input'!$B$11)+('8-Soglia-q'!$B$8-1)*B20/'1-Input'!$B$11)/(B20*('1-Input'!$B$27-1/'1-Input'!$B$11+'8-Soglia-q'!$B$8/'1-Input'!$B$11))</f>
        <v>0.76166420951674219</v>
      </c>
    </row>
    <row r="21" spans="1:8">
      <c r="A21" s="17">
        <f>14000</f>
        <v>14000</v>
      </c>
      <c r="B21" s="9">
        <f>(('1-Input'!$B$6+$A21)*(1-'P-Parametri'!$B$19))-(MAX(0,(IF((('1-Input'!$B$6+$A21)*(1-'P-Parametri'!$B$19))&lt;='P-Parametri'!$B$6,'P-Parametri'!$C$6*(('1-Input'!$B$6+$A21)*(1-'P-Parametri'!$B$19)),IF((('1-Input'!$B$6+$A21)*(1-'P-Parametri'!$B$19))&lt;='P-Parametri'!$B$7,'P-Parametri'!$B$9+'P-Parametri'!$C$7*((('1-Input'!$B$6+$A21)*(1-'P-Parametri'!$B$19))-'P-Parametri'!$B$6),'P-Parametri'!$B$10+'P-Parametri'!$C$8*((('1-Input'!$B$6+$A21)*(1-'P-Parametri'!$B$19))-'P-Parametri'!$B$7))))-(IF((('1-Input'!$B$6+$A21)*(1-'P-Parametri'!$B$19))&lt;='P-Parametri'!$C$12,'P-Parametri'!$B$12,IF((('1-Input'!$B$6+$A21)*(1-'P-Parametri'!$B$19))&lt;='P-Parametri'!$B$6,'P-Parametri'!$B$13+'P-Parametri'!$C$13*('P-Parametri'!$B$6-(('1-Input'!$B$6+$A21)*(1-'P-Parametri'!$B$19)))/'P-Parametri'!$D$13,IF((('1-Input'!$B$6+$A21)*(1-'P-Parametri'!$B$19))&lt;='P-Parametri'!$B$7,'P-Parametri'!$B$14*('P-Parametri'!$B$7-(('1-Input'!$B$6+$A21)*(1-'P-Parametri'!$B$19)))/'P-Parametri'!$C$14,0))))-(IF((('1-Input'!$B$6+$A21)*(1-'P-Parametri'!$B$19))&lt;='P-Parametri'!$C$15,0,IF((('1-Input'!$B$6+$A21)*(1-'P-Parametri'!$B$19))&lt;='P-Parametri'!$D$15,'P-Parametri'!$B$15,IF((('1-Input'!$B$6+$A21)*(1-'P-Parametri'!$B$19))&lt;'P-Parametri'!$E$15,'P-Parametri'!$B$15*('P-Parametri'!$E$15-(('1-Input'!$B$6+$A21)*(1-'P-Parametri'!$B$19)))/('P-Parametri'!$E$15-'P-Parametri'!$D$15),0))))))-(IF(MAX(0,(IF((('1-Input'!$B$6+$A21)*(1-'P-Parametri'!$B$19))&lt;='P-Parametri'!$B$6,'P-Parametri'!$C$6*(('1-Input'!$B$6+$A21)*(1-'P-Parametri'!$B$19)),IF((('1-Input'!$B$6+$A21)*(1-'P-Parametri'!$B$19))&lt;='P-Parametri'!$B$7,'P-Parametri'!$B$9+'P-Parametri'!$C$7*((('1-Input'!$B$6+$A21)*(1-'P-Parametri'!$B$19))-'P-Parametri'!$B$6),'P-Parametri'!$B$10+'P-Parametri'!$C$8*((('1-Input'!$B$6+$A21)*(1-'P-Parametri'!$B$19))-'P-Parametri'!$B$7))))-(IF((('1-Input'!$B$6+$A21)*(1-'P-Parametri'!$B$19))&lt;='P-Parametri'!$C$12,'P-Parametri'!$B$12,IF((('1-Input'!$B$6+$A21)*(1-'P-Parametri'!$B$19))&lt;='P-Parametri'!$B$6,'P-Parametri'!$B$13+'P-Parametri'!$C$13*('P-Parametri'!$B$6-(('1-Input'!$B$6+$A21)*(1-'P-Parametri'!$B$19)))/'P-Parametri'!$D$13,IF((('1-Input'!$B$6+$A21)*(1-'P-Parametri'!$B$19))&lt;='P-Parametri'!$B$7,'P-Parametri'!$B$14*('P-Parametri'!$B$7-(('1-Input'!$B$6+$A21)*(1-'P-Parametri'!$B$19)))/'P-Parametri'!$C$14,0))))-(IF((('1-Input'!$B$6+$A21)*(1-'P-Parametri'!$B$19))&lt;='P-Parametri'!$C$15,0,IF((('1-Input'!$B$6+$A21)*(1-'P-Parametri'!$B$19))&lt;='P-Parametri'!$D$15,'P-Parametri'!$B$15,IF((('1-Input'!$B$6+$A21)*(1-'P-Parametri'!$B$19))&lt;'P-Parametri'!$E$15,'P-Parametri'!$B$15*('P-Parametri'!$E$15-(('1-Input'!$B$6+$A21)*(1-'P-Parametri'!$B$19)))/('P-Parametri'!$E$15-'P-Parametri'!$D$15),0)))))&gt;0,'P-Parametri'!$B$20*(('1-Input'!$B$6+$A21)*(1-'P-Parametri'!$B$19)),0))+(IF(AND((('1-Input'!$B$6+$A21)*(1-'P-Parametri'!$B$19))&lt;='P-Parametri'!$C$16,(IF((('1-Input'!$B$6+$A21)*(1-'P-Parametri'!$B$19))&lt;='P-Parametri'!$B$6,'P-Parametri'!$C$6*(('1-Input'!$B$6+$A21)*(1-'P-Parametri'!$B$19)),IF((('1-Input'!$B$6+$A21)*(1-'P-Parametri'!$B$19))&lt;='P-Parametri'!$B$7,'P-Parametri'!$B$9+'P-Parametri'!$C$7*((('1-Input'!$B$6+$A21)*(1-'P-Parametri'!$B$19))-'P-Parametri'!$B$6),'P-Parametri'!$B$10+'P-Parametri'!$C$8*((('1-Input'!$B$6+$A21)*(1-'P-Parametri'!$B$19))-'P-Parametri'!$B$7))))&gt;(IF((('1-Input'!$B$6+$A21)*(1-'P-Parametri'!$B$19))&lt;='P-Parametri'!$C$12,'P-Parametri'!$B$12,IF((('1-Input'!$B$6+$A21)*(1-'P-Parametri'!$B$19))&lt;='P-Parametri'!$B$6,'P-Parametri'!$B$13+'P-Parametri'!$C$13*('P-Parametri'!$B$6-(('1-Input'!$B$6+$A21)*(1-'P-Parametri'!$B$19)))/'P-Parametri'!$D$13,IF((('1-Input'!$B$6+$A21)*(1-'P-Parametri'!$B$19))&lt;='P-Parametri'!$B$7,'P-Parametri'!$B$14*('P-Parametri'!$B$7-(('1-Input'!$B$6+$A21)*(1-'P-Parametri'!$B$19)))/'P-Parametri'!$C$14,0))))-'P-Parametri'!$D$16),'P-Parametri'!$B$16,0))+(IF((('1-Input'!$B$6+$A21)*(1-'P-Parametri'!$B$19))&gt;'P-Parametri'!$D$18,0,IF((('1-Input'!$B$6+$A21)*(1-'P-Parametri'!$B$19))&lt;='P-Parametri'!$B$18,'P-Parametri'!$B$17*(('1-Input'!$B$6+$A21)*(1-'P-Parametri'!$B$19)),IF((('1-Input'!$B$6+$A21)*(1-'P-Parametri'!$B$19))&lt;='P-Parametri'!$C$18,'P-Parametri'!$C$17*(('1-Input'!$B$6+$A21)*(1-'P-Parametri'!$B$19)),'P-Parametri'!$D$17*(('1-Input'!$B$6+$A21)*(1-'P-Parametri'!$B$19))))))-'1-Input'!$B$23</f>
        <v>6246.4057272727223</v>
      </c>
      <c r="C21" s="11">
        <f t="shared" si="0"/>
        <v>0.55382816233766263</v>
      </c>
      <c r="D21" s="12">
        <f>LN((('1-Input'!$B$27*('1-Input'!$B$7+0.75*B21))+('1-Input'!$B$25+0.25*B21)/'1-Input'!$B$11)/('1-Input'!$B$8+('1-Input'!$B$25+0.25*B21)/'1-Input'!$B$11))/LN(1+'1-Input'!$B$11)</f>
        <v>41.075988624323429</v>
      </c>
      <c r="E21" s="30">
        <f>LN((('1-Input'!$B$27*('1-Input'!$B$7+'8-Soglia-q'!$B$9*B21))+('1-Input'!$B$25+(1-'8-Soglia-q'!$B$9)*B21)/'1-Input'!$B$11)/('1-Input'!$B$8+('1-Input'!$B$25+(1-'8-Soglia-q'!$B$9)*B21)/'1-Input'!$B$11))/LN(1+'1-Input'!$B$11)</f>
        <v>41.369738093845186</v>
      </c>
      <c r="F21" s="30">
        <f>E21-'8-Soglia-q'!$B$10</f>
        <v>0</v>
      </c>
      <c r="G21" s="21">
        <f>('8-Soglia-q'!$B$8*'1-Input'!$B$8+'8-Soglia-q'!$B$8*('1-Input'!$B$25/'1-Input'!$B$11)-'1-Input'!$B$28-('1-Input'!$B$25/'1-Input'!$B$11)+('8-Soglia-q'!$B$8-1)*B21/'1-Input'!$B$11)/(B21*('1-Input'!$B$27-1/'1-Input'!$B$11+'8-Soglia-q'!$B$8/'1-Input'!$B$11))</f>
        <v>0.7616642095167423</v>
      </c>
    </row>
    <row r="22" spans="1:8" ht="30">
      <c r="A22" s="6" t="s">
        <v>344</v>
      </c>
      <c r="B22" s="30">
        <f>MAX(MAX(F15:F21),-MIN(F15:F21))</f>
        <v>0</v>
      </c>
    </row>
    <row r="23" spans="1:8">
      <c r="A23" s="6" t="s">
        <v>345</v>
      </c>
      <c r="B23" s="13" t="str">
        <f>IF(MAX(G15:G21)-MIN(G15:G21)&lt;0.000001,"SÌ — q* non dipende da Δ","NO — qualcosa non torna")</f>
        <v>SÌ — q* non dipende da Δ</v>
      </c>
    </row>
    <row r="24" spans="1:8" ht="30" customHeight="1">
      <c r="A24" s="40" t="s">
        <v>346</v>
      </c>
      <c r="B24" s="38"/>
      <c r="C24" s="38"/>
      <c r="D24" s="38"/>
      <c r="E24" s="38"/>
      <c r="F24" s="38"/>
      <c r="G24" s="38"/>
      <c r="H24" s="38"/>
    </row>
    <row r="25" spans="1:8" ht="45" customHeight="1">
      <c r="A25" s="40" t="s">
        <v>347</v>
      </c>
      <c r="B25" s="38"/>
      <c r="C25" s="38"/>
      <c r="D25" s="38"/>
      <c r="E25" s="38"/>
      <c r="F25" s="38"/>
      <c r="G25" s="38"/>
      <c r="H25" s="38"/>
    </row>
    <row r="26" spans="1:8" ht="45" customHeight="1">
      <c r="A26" s="40" t="s">
        <v>348</v>
      </c>
      <c r="B26" s="38"/>
      <c r="C26" s="38"/>
      <c r="D26" s="38"/>
      <c r="E26" s="38"/>
      <c r="F26" s="38"/>
      <c r="G26" s="38"/>
      <c r="H26" s="38"/>
    </row>
    <row r="27" spans="1:8">
      <c r="A27" s="41" t="s">
        <v>349</v>
      </c>
      <c r="B27" s="38"/>
      <c r="C27" s="38"/>
      <c r="D27" s="38"/>
      <c r="E27" s="38"/>
      <c r="F27" s="38"/>
      <c r="G27" s="38"/>
      <c r="H27" s="38"/>
    </row>
    <row r="28" spans="1:8" ht="30">
      <c r="A28" s="15" t="s">
        <v>94</v>
      </c>
      <c r="B28" s="15" t="s">
        <v>350</v>
      </c>
      <c r="C28" s="15" t="s">
        <v>351</v>
      </c>
      <c r="D28" s="15" t="s">
        <v>352</v>
      </c>
    </row>
    <row r="29" spans="1:8">
      <c r="A29" s="17">
        <f>0</f>
        <v>0</v>
      </c>
      <c r="B29" s="12">
        <f>LN(('1-Input'!$B$28+'1-Input'!$B$25/'1-Input'!$B$11)/($A29+'1-Input'!$B$25/'1-Input'!$B$11))/LN(1+'1-Input'!$B$11)</f>
        <v>45.882753809698443</v>
      </c>
      <c r="C29" s="12">
        <f>('1-Input'!$B$28+'1-Input'!$B$25/'1-Input'!$B$11)/($A29+'1-Input'!$B$25/'1-Input'!$B$11)</f>
        <v>3.8815681958166368</v>
      </c>
      <c r="D29" s="11">
        <f>(C29-1)/(C29-1+'1-Input'!$B$27*'1-Input'!$B$11)</f>
        <v>0.79347764944522925</v>
      </c>
    </row>
    <row r="30" spans="1:8">
      <c r="A30" s="17">
        <f>25000</f>
        <v>25000</v>
      </c>
      <c r="B30" s="12">
        <f>LN(('1-Input'!$B$28+'1-Input'!$B$25/'1-Input'!$B$11)/($A30+'1-Input'!$B$25/'1-Input'!$B$11))/LN(1+'1-Input'!$B$11)</f>
        <v>41.532627663326615</v>
      </c>
      <c r="C30" s="12">
        <f>('1-Input'!$B$28+'1-Input'!$B$25/'1-Input'!$B$11)/($A30+'1-Input'!$B$25/'1-Input'!$B$11)</f>
        <v>3.4132152228775365</v>
      </c>
      <c r="D30" s="11">
        <f>(C30-1)/(C30-1+'1-Input'!$B$27*'1-Input'!$B$11)</f>
        <v>0.76289947184885687</v>
      </c>
    </row>
    <row r="31" spans="1:8">
      <c r="A31" s="17">
        <f>50000</f>
        <v>50000</v>
      </c>
      <c r="B31" s="12">
        <f>LN(('1-Input'!$B$28+'1-Input'!$B$25/'1-Input'!$B$11)/($A31+'1-Input'!$B$25/'1-Input'!$B$11))/LN(1+'1-Input'!$B$11)</f>
        <v>37.67866647362689</v>
      </c>
      <c r="C31" s="12">
        <f>('1-Input'!$B$28+'1-Input'!$B$25/'1-Input'!$B$11)/($A31+'1-Input'!$B$25/'1-Input'!$B$11)</f>
        <v>3.0457167246523489</v>
      </c>
      <c r="D31" s="11">
        <f>(C31-1)/(C31-1+'1-Input'!$B$27*'1-Input'!$B$11)</f>
        <v>0.73173247726188584</v>
      </c>
    </row>
    <row r="32" spans="1:8">
      <c r="A32" s="17">
        <f>75000</f>
        <v>75000</v>
      </c>
      <c r="B32" s="12">
        <f>LN(('1-Input'!$B$28+'1-Input'!$B$25/'1-Input'!$B$11)/($A32+'1-Input'!$B$25/'1-Input'!$B$11))/LN(1+'1-Input'!$B$11)</f>
        <v>34.219186674441481</v>
      </c>
      <c r="C32" s="12">
        <f>('1-Input'!$B$28+'1-Input'!$B$25/'1-Input'!$B$11)/($A32+'1-Input'!$B$25/'1-Input'!$B$11)</f>
        <v>2.7496624859826699</v>
      </c>
      <c r="D32" s="11">
        <f>(C32-1)/(C32-1+'1-Input'!$B$27*'1-Input'!$B$11)</f>
        <v>0.69995949284922787</v>
      </c>
    </row>
    <row r="33" spans="1:4">
      <c r="A33" s="17">
        <f>100000</f>
        <v>100000</v>
      </c>
      <c r="B33" s="12">
        <f>LN(('1-Input'!$B$28+'1-Input'!$B$25/'1-Input'!$B$11)/($A33+'1-Input'!$B$25/'1-Input'!$B$11))/LN(1+'1-Input'!$B$11)</f>
        <v>31.080878050513892</v>
      </c>
      <c r="C33" s="12">
        <f>('1-Input'!$B$28+'1-Input'!$B$25/'1-Input'!$B$11)/($A33+'1-Input'!$B$25/'1-Input'!$B$11)</f>
        <v>2.5060643331406998</v>
      </c>
      <c r="D33" s="11">
        <f>(C33-1)/(C33-1+'1-Input'!$B$27*'1-Input'!$B$11)</f>
        <v>0.6675626714261671</v>
      </c>
    </row>
    <row r="34" spans="1:4">
      <c r="A34" s="17">
        <f>125000</f>
        <v>125000</v>
      </c>
      <c r="B34" s="12">
        <f>LN(('1-Input'!$B$28+'1-Input'!$B$25/'1-Input'!$B$11)/($A34+'1-Input'!$B$25/'1-Input'!$B$11))/LN(1+'1-Input'!$B$11)</f>
        <v>28.209140034523564</v>
      </c>
      <c r="C34" s="12">
        <f>('1-Input'!$B$28+'1-Input'!$B$25/'1-Input'!$B$11)/($A34+'1-Input'!$B$25/'1-Input'!$B$11)</f>
        <v>2.3021152902347901</v>
      </c>
      <c r="D34" s="11">
        <f>(C34-1)/(C34-1+'1-Input'!$B$27*'1-Input'!$B$11)</f>
        <v>0.63452345802940258</v>
      </c>
    </row>
    <row r="35" spans="1:4">
      <c r="A35" s="17">
        <f>150000</f>
        <v>150000</v>
      </c>
      <c r="B35" s="12">
        <f>LN(('1-Input'!$B$28+'1-Input'!$B$25/'1-Input'!$B$11)/($A35+'1-Input'!$B$25/'1-Input'!$B$11))/LN(1+'1-Input'!$B$11)</f>
        <v>25.562211303719941</v>
      </c>
      <c r="C35" s="12">
        <f>('1-Input'!$B$28+'1-Input'!$B$25/'1-Input'!$B$11)/($A35+'1-Input'!$B$25/'1-Input'!$B$11)</f>
        <v>2.1288636693194065</v>
      </c>
      <c r="D35" s="11">
        <f>(C35-1)/(C35-1+'1-Input'!$B$27*'1-Input'!$B$11)</f>
        <v>0.60082255447960331</v>
      </c>
    </row>
    <row r="36" spans="1:4">
      <c r="A36" s="17">
        <f>175000</f>
        <v>175000</v>
      </c>
      <c r="B36" s="12">
        <f>LN(('1-Input'!$B$28+'1-Input'!$B$25/'1-Input'!$B$11)/($A36+'1-Input'!$B$25/'1-Input'!$B$11))/LN(1+'1-Input'!$B$11)</f>
        <v>23.10743523786066</v>
      </c>
      <c r="C36" s="12">
        <f>('1-Input'!$B$28+'1-Input'!$B$25/'1-Input'!$B$11)/($A36+'1-Input'!$B$25/'1-Input'!$B$11)</f>
        <v>1.9798639069988853</v>
      </c>
      <c r="D36" s="11">
        <f>(C36-1)/(C36-1+'1-Input'!$B$27*'1-Input'!$B$11)</f>
        <v>0.56643988179326565</v>
      </c>
    </row>
    <row r="37" spans="1:4">
      <c r="A37" s="17">
        <f>200000</f>
        <v>200000</v>
      </c>
      <c r="B37" s="12">
        <f>LN(('1-Input'!$B$28+'1-Input'!$B$25/'1-Input'!$B$11)/($A37+'1-Input'!$B$25/'1-Input'!$B$11))/LN(1+'1-Input'!$B$11)</f>
        <v>20.8187916419636</v>
      </c>
      <c r="C37" s="12">
        <f>('1-Input'!$B$28+'1-Input'!$B$25/'1-Input'!$B$11)/($A37+'1-Input'!$B$25/'1-Input'!$B$11)</f>
        <v>1.8503569104545707</v>
      </c>
      <c r="D37" s="11">
        <f>(C37-1)/(C37-1+'1-Input'!$B$27*'1-Input'!$B$11)</f>
        <v>0.53135454029003604</v>
      </c>
    </row>
    <row r="38" spans="1:4">
      <c r="A38" s="17">
        <f>225000</f>
        <v>225000</v>
      </c>
      <c r="B38" s="12">
        <f>LN(('1-Input'!$B$28+'1-Input'!$B$25/'1-Input'!$B$11)/($A38+'1-Input'!$B$25/'1-Input'!$B$11))/LN(1+'1-Input'!$B$11)</f>
        <v>18.675212073687486</v>
      </c>
      <c r="C38" s="12">
        <f>('1-Input'!$B$28+'1-Input'!$B$25/'1-Input'!$B$11)/($A38+'1-Input'!$B$25/'1-Input'!$B$11)</f>
        <v>1.736752344465031</v>
      </c>
      <c r="D38" s="11">
        <f>(C38-1)/(C38-1+'1-Input'!$B$27*'1-Input'!$B$11)</f>
        <v>0.49554476722895774</v>
      </c>
    </row>
    <row r="39" spans="1:4">
      <c r="A39" s="17">
        <f>250000</f>
        <v>250000</v>
      </c>
      <c r="B39" s="12">
        <f>LN(('1-Input'!$B$28+'1-Input'!$B$25/'1-Input'!$B$11)/($A39+'1-Input'!$B$25/'1-Input'!$B$11))/LN(1+'1-Input'!$B$11)</f>
        <v>16.659397990453861</v>
      </c>
      <c r="C39" s="12">
        <f>('1-Input'!$B$28+'1-Input'!$B$25/'1-Input'!$B$11)/($A39+'1-Input'!$B$25/'1-Input'!$B$11)</f>
        <v>1.6362905998276076</v>
      </c>
      <c r="D39" s="11">
        <f>(C39-1)/(C39-1+'1-Input'!$B$27*'1-Input'!$B$11)</f>
        <v>0.45898789179320237</v>
      </c>
    </row>
    <row r="40" spans="1:4">
      <c r="A40" s="17">
        <f>275000</f>
        <v>275000</v>
      </c>
      <c r="B40" s="12">
        <f>LN(('1-Input'!$B$28+'1-Input'!$B$25/'1-Input'!$B$11)/($A40+'1-Input'!$B$25/'1-Input'!$B$11))/LN(1+'1-Input'!$B$11)</f>
        <v>14.756971726143727</v>
      </c>
      <c r="C40" s="12">
        <f>('1-Input'!$B$28+'1-Input'!$B$25/'1-Input'!$B$11)/($A40+'1-Input'!$B$25/'1-Input'!$B$11)</f>
        <v>1.5468156663576571</v>
      </c>
      <c r="D40" s="11">
        <f>(C40-1)/(C40-1+'1-Input'!$B$27*'1-Input'!$B$11)</f>
        <v>0.42166028722762772</v>
      </c>
    </row>
    <row r="41" spans="1:4">
      <c r="A41" s="17">
        <f>300000</f>
        <v>300000</v>
      </c>
      <c r="B41" s="12">
        <f>LN(('1-Input'!$B$28+'1-Input'!$B$25/'1-Input'!$B$11)/($A41+'1-Input'!$B$25/'1-Input'!$B$11))/LN(1+'1-Input'!$B$11)</f>
        <v>12.955853793162989</v>
      </c>
      <c r="C41" s="12">
        <f>('1-Input'!$B$28+'1-Input'!$B$25/'1-Input'!$B$11)/($A41+'1-Input'!$B$25/'1-Input'!$B$11)</f>
        <v>1.466618660352343</v>
      </c>
      <c r="D41" s="11">
        <f>(C41-1)/(C41-1+'1-Input'!$B$27*'1-Input'!$B$11)</f>
        <v>0.38353731991683104</v>
      </c>
    </row>
    <row r="42" spans="1:4">
      <c r="A42" s="17">
        <f>325000</f>
        <v>325000</v>
      </c>
      <c r="B42" s="12">
        <f>LN(('1-Input'!$B$28+'1-Input'!$B$25/'1-Input'!$B$11)/($A42+'1-Input'!$B$25/'1-Input'!$B$11))/LN(1+'1-Input'!$B$11)</f>
        <v>11.245797761549209</v>
      </c>
      <c r="C42" s="12">
        <f>('1-Input'!$B$28+'1-Input'!$B$25/'1-Input'!$B$11)/($A42+'1-Input'!$B$25/'1-Input'!$B$11)</f>
        <v>1.3943276281374797</v>
      </c>
      <c r="D42" s="11">
        <f>(C42-1)/(C42-1+'1-Input'!$B$27*'1-Input'!$B$11)</f>
        <v>0.3445932951730718</v>
      </c>
    </row>
    <row r="43" spans="1:4">
      <c r="A43" s="17">
        <f>350000</f>
        <v>350000</v>
      </c>
      <c r="B43" s="12">
        <f>LN(('1-Input'!$B$28+'1-Input'!$B$25/'1-Input'!$B$11)/($A43+'1-Input'!$B$25/'1-Input'!$B$11))/LN(1+'1-Input'!$B$11)</f>
        <v>9.6180371606345503</v>
      </c>
      <c r="C43" s="12">
        <f>('1-Input'!$B$28+'1-Input'!$B$25/'1-Input'!$B$11)/($A43+'1-Input'!$B$25/'1-Input'!$B$11)</f>
        <v>1.3288284088066751</v>
      </c>
      <c r="D43" s="11">
        <f>(C43-1)/(C43-1+'1-Input'!$B$27*'1-Input'!$B$11)</f>
        <v>0.30480139948335455</v>
      </c>
    </row>
    <row r="44" spans="1:4">
      <c r="A44" s="17">
        <f>375000</f>
        <v>375000</v>
      </c>
      <c r="B44" s="12">
        <f>LN(('1-Input'!$B$28+'1-Input'!$B$25/'1-Input'!$B$11)/($A44+'1-Input'!$B$25/'1-Input'!$B$11))/LN(1+'1-Input'!$B$11)</f>
        <v>8.0650135094944346</v>
      </c>
      <c r="C44" s="12">
        <f>('1-Input'!$B$28+'1-Input'!$B$25/'1-Input'!$B$11)/($A44+'1-Input'!$B$25/'1-Input'!$B$11)</f>
        <v>1.2692068012493283</v>
      </c>
      <c r="D44" s="11">
        <f>(C44-1)/(C44-1+'1-Input'!$B$27*'1-Input'!$B$11)</f>
        <v>0.26413363894289033</v>
      </c>
    </row>
    <row r="45" spans="1:4">
      <c r="A45" s="17">
        <f>400000</f>
        <v>400000</v>
      </c>
      <c r="B45" s="12">
        <f>LN(('1-Input'!$B$28+'1-Input'!$B$25/'1-Input'!$B$11)/($A45+'1-Input'!$B$25/'1-Input'!$B$11))/LN(1+'1-Input'!$B$11)</f>
        <v>6.5801640870565477</v>
      </c>
      <c r="C45" s="12">
        <f>('1-Input'!$B$28+'1-Input'!$B$25/'1-Input'!$B$11)/($A45+'1-Input'!$B$25/'1-Input'!$B$11)</f>
        <v>1.2147056316563691</v>
      </c>
      <c r="D45" s="11">
        <f>(C45-1)/(C45-1+'1-Input'!$B$27*'1-Input'!$B$11)</f>
        <v>0.22256077357786991</v>
      </c>
    </row>
    <row r="46" spans="1:4">
      <c r="A46" s="17">
        <f>425000</f>
        <v>425000</v>
      </c>
      <c r="B46" s="12">
        <f>LN(('1-Input'!$B$28+'1-Input'!$B$25/'1-Input'!$B$11)/($A46+'1-Input'!$B$25/'1-Input'!$B$11))/LN(1+'1-Input'!$B$11)</f>
        <v>5.1577543557215808</v>
      </c>
      <c r="C46" s="12">
        <f>('1-Input'!$B$28+'1-Input'!$B$25/'1-Input'!$B$11)/($A46+'1-Input'!$B$25/'1-Input'!$B$11)</f>
        <v>1.1646924270110113</v>
      </c>
      <c r="D46" s="11">
        <f>(C46-1)/(C46-1+'1-Input'!$B$27*'1-Input'!$B$11)</f>
        <v>0.18005224723373453</v>
      </c>
    </row>
    <row r="47" spans="1:4">
      <c r="A47" s="17">
        <f>450000</f>
        <v>450000</v>
      </c>
      <c r="B47" s="12">
        <f>LN(('1-Input'!$B$28+'1-Input'!$B$25/'1-Input'!$B$11)/($A47+'1-Input'!$B$25/'1-Input'!$B$11))/LN(1+'1-Input'!$B$11)</f>
        <v>3.7927442180916118</v>
      </c>
      <c r="C47" s="12">
        <f>('1-Input'!$B$28+'1-Input'!$B$25/'1-Input'!$B$11)/($A47+'1-Input'!$B$25/'1-Input'!$B$11)</f>
        <v>1.1186347586747556</v>
      </c>
      <c r="D47" s="11">
        <f>(C47-1)/(C47-1+'1-Input'!$B$27*'1-Input'!$B$11)</f>
        <v>0.13657611267565706</v>
      </c>
    </row>
    <row r="48" spans="1:4">
      <c r="A48" s="17">
        <f>475000</f>
        <v>475000</v>
      </c>
      <c r="B48" s="12">
        <f>LN(('1-Input'!$B$28+'1-Input'!$B$25/'1-Input'!$B$11)/($A48+'1-Input'!$B$25/'1-Input'!$B$11))/LN(1+'1-Input'!$B$11)</f>
        <v>2.4806802270130941</v>
      </c>
      <c r="C48" s="12">
        <f>('1-Input'!$B$28+'1-Input'!$B$25/'1-Input'!$B$11)/($A48+'1-Input'!$B$25/'1-Input'!$B$11)</f>
        <v>1.0760812136430935</v>
      </c>
      <c r="D48" s="11">
        <f>(C48-1)/(C48-1+'1-Input'!$B$27*'1-Input'!$B$11)</f>
        <v>9.2098951515394489E-2</v>
      </c>
    </row>
    <row r="49" spans="1:8">
      <c r="A49" s="17">
        <f>500000</f>
        <v>500000</v>
      </c>
      <c r="B49" s="12">
        <f>LN(('1-Input'!$B$28+'1-Input'!$B$25/'1-Input'!$B$11)/($A49+'1-Input'!$B$25/'1-Input'!$B$11))/LN(1+'1-Input'!$B$11)</f>
        <v>1.2176079304632008</v>
      </c>
      <c r="C49" s="12">
        <f>('1-Input'!$B$28+'1-Input'!$B$25/'1-Input'!$B$11)/($A49+'1-Input'!$B$25/'1-Input'!$B$11)</f>
        <v>1.0366465498281672</v>
      </c>
      <c r="D49" s="11">
        <f>(C49-1)/(C49-1+'1-Input'!$B$27*'1-Input'!$B$11)</f>
        <v>4.6585788542735158E-2</v>
      </c>
    </row>
    <row r="50" spans="1:8">
      <c r="A50" s="17">
        <f>525000</f>
        <v>525000</v>
      </c>
      <c r="B50" s="12">
        <f>LN(('1-Input'!$B$28+'1-Input'!$B$25/'1-Input'!$B$11)/($A50+'1-Input'!$B$25/'1-Input'!$B$11))/LN(1+'1-Input'!$B$11)</f>
        <v>0</v>
      </c>
      <c r="C50" s="12">
        <f>('1-Input'!$B$28+'1-Input'!$B$25/'1-Input'!$B$11)/($A50+'1-Input'!$B$25/'1-Input'!$B$11)</f>
        <v>1</v>
      </c>
      <c r="D50" s="11">
        <f>(C50-1)/(C50-1+'1-Input'!$B$27*'1-Input'!$B$11)</f>
        <v>0</v>
      </c>
    </row>
    <row r="51" spans="1:8" ht="45" customHeight="1">
      <c r="A51" s="40" t="s">
        <v>353</v>
      </c>
      <c r="B51" s="38"/>
      <c r="C51" s="38"/>
      <c r="D51" s="38"/>
      <c r="E51" s="38"/>
      <c r="F51" s="38"/>
      <c r="G51" s="38"/>
      <c r="H51" s="38"/>
    </row>
    <row r="52" spans="1:8">
      <c r="A52" s="6" t="s">
        <v>354</v>
      </c>
      <c r="B52" s="11">
        <f>((('1-Input'!$B$28+'1-Input'!$B$25/'1-Input'!$B$11)/(0+'1-Input'!$B$25/'1-Input'!$B$11))-1)/((('1-Input'!$B$28+'1-Input'!$B$25/'1-Input'!$B$11)/(0+'1-Input'!$B$25/'1-Input'!$B$11))-1+'1-Input'!$B$27*'1-Input'!$B$11)</f>
        <v>0.79347764944522925</v>
      </c>
    </row>
    <row r="53" spans="1:8">
      <c r="A53" s="6" t="s">
        <v>355</v>
      </c>
      <c r="B53" s="11">
        <f>((('1-Input'!$B$28+'1-Input'!$B$25/'1-Input'!$B$11)/(500000+'1-Input'!$B$25/'1-Input'!$B$11))-1)/((('1-Input'!$B$28+'1-Input'!$B$25/'1-Input'!$B$11)/(500000+'1-Input'!$B$25/'1-Input'!$B$11))-1+'1-Input'!$B$27*'1-Input'!$B$11)</f>
        <v>4.6585788542735158E-2</v>
      </c>
    </row>
    <row r="54" spans="1:8">
      <c r="A54" s="6" t="s">
        <v>356</v>
      </c>
      <c r="B54" s="12">
        <f>LN(('1-Input'!$B$28+'1-Input'!$B$25/'1-Input'!$B$11)/(0+'1-Input'!$B$25/'1-Input'!$B$11))/LN(1+'1-Input'!$B$11)</f>
        <v>45.882753809698443</v>
      </c>
    </row>
    <row r="56" spans="1:8">
      <c r="A56" s="41" t="s">
        <v>357</v>
      </c>
      <c r="B56" s="38"/>
      <c r="C56" s="38"/>
      <c r="D56" s="38"/>
      <c r="E56" s="38"/>
      <c r="F56" s="38"/>
      <c r="G56" s="38"/>
      <c r="H56" s="38"/>
    </row>
    <row r="57" spans="1:8">
      <c r="A57" s="15" t="s">
        <v>358</v>
      </c>
      <c r="B57" s="15" t="s">
        <v>359</v>
      </c>
      <c r="C57" s="15" t="s">
        <v>360</v>
      </c>
      <c r="D57" s="15" t="s">
        <v>351</v>
      </c>
      <c r="E57" s="15" t="s">
        <v>361</v>
      </c>
    </row>
    <row r="58" spans="1:8">
      <c r="A58" s="6" t="s">
        <v>362</v>
      </c>
      <c r="B58" s="11">
        <f>'P-Parametri'!$B$28</f>
        <v>0.02</v>
      </c>
      <c r="C58" s="12">
        <f>1/'P-Parametri'!$B$29</f>
        <v>25</v>
      </c>
      <c r="D58" s="12">
        <f>(C58*'1-Input'!$B$7+'1-Input'!$B$25/B58)/('1-Input'!$B$8+'1-Input'!$B$25/B58)</f>
        <v>2.6672865201965528</v>
      </c>
      <c r="E58" s="11">
        <f>(D58-1)/(D58-1+C58*B58)</f>
        <v>0.76929677025137655</v>
      </c>
    </row>
    <row r="59" spans="1:8">
      <c r="A59" s="6" t="s">
        <v>363</v>
      </c>
      <c r="B59" s="11">
        <f>'P-Parametri'!$C$28</f>
        <v>0.03</v>
      </c>
      <c r="C59" s="12">
        <f>1/'P-Parametri'!$B$29</f>
        <v>25</v>
      </c>
      <c r="D59" s="12">
        <f>(C59*'1-Input'!$B$7+'1-Input'!$B$25/B59)/('1-Input'!$B$8+'1-Input'!$B$25/B59)</f>
        <v>3.3968207040129177</v>
      </c>
      <c r="E59" s="11">
        <f>(D59-1)/(D59-1+C59*B59)</f>
        <v>0.76166420951674241</v>
      </c>
    </row>
    <row r="60" spans="1:8">
      <c r="A60" s="6" t="s">
        <v>364</v>
      </c>
      <c r="B60" s="11">
        <f>'P-Parametri'!$D$28</f>
        <v>0.04</v>
      </c>
      <c r="C60" s="12">
        <f>1/'P-Parametri'!$B$29</f>
        <v>25</v>
      </c>
      <c r="D60" s="12">
        <f>(C60*'1-Input'!$B$7+'1-Input'!$B$25/B60)/('1-Input'!$B$8+'1-Input'!$B$25/B60)</f>
        <v>4.0680439495479188</v>
      </c>
      <c r="E60" s="11">
        <f>(D60-1)/(D60-1+C60*B60)</f>
        <v>0.75418161347270352</v>
      </c>
    </row>
    <row r="61" spans="1:8">
      <c r="A61" s="6" t="s">
        <v>365</v>
      </c>
      <c r="B61" s="11">
        <f>'P-Parametri'!$C$28</f>
        <v>0.03</v>
      </c>
      <c r="C61" s="12">
        <f>1/'P-Parametri'!$C$29</f>
        <v>33.333333333333336</v>
      </c>
      <c r="D61" s="12">
        <f>(C61*'1-Input'!$B$7+'1-Input'!$B$25/B61)/('1-Input'!$B$8+'1-Input'!$B$25/B61)</f>
        <v>4.2373890871837805</v>
      </c>
      <c r="E61" s="11">
        <f>(D61-1)/(D61-1+C61*B61)</f>
        <v>0.76400562246583492</v>
      </c>
    </row>
    <row r="62" spans="1:8">
      <c r="A62" s="6" t="s">
        <v>366</v>
      </c>
      <c r="B62" s="11">
        <f>'P-Parametri'!$C$28</f>
        <v>0.03</v>
      </c>
      <c r="C62" s="12">
        <f>1/'P-Parametri'!$D$29</f>
        <v>43.290043290043293</v>
      </c>
      <c r="D62" s="12">
        <f>(C62*'1-Input'!$B$7+'1-Input'!$B$25/B62)/('1-Input'!$B$8+'1-Input'!$B$25/B62)</f>
        <v>5.2417045579853312</v>
      </c>
      <c r="E62" s="11">
        <f>(D62-1)/(D62-1+C62*B62)</f>
        <v>0.76559455529166398</v>
      </c>
    </row>
    <row r="63" spans="1:8" ht="30" customHeight="1">
      <c r="A63" s="40" t="s">
        <v>367</v>
      </c>
      <c r="B63" s="38"/>
      <c r="C63" s="38"/>
      <c r="D63" s="38"/>
      <c r="E63" s="38"/>
      <c r="F63" s="38"/>
      <c r="G63" s="38"/>
      <c r="H63" s="38"/>
    </row>
  </sheetData>
  <mergeCells count="13">
    <mergeCell ref="A63:H63"/>
    <mergeCell ref="A13:H13"/>
    <mergeCell ref="A5:H5"/>
    <mergeCell ref="A27:H27"/>
    <mergeCell ref="A12:H12"/>
    <mergeCell ref="A1:H1"/>
    <mergeCell ref="A56:H56"/>
    <mergeCell ref="A3:H3"/>
    <mergeCell ref="A26:H26"/>
    <mergeCell ref="A25:H25"/>
    <mergeCell ref="A24:H24"/>
    <mergeCell ref="A2:H2"/>
    <mergeCell ref="A51:H5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cols>
    <col min="1" max="1" width="30" customWidth="1"/>
    <col min="2" max="3" width="15" customWidth="1"/>
    <col min="4" max="5" width="17" customWidth="1"/>
    <col min="6" max="8" width="15" customWidth="1"/>
    <col min="9" max="9" width="26" customWidth="1"/>
  </cols>
  <sheetData>
    <row r="1" spans="1:9" ht="24.95" customHeight="1">
      <c r="A1" s="39" t="s">
        <v>368</v>
      </c>
      <c r="B1" s="38"/>
      <c r="C1" s="38"/>
      <c r="D1" s="38"/>
      <c r="E1" s="38"/>
      <c r="F1" s="38"/>
      <c r="G1" s="38"/>
      <c r="H1" s="38"/>
      <c r="I1" s="38"/>
    </row>
    <row r="2" spans="1:9" ht="32.1" customHeight="1">
      <c r="A2" s="37" t="s">
        <v>1</v>
      </c>
      <c r="B2" s="38"/>
      <c r="C2" s="38"/>
      <c r="D2" s="38"/>
      <c r="E2" s="38"/>
      <c r="F2" s="38"/>
      <c r="G2" s="38"/>
      <c r="H2" s="38"/>
      <c r="I2" s="38"/>
    </row>
    <row r="3" spans="1:9" ht="15" customHeight="1">
      <c r="A3" s="40" t="s">
        <v>369</v>
      </c>
      <c r="B3" s="38"/>
      <c r="C3" s="38"/>
      <c r="D3" s="38"/>
      <c r="E3" s="38"/>
      <c r="F3" s="38"/>
      <c r="G3" s="38"/>
      <c r="H3" s="38"/>
      <c r="I3" s="38"/>
    </row>
    <row r="5" spans="1:9" ht="30">
      <c r="A5" s="15" t="s">
        <v>370</v>
      </c>
      <c r="B5" s="15" t="s">
        <v>371</v>
      </c>
      <c r="C5" s="15" t="s">
        <v>372</v>
      </c>
      <c r="D5" s="15" t="s">
        <v>373</v>
      </c>
      <c r="E5" s="15" t="s">
        <v>374</v>
      </c>
      <c r="F5" s="15" t="s">
        <v>375</v>
      </c>
      <c r="G5" s="15" t="s">
        <v>376</v>
      </c>
      <c r="H5" s="15" t="s">
        <v>377</v>
      </c>
      <c r="I5" s="15" t="s">
        <v>378</v>
      </c>
    </row>
    <row r="6" spans="1:9">
      <c r="A6" s="10" t="s">
        <v>379</v>
      </c>
      <c r="B6" s="22">
        <v>55</v>
      </c>
      <c r="C6" s="9">
        <f t="shared" ref="C6:C11" si="0">B6*12</f>
        <v>660</v>
      </c>
      <c r="D6" s="9">
        <f>'1-Input'!$B$27*C6</f>
        <v>16500</v>
      </c>
      <c r="E6" s="12">
        <f>LN((('1-Input'!$B$28+'1-Input'!$B$27*C6)+('1-Input'!$B$25-C6)/'1-Input'!$B$11)/('1-Input'!$B$8+('1-Input'!$B$25-C6)/'1-Input'!$B$11))/LN(1+'1-Input'!$B$11)-(LN(('1-Input'!$B$28+'1-Input'!$B$25/'1-Input'!$B$11)/('1-Input'!$B$8+'1-Input'!$B$25/'1-Input'!$B$11))/LN(1+'1-Input'!$B$11))</f>
        <v>3.5141626036288542</v>
      </c>
      <c r="F6" s="14">
        <f>E6*'1-Input'!$B$13</f>
        <v>6044.3596782416289</v>
      </c>
      <c r="G6" s="11">
        <f>('1-Input'!$B$25-C6)/'1-Input'!$B$23</f>
        <v>0.18158448157220644</v>
      </c>
      <c r="H6" s="16">
        <f>IF('3-Aumento'!$B$10=0,"",C6/'3-Aumento'!$B$10)</f>
        <v>0.23695062947599271</v>
      </c>
      <c r="I6" s="13" t="str">
        <f>IF(C6=0,"",IF(H6&gt;'8-Soglia-q'!$B$9,"ROSSO — oltre la soglia",IF(H6&gt;'8-Soglia-q'!$B$9/2,"GIALLO","VERDE")))</f>
        <v>VERDE</v>
      </c>
    </row>
    <row r="7" spans="1:9">
      <c r="A7" s="10" t="s">
        <v>380</v>
      </c>
      <c r="B7" s="22">
        <v>80</v>
      </c>
      <c r="C7" s="9">
        <f t="shared" si="0"/>
        <v>960</v>
      </c>
      <c r="D7" s="9">
        <f>'1-Input'!$B$27*C7</f>
        <v>24000</v>
      </c>
      <c r="E7" s="12">
        <f>LN((('1-Input'!$B$28+'1-Input'!$B$27*C7)+('1-Input'!$B$25-C7)/'1-Input'!$B$11)/('1-Input'!$B$8+('1-Input'!$B$25-C7)/'1-Input'!$B$11))/LN(1+'1-Input'!$B$11)-(LN(('1-Input'!$B$28+'1-Input'!$B$25/'1-Input'!$B$11)/('1-Input'!$B$8+'1-Input'!$B$25/'1-Input'!$B$11))/LN(1+'1-Input'!$B$11))</f>
        <v>5.2610119070849279</v>
      </c>
      <c r="F7" s="14">
        <f>E7*'1-Input'!$B$13</f>
        <v>9048.9404801860765</v>
      </c>
      <c r="G7" s="11">
        <f>('1-Input'!$B$25-C7)/'1-Input'!$B$23</f>
        <v>0.17024908658013174</v>
      </c>
      <c r="H7" s="16">
        <f>IF('3-Aumento'!$B$10=0,"",C7/'3-Aumento'!$B$10)</f>
        <v>0.34465546105598938</v>
      </c>
      <c r="I7" s="13" t="str">
        <f>IF(C7=0,"",IF(H7&gt;'8-Soglia-q'!$B$9,"ROSSO — oltre la soglia",IF(H7&gt;'8-Soglia-q'!$B$9/2,"GIALLO","VERDE")))</f>
        <v>VERDE</v>
      </c>
    </row>
    <row r="8" spans="1:9">
      <c r="A8" s="10" t="s">
        <v>381</v>
      </c>
      <c r="B8" s="22">
        <v>120</v>
      </c>
      <c r="C8" s="9">
        <f t="shared" si="0"/>
        <v>1440</v>
      </c>
      <c r="D8" s="9">
        <f>'1-Input'!$B$27*C8</f>
        <v>36000</v>
      </c>
      <c r="E8" s="12">
        <f>LN((('1-Input'!$B$28+'1-Input'!$B$27*C8)+('1-Input'!$B$25-C8)/'1-Input'!$B$11)/('1-Input'!$B$8+('1-Input'!$B$25-C8)/'1-Input'!$B$11))/LN(1+'1-Input'!$B$11)-(LN(('1-Input'!$B$28+'1-Input'!$B$25/'1-Input'!$B$11)/('1-Input'!$B$8+'1-Input'!$B$25/'1-Input'!$B$11))/LN(1+'1-Input'!$B$11))</f>
        <v>8.2876446995194044</v>
      </c>
      <c r="F8" s="14">
        <f>E8*'1-Input'!$B$13</f>
        <v>14254.748883173375</v>
      </c>
      <c r="G8" s="11">
        <f>('1-Input'!$B$25-C8)/'1-Input'!$B$23</f>
        <v>0.15211245459281222</v>
      </c>
      <c r="H8" s="16">
        <f>IF('3-Aumento'!$B$10=0,"",C8/'3-Aumento'!$B$10)</f>
        <v>0.51698319158398409</v>
      </c>
      <c r="I8" s="13" t="str">
        <f>IF(C8=0,"",IF(H8&gt;'8-Soglia-q'!$B$9,"ROSSO — oltre la soglia",IF(H8&gt;'8-Soglia-q'!$B$9/2,"GIALLO","VERDE")))</f>
        <v>GIALLO</v>
      </c>
    </row>
    <row r="9" spans="1:9">
      <c r="A9" s="10" t="s">
        <v>382</v>
      </c>
      <c r="B9" s="22">
        <v>180</v>
      </c>
      <c r="C9" s="9">
        <f t="shared" si="0"/>
        <v>2160</v>
      </c>
      <c r="D9" s="9">
        <f>'1-Input'!$B$27*C9</f>
        <v>54000</v>
      </c>
      <c r="E9" s="12">
        <f>LN((('1-Input'!$B$28+'1-Input'!$B$27*C9)+('1-Input'!$B$25-C9)/'1-Input'!$B$11)/('1-Input'!$B$8+('1-Input'!$B$25-C9)/'1-Input'!$B$11))/LN(1+'1-Input'!$B$11)-(LN(('1-Input'!$B$28+'1-Input'!$B$25/'1-Input'!$B$11)/('1-Input'!$B$8+'1-Input'!$B$25/'1-Input'!$B$11))/LN(1+'1-Input'!$B$11))</f>
        <v>13.485377994243613</v>
      </c>
      <c r="F9" s="14">
        <f>E9*'1-Input'!$B$13</f>
        <v>23194.850150099013</v>
      </c>
      <c r="G9" s="11">
        <f>('1-Input'!$B$25-C9)/'1-Input'!$B$23</f>
        <v>0.12490750661183292</v>
      </c>
      <c r="H9" s="16">
        <f>IF('3-Aumento'!$B$10=0,"",C9/'3-Aumento'!$B$10)</f>
        <v>0.77547478737597608</v>
      </c>
      <c r="I9" s="13" t="str">
        <f>IF(C9=0,"",IF(H9&gt;'8-Soglia-q'!$B$9,"ROSSO — oltre la soglia",IF(H9&gt;'8-Soglia-q'!$B$9/2,"GIALLO","VERDE")))</f>
        <v>ROSSO — oltre la soglia</v>
      </c>
    </row>
    <row r="10" spans="1:9">
      <c r="A10" s="10" t="s">
        <v>383</v>
      </c>
      <c r="B10" s="22">
        <v>250</v>
      </c>
      <c r="C10" s="9">
        <f t="shared" si="0"/>
        <v>3000</v>
      </c>
      <c r="D10" s="9">
        <f>'1-Input'!$B$27*C10</f>
        <v>75000</v>
      </c>
      <c r="E10" s="12">
        <f>LN((('1-Input'!$B$28+'1-Input'!$B$27*C10)+('1-Input'!$B$25-C10)/'1-Input'!$B$11)/('1-Input'!$B$8+('1-Input'!$B$25-C10)/'1-Input'!$B$11))/LN(1+'1-Input'!$B$11)-(LN(('1-Input'!$B$28+'1-Input'!$B$25/'1-Input'!$B$11)/('1-Input'!$B$8+'1-Input'!$B$25/'1-Input'!$B$11))/LN(1+'1-Input'!$B$11))</f>
        <v>20.926430724785817</v>
      </c>
      <c r="F10" s="14">
        <f>E10*'1-Input'!$B$13</f>
        <v>35993.460846631606</v>
      </c>
      <c r="G10" s="11">
        <f>('1-Input'!$B$25-C10)/'1-Input'!$B$23</f>
        <v>9.3168400634023749E-2</v>
      </c>
      <c r="H10" s="16">
        <f>IF('3-Aumento'!$B$10=0,"",C10/'3-Aumento'!$B$10)</f>
        <v>1.0770483157999668</v>
      </c>
      <c r="I10" s="13" t="str">
        <f>IF(C10=0,"",IF(H10&gt;'8-Soglia-q'!$B$9,"ROSSO — oltre la soglia",IF(H10&gt;'8-Soglia-q'!$B$9/2,"GIALLO","VERDE")))</f>
        <v>ROSSO — oltre la soglia</v>
      </c>
    </row>
    <row r="11" spans="1:9">
      <c r="A11" s="10" t="s">
        <v>384</v>
      </c>
      <c r="B11" s="22">
        <v>0</v>
      </c>
      <c r="C11" s="9">
        <f t="shared" si="0"/>
        <v>0</v>
      </c>
      <c r="D11" s="9">
        <f>'1-Input'!$B$27*C11</f>
        <v>0</v>
      </c>
      <c r="E11" s="12">
        <f>LN((('1-Input'!$B$28+'1-Input'!$B$27*C11)+('1-Input'!$B$25-C11)/'1-Input'!$B$11)/('1-Input'!$B$8+('1-Input'!$B$25-C11)/'1-Input'!$B$11))/LN(1+'1-Input'!$B$11)-(LN(('1-Input'!$B$28+'1-Input'!$B$25/'1-Input'!$B$11)/('1-Input'!$B$8+'1-Input'!$B$25/'1-Input'!$B$11))/LN(1+'1-Input'!$B$11))</f>
        <v>0</v>
      </c>
      <c r="F11" s="14">
        <f>E11*'1-Input'!$B$13</f>
        <v>0</v>
      </c>
      <c r="G11" s="11">
        <f>('1-Input'!$B$25-C11)/'1-Input'!$B$23</f>
        <v>0.20652235055477078</v>
      </c>
      <c r="H11" s="16">
        <f>IF('3-Aumento'!$B$10=0,"",C11/'3-Aumento'!$B$10)</f>
        <v>0</v>
      </c>
      <c r="I11" s="13" t="str">
        <f>IF(C11=0,"",IF(H11&gt;'8-Soglia-q'!$B$9,"ROSSO — oltre la soglia",IF(H11&gt;'8-Soglia-q'!$B$9/2,"GIALLO","VERDE")))</f>
        <v/>
      </c>
    </row>
    <row r="13" spans="1:9">
      <c r="A13" s="41" t="s">
        <v>385</v>
      </c>
      <c r="B13" s="38"/>
      <c r="C13" s="38"/>
      <c r="D13" s="38"/>
      <c r="E13" s="38"/>
      <c r="F13" s="38"/>
      <c r="G13" s="38"/>
      <c r="H13" s="38"/>
      <c r="I13" s="38"/>
    </row>
    <row r="14" spans="1:9" ht="30">
      <c r="A14" s="15" t="s">
        <v>386</v>
      </c>
      <c r="B14" s="15" t="s">
        <v>279</v>
      </c>
      <c r="C14" s="15" t="s">
        <v>387</v>
      </c>
      <c r="D14" s="15" t="s">
        <v>388</v>
      </c>
    </row>
    <row r="15" spans="1:9">
      <c r="A15" s="12">
        <f>1/'P-Parametri'!$B$29</f>
        <v>25</v>
      </c>
      <c r="B15" s="9">
        <f>A15*'1-Input'!$B$7</f>
        <v>525000</v>
      </c>
      <c r="C15" s="30">
        <f>LN(((A15*('1-Input'!$B$7+12))+('1-Input'!$B$25-12)/'1-Input'!$B$11)/('1-Input'!$B$8+('1-Input'!$B$25-12)/'1-Input'!$B$11))/LN(1+'1-Input'!$B$11)-(LN(((A15*'1-Input'!$B$7)+'1-Input'!$B$25/'1-Input'!$B$11)/('1-Input'!$B$8+'1-Input'!$B$25/'1-Input'!$B$11))/LN(1+'1-Input'!$B$11))</f>
        <v>6.0277577851735487E-2</v>
      </c>
      <c r="D15" s="14">
        <f>C15*'1-Input'!$B$13</f>
        <v>103.67743390498504</v>
      </c>
    </row>
    <row r="16" spans="1:9">
      <c r="A16" s="12">
        <f>1/'P-Parametri'!$C$29</f>
        <v>33.333333333333336</v>
      </c>
      <c r="B16" s="9">
        <f>A16*'1-Input'!$B$7</f>
        <v>700000</v>
      </c>
      <c r="C16" s="30">
        <f>LN(((A16*('1-Input'!$B$7+12))+('1-Input'!$B$25-12)/'1-Input'!$B$11)/('1-Input'!$B$8+('1-Input'!$B$25-12)/'1-Input'!$B$11))/LN(1+'1-Input'!$B$11)-(LN(((A16*'1-Input'!$B$7)+'1-Input'!$B$25/'1-Input'!$B$11)/('1-Input'!$B$8+'1-Input'!$B$25/'1-Input'!$B$11))/LN(1+'1-Input'!$B$11))</f>
        <v>6.5061743996004395E-2</v>
      </c>
      <c r="D16" s="14">
        <f>C16*'1-Input'!$B$13</f>
        <v>111.90619967312756</v>
      </c>
    </row>
    <row r="17" spans="1:9">
      <c r="A17" s="12">
        <f>1/'P-Parametri'!$D$29</f>
        <v>43.290043290043293</v>
      </c>
      <c r="B17" s="9">
        <f>A17*'1-Input'!$B$7</f>
        <v>909090.90909090918</v>
      </c>
      <c r="C17" s="30">
        <f>LN(((A17*('1-Input'!$B$7+12))+('1-Input'!$B$25-12)/'1-Input'!$B$11)/('1-Input'!$B$8+('1-Input'!$B$25-12)/'1-Input'!$B$11))/LN(1+'1-Input'!$B$11)-(LN(((A17*'1-Input'!$B$7)+'1-Input'!$B$25/'1-Input'!$B$11)/('1-Input'!$B$8+'1-Input'!$B$25/'1-Input'!$B$11))/LN(1+'1-Input'!$B$11))</f>
        <v>6.8765556211836554E-2</v>
      </c>
      <c r="D17" s="14">
        <f>C17*'1-Input'!$B$13</f>
        <v>118.27675668435887</v>
      </c>
    </row>
    <row r="18" spans="1:9" ht="30">
      <c r="A18" s="6" t="s">
        <v>389</v>
      </c>
      <c r="B18" s="14">
        <f>D15</f>
        <v>103.67743390498504</v>
      </c>
    </row>
    <row r="19" spans="1:9">
      <c r="A19" s="6" t="s">
        <v>390</v>
      </c>
      <c r="B19" s="14">
        <f>MIN(D15:D17)</f>
        <v>103.67743390498504</v>
      </c>
      <c r="C19" s="14">
        <f>MAX(D15:D17)</f>
        <v>118.27675668435887</v>
      </c>
    </row>
    <row r="20" spans="1:9" ht="45" customHeight="1">
      <c r="A20" s="40" t="s">
        <v>391</v>
      </c>
      <c r="B20" s="38"/>
      <c r="C20" s="38"/>
      <c r="D20" s="38"/>
      <c r="E20" s="38"/>
      <c r="F20" s="38"/>
      <c r="G20" s="38"/>
      <c r="H20" s="38"/>
      <c r="I20" s="38"/>
    </row>
  </sheetData>
  <mergeCells count="5">
    <mergeCell ref="A2:I2"/>
    <mergeCell ref="A13:I13"/>
    <mergeCell ref="A1:I1"/>
    <mergeCell ref="A3:I3"/>
    <mergeCell ref="A20:I20"/>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workbookViewId="0"/>
  </sheetViews>
  <sheetFormatPr defaultRowHeight="15"/>
  <cols>
    <col min="1" max="1" width="46" customWidth="1"/>
    <col min="2" max="5" width="16" customWidth="1"/>
    <col min="6" max="6" width="22" customWidth="1"/>
  </cols>
  <sheetData>
    <row r="1" spans="1:6" ht="24.95" customHeight="1">
      <c r="A1" s="39" t="s">
        <v>392</v>
      </c>
      <c r="B1" s="38"/>
      <c r="C1" s="38"/>
      <c r="D1" s="38"/>
      <c r="E1" s="38"/>
      <c r="F1" s="38"/>
    </row>
    <row r="2" spans="1:6" ht="32.1" customHeight="1">
      <c r="A2" s="37" t="s">
        <v>1</v>
      </c>
      <c r="B2" s="38"/>
      <c r="C2" s="38"/>
      <c r="D2" s="38"/>
      <c r="E2" s="38"/>
      <c r="F2" s="38"/>
    </row>
    <row r="3" spans="1:6" ht="30" customHeight="1">
      <c r="A3" s="40" t="s">
        <v>393</v>
      </c>
      <c r="B3" s="38"/>
      <c r="C3" s="38"/>
      <c r="D3" s="38"/>
      <c r="E3" s="38"/>
      <c r="F3" s="38"/>
    </row>
    <row r="5" spans="1:6">
      <c r="A5" s="6" t="s">
        <v>109</v>
      </c>
      <c r="B5" s="9">
        <f>'1-Input'!$B$23</f>
        <v>26465.77381818182</v>
      </c>
    </row>
    <row r="6" spans="1:6">
      <c r="A6" s="6" t="s">
        <v>394</v>
      </c>
      <c r="B6" s="13">
        <f>'1-Input'!$B$13</f>
        <v>1720</v>
      </c>
    </row>
    <row r="7" spans="1:6">
      <c r="A7" s="6" t="s">
        <v>395</v>
      </c>
      <c r="B7" s="9">
        <f>B5/B6</f>
        <v>15.3870778012685</v>
      </c>
    </row>
    <row r="8" spans="1:6">
      <c r="A8" s="6" t="s">
        <v>396</v>
      </c>
      <c r="B8" s="13">
        <f>'1-Input'!$B$14</f>
        <v>43</v>
      </c>
    </row>
    <row r="10" spans="1:6" ht="45">
      <c r="A10" s="15" t="s">
        <v>397</v>
      </c>
      <c r="B10" s="15" t="s">
        <v>398</v>
      </c>
      <c r="C10" s="15" t="s">
        <v>399</v>
      </c>
      <c r="D10" s="15" t="s">
        <v>400</v>
      </c>
    </row>
    <row r="11" spans="1:6">
      <c r="A11" s="14">
        <f>0.5</f>
        <v>0.5</v>
      </c>
      <c r="B11" s="14">
        <f t="shared" ref="B11:B30" si="0">A11*$B$8</f>
        <v>21.5</v>
      </c>
      <c r="C11" s="9">
        <f t="shared" ref="C11:C30" si="1">B11*$B$7</f>
        <v>330.82217272727274</v>
      </c>
      <c r="D11" s="9">
        <f t="shared" ref="D11:D30" si="2">C11/12</f>
        <v>27.568514393939395</v>
      </c>
    </row>
    <row r="12" spans="1:6">
      <c r="A12" s="14">
        <f>1</f>
        <v>1</v>
      </c>
      <c r="B12" s="14">
        <f t="shared" si="0"/>
        <v>43</v>
      </c>
      <c r="C12" s="9">
        <f t="shared" si="1"/>
        <v>661.64434545454549</v>
      </c>
      <c r="D12" s="9">
        <f t="shared" si="2"/>
        <v>55.137028787878791</v>
      </c>
    </row>
    <row r="13" spans="1:6">
      <c r="A13" s="14">
        <f>1.5</f>
        <v>1.5</v>
      </c>
      <c r="B13" s="14">
        <f t="shared" si="0"/>
        <v>64.5</v>
      </c>
      <c r="C13" s="9">
        <f t="shared" si="1"/>
        <v>992.46651818181829</v>
      </c>
      <c r="D13" s="9">
        <f t="shared" si="2"/>
        <v>82.705543181818186</v>
      </c>
    </row>
    <row r="14" spans="1:6">
      <c r="A14" s="14">
        <f>2</f>
        <v>2</v>
      </c>
      <c r="B14" s="14">
        <f t="shared" si="0"/>
        <v>86</v>
      </c>
      <c r="C14" s="9">
        <f t="shared" si="1"/>
        <v>1323.288690909091</v>
      </c>
      <c r="D14" s="9">
        <f t="shared" si="2"/>
        <v>110.27405757575758</v>
      </c>
    </row>
    <row r="15" spans="1:6">
      <c r="A15" s="14">
        <f>2.5</f>
        <v>2.5</v>
      </c>
      <c r="B15" s="14">
        <f t="shared" si="0"/>
        <v>107.5</v>
      </c>
      <c r="C15" s="9">
        <f t="shared" si="1"/>
        <v>1654.1108636363638</v>
      </c>
      <c r="D15" s="9">
        <f t="shared" si="2"/>
        <v>137.84257196969699</v>
      </c>
    </row>
    <row r="16" spans="1:6">
      <c r="A16" s="14">
        <f>3</f>
        <v>3</v>
      </c>
      <c r="B16" s="14">
        <f t="shared" si="0"/>
        <v>129</v>
      </c>
      <c r="C16" s="9">
        <f t="shared" si="1"/>
        <v>1984.9330363636366</v>
      </c>
      <c r="D16" s="9">
        <f t="shared" si="2"/>
        <v>165.41108636363637</v>
      </c>
    </row>
    <row r="17" spans="1:6">
      <c r="A17" s="14">
        <f>3.5</f>
        <v>3.5</v>
      </c>
      <c r="B17" s="14">
        <f t="shared" si="0"/>
        <v>150.5</v>
      </c>
      <c r="C17" s="9">
        <f t="shared" si="1"/>
        <v>2315.7552090909094</v>
      </c>
      <c r="D17" s="9">
        <f t="shared" si="2"/>
        <v>192.97960075757578</v>
      </c>
    </row>
    <row r="18" spans="1:6">
      <c r="A18" s="14">
        <f>4</f>
        <v>4</v>
      </c>
      <c r="B18" s="14">
        <f t="shared" si="0"/>
        <v>172</v>
      </c>
      <c r="C18" s="9">
        <f t="shared" si="1"/>
        <v>2646.5773818181819</v>
      </c>
      <c r="D18" s="9">
        <f t="shared" si="2"/>
        <v>220.54811515151516</v>
      </c>
    </row>
    <row r="19" spans="1:6">
      <c r="A19" s="14">
        <f>4.5</f>
        <v>4.5</v>
      </c>
      <c r="B19" s="14">
        <f t="shared" si="0"/>
        <v>193.5</v>
      </c>
      <c r="C19" s="9">
        <f t="shared" si="1"/>
        <v>2977.399554545455</v>
      </c>
      <c r="D19" s="9">
        <f t="shared" si="2"/>
        <v>248.11662954545457</v>
      </c>
    </row>
    <row r="20" spans="1:6">
      <c r="A20" s="14">
        <f>5</f>
        <v>5</v>
      </c>
      <c r="B20" s="14">
        <f t="shared" si="0"/>
        <v>215</v>
      </c>
      <c r="C20" s="9">
        <f t="shared" si="1"/>
        <v>3308.2217272727275</v>
      </c>
      <c r="D20" s="9">
        <f t="shared" si="2"/>
        <v>275.68514393939398</v>
      </c>
    </row>
    <row r="21" spans="1:6">
      <c r="A21" s="14">
        <f>5.5</f>
        <v>5.5</v>
      </c>
      <c r="B21" s="14">
        <f t="shared" si="0"/>
        <v>236.5</v>
      </c>
      <c r="C21" s="9">
        <f t="shared" si="1"/>
        <v>3639.0439000000001</v>
      </c>
      <c r="D21" s="9">
        <f t="shared" si="2"/>
        <v>303.25365833333336</v>
      </c>
    </row>
    <row r="22" spans="1:6">
      <c r="A22" s="14">
        <f>6</f>
        <v>6</v>
      </c>
      <c r="B22" s="14">
        <f t="shared" si="0"/>
        <v>258</v>
      </c>
      <c r="C22" s="9">
        <f t="shared" si="1"/>
        <v>3969.8660727272731</v>
      </c>
      <c r="D22" s="9">
        <f t="shared" si="2"/>
        <v>330.82217272727274</v>
      </c>
    </row>
    <row r="23" spans="1:6">
      <c r="A23" s="14">
        <f>6.5</f>
        <v>6.5</v>
      </c>
      <c r="B23" s="14">
        <f t="shared" si="0"/>
        <v>279.5</v>
      </c>
      <c r="C23" s="9">
        <f t="shared" si="1"/>
        <v>4300.6882454545457</v>
      </c>
      <c r="D23" s="9">
        <f t="shared" si="2"/>
        <v>358.39068712121212</v>
      </c>
    </row>
    <row r="24" spans="1:6">
      <c r="A24" s="14">
        <f>7</f>
        <v>7</v>
      </c>
      <c r="B24" s="14">
        <f t="shared" si="0"/>
        <v>301</v>
      </c>
      <c r="C24" s="9">
        <f t="shared" si="1"/>
        <v>4631.5104181818187</v>
      </c>
      <c r="D24" s="9">
        <f t="shared" si="2"/>
        <v>385.95920151515156</v>
      </c>
    </row>
    <row r="25" spans="1:6">
      <c r="A25" s="14">
        <f>7.5</f>
        <v>7.5</v>
      </c>
      <c r="B25" s="14">
        <f t="shared" si="0"/>
        <v>322.5</v>
      </c>
      <c r="C25" s="9">
        <f t="shared" si="1"/>
        <v>4962.3325909090909</v>
      </c>
      <c r="D25" s="9">
        <f t="shared" si="2"/>
        <v>413.52771590909089</v>
      </c>
    </row>
    <row r="26" spans="1:6">
      <c r="A26" s="14">
        <f>8</f>
        <v>8</v>
      </c>
      <c r="B26" s="14">
        <f t="shared" si="0"/>
        <v>344</v>
      </c>
      <c r="C26" s="9">
        <f t="shared" si="1"/>
        <v>5293.1547636363639</v>
      </c>
      <c r="D26" s="9">
        <f t="shared" si="2"/>
        <v>441.09623030303032</v>
      </c>
    </row>
    <row r="27" spans="1:6">
      <c r="A27" s="14">
        <f>8.5</f>
        <v>8.5</v>
      </c>
      <c r="B27" s="14">
        <f t="shared" si="0"/>
        <v>365.5</v>
      </c>
      <c r="C27" s="9">
        <f t="shared" si="1"/>
        <v>5623.9769363636369</v>
      </c>
      <c r="D27" s="9">
        <f t="shared" si="2"/>
        <v>468.66474469696976</v>
      </c>
    </row>
    <row r="28" spans="1:6">
      <c r="A28" s="14">
        <f>9</f>
        <v>9</v>
      </c>
      <c r="B28" s="14">
        <f t="shared" si="0"/>
        <v>387</v>
      </c>
      <c r="C28" s="9">
        <f t="shared" si="1"/>
        <v>5954.79910909091</v>
      </c>
      <c r="D28" s="9">
        <f t="shared" si="2"/>
        <v>496.23325909090914</v>
      </c>
    </row>
    <row r="29" spans="1:6">
      <c r="A29" s="14">
        <f>9.5</f>
        <v>9.5</v>
      </c>
      <c r="B29" s="14">
        <f t="shared" si="0"/>
        <v>408.5</v>
      </c>
      <c r="C29" s="9">
        <f t="shared" si="1"/>
        <v>6285.6212818181821</v>
      </c>
      <c r="D29" s="9">
        <f t="shared" si="2"/>
        <v>523.80177348484847</v>
      </c>
    </row>
    <row r="30" spans="1:6">
      <c r="A30" s="14">
        <f>10</f>
        <v>10</v>
      </c>
      <c r="B30" s="14">
        <f t="shared" si="0"/>
        <v>430</v>
      </c>
      <c r="C30" s="9">
        <f t="shared" si="1"/>
        <v>6616.4434545454551</v>
      </c>
      <c r="D30" s="9">
        <f t="shared" si="2"/>
        <v>551.37028787878796</v>
      </c>
    </row>
    <row r="31" spans="1:6" ht="45" customHeight="1">
      <c r="A31" s="40" t="s">
        <v>401</v>
      </c>
      <c r="B31" s="38"/>
      <c r="C31" s="38"/>
      <c r="D31" s="38"/>
      <c r="E31" s="38"/>
      <c r="F31" s="38"/>
    </row>
    <row r="32" spans="1:6" ht="30">
      <c r="A32" s="6" t="s">
        <v>402</v>
      </c>
      <c r="B32" s="9">
        <f>$B$7*'P-Parametri'!$C$34/12</f>
        <v>66.677337138830168</v>
      </c>
    </row>
    <row r="34" spans="1:6">
      <c r="A34" s="41" t="s">
        <v>403</v>
      </c>
      <c r="B34" s="38"/>
      <c r="C34" s="38"/>
      <c r="D34" s="38"/>
      <c r="E34" s="38"/>
      <c r="F34" s="38"/>
    </row>
    <row r="35" spans="1:6">
      <c r="A35" s="6" t="s">
        <v>404</v>
      </c>
      <c r="B35" s="22">
        <v>55</v>
      </c>
    </row>
    <row r="36" spans="1:6">
      <c r="A36" s="6" t="s">
        <v>405</v>
      </c>
      <c r="B36" s="33">
        <v>0.5</v>
      </c>
    </row>
    <row r="37" spans="1:6">
      <c r="A37" s="6" t="s">
        <v>406</v>
      </c>
      <c r="B37" s="9">
        <f>B36*$B$8*$B$7/12</f>
        <v>27.568514393939395</v>
      </c>
    </row>
    <row r="38" spans="1:6">
      <c r="A38" s="6" t="s">
        <v>407</v>
      </c>
      <c r="B38" s="13" t="str">
        <f>IF(B35&lt;=B37,"GIUSTIFICATA — ti ricompra più tempo di quanto costa","NON GIUSTIFICATA sul solo criterio del tempo")</f>
        <v>NON GIUSTIFICATA sul solo criterio del tempo</v>
      </c>
    </row>
    <row r="39" spans="1:6" ht="30">
      <c r="A39" s="6" t="s">
        <v>408</v>
      </c>
      <c r="B39" s="14">
        <f>(LN((('1-Input'!$B$28+'1-Input'!$B$27*B35*12)+('1-Input'!$B$25-B35*12)/'1-Input'!$B$11)/('1-Input'!$B$8+('1-Input'!$B$25-B35*12)/'1-Input'!$B$11))/LN(1+'1-Input'!$B$11)-(LN(('1-Input'!$B$28+'1-Input'!$B$25/'1-Input'!$B$11)/('1-Input'!$B$8+'1-Input'!$B$25/'1-Input'!$B$11))/LN(1+'1-Input'!$B$11)))*'1-Input'!$B$13</f>
        <v>6044.3596782416289</v>
      </c>
    </row>
    <row r="40" spans="1:6" ht="45" customHeight="1">
      <c r="A40" s="40" t="s">
        <v>409</v>
      </c>
      <c r="B40" s="38"/>
      <c r="C40" s="38"/>
      <c r="D40" s="38"/>
      <c r="E40" s="38"/>
      <c r="F40" s="38"/>
    </row>
  </sheetData>
  <mergeCells count="6">
    <mergeCell ref="A2:F2"/>
    <mergeCell ref="A1:F1"/>
    <mergeCell ref="A31:F31"/>
    <mergeCell ref="A34:F34"/>
    <mergeCell ref="A40:F40"/>
    <mergeCell ref="A3:F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heetViews>
  <sheetFormatPr defaultRowHeight="15"/>
  <cols>
    <col min="1" max="1" width="52" customWidth="1"/>
    <col min="2" max="5" width="20" customWidth="1"/>
  </cols>
  <sheetData>
    <row r="1" spans="1:5" ht="24.95" customHeight="1">
      <c r="A1" s="39" t="s">
        <v>410</v>
      </c>
      <c r="B1" s="38"/>
      <c r="C1" s="38"/>
      <c r="D1" s="38"/>
      <c r="E1" s="38"/>
    </row>
    <row r="2" spans="1:5" ht="32.1" customHeight="1">
      <c r="A2" s="37" t="s">
        <v>1</v>
      </c>
      <c r="B2" s="38"/>
      <c r="C2" s="38"/>
      <c r="D2" s="38"/>
      <c r="E2" s="38"/>
    </row>
    <row r="5" spans="1:5">
      <c r="A5" s="6" t="s">
        <v>411</v>
      </c>
      <c r="B5" s="9">
        <f>'1-Input'!$B$23</f>
        <v>26465.77381818182</v>
      </c>
    </row>
    <row r="6" spans="1:5">
      <c r="A6" s="6" t="s">
        <v>127</v>
      </c>
      <c r="B6" s="11">
        <f>'1-Input'!$B$26</f>
        <v>0.20652235055477078</v>
      </c>
    </row>
    <row r="7" spans="1:5">
      <c r="A7" s="6" t="s">
        <v>412</v>
      </c>
      <c r="B7" s="9">
        <f>'1-Input'!$B$28</f>
        <v>525000</v>
      </c>
    </row>
    <row r="8" spans="1:5">
      <c r="A8" s="6" t="s">
        <v>413</v>
      </c>
      <c r="B8" s="31">
        <f>LN(('1-Input'!$B$28+'1-Input'!$B$25/'1-Input'!$B$11)/('1-Input'!$B$8+'1-Input'!$B$25/'1-Input'!$B$11))/LN(1+'1-Input'!$B$11)</f>
        <v>41.369738093845186</v>
      </c>
    </row>
    <row r="9" spans="1:5">
      <c r="A9" s="6" t="s">
        <v>414</v>
      </c>
      <c r="B9" s="9">
        <f>'3-Aumento'!$B$10</f>
        <v>2785.3903636363611</v>
      </c>
    </row>
    <row r="10" spans="1:5" ht="30">
      <c r="A10" s="6" t="s">
        <v>415</v>
      </c>
      <c r="B10" s="11">
        <f>'8-Soglia-q'!$B$9</f>
        <v>0.76166420951674241</v>
      </c>
    </row>
    <row r="11" spans="1:5">
      <c r="A11" s="6" t="s">
        <v>416</v>
      </c>
      <c r="B11" s="11">
        <f>'1-Input'!$B$10</f>
        <v>1</v>
      </c>
    </row>
    <row r="12" spans="1:5">
      <c r="A12" s="6" t="s">
        <v>417</v>
      </c>
      <c r="B12" s="31">
        <f>LN((('1-Input'!$B$27*('1-Input'!$B$7+'1-Input'!$B$10*'3-Aumento'!$B$10))+('1-Input'!$B$25+(1-'1-Input'!$B$10)*'3-Aumento'!$B$10)/'1-Input'!$B$11)/('1-Input'!$B$8+('1-Input'!$B$25+(1-'1-Input'!$B$10)*'3-Aumento'!$B$10)/'1-Input'!$B$11))/LN(1+'1-Input'!$B$11)</f>
        <v>44.546967876074383</v>
      </c>
    </row>
    <row r="13" spans="1:5" ht="15.75">
      <c r="A13" s="6" t="s">
        <v>418</v>
      </c>
      <c r="B13" s="34">
        <f>B12-B8</f>
        <v>3.1772297822291975</v>
      </c>
    </row>
    <row r="14" spans="1:5">
      <c r="A14" s="6" t="s">
        <v>419</v>
      </c>
      <c r="B14" s="13" t="str">
        <f>IF('1-Input'!$B$10&gt;'8-Soglia-q'!$B$9,"ROSSO — stai spendendo oltre la soglia: la data si allontana",IF('1-Input'!$B$10&gt;'8-Soglia-q'!$B$9/2,"GIALLO — sotto la soglia, ma di poco","VERDE — la data si avvicina"))</f>
        <v>ROSSO — stai spendendo oltre la soglia: la data si allontana</v>
      </c>
    </row>
    <row r="15" spans="1:5">
      <c r="A15" s="6" t="s">
        <v>420</v>
      </c>
      <c r="B15" s="31">
        <f>'7-Scenari'!$F$8-'7-Scenari'!$F$10</f>
        <v>11.47996313576818</v>
      </c>
    </row>
    <row r="17" spans="1:5" ht="30" customHeight="1">
      <c r="A17" s="40" t="s">
        <v>421</v>
      </c>
      <c r="B17" s="38"/>
      <c r="C17" s="38"/>
      <c r="D17" s="38"/>
      <c r="E17" s="38"/>
    </row>
    <row r="18" spans="1:5" ht="30" customHeight="1">
      <c r="A18" s="40" t="s">
        <v>422</v>
      </c>
      <c r="B18" s="38"/>
      <c r="C18" s="38"/>
      <c r="D18" s="38"/>
      <c r="E18" s="38"/>
    </row>
  </sheetData>
  <mergeCells count="4">
    <mergeCell ref="A2:E2"/>
    <mergeCell ref="A1:E1"/>
    <mergeCell ref="A18:E18"/>
    <mergeCell ref="A17:E1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
  <sheetViews>
    <sheetView workbookViewId="0"/>
  </sheetViews>
  <sheetFormatPr defaultRowHeight="15"/>
  <cols>
    <col min="1" max="2" width="62" customWidth="1"/>
    <col min="3" max="3" width="12" customWidth="1"/>
    <col min="4" max="4" width="14" customWidth="1"/>
  </cols>
  <sheetData>
    <row r="1" spans="1:4" ht="24.95" customHeight="1">
      <c r="A1" s="39" t="s">
        <v>423</v>
      </c>
      <c r="B1" s="38"/>
      <c r="C1" s="38"/>
      <c r="D1" s="38"/>
    </row>
    <row r="2" spans="1:4" ht="32.1" customHeight="1">
      <c r="A2" s="37" t="s">
        <v>1</v>
      </c>
      <c r="B2" s="38"/>
      <c r="C2" s="38"/>
      <c r="D2" s="38"/>
    </row>
    <row r="3" spans="1:4" ht="30" customHeight="1">
      <c r="A3" s="40" t="s">
        <v>424</v>
      </c>
      <c r="B3" s="38"/>
      <c r="C3" s="38"/>
      <c r="D3" s="38"/>
    </row>
    <row r="5" spans="1:4">
      <c r="A5" s="15" t="s">
        <v>425</v>
      </c>
      <c r="B5" s="15" t="s">
        <v>426</v>
      </c>
      <c r="C5" s="15" t="s">
        <v>427</v>
      </c>
      <c r="D5" s="15" t="s">
        <v>428</v>
      </c>
    </row>
    <row r="6" spans="1:4" ht="15" customHeight="1">
      <c r="A6" s="5" t="s">
        <v>429</v>
      </c>
      <c r="B6" s="5" t="s">
        <v>430</v>
      </c>
      <c r="C6" s="2" t="s">
        <v>431</v>
      </c>
      <c r="D6" s="3" t="s">
        <v>432</v>
      </c>
    </row>
    <row r="7" spans="1:4" ht="15" customHeight="1">
      <c r="A7" s="5" t="s">
        <v>433</v>
      </c>
      <c r="B7" s="5" t="s">
        <v>434</v>
      </c>
      <c r="C7" s="2" t="s">
        <v>431</v>
      </c>
      <c r="D7" s="3" t="s">
        <v>432</v>
      </c>
    </row>
    <row r="8" spans="1:4" ht="30" customHeight="1">
      <c r="A8" s="5" t="s">
        <v>435</v>
      </c>
      <c r="B8" s="5" t="s">
        <v>436</v>
      </c>
      <c r="C8" s="2" t="s">
        <v>431</v>
      </c>
      <c r="D8" s="3" t="s">
        <v>432</v>
      </c>
    </row>
    <row r="9" spans="1:4" ht="30" customHeight="1">
      <c r="A9" s="5" t="s">
        <v>437</v>
      </c>
      <c r="B9" s="5" t="s">
        <v>438</v>
      </c>
      <c r="C9" s="2" t="s">
        <v>431</v>
      </c>
      <c r="D9" s="3" t="s">
        <v>432</v>
      </c>
    </row>
    <row r="10" spans="1:4" ht="15" customHeight="1">
      <c r="A10" s="5" t="s">
        <v>439</v>
      </c>
      <c r="B10" s="5" t="s">
        <v>440</v>
      </c>
      <c r="C10" s="2" t="s">
        <v>431</v>
      </c>
      <c r="D10" s="3" t="s">
        <v>432</v>
      </c>
    </row>
    <row r="11" spans="1:4" ht="15" customHeight="1">
      <c r="A11" s="5" t="s">
        <v>441</v>
      </c>
      <c r="B11" s="5" t="s">
        <v>442</v>
      </c>
      <c r="C11" s="2" t="s">
        <v>431</v>
      </c>
      <c r="D11" s="3" t="s">
        <v>432</v>
      </c>
    </row>
    <row r="12" spans="1:4" ht="30" customHeight="1">
      <c r="A12" s="5" t="s">
        <v>443</v>
      </c>
      <c r="B12" s="5" t="s">
        <v>444</v>
      </c>
      <c r="C12" s="2" t="s">
        <v>431</v>
      </c>
      <c r="D12" s="3" t="s">
        <v>445</v>
      </c>
    </row>
    <row r="13" spans="1:4" ht="30" customHeight="1">
      <c r="A13" s="5" t="s">
        <v>446</v>
      </c>
      <c r="B13" s="5" t="s">
        <v>447</v>
      </c>
      <c r="C13" s="2" t="s">
        <v>431</v>
      </c>
      <c r="D13" s="3" t="s">
        <v>432</v>
      </c>
    </row>
    <row r="14" spans="1:4" ht="45" customHeight="1">
      <c r="A14" s="5" t="s">
        <v>448</v>
      </c>
      <c r="B14" s="5" t="s">
        <v>449</v>
      </c>
      <c r="C14" s="2" t="s">
        <v>450</v>
      </c>
      <c r="D14" s="3" t="s">
        <v>451</v>
      </c>
    </row>
    <row r="15" spans="1:4" ht="45" customHeight="1">
      <c r="A15" s="5" t="s">
        <v>452</v>
      </c>
      <c r="B15" s="5" t="s">
        <v>453</v>
      </c>
      <c r="C15" s="2" t="s">
        <v>450</v>
      </c>
      <c r="D15" s="3" t="s">
        <v>451</v>
      </c>
    </row>
    <row r="16" spans="1:4" ht="60" customHeight="1">
      <c r="A16" s="5" t="s">
        <v>454</v>
      </c>
      <c r="B16" s="5" t="s">
        <v>453</v>
      </c>
      <c r="C16" s="2" t="s">
        <v>450</v>
      </c>
      <c r="D16" s="3" t="s">
        <v>451</v>
      </c>
    </row>
    <row r="17" spans="1:4" ht="45" customHeight="1">
      <c r="A17" s="5" t="s">
        <v>455</v>
      </c>
      <c r="B17" s="5" t="s">
        <v>456</v>
      </c>
      <c r="C17" s="2" t="s">
        <v>450</v>
      </c>
      <c r="D17" s="3" t="s">
        <v>457</v>
      </c>
    </row>
    <row r="18" spans="1:4" ht="45" customHeight="1">
      <c r="A18" s="5" t="s">
        <v>458</v>
      </c>
      <c r="B18" s="5" t="s">
        <v>459</v>
      </c>
      <c r="C18" s="2" t="s">
        <v>431</v>
      </c>
      <c r="D18" s="3" t="s">
        <v>460</v>
      </c>
    </row>
    <row r="19" spans="1:4" ht="15" customHeight="1">
      <c r="A19" s="5" t="s">
        <v>461</v>
      </c>
      <c r="B19" s="5" t="s">
        <v>462</v>
      </c>
      <c r="C19" s="2" t="s">
        <v>431</v>
      </c>
      <c r="D19" s="3" t="s">
        <v>463</v>
      </c>
    </row>
    <row r="20" spans="1:4" ht="30" customHeight="1">
      <c r="A20" s="5" t="s">
        <v>464</v>
      </c>
      <c r="B20" s="5" t="s">
        <v>465</v>
      </c>
      <c r="C20" s="2" t="s">
        <v>431</v>
      </c>
      <c r="D20" s="3" t="s">
        <v>466</v>
      </c>
    </row>
    <row r="21" spans="1:4" ht="15" customHeight="1">
      <c r="A21" s="5" t="s">
        <v>467</v>
      </c>
      <c r="B21" s="5" t="s">
        <v>468</v>
      </c>
      <c r="C21" s="2" t="s">
        <v>431</v>
      </c>
      <c r="D21" s="3" t="s">
        <v>463</v>
      </c>
    </row>
    <row r="22" spans="1:4" ht="30" customHeight="1">
      <c r="A22" s="5" t="s">
        <v>469</v>
      </c>
      <c r="B22" s="5" t="s">
        <v>470</v>
      </c>
      <c r="C22" s="2" t="s">
        <v>431</v>
      </c>
      <c r="D22" s="3" t="s">
        <v>471</v>
      </c>
    </row>
    <row r="23" spans="1:4" ht="30" customHeight="1">
      <c r="A23" s="5" t="s">
        <v>472</v>
      </c>
      <c r="B23" s="5" t="s">
        <v>473</v>
      </c>
      <c r="C23" s="2" t="s">
        <v>450</v>
      </c>
      <c r="D23" s="3" t="s">
        <v>471</v>
      </c>
    </row>
    <row r="24" spans="1:4" ht="15" customHeight="1">
      <c r="A24" s="5" t="s">
        <v>474</v>
      </c>
      <c r="B24" s="5" t="s">
        <v>475</v>
      </c>
      <c r="C24" s="2" t="s">
        <v>431</v>
      </c>
      <c r="D24" s="3" t="s">
        <v>476</v>
      </c>
    </row>
    <row r="25" spans="1:4" ht="15" customHeight="1">
      <c r="A25" s="5" t="s">
        <v>477</v>
      </c>
      <c r="B25" s="5" t="s">
        <v>478</v>
      </c>
      <c r="C25" s="2" t="s">
        <v>431</v>
      </c>
      <c r="D25" s="3" t="s">
        <v>476</v>
      </c>
    </row>
    <row r="26" spans="1:4" ht="45" customHeight="1">
      <c r="A26" s="5" t="s">
        <v>479</v>
      </c>
      <c r="B26" s="5" t="s">
        <v>480</v>
      </c>
      <c r="C26" s="2" t="s">
        <v>450</v>
      </c>
      <c r="D26" s="3" t="s">
        <v>432</v>
      </c>
    </row>
    <row r="28" spans="1:4" ht="45" customHeight="1">
      <c r="A28" s="40" t="s">
        <v>481</v>
      </c>
      <c r="B28" s="38"/>
      <c r="C28" s="38"/>
      <c r="D28" s="38"/>
    </row>
  </sheetData>
  <mergeCells count="4">
    <mergeCell ref="A1:D1"/>
    <mergeCell ref="A28:D28"/>
    <mergeCell ref="A3:D3"/>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8"/>
  <sheetViews>
    <sheetView workbookViewId="0"/>
  </sheetViews>
  <sheetFormatPr defaultRowHeight="15"/>
  <cols>
    <col min="1" max="1" width="56" customWidth="1"/>
    <col min="2" max="3" width="20" customWidth="1"/>
    <col min="4" max="4" width="18" customWidth="1"/>
    <col min="5" max="5" width="30" customWidth="1"/>
  </cols>
  <sheetData>
    <row r="1" spans="1:5" ht="24.95" customHeight="1">
      <c r="A1" s="39" t="s">
        <v>482</v>
      </c>
      <c r="B1" s="38"/>
      <c r="C1" s="38"/>
      <c r="D1" s="38"/>
      <c r="E1" s="38"/>
    </row>
    <row r="2" spans="1:5" ht="32.1" customHeight="1">
      <c r="A2" s="37" t="s">
        <v>1</v>
      </c>
      <c r="B2" s="38"/>
      <c r="C2" s="38"/>
      <c r="D2" s="38"/>
      <c r="E2" s="38"/>
    </row>
    <row r="3" spans="1:5" ht="45" customHeight="1">
      <c r="A3" s="40" t="s">
        <v>483</v>
      </c>
      <c r="B3" s="38"/>
      <c r="C3" s="38"/>
      <c r="D3" s="38"/>
      <c r="E3" s="38"/>
    </row>
    <row r="5" spans="1:5">
      <c r="A5" s="41" t="s">
        <v>484</v>
      </c>
      <c r="B5" s="38"/>
      <c r="C5" s="38"/>
      <c r="D5" s="38"/>
      <c r="E5" s="38"/>
    </row>
    <row r="6" spans="1:5">
      <c r="A6" s="15" t="s">
        <v>485</v>
      </c>
      <c r="B6" s="15" t="s">
        <v>486</v>
      </c>
      <c r="C6" s="15" t="s">
        <v>487</v>
      </c>
      <c r="D6" s="15" t="s">
        <v>153</v>
      </c>
      <c r="E6" s="15" t="s">
        <v>488</v>
      </c>
    </row>
    <row r="7" spans="1:5">
      <c r="A7" s="6" t="s">
        <v>489</v>
      </c>
      <c r="B7" s="22">
        <v>26465.77</v>
      </c>
      <c r="C7" s="9">
        <f>'1-Input'!$B$23</f>
        <v>26465.77381818182</v>
      </c>
      <c r="D7" s="9">
        <f t="shared" ref="D7:D52" si="0">C7-B7</f>
        <v>3.8181818199518602E-3</v>
      </c>
      <c r="E7" s="13" t="str">
        <f t="shared" ref="E7:E33" si="1">IF(ABS(D7)&lt;=1,"ok","DIVERGENTE")</f>
        <v>ok</v>
      </c>
    </row>
    <row r="8" spans="1:5">
      <c r="A8" s="6" t="s">
        <v>490</v>
      </c>
      <c r="B8" s="22">
        <v>3308.4</v>
      </c>
      <c r="C8" s="9">
        <f>'1-Input'!$B$21</f>
        <v>3308.3999999999996</v>
      </c>
      <c r="D8" s="9">
        <f t="shared" si="0"/>
        <v>0</v>
      </c>
      <c r="E8" s="13" t="str">
        <f t="shared" si="1"/>
        <v>ok</v>
      </c>
    </row>
    <row r="9" spans="1:5">
      <c r="A9" s="6" t="s">
        <v>491</v>
      </c>
      <c r="B9" s="22">
        <v>5572</v>
      </c>
      <c r="C9" s="9">
        <f>'2-Busta-paga'!$I$50</f>
        <v>5571.9941818181806</v>
      </c>
      <c r="D9" s="9">
        <f t="shared" si="0"/>
        <v>-5.8181818194498192E-3</v>
      </c>
      <c r="E9" s="13" t="str">
        <f t="shared" si="1"/>
        <v>ok</v>
      </c>
    </row>
    <row r="10" spans="1:5">
      <c r="A10" s="6" t="s">
        <v>492</v>
      </c>
      <c r="B10" s="22">
        <v>653.83000000000004</v>
      </c>
      <c r="C10" s="9">
        <f>'2-Busta-paga'!$J$50</f>
        <v>653.83199999999999</v>
      </c>
      <c r="D10" s="9">
        <f t="shared" si="0"/>
        <v>1.9999999999527063E-3</v>
      </c>
      <c r="E10" s="13" t="str">
        <f t="shared" si="1"/>
        <v>ok</v>
      </c>
    </row>
    <row r="11" spans="1:5">
      <c r="A11" s="6" t="s">
        <v>493</v>
      </c>
      <c r="B11" s="22">
        <v>29251.16</v>
      </c>
      <c r="C11" s="9">
        <f>'3-Aumento'!$B$9</f>
        <v>29251.164181818182</v>
      </c>
      <c r="D11" s="9">
        <f t="shared" si="0"/>
        <v>4.1818181816779543E-3</v>
      </c>
      <c r="E11" s="13" t="str">
        <f t="shared" si="1"/>
        <v>ok</v>
      </c>
    </row>
    <row r="12" spans="1:5">
      <c r="A12" s="6" t="s">
        <v>111</v>
      </c>
      <c r="B12" s="22">
        <v>5465.77</v>
      </c>
      <c r="C12" s="9">
        <f>'1-Input'!$B$25</f>
        <v>5465.7738181818204</v>
      </c>
      <c r="D12" s="9">
        <f t="shared" si="0"/>
        <v>3.8181818199518602E-3</v>
      </c>
      <c r="E12" s="13" t="str">
        <f t="shared" si="1"/>
        <v>ok</v>
      </c>
    </row>
    <row r="13" spans="1:5">
      <c r="A13" s="6" t="s">
        <v>494</v>
      </c>
      <c r="B13" s="22">
        <v>25913.599999999999</v>
      </c>
      <c r="C13" s="9">
        <f>'1-Input'!$H$45</f>
        <v>25913.603485270924</v>
      </c>
      <c r="D13" s="9">
        <f t="shared" si="0"/>
        <v>3.4852709250117186E-3</v>
      </c>
      <c r="E13" s="13" t="str">
        <f t="shared" si="1"/>
        <v>ok</v>
      </c>
    </row>
    <row r="14" spans="1:5">
      <c r="A14" s="6" t="s">
        <v>495</v>
      </c>
      <c r="B14" s="22">
        <v>2785.39</v>
      </c>
      <c r="C14" s="9">
        <f>'3-Aumento'!$B$10</f>
        <v>2785.3903636363611</v>
      </c>
      <c r="D14" s="9">
        <f t="shared" si="0"/>
        <v>3.6363636127134669E-4</v>
      </c>
      <c r="E14" s="13" t="str">
        <f t="shared" si="1"/>
        <v>ok</v>
      </c>
    </row>
    <row r="15" spans="1:5">
      <c r="A15" s="6" t="s">
        <v>496</v>
      </c>
      <c r="B15" s="22">
        <v>232.12</v>
      </c>
      <c r="C15" s="9">
        <f>'3-Aumento'!$B$11</f>
        <v>232.11586363636343</v>
      </c>
      <c r="D15" s="9">
        <f t="shared" si="0"/>
        <v>-4.1363636365758794E-3</v>
      </c>
      <c r="E15" s="13" t="str">
        <f t="shared" si="1"/>
        <v>ok</v>
      </c>
    </row>
    <row r="16" spans="1:5">
      <c r="A16" s="6" t="s">
        <v>497</v>
      </c>
      <c r="B16" s="22">
        <v>643.29999999999995</v>
      </c>
      <c r="C16" s="9">
        <f>'3-Aumento'!$B$15</f>
        <v>643.29999999999995</v>
      </c>
      <c r="D16" s="9">
        <f t="shared" si="0"/>
        <v>0</v>
      </c>
      <c r="E16" s="13" t="str">
        <f t="shared" si="1"/>
        <v>ok</v>
      </c>
    </row>
    <row r="17" spans="1:5">
      <c r="A17" s="6" t="s">
        <v>498</v>
      </c>
      <c r="B17" s="22">
        <v>3571.31</v>
      </c>
      <c r="C17" s="9">
        <f>'3-Aumento'!$B$16</f>
        <v>3571.3096363636387</v>
      </c>
      <c r="D17" s="9">
        <f t="shared" si="0"/>
        <v>-3.6363636127134669E-4</v>
      </c>
      <c r="E17" s="13" t="str">
        <f t="shared" si="1"/>
        <v>ok</v>
      </c>
    </row>
    <row r="18" spans="1:5">
      <c r="A18" s="6" t="s">
        <v>499</v>
      </c>
      <c r="B18" s="22">
        <v>594634.76</v>
      </c>
      <c r="C18" s="9">
        <f>'7-Scenari'!$B$12</f>
        <v>594634.75909090904</v>
      </c>
      <c r="D18" s="9">
        <f t="shared" si="0"/>
        <v>-9.0909097343683243E-4</v>
      </c>
      <c r="E18" s="13" t="str">
        <f t="shared" si="1"/>
        <v>ok</v>
      </c>
    </row>
    <row r="19" spans="1:5">
      <c r="A19" s="6" t="s">
        <v>500</v>
      </c>
      <c r="B19" s="22">
        <v>23785.39</v>
      </c>
      <c r="C19" s="9">
        <f>'7-Scenari'!$C$8</f>
        <v>23785.390363636361</v>
      </c>
      <c r="D19" s="9">
        <f t="shared" si="0"/>
        <v>3.6363636172609404E-4</v>
      </c>
      <c r="E19" s="13" t="str">
        <f t="shared" si="1"/>
        <v>ok</v>
      </c>
    </row>
    <row r="20" spans="1:5">
      <c r="A20" s="6" t="s">
        <v>501</v>
      </c>
      <c r="B20" s="22">
        <v>22392.7</v>
      </c>
      <c r="C20" s="9">
        <f>'7-Scenari'!$C$9</f>
        <v>22392.695181818181</v>
      </c>
      <c r="D20" s="9">
        <f t="shared" si="0"/>
        <v>-4.818181820155587E-3</v>
      </c>
      <c r="E20" s="13" t="str">
        <f t="shared" si="1"/>
        <v>ok</v>
      </c>
    </row>
    <row r="21" spans="1:5">
      <c r="A21" s="6" t="s">
        <v>502</v>
      </c>
      <c r="B21" s="22">
        <v>6858.47</v>
      </c>
      <c r="C21" s="9">
        <f>'7-Scenari'!$D$9</f>
        <v>6858.469000000001</v>
      </c>
      <c r="D21" s="9">
        <f t="shared" si="0"/>
        <v>-9.9999999929423211E-4</v>
      </c>
      <c r="E21" s="13" t="str">
        <f t="shared" si="1"/>
        <v>ok</v>
      </c>
    </row>
    <row r="22" spans="1:5">
      <c r="A22" s="6" t="s">
        <v>503</v>
      </c>
      <c r="B22" s="22">
        <v>8251.16</v>
      </c>
      <c r="C22" s="9">
        <f>'7-Scenari'!$D$10</f>
        <v>8251.1641818181815</v>
      </c>
      <c r="D22" s="9">
        <f t="shared" si="0"/>
        <v>4.1818181816779543E-3</v>
      </c>
      <c r="E22" s="13" t="str">
        <f t="shared" si="1"/>
        <v>ok</v>
      </c>
    </row>
    <row r="23" spans="1:5">
      <c r="A23" s="6" t="s">
        <v>504</v>
      </c>
      <c r="B23" s="22">
        <v>695</v>
      </c>
      <c r="C23" s="9">
        <f>'3-Aumento'!$B$34</f>
        <v>695</v>
      </c>
      <c r="D23" s="9">
        <f t="shared" si="0"/>
        <v>0</v>
      </c>
      <c r="E23" s="13" t="str">
        <f t="shared" si="1"/>
        <v>ok</v>
      </c>
    </row>
    <row r="24" spans="1:5">
      <c r="A24" s="6" t="s">
        <v>505</v>
      </c>
      <c r="B24" s="22">
        <v>599.57000000000005</v>
      </c>
      <c r="C24" s="9">
        <f>'3-Aumento'!$B$37</f>
        <v>599.57302500000003</v>
      </c>
      <c r="D24" s="9">
        <f t="shared" si="0"/>
        <v>3.0249999999796273E-3</v>
      </c>
      <c r="E24" s="13" t="str">
        <f t="shared" si="1"/>
        <v>ok</v>
      </c>
    </row>
    <row r="25" spans="1:5">
      <c r="A25" s="6" t="s">
        <v>506</v>
      </c>
      <c r="B25" s="22">
        <v>276.55</v>
      </c>
      <c r="C25" s="9">
        <f>'3-Aumento'!$B$39</f>
        <v>276.54947181818176</v>
      </c>
      <c r="D25" s="9">
        <f t="shared" si="0"/>
        <v>-5.2818181825387001E-4</v>
      </c>
      <c r="E25" s="13" t="str">
        <f t="shared" si="1"/>
        <v>ok</v>
      </c>
    </row>
    <row r="26" spans="1:5">
      <c r="A26" s="6" t="s">
        <v>507</v>
      </c>
      <c r="B26" s="22">
        <v>323.02</v>
      </c>
      <c r="C26" s="9">
        <f>'3-Aumento'!$B$41</f>
        <v>323.02355318181827</v>
      </c>
      <c r="D26" s="9">
        <f t="shared" si="0"/>
        <v>3.5531818182903407E-3</v>
      </c>
      <c r="E26" s="13" t="str">
        <f t="shared" si="1"/>
        <v>ok</v>
      </c>
    </row>
    <row r="27" spans="1:5">
      <c r="A27" s="6" t="s">
        <v>508</v>
      </c>
      <c r="B27" s="22">
        <v>30833.61</v>
      </c>
      <c r="C27" s="9">
        <f>'4-Rapporto-RAL'!$B$7</f>
        <v>30833.608633410418</v>
      </c>
      <c r="D27" s="9">
        <f t="shared" si="0"/>
        <v>-1.3665895821759477E-3</v>
      </c>
      <c r="E27" s="13" t="str">
        <f t="shared" si="1"/>
        <v>ok</v>
      </c>
    </row>
    <row r="28" spans="1:5">
      <c r="A28" s="6" t="s">
        <v>509</v>
      </c>
      <c r="B28" s="22">
        <v>35238.410000000003</v>
      </c>
      <c r="C28" s="9">
        <f>'4-Rapporto-RAL'!$B$8</f>
        <v>35238.409866754759</v>
      </c>
      <c r="D28" s="9">
        <f t="shared" si="0"/>
        <v>-1.3324524479685351E-4</v>
      </c>
      <c r="E28" s="13" t="str">
        <f t="shared" si="1"/>
        <v>ok</v>
      </c>
    </row>
    <row r="29" spans="1:5">
      <c r="A29" s="6" t="s">
        <v>510</v>
      </c>
      <c r="B29" s="22">
        <v>36339.61</v>
      </c>
      <c r="C29" s="9">
        <f>'4-Rapporto-RAL'!$B$9</f>
        <v>36339.610175090849</v>
      </c>
      <c r="D29" s="9">
        <f t="shared" si="0"/>
        <v>1.7509084864286706E-4</v>
      </c>
      <c r="E29" s="13" t="str">
        <f t="shared" si="1"/>
        <v>ok</v>
      </c>
    </row>
    <row r="30" spans="1:5">
      <c r="A30" s="6" t="s">
        <v>511</v>
      </c>
      <c r="B30" s="22">
        <v>1101.2</v>
      </c>
      <c r="C30" s="9">
        <f>'4-Rapporto-RAL'!$B$11</f>
        <v>1101.2003083360905</v>
      </c>
      <c r="D30" s="9">
        <f t="shared" si="0"/>
        <v>3.0833609048386279E-4</v>
      </c>
      <c r="E30" s="13" t="str">
        <f t="shared" si="1"/>
        <v>ok</v>
      </c>
    </row>
    <row r="31" spans="1:5">
      <c r="A31" s="6" t="s">
        <v>512</v>
      </c>
      <c r="B31" s="22">
        <v>308.39999999999998</v>
      </c>
      <c r="C31" s="9">
        <f>'1-Input'!$B$30</f>
        <v>308.40000000000146</v>
      </c>
      <c r="D31" s="9">
        <f t="shared" si="0"/>
        <v>1.4779288903810084E-12</v>
      </c>
      <c r="E31" s="13" t="str">
        <f t="shared" si="1"/>
        <v>ok</v>
      </c>
    </row>
    <row r="32" spans="1:5">
      <c r="A32" s="6" t="s">
        <v>513</v>
      </c>
      <c r="B32" s="22">
        <v>300</v>
      </c>
      <c r="C32" s="9">
        <f>'5-Moltiplicatore'!$C$6</f>
        <v>300</v>
      </c>
      <c r="D32" s="9">
        <f t="shared" si="0"/>
        <v>0</v>
      </c>
      <c r="E32" s="13" t="str">
        <f t="shared" si="1"/>
        <v>ok</v>
      </c>
    </row>
    <row r="33" spans="1:5">
      <c r="A33" s="6" t="s">
        <v>514</v>
      </c>
      <c r="B33" s="22">
        <v>519.48</v>
      </c>
      <c r="C33" s="9">
        <f>'5-Moltiplicatore'!$C$8</f>
        <v>519.48051948051955</v>
      </c>
      <c r="D33" s="9">
        <f t="shared" si="0"/>
        <v>5.1948051952876995E-4</v>
      </c>
      <c r="E33" s="13" t="str">
        <f t="shared" si="1"/>
        <v>ok</v>
      </c>
    </row>
    <row r="34" spans="1:5">
      <c r="A34" s="6" t="s">
        <v>515</v>
      </c>
      <c r="B34" s="22">
        <v>15.39</v>
      </c>
      <c r="C34" s="9">
        <f>'10-Regola-ora'!$B$7</f>
        <v>15.3870778012685</v>
      </c>
      <c r="D34" s="9">
        <f t="shared" si="0"/>
        <v>-2.9221987315004583E-3</v>
      </c>
      <c r="E34" s="13" t="str">
        <f>IF(ABS(D34)&lt;=0.01,"ok","DIVERGENTE")</f>
        <v>ok</v>
      </c>
    </row>
    <row r="35" spans="1:5">
      <c r="A35" s="6" t="s">
        <v>516</v>
      </c>
      <c r="B35" s="22">
        <v>55.14</v>
      </c>
      <c r="C35" s="9">
        <f>'10-Regola-ora'!$D$12</f>
        <v>55.137028787878791</v>
      </c>
      <c r="D35" s="9">
        <f t="shared" si="0"/>
        <v>-2.9712121212099873E-3</v>
      </c>
      <c r="E35" s="13" t="str">
        <f>IF(ABS(D35)&lt;=0.01,"ok","DIVERGENTE")</f>
        <v>ok</v>
      </c>
    </row>
    <row r="36" spans="1:5">
      <c r="A36" s="6" t="s">
        <v>517</v>
      </c>
      <c r="B36" s="22">
        <v>2646.58</v>
      </c>
      <c r="C36" s="9">
        <f>'7-Scenari'!$B$35</f>
        <v>2646.5773818181824</v>
      </c>
      <c r="D36" s="9">
        <f t="shared" si="0"/>
        <v>-2.6181818175246008E-3</v>
      </c>
      <c r="E36" s="13" t="str">
        <f t="shared" ref="E36:E50" si="2">IF(ABS(D36)&lt;=1,"ok","DIVERGENTE")</f>
        <v>ok</v>
      </c>
    </row>
    <row r="37" spans="1:5">
      <c r="A37" s="6" t="s">
        <v>518</v>
      </c>
      <c r="B37" s="22">
        <v>2205.48</v>
      </c>
      <c r="C37" s="9">
        <f>'1-Input'!$B$24</f>
        <v>2205.4811515151519</v>
      </c>
      <c r="D37" s="9">
        <f t="shared" si="0"/>
        <v>1.1515151518324274E-3</v>
      </c>
      <c r="E37" s="13" t="str">
        <f t="shared" si="2"/>
        <v>ok</v>
      </c>
    </row>
    <row r="38" spans="1:5">
      <c r="A38" s="6" t="s">
        <v>519</v>
      </c>
      <c r="B38" s="22">
        <v>2035.83</v>
      </c>
      <c r="C38" s="9">
        <f>'1-Input'!$C$24</f>
        <v>2035.8287552447555</v>
      </c>
      <c r="D38" s="9">
        <f t="shared" si="0"/>
        <v>-1.2447552444427856E-3</v>
      </c>
      <c r="E38" s="13" t="str">
        <f t="shared" si="2"/>
        <v>ok</v>
      </c>
    </row>
    <row r="39" spans="1:5">
      <c r="A39" s="6" t="s">
        <v>520</v>
      </c>
      <c r="B39" s="22">
        <v>583.33000000000004</v>
      </c>
      <c r="C39" s="9">
        <f>'3-Aumento'!$B$13</f>
        <v>583.33333333333337</v>
      </c>
      <c r="D39" s="9">
        <f t="shared" si="0"/>
        <v>3.3333333333303017E-3</v>
      </c>
      <c r="E39" s="13" t="str">
        <f t="shared" si="2"/>
        <v>ok</v>
      </c>
    </row>
    <row r="40" spans="1:5">
      <c r="A40" s="6" t="s">
        <v>521</v>
      </c>
      <c r="B40" s="22">
        <v>1519.75</v>
      </c>
      <c r="C40" s="9">
        <f>'1-Input'!$F$38</f>
        <v>1519.7489230769243</v>
      </c>
      <c r="D40" s="9">
        <f t="shared" si="0"/>
        <v>-1.0769230757432524E-3</v>
      </c>
      <c r="E40" s="13" t="str">
        <f t="shared" si="2"/>
        <v>ok</v>
      </c>
    </row>
    <row r="41" spans="1:5">
      <c r="A41" s="6" t="s">
        <v>522</v>
      </c>
      <c r="B41" s="22">
        <v>631.13</v>
      </c>
      <c r="C41" s="9">
        <f>'3-Aumento'!$B$35</f>
        <v>631.12950000000001</v>
      </c>
      <c r="D41" s="9">
        <f t="shared" si="0"/>
        <v>-4.9999999998817657E-4</v>
      </c>
      <c r="E41" s="13" t="str">
        <f t="shared" si="2"/>
        <v>ok</v>
      </c>
    </row>
    <row r="42" spans="1:5">
      <c r="A42" s="6" t="s">
        <v>523</v>
      </c>
      <c r="B42" s="22">
        <v>31.56</v>
      </c>
      <c r="C42" s="9">
        <f>'3-Aumento'!$B$36</f>
        <v>31.556475000000002</v>
      </c>
      <c r="D42" s="9">
        <f t="shared" si="0"/>
        <v>-3.5249999999962256E-3</v>
      </c>
      <c r="E42" s="13" t="str">
        <f t="shared" si="2"/>
        <v>ok</v>
      </c>
    </row>
    <row r="43" spans="1:5">
      <c r="A43" s="6" t="s">
        <v>524</v>
      </c>
      <c r="B43" s="22">
        <v>596.38</v>
      </c>
      <c r="C43" s="9">
        <f>'3-Aumento'!$B$49</f>
        <v>596.37950000000001</v>
      </c>
      <c r="D43" s="9">
        <f t="shared" si="0"/>
        <v>-4.9999999998817657E-4</v>
      </c>
      <c r="E43" s="13" t="str">
        <f t="shared" si="2"/>
        <v>ok</v>
      </c>
    </row>
    <row r="44" spans="1:5">
      <c r="A44" s="6" t="s">
        <v>525</v>
      </c>
      <c r="B44" s="22">
        <v>525000</v>
      </c>
      <c r="C44" s="9">
        <f>'1-Input'!$B$28</f>
        <v>525000</v>
      </c>
      <c r="D44" s="9">
        <f t="shared" si="0"/>
        <v>0</v>
      </c>
      <c r="E44" s="13" t="str">
        <f t="shared" si="2"/>
        <v>ok</v>
      </c>
    </row>
    <row r="45" spans="1:5">
      <c r="A45" s="6" t="s">
        <v>215</v>
      </c>
      <c r="B45" s="22">
        <v>8809.6</v>
      </c>
      <c r="C45" s="9">
        <f>'4-Rapporto-RAL'!$B$12</f>
        <v>8809.6024666886951</v>
      </c>
      <c r="D45" s="9">
        <f t="shared" si="0"/>
        <v>2.4666886947670719E-3</v>
      </c>
      <c r="E45" s="13" t="str">
        <f t="shared" si="2"/>
        <v>ok</v>
      </c>
    </row>
    <row r="46" spans="1:5">
      <c r="A46" s="6" t="s">
        <v>526</v>
      </c>
      <c r="B46" s="22">
        <v>397.91</v>
      </c>
      <c r="C46" s="9">
        <f>'8-Soglia-q'!$B$15</f>
        <v>397.91290909090458</v>
      </c>
      <c r="D46" s="9">
        <f t="shared" si="0"/>
        <v>2.9090909045521585E-3</v>
      </c>
      <c r="E46" s="13" t="str">
        <f t="shared" si="2"/>
        <v>ok</v>
      </c>
    </row>
    <row r="47" spans="1:5">
      <c r="A47" s="6" t="s">
        <v>527</v>
      </c>
      <c r="B47" s="22">
        <v>4200.7</v>
      </c>
      <c r="C47" s="9">
        <f>'8-Soglia-q'!$B$20</f>
        <v>4200.7040909090865</v>
      </c>
      <c r="D47" s="9">
        <f t="shared" si="0"/>
        <v>4.0909090866989573E-3</v>
      </c>
      <c r="E47" s="13" t="str">
        <f t="shared" si="2"/>
        <v>ok</v>
      </c>
    </row>
    <row r="48" spans="1:5">
      <c r="A48" s="6" t="s">
        <v>528</v>
      </c>
      <c r="B48" s="22">
        <v>6246.41</v>
      </c>
      <c r="C48" s="9">
        <f>'8-Soglia-q'!$B$21</f>
        <v>6246.4057272727223</v>
      </c>
      <c r="D48" s="9">
        <f t="shared" si="0"/>
        <v>-4.272727277566446E-3</v>
      </c>
      <c r="E48" s="13" t="str">
        <f t="shared" si="2"/>
        <v>ok</v>
      </c>
    </row>
    <row r="49" spans="1:5">
      <c r="A49" s="6" t="s">
        <v>529</v>
      </c>
      <c r="B49" s="22">
        <v>16500</v>
      </c>
      <c r="C49" s="9">
        <f>'9-Traduttore'!$D$6</f>
        <v>16500</v>
      </c>
      <c r="D49" s="9">
        <f t="shared" si="0"/>
        <v>0</v>
      </c>
      <c r="E49" s="13" t="str">
        <f t="shared" si="2"/>
        <v>ok</v>
      </c>
    </row>
    <row r="50" spans="1:5">
      <c r="A50" s="6" t="s">
        <v>530</v>
      </c>
      <c r="B50" s="22">
        <v>75000</v>
      </c>
      <c r="C50" s="9">
        <f>'9-Traduttore'!$D$10</f>
        <v>75000</v>
      </c>
      <c r="D50" s="9">
        <f t="shared" si="0"/>
        <v>0</v>
      </c>
      <c r="E50" s="13" t="str">
        <f t="shared" si="2"/>
        <v>ok</v>
      </c>
    </row>
    <row r="51" spans="1:5">
      <c r="A51" s="6" t="s">
        <v>531</v>
      </c>
      <c r="B51" s="22">
        <v>110.27</v>
      </c>
      <c r="C51" s="9">
        <f>'10-Regola-ora'!$D$14</f>
        <v>110.27405757575758</v>
      </c>
      <c r="D51" s="9">
        <f t="shared" si="0"/>
        <v>4.0575757575851412E-3</v>
      </c>
      <c r="E51" s="13" t="str">
        <f>IF(ABS(D51)&lt;=0.01,"ok","DIVERGENTE")</f>
        <v>ok</v>
      </c>
    </row>
    <row r="52" spans="1:5">
      <c r="A52" s="6" t="s">
        <v>532</v>
      </c>
      <c r="B52" s="22">
        <v>100</v>
      </c>
      <c r="C52" s="9">
        <f>'4-Rapporto-RAL'!$E$24</f>
        <v>761.5901332452413</v>
      </c>
      <c r="D52" s="9">
        <f t="shared" si="0"/>
        <v>661.5901332452413</v>
      </c>
      <c r="E52" s="13" t="str">
        <f>IF(ABS(D52)&lt;=1,"ok","DIVERGENTE")</f>
        <v>DIVERGENTE</v>
      </c>
    </row>
    <row r="54" spans="1:5">
      <c r="A54" s="41" t="s">
        <v>533</v>
      </c>
      <c r="B54" s="38"/>
      <c r="C54" s="38"/>
      <c r="D54" s="38"/>
      <c r="E54" s="38"/>
    </row>
    <row r="55" spans="1:5">
      <c r="A55" s="15" t="s">
        <v>485</v>
      </c>
      <c r="B55" s="15" t="s">
        <v>486</v>
      </c>
      <c r="C55" s="15" t="s">
        <v>487</v>
      </c>
      <c r="D55" s="15" t="s">
        <v>153</v>
      </c>
      <c r="E55" s="15" t="s">
        <v>488</v>
      </c>
    </row>
    <row r="56" spans="1:5">
      <c r="A56" s="6" t="s">
        <v>534</v>
      </c>
      <c r="B56" s="35">
        <v>41.37</v>
      </c>
      <c r="C56" s="12">
        <f>'7-Scenari'!$F$7</f>
        <v>41.369738093845186</v>
      </c>
      <c r="D56" s="12">
        <f t="shared" ref="D56:D81" si="3">C56-B56</f>
        <v>-2.6190615481169743E-4</v>
      </c>
      <c r="E56" s="13" t="str">
        <f t="shared" ref="E56:E81" si="4">IF(ABS(D56)&lt;=0.01,"ok","DIVERGENTE")</f>
        <v>ok</v>
      </c>
    </row>
    <row r="57" spans="1:5">
      <c r="A57" s="6" t="s">
        <v>535</v>
      </c>
      <c r="B57" s="35">
        <v>44.55</v>
      </c>
      <c r="C57" s="12">
        <f>'7-Scenari'!$F$8</f>
        <v>44.546967876074383</v>
      </c>
      <c r="D57" s="12">
        <f t="shared" si="3"/>
        <v>-3.0321239256139165E-3</v>
      </c>
      <c r="E57" s="13" t="str">
        <f t="shared" si="4"/>
        <v>ok</v>
      </c>
    </row>
    <row r="58" spans="1:5">
      <c r="A58" s="6" t="s">
        <v>536</v>
      </c>
      <c r="B58" s="35">
        <v>38.24</v>
      </c>
      <c r="C58" s="12">
        <f>'7-Scenari'!$F$9</f>
        <v>38.238774043662126</v>
      </c>
      <c r="D58" s="12">
        <f t="shared" si="3"/>
        <v>-1.225956337876255E-3</v>
      </c>
      <c r="E58" s="13" t="str">
        <f t="shared" si="4"/>
        <v>ok</v>
      </c>
    </row>
    <row r="59" spans="1:5">
      <c r="A59" s="6" t="s">
        <v>537</v>
      </c>
      <c r="B59" s="35">
        <v>33.07</v>
      </c>
      <c r="C59" s="12">
        <f>'7-Scenari'!$F$10</f>
        <v>33.067004740306203</v>
      </c>
      <c r="D59" s="12">
        <f t="shared" si="3"/>
        <v>-2.9952596937974363E-3</v>
      </c>
      <c r="E59" s="13" t="str">
        <f t="shared" si="4"/>
        <v>ok</v>
      </c>
    </row>
    <row r="60" spans="1:5">
      <c r="A60" s="6" t="s">
        <v>303</v>
      </c>
      <c r="B60" s="35">
        <v>11.48</v>
      </c>
      <c r="C60" s="12">
        <f>'7-Scenari'!$B$11</f>
        <v>11.47996313576818</v>
      </c>
      <c r="D60" s="12">
        <f t="shared" si="3"/>
        <v>-3.6864231820032956E-5</v>
      </c>
      <c r="E60" s="13" t="str">
        <f t="shared" si="4"/>
        <v>ok</v>
      </c>
    </row>
    <row r="61" spans="1:5">
      <c r="A61" s="6" t="s">
        <v>304</v>
      </c>
      <c r="B61" s="35">
        <v>3.18</v>
      </c>
      <c r="C61" s="12">
        <f>'7-Scenari'!$H$8</f>
        <v>3.1772297822291975</v>
      </c>
      <c r="D61" s="12">
        <f t="shared" si="3"/>
        <v>-2.7702177708026632E-3</v>
      </c>
      <c r="E61" s="13" t="str">
        <f t="shared" si="4"/>
        <v>ok</v>
      </c>
    </row>
    <row r="62" spans="1:5">
      <c r="A62" s="6" t="s">
        <v>305</v>
      </c>
      <c r="B62" s="35">
        <v>8.3000000000000007</v>
      </c>
      <c r="C62" s="12">
        <f>-'7-Scenari'!$H$10</f>
        <v>8.3027333535389829</v>
      </c>
      <c r="D62" s="12">
        <f t="shared" si="3"/>
        <v>2.7333535389821861E-3</v>
      </c>
      <c r="E62" s="13" t="str">
        <f t="shared" si="4"/>
        <v>ok</v>
      </c>
    </row>
    <row r="63" spans="1:5">
      <c r="A63" s="6" t="s">
        <v>538</v>
      </c>
      <c r="B63" s="35">
        <v>15.4</v>
      </c>
      <c r="C63" s="12">
        <f>'7-Scenari'!$F$16</f>
        <v>15.397380826113633</v>
      </c>
      <c r="D63" s="12">
        <f t="shared" si="3"/>
        <v>-2.6191738863676761E-3</v>
      </c>
      <c r="E63" s="13" t="str">
        <f t="shared" si="4"/>
        <v>ok</v>
      </c>
    </row>
    <row r="64" spans="1:5">
      <c r="A64" s="6" t="s">
        <v>539</v>
      </c>
      <c r="B64" s="35">
        <v>9.09</v>
      </c>
      <c r="C64" s="12">
        <f>'7-Scenari'!$F$18</f>
        <v>9.0863671151345073</v>
      </c>
      <c r="D64" s="12">
        <f t="shared" si="3"/>
        <v>-3.6328848654925139E-3</v>
      </c>
      <c r="E64" s="13" t="str">
        <f t="shared" si="4"/>
        <v>ok</v>
      </c>
    </row>
    <row r="65" spans="1:5">
      <c r="A65" s="6" t="s">
        <v>540</v>
      </c>
      <c r="B65" s="35">
        <v>48.85</v>
      </c>
      <c r="C65" s="12">
        <f>'6-Anni-al-FIRE'!$B$16</f>
        <v>48.849993529800521</v>
      </c>
      <c r="D65" s="12">
        <f t="shared" si="3"/>
        <v>-6.4701994801907858E-6</v>
      </c>
      <c r="E65" s="13" t="str">
        <f t="shared" si="4"/>
        <v>ok</v>
      </c>
    </row>
    <row r="66" spans="1:5">
      <c r="A66" s="6" t="s">
        <v>541</v>
      </c>
      <c r="B66" s="35">
        <v>1.41</v>
      </c>
      <c r="C66" s="12">
        <f>'7-Scenari'!$E$26</f>
        <v>1.4055423483598943</v>
      </c>
      <c r="D66" s="12">
        <f t="shared" si="3"/>
        <v>-4.4576516401055866E-3</v>
      </c>
      <c r="E66" s="13" t="str">
        <f t="shared" si="4"/>
        <v>ok</v>
      </c>
    </row>
    <row r="67" spans="1:5">
      <c r="A67" s="6" t="s">
        <v>542</v>
      </c>
      <c r="B67" s="35">
        <v>5.25</v>
      </c>
      <c r="C67" s="12">
        <f>'7-Scenari'!$E$27</f>
        <v>5.2481734547451566</v>
      </c>
      <c r="D67" s="12">
        <f t="shared" si="3"/>
        <v>-1.8265452548433814E-3</v>
      </c>
      <c r="E67" s="13" t="str">
        <f t="shared" si="4"/>
        <v>ok</v>
      </c>
    </row>
    <row r="68" spans="1:5">
      <c r="A68" s="6" t="s">
        <v>543</v>
      </c>
      <c r="B68" s="35">
        <v>6.74</v>
      </c>
      <c r="C68" s="12">
        <f>'7-Scenari'!$E$28</f>
        <v>6.7361548851196744</v>
      </c>
      <c r="D68" s="12">
        <f t="shared" si="3"/>
        <v>-3.8451148803257951E-3</v>
      </c>
      <c r="E68" s="13" t="str">
        <f t="shared" si="4"/>
        <v>ok</v>
      </c>
    </row>
    <row r="69" spans="1:5">
      <c r="A69" s="6" t="s">
        <v>544</v>
      </c>
      <c r="B69" s="35">
        <v>0.08</v>
      </c>
      <c r="C69" s="12">
        <f>'7-Scenari'!$B$29</f>
        <v>8.2439082014623466E-2</v>
      </c>
      <c r="D69" s="12">
        <f t="shared" si="3"/>
        <v>2.4390820146234643E-3</v>
      </c>
      <c r="E69" s="13" t="str">
        <f t="shared" si="4"/>
        <v>ok</v>
      </c>
    </row>
    <row r="70" spans="1:5">
      <c r="A70" s="6" t="s">
        <v>545</v>
      </c>
      <c r="B70" s="35">
        <v>3.51</v>
      </c>
      <c r="C70" s="12">
        <f>'9-Traduttore'!$E$6</f>
        <v>3.5141626036288542</v>
      </c>
      <c r="D70" s="12">
        <f t="shared" si="3"/>
        <v>4.1626036288544555E-3</v>
      </c>
      <c r="E70" s="13" t="str">
        <f t="shared" si="4"/>
        <v>ok</v>
      </c>
    </row>
    <row r="71" spans="1:5">
      <c r="A71" s="6" t="s">
        <v>546</v>
      </c>
      <c r="B71" s="35">
        <v>20.93</v>
      </c>
      <c r="C71" s="12">
        <f>'9-Traduttore'!$E$10</f>
        <v>20.926430724785817</v>
      </c>
      <c r="D71" s="12">
        <f t="shared" si="3"/>
        <v>-3.56927521418271E-3</v>
      </c>
      <c r="E71" s="13" t="str">
        <f t="shared" si="4"/>
        <v>ok</v>
      </c>
    </row>
    <row r="72" spans="1:5">
      <c r="A72" s="6" t="s">
        <v>547</v>
      </c>
      <c r="B72" s="35">
        <v>42.67</v>
      </c>
      <c r="C72" s="12">
        <f>'7-Scenari'!$D$37</f>
        <v>42.66532487229464</v>
      </c>
      <c r="D72" s="12">
        <f t="shared" si="3"/>
        <v>-4.6751277053616036E-3</v>
      </c>
      <c r="E72" s="13" t="str">
        <f t="shared" si="4"/>
        <v>ok</v>
      </c>
    </row>
    <row r="73" spans="1:5">
      <c r="A73" s="6" t="s">
        <v>548</v>
      </c>
      <c r="B73" s="35">
        <v>45.88</v>
      </c>
      <c r="C73" s="12">
        <f>'8-Soglia-q'!$B$54</f>
        <v>45.882753809698443</v>
      </c>
      <c r="D73" s="12">
        <f t="shared" si="3"/>
        <v>2.7538096984400795E-3</v>
      </c>
      <c r="E73" s="13" t="str">
        <f t="shared" si="4"/>
        <v>ok</v>
      </c>
    </row>
    <row r="74" spans="1:5">
      <c r="A74" s="6" t="s">
        <v>549</v>
      </c>
      <c r="B74" s="35">
        <v>3.13</v>
      </c>
      <c r="C74" s="12">
        <f>-'7-Scenari'!$H$9</f>
        <v>3.13096405018306</v>
      </c>
      <c r="D74" s="12">
        <f t="shared" si="3"/>
        <v>9.6405018306011669E-4</v>
      </c>
      <c r="E74" s="13" t="str">
        <f t="shared" si="4"/>
        <v>ok</v>
      </c>
    </row>
    <row r="75" spans="1:5">
      <c r="A75" s="6" t="s">
        <v>550</v>
      </c>
      <c r="B75" s="35">
        <v>5.26</v>
      </c>
      <c r="C75" s="12">
        <f>'9-Traduttore'!$E$7</f>
        <v>5.2610119070849279</v>
      </c>
      <c r="D75" s="12">
        <f t="shared" si="3"/>
        <v>1.0119070849281542E-3</v>
      </c>
      <c r="E75" s="13" t="str">
        <f t="shared" si="4"/>
        <v>ok</v>
      </c>
    </row>
    <row r="76" spans="1:5">
      <c r="A76" s="6" t="s">
        <v>551</v>
      </c>
      <c r="B76" s="35">
        <v>8.2899999999999991</v>
      </c>
      <c r="C76" s="12">
        <f>'9-Traduttore'!$E$8</f>
        <v>8.2876446995194044</v>
      </c>
      <c r="D76" s="12">
        <f t="shared" si="3"/>
        <v>-2.3553004805947353E-3</v>
      </c>
      <c r="E76" s="13" t="str">
        <f t="shared" si="4"/>
        <v>ok</v>
      </c>
    </row>
    <row r="77" spans="1:5">
      <c r="A77" s="6" t="s">
        <v>552</v>
      </c>
      <c r="B77" s="35">
        <v>13.49</v>
      </c>
      <c r="C77" s="12">
        <f>'9-Traduttore'!$E$9</f>
        <v>13.485377994243613</v>
      </c>
      <c r="D77" s="12">
        <f t="shared" si="3"/>
        <v>-4.6220057563868266E-3</v>
      </c>
      <c r="E77" s="13" t="str">
        <f t="shared" si="4"/>
        <v>ok</v>
      </c>
    </row>
    <row r="78" spans="1:5">
      <c r="A78" s="6" t="s">
        <v>553</v>
      </c>
      <c r="B78" s="35">
        <v>41.35</v>
      </c>
      <c r="C78" s="12">
        <f>'8-Soglia-q'!$D$15</f>
        <v>41.346805446453189</v>
      </c>
      <c r="D78" s="12">
        <f t="shared" si="3"/>
        <v>-3.1945535468125286E-3</v>
      </c>
      <c r="E78" s="13" t="str">
        <f t="shared" si="4"/>
        <v>ok</v>
      </c>
    </row>
    <row r="79" spans="1:5">
      <c r="A79" s="6" t="s">
        <v>554</v>
      </c>
      <c r="B79" s="35">
        <v>41.22</v>
      </c>
      <c r="C79" s="12">
        <f>'8-Soglia-q'!$D$19</f>
        <v>41.222742307278132</v>
      </c>
      <c r="D79" s="12">
        <f t="shared" si="3"/>
        <v>2.7423072781331825E-3</v>
      </c>
      <c r="E79" s="13" t="str">
        <f t="shared" si="4"/>
        <v>ok</v>
      </c>
    </row>
    <row r="80" spans="1:5">
      <c r="A80" s="6" t="s">
        <v>555</v>
      </c>
      <c r="B80" s="35">
        <v>41.08</v>
      </c>
      <c r="C80" s="12">
        <f>'8-Soglia-q'!$D$21</f>
        <v>41.075988624323429</v>
      </c>
      <c r="D80" s="12">
        <f t="shared" si="3"/>
        <v>-4.0113756765691733E-3</v>
      </c>
      <c r="E80" s="13" t="str">
        <f t="shared" si="4"/>
        <v>ok</v>
      </c>
    </row>
    <row r="81" spans="1:5">
      <c r="A81" s="6" t="s">
        <v>556</v>
      </c>
      <c r="B81" s="35">
        <v>4.8800000000000003E-2</v>
      </c>
      <c r="C81" s="12">
        <f>'3-Aumento'!$B$43</f>
        <v>5.0923498910378839E-2</v>
      </c>
      <c r="D81" s="12">
        <f t="shared" si="3"/>
        <v>2.1234989103788363E-3</v>
      </c>
      <c r="E81" s="13" t="str">
        <f t="shared" si="4"/>
        <v>ok</v>
      </c>
    </row>
    <row r="83" spans="1:5">
      <c r="A83" s="41" t="s">
        <v>557</v>
      </c>
      <c r="B83" s="38"/>
      <c r="C83" s="38"/>
      <c r="D83" s="38"/>
      <c r="E83" s="38"/>
    </row>
    <row r="84" spans="1:5">
      <c r="A84" s="15" t="s">
        <v>485</v>
      </c>
      <c r="B84" s="15" t="s">
        <v>486</v>
      </c>
      <c r="C84" s="15" t="s">
        <v>487</v>
      </c>
      <c r="D84" s="15" t="s">
        <v>153</v>
      </c>
      <c r="E84" s="15" t="s">
        <v>488</v>
      </c>
    </row>
    <row r="85" spans="1:5">
      <c r="A85" s="6" t="s">
        <v>150</v>
      </c>
      <c r="B85" s="36">
        <v>0.73519999999999996</v>
      </c>
      <c r="C85" s="21">
        <f>'1-Input'!$B$32</f>
        <v>0.73516038383838389</v>
      </c>
      <c r="D85" s="21">
        <f t="shared" ref="D85:D106" si="5">C85-B85</f>
        <v>-3.9616161616073953E-5</v>
      </c>
      <c r="E85" s="13" t="str">
        <f t="shared" ref="E85:E98" si="6">IF(ABS(D85)&lt;=0.0001,"ok","DIVERGENTE")</f>
        <v>ok</v>
      </c>
    </row>
    <row r="86" spans="1:5">
      <c r="A86" s="6" t="s">
        <v>127</v>
      </c>
      <c r="B86" s="36">
        <v>0.20649999999999999</v>
      </c>
      <c r="C86" s="21">
        <f>'1-Input'!$B$26</f>
        <v>0.20652235055477078</v>
      </c>
      <c r="D86" s="21">
        <f t="shared" si="5"/>
        <v>2.2350554770789177E-5</v>
      </c>
      <c r="E86" s="13" t="str">
        <f t="shared" si="6"/>
        <v>ok</v>
      </c>
    </row>
    <row r="87" spans="1:5">
      <c r="A87" s="6" t="s">
        <v>558</v>
      </c>
      <c r="B87" s="36">
        <v>0.39789999999999998</v>
      </c>
      <c r="C87" s="21">
        <f>'3-Aumento'!$B$12</f>
        <v>0.39791290909090876</v>
      </c>
      <c r="D87" s="21">
        <f t="shared" si="5"/>
        <v>1.2909090908785892E-5</v>
      </c>
      <c r="E87" s="13" t="str">
        <f t="shared" si="6"/>
        <v>ok</v>
      </c>
    </row>
    <row r="88" spans="1:5">
      <c r="A88" s="6" t="s">
        <v>559</v>
      </c>
      <c r="B88" s="36">
        <v>0.60209999999999997</v>
      </c>
      <c r="C88" s="21">
        <f>'3-Aumento'!$B$20</f>
        <v>0.60208709090909118</v>
      </c>
      <c r="D88" s="21">
        <f t="shared" si="5"/>
        <v>-1.2909090908785892E-5</v>
      </c>
      <c r="E88" s="13" t="str">
        <f t="shared" si="6"/>
        <v>ok</v>
      </c>
    </row>
    <row r="89" spans="1:5">
      <c r="A89" s="6" t="s">
        <v>560</v>
      </c>
      <c r="B89" s="36">
        <v>0.51019999999999999</v>
      </c>
      <c r="C89" s="21">
        <f>'3-Aumento'!$C$16</f>
        <v>0.5101870909090912</v>
      </c>
      <c r="D89" s="21">
        <f t="shared" si="5"/>
        <v>-1.2909090908785892E-5</v>
      </c>
      <c r="E89" s="13" t="str">
        <f t="shared" si="6"/>
        <v>ok</v>
      </c>
    </row>
    <row r="90" spans="1:5">
      <c r="A90" s="6" t="s">
        <v>561</v>
      </c>
      <c r="B90" s="36">
        <v>0.40210000000000001</v>
      </c>
      <c r="C90" s="21">
        <f>'4-Rapporto-RAL'!$D$18</f>
        <v>0.40205107692307696</v>
      </c>
      <c r="D90" s="21">
        <f t="shared" si="5"/>
        <v>-4.8923076923057529E-5</v>
      </c>
      <c r="E90" s="13" t="str">
        <f t="shared" si="6"/>
        <v>ok</v>
      </c>
    </row>
    <row r="91" spans="1:5">
      <c r="A91" s="6" t="s">
        <v>562</v>
      </c>
      <c r="B91" s="36">
        <v>0.48859999999999998</v>
      </c>
      <c r="C91" s="21">
        <f>'4-Rapporto-RAL'!$D$19</f>
        <v>0.48857459090909094</v>
      </c>
      <c r="D91" s="21">
        <f t="shared" si="5"/>
        <v>-2.5409090909034315E-5</v>
      </c>
      <c r="E91" s="13" t="str">
        <f t="shared" si="6"/>
        <v>ok</v>
      </c>
    </row>
    <row r="92" spans="1:5">
      <c r="A92" s="6" t="s">
        <v>563</v>
      </c>
      <c r="B92" s="36">
        <v>0.49980000000000002</v>
      </c>
      <c r="C92" s="21">
        <f>'2-Busta-paga'!$M$88</f>
        <v>0.49982659090909143</v>
      </c>
      <c r="D92" s="21">
        <f t="shared" si="5"/>
        <v>2.6590909091406267E-5</v>
      </c>
      <c r="E92" s="13" t="str">
        <f t="shared" si="6"/>
        <v>ok</v>
      </c>
    </row>
    <row r="93" spans="1:5">
      <c r="A93" s="6" t="s">
        <v>564</v>
      </c>
      <c r="B93" s="36">
        <v>0.86270000000000002</v>
      </c>
      <c r="C93" s="21">
        <f>'4-Rapporto-RAL'!$F$20</f>
        <v>0.86269499999999999</v>
      </c>
      <c r="D93" s="21">
        <f t="shared" si="5"/>
        <v>-5.000000000032756E-6</v>
      </c>
      <c r="E93" s="13" t="str">
        <f t="shared" si="6"/>
        <v>ok</v>
      </c>
    </row>
    <row r="94" spans="1:5">
      <c r="A94" s="6" t="s">
        <v>352</v>
      </c>
      <c r="B94" s="36">
        <v>0.76166400000000001</v>
      </c>
      <c r="C94" s="21">
        <f>'8-Soglia-q'!$B$9</f>
        <v>0.76166420951674241</v>
      </c>
      <c r="D94" s="21">
        <f t="shared" si="5"/>
        <v>2.0951674239988449E-7</v>
      </c>
      <c r="E94" s="13" t="str">
        <f t="shared" si="6"/>
        <v>ok</v>
      </c>
    </row>
    <row r="95" spans="1:5">
      <c r="A95" s="6" t="s">
        <v>354</v>
      </c>
      <c r="B95" s="36">
        <v>0.79349999999999998</v>
      </c>
      <c r="C95" s="21">
        <f>'8-Soglia-q'!$B$52</f>
        <v>0.79347764944522925</v>
      </c>
      <c r="D95" s="21">
        <f t="shared" si="5"/>
        <v>-2.2350554770733666E-5</v>
      </c>
      <c r="E95" s="13" t="str">
        <f t="shared" si="6"/>
        <v>ok</v>
      </c>
    </row>
    <row r="96" spans="1:5">
      <c r="A96" s="6" t="s">
        <v>565</v>
      </c>
      <c r="B96" s="36">
        <v>4.6600000000000003E-2</v>
      </c>
      <c r="C96" s="21">
        <f>'8-Soglia-q'!$B$53</f>
        <v>4.6585788542735158E-2</v>
      </c>
      <c r="D96" s="21">
        <f t="shared" si="5"/>
        <v>-1.421145726484413E-5</v>
      </c>
      <c r="E96" s="13" t="str">
        <f t="shared" si="6"/>
        <v>ok</v>
      </c>
    </row>
    <row r="97" spans="1:5">
      <c r="A97" s="6" t="s">
        <v>566</v>
      </c>
      <c r="B97" s="36">
        <v>0.76929999999999998</v>
      </c>
      <c r="C97" s="21">
        <f>'7-Scenari'!$I$16</f>
        <v>0.76929677025137655</v>
      </c>
      <c r="D97" s="21">
        <f t="shared" si="5"/>
        <v>-3.229748623434503E-6</v>
      </c>
      <c r="E97" s="13" t="str">
        <f t="shared" si="6"/>
        <v>ok</v>
      </c>
    </row>
    <row r="98" spans="1:5">
      <c r="A98" s="6" t="s">
        <v>567</v>
      </c>
      <c r="B98" s="36">
        <v>0.75419999999999998</v>
      </c>
      <c r="C98" s="21">
        <f>'7-Scenari'!$I$18</f>
        <v>0.75418161347270352</v>
      </c>
      <c r="D98" s="21">
        <f t="shared" si="5"/>
        <v>-1.8386527296465616E-5</v>
      </c>
      <c r="E98" s="13" t="str">
        <f t="shared" si="6"/>
        <v>ok</v>
      </c>
    </row>
    <row r="99" spans="1:5">
      <c r="A99" s="6" t="s">
        <v>568</v>
      </c>
      <c r="B99" s="36">
        <v>0.90600000000000003</v>
      </c>
      <c r="C99" s="21">
        <f>'1-Input'!$B$51</f>
        <v>0.90579710144927539</v>
      </c>
      <c r="D99" s="21">
        <f t="shared" si="5"/>
        <v>-2.0289855072463947E-4</v>
      </c>
      <c r="E99" s="13" t="str">
        <f>IF(ABS(D99)&lt;=0.0005,"ok","DIVERGENTE")</f>
        <v>ok</v>
      </c>
    </row>
    <row r="100" spans="1:5">
      <c r="A100" s="6" t="s">
        <v>569</v>
      </c>
      <c r="B100" s="36">
        <v>0.60209999999999997</v>
      </c>
      <c r="C100" s="21">
        <f>'2-Busta-paga'!$M$58</f>
        <v>0.6020870909090954</v>
      </c>
      <c r="D100" s="21">
        <f t="shared" si="5"/>
        <v>-1.2909090904567044E-5</v>
      </c>
      <c r="E100" s="13" t="str">
        <f t="shared" ref="E100:E105" si="7">IF(ABS(D100)&lt;=0.0001,"ok","DIVERGENTE")</f>
        <v>ok</v>
      </c>
    </row>
    <row r="101" spans="1:5">
      <c r="A101" s="6" t="s">
        <v>570</v>
      </c>
      <c r="B101" s="36">
        <v>0.48859999999999998</v>
      </c>
      <c r="C101" s="21">
        <f>'2-Busta-paga'!$M$78</f>
        <v>0.48857459090909106</v>
      </c>
      <c r="D101" s="21">
        <f t="shared" si="5"/>
        <v>-2.5409090908923293E-5</v>
      </c>
      <c r="E101" s="13" t="str">
        <f t="shared" si="7"/>
        <v>ok</v>
      </c>
    </row>
    <row r="102" spans="1:5">
      <c r="A102" s="6" t="s">
        <v>571</v>
      </c>
      <c r="B102" s="36">
        <v>7.2300000000000003E-2</v>
      </c>
      <c r="C102" s="21">
        <f>'1-Input'!$G$38</f>
        <v>7.2301002673178433E-2</v>
      </c>
      <c r="D102" s="21">
        <f t="shared" si="5"/>
        <v>1.0026731784296139E-6</v>
      </c>
      <c r="E102" s="13" t="str">
        <f t="shared" si="7"/>
        <v>ok</v>
      </c>
    </row>
    <row r="103" spans="1:5">
      <c r="A103" s="6" t="s">
        <v>572</v>
      </c>
      <c r="B103" s="36">
        <v>0.23449999999999999</v>
      </c>
      <c r="C103" s="21">
        <f>'7-Scenari'!$E$9</f>
        <v>0.23446824055854365</v>
      </c>
      <c r="D103" s="21">
        <f t="shared" si="5"/>
        <v>-3.1759441456336024E-5</v>
      </c>
      <c r="E103" s="13" t="str">
        <f t="shared" si="7"/>
        <v>ok</v>
      </c>
    </row>
    <row r="104" spans="1:5">
      <c r="A104" s="6" t="s">
        <v>573</v>
      </c>
      <c r="B104" s="36">
        <v>0.28210000000000002</v>
      </c>
      <c r="C104" s="21">
        <f>'7-Scenari'!$E$10</f>
        <v>0.28207985605396541</v>
      </c>
      <c r="D104" s="21">
        <f t="shared" si="5"/>
        <v>-2.0143946034612004E-5</v>
      </c>
      <c r="E104" s="13" t="str">
        <f t="shared" si="7"/>
        <v>ok</v>
      </c>
    </row>
    <row r="105" spans="1:5">
      <c r="A105" s="6" t="s">
        <v>574</v>
      </c>
      <c r="B105" s="36">
        <v>0.19439999999999999</v>
      </c>
      <c r="C105" s="21">
        <f>'3-Aumento'!$B$14</f>
        <v>0.19444444444444445</v>
      </c>
      <c r="D105" s="21">
        <f t="shared" si="5"/>
        <v>4.4444444444458053E-5</v>
      </c>
      <c r="E105" s="13" t="str">
        <f t="shared" si="7"/>
        <v>ok</v>
      </c>
    </row>
    <row r="106" spans="1:5">
      <c r="A106" s="6" t="s">
        <v>216</v>
      </c>
      <c r="B106" s="36">
        <v>0.125</v>
      </c>
      <c r="C106" s="21">
        <f>'4-Rapporto-RAL'!$B$13</f>
        <v>0.12500000000000042</v>
      </c>
      <c r="D106" s="21">
        <f t="shared" si="5"/>
        <v>4.163336342344337E-16</v>
      </c>
      <c r="E106" s="13" t="str">
        <f>IF(ABS(D106)&lt;=0.0005,"ok","DIVERGENTE")</f>
        <v>ok</v>
      </c>
    </row>
    <row r="108" spans="1:5">
      <c r="A108" s="41" t="s">
        <v>575</v>
      </c>
      <c r="B108" s="38"/>
      <c r="C108" s="38"/>
      <c r="D108" s="38"/>
      <c r="E108" s="38"/>
    </row>
    <row r="109" spans="1:5">
      <c r="A109" s="15" t="s">
        <v>485</v>
      </c>
      <c r="B109" s="15" t="s">
        <v>486</v>
      </c>
      <c r="C109" s="15" t="s">
        <v>487</v>
      </c>
      <c r="D109" s="15" t="s">
        <v>153</v>
      </c>
      <c r="E109" s="15" t="s">
        <v>488</v>
      </c>
    </row>
    <row r="110" spans="1:5">
      <c r="A110" s="6" t="s">
        <v>576</v>
      </c>
      <c r="B110" s="35">
        <v>1.4430000000000001</v>
      </c>
      <c r="C110" s="12">
        <f>'4-Rapporto-RAL'!$G$18</f>
        <v>1.4427570093457944</v>
      </c>
      <c r="D110" s="12">
        <f t="shared" ref="D110:D116" si="8">C110-B110</f>
        <v>-2.4299065420563259E-4</v>
      </c>
      <c r="E110" s="13" t="str">
        <f t="shared" ref="E110:E115" si="9">IF(ABS(D110)&lt;=0.001,"ok","DIVERGENTE")</f>
        <v>ok</v>
      </c>
    </row>
    <row r="111" spans="1:5">
      <c r="A111" s="6" t="s">
        <v>577</v>
      </c>
      <c r="B111" s="35">
        <v>1.6870000000000001</v>
      </c>
      <c r="C111" s="12">
        <f>'4-Rapporto-RAL'!$G$19</f>
        <v>1.6868442292171106</v>
      </c>
      <c r="D111" s="12">
        <f t="shared" si="8"/>
        <v>-1.5577078288941948E-4</v>
      </c>
      <c r="E111" s="13" t="str">
        <f t="shared" si="9"/>
        <v>ok</v>
      </c>
    </row>
    <row r="112" spans="1:5">
      <c r="A112" s="6" t="s">
        <v>578</v>
      </c>
      <c r="B112" s="35">
        <v>2.1680000000000001</v>
      </c>
      <c r="C112" s="12">
        <f>'4-Rapporto-RAL'!$G$20</f>
        <v>2.1680497925311206</v>
      </c>
      <c r="D112" s="12">
        <f t="shared" si="8"/>
        <v>4.9792531120473882E-5</v>
      </c>
      <c r="E112" s="13" t="str">
        <f t="shared" si="9"/>
        <v>ok</v>
      </c>
    </row>
    <row r="113" spans="1:5">
      <c r="A113" s="6" t="s">
        <v>579</v>
      </c>
      <c r="B113" s="35">
        <v>1.6870000000000001</v>
      </c>
      <c r="C113" s="12">
        <f>'4-Rapporto-RAL'!$B$24</f>
        <v>2.1680497925311206</v>
      </c>
      <c r="D113" s="12">
        <f t="shared" si="8"/>
        <v>0.48104979253112057</v>
      </c>
      <c r="E113" s="13" t="str">
        <f t="shared" si="9"/>
        <v>DIVERGENTE</v>
      </c>
    </row>
    <row r="114" spans="1:5">
      <c r="A114" s="6" t="s">
        <v>580</v>
      </c>
      <c r="B114" s="35">
        <v>1.6870000000000001</v>
      </c>
      <c r="C114" s="12">
        <f>'4-Rapporto-RAL'!$G$24</f>
        <v>1.6868442292171106</v>
      </c>
      <c r="D114" s="12">
        <f t="shared" si="8"/>
        <v>-1.5577078288941948E-4</v>
      </c>
      <c r="E114" s="13" t="str">
        <f t="shared" si="9"/>
        <v>ok</v>
      </c>
    </row>
    <row r="115" spans="1:5">
      <c r="A115" s="6" t="s">
        <v>581</v>
      </c>
      <c r="B115" s="35">
        <v>2.1680000000000001</v>
      </c>
      <c r="C115" s="12">
        <f>'3-Aumento'!$B$42</f>
        <v>2.1680497925311211</v>
      </c>
      <c r="D115" s="12">
        <f t="shared" si="8"/>
        <v>4.9792531120917971E-5</v>
      </c>
      <c r="E115" s="13" t="str">
        <f t="shared" si="9"/>
        <v>ok</v>
      </c>
    </row>
    <row r="116" spans="1:5">
      <c r="A116" s="6" t="s">
        <v>582</v>
      </c>
      <c r="B116" s="35">
        <v>3.73</v>
      </c>
      <c r="C116" s="12">
        <f>'7-Scenari'!$B$30</f>
        <v>3.7339134326825296</v>
      </c>
      <c r="D116" s="12">
        <f t="shared" si="8"/>
        <v>3.9134326825296384E-3</v>
      </c>
      <c r="E116" s="13" t="str">
        <f>IF(ABS(D116)&lt;=0.005,"ok","DIVERGENTE")</f>
        <v>ok</v>
      </c>
    </row>
    <row r="118" spans="1:5">
      <c r="A118" s="41" t="s">
        <v>583</v>
      </c>
      <c r="B118" s="38"/>
      <c r="C118" s="38"/>
      <c r="D118" s="38"/>
      <c r="E118" s="38"/>
    </row>
    <row r="119" spans="1:5">
      <c r="A119" s="15" t="s">
        <v>485</v>
      </c>
      <c r="B119" s="15" t="s">
        <v>486</v>
      </c>
      <c r="C119" s="15" t="s">
        <v>487</v>
      </c>
      <c r="D119" s="15" t="s">
        <v>153</v>
      </c>
      <c r="E119" s="15" t="s">
        <v>488</v>
      </c>
    </row>
    <row r="120" spans="1:5">
      <c r="A120" s="6" t="s">
        <v>584</v>
      </c>
      <c r="B120" s="33">
        <v>104</v>
      </c>
      <c r="C120" s="14">
        <f>'9-Traduttore'!$B$18</f>
        <v>103.67743390498504</v>
      </c>
      <c r="D120" s="14">
        <f>C120-B120</f>
        <v>-0.32256609501496314</v>
      </c>
      <c r="E120" s="13" t="str">
        <f>IF(ABS(D120)&lt;=0.5,"ok","DIVERGENTE")</f>
        <v>ok</v>
      </c>
    </row>
    <row r="121" spans="1:5">
      <c r="A121" s="6" t="s">
        <v>585</v>
      </c>
      <c r="B121" s="33">
        <v>118</v>
      </c>
      <c r="C121" s="14">
        <f>'9-Traduttore'!$C$19</f>
        <v>118.27675668435887</v>
      </c>
      <c r="D121" s="14">
        <f>C121-B121</f>
        <v>0.27675668435887246</v>
      </c>
      <c r="E121" s="13" t="str">
        <f>IF(ABS(D121)&lt;=0.5,"ok","DIVERGENTE")</f>
        <v>ok</v>
      </c>
    </row>
    <row r="122" spans="1:5">
      <c r="A122" s="6" t="s">
        <v>586</v>
      </c>
      <c r="B122" s="33">
        <v>17.8</v>
      </c>
      <c r="C122" s="14">
        <f>'3-Aumento'!$B$44</f>
        <v>18.587077102288276</v>
      </c>
      <c r="D122" s="14">
        <f>C122-B122</f>
        <v>0.78707710228827565</v>
      </c>
      <c r="E122" s="13" t="str">
        <f>IF(ABS(D122)&lt;=0.5,"ok","DIVERGENTE")</f>
        <v>DIVERGENTE</v>
      </c>
    </row>
    <row r="124" spans="1:5">
      <c r="A124" s="6" t="s">
        <v>587</v>
      </c>
      <c r="C124" s="13">
        <f>COUNTIF(E1:E123,"DIVERGENTE")</f>
        <v>3</v>
      </c>
    </row>
    <row r="126" spans="1:5" ht="45" customHeight="1">
      <c r="A126" s="40" t="s">
        <v>588</v>
      </c>
      <c r="B126" s="38"/>
      <c r="C126" s="38"/>
      <c r="D126" s="38"/>
      <c r="E126" s="38"/>
    </row>
    <row r="127" spans="1:5" ht="60" customHeight="1">
      <c r="A127" s="40" t="s">
        <v>589</v>
      </c>
      <c r="B127" s="38"/>
      <c r="C127" s="38"/>
      <c r="D127" s="38"/>
      <c r="E127" s="38"/>
    </row>
    <row r="128" spans="1:5" ht="45" customHeight="1">
      <c r="A128" s="40" t="s">
        <v>590</v>
      </c>
      <c r="B128" s="38"/>
      <c r="C128" s="38"/>
      <c r="D128" s="38"/>
      <c r="E128" s="38"/>
    </row>
  </sheetData>
  <mergeCells count="11">
    <mergeCell ref="A1:E1"/>
    <mergeCell ref="A5:E5"/>
    <mergeCell ref="A118:E118"/>
    <mergeCell ref="A127:E127"/>
    <mergeCell ref="A126:E126"/>
    <mergeCell ref="A3:E3"/>
    <mergeCell ref="A83:E83"/>
    <mergeCell ref="A2:E2"/>
    <mergeCell ref="A54:E54"/>
    <mergeCell ref="A128:E128"/>
    <mergeCell ref="A108:E10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0-Indice</vt:lpstr>
      <vt:lpstr>P-Parametri</vt:lpstr>
      <vt:lpstr>1-Input</vt:lpstr>
      <vt:lpstr>2-Busta-paga</vt:lpstr>
      <vt:lpstr>3-Aumento</vt:lpstr>
      <vt:lpstr>4-Rapporto-RAL</vt:lpstr>
      <vt:lpstr>5-Moltiplicatore</vt:lpstr>
      <vt:lpstr>6-Anni-al-FIRE</vt:lpstr>
      <vt:lpstr>7-Scenari</vt:lpstr>
      <vt:lpstr>8-Soglia-q</vt:lpstr>
      <vt:lpstr>9-Traduttore</vt:lpstr>
      <vt:lpstr>10-Regola-ora</vt:lpstr>
      <vt:lpstr>11-Cruscotto</vt:lpstr>
      <vt:lpstr>12-Fonti</vt:lpstr>
      <vt:lpstr>13-Verifica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Antonio Ruggiero</cp:lastModifiedBy>
  <dcterms:created xsi:type="dcterms:W3CDTF">2026-09-09T15:53:23Z</dcterms:created>
  <dcterms:modified xsi:type="dcterms:W3CDTF">2026-09-09T15:53:26Z</dcterms:modified>
</cp:coreProperties>
</file>