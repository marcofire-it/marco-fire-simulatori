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/>
  </bookViews>
  <sheets>
    <sheet name="0 - Indice" sheetId="1" r:id="rId1"/>
    <sheet name="1 - Il tuo profilo" sheetId="2" r:id="rId2"/>
    <sheet name="2 - Le opzioni" sheetId="3" r:id="rId3"/>
    <sheet name="3 - Il costo opportunità" sheetId="4" r:id="rId4"/>
    <sheet name="4 - Abitudine o contratto" sheetId="5" r:id="rId5"/>
    <sheet name="5 - Senza auto" sheetId="6" r:id="rId6"/>
    <sheet name="6 - Elettrico o termico" sheetId="7" r:id="rId7"/>
  </sheets>
  <calcPr calcId="144525"/>
</workbook>
</file>

<file path=xl/calcChain.xml><?xml version="1.0" encoding="utf-8"?>
<calcChain xmlns="http://schemas.openxmlformats.org/spreadsheetml/2006/main">
  <c r="E72" i="7" l="1"/>
  <c r="D72" i="7"/>
  <c r="C72" i="7"/>
  <c r="B72" i="7"/>
  <c r="E71" i="7"/>
  <c r="D71" i="7"/>
  <c r="C71" i="7"/>
  <c r="B71" i="7"/>
  <c r="E70" i="7"/>
  <c r="D70" i="7"/>
  <c r="C70" i="7"/>
  <c r="B70" i="7"/>
  <c r="E69" i="7"/>
  <c r="D69" i="7"/>
  <c r="C69" i="7"/>
  <c r="B69" i="7"/>
  <c r="E68" i="7"/>
  <c r="D68" i="7"/>
  <c r="C68" i="7"/>
  <c r="B68" i="7"/>
  <c r="E67" i="7"/>
  <c r="D67" i="7"/>
  <c r="C67" i="7"/>
  <c r="B67" i="7"/>
  <c r="E66" i="7"/>
  <c r="D66" i="7"/>
  <c r="C66" i="7"/>
  <c r="B66" i="7"/>
  <c r="E65" i="7"/>
  <c r="D65" i="7"/>
  <c r="C65" i="7"/>
  <c r="B65" i="7"/>
  <c r="E64" i="7"/>
  <c r="D64" i="7"/>
  <c r="C64" i="7"/>
  <c r="B64" i="7"/>
  <c r="E63" i="7"/>
  <c r="D63" i="7"/>
  <c r="C63" i="7"/>
  <c r="B63" i="7"/>
  <c r="B13" i="6"/>
  <c r="B12" i="6"/>
  <c r="K407" i="3" s="1"/>
  <c r="L407" i="3" s="1"/>
  <c r="B34" i="5"/>
  <c r="B35" i="5" s="1"/>
  <c r="B66" i="4"/>
  <c r="B68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B64" i="4"/>
  <c r="B65" i="4" s="1"/>
  <c r="D15" i="4"/>
  <c r="D14" i="4"/>
  <c r="D13" i="4"/>
  <c r="B10" i="4"/>
  <c r="B22" i="4" s="1"/>
  <c r="H547" i="3"/>
  <c r="G547" i="3"/>
  <c r="F547" i="3"/>
  <c r="E547" i="3"/>
  <c r="M544" i="3"/>
  <c r="E544" i="3"/>
  <c r="B544" i="3"/>
  <c r="M543" i="3"/>
  <c r="B543" i="3"/>
  <c r="M542" i="3"/>
  <c r="B542" i="3"/>
  <c r="M541" i="3"/>
  <c r="B541" i="3"/>
  <c r="M540" i="3"/>
  <c r="B540" i="3"/>
  <c r="M539" i="3"/>
  <c r="B539" i="3"/>
  <c r="M538" i="3"/>
  <c r="B538" i="3"/>
  <c r="M537" i="3"/>
  <c r="B537" i="3"/>
  <c r="M536" i="3"/>
  <c r="B536" i="3"/>
  <c r="E536" i="3" s="1"/>
  <c r="M535" i="3"/>
  <c r="B535" i="3"/>
  <c r="M534" i="3"/>
  <c r="H528" i="3"/>
  <c r="G528" i="3"/>
  <c r="F528" i="3"/>
  <c r="E528" i="3"/>
  <c r="C528" i="3"/>
  <c r="D528" i="3" s="1"/>
  <c r="M525" i="3"/>
  <c r="G525" i="3"/>
  <c r="F525" i="3"/>
  <c r="E525" i="3"/>
  <c r="D525" i="3"/>
  <c r="C525" i="3"/>
  <c r="B525" i="3"/>
  <c r="M524" i="3"/>
  <c r="G524" i="3"/>
  <c r="F524" i="3"/>
  <c r="E524" i="3"/>
  <c r="D524" i="3"/>
  <c r="C524" i="3"/>
  <c r="B524" i="3"/>
  <c r="M523" i="3"/>
  <c r="G523" i="3"/>
  <c r="F523" i="3"/>
  <c r="E523" i="3"/>
  <c r="D523" i="3"/>
  <c r="C523" i="3"/>
  <c r="L523" i="3" s="1"/>
  <c r="B523" i="3"/>
  <c r="M522" i="3"/>
  <c r="G522" i="3"/>
  <c r="F522" i="3"/>
  <c r="E522" i="3"/>
  <c r="D522" i="3"/>
  <c r="C522" i="3"/>
  <c r="B522" i="3"/>
  <c r="M521" i="3"/>
  <c r="G521" i="3"/>
  <c r="F521" i="3"/>
  <c r="E521" i="3"/>
  <c r="D521" i="3"/>
  <c r="C521" i="3"/>
  <c r="B521" i="3"/>
  <c r="M520" i="3"/>
  <c r="G520" i="3"/>
  <c r="F520" i="3"/>
  <c r="E520" i="3"/>
  <c r="D520" i="3"/>
  <c r="C520" i="3"/>
  <c r="L520" i="3" s="1"/>
  <c r="B520" i="3"/>
  <c r="M519" i="3"/>
  <c r="B530" i="3" s="1"/>
  <c r="K530" i="3" s="1"/>
  <c r="G519" i="3"/>
  <c r="F519" i="3"/>
  <c r="E519" i="3"/>
  <c r="D519" i="3"/>
  <c r="C519" i="3"/>
  <c r="B519" i="3"/>
  <c r="M518" i="3"/>
  <c r="G518" i="3"/>
  <c r="C518" i="3"/>
  <c r="B518" i="3"/>
  <c r="D518" i="3" s="1"/>
  <c r="M517" i="3"/>
  <c r="G517" i="3"/>
  <c r="C517" i="3"/>
  <c r="B517" i="3"/>
  <c r="F517" i="3" s="1"/>
  <c r="M516" i="3"/>
  <c r="G516" i="3"/>
  <c r="C516" i="3"/>
  <c r="B516" i="3"/>
  <c r="D516" i="3" s="1"/>
  <c r="M515" i="3"/>
  <c r="G515" i="3"/>
  <c r="H509" i="3"/>
  <c r="G509" i="3"/>
  <c r="F509" i="3"/>
  <c r="E509" i="3"/>
  <c r="C509" i="3"/>
  <c r="D509" i="3" s="1"/>
  <c r="M506" i="3"/>
  <c r="L506" i="3"/>
  <c r="M505" i="3"/>
  <c r="L505" i="3"/>
  <c r="M504" i="3"/>
  <c r="L504" i="3"/>
  <c r="M503" i="3"/>
  <c r="L503" i="3"/>
  <c r="M502" i="3"/>
  <c r="L502" i="3"/>
  <c r="M501" i="3"/>
  <c r="G501" i="3"/>
  <c r="C501" i="3"/>
  <c r="B501" i="3"/>
  <c r="E501" i="3" s="1"/>
  <c r="M500" i="3"/>
  <c r="C500" i="3"/>
  <c r="B500" i="3"/>
  <c r="M499" i="3"/>
  <c r="C499" i="3"/>
  <c r="B499" i="3"/>
  <c r="M498" i="3"/>
  <c r="C498" i="3"/>
  <c r="B498" i="3"/>
  <c r="F498" i="3" s="1"/>
  <c r="M497" i="3"/>
  <c r="C497" i="3"/>
  <c r="B497" i="3"/>
  <c r="D497" i="3" s="1"/>
  <c r="M496" i="3"/>
  <c r="G496" i="3"/>
  <c r="H490" i="3"/>
  <c r="G490" i="3"/>
  <c r="F490" i="3"/>
  <c r="E490" i="3"/>
  <c r="C490" i="3"/>
  <c r="D490" i="3" s="1"/>
  <c r="M487" i="3"/>
  <c r="L487" i="3"/>
  <c r="M486" i="3"/>
  <c r="L486" i="3"/>
  <c r="M485" i="3"/>
  <c r="L485" i="3"/>
  <c r="M484" i="3"/>
  <c r="L484" i="3"/>
  <c r="M483" i="3"/>
  <c r="L483" i="3"/>
  <c r="M482" i="3"/>
  <c r="L482" i="3"/>
  <c r="M481" i="3"/>
  <c r="G481" i="3"/>
  <c r="C481" i="3"/>
  <c r="B481" i="3"/>
  <c r="D481" i="3" s="1"/>
  <c r="M480" i="3"/>
  <c r="C480" i="3"/>
  <c r="B480" i="3"/>
  <c r="D480" i="3" s="1"/>
  <c r="M479" i="3"/>
  <c r="C479" i="3"/>
  <c r="B479" i="3"/>
  <c r="E479" i="3" s="1"/>
  <c r="M478" i="3"/>
  <c r="C478" i="3"/>
  <c r="B478" i="3"/>
  <c r="F478" i="3" s="1"/>
  <c r="M477" i="3"/>
  <c r="G477" i="3"/>
  <c r="L477" i="3" s="1"/>
  <c r="H471" i="3"/>
  <c r="G471" i="3"/>
  <c r="F471" i="3"/>
  <c r="E471" i="3"/>
  <c r="C471" i="3"/>
  <c r="M468" i="3"/>
  <c r="L468" i="3"/>
  <c r="M467" i="3"/>
  <c r="L467" i="3"/>
  <c r="M466" i="3"/>
  <c r="L466" i="3"/>
  <c r="M465" i="3"/>
  <c r="L465" i="3"/>
  <c r="M464" i="3"/>
  <c r="L464" i="3"/>
  <c r="M463" i="3"/>
  <c r="L463" i="3"/>
  <c r="M462" i="3"/>
  <c r="L462" i="3"/>
  <c r="M461" i="3"/>
  <c r="G461" i="3"/>
  <c r="C461" i="3"/>
  <c r="B461" i="3"/>
  <c r="M460" i="3"/>
  <c r="C460" i="3"/>
  <c r="B460" i="3"/>
  <c r="D460" i="3" s="1"/>
  <c r="M459" i="3"/>
  <c r="C459" i="3"/>
  <c r="B459" i="3"/>
  <c r="E459" i="3" s="1"/>
  <c r="M458" i="3"/>
  <c r="G458" i="3"/>
  <c r="H452" i="3"/>
  <c r="G452" i="3"/>
  <c r="F452" i="3"/>
  <c r="E452" i="3"/>
  <c r="C452" i="3"/>
  <c r="D452" i="3" s="1"/>
  <c r="M449" i="3"/>
  <c r="M448" i="3"/>
  <c r="M447" i="3"/>
  <c r="M446" i="3"/>
  <c r="M445" i="3"/>
  <c r="K445" i="3"/>
  <c r="L445" i="3" s="1"/>
  <c r="M444" i="3"/>
  <c r="M443" i="3"/>
  <c r="M442" i="3"/>
  <c r="M441" i="3"/>
  <c r="M440" i="3"/>
  <c r="M439" i="3"/>
  <c r="G439" i="3"/>
  <c r="L439" i="3" s="1"/>
  <c r="H433" i="3"/>
  <c r="G433" i="3"/>
  <c r="F433" i="3"/>
  <c r="E433" i="3"/>
  <c r="C433" i="3"/>
  <c r="D433" i="3" s="1"/>
  <c r="M430" i="3"/>
  <c r="M429" i="3"/>
  <c r="M428" i="3"/>
  <c r="M427" i="3"/>
  <c r="M426" i="3"/>
  <c r="M425" i="3"/>
  <c r="M424" i="3"/>
  <c r="M423" i="3"/>
  <c r="M422" i="3"/>
  <c r="M421" i="3"/>
  <c r="M420" i="3"/>
  <c r="G420" i="3"/>
  <c r="L420" i="3" s="1"/>
  <c r="H414" i="3"/>
  <c r="G414" i="3"/>
  <c r="F414" i="3"/>
  <c r="E414" i="3"/>
  <c r="C414" i="3"/>
  <c r="H93" i="3" s="1"/>
  <c r="M411" i="3"/>
  <c r="M410" i="3"/>
  <c r="M409" i="3"/>
  <c r="M408" i="3"/>
  <c r="M407" i="3"/>
  <c r="M406" i="3"/>
  <c r="M405" i="3"/>
  <c r="M404" i="3"/>
  <c r="M403" i="3"/>
  <c r="M402" i="3"/>
  <c r="K402" i="3"/>
  <c r="L402" i="3" s="1"/>
  <c r="M401" i="3"/>
  <c r="G401" i="3"/>
  <c r="H395" i="3"/>
  <c r="G395" i="3"/>
  <c r="F395" i="3"/>
  <c r="E395" i="3"/>
  <c r="C395" i="3"/>
  <c r="D395" i="3" s="1"/>
  <c r="M392" i="3"/>
  <c r="G392" i="3"/>
  <c r="D392" i="3"/>
  <c r="C392" i="3"/>
  <c r="B392" i="3"/>
  <c r="E392" i="3" s="1"/>
  <c r="M391" i="3"/>
  <c r="D391" i="3"/>
  <c r="C391" i="3"/>
  <c r="B391" i="3"/>
  <c r="M390" i="3"/>
  <c r="D390" i="3"/>
  <c r="C390" i="3"/>
  <c r="B390" i="3"/>
  <c r="E390" i="3" s="1"/>
  <c r="M389" i="3"/>
  <c r="D389" i="3"/>
  <c r="C389" i="3"/>
  <c r="B389" i="3"/>
  <c r="F389" i="3" s="1"/>
  <c r="M388" i="3"/>
  <c r="D388" i="3"/>
  <c r="C388" i="3"/>
  <c r="B388" i="3"/>
  <c r="F388" i="3" s="1"/>
  <c r="M387" i="3"/>
  <c r="D387" i="3"/>
  <c r="C387" i="3"/>
  <c r="B387" i="3"/>
  <c r="F387" i="3" s="1"/>
  <c r="M386" i="3"/>
  <c r="D386" i="3"/>
  <c r="C386" i="3"/>
  <c r="B386" i="3"/>
  <c r="E386" i="3" s="1"/>
  <c r="M385" i="3"/>
  <c r="D385" i="3"/>
  <c r="C385" i="3"/>
  <c r="B385" i="3"/>
  <c r="E385" i="3" s="1"/>
  <c r="M384" i="3"/>
  <c r="D384" i="3"/>
  <c r="C384" i="3"/>
  <c r="B384" i="3"/>
  <c r="M383" i="3"/>
  <c r="D383" i="3"/>
  <c r="C383" i="3"/>
  <c r="B383" i="3"/>
  <c r="F383" i="3" s="1"/>
  <c r="M382" i="3"/>
  <c r="L382" i="3"/>
  <c r="H376" i="3"/>
  <c r="G376" i="3"/>
  <c r="F376" i="3"/>
  <c r="E376" i="3"/>
  <c r="C376" i="3"/>
  <c r="M373" i="3"/>
  <c r="G373" i="3"/>
  <c r="D373" i="3"/>
  <c r="C373" i="3"/>
  <c r="B373" i="3"/>
  <c r="F373" i="3" s="1"/>
  <c r="M372" i="3"/>
  <c r="D372" i="3"/>
  <c r="C372" i="3"/>
  <c r="B372" i="3"/>
  <c r="F372" i="3" s="1"/>
  <c r="M371" i="3"/>
  <c r="E371" i="3"/>
  <c r="D371" i="3"/>
  <c r="C371" i="3"/>
  <c r="B371" i="3"/>
  <c r="F371" i="3" s="1"/>
  <c r="M370" i="3"/>
  <c r="D370" i="3"/>
  <c r="C370" i="3"/>
  <c r="B370" i="3"/>
  <c r="F370" i="3" s="1"/>
  <c r="M369" i="3"/>
  <c r="D369" i="3"/>
  <c r="C369" i="3"/>
  <c r="B369" i="3"/>
  <c r="F369" i="3" s="1"/>
  <c r="M368" i="3"/>
  <c r="D368" i="3"/>
  <c r="C368" i="3"/>
  <c r="B368" i="3"/>
  <c r="E368" i="3" s="1"/>
  <c r="M367" i="3"/>
  <c r="D367" i="3"/>
  <c r="C367" i="3"/>
  <c r="B367" i="3"/>
  <c r="E367" i="3" s="1"/>
  <c r="M366" i="3"/>
  <c r="D366" i="3"/>
  <c r="C366" i="3"/>
  <c r="B366" i="3"/>
  <c r="E366" i="3" s="1"/>
  <c r="M365" i="3"/>
  <c r="D365" i="3"/>
  <c r="C365" i="3"/>
  <c r="B365" i="3"/>
  <c r="F365" i="3" s="1"/>
  <c r="M364" i="3"/>
  <c r="D364" i="3"/>
  <c r="C364" i="3"/>
  <c r="B364" i="3"/>
  <c r="F364" i="3" s="1"/>
  <c r="M363" i="3"/>
  <c r="L363" i="3"/>
  <c r="F357" i="3"/>
  <c r="E357" i="3"/>
  <c r="H355" i="3"/>
  <c r="C98" i="3" s="1"/>
  <c r="M354" i="3"/>
  <c r="B354" i="3"/>
  <c r="M353" i="3"/>
  <c r="B353" i="3"/>
  <c r="M352" i="3"/>
  <c r="J352" i="3"/>
  <c r="C352" i="3"/>
  <c r="B352" i="3"/>
  <c r="M351" i="3"/>
  <c r="J351" i="3"/>
  <c r="B351" i="3"/>
  <c r="M350" i="3"/>
  <c r="B350" i="3"/>
  <c r="M349" i="3"/>
  <c r="B349" i="3"/>
  <c r="M348" i="3"/>
  <c r="J348" i="3"/>
  <c r="C348" i="3"/>
  <c r="B348" i="3"/>
  <c r="M347" i="3"/>
  <c r="C347" i="3"/>
  <c r="B347" i="3"/>
  <c r="M346" i="3"/>
  <c r="J346" i="3"/>
  <c r="C346" i="3"/>
  <c r="L346" i="3" s="1"/>
  <c r="B346" i="3"/>
  <c r="M345" i="3"/>
  <c r="B345" i="3"/>
  <c r="M344" i="3"/>
  <c r="J344" i="3"/>
  <c r="I344" i="3"/>
  <c r="F338" i="3"/>
  <c r="E338" i="3"/>
  <c r="C338" i="3"/>
  <c r="D338" i="3" s="1"/>
  <c r="H336" i="3"/>
  <c r="M335" i="3"/>
  <c r="C335" i="3"/>
  <c r="B335" i="3"/>
  <c r="M334" i="3"/>
  <c r="J334" i="3"/>
  <c r="B334" i="3"/>
  <c r="M333" i="3"/>
  <c r="B333" i="3"/>
  <c r="M332" i="3"/>
  <c r="J332" i="3"/>
  <c r="B332" i="3"/>
  <c r="M331" i="3"/>
  <c r="J331" i="3"/>
  <c r="C331" i="3"/>
  <c r="L331" i="3" s="1"/>
  <c r="B331" i="3"/>
  <c r="M330" i="3"/>
  <c r="J330" i="3"/>
  <c r="C330" i="3"/>
  <c r="L330" i="3" s="1"/>
  <c r="B330" i="3"/>
  <c r="M329" i="3"/>
  <c r="B329" i="3"/>
  <c r="M328" i="3"/>
  <c r="B328" i="3"/>
  <c r="M327" i="3"/>
  <c r="B327" i="3"/>
  <c r="M326" i="3"/>
  <c r="J326" i="3"/>
  <c r="B326" i="3"/>
  <c r="M325" i="3"/>
  <c r="I325" i="3"/>
  <c r="H319" i="3"/>
  <c r="G319" i="3"/>
  <c r="M316" i="3"/>
  <c r="J316" i="3"/>
  <c r="B316" i="3"/>
  <c r="M315" i="3"/>
  <c r="B315" i="3"/>
  <c r="M314" i="3"/>
  <c r="B314" i="3"/>
  <c r="M313" i="3"/>
  <c r="E313" i="3"/>
  <c r="C313" i="3"/>
  <c r="B313" i="3"/>
  <c r="M312" i="3"/>
  <c r="J312" i="3"/>
  <c r="B312" i="3"/>
  <c r="M311" i="3"/>
  <c r="B311" i="3"/>
  <c r="M310" i="3"/>
  <c r="G310" i="3"/>
  <c r="F310" i="3"/>
  <c r="E310" i="3"/>
  <c r="C310" i="3"/>
  <c r="B310" i="3"/>
  <c r="M309" i="3"/>
  <c r="J309" i="3"/>
  <c r="B309" i="3"/>
  <c r="M308" i="3"/>
  <c r="B308" i="3"/>
  <c r="M307" i="3"/>
  <c r="G307" i="3"/>
  <c r="C307" i="3"/>
  <c r="B307" i="3"/>
  <c r="E307" i="3" s="1"/>
  <c r="M306" i="3"/>
  <c r="I306" i="3"/>
  <c r="H300" i="3"/>
  <c r="G300" i="3"/>
  <c r="C300" i="3"/>
  <c r="H87" i="3" s="1"/>
  <c r="M297" i="3"/>
  <c r="B297" i="3"/>
  <c r="M296" i="3"/>
  <c r="C296" i="3"/>
  <c r="B296" i="3"/>
  <c r="M295" i="3"/>
  <c r="B295" i="3"/>
  <c r="M294" i="3"/>
  <c r="F294" i="3"/>
  <c r="E294" i="3"/>
  <c r="C294" i="3"/>
  <c r="B294" i="3"/>
  <c r="M293" i="3"/>
  <c r="B293" i="3"/>
  <c r="M292" i="3"/>
  <c r="D292" i="3"/>
  <c r="B292" i="3"/>
  <c r="M291" i="3"/>
  <c r="J291" i="3"/>
  <c r="F291" i="3"/>
  <c r="E291" i="3"/>
  <c r="D291" i="3"/>
  <c r="B291" i="3"/>
  <c r="M290" i="3"/>
  <c r="B290" i="3"/>
  <c r="M289" i="3"/>
  <c r="B289" i="3"/>
  <c r="M288" i="3"/>
  <c r="B288" i="3"/>
  <c r="E288" i="3" s="1"/>
  <c r="M287" i="3"/>
  <c r="J287" i="3"/>
  <c r="I287" i="3"/>
  <c r="H281" i="3"/>
  <c r="G281" i="3"/>
  <c r="C281" i="3"/>
  <c r="D281" i="3" s="1"/>
  <c r="E279" i="3"/>
  <c r="M278" i="3"/>
  <c r="G278" i="3"/>
  <c r="C278" i="3"/>
  <c r="B278" i="3"/>
  <c r="F278" i="3" s="1"/>
  <c r="M277" i="3"/>
  <c r="C277" i="3"/>
  <c r="B277" i="3"/>
  <c r="E277" i="3" s="1"/>
  <c r="M276" i="3"/>
  <c r="C276" i="3"/>
  <c r="B276" i="3"/>
  <c r="F276" i="3" s="1"/>
  <c r="M275" i="3"/>
  <c r="H275" i="3"/>
  <c r="C275" i="3"/>
  <c r="B275" i="3"/>
  <c r="D275" i="3" s="1"/>
  <c r="M274" i="3"/>
  <c r="H274" i="3"/>
  <c r="C274" i="3"/>
  <c r="B274" i="3"/>
  <c r="F274" i="3" s="1"/>
  <c r="M273" i="3"/>
  <c r="D273" i="3"/>
  <c r="C273" i="3"/>
  <c r="B273" i="3"/>
  <c r="F273" i="3" s="1"/>
  <c r="M272" i="3"/>
  <c r="H272" i="3"/>
  <c r="C272" i="3"/>
  <c r="B272" i="3"/>
  <c r="F272" i="3" s="1"/>
  <c r="M271" i="3"/>
  <c r="H271" i="3"/>
  <c r="C271" i="3"/>
  <c r="B271" i="3"/>
  <c r="F271" i="3" s="1"/>
  <c r="M270" i="3"/>
  <c r="C270" i="3"/>
  <c r="B270" i="3"/>
  <c r="F270" i="3" s="1"/>
  <c r="M269" i="3"/>
  <c r="F269" i="3"/>
  <c r="C269" i="3"/>
  <c r="B269" i="3"/>
  <c r="E269" i="3" s="1"/>
  <c r="M268" i="3"/>
  <c r="H268" i="3"/>
  <c r="G268" i="3"/>
  <c r="H262" i="3"/>
  <c r="G262" i="3"/>
  <c r="C262" i="3"/>
  <c r="D262" i="3" s="1"/>
  <c r="M259" i="3"/>
  <c r="G259" i="3"/>
  <c r="E259" i="3"/>
  <c r="C259" i="3"/>
  <c r="B259" i="3"/>
  <c r="D259" i="3" s="1"/>
  <c r="M258" i="3"/>
  <c r="C258" i="3"/>
  <c r="B258" i="3"/>
  <c r="D258" i="3" s="1"/>
  <c r="M257" i="3"/>
  <c r="C257" i="3"/>
  <c r="B257" i="3"/>
  <c r="F257" i="3" s="1"/>
  <c r="M256" i="3"/>
  <c r="C256" i="3"/>
  <c r="B256" i="3"/>
  <c r="M255" i="3"/>
  <c r="H255" i="3"/>
  <c r="C255" i="3"/>
  <c r="B255" i="3"/>
  <c r="D255" i="3" s="1"/>
  <c r="M254" i="3"/>
  <c r="C254" i="3"/>
  <c r="B254" i="3"/>
  <c r="D254" i="3" s="1"/>
  <c r="M253" i="3"/>
  <c r="C253" i="3"/>
  <c r="B253" i="3"/>
  <c r="F253" i="3" s="1"/>
  <c r="M252" i="3"/>
  <c r="H252" i="3"/>
  <c r="C252" i="3"/>
  <c r="B252" i="3"/>
  <c r="D252" i="3" s="1"/>
  <c r="M251" i="3"/>
  <c r="H251" i="3"/>
  <c r="C251" i="3"/>
  <c r="B251" i="3"/>
  <c r="E251" i="3" s="1"/>
  <c r="M250" i="3"/>
  <c r="C250" i="3"/>
  <c r="B250" i="3"/>
  <c r="M249" i="3"/>
  <c r="G249" i="3"/>
  <c r="H243" i="3"/>
  <c r="G243" i="3"/>
  <c r="C243" i="3"/>
  <c r="H97" i="3" s="1"/>
  <c r="B241" i="3"/>
  <c r="M240" i="3"/>
  <c r="G240" i="3"/>
  <c r="F240" i="3"/>
  <c r="D240" i="3"/>
  <c r="C240" i="3"/>
  <c r="B240" i="3"/>
  <c r="E240" i="3" s="1"/>
  <c r="M239" i="3"/>
  <c r="C239" i="3"/>
  <c r="B239" i="3"/>
  <c r="F239" i="3" s="1"/>
  <c r="M238" i="3"/>
  <c r="C238" i="3"/>
  <c r="B238" i="3"/>
  <c r="D238" i="3" s="1"/>
  <c r="M237" i="3"/>
  <c r="C237" i="3"/>
  <c r="B237" i="3"/>
  <c r="M236" i="3"/>
  <c r="C236" i="3"/>
  <c r="B236" i="3"/>
  <c r="F236" i="3" s="1"/>
  <c r="M235" i="3"/>
  <c r="F235" i="3"/>
  <c r="C235" i="3"/>
  <c r="B235" i="3"/>
  <c r="E235" i="3" s="1"/>
  <c r="M234" i="3"/>
  <c r="C234" i="3"/>
  <c r="B234" i="3"/>
  <c r="F234" i="3" s="1"/>
  <c r="M233" i="3"/>
  <c r="C233" i="3"/>
  <c r="B233" i="3"/>
  <c r="D233" i="3" s="1"/>
  <c r="M232" i="3"/>
  <c r="C232" i="3"/>
  <c r="B232" i="3"/>
  <c r="F232" i="3" s="1"/>
  <c r="M231" i="3"/>
  <c r="C231" i="3"/>
  <c r="B231" i="3"/>
  <c r="F231" i="3" s="1"/>
  <c r="M230" i="3"/>
  <c r="H230" i="3"/>
  <c r="G230" i="3"/>
  <c r="H224" i="3"/>
  <c r="G224" i="3"/>
  <c r="C224" i="3"/>
  <c r="D224" i="3" s="1"/>
  <c r="B222" i="3"/>
  <c r="C84" i="3" s="1"/>
  <c r="M221" i="3"/>
  <c r="G221" i="3"/>
  <c r="C221" i="3"/>
  <c r="B221" i="3"/>
  <c r="F221" i="3" s="1"/>
  <c r="M220" i="3"/>
  <c r="C220" i="3"/>
  <c r="B220" i="3"/>
  <c r="D220" i="3" s="1"/>
  <c r="M219" i="3"/>
  <c r="C219" i="3"/>
  <c r="B219" i="3"/>
  <c r="E219" i="3" s="1"/>
  <c r="M218" i="3"/>
  <c r="C218" i="3"/>
  <c r="B218" i="3"/>
  <c r="D218" i="3" s="1"/>
  <c r="M217" i="3"/>
  <c r="C217" i="3"/>
  <c r="B217" i="3"/>
  <c r="F217" i="3" s="1"/>
  <c r="M216" i="3"/>
  <c r="C216" i="3"/>
  <c r="B216" i="3"/>
  <c r="D216" i="3" s="1"/>
  <c r="M215" i="3"/>
  <c r="C215" i="3"/>
  <c r="B215" i="3"/>
  <c r="F215" i="3" s="1"/>
  <c r="M214" i="3"/>
  <c r="C214" i="3"/>
  <c r="B214" i="3"/>
  <c r="D214" i="3" s="1"/>
  <c r="M213" i="3"/>
  <c r="C213" i="3"/>
  <c r="B213" i="3"/>
  <c r="M212" i="3"/>
  <c r="C212" i="3"/>
  <c r="B212" i="3"/>
  <c r="E212" i="3" s="1"/>
  <c r="M211" i="3"/>
  <c r="H211" i="3"/>
  <c r="G211" i="3"/>
  <c r="L211" i="3" s="1"/>
  <c r="H205" i="3"/>
  <c r="G205" i="3"/>
  <c r="F205" i="3"/>
  <c r="E205" i="3"/>
  <c r="C205" i="3"/>
  <c r="D205" i="3" s="1"/>
  <c r="M202" i="3"/>
  <c r="G202" i="3"/>
  <c r="C202" i="3"/>
  <c r="B202" i="3"/>
  <c r="F202" i="3" s="1"/>
  <c r="M201" i="3"/>
  <c r="C201" i="3"/>
  <c r="B201" i="3"/>
  <c r="F201" i="3" s="1"/>
  <c r="M200" i="3"/>
  <c r="C200" i="3"/>
  <c r="B200" i="3"/>
  <c r="F200" i="3" s="1"/>
  <c r="M199" i="3"/>
  <c r="C199" i="3"/>
  <c r="B199" i="3"/>
  <c r="E199" i="3" s="1"/>
  <c r="M198" i="3"/>
  <c r="C198" i="3"/>
  <c r="B198" i="3"/>
  <c r="F198" i="3" s="1"/>
  <c r="M197" i="3"/>
  <c r="C197" i="3"/>
  <c r="B197" i="3"/>
  <c r="F197" i="3" s="1"/>
  <c r="M196" i="3"/>
  <c r="C196" i="3"/>
  <c r="B196" i="3"/>
  <c r="F196" i="3" s="1"/>
  <c r="M195" i="3"/>
  <c r="C195" i="3"/>
  <c r="B195" i="3"/>
  <c r="D195" i="3" s="1"/>
  <c r="M194" i="3"/>
  <c r="C194" i="3"/>
  <c r="B194" i="3"/>
  <c r="F194" i="3" s="1"/>
  <c r="M193" i="3"/>
  <c r="C193" i="3"/>
  <c r="B193" i="3"/>
  <c r="D193" i="3" s="1"/>
  <c r="M192" i="3"/>
  <c r="G192" i="3"/>
  <c r="L192" i="3" s="1"/>
  <c r="H186" i="3"/>
  <c r="G186" i="3"/>
  <c r="F186" i="3"/>
  <c r="E186" i="3"/>
  <c r="C186" i="3"/>
  <c r="H95" i="3" s="1"/>
  <c r="M183" i="3"/>
  <c r="G183" i="3"/>
  <c r="C183" i="3"/>
  <c r="B183" i="3"/>
  <c r="D183" i="3" s="1"/>
  <c r="M182" i="3"/>
  <c r="C182" i="3"/>
  <c r="B182" i="3"/>
  <c r="F182" i="3" s="1"/>
  <c r="M181" i="3"/>
  <c r="C181" i="3"/>
  <c r="B181" i="3"/>
  <c r="D181" i="3" s="1"/>
  <c r="M180" i="3"/>
  <c r="C180" i="3"/>
  <c r="B180" i="3"/>
  <c r="M179" i="3"/>
  <c r="C179" i="3"/>
  <c r="B179" i="3"/>
  <c r="F179" i="3" s="1"/>
  <c r="M178" i="3"/>
  <c r="C178" i="3"/>
  <c r="B178" i="3"/>
  <c r="F178" i="3" s="1"/>
  <c r="M177" i="3"/>
  <c r="C177" i="3"/>
  <c r="B177" i="3"/>
  <c r="F177" i="3" s="1"/>
  <c r="M176" i="3"/>
  <c r="C176" i="3"/>
  <c r="B176" i="3"/>
  <c r="E176" i="3" s="1"/>
  <c r="M175" i="3"/>
  <c r="C175" i="3"/>
  <c r="B175" i="3"/>
  <c r="F175" i="3" s="1"/>
  <c r="M174" i="3"/>
  <c r="C174" i="3"/>
  <c r="B174" i="3"/>
  <c r="D174" i="3" s="1"/>
  <c r="M173" i="3"/>
  <c r="G173" i="3"/>
  <c r="L173" i="3" s="1"/>
  <c r="H167" i="3"/>
  <c r="G167" i="3"/>
  <c r="F167" i="3"/>
  <c r="E167" i="3"/>
  <c r="C167" i="3"/>
  <c r="M164" i="3"/>
  <c r="G164" i="3"/>
  <c r="C164" i="3"/>
  <c r="B164" i="3"/>
  <c r="D164" i="3" s="1"/>
  <c r="M163" i="3"/>
  <c r="C163" i="3"/>
  <c r="B163" i="3"/>
  <c r="F163" i="3" s="1"/>
  <c r="M162" i="3"/>
  <c r="C162" i="3"/>
  <c r="B162" i="3"/>
  <c r="F162" i="3" s="1"/>
  <c r="M161" i="3"/>
  <c r="C161" i="3"/>
  <c r="B161" i="3"/>
  <c r="F161" i="3" s="1"/>
  <c r="M160" i="3"/>
  <c r="C160" i="3"/>
  <c r="B160" i="3"/>
  <c r="F160" i="3" s="1"/>
  <c r="M159" i="3"/>
  <c r="C159" i="3"/>
  <c r="B159" i="3"/>
  <c r="F159" i="3" s="1"/>
  <c r="M158" i="3"/>
  <c r="C158" i="3"/>
  <c r="B158" i="3"/>
  <c r="E158" i="3" s="1"/>
  <c r="M157" i="3"/>
  <c r="C157" i="3"/>
  <c r="B157" i="3"/>
  <c r="E157" i="3" s="1"/>
  <c r="M156" i="3"/>
  <c r="C156" i="3"/>
  <c r="B156" i="3"/>
  <c r="F156" i="3" s="1"/>
  <c r="M155" i="3"/>
  <c r="C155" i="3"/>
  <c r="B155" i="3"/>
  <c r="D155" i="3" s="1"/>
  <c r="M154" i="3"/>
  <c r="G154" i="3"/>
  <c r="L154" i="3" s="1"/>
  <c r="H148" i="3"/>
  <c r="G148" i="3"/>
  <c r="F148" i="3"/>
  <c r="E148" i="3"/>
  <c r="C148" i="3"/>
  <c r="M145" i="3"/>
  <c r="G145" i="3"/>
  <c r="D145" i="3"/>
  <c r="C145" i="3"/>
  <c r="B145" i="3"/>
  <c r="F145" i="3" s="1"/>
  <c r="M144" i="3"/>
  <c r="D144" i="3"/>
  <c r="C144" i="3"/>
  <c r="B144" i="3"/>
  <c r="F144" i="3" s="1"/>
  <c r="M143" i="3"/>
  <c r="D143" i="3"/>
  <c r="C143" i="3"/>
  <c r="B143" i="3"/>
  <c r="F143" i="3" s="1"/>
  <c r="M142" i="3"/>
  <c r="D142" i="3"/>
  <c r="C142" i="3"/>
  <c r="B142" i="3"/>
  <c r="F142" i="3" s="1"/>
  <c r="M141" i="3"/>
  <c r="D141" i="3"/>
  <c r="C141" i="3"/>
  <c r="B141" i="3"/>
  <c r="F141" i="3" s="1"/>
  <c r="M140" i="3"/>
  <c r="D140" i="3"/>
  <c r="C140" i="3"/>
  <c r="B140" i="3"/>
  <c r="E140" i="3" s="1"/>
  <c r="M139" i="3"/>
  <c r="D139" i="3"/>
  <c r="C139" i="3"/>
  <c r="B139" i="3"/>
  <c r="F139" i="3" s="1"/>
  <c r="M138" i="3"/>
  <c r="D138" i="3"/>
  <c r="C138" i="3"/>
  <c r="B138" i="3"/>
  <c r="F138" i="3" s="1"/>
  <c r="M137" i="3"/>
  <c r="D137" i="3"/>
  <c r="C137" i="3"/>
  <c r="B137" i="3"/>
  <c r="F137" i="3" s="1"/>
  <c r="M136" i="3"/>
  <c r="D136" i="3"/>
  <c r="C136" i="3"/>
  <c r="B136" i="3"/>
  <c r="E136" i="3" s="1"/>
  <c r="M135" i="3"/>
  <c r="G135" i="3"/>
  <c r="L135" i="3" s="1"/>
  <c r="H129" i="3"/>
  <c r="G129" i="3"/>
  <c r="F129" i="3"/>
  <c r="E129" i="3"/>
  <c r="C129" i="3"/>
  <c r="D129" i="3" s="1"/>
  <c r="M126" i="3"/>
  <c r="G126" i="3"/>
  <c r="C126" i="3"/>
  <c r="B126" i="3"/>
  <c r="E126" i="3" s="1"/>
  <c r="M125" i="3"/>
  <c r="C125" i="3"/>
  <c r="B125" i="3"/>
  <c r="E125" i="3" s="1"/>
  <c r="M124" i="3"/>
  <c r="C124" i="3"/>
  <c r="B124" i="3"/>
  <c r="F124" i="3" s="1"/>
  <c r="M123" i="3"/>
  <c r="C123" i="3"/>
  <c r="B123" i="3"/>
  <c r="M122" i="3"/>
  <c r="C122" i="3"/>
  <c r="B122" i="3"/>
  <c r="F122" i="3" s="1"/>
  <c r="M121" i="3"/>
  <c r="C121" i="3"/>
  <c r="B121" i="3"/>
  <c r="E121" i="3" s="1"/>
  <c r="M120" i="3"/>
  <c r="C120" i="3"/>
  <c r="B120" i="3"/>
  <c r="M119" i="3"/>
  <c r="C119" i="3"/>
  <c r="B119" i="3"/>
  <c r="F119" i="3" s="1"/>
  <c r="M118" i="3"/>
  <c r="C118" i="3"/>
  <c r="B118" i="3"/>
  <c r="F118" i="3" s="1"/>
  <c r="M117" i="3"/>
  <c r="C117" i="3"/>
  <c r="B117" i="3"/>
  <c r="E117" i="3" s="1"/>
  <c r="M116" i="3"/>
  <c r="G116" i="3"/>
  <c r="B112" i="3"/>
  <c r="B54" i="5" s="1"/>
  <c r="B111" i="3"/>
  <c r="B110" i="3"/>
  <c r="G338" i="3" s="1"/>
  <c r="H100" i="3"/>
  <c r="H92" i="3"/>
  <c r="H91" i="3"/>
  <c r="C90" i="3"/>
  <c r="H88" i="3"/>
  <c r="B73" i="3"/>
  <c r="B50" i="3"/>
  <c r="J354" i="3" s="1"/>
  <c r="B42" i="3"/>
  <c r="C547" i="3" s="1"/>
  <c r="B41" i="3"/>
  <c r="B298" i="3" s="1"/>
  <c r="B13" i="3"/>
  <c r="G387" i="3" s="1"/>
  <c r="B70" i="2"/>
  <c r="B71" i="2" s="1"/>
  <c r="B68" i="2"/>
  <c r="B69" i="2" s="1"/>
  <c r="B52" i="2"/>
  <c r="B53" i="2" s="1"/>
  <c r="B8" i="2"/>
  <c r="F368" i="3" l="1"/>
  <c r="E174" i="3"/>
  <c r="L368" i="3"/>
  <c r="D245" i="3"/>
  <c r="B302" i="3"/>
  <c r="H257" i="3"/>
  <c r="E292" i="3"/>
  <c r="C311" i="3"/>
  <c r="D315" i="3"/>
  <c r="F538" i="3"/>
  <c r="E155" i="3"/>
  <c r="J288" i="3"/>
  <c r="F296" i="3"/>
  <c r="D308" i="3"/>
  <c r="D311" i="3"/>
  <c r="J315" i="3"/>
  <c r="C327" i="3"/>
  <c r="H99" i="3"/>
  <c r="C288" i="3"/>
  <c r="E141" i="3"/>
  <c r="F155" i="3"/>
  <c r="F176" i="3"/>
  <c r="E218" i="3"/>
  <c r="H277" i="3"/>
  <c r="J296" i="3"/>
  <c r="C308" i="3"/>
  <c r="J327" i="3"/>
  <c r="L344" i="3"/>
  <c r="E388" i="3"/>
  <c r="L388" i="3" s="1"/>
  <c r="A245" i="3"/>
  <c r="J245" i="3" s="1"/>
  <c r="H188" i="3"/>
  <c r="E195" i="3"/>
  <c r="L195" i="3" s="1"/>
  <c r="F233" i="3"/>
  <c r="I378" i="3"/>
  <c r="A473" i="3"/>
  <c r="D539" i="3"/>
  <c r="E178" i="3"/>
  <c r="F174" i="3"/>
  <c r="D517" i="3"/>
  <c r="E530" i="3" s="1"/>
  <c r="N530" i="3" s="1"/>
  <c r="C435" i="3"/>
  <c r="L435" i="3" s="1"/>
  <c r="H84" i="3"/>
  <c r="K408" i="3"/>
  <c r="L408" i="3" s="1"/>
  <c r="D178" i="3"/>
  <c r="L178" i="3" s="1"/>
  <c r="A283" i="3"/>
  <c r="J283" i="3" s="1"/>
  <c r="E233" i="3"/>
  <c r="B207" i="3"/>
  <c r="K207" i="3" s="1"/>
  <c r="E138" i="3"/>
  <c r="L138" i="3" s="1"/>
  <c r="E145" i="3"/>
  <c r="H258" i="3"/>
  <c r="H269" i="3"/>
  <c r="E289" i="3"/>
  <c r="F293" i="3"/>
  <c r="D312" i="3"/>
  <c r="C316" i="3"/>
  <c r="C357" i="3"/>
  <c r="D357" i="3" s="1"/>
  <c r="H86" i="3"/>
  <c r="C131" i="3"/>
  <c r="H250" i="3"/>
  <c r="H254" i="3"/>
  <c r="J293" i="3"/>
  <c r="C297" i="3"/>
  <c r="E312" i="3"/>
  <c r="E316" i="3"/>
  <c r="C328" i="3"/>
  <c r="C350" i="3"/>
  <c r="L350" i="3" s="1"/>
  <c r="K426" i="3"/>
  <c r="L426" i="3" s="1"/>
  <c r="D283" i="3"/>
  <c r="I530" i="3"/>
  <c r="R530" i="3" s="1"/>
  <c r="D217" i="3"/>
  <c r="L217" i="3" s="1"/>
  <c r="D243" i="3"/>
  <c r="E296" i="3"/>
  <c r="H169" i="3"/>
  <c r="F218" i="3"/>
  <c r="F289" i="3"/>
  <c r="E293" i="3"/>
  <c r="G308" i="3"/>
  <c r="H85" i="3"/>
  <c r="D239" i="3"/>
  <c r="J308" i="3"/>
  <c r="L240" i="3"/>
  <c r="H264" i="3"/>
  <c r="F297" i="3"/>
  <c r="G312" i="3"/>
  <c r="G316" i="3"/>
  <c r="J328" i="3"/>
  <c r="C333" i="3"/>
  <c r="J350" i="3"/>
  <c r="K444" i="3"/>
  <c r="L444" i="3" s="1"/>
  <c r="D473" i="3"/>
  <c r="E540" i="3"/>
  <c r="C340" i="3"/>
  <c r="L340" i="3" s="1"/>
  <c r="D215" i="3"/>
  <c r="L215" i="3" s="1"/>
  <c r="H530" i="3"/>
  <c r="Q530" i="3" s="1"/>
  <c r="L458" i="3"/>
  <c r="F497" i="3"/>
  <c r="F501" i="3"/>
  <c r="B131" i="3"/>
  <c r="K131" i="3" s="1"/>
  <c r="D125" i="3"/>
  <c r="A169" i="3"/>
  <c r="D198" i="3"/>
  <c r="D212" i="3"/>
  <c r="D219" i="3"/>
  <c r="F238" i="3"/>
  <c r="E275" i="3"/>
  <c r="E278" i="3"/>
  <c r="L327" i="3"/>
  <c r="F366" i="3"/>
  <c r="L366" i="3" s="1"/>
  <c r="E389" i="3"/>
  <c r="L389" i="3" s="1"/>
  <c r="F392" i="3"/>
  <c r="L392" i="3" s="1"/>
  <c r="K428" i="3"/>
  <c r="L428" i="3" s="1"/>
  <c r="K440" i="3"/>
  <c r="L440" i="3" s="1"/>
  <c r="C511" i="3"/>
  <c r="L511" i="3" s="1"/>
  <c r="C26" i="6"/>
  <c r="C27" i="6" s="1"/>
  <c r="D201" i="3"/>
  <c r="C378" i="3"/>
  <c r="E201" i="3"/>
  <c r="K427" i="3"/>
  <c r="L427" i="3" s="1"/>
  <c r="F479" i="3"/>
  <c r="K409" i="3"/>
  <c r="L409" i="3" s="1"/>
  <c r="E150" i="3"/>
  <c r="D179" i="3"/>
  <c r="E198" i="3"/>
  <c r="K447" i="3"/>
  <c r="L447" i="3" s="1"/>
  <c r="H90" i="3"/>
  <c r="F125" i="3"/>
  <c r="A188" i="3"/>
  <c r="F219" i="3"/>
  <c r="L219" i="3" s="1"/>
  <c r="E255" i="3"/>
  <c r="D269" i="3"/>
  <c r="L269" i="3" s="1"/>
  <c r="E369" i="3"/>
  <c r="L369" i="3" s="1"/>
  <c r="B397" i="3"/>
  <c r="K397" i="3" s="1"/>
  <c r="F518" i="3"/>
  <c r="L525" i="3"/>
  <c r="F117" i="3"/>
  <c r="F136" i="3"/>
  <c r="C150" i="3"/>
  <c r="F157" i="3"/>
  <c r="G169" i="3" s="1"/>
  <c r="P169" i="3" s="1"/>
  <c r="F255" i="3"/>
  <c r="B279" i="3"/>
  <c r="C86" i="3" s="1"/>
  <c r="D289" i="3"/>
  <c r="C292" i="3"/>
  <c r="J294" i="3"/>
  <c r="J297" i="3"/>
  <c r="E308" i="3"/>
  <c r="J313" i="3"/>
  <c r="F316" i="3"/>
  <c r="L352" i="3"/>
  <c r="K411" i="3"/>
  <c r="L411" i="3" s="1"/>
  <c r="K429" i="3"/>
  <c r="L429" i="3" s="1"/>
  <c r="K441" i="3"/>
  <c r="L441" i="3" s="1"/>
  <c r="B452" i="3" s="1"/>
  <c r="J452" i="3" s="1"/>
  <c r="D100" i="3" s="1"/>
  <c r="D459" i="3"/>
  <c r="L459" i="3" s="1"/>
  <c r="D498" i="3"/>
  <c r="L498" i="3" s="1"/>
  <c r="D535" i="3"/>
  <c r="E215" i="3"/>
  <c r="E243" i="3"/>
  <c r="B245" i="3" s="1"/>
  <c r="K245" i="3" s="1"/>
  <c r="I131" i="3"/>
  <c r="R131" i="3" s="1"/>
  <c r="K448" i="3"/>
  <c r="L448" i="3" s="1"/>
  <c r="E239" i="3"/>
  <c r="F259" i="3"/>
  <c r="L259" i="3" s="1"/>
  <c r="B473" i="3"/>
  <c r="H96" i="3"/>
  <c r="E122" i="3"/>
  <c r="F195" i="3"/>
  <c r="C245" i="3"/>
  <c r="L245" i="3" s="1"/>
  <c r="H249" i="3"/>
  <c r="L249" i="3" s="1"/>
  <c r="I283" i="3"/>
  <c r="R283" i="3" s="1"/>
  <c r="E273" i="3"/>
  <c r="L273" i="3" s="1"/>
  <c r="H276" i="3"/>
  <c r="J289" i="3"/>
  <c r="F292" i="3"/>
  <c r="E295" i="3"/>
  <c r="E311" i="3"/>
  <c r="C314" i="3"/>
  <c r="F367" i="3"/>
  <c r="E373" i="3"/>
  <c r="L373" i="3" s="1"/>
  <c r="E416" i="3"/>
  <c r="K424" i="3"/>
  <c r="L424" i="3" s="1"/>
  <c r="K442" i="3"/>
  <c r="L442" i="3" s="1"/>
  <c r="K449" i="3"/>
  <c r="L449" i="3" s="1"/>
  <c r="E516" i="3"/>
  <c r="L516" i="3" s="1"/>
  <c r="E542" i="3"/>
  <c r="Q264" i="3"/>
  <c r="F224" i="3"/>
  <c r="D207" i="3"/>
  <c r="M207" i="3" s="1"/>
  <c r="D501" i="3"/>
  <c r="K404" i="3"/>
  <c r="L404" i="3" s="1"/>
  <c r="E387" i="3"/>
  <c r="L387" i="3" s="1"/>
  <c r="K405" i="3"/>
  <c r="L405" i="3" s="1"/>
  <c r="C188" i="3"/>
  <c r="I321" i="3"/>
  <c r="D118" i="3"/>
  <c r="D158" i="3"/>
  <c r="E162" i="3"/>
  <c r="H259" i="3"/>
  <c r="H273" i="3"/>
  <c r="C283" i="3"/>
  <c r="L283" i="3" s="1"/>
  <c r="J292" i="3"/>
  <c r="F295" i="3"/>
  <c r="E309" i="3"/>
  <c r="G311" i="3"/>
  <c r="D314" i="3"/>
  <c r="J333" i="3"/>
  <c r="L333" i="3" s="1"/>
  <c r="B359" i="3"/>
  <c r="K359" i="3" s="1"/>
  <c r="J353" i="3"/>
  <c r="E370" i="3"/>
  <c r="L370" i="3" s="1"/>
  <c r="F390" i="3"/>
  <c r="K406" i="3"/>
  <c r="L406" i="3" s="1"/>
  <c r="F516" i="3"/>
  <c r="F542" i="3"/>
  <c r="E182" i="3"/>
  <c r="K421" i="3"/>
  <c r="L421" i="3" s="1"/>
  <c r="E238" i="3"/>
  <c r="D278" i="3"/>
  <c r="K446" i="3"/>
  <c r="L446" i="3" s="1"/>
  <c r="B26" i="6"/>
  <c r="B27" i="6" s="1"/>
  <c r="F212" i="3"/>
  <c r="L212" i="3" s="1"/>
  <c r="F275" i="3"/>
  <c r="G283" i="3" s="1"/>
  <c r="P283" i="3" s="1"/>
  <c r="E372" i="3"/>
  <c r="L372" i="3" s="1"/>
  <c r="K410" i="3"/>
  <c r="L410" i="3" s="1"/>
  <c r="E518" i="3"/>
  <c r="L518" i="3" s="1"/>
  <c r="K423" i="3"/>
  <c r="L423" i="3" s="1"/>
  <c r="F459" i="3"/>
  <c r="E290" i="3"/>
  <c r="J295" i="3"/>
  <c r="C309" i="3"/>
  <c r="F314" i="3"/>
  <c r="C349" i="3"/>
  <c r="A378" i="3"/>
  <c r="J378" i="3" s="1"/>
  <c r="K443" i="3"/>
  <c r="L443" i="3" s="1"/>
  <c r="E460" i="3"/>
  <c r="L521" i="3"/>
  <c r="L131" i="3"/>
  <c r="L201" i="3"/>
  <c r="L233" i="3"/>
  <c r="L287" i="3"/>
  <c r="D182" i="3"/>
  <c r="D479" i="3"/>
  <c r="L479" i="3" s="1"/>
  <c r="I359" i="3"/>
  <c r="E497" i="3"/>
  <c r="I302" i="3"/>
  <c r="A397" i="3"/>
  <c r="J397" i="3" s="1"/>
  <c r="I169" i="3"/>
  <c r="L390" i="3"/>
  <c r="E498" i="3"/>
  <c r="D169" i="3"/>
  <c r="F158" i="3"/>
  <c r="F181" i="3"/>
  <c r="C207" i="3"/>
  <c r="L207" i="3" s="1"/>
  <c r="F214" i="3"/>
  <c r="L214" i="3" s="1"/>
  <c r="L218" i="3"/>
  <c r="H270" i="3"/>
  <c r="L270" i="3" s="1"/>
  <c r="C290" i="3"/>
  <c r="G306" i="3"/>
  <c r="D309" i="3"/>
  <c r="G314" i="3"/>
  <c r="C345" i="3"/>
  <c r="J349" i="3"/>
  <c r="L349" i="3" s="1"/>
  <c r="E365" i="3"/>
  <c r="L365" i="3" s="1"/>
  <c r="K425" i="3"/>
  <c r="L425" i="3" s="1"/>
  <c r="F460" i="3"/>
  <c r="G473" i="3" s="1"/>
  <c r="P473" i="3" s="1"/>
  <c r="M283" i="3"/>
  <c r="I226" i="3"/>
  <c r="R226" i="3" s="1"/>
  <c r="L238" i="3"/>
  <c r="D416" i="3"/>
  <c r="K403" i="3"/>
  <c r="L403" i="3" s="1"/>
  <c r="A131" i="3"/>
  <c r="J131" i="3" s="1"/>
  <c r="D226" i="3"/>
  <c r="M226" i="3" s="1"/>
  <c r="D150" i="3"/>
  <c r="I245" i="3"/>
  <c r="K422" i="3"/>
  <c r="L422" i="3" s="1"/>
  <c r="D26" i="6"/>
  <c r="D27" i="6" s="1"/>
  <c r="L348" i="3"/>
  <c r="F435" i="3"/>
  <c r="O435" i="3" s="1"/>
  <c r="K430" i="3"/>
  <c r="L430" i="3" s="1"/>
  <c r="D530" i="3"/>
  <c r="M530" i="3" s="1"/>
  <c r="E217" i="3"/>
  <c r="E220" i="3"/>
  <c r="E118" i="3"/>
  <c r="E181" i="3"/>
  <c r="L181" i="3" s="1"/>
  <c r="E214" i="3"/>
  <c r="H253" i="3"/>
  <c r="H256" i="3"/>
  <c r="B77" i="3"/>
  <c r="L141" i="3"/>
  <c r="L145" i="3"/>
  <c r="L174" i="3"/>
  <c r="A226" i="3"/>
  <c r="J226" i="3" s="1"/>
  <c r="F277" i="3"/>
  <c r="J290" i="3"/>
  <c r="D293" i="3"/>
  <c r="F309" i="3"/>
  <c r="C312" i="3"/>
  <c r="J314" i="3"/>
  <c r="J325" i="3"/>
  <c r="L325" i="3" s="1"/>
  <c r="C334" i="3"/>
  <c r="L334" i="3" s="1"/>
  <c r="J345" i="3"/>
  <c r="C354" i="3"/>
  <c r="L524" i="3"/>
  <c r="E538" i="3"/>
  <c r="D543" i="3"/>
  <c r="B58" i="2"/>
  <c r="B56" i="2"/>
  <c r="B54" i="2"/>
  <c r="B55" i="2"/>
  <c r="L136" i="3"/>
  <c r="F300" i="3"/>
  <c r="E300" i="3"/>
  <c r="C302" i="3" s="1"/>
  <c r="C87" i="3"/>
  <c r="L143" i="3"/>
  <c r="B150" i="3"/>
  <c r="H150" i="3"/>
  <c r="I150" i="3"/>
  <c r="B46" i="5"/>
  <c r="B45" i="5"/>
  <c r="B78" i="3"/>
  <c r="F123" i="3"/>
  <c r="E123" i="3"/>
  <c r="D123" i="3"/>
  <c r="L123" i="3" s="1"/>
  <c r="E120" i="3"/>
  <c r="D120" i="3"/>
  <c r="E160" i="3"/>
  <c r="D160" i="3"/>
  <c r="L160" i="3" s="1"/>
  <c r="D188" i="3"/>
  <c r="F193" i="3"/>
  <c r="E193" i="3"/>
  <c r="C264" i="3"/>
  <c r="L264" i="3" s="1"/>
  <c r="L268" i="3"/>
  <c r="D397" i="3"/>
  <c r="M397" i="3" s="1"/>
  <c r="G416" i="3"/>
  <c r="F250" i="3"/>
  <c r="E250" i="3"/>
  <c r="G357" i="3"/>
  <c r="C359" i="3" s="1"/>
  <c r="L359" i="3" s="1"/>
  <c r="H357" i="3"/>
  <c r="E397" i="3"/>
  <c r="N397" i="3" s="1"/>
  <c r="H416" i="3"/>
  <c r="A264" i="3"/>
  <c r="J264" i="3" s="1"/>
  <c r="C492" i="3"/>
  <c r="L492" i="3" s="1"/>
  <c r="C97" i="3"/>
  <c r="E139" i="3"/>
  <c r="L139" i="3" s="1"/>
  <c r="E144" i="3"/>
  <c r="L144" i="3" s="1"/>
  <c r="D163" i="3"/>
  <c r="E179" i="3"/>
  <c r="D186" i="3"/>
  <c r="H207" i="3"/>
  <c r="Q207" i="3" s="1"/>
  <c r="H226" i="3"/>
  <c r="Q226" i="3" s="1"/>
  <c r="D231" i="3"/>
  <c r="D236" i="3"/>
  <c r="D250" i="3"/>
  <c r="D257" i="3"/>
  <c r="D271" i="3"/>
  <c r="H338" i="3"/>
  <c r="L371" i="3"/>
  <c r="H397" i="3"/>
  <c r="Q397" i="3" s="1"/>
  <c r="D492" i="3"/>
  <c r="M492" i="3" s="1"/>
  <c r="L522" i="3"/>
  <c r="E163" i="3"/>
  <c r="D177" i="3"/>
  <c r="L182" i="3"/>
  <c r="D196" i="3"/>
  <c r="I207" i="3"/>
  <c r="R207" i="3" s="1"/>
  <c r="E231" i="3"/>
  <c r="E236" i="3"/>
  <c r="E257" i="3"/>
  <c r="D264" i="3"/>
  <c r="M264" i="3" s="1"/>
  <c r="E271" i="3"/>
  <c r="L271" i="3" s="1"/>
  <c r="A302" i="3"/>
  <c r="B321" i="3"/>
  <c r="I511" i="3"/>
  <c r="R511" i="3" s="1"/>
  <c r="D511" i="3"/>
  <c r="M511" i="3" s="1"/>
  <c r="D376" i="3"/>
  <c r="F385" i="3"/>
  <c r="L385" i="3" s="1"/>
  <c r="F454" i="3"/>
  <c r="O454" i="3" s="1"/>
  <c r="C454" i="3"/>
  <c r="L454" i="3" s="1"/>
  <c r="D454" i="3"/>
  <c r="M454" i="3" s="1"/>
  <c r="B454" i="3"/>
  <c r="K454" i="3" s="1"/>
  <c r="A454" i="3"/>
  <c r="J454" i="3" s="1"/>
  <c r="G454" i="3"/>
  <c r="P454" i="3" s="1"/>
  <c r="B37" i="5"/>
  <c r="B36" i="5"/>
  <c r="B42" i="5"/>
  <c r="E137" i="3"/>
  <c r="L137" i="3" s="1"/>
  <c r="E177" i="3"/>
  <c r="D156" i="3"/>
  <c r="E340" i="3"/>
  <c r="N340" i="3" s="1"/>
  <c r="B340" i="3"/>
  <c r="K340" i="3" s="1"/>
  <c r="D194" i="3"/>
  <c r="E213" i="3"/>
  <c r="D213" i="3"/>
  <c r="F220" i="3"/>
  <c r="H245" i="3"/>
  <c r="Q245" i="3" s="1"/>
  <c r="D234" i="3"/>
  <c r="D253" i="3"/>
  <c r="L253" i="3" s="1"/>
  <c r="I264" i="3"/>
  <c r="R264" i="3" s="1"/>
  <c r="D276" i="3"/>
  <c r="L276" i="3" s="1"/>
  <c r="D290" i="3"/>
  <c r="L290" i="3" s="1"/>
  <c r="D307" i="3"/>
  <c r="A340" i="3"/>
  <c r="J340" i="3" s="1"/>
  <c r="B378" i="3"/>
  <c r="H378" i="3"/>
  <c r="Q378" i="3" s="1"/>
  <c r="E378" i="3"/>
  <c r="N378" i="3" s="1"/>
  <c r="I397" i="3"/>
  <c r="R397" i="3" s="1"/>
  <c r="D414" i="3"/>
  <c r="N416" i="3" s="1"/>
  <c r="E454" i="3"/>
  <c r="N454" i="3" s="1"/>
  <c r="D148" i="3"/>
  <c r="F243" i="3"/>
  <c r="F391" i="3"/>
  <c r="E391" i="3"/>
  <c r="L391" i="3" s="1"/>
  <c r="A416" i="3"/>
  <c r="H435" i="3"/>
  <c r="Q435" i="3" s="1"/>
  <c r="G435" i="3"/>
  <c r="P435" i="3" s="1"/>
  <c r="E435" i="3"/>
  <c r="N435" i="3" s="1"/>
  <c r="A435" i="3"/>
  <c r="J435" i="3" s="1"/>
  <c r="H454" i="3"/>
  <c r="Q454" i="3" s="1"/>
  <c r="A530" i="3"/>
  <c r="J530" i="3" s="1"/>
  <c r="L515" i="3"/>
  <c r="E224" i="3"/>
  <c r="B226" i="3" s="1"/>
  <c r="K226" i="3" s="1"/>
  <c r="D175" i="3"/>
  <c r="H94" i="3"/>
  <c r="D126" i="3"/>
  <c r="E175" i="3"/>
  <c r="L175" i="3" s="1"/>
  <c r="E234" i="3"/>
  <c r="D274" i="3"/>
  <c r="L274" i="3" s="1"/>
  <c r="D288" i="3"/>
  <c r="F290" i="3"/>
  <c r="F307" i="3"/>
  <c r="F340" i="3"/>
  <c r="O340" i="3" s="1"/>
  <c r="L386" i="3"/>
  <c r="C397" i="3"/>
  <c r="L397" i="3" s="1"/>
  <c r="L401" i="3"/>
  <c r="A511" i="3"/>
  <c r="J511" i="3" s="1"/>
  <c r="L496" i="3"/>
  <c r="E500" i="3"/>
  <c r="D500" i="3"/>
  <c r="D121" i="3"/>
  <c r="E156" i="3"/>
  <c r="D161" i="3"/>
  <c r="E180" i="3"/>
  <c r="D180" i="3"/>
  <c r="B9" i="4"/>
  <c r="F121" i="3"/>
  <c r="D251" i="3"/>
  <c r="D124" i="3"/>
  <c r="L124" i="3" s="1"/>
  <c r="F126" i="3"/>
  <c r="L126" i="3" s="1"/>
  <c r="G340" i="3"/>
  <c r="P340" i="3" s="1"/>
  <c r="A359" i="3"/>
  <c r="J359" i="3" s="1"/>
  <c r="F416" i="3"/>
  <c r="C416" i="3"/>
  <c r="H511" i="3"/>
  <c r="Q511" i="3" s="1"/>
  <c r="E142" i="3"/>
  <c r="L142" i="3" s="1"/>
  <c r="E276" i="3"/>
  <c r="L116" i="3"/>
  <c r="D119" i="3"/>
  <c r="L119" i="3" s="1"/>
  <c r="E124" i="3"/>
  <c r="A150" i="3"/>
  <c r="J150" i="3" s="1"/>
  <c r="D159" i="3"/>
  <c r="L159" i="3" s="1"/>
  <c r="E164" i="3"/>
  <c r="L164" i="3" s="1"/>
  <c r="E183" i="3"/>
  <c r="L183" i="3" s="1"/>
  <c r="D197" i="3"/>
  <c r="L197" i="3" s="1"/>
  <c r="F199" i="3"/>
  <c r="E216" i="3"/>
  <c r="E232" i="3"/>
  <c r="F251" i="3"/>
  <c r="F256" i="3"/>
  <c r="E256" i="3"/>
  <c r="D272" i="3"/>
  <c r="H283" i="3"/>
  <c r="Q283" i="3" s="1"/>
  <c r="F288" i="3"/>
  <c r="E364" i="3"/>
  <c r="E383" i="3"/>
  <c r="L383" i="3" s="1"/>
  <c r="F386" i="3"/>
  <c r="F500" i="3"/>
  <c r="D167" i="3"/>
  <c r="M169" i="3" s="1"/>
  <c r="E161" i="3"/>
  <c r="C226" i="3"/>
  <c r="L226" i="3" s="1"/>
  <c r="F237" i="3"/>
  <c r="D237" i="3"/>
  <c r="E253" i="3"/>
  <c r="F180" i="3"/>
  <c r="F140" i="3"/>
  <c r="L140" i="3" s="1"/>
  <c r="D232" i="3"/>
  <c r="E237" i="3"/>
  <c r="E143" i="3"/>
  <c r="E159" i="3"/>
  <c r="E197" i="3"/>
  <c r="D202" i="3"/>
  <c r="F216" i="3"/>
  <c r="L216" i="3" s="1"/>
  <c r="D221" i="3"/>
  <c r="I340" i="3"/>
  <c r="R340" i="3" s="1"/>
  <c r="H89" i="3"/>
  <c r="F120" i="3"/>
  <c r="E196" i="3"/>
  <c r="E274" i="3"/>
  <c r="F164" i="3"/>
  <c r="F183" i="3"/>
  <c r="E272" i="3"/>
  <c r="B435" i="3"/>
  <c r="K435" i="3" s="1"/>
  <c r="D461" i="3"/>
  <c r="F461" i="3"/>
  <c r="I188" i="3"/>
  <c r="D176" i="3"/>
  <c r="L176" i="3" s="1"/>
  <c r="E202" i="3"/>
  <c r="E221" i="3"/>
  <c r="F254" i="3"/>
  <c r="E254" i="3"/>
  <c r="D256" i="3"/>
  <c r="D270" i="3"/>
  <c r="D277" i="3"/>
  <c r="D300" i="3"/>
  <c r="R302" i="3" s="1"/>
  <c r="E359" i="3"/>
  <c r="N359" i="3" s="1"/>
  <c r="B416" i="3"/>
  <c r="H492" i="3"/>
  <c r="Q492" i="3" s="1"/>
  <c r="B492" i="3"/>
  <c r="K492" i="3" s="1"/>
  <c r="A492" i="3"/>
  <c r="J492" i="3" s="1"/>
  <c r="I492" i="3"/>
  <c r="R492" i="3" s="1"/>
  <c r="E481" i="3"/>
  <c r="G530" i="3"/>
  <c r="P530" i="3" s="1"/>
  <c r="E194" i="3"/>
  <c r="D199" i="3"/>
  <c r="F213" i="3"/>
  <c r="F258" i="3"/>
  <c r="E258" i="3"/>
  <c r="D131" i="3"/>
  <c r="M131" i="3" s="1"/>
  <c r="E119" i="3"/>
  <c r="B317" i="3"/>
  <c r="B260" i="3"/>
  <c r="D117" i="3"/>
  <c r="C169" i="3"/>
  <c r="B169" i="3"/>
  <c r="D157" i="3"/>
  <c r="D547" i="3"/>
  <c r="D122" i="3"/>
  <c r="L122" i="3" s="1"/>
  <c r="H131" i="3"/>
  <c r="Q131" i="3" s="1"/>
  <c r="D162" i="3"/>
  <c r="L162" i="3" s="1"/>
  <c r="B188" i="3"/>
  <c r="E200" i="3"/>
  <c r="D200" i="3"/>
  <c r="L200" i="3" s="1"/>
  <c r="L230" i="3"/>
  <c r="E270" i="3"/>
  <c r="F359" i="3"/>
  <c r="O359" i="3" s="1"/>
  <c r="D378" i="3"/>
  <c r="M378" i="3" s="1"/>
  <c r="F384" i="3"/>
  <c r="E384" i="3"/>
  <c r="L384" i="3" s="1"/>
  <c r="D435" i="3"/>
  <c r="M435" i="3" s="1"/>
  <c r="E461" i="3"/>
  <c r="F473" i="3" s="1"/>
  <c r="F481" i="3"/>
  <c r="L519" i="3"/>
  <c r="L155" i="3"/>
  <c r="A207" i="3"/>
  <c r="J207" i="3" s="1"/>
  <c r="F252" i="3"/>
  <c r="E252" i="3"/>
  <c r="L252" i="3" s="1"/>
  <c r="L354" i="3"/>
  <c r="G359" i="3"/>
  <c r="P359" i="3" s="1"/>
  <c r="J310" i="3"/>
  <c r="F312" i="3"/>
  <c r="E314" i="3"/>
  <c r="D316" i="3"/>
  <c r="E478" i="3"/>
  <c r="D478" i="3"/>
  <c r="F499" i="3"/>
  <c r="E499" i="3"/>
  <c r="D499" i="3"/>
  <c r="E511" i="3" s="1"/>
  <c r="N511" i="3" s="1"/>
  <c r="E535" i="3"/>
  <c r="E539" i="3"/>
  <c r="E543" i="3"/>
  <c r="B75" i="4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67" i="4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B75" i="7"/>
  <c r="J307" i="3"/>
  <c r="G309" i="3"/>
  <c r="F311" i="3"/>
  <c r="D313" i="3"/>
  <c r="C315" i="3"/>
  <c r="J347" i="3"/>
  <c r="C473" i="3"/>
  <c r="I473" i="3"/>
  <c r="H473" i="3"/>
  <c r="F536" i="3"/>
  <c r="F540" i="3"/>
  <c r="F544" i="3"/>
  <c r="D235" i="3"/>
  <c r="L235" i="3" s="1"/>
  <c r="H278" i="3"/>
  <c r="C295" i="3"/>
  <c r="D297" i="3"/>
  <c r="J311" i="3"/>
  <c r="F313" i="3"/>
  <c r="E315" i="3"/>
  <c r="C329" i="3"/>
  <c r="B23" i="5"/>
  <c r="B24" i="5" s="1"/>
  <c r="C543" i="3"/>
  <c r="C541" i="3"/>
  <c r="C539" i="3"/>
  <c r="C537" i="3"/>
  <c r="C535" i="3"/>
  <c r="C319" i="3"/>
  <c r="G315" i="3"/>
  <c r="D310" i="3"/>
  <c r="F308" i="3"/>
  <c r="J306" i="3"/>
  <c r="D296" i="3"/>
  <c r="D294" i="3"/>
  <c r="L294" i="3" s="1"/>
  <c r="G544" i="3"/>
  <c r="G542" i="3"/>
  <c r="G540" i="3"/>
  <c r="G538" i="3"/>
  <c r="G536" i="3"/>
  <c r="G534" i="3"/>
  <c r="D544" i="3"/>
  <c r="D542" i="3"/>
  <c r="D540" i="3"/>
  <c r="D538" i="3"/>
  <c r="D536" i="3"/>
  <c r="C544" i="3"/>
  <c r="C542" i="3"/>
  <c r="C540" i="3"/>
  <c r="C538" i="3"/>
  <c r="C536" i="3"/>
  <c r="G543" i="3"/>
  <c r="G541" i="3"/>
  <c r="G539" i="3"/>
  <c r="G537" i="3"/>
  <c r="G535" i="3"/>
  <c r="F543" i="3"/>
  <c r="F541" i="3"/>
  <c r="F539" i="3"/>
  <c r="F537" i="3"/>
  <c r="F535" i="3"/>
  <c r="C353" i="3"/>
  <c r="J335" i="3"/>
  <c r="L335" i="3" s="1"/>
  <c r="C332" i="3"/>
  <c r="L332" i="3" s="1"/>
  <c r="C289" i="3"/>
  <c r="C291" i="3"/>
  <c r="L291" i="3" s="1"/>
  <c r="C293" i="3"/>
  <c r="D295" i="3"/>
  <c r="E297" i="3"/>
  <c r="G313" i="3"/>
  <c r="F315" i="3"/>
  <c r="C326" i="3"/>
  <c r="J329" i="3"/>
  <c r="C351" i="3"/>
  <c r="L351" i="3" s="1"/>
  <c r="B511" i="3"/>
  <c r="K511" i="3" s="1"/>
  <c r="L501" i="3"/>
  <c r="D537" i="3"/>
  <c r="D541" i="3"/>
  <c r="D471" i="3"/>
  <c r="J473" i="3" s="1"/>
  <c r="F480" i="3"/>
  <c r="E480" i="3"/>
  <c r="L480" i="3" s="1"/>
  <c r="E537" i="3"/>
  <c r="E541" i="3"/>
  <c r="H549" i="3"/>
  <c r="I549" i="3"/>
  <c r="E517" i="3"/>
  <c r="L517" i="3" s="1"/>
  <c r="C530" i="3"/>
  <c r="L530" i="3" s="1"/>
  <c r="B549" i="3"/>
  <c r="C549" i="3"/>
  <c r="B74" i="7"/>
  <c r="L316" i="3" l="1"/>
  <c r="L460" i="3"/>
  <c r="L275" i="3"/>
  <c r="L461" i="3"/>
  <c r="H302" i="3"/>
  <c r="A321" i="3"/>
  <c r="F226" i="3"/>
  <c r="O226" i="3" s="1"/>
  <c r="Q188" i="3"/>
  <c r="L536" i="3"/>
  <c r="L177" i="3"/>
  <c r="A186" i="3" s="1"/>
  <c r="I186" i="3" s="1"/>
  <c r="L198" i="3"/>
  <c r="G397" i="3"/>
  <c r="P397" i="3" s="1"/>
  <c r="L121" i="3"/>
  <c r="B433" i="3"/>
  <c r="J433" i="3" s="1"/>
  <c r="D99" i="3" s="1"/>
  <c r="L117" i="3"/>
  <c r="A129" i="3" s="1"/>
  <c r="I129" i="3" s="1"/>
  <c r="L194" i="3"/>
  <c r="L179" i="3"/>
  <c r="F281" i="3"/>
  <c r="L538" i="3"/>
  <c r="L296" i="3"/>
  <c r="H98" i="3"/>
  <c r="D321" i="3"/>
  <c r="J169" i="3"/>
  <c r="L481" i="3"/>
  <c r="R378" i="3"/>
  <c r="B47" i="5"/>
  <c r="B48" i="5" s="1"/>
  <c r="R245" i="3"/>
  <c r="L125" i="3"/>
  <c r="M245" i="3"/>
  <c r="L199" i="3"/>
  <c r="L292" i="3"/>
  <c r="L236" i="3"/>
  <c r="L311" i="3"/>
  <c r="I454" i="3"/>
  <c r="R454" i="3" s="1"/>
  <c r="R169" i="3"/>
  <c r="G492" i="3"/>
  <c r="P492" i="3" s="1"/>
  <c r="L278" i="3"/>
  <c r="E281" i="3"/>
  <c r="L156" i="3"/>
  <c r="R359" i="3"/>
  <c r="L308" i="3"/>
  <c r="L255" i="3"/>
  <c r="L157" i="3"/>
  <c r="L221" i="3"/>
  <c r="L314" i="3"/>
  <c r="L220" i="3"/>
  <c r="F302" i="3"/>
  <c r="O302" i="3" s="1"/>
  <c r="L312" i="3"/>
  <c r="L258" i="3"/>
  <c r="G245" i="3"/>
  <c r="P245" i="3" s="1"/>
  <c r="G378" i="3"/>
  <c r="L239" i="3"/>
  <c r="G511" i="3"/>
  <c r="P511" i="3" s="1"/>
  <c r="L328" i="3"/>
  <c r="K169" i="3"/>
  <c r="L289" i="3"/>
  <c r="L295" i="3"/>
  <c r="L169" i="3"/>
  <c r="L307" i="3"/>
  <c r="L163" i="3"/>
  <c r="A452" i="3"/>
  <c r="I452" i="3" s="1"/>
  <c r="L313" i="3"/>
  <c r="Q169" i="3"/>
  <c r="E549" i="3"/>
  <c r="N549" i="3" s="1"/>
  <c r="J302" i="3"/>
  <c r="E302" i="3"/>
  <c r="N302" i="3" s="1"/>
  <c r="L497" i="3"/>
  <c r="L549" i="3"/>
  <c r="B471" i="3"/>
  <c r="J471" i="3" s="1"/>
  <c r="L345" i="3"/>
  <c r="L367" i="3"/>
  <c r="L310" i="3"/>
  <c r="L180" i="3"/>
  <c r="E283" i="3"/>
  <c r="N283" i="3" s="1"/>
  <c r="R549" i="3"/>
  <c r="R473" i="3"/>
  <c r="F511" i="3"/>
  <c r="O511" i="3" s="1"/>
  <c r="L120" i="3"/>
  <c r="A471" i="3"/>
  <c r="I471" i="3" s="1"/>
  <c r="K471" i="3" s="1"/>
  <c r="M471" i="3" s="1"/>
  <c r="K549" i="3"/>
  <c r="F283" i="3"/>
  <c r="O283" i="3" s="1"/>
  <c r="Q416" i="3"/>
  <c r="Q549" i="3"/>
  <c r="H340" i="3"/>
  <c r="Q340" i="3" s="1"/>
  <c r="L254" i="3"/>
  <c r="L251" i="3"/>
  <c r="B53" i="5"/>
  <c r="L234" i="3"/>
  <c r="L257" i="3"/>
  <c r="L158" i="3"/>
  <c r="L544" i="3"/>
  <c r="F378" i="3"/>
  <c r="O378" i="3" s="1"/>
  <c r="I416" i="3"/>
  <c r="R416" i="3" s="1"/>
  <c r="L277" i="3"/>
  <c r="H359" i="3"/>
  <c r="Q359" i="3" s="1"/>
  <c r="K188" i="3"/>
  <c r="G226" i="3"/>
  <c r="P226" i="3" s="1"/>
  <c r="G131" i="3"/>
  <c r="P131" i="3" s="1"/>
  <c r="L237" i="3"/>
  <c r="L232" i="3"/>
  <c r="L416" i="3"/>
  <c r="E264" i="3"/>
  <c r="N264" i="3" s="1"/>
  <c r="A433" i="3"/>
  <c r="I433" i="3" s="1"/>
  <c r="L118" i="3"/>
  <c r="L293" i="3"/>
  <c r="L297" i="3"/>
  <c r="K416" i="3"/>
  <c r="I435" i="3"/>
  <c r="R435" i="3" s="1"/>
  <c r="F131" i="3"/>
  <c r="O131" i="3" s="1"/>
  <c r="L161" i="3"/>
  <c r="B167" i="3" s="1"/>
  <c r="J167" i="3" s="1"/>
  <c r="D94" i="3" s="1"/>
  <c r="L272" i="3"/>
  <c r="B281" i="3" s="1"/>
  <c r="J281" i="3" s="1"/>
  <c r="D86" i="3" s="1"/>
  <c r="O473" i="3"/>
  <c r="M150" i="3"/>
  <c r="E207" i="3"/>
  <c r="N207" i="3" s="1"/>
  <c r="L542" i="3"/>
  <c r="L353" i="3"/>
  <c r="G302" i="3"/>
  <c r="P302" i="3" s="1"/>
  <c r="F169" i="3"/>
  <c r="O169" i="3" s="1"/>
  <c r="G188" i="3"/>
  <c r="P188" i="3" s="1"/>
  <c r="F492" i="3"/>
  <c r="O492" i="3" s="1"/>
  <c r="E226" i="3"/>
  <c r="N226" i="3" s="1"/>
  <c r="L378" i="3"/>
  <c r="B186" i="3"/>
  <c r="J186" i="3" s="1"/>
  <c r="D95" i="3" s="1"/>
  <c r="A395" i="3"/>
  <c r="I395" i="3" s="1"/>
  <c r="B395" i="3"/>
  <c r="J395" i="3" s="1"/>
  <c r="D91" i="3" s="1"/>
  <c r="G549" i="3"/>
  <c r="P549" i="3" s="1"/>
  <c r="G264" i="3"/>
  <c r="P264" i="3" s="1"/>
  <c r="A414" i="3"/>
  <c r="I414" i="3" s="1"/>
  <c r="B414" i="3"/>
  <c r="J414" i="3" s="1"/>
  <c r="D93" i="3" s="1"/>
  <c r="L309" i="3"/>
  <c r="B39" i="5"/>
  <c r="B38" i="5"/>
  <c r="L196" i="3"/>
  <c r="L250" i="3"/>
  <c r="F264" i="3"/>
  <c r="O264" i="3" s="1"/>
  <c r="K473" i="3"/>
  <c r="J188" i="3"/>
  <c r="A528" i="3"/>
  <c r="I528" i="3" s="1"/>
  <c r="K528" i="3" s="1"/>
  <c r="F207" i="3"/>
  <c r="O207" i="3" s="1"/>
  <c r="L347" i="3"/>
  <c r="E262" i="3"/>
  <c r="F262" i="3"/>
  <c r="C85" i="3"/>
  <c r="B79" i="3"/>
  <c r="B80" i="3" s="1"/>
  <c r="L288" i="3"/>
  <c r="L364" i="3"/>
  <c r="M473" i="3"/>
  <c r="E245" i="3"/>
  <c r="N245" i="3" s="1"/>
  <c r="G207" i="3"/>
  <c r="P207" i="3" s="1"/>
  <c r="K302" i="3"/>
  <c r="L231" i="3"/>
  <c r="A148" i="3"/>
  <c r="I148" i="3" s="1"/>
  <c r="B148" i="3"/>
  <c r="J148" i="3" s="1"/>
  <c r="D89" i="3" s="1"/>
  <c r="L540" i="3"/>
  <c r="H321" i="3"/>
  <c r="F530" i="3"/>
  <c r="O530" i="3" s="1"/>
  <c r="F319" i="3"/>
  <c r="E319" i="3"/>
  <c r="C321" i="3" s="1"/>
  <c r="R188" i="3"/>
  <c r="E473" i="3"/>
  <c r="N473" i="3" s="1"/>
  <c r="M188" i="3"/>
  <c r="N150" i="3"/>
  <c r="F150" i="3"/>
  <c r="O150" i="3" s="1"/>
  <c r="M416" i="3"/>
  <c r="N20" i="4"/>
  <c r="B20" i="4"/>
  <c r="B21" i="4" s="1"/>
  <c r="F321" i="3"/>
  <c r="G321" i="3"/>
  <c r="L188" i="3"/>
  <c r="L193" i="3"/>
  <c r="G150" i="3"/>
  <c r="P150" i="3" s="1"/>
  <c r="D319" i="3"/>
  <c r="R321" i="3" s="1"/>
  <c r="L535" i="3"/>
  <c r="F188" i="3"/>
  <c r="O188" i="3" s="1"/>
  <c r="L537" i="3"/>
  <c r="F549" i="3"/>
  <c r="O549" i="3" s="1"/>
  <c r="D359" i="3"/>
  <c r="M359" i="3" s="1"/>
  <c r="P416" i="3"/>
  <c r="Q302" i="3"/>
  <c r="E169" i="3"/>
  <c r="N169" i="3" s="1"/>
  <c r="L539" i="3"/>
  <c r="Q473" i="3"/>
  <c r="L202" i="3"/>
  <c r="L302" i="3"/>
  <c r="L534" i="3"/>
  <c r="A549" i="3"/>
  <c r="J549" i="3" s="1"/>
  <c r="L541" i="3"/>
  <c r="O416" i="3"/>
  <c r="L500" i="3"/>
  <c r="J416" i="3"/>
  <c r="K378" i="3"/>
  <c r="L150" i="3"/>
  <c r="L213" i="3"/>
  <c r="D340" i="3"/>
  <c r="M340" i="3" s="1"/>
  <c r="L326" i="3"/>
  <c r="L543" i="3"/>
  <c r="L473" i="3"/>
  <c r="L499" i="3"/>
  <c r="B283" i="3"/>
  <c r="K283" i="3" s="1"/>
  <c r="E99" i="3"/>
  <c r="K433" i="3"/>
  <c r="J51" i="7"/>
  <c r="K51" i="7" s="1"/>
  <c r="B49" i="7"/>
  <c r="C49" i="7" s="1"/>
  <c r="F46" i="7"/>
  <c r="G46" i="7" s="1"/>
  <c r="J43" i="7"/>
  <c r="K43" i="7" s="1"/>
  <c r="B41" i="7"/>
  <c r="C41" i="7" s="1"/>
  <c r="F38" i="7"/>
  <c r="G38" i="7" s="1"/>
  <c r="J35" i="7"/>
  <c r="K35" i="7" s="1"/>
  <c r="B33" i="7"/>
  <c r="C33" i="7" s="1"/>
  <c r="D28" i="7"/>
  <c r="F51" i="7"/>
  <c r="G51" i="7" s="1"/>
  <c r="J48" i="7"/>
  <c r="K48" i="7" s="1"/>
  <c r="B46" i="7"/>
  <c r="C46" i="7" s="1"/>
  <c r="F43" i="7"/>
  <c r="G43" i="7" s="1"/>
  <c r="J40" i="7"/>
  <c r="K40" i="7" s="1"/>
  <c r="B38" i="7"/>
  <c r="C38" i="7" s="1"/>
  <c r="F35" i="7"/>
  <c r="G35" i="7" s="1"/>
  <c r="C28" i="7"/>
  <c r="B28" i="7"/>
  <c r="J50" i="7"/>
  <c r="K50" i="7" s="1"/>
  <c r="B48" i="7"/>
  <c r="C48" i="7" s="1"/>
  <c r="F45" i="7"/>
  <c r="G45" i="7" s="1"/>
  <c r="J42" i="7"/>
  <c r="K42" i="7" s="1"/>
  <c r="B40" i="7"/>
  <c r="C40" i="7" s="1"/>
  <c r="F37" i="7"/>
  <c r="G37" i="7" s="1"/>
  <c r="J34" i="7"/>
  <c r="K34" i="7" s="1"/>
  <c r="B27" i="7"/>
  <c r="D26" i="7"/>
  <c r="F50" i="7"/>
  <c r="G50" i="7" s="1"/>
  <c r="J47" i="7"/>
  <c r="K47" i="7" s="1"/>
  <c r="B45" i="7"/>
  <c r="C45" i="7" s="1"/>
  <c r="F42" i="7"/>
  <c r="G42" i="7" s="1"/>
  <c r="J39" i="7"/>
  <c r="K39" i="7" s="1"/>
  <c r="B37" i="7"/>
  <c r="C37" i="7" s="1"/>
  <c r="F34" i="7"/>
  <c r="G34" i="7" s="1"/>
  <c r="C26" i="7"/>
  <c r="B26" i="7"/>
  <c r="J52" i="7"/>
  <c r="K52" i="7" s="1"/>
  <c r="B50" i="7"/>
  <c r="C50" i="7" s="1"/>
  <c r="F47" i="7"/>
  <c r="G47" i="7" s="1"/>
  <c r="J44" i="7"/>
  <c r="K44" i="7" s="1"/>
  <c r="B42" i="7"/>
  <c r="C42" i="7" s="1"/>
  <c r="F39" i="7"/>
  <c r="G39" i="7" s="1"/>
  <c r="J36" i="7"/>
  <c r="K36" i="7" s="1"/>
  <c r="B34" i="7"/>
  <c r="C34" i="7" s="1"/>
  <c r="B22" i="7"/>
  <c r="B21" i="7"/>
  <c r="F52" i="7"/>
  <c r="G52" i="7" s="1"/>
  <c r="J49" i="7"/>
  <c r="K49" i="7" s="1"/>
  <c r="B47" i="7"/>
  <c r="C47" i="7" s="1"/>
  <c r="F44" i="7"/>
  <c r="G44" i="7" s="1"/>
  <c r="J41" i="7"/>
  <c r="K41" i="7" s="1"/>
  <c r="B39" i="7"/>
  <c r="C39" i="7" s="1"/>
  <c r="F36" i="7"/>
  <c r="G36" i="7" s="1"/>
  <c r="J33" i="7"/>
  <c r="K33" i="7" s="1"/>
  <c r="J46" i="7"/>
  <c r="K46" i="7" s="1"/>
  <c r="B36" i="7"/>
  <c r="C36" i="7" s="1"/>
  <c r="J45" i="7"/>
  <c r="K45" i="7" s="1"/>
  <c r="B35" i="7"/>
  <c r="C35" i="7" s="1"/>
  <c r="B44" i="7"/>
  <c r="C44" i="7" s="1"/>
  <c r="F33" i="7"/>
  <c r="G33" i="7" s="1"/>
  <c r="B43" i="7"/>
  <c r="C43" i="7" s="1"/>
  <c r="C27" i="7"/>
  <c r="B51" i="7"/>
  <c r="C51" i="7" s="1"/>
  <c r="F40" i="7"/>
  <c r="G40" i="7" s="1"/>
  <c r="F48" i="7"/>
  <c r="G48" i="7" s="1"/>
  <c r="J37" i="7"/>
  <c r="K37" i="7" s="1"/>
  <c r="D27" i="7"/>
  <c r="B52" i="7"/>
  <c r="C52" i="7" s="1"/>
  <c r="F49" i="7"/>
  <c r="G49" i="7" s="1"/>
  <c r="F41" i="7"/>
  <c r="G41" i="7" s="1"/>
  <c r="J38" i="7"/>
  <c r="K38" i="7" s="1"/>
  <c r="L256" i="3"/>
  <c r="B528" i="3"/>
  <c r="J528" i="3" s="1"/>
  <c r="R150" i="3"/>
  <c r="B57" i="2"/>
  <c r="B59" i="2" s="1"/>
  <c r="L315" i="3"/>
  <c r="E321" i="3"/>
  <c r="F245" i="3"/>
  <c r="O245" i="3" s="1"/>
  <c r="L306" i="3"/>
  <c r="Q150" i="3"/>
  <c r="D549" i="3"/>
  <c r="M549" i="3" s="1"/>
  <c r="L329" i="3"/>
  <c r="E492" i="3"/>
  <c r="N492" i="3" s="1"/>
  <c r="L478" i="3"/>
  <c r="E131" i="3"/>
  <c r="N131" i="3" s="1"/>
  <c r="F397" i="3"/>
  <c r="O397" i="3" s="1"/>
  <c r="E188" i="3"/>
  <c r="N188" i="3" s="1"/>
  <c r="K150" i="3"/>
  <c r="P378" i="3"/>
  <c r="D302" i="3"/>
  <c r="M302" i="3" s="1"/>
  <c r="B129" i="3" l="1"/>
  <c r="J129" i="3" s="1"/>
  <c r="D88" i="3" s="1"/>
  <c r="A319" i="3"/>
  <c r="I319" i="3" s="1"/>
  <c r="K319" i="3" s="1"/>
  <c r="A281" i="3"/>
  <c r="I281" i="3" s="1"/>
  <c r="B243" i="3"/>
  <c r="J243" i="3" s="1"/>
  <c r="D97" i="3" s="1"/>
  <c r="A167" i="3"/>
  <c r="I167" i="3" s="1"/>
  <c r="A224" i="3"/>
  <c r="I224" i="3" s="1"/>
  <c r="K224" i="3" s="1"/>
  <c r="L321" i="3"/>
  <c r="A243" i="3"/>
  <c r="I243" i="3" s="1"/>
  <c r="B262" i="3"/>
  <c r="J262" i="3" s="1"/>
  <c r="D85" i="3" s="1"/>
  <c r="N321" i="3"/>
  <c r="Q321" i="3"/>
  <c r="O321" i="3"/>
  <c r="K452" i="3"/>
  <c r="E100" i="3"/>
  <c r="L471" i="3"/>
  <c r="C44" i="4" s="1"/>
  <c r="K321" i="3"/>
  <c r="B357" i="3"/>
  <c r="J357" i="3" s="1"/>
  <c r="D98" i="3" s="1"/>
  <c r="A300" i="3"/>
  <c r="I300" i="3" s="1"/>
  <c r="K300" i="3" s="1"/>
  <c r="M319" i="3"/>
  <c r="L319" i="3"/>
  <c r="B319" i="3"/>
  <c r="J319" i="3" s="1"/>
  <c r="B41" i="5"/>
  <c r="B40" i="5"/>
  <c r="K243" i="3"/>
  <c r="E97" i="3"/>
  <c r="K281" i="3"/>
  <c r="E86" i="3"/>
  <c r="B264" i="3"/>
  <c r="K264" i="3" s="1"/>
  <c r="A262" i="3"/>
  <c r="I262" i="3" s="1"/>
  <c r="L433" i="3"/>
  <c r="M433" i="3"/>
  <c r="G99" i="3" s="1"/>
  <c r="K414" i="3"/>
  <c r="E93" i="3"/>
  <c r="M528" i="3"/>
  <c r="L528" i="3"/>
  <c r="B7" i="5" s="1"/>
  <c r="E89" i="3"/>
  <c r="K148" i="3"/>
  <c r="B509" i="3"/>
  <c r="J509" i="3" s="1"/>
  <c r="A547" i="3"/>
  <c r="I547" i="3" s="1"/>
  <c r="K547" i="3" s="1"/>
  <c r="B547" i="3"/>
  <c r="J547" i="3" s="1"/>
  <c r="M321" i="3"/>
  <c r="K167" i="3"/>
  <c r="E94" i="3"/>
  <c r="E91" i="3"/>
  <c r="K395" i="3"/>
  <c r="A357" i="3"/>
  <c r="I357" i="3" s="1"/>
  <c r="A509" i="3"/>
  <c r="I509" i="3" s="1"/>
  <c r="K509" i="3" s="1"/>
  <c r="J321" i="3"/>
  <c r="B205" i="3"/>
  <c r="J205" i="3" s="1"/>
  <c r="D96" i="3" s="1"/>
  <c r="A205" i="3"/>
  <c r="I205" i="3" s="1"/>
  <c r="A338" i="3"/>
  <c r="I338" i="3" s="1"/>
  <c r="B338" i="3"/>
  <c r="J338" i="3" s="1"/>
  <c r="D90" i="3" s="1"/>
  <c r="A490" i="3"/>
  <c r="I490" i="3" s="1"/>
  <c r="K490" i="3" s="1"/>
  <c r="B490" i="3"/>
  <c r="J490" i="3" s="1"/>
  <c r="P321" i="3"/>
  <c r="B36" i="2"/>
  <c r="B376" i="3"/>
  <c r="J376" i="3" s="1"/>
  <c r="D92" i="3" s="1"/>
  <c r="A376" i="3"/>
  <c r="I376" i="3" s="1"/>
  <c r="K186" i="3"/>
  <c r="E95" i="3"/>
  <c r="E87" i="3"/>
  <c r="B300" i="3"/>
  <c r="J300" i="3" s="1"/>
  <c r="D87" i="3" s="1"/>
  <c r="E88" i="3"/>
  <c r="K129" i="3"/>
  <c r="B224" i="3"/>
  <c r="J224" i="3" s="1"/>
  <c r="D84" i="3" s="1"/>
  <c r="E84" i="3" l="1"/>
  <c r="B8" i="5"/>
  <c r="L452" i="3"/>
  <c r="M452" i="3"/>
  <c r="G100" i="3" s="1"/>
  <c r="E98" i="3"/>
  <c r="K357" i="3"/>
  <c r="L167" i="3"/>
  <c r="M167" i="3"/>
  <c r="G94" i="3" s="1"/>
  <c r="M547" i="3"/>
  <c r="L547" i="3"/>
  <c r="B17" i="5" s="1"/>
  <c r="L414" i="3"/>
  <c r="M414" i="3"/>
  <c r="G93" i="3" s="1"/>
  <c r="H44" i="4"/>
  <c r="I44" i="4" s="1"/>
  <c r="M186" i="3"/>
  <c r="G95" i="3" s="1"/>
  <c r="L186" i="3"/>
  <c r="K262" i="3"/>
  <c r="E85" i="3"/>
  <c r="B38" i="2"/>
  <c r="B39" i="2" s="1"/>
  <c r="B37" i="2"/>
  <c r="M490" i="3"/>
  <c r="L490" i="3"/>
  <c r="B9" i="5" s="1"/>
  <c r="L129" i="3"/>
  <c r="M129" i="3"/>
  <c r="G88" i="3" s="1"/>
  <c r="C42" i="4"/>
  <c r="F99" i="3"/>
  <c r="B28" i="6"/>
  <c r="L395" i="3"/>
  <c r="M395" i="3"/>
  <c r="G91" i="3" s="1"/>
  <c r="K376" i="3"/>
  <c r="E92" i="3"/>
  <c r="M281" i="3"/>
  <c r="G86" i="3" s="1"/>
  <c r="L281" i="3"/>
  <c r="M243" i="3"/>
  <c r="G97" i="3" s="1"/>
  <c r="L243" i="3"/>
  <c r="E90" i="3"/>
  <c r="K338" i="3"/>
  <c r="E96" i="3"/>
  <c r="K205" i="3"/>
  <c r="M224" i="3"/>
  <c r="G84" i="3" s="1"/>
  <c r="L224" i="3"/>
  <c r="B52" i="5"/>
  <c r="L148" i="3"/>
  <c r="M148" i="3"/>
  <c r="G89" i="3" s="1"/>
  <c r="L300" i="3"/>
  <c r="M300" i="3"/>
  <c r="G87" i="3" s="1"/>
  <c r="B16" i="5"/>
  <c r="C30" i="4"/>
  <c r="L509" i="3"/>
  <c r="B10" i="5" s="1"/>
  <c r="M509" i="3"/>
  <c r="C43" i="4" l="1"/>
  <c r="H43" i="4" s="1"/>
  <c r="I43" i="4" s="1"/>
  <c r="D28" i="6"/>
  <c r="F100" i="3"/>
  <c r="C28" i="4"/>
  <c r="F86" i="3"/>
  <c r="H30" i="4"/>
  <c r="I30" i="4" s="1"/>
  <c r="B15" i="5"/>
  <c r="C29" i="4"/>
  <c r="F87" i="3"/>
  <c r="C34" i="4"/>
  <c r="F91" i="3"/>
  <c r="H42" i="4"/>
  <c r="I42" i="4" s="1"/>
  <c r="D42" i="4"/>
  <c r="C37" i="4"/>
  <c r="F94" i="3"/>
  <c r="L357" i="3"/>
  <c r="M357" i="3"/>
  <c r="G98" i="3" s="1"/>
  <c r="M262" i="3"/>
  <c r="G85" i="3" s="1"/>
  <c r="L262" i="3"/>
  <c r="B20" i="5"/>
  <c r="C38" i="4"/>
  <c r="F95" i="3"/>
  <c r="L376" i="3"/>
  <c r="M376" i="3"/>
  <c r="G92" i="3" s="1"/>
  <c r="B49" i="5"/>
  <c r="C26" i="4"/>
  <c r="F84" i="3"/>
  <c r="B19" i="5"/>
  <c r="M205" i="3"/>
  <c r="G96" i="3" s="1"/>
  <c r="L205" i="3"/>
  <c r="C40" i="4"/>
  <c r="F97" i="3"/>
  <c r="J43" i="4"/>
  <c r="Q43" i="4"/>
  <c r="R43" i="4" s="1"/>
  <c r="K43" i="4"/>
  <c r="L43" i="4" s="1"/>
  <c r="J44" i="4"/>
  <c r="K44" i="4"/>
  <c r="L44" i="4" s="1"/>
  <c r="Q44" i="4"/>
  <c r="R44" i="4" s="1"/>
  <c r="B12" i="5"/>
  <c r="B22" i="5" s="1"/>
  <c r="C32" i="4"/>
  <c r="F89" i="3"/>
  <c r="D29" i="6" s="1"/>
  <c r="D30" i="6" s="1"/>
  <c r="C36" i="4"/>
  <c r="C28" i="6"/>
  <c r="C29" i="6" s="1"/>
  <c r="C30" i="6" s="1"/>
  <c r="F93" i="3"/>
  <c r="B11" i="5"/>
  <c r="F88" i="3"/>
  <c r="C31" i="4"/>
  <c r="M338" i="3"/>
  <c r="G90" i="3" s="1"/>
  <c r="L338" i="3"/>
  <c r="B41" i="2"/>
  <c r="B40" i="2"/>
  <c r="B42" i="2"/>
  <c r="B43" i="2" s="1"/>
  <c r="H42" i="2"/>
  <c r="H31" i="4" l="1"/>
  <c r="I31" i="4" s="1"/>
  <c r="D31" i="4"/>
  <c r="H40" i="4"/>
  <c r="I40" i="4" s="1"/>
  <c r="D40" i="4"/>
  <c r="C41" i="4"/>
  <c r="F98" i="3"/>
  <c r="E42" i="4"/>
  <c r="N42" i="4"/>
  <c r="F42" i="4"/>
  <c r="G42" i="4" s="1"/>
  <c r="O42" i="4"/>
  <c r="P42" i="4" s="1"/>
  <c r="D36" i="4"/>
  <c r="H36" i="4"/>
  <c r="I36" i="4" s="1"/>
  <c r="H26" i="4"/>
  <c r="I26" i="4" s="1"/>
  <c r="D26" i="4"/>
  <c r="J42" i="4"/>
  <c r="Q42" i="4"/>
  <c r="R42" i="4" s="1"/>
  <c r="K42" i="4"/>
  <c r="L42" i="4" s="1"/>
  <c r="H32" i="4"/>
  <c r="I32" i="4" s="1"/>
  <c r="D32" i="4"/>
  <c r="D43" i="4"/>
  <c r="D44" i="4"/>
  <c r="D34" i="4"/>
  <c r="H34" i="4"/>
  <c r="I34" i="4" s="1"/>
  <c r="B21" i="5"/>
  <c r="B18" i="5"/>
  <c r="J30" i="4"/>
  <c r="K30" i="4"/>
  <c r="L30" i="4" s="1"/>
  <c r="Q30" i="4"/>
  <c r="R30" i="4" s="1"/>
  <c r="C39" i="4"/>
  <c r="F96" i="3"/>
  <c r="D37" i="4"/>
  <c r="H37" i="4"/>
  <c r="I37" i="4" s="1"/>
  <c r="B29" i="6"/>
  <c r="B30" i="6" s="1"/>
  <c r="C35" i="4"/>
  <c r="F92" i="3"/>
  <c r="H29" i="4"/>
  <c r="I29" i="4" s="1"/>
  <c r="D29" i="4"/>
  <c r="H38" i="4"/>
  <c r="I38" i="4" s="1"/>
  <c r="D38" i="4"/>
  <c r="D30" i="4"/>
  <c r="C33" i="4"/>
  <c r="F90" i="3"/>
  <c r="C27" i="4"/>
  <c r="F85" i="3"/>
  <c r="D28" i="4"/>
  <c r="H28" i="4"/>
  <c r="I28" i="4" s="1"/>
  <c r="N30" i="4" l="1"/>
  <c r="F30" i="4"/>
  <c r="E30" i="4"/>
  <c r="B48" i="4"/>
  <c r="O30" i="4"/>
  <c r="P30" i="4" s="1"/>
  <c r="F37" i="4"/>
  <c r="G37" i="4" s="1"/>
  <c r="E37" i="4"/>
  <c r="N37" i="4"/>
  <c r="O37" i="4"/>
  <c r="P37" i="4" s="1"/>
  <c r="E26" i="4"/>
  <c r="F26" i="4"/>
  <c r="G26" i="4" s="1"/>
  <c r="N26" i="4"/>
  <c r="O26" i="4"/>
  <c r="P26" i="4" s="1"/>
  <c r="J34" i="4"/>
  <c r="K34" i="4"/>
  <c r="L34" i="4" s="1"/>
  <c r="Q34" i="4"/>
  <c r="R34" i="4" s="1"/>
  <c r="F40" i="4"/>
  <c r="G40" i="4" s="1"/>
  <c r="N40" i="4"/>
  <c r="E40" i="4"/>
  <c r="O40" i="4"/>
  <c r="P40" i="4" s="1"/>
  <c r="J28" i="4"/>
  <c r="K28" i="4"/>
  <c r="L28" i="4" s="1"/>
  <c r="Q28" i="4"/>
  <c r="R28" i="4" s="1"/>
  <c r="N29" i="4"/>
  <c r="F29" i="4"/>
  <c r="E29" i="4"/>
  <c r="O29" i="4"/>
  <c r="P29" i="4" s="1"/>
  <c r="F32" i="4"/>
  <c r="G32" i="4" s="1"/>
  <c r="E32" i="4"/>
  <c r="N32" i="4"/>
  <c r="O32" i="4"/>
  <c r="P32" i="4" s="1"/>
  <c r="J40" i="4"/>
  <c r="Q40" i="4"/>
  <c r="R40" i="4" s="1"/>
  <c r="K40" i="4"/>
  <c r="L40" i="4" s="1"/>
  <c r="J37" i="4"/>
  <c r="Q37" i="4"/>
  <c r="R37" i="4" s="1"/>
  <c r="K37" i="4"/>
  <c r="L37" i="4" s="1"/>
  <c r="N28" i="4"/>
  <c r="F28" i="4"/>
  <c r="G28" i="4" s="1"/>
  <c r="E28" i="4"/>
  <c r="O28" i="4"/>
  <c r="P28" i="4" s="1"/>
  <c r="H39" i="4"/>
  <c r="I39" i="4" s="1"/>
  <c r="D39" i="4"/>
  <c r="J36" i="4"/>
  <c r="K36" i="4"/>
  <c r="L36" i="4" s="1"/>
  <c r="Q36" i="4"/>
  <c r="R36" i="4" s="1"/>
  <c r="F36" i="4"/>
  <c r="G36" i="4" s="1"/>
  <c r="E36" i="4"/>
  <c r="N36" i="4"/>
  <c r="O36" i="4"/>
  <c r="P36" i="4" s="1"/>
  <c r="H33" i="4"/>
  <c r="I33" i="4" s="1"/>
  <c r="D33" i="4"/>
  <c r="F38" i="4"/>
  <c r="G38" i="4" s="1"/>
  <c r="E38" i="4"/>
  <c r="N38" i="4"/>
  <c r="O38" i="4"/>
  <c r="P38" i="4" s="1"/>
  <c r="N34" i="4"/>
  <c r="F34" i="4"/>
  <c r="G34" i="4" s="1"/>
  <c r="E34" i="4"/>
  <c r="O34" i="4"/>
  <c r="P34" i="4" s="1"/>
  <c r="N44" i="4"/>
  <c r="F44" i="4"/>
  <c r="G44" i="4" s="1"/>
  <c r="E44" i="4"/>
  <c r="O44" i="4"/>
  <c r="P44" i="4" s="1"/>
  <c r="N43" i="4"/>
  <c r="F43" i="4"/>
  <c r="G43" i="4" s="1"/>
  <c r="E43" i="4"/>
  <c r="O43" i="4"/>
  <c r="P43" i="4" s="1"/>
  <c r="D35" i="4"/>
  <c r="H35" i="4"/>
  <c r="I35" i="4" s="1"/>
  <c r="J32" i="4"/>
  <c r="K32" i="4"/>
  <c r="L32" i="4" s="1"/>
  <c r="Q32" i="4"/>
  <c r="R32" i="4" s="1"/>
  <c r="N31" i="4"/>
  <c r="F31" i="4"/>
  <c r="G31" i="4" s="1"/>
  <c r="E31" i="4"/>
  <c r="O31" i="4"/>
  <c r="P31" i="4" s="1"/>
  <c r="J26" i="4"/>
  <c r="K26" i="4"/>
  <c r="L26" i="4" s="1"/>
  <c r="Q26" i="4"/>
  <c r="R26" i="4" s="1"/>
  <c r="D27" i="4"/>
  <c r="H27" i="4"/>
  <c r="I27" i="4" s="1"/>
  <c r="J38" i="4"/>
  <c r="Q38" i="4"/>
  <c r="R38" i="4" s="1"/>
  <c r="K38" i="4"/>
  <c r="L38" i="4" s="1"/>
  <c r="H41" i="4"/>
  <c r="I41" i="4" s="1"/>
  <c r="D41" i="4"/>
  <c r="J29" i="4"/>
  <c r="K29" i="4"/>
  <c r="L29" i="4" s="1"/>
  <c r="Q29" i="4"/>
  <c r="R29" i="4" s="1"/>
  <c r="J31" i="4"/>
  <c r="K31" i="4"/>
  <c r="L31" i="4" s="1"/>
  <c r="Q31" i="4"/>
  <c r="R31" i="4" s="1"/>
  <c r="J39" i="4" l="1"/>
  <c r="K39" i="4"/>
  <c r="L39" i="4" s="1"/>
  <c r="Q39" i="4"/>
  <c r="R39" i="4" s="1"/>
  <c r="J41" i="4"/>
  <c r="Q41" i="4"/>
  <c r="R41" i="4" s="1"/>
  <c r="K41" i="4"/>
  <c r="L41" i="4" s="1"/>
  <c r="J35" i="4"/>
  <c r="K35" i="4"/>
  <c r="L35" i="4" s="1"/>
  <c r="Q35" i="4"/>
  <c r="R35" i="4" s="1"/>
  <c r="F39" i="4"/>
  <c r="G39" i="4" s="1"/>
  <c r="E39" i="4"/>
  <c r="N39" i="4"/>
  <c r="O39" i="4"/>
  <c r="P39" i="4" s="1"/>
  <c r="E35" i="4"/>
  <c r="N35" i="4"/>
  <c r="F35" i="4"/>
  <c r="G35" i="4" s="1"/>
  <c r="O35" i="4"/>
  <c r="P35" i="4" s="1"/>
  <c r="G29" i="4"/>
  <c r="B50" i="4"/>
  <c r="B52" i="4" s="1"/>
  <c r="F41" i="4"/>
  <c r="G41" i="4" s="1"/>
  <c r="N41" i="4"/>
  <c r="E41" i="4"/>
  <c r="O41" i="4"/>
  <c r="P41" i="4" s="1"/>
  <c r="F33" i="4"/>
  <c r="G33" i="4" s="1"/>
  <c r="N33" i="4"/>
  <c r="E33" i="4"/>
  <c r="O33" i="4"/>
  <c r="P33" i="4" s="1"/>
  <c r="J33" i="4"/>
  <c r="Q33" i="4"/>
  <c r="R33" i="4" s="1"/>
  <c r="K33" i="4"/>
  <c r="L33" i="4" s="1"/>
  <c r="J27" i="4"/>
  <c r="Q27" i="4"/>
  <c r="R27" i="4" s="1"/>
  <c r="K27" i="4"/>
  <c r="L27" i="4" s="1"/>
  <c r="G30" i="4"/>
  <c r="B49" i="4"/>
  <c r="B51" i="4" s="1"/>
  <c r="N27" i="4"/>
  <c r="F27" i="4"/>
  <c r="G27" i="4" s="1"/>
  <c r="E27" i="4"/>
  <c r="O27" i="4"/>
  <c r="P27" i="4" s="1"/>
</calcChain>
</file>

<file path=xl/sharedStrings.xml><?xml version="1.0" encoding="utf-8"?>
<sst xmlns="http://schemas.openxmlformats.org/spreadsheetml/2006/main" count="1564" uniqueCount="501">
  <si>
    <t>Quanto ti costa l'auto in libertà — il simulatore (ottobre 2026)</t>
  </si>
  <si>
    <t>Strumento informativo / divulgativo. NON è consulenza finanziaria. I valori sono indicativi al 2026 e vanno verificati col tuo consulente.</t>
  </si>
  <si>
    <t>Indice</t>
  </si>
  <si>
    <t>1 - Il tuo profilo</t>
  </si>
  <si>
    <t>Chi sei: età, km, stipendio, spese, capitale, prezzi dell'energia; spesa totale, tasso di risparmio, capitale netto</t>
  </si>
  <si>
    <t>2 - Le opzioni</t>
  </si>
  <si>
    <t>Le opzioni: rate, maxirata, contanti, usata, noleggio, tenere l'auto di oggi, senza auto; €/mese per sempre</t>
  </si>
  <si>
    <t>3 - Il costo opportunità</t>
  </si>
  <si>
    <t>Il costo opportunità: la differenza di spesa diventa capitale ed entrata al mese, al netto di bollo e imposte</t>
  </si>
  <si>
    <t>4 - Abitudine o contratto</t>
  </si>
  <si>
    <t>Abitudine o contratto: cambiarla spesso, il credito, l'eccedenza; il contratto «da 199 €»; la soglia dell'officina</t>
  </si>
  <si>
    <t>5 - Senza auto</t>
  </si>
  <si>
    <t>Senza auto: abbonamento, noleggi e taxi in tre profili; quante giornate di noleggio paga il margine</t>
  </si>
  <si>
    <t>6 - Elettrico o termico</t>
  </si>
  <si>
    <t>Elettrico o termico: differenza di valore attuale e km all'anno di pareggio</t>
  </si>
  <si>
    <t>Come usare</t>
  </si>
  <si>
    <t>1. Le celle GIALLE sono input — modificale coi tuoi numeri.</t>
  </si>
  <si>
    <t>2. Le celle VERDI sono output — si aggiornano automaticamente.</t>
  </si>
  <si>
    <t>3. Tutti i numeri di default sono al 2026 da fonti pubbliche.</t>
  </si>
  <si>
    <t>4. Niente codice nascosto: l'Excel è solo formule modificabili.</t>
  </si>
  <si>
    <t>Fonti dati</t>
  </si>
  <si>
    <t>• F-01 — Agenzia delle Entrate, tabelle nazionali dei costi chilometrici 2026 (GU n. 297 del 23/12/2025, S.O. n. 40) — https://www.gazzettaufficiale.it/eli/gu/2025/12/23/297/so/40/sg/pdf — accesso 08/10/2026</t>
  </si>
  <si>
    <t>• F-03 — MASE-DGSAIE, prezzi medi settimanali dei carburanti (benzina, media 2026 al 05/10/2026) — https://sisen.mase.gov.it/dgsaie/api/v1/weekly-prices/report/export?format=CSV&amp;lang=it — accesso 08/10/2026</t>
  </si>
  <si>
    <t>• F-04 — IVASS, IPER II trimestre 2026, comunicazione statistica n. 7/2026 del 24/09/2026 (RC auto, donne 35-44 anni) — https://www.ivass.it/pubblicazioni-e-statistiche/statistiche/comunicazioni-statistiche/2026/cs-n-7-2026/ — accesso 08/10/2026</t>
  </si>
  <si>
    <t>• F-05 — MEF, decreto tassi effettivi globali medi ottobre-dicembre 2026 (soglie di usura) — https://www.dt.mef.gov.it/export/sites/sitodt/modules/documenti_it/prevenzione_reati_finanziari/antiusura/decreto-tassi-usura-ottobre-dicembre-2026.pdf — accesso 08/10/2026</t>
  </si>
  <si>
    <t>• F-06 — BCE, statistiche sui tassi bancari, Italia, credito al consumo, nuove operazioni (agosto 2026: tasso 9,12%) — https://data.ecb.europa.eu (serie M.IT.B.A2B.A.R.A.2250.EUR.N) — accesso 08/10/2026</t>
  </si>
  <si>
    <t>• F-08 — Eurostat nrg_pc_204, elettricità per le famiglie, Italia, 2.500-4.999 kWh, tutte le imposte, 2025-S2 — https://ec.europa.eu/eurostat/databrowser/view/nrg_pc_204/default/table — accesso 08/10/2026</t>
  </si>
  <si>
    <t>• F-10 — MASE, portale del bonus veicoli elettrici e FAQ del 24/06/2026 (domande entro il 30/06/2026) — https://www.bonusveicolielettrici.mase.gov.it/index.html — accesso 08/10/2026</t>
  </si>
  <si>
    <t>• F-11 — MIMIT, portale Ecobonus (a ottobre 2026 nessun contributo per le autovetture) — https://ecobonus.mimit.gov.it/ — accesso 08/10/2026</t>
  </si>
  <si>
    <t>• F-12 — ISTAT, Spese per consumi delle famiglie, anno 2025 (pubblicato l'08/10/2026), prospetto 5 — https://www.istat.it/comunicato-stampa/spese-per-consumi-delle-famiglie-anno-2025/ — accesso 08/10/2026</t>
  </si>
  <si>
    <t>• F-13 — Agenzia delle Entrate-OMI, Rapporto Immobiliare 2026 residenziale (21/05/2026), tab. 52 — https://www.agenziaentrate.gov.it/portale/documents/20143/263076/RI2026_Residenziale20260521.pdf/892125df-86a3-c21a-f8a1-86323f45ae93 — accesso 08/10/2026</t>
  </si>
  <si>
    <t>• F-14 — Regione Piemonte, tariffario della tassa automobilistica dal 01/01/2025 (esempio regionale) — https://www.regione.piemonte.it/web/media/57917/download — accesso 08/10/2026</t>
  </si>
  <si>
    <t>• F-15, F-16 — tariffe ufficiali degli abbonamenti al trasporto pubblico urbano di due grandi città (310-330 €/anno) — pagine ufficiali delle aziende di trasporto — accesso 08/10/2026</t>
  </si>
  <si>
    <t>• F-17 — Comune di Milano, calendario dei divieti della zona a traffico limitato (esempio) — https://www.comune.milano.it/argomenti/mobilita/area-b-calendario-dei-divieti — accesso 08/10/2026</t>
  </si>
  <si>
    <t>• F-18 — Portale dell'Automobilista (MIT), revisioni (45 € in Motorizzazione) — https://www.ilportaledellautomobilista.it/web/portale-automobilista/veicoli/revisioni — accesso 08/10/2026</t>
  </si>
  <si>
    <t>• F-19 — tariffe pubblicate da due operatori di noleggio a ore e a giornata (pagine ufficiali) — accesso 08/10/2026</t>
  </si>
  <si>
    <t>• F-20 — UNRAE, «L'auto 2025 — sintesi statistica»: prezzo medio delle berline di segmento B 20.657 € — https://unrae.it — accesso 09/10/2026</t>
  </si>
  <si>
    <t>• F-21 — ANIASA, comunicato sul noleggio dei primi 9 mesi del 2026 (quote di mercato, nessun canone) — https://www.aniasa.it — accesso 09/10/2026</t>
  </si>
  <si>
    <t>• F-22 — Normattiva, TUIR artt. 11 e 13 (testo vigente al 30/06/2026) — https://www.normattiva.it — accesso 09/10/2026</t>
  </si>
  <si>
    <t>• F-23 — video del canale sull'inflazione dello stile di vita: 300 / 400 / 519 € di capitale per 1 € al mese — canale YouTube Marco FIRE</t>
  </si>
  <si>
    <t>• Ipotesi dichiarate (nessuna fonte primaria pubblica): prezzi di strada e curve dei residui, manutenzione, canoni di noleggio, ricarico dell'usata, prezzo della colonnina, consumi reali, quantità dei profili senza auto</t>
  </si>
  <si>
    <t>Aggiornamenti: github.com/marcofire-it/marco-fire-simulatori</t>
  </si>
  <si>
    <t>Il caso di partenza: Valentina, 36 anni, single, dipendente, in affitto, 12.000 km l'anno. Non esiste: è un caso costruito con dati veri. I valori gialli di default sono i suoi.</t>
  </si>
  <si>
    <t>€/mese equivalenti: quanto l'auto costa ogni mese, per sempre, con il valore residuo sottratto e i soldi di oggi che valgono più di quelli di domani (rendimento reale del foglio 1). Non è la rata.</t>
  </si>
  <si>
    <t>Capitali ed entrate del foglio 3 sono al netto del bollo titoli (0,20%) e dell'imposta media sui guadagni (20,6%).</t>
  </si>
  <si>
    <t>Incentivi: a ottobre 2026 nessun incentivo nazionale per comprare un'auto privata; alcune Regioni possono avere bandi propri: controlla il sito della tua.</t>
  </si>
  <si>
    <t>Sono ipotesi, non consulenza: i prezzi delle auto, i residui e i canoni sono stime. Cambiali con i preventivi veri.</t>
  </si>
  <si>
    <t>Il tuo profilo: chi sei, quanto guadagni, quanto spendi</t>
  </si>
  <si>
    <t>Valori di partenza: Valentina, 36 anni, single, dipendente, in affitto in un comune medio del Nord Est. Valentina non esiste: è un caso costruito con dati veri. Sostituisci i gialli con i tuoi numeri.</t>
  </si>
  <si>
    <t>Chi sei e quanto guidi</t>
  </si>
  <si>
    <t>Età oggi</t>
  </si>
  <si>
    <t>Età a cui misuri il capitale</t>
  </si>
  <si>
    <t>Fra 30 anni, prima dell'età di pensione: il capitale si aggiunge alla pensione, non la sostituisce</t>
  </si>
  <si>
    <t>Anni di confronto</t>
  </si>
  <si>
    <t>Km all'anno</t>
  </si>
  <si>
    <t>Valentina: 12.000 km, casa-lavoro 18 km a tratta</t>
  </si>
  <si>
    <t>Orizzonte del confronto fra le opzioni</t>
  </si>
  <si>
    <t>10 anni</t>
  </si>
  <si>
    <t>Fisso: è la struttura del motore (flussi anno per anno, opzioni a ciclo ripetute fino a 10 anni)</t>
  </si>
  <si>
    <t>Mercati e regole del canale</t>
  </si>
  <si>
    <t>Rendimento reale del capitale (60/40)</t>
  </si>
  <si>
    <t>Canone del canale: 3% oltre l'inflazione. È anche il tasso di sconto dei flussi</t>
  </si>
  <si>
    <t>Inflazione</t>
  </si>
  <si>
    <t>Serve solo a deflazionare rate e canoni fissi in euro nominali</t>
  </si>
  <si>
    <t>Prelievo annuo dal capitale</t>
  </si>
  <si>
    <t>Valori del canale: 4% (25 volte la spesa), 3% (33,3 volte, principale), 2,31% (43,3 volte)</t>
  </si>
  <si>
    <t>Entrate e spese (euro all'anno)</t>
  </si>
  <si>
    <t>Stipendio netto annuo</t>
  </si>
  <si>
    <t>Valentina: RAL 38.000 → netto 27.326,60 (controllo in fondo al foglio)</t>
  </si>
  <si>
    <t>Affitto annuo</t>
  </si>
  <si>
    <t>500 €/mese: canone medio dei nuovi contratti nei comuni non ad alta tensione abitativa del Nord Est (F-13: 504 €/mese)</t>
  </si>
  <si>
    <t>Utenze, condominio e piccola manutenzione di casa</t>
  </si>
  <si>
    <t>150 €/mese (ipotesi). Tetto ISTAT: non più di 339,17 €/mese = 4.070 €/anno (F-12, calcolo in fondo al foglio)</t>
  </si>
  <si>
    <t>Tutte le altre spese (cibo, vestiti, salute, svago…)</t>
  </si>
  <si>
    <t>ISTAT 2025, persona sola 35-64 anni, mediana riscalata, senza casa e trasporti (F-12, calcolo in fondo al foglio)</t>
  </si>
  <si>
    <t>Capitale già investito oggi</t>
  </si>
  <si>
    <t>Energia e costi fissi dell'auto</t>
  </si>
  <si>
    <t>Benzina, €/litro</t>
  </si>
  <si>
    <t>Media 2026 al 05/10/2026 (F-03). Banda dell'anno 1,626-2,156</t>
  </si>
  <si>
    <t>Elettricità a casa, €/kWh</t>
  </si>
  <si>
    <t>Famiglie 2.500-4.999 kWh, tutte le imposte, 2025-S2 (F-08)</t>
  </si>
  <si>
    <t>Ricarica alla colonnina, €/kWh</t>
  </si>
  <si>
    <t>Ipotesi: nessuna fonte primaria, banda 0,45-0,80</t>
  </si>
  <si>
    <t>Quota di ricarica alla colonnina (elettrica, caso base)</t>
  </si>
  <si>
    <t>90% a casa, 10% alla colonnina</t>
  </si>
  <si>
    <t>Assicurazione obbligatoria (RC), €/anno</t>
  </si>
  <si>
    <t>Premio medio donne 35-44 anni, II trimestre 2026 (F-04)</t>
  </si>
  <si>
    <t>Bollo, € per kW</t>
  </si>
  <si>
    <t>Euro 4 e oltre, fino a 100 kW (F-14)</t>
  </si>
  <si>
    <t>Revisione, € (4° anno, poi ogni 2)</t>
  </si>
  <si>
    <t>Tariffa dei centri privati (ipotesi; in Motorizzazione 45 €, F-18)</t>
  </si>
  <si>
    <t>Furto-incendio dell'auto nuova, €/anno</t>
  </si>
  <si>
    <t>Ipotesi, solo nei primi anni dell'auto nuova (anni nel foglio 2)</t>
  </si>
  <si>
    <t>Valore dell'auto di oggi, se la vendi</t>
  </si>
  <si>
    <t>Benzina di 13 anni: «qualche migliaio di euro»</t>
  </si>
  <si>
    <t>Risultati</t>
  </si>
  <si>
    <t>L'auto di oggi, primo anno (€/anno)</t>
  </si>
  <si>
    <t>Benzina, assicurazione, bollo, revisione e manutenzione del prossimo anno (foglio 2, opzione F10)</t>
  </si>
  <si>
    <t>L'auto di oggi, al mese</t>
  </si>
  <si>
    <t>Spesa totale annua</t>
  </si>
  <si>
    <t>Risparmio annuo</t>
  </si>
  <si>
    <t>Tasso di risparmio</t>
  </si>
  <si>
    <t>Anni di risparmio che spiegano il capitale di oggi</t>
  </si>
  <si>
    <t>Quanti anni di questo risparmio, investito al rendimento reale, servono per arrivare al capitale di oggi</t>
  </si>
  <si>
    <t>Capitale netto all'età scelta</t>
  </si>
  <si>
    <t>Capitale di oggi + risparmio di oggi, al netto di bollo e imposta (foglio 3)</t>
  </si>
  <si>
    <t>Entrata netta al mese, al prelievo scelto</t>
  </si>
  <si>
    <t>Controllo: il netto dalla RAL (dipendente, 2026)</t>
  </si>
  <si>
    <t>Retribuzione annua lorda (RAL)</t>
  </si>
  <si>
    <t>Contributi a carico del dipendente</t>
  </si>
  <si>
    <t>Addizionali regionale e comunale</t>
  </si>
  <si>
    <t>Ipotesi media</t>
  </si>
  <si>
    <t>Contributi</t>
  </si>
  <si>
    <t>Reddito imponibile</t>
  </si>
  <si>
    <t>IRPEF lorda (23% / 33% / 43%)</t>
  </si>
  <si>
    <t>TUIR art. 11, vigente nel 2026 (F-22)</t>
  </si>
  <si>
    <t>Detrazione per lavoro dipendente</t>
  </si>
  <si>
    <t>TUIR art. 13, compresi i 65 € del c. 1.1 fra 25.000 e 35.000 (F-22)</t>
  </si>
  <si>
    <t>Ulteriore detrazione</t>
  </si>
  <si>
    <t>IRPEF netta</t>
  </si>
  <si>
    <t>Addizionali</t>
  </si>
  <si>
    <t>Netto stimato dalla RAL</t>
  </si>
  <si>
    <t>Se cambi la RAL, copia questo valore nella cella gialla dello stipendio netto</t>
  </si>
  <si>
    <t>Controllo: le altre spese e il tetto delle utenze (ISTAT 2025, F-12, prospetto 5)</t>
  </si>
  <si>
    <t>Persona sola 35-64 anni: spesa media mensile</t>
  </si>
  <si>
    <t>Spesa mediana mensile</t>
  </si>
  <si>
    <t>Divisione abitazione (media mensile)</t>
  </si>
  <si>
    <t>di cui affitti figurativi</t>
  </si>
  <si>
    <t>di cui ristrutturazioni</t>
  </si>
  <si>
    <t>Divisione trasporti (media mensile)</t>
  </si>
  <si>
    <t>Tutto il resto, media mensile (senza casa e trasporti)</t>
  </si>
  <si>
    <t>Tutto il resto riscalato alla mediana, €/anno</t>
  </si>
  <si>
    <t>È il valore di partenza delle «altre spese»</t>
  </si>
  <si>
    <t>Tetto delle utenze, €/mese</t>
  </si>
  <si>
    <t>Abitazione meno affitti figurativi e ristrutturazioni: contiene anche gli affitti veri, quindi è un tetto, non una stima</t>
  </si>
  <si>
    <t>Le tue utenze rispetto al tetto</t>
  </si>
  <si>
    <t>La divisione assicurativa ISTAT (55,34 €/mese) contiene anche la RC auto, che qui è già nei costi dell'auto: la spesa è sovrastimata al massimo di 34 €/mese.</t>
  </si>
  <si>
    <t>Le opzioni: quanto costa davvero ogni modo di avere (o non avere) l'auto</t>
  </si>
  <si>
    <t>Euro di oggi (2026), valore residuo sottratto, flussi scontati al rendimento reale del foglio 1. €/mese = rata annua equivalente / 12: è quanto l'auto ti costa ogni mese, per sempre.</t>
  </si>
  <si>
    <t>L'auto nuova a benzina (opzioni A, B, C)</t>
  </si>
  <si>
    <t>Prezzo di strada, IVA inclusa</t>
  </si>
  <si>
    <t>Ipotesi: segmento B. Prezzo medio 2025 delle berline B immatricolate: 20.657 € (F-20)</t>
  </si>
  <si>
    <t>Potenza, kW</t>
  </si>
  <si>
    <t>Consumo reale, litri per 100 km</t>
  </si>
  <si>
    <t>L'usata (opzione D): la stessa auto, qualche anno dopo</t>
  </si>
  <si>
    <t>Età dell'usata quando la compri</t>
  </si>
  <si>
    <t>Ricarico del rivenditore sul valore di mercato</t>
  </si>
  <si>
    <t>Ipotesi, banda 0-30%</t>
  </si>
  <si>
    <t>Prezzo dell'usata (calcolato)</t>
  </si>
  <si>
    <t>Stessa potenza e stesso consumo della nuova. Prezzo = prezzo della nuova × valore residuo all'età scelta × (1 + ricarico).</t>
  </si>
  <si>
    <t>L'auto di oggi (opzione F)</t>
  </si>
  <si>
    <t>Età dell'auto di oggi</t>
  </si>
  <si>
    <t>Valore di rivendita (ipotesi): quello del foglio 1 oggi, poi giù in linea retta fino a 500 € a 18 anni e a zero a 23.</t>
  </si>
  <si>
    <t>Ibrida ed elettrica</t>
  </si>
  <si>
    <t>Ibrida: prezzo di strada</t>
  </si>
  <si>
    <t>Ibrida: potenza, kW</t>
  </si>
  <si>
    <t>Ibrida: consumo, litri per 100 km</t>
  </si>
  <si>
    <t>Ibrida nuova: quota di bollo nei primi anni</t>
  </si>
  <si>
    <t>Esempio regionale: metà bollo (F-14). Le regole cambiano da Regione a Regione</t>
  </si>
  <si>
    <t>Ibrida nuova: anni di bollo ridotto</t>
  </si>
  <si>
    <t>Elettrica: prezzo di strada</t>
  </si>
  <si>
    <t>Elettrica: potenza, kW</t>
  </si>
  <si>
    <t>Elettrica: consumo alla presa, kWh per 100 km</t>
  </si>
  <si>
    <t>Elettrica: anni senza bollo</t>
  </si>
  <si>
    <t>Regola nazionale (ipotesi); alcune Regioni esentano più a lungo</t>
  </si>
  <si>
    <t>Elettrica: quota di bollo dopo</t>
  </si>
  <si>
    <t>Elettrica «colonnina»: quota di ricarica pubblica</t>
  </si>
  <si>
    <t>Scenario dell'opzione C-el-pub: 20% a casa, 80% alla colonnina</t>
  </si>
  <si>
    <t>Credito: rate e maxirata</t>
  </si>
  <si>
    <t>Tasso del finanziamento (TAN)</t>
  </si>
  <si>
    <t>Credito al consumo, nuove operazioni, agosto 2026 (F-06)</t>
  </si>
  <si>
    <t>Spese di istruttoria</t>
  </si>
  <si>
    <t>Ipotesi</t>
  </si>
  <si>
    <t>Finanziamento classico: mesi</t>
  </si>
  <si>
    <t>Maxirata: mesi</t>
  </si>
  <si>
    <t>Scegli 36, 48 o 60: la maxirata rinnovata si ripete a ogni scadenza</t>
  </si>
  <si>
    <t>Maxirata: rata finale, % del prezzo</t>
  </si>
  <si>
    <t>Ipotesi, uguale al contratto-tipo «da 199 €» del foglio 4</t>
  </si>
  <si>
    <t>Maxirata: rata finale in euro</t>
  </si>
  <si>
    <t>Maxirata: anni del ciclo</t>
  </si>
  <si>
    <t>Rifinanziamento della rata finale: mesi</t>
  </si>
  <si>
    <t>Opzione B2, allo stesso tasso</t>
  </si>
  <si>
    <t>Riparazioni addebitate alla riconsegna</t>
  </si>
  <si>
    <t>Ipotesi, maxirata con restituzione e noleggio</t>
  </si>
  <si>
    <t>Noleggio a lungo termine (opzione E)</t>
  </si>
  <si>
    <t>Canone mensile, benzina (IVA inclusa)</t>
  </si>
  <si>
    <t>Ipotesi: nessuna fonte pubblica dei canoni (F-21 dà solo le quote di mercato)</t>
  </si>
  <si>
    <t>Canone mensile, elettrica</t>
  </si>
  <si>
    <t>Durata, mesi</t>
  </si>
  <si>
    <t>Noleggio: anni del ciclo</t>
  </si>
  <si>
    <t>Km inclusi all'anno</t>
  </si>
  <si>
    <t>€ per km oltre i km inclusi</t>
  </si>
  <si>
    <t>Il canone comprende assicurazione, furto-incendio, bollo, manutenzione e gomme; l'energia resta a carico. Anticipo = valore dell'auto di oggi.</t>
  </si>
  <si>
    <t>Manutenzione, gomme e guasti, €/anno a 12.000 km (ipotesi)</t>
  </si>
  <si>
    <t>Auto di 1-3 anni</t>
  </si>
  <si>
    <t>Auto di 4-7 anni</t>
  </si>
  <si>
    <t>Auto di 8-12 anni</t>
  </si>
  <si>
    <t>Auto di 13 anni</t>
  </si>
  <si>
    <t>In più per ogni anno oltre i 13</t>
  </si>
  <si>
    <t>Ibrida: frazione della benzina</t>
  </si>
  <si>
    <t>Elettrica: frazione della benzina</t>
  </si>
  <si>
    <t>Km di riferimento della manutenzione</t>
  </si>
  <si>
    <t>Metà della manutenzione cresce con i km, metà no</t>
  </si>
  <si>
    <t>Anni di furto-incendio dell'auto nuova</t>
  </si>
  <si>
    <t>Curva dei valori residui (frazione del prezzo a nuovo, ipotesi; in mezzo si interpola)</t>
  </si>
  <si>
    <t>Età (anni)</t>
  </si>
  <si>
    <t>Benzina e ibrida</t>
  </si>
  <si>
    <t>Elettrica</t>
  </si>
  <si>
    <t>Valori di mercato stimati (nessuna fonte pubblica primaria): −20% il primo anno, −38% in 3, −45% in 4. Le età devono restare in ordine crescente; oltre l'ultima il valore è zero.</t>
  </si>
  <si>
    <t>Affitti di confronto</t>
  </si>
  <si>
    <t>Affitto di Valentina, €/mese (dal foglio 1)</t>
  </si>
  <si>
    <t>Affitto medio dei comuni ad alta tensione abitativa del Nord Est, €/mese</t>
  </si>
  <si>
    <t>Nuovi contratti 2025: 306,2 milioni / 36.279 abitazioni / 12 (F-13)</t>
  </si>
  <si>
    <t>Rate e TAEG (spese di istruttoria comprese)</t>
  </si>
  <si>
    <t>Finanziamento classico: rata mensile</t>
  </si>
  <si>
    <t>Finanziamento classico: TAEG</t>
  </si>
  <si>
    <t>Maxirata: rata mensile</t>
  </si>
  <si>
    <t>Maxirata: TAEG</t>
  </si>
  <si>
    <t>Maxirata rinnovata: eccedenza riconosciuta alla riconsegna?</t>
  </si>
  <si>
    <t>no</t>
  </si>
  <si>
    <t>«no» = il valore di mercato sopra la rata finale resta a chi riprende l'auto (caso alto); «sì» = torna come permuta (caso basso)</t>
  </si>
  <si>
    <t>Cod</t>
  </si>
  <si>
    <t>Opzione</t>
  </si>
  <si>
    <t>Rata mensile</t>
  </si>
  <si>
    <t>Totale 10 anni (somma semplice)</t>
  </si>
  <si>
    <t>Valore attuale 10 anni</t>
  </si>
  <si>
    <t>€/mese equivalenti</t>
  </si>
  <si>
    <t>€/km</t>
  </si>
  <si>
    <t>Ciclo (anni)</t>
  </si>
  <si>
    <t>A</t>
  </si>
  <si>
    <t>Nuova benzina, finanziamento classico</t>
  </si>
  <si>
    <t>B1</t>
  </si>
  <si>
    <t>Maxirata, poi riscatto pagando la rata finale</t>
  </si>
  <si>
    <t>B2</t>
  </si>
  <si>
    <t>Maxirata, poi rata finale rifinanziata</t>
  </si>
  <si>
    <t>B3</t>
  </si>
  <si>
    <t>Maxirata rinnovata ogni scadenza (eccedenza secondo la scelta qui sopra)</t>
  </si>
  <si>
    <t>C</t>
  </si>
  <si>
    <t>Nuova benzina in contanti</t>
  </si>
  <si>
    <t>—</t>
  </si>
  <si>
    <t>D</t>
  </si>
  <si>
    <t>Usata in contanti (la stessa auto, qualche anno dopo)</t>
  </si>
  <si>
    <t>E</t>
  </si>
  <si>
    <t>Noleggio a lungo termine, benzina</t>
  </si>
  <si>
    <t>F5</t>
  </si>
  <si>
    <t>Tenere l'auto di oggi 5 anni, poi l'usata</t>
  </si>
  <si>
    <t>F10</t>
  </si>
  <si>
    <t>Tenere l'auto di oggi 10 anni</t>
  </si>
  <si>
    <t>G</t>
  </si>
  <si>
    <t>Senza auto, città media</t>
  </si>
  <si>
    <t>C-ibr</t>
  </si>
  <si>
    <t>Nuova ibrida in contanti</t>
  </si>
  <si>
    <t>C-el</t>
  </si>
  <si>
    <t>Nuova elettrica in contanti, ricarica a casa</t>
  </si>
  <si>
    <t>C-el-pub</t>
  </si>
  <si>
    <t>Nuova elettrica in contanti, ricarica soprattutto alla colonnina</t>
  </si>
  <si>
    <t>A-el</t>
  </si>
  <si>
    <t>Nuova elettrica a rate, ricarica a casa</t>
  </si>
  <si>
    <t>E-el</t>
  </si>
  <si>
    <t>Noleggio a lungo termine, elettrica</t>
  </si>
  <si>
    <t>G-gc</t>
  </si>
  <si>
    <t>Senza auto, grande città</t>
  </si>
  <si>
    <t>G-pr</t>
  </si>
  <si>
    <t>Senza auto, provincia</t>
  </si>
  <si>
    <t>Codici: A rate, B1-B3 maxirata (riscatto, rifinanziamento, rinnovo), C contanti, D usata, E noleggio, F tenere l'auto di oggi, G senza auto. Il «noleggio» mostra il canone al posto della rata.</t>
  </si>
  <si>
    <t>Opzioni a ciclo (maxirata rinnovata, noleggio): il costo di un ciclo si ripete per sempre; l'incasso dell'auto di oggi si conta una volta sola.</t>
  </si>
  <si>
    <t>Motore del calcolo — non modificare</t>
  </si>
  <si>
    <t>Calcoli intermedi usati dalle celle verdi qui sopra: si possono leggere, non vanno modificati.</t>
  </si>
  <si>
    <t>Tasso mensile per scontare i flussi deflazionati</t>
  </si>
  <si>
    <t>Tasso mensile di inflazione</t>
  </si>
  <si>
    <t>Fattore di rendita a 10 anni</t>
  </si>
  <si>
    <t>C — Nuova benzina in contanti</t>
  </si>
  <si>
    <t>t (anni)</t>
  </si>
  <si>
    <t>Età dell'auto</t>
  </si>
  <si>
    <t>Energia</t>
  </si>
  <si>
    <t>Assicurazione</t>
  </si>
  <si>
    <t>Bollo e revisione</t>
  </si>
  <si>
    <t>Manutenzione</t>
  </si>
  <si>
    <t>Acquisto e rivendita</t>
  </si>
  <si>
    <t>Credito</t>
  </si>
  <si>
    <t>Uso senza proprietà</t>
  </si>
  <si>
    <t>Riconsegna e km extra</t>
  </si>
  <si>
    <t>Mobilità alternativa</t>
  </si>
  <si>
    <t>Totale dell'anno</t>
  </si>
  <si>
    <t>Fattore di sconto</t>
  </si>
  <si>
    <t>Valore attuale del ciclo</t>
  </si>
  <si>
    <t>Somma semplice del ciclo</t>
  </si>
  <si>
    <t>Anni del ciclo</t>
  </si>
  <si>
    <t>Fattore di rendita del ciclo</t>
  </si>
  <si>
    <t>Valore attuale rate</t>
  </si>
  <si>
    <t>Somma rate</t>
  </si>
  <si>
    <t>Valore attuale canoni</t>
  </si>
  <si>
    <t>Somma canoni</t>
  </si>
  <si>
    <t>Totale 10 anni</t>
  </si>
  <si>
    <t>Spesa annua equivalente</t>
  </si>
  <si>
    <t>€/mese</t>
  </si>
  <si>
    <t>VA dep</t>
  </si>
  <si>
    <t>VA cred</t>
  </si>
  <si>
    <t>VA uso</t>
  </si>
  <si>
    <t>VA ener</t>
  </si>
  <si>
    <t>VA assic</t>
  </si>
  <si>
    <t>VA bollo</t>
  </si>
  <si>
    <t>VA manut</t>
  </si>
  <si>
    <t>VA ricons</t>
  </si>
  <si>
    <t>VA mob</t>
  </si>
  <si>
    <t>€/mese dep</t>
  </si>
  <si>
    <t>€/mese cred</t>
  </si>
  <si>
    <t>€/mese uso</t>
  </si>
  <si>
    <t>€/mese ener</t>
  </si>
  <si>
    <t>€/mese assic</t>
  </si>
  <si>
    <t>€/mese bollo</t>
  </si>
  <si>
    <t>€/mese manut</t>
  </si>
  <si>
    <t>€/mese ricons</t>
  </si>
  <si>
    <t>€/mese mob</t>
  </si>
  <si>
    <t>D — Usata in contanti (la stessa auto, qualche anno dopo)</t>
  </si>
  <si>
    <t>C-ibr — Nuova ibrida in contanti</t>
  </si>
  <si>
    <t>C-el — Nuova elettrica in contanti, ricarica a casa</t>
  </si>
  <si>
    <t>C-el-pub — Nuova elettrica in contanti, ricarica soprattutto alla colonnina</t>
  </si>
  <si>
    <t>A — Nuova benzina, finanziamento classico</t>
  </si>
  <si>
    <t>Rata mensile del prestito</t>
  </si>
  <si>
    <t>A-el — Nuova elettrica a rate, ricarica a casa</t>
  </si>
  <si>
    <t>B1 — Maxirata, poi riscatto pagando la rata finale</t>
  </si>
  <si>
    <t>B2 — Maxirata, poi rata finale rifinanziata</t>
  </si>
  <si>
    <t>Rata del rifinanziamento</t>
  </si>
  <si>
    <t>B3a — Maxirata rinnovata, eccedenza persa (alto)</t>
  </si>
  <si>
    <t>B3b — Maxirata rinnovata, eccedenza riconosciuta (basso)</t>
  </si>
  <si>
    <t>E — Noleggio a lungo termine, benzina</t>
  </si>
  <si>
    <t>Canone mensile</t>
  </si>
  <si>
    <t>E-el — Noleggio a lungo termine, elettrica</t>
  </si>
  <si>
    <t>F10 — Tenere l'auto di oggi 10 anni</t>
  </si>
  <si>
    <t>F5 — Tenere l'auto di oggi 5 anni, poi l'usata</t>
  </si>
  <si>
    <t>G — Senza auto, città media</t>
  </si>
  <si>
    <t>G-gc — Senza auto, grande città</t>
  </si>
  <si>
    <t>G-pr — Senza auto, provincia</t>
  </si>
  <si>
    <t>C3 — Nuova in contanti cambiata ogni 3 anni</t>
  </si>
  <si>
    <t>C4 — Nuova in contanti cambiata ogni 4 anni</t>
  </si>
  <si>
    <t>C5 — Nuova in contanti cambiata ogni 5 anni</t>
  </si>
  <si>
    <t>CN — Nuova in contanti cambiata ogni N anni (foglio 4)</t>
  </si>
  <si>
    <t>CM — Nuova in contanti cambiata a ogni scadenza della maxirata</t>
  </si>
  <si>
    <t>Il costo opportunità: la differenza di spesa, investita, quanto diventa</t>
  </si>
  <si>
    <t>Capitali ed entrate AL NETTO del bollo titoli e dell'imposta sui guadagni, in euro di oggi. Ogni differenza di spesa si immagina versata ogni mese in un portafoglio 60/40, per gli anni scelti nel foglio 1.</t>
  </si>
  <si>
    <t>Le tue scelte</t>
  </si>
  <si>
    <t>Opzione di riferimento (la più economica che useresti davvero)</t>
  </si>
  <si>
    <t>Codici nella tabella qui sotto (D = usata in contanti)</t>
  </si>
  <si>
    <t>Bollo titoli, % del valore ogni anno</t>
  </si>
  <si>
    <t>Imposta di bollo sul deposito titoli</t>
  </si>
  <si>
    <t>Imposta media sui guadagni</t>
  </si>
  <si>
    <t>Portafoglio 60/40: 60% × 26% (azioni) + 40% × 12,5% (titoli di Stato) = 20,6%</t>
  </si>
  <si>
    <t>Anni di accumulo (dal foglio 1)</t>
  </si>
  <si>
    <t>Prelievo annuo (dal foglio 1)</t>
  </si>
  <si>
    <t>Traduttore: 1 € al mese in più di spesa, per sempre</t>
  </si>
  <si>
    <t>Prelievo</t>
  </si>
  <si>
    <t>capitale in più che serve</t>
  </si>
  <si>
    <t>Ogni euro al mese di spesa fissa chiede 300 € di capitale al 4%, 400 € al 3% (canone del canale), 519,48 € al 2,31%.</t>
  </si>
  <si>
    <t>Prova con una cifra</t>
  </si>
  <si>
    <t>Spesa in più, € al mese</t>
  </si>
  <si>
    <t>Capitale netto che avresti alla fine</t>
  </si>
  <si>
    <t>Entrata in più al mese, netta, al prelievo scelto</t>
  </si>
  <si>
    <t>Capitale in più che serve per sempre, al prelievo scelto</t>
  </si>
  <si>
    <t>Tutte le opzioni a confronto (12 colonne verdi; i valori lordi di controllo sono nelle colonne nascoste)</t>
  </si>
  <si>
    <t>Differenza dal riferimento, €/mese</t>
  </si>
  <si>
    <t>Capitale netto perso in 10 anni</t>
  </si>
  <si>
    <t>Capitale netto perso a fine accumulo</t>
  </si>
  <si>
    <t>Entrata netta persa, €/mese</t>
  </si>
  <si>
    <t>Spesa annua totale</t>
  </si>
  <si>
    <t>Capitale netto a fine accumulo</t>
  </si>
  <si>
    <t>Entrata netta al mese</t>
  </si>
  <si>
    <t>Controllo: Δ capitale lordo 10 anni</t>
  </si>
  <si>
    <t>Controllo: Δ capitale lordo fine accumulo</t>
  </si>
  <si>
    <t>Controllo: Δ entrata lorda</t>
  </si>
  <si>
    <t>Controllo: Capitale lordo fine accumulo</t>
  </si>
  <si>
    <t>Controllo: Entrata lorda</t>
  </si>
  <si>
    <t>B3 alto</t>
  </si>
  <si>
    <t>Maxirata rinnovata, eccedenza persa (alto)</t>
  </si>
  <si>
    <t>B3 basso</t>
  </si>
  <si>
    <t>Maxirata rinnovata, eccedenza riconosciuta (basso)</t>
  </si>
  <si>
    <t>C3</t>
  </si>
  <si>
    <t>Nuova in contanti cambiata ogni 3 anni</t>
  </si>
  <si>
    <t>B3 alto = maxirata rinnovata con l'eccedenza persa; B3 basso = con l'eccedenza riconosciuta; C3 = nuova in contanti cambiata ogni 3 anni. Differenze negative = spendi meno del riferimento: capitale in più.</t>
  </si>
  <si>
    <t>Il confronto del video: usata in contanti contro maxirata rinnovata</t>
  </si>
  <si>
    <t>Differenza di spesa, €/mese (basso - alto)</t>
  </si>
  <si>
    <t>Capitale netto perso a fine accumulo (basso)</t>
  </si>
  <si>
    <t>Capitale netto perso a fine accumulo (alto)</t>
  </si>
  <si>
    <t>Entrata netta persa al mese (basso)</t>
  </si>
  <si>
    <t>Entrata netta persa al mese (alto)</t>
  </si>
  <si>
    <t>Rendimento nominale annuo</t>
  </si>
  <si>
    <t>Fattore mensile del rendimento (q)</t>
  </si>
  <si>
    <t>Fattore mensile dell'inflazione (g)</t>
  </si>
  <si>
    <t>Valore a fine anno di 12 versamenti mensili indicizzati da 1/12</t>
  </si>
  <si>
    <t>Somma dei 12 versamenti mensili indicizzati da 1/12</t>
  </si>
  <si>
    <t>Versamento mensile indicizzato all'inflazione, rendimento nominale, bollo pagato a fine anno sul valore, imposta sui guadagni latenti alla fine, tutto riportato in euro di oggi.</t>
  </si>
  <si>
    <t>Anno</t>
  </si>
  <si>
    <t>Valore di 1 € iniziale</t>
  </si>
  <si>
    <t>Valore di 1 €/anno versato</t>
  </si>
  <si>
    <t>Versato (base fiscale) di 1 €/anno</t>
  </si>
  <si>
    <t>Abitudine o contratto: quanto costa avere sempre l'auto giovane, e quanto il credito</t>
  </si>
  <si>
    <t>La maxirata rinnovata costa di più dell'usata per tre motivi diversi: cambiare spesso, pagare il credito, lasciare l'eccedenza a chi riprende l'auto. Qui si separano.</t>
  </si>
  <si>
    <t>Nuova in contanti, cambiata ogni N anni</t>
  </si>
  <si>
    <t>Ogni quanti anni la cambi</t>
  </si>
  <si>
    <t>€/mese equivalenti, cambiata ogni N anni</t>
  </si>
  <si>
    <t>Cambiata ogni 3 anni</t>
  </si>
  <si>
    <t>Cambiata ogni 4 anni</t>
  </si>
  <si>
    <t>Cambiata ogni 5 anni</t>
  </si>
  <si>
    <t>Tenuta 10 anni (opzione C)</t>
  </si>
  <si>
    <t>Usata in contanti (opzione D)</t>
  </si>
  <si>
    <t>Maxirata rinnovata contro usata: la scomposizione</t>
  </si>
  <si>
    <t>Nuova in contanti cambiata a ogni scadenza della maxirata</t>
  </si>
  <si>
    <t>Differenza alto - usata, €/mese</t>
  </si>
  <si>
    <t>di cui abitudine (cambiare spesso)</t>
  </si>
  <si>
    <t>di cui credito (il contratto)</t>
  </si>
  <si>
    <t>di cui eccedenza lasciata</t>
  </si>
  <si>
    <t>Differenza basso - usata, €/mese</t>
  </si>
  <si>
    <t>Valore di mercato a fine contratto, euro di oggi</t>
  </si>
  <si>
    <t>Eccedenza lasciata per ciclo, euro di oggi</t>
  </si>
  <si>
    <t>Il contratto «da 199 € al mese» (esempio anonimo)</t>
  </si>
  <si>
    <t>Prezzo dell'auto</t>
  </si>
  <si>
    <t>Anticipo</t>
  </si>
  <si>
    <t>Mesi</t>
  </si>
  <si>
    <t>Rata finale, % del prezzo</t>
  </si>
  <si>
    <t>TAN</t>
  </si>
  <si>
    <t>Servizi accessori, € al mese</t>
  </si>
  <si>
    <t>Rata finale</t>
  </si>
  <si>
    <t>Rata finanziaria</t>
  </si>
  <si>
    <t>Rata pubblicizzata (con i servizi)</t>
  </si>
  <si>
    <t>TAEG senza servizi</t>
  </si>
  <si>
    <t>TAEG con i servizi</t>
  </si>
  <si>
    <t>Quanto esce prima della rata finale</t>
  </si>
  <si>
    <t>Media al mese prima della rata finale</t>
  </si>
  <si>
    <t>Interessi, spese e servizi</t>
  </si>
  <si>
    <t>di cui interessi</t>
  </si>
  <si>
    <t>Finanziamento classico: la rata non è il costo</t>
  </si>
  <si>
    <t>Interessi nominali</t>
  </si>
  <si>
    <t>Primo anno di cassa (rate in euro di oggi + gestione)</t>
  </si>
  <si>
    <t>Primo anno di cassa, al mese</t>
  </si>
  <si>
    <t>Costo vero, €/mese equivalenti</t>
  </si>
  <si>
    <t>Tenerla o cambiarla: la soglia dell'officina</t>
  </si>
  <si>
    <t>Manutenzione e guasti dell'auto di oggi che pareggiano l'usata, €/anno</t>
  </si>
  <si>
    <t>Se nei prossimi 10 anni l'auto di oggi ti costa in media meno di così, tenerla costa meno dell'usata</t>
  </si>
  <si>
    <t>Media ipotizzata nel foglio 2</t>
  </si>
  <si>
    <t>Un guasto da 2.000 €, spalmato su 10 anni, €/mese</t>
  </si>
  <si>
    <t>Guasto a metà strada (anno 5)</t>
  </si>
  <si>
    <t>Senza auto: quanto costa muoversi con abbonamento, noleggi e qualche taxi</t>
  </si>
  <si>
    <t>Tariffe unitarie da pagine ufficiali di operatori di trasporto e di car sharing (F-15, F-16, F-19, mai nominati); le quantità sono ipotesi. Il tempo in più non è prezzato.</t>
  </si>
  <si>
    <t>Tariffe di noleggio a ore e a giornata</t>
  </si>
  <si>
    <t>Noleggio a giornata, €</t>
  </si>
  <si>
    <t>Tariffa giornaliera con 30 km inclusi (F-19)</t>
  </si>
  <si>
    <t>Km inclusi nella giornata</t>
  </si>
  <si>
    <t>€ per km oltre quelli inclusi (e nel noleggio a ore)</t>
  </si>
  <si>
    <t>Km di una gita in giornata</t>
  </si>
  <si>
    <t>Noleggio a ore, € all'ora</t>
  </si>
  <si>
    <t>F-19</t>
  </si>
  <si>
    <t>Km di un'uscita da un'ora</t>
  </si>
  <si>
    <t>Costo di una giornata di noleggio</t>
  </si>
  <si>
    <t>Costo di un'uscita da un'ora</t>
  </si>
  <si>
    <t>Tre profili (quantità all'anno, ipotesi)</t>
  </si>
  <si>
    <t>Voce</t>
  </si>
  <si>
    <t>Grande città</t>
  </si>
  <si>
    <t>Città media</t>
  </si>
  <si>
    <t>Provincia</t>
  </si>
  <si>
    <t>Abbonamento ai mezzi pubblici, €/anno</t>
  </si>
  <si>
    <t>Giornate di noleggio all'anno</t>
  </si>
  <si>
    <t>Ore di noleggio all'anno</t>
  </si>
  <si>
    <t>Treni, taxi, passaggi e consegne, €/anno</t>
  </si>
  <si>
    <t>Grande città: abbonamento urbano annuale di circa 310-330 € (F-15, F-16). Città media: extraurbano per 18 km (ipotesi). Provincia: corse rare, più taxi e passaggi.</t>
  </si>
  <si>
    <t>Quanto costa senza auto</t>
  </si>
  <si>
    <t>Confronta con l'opzione</t>
  </si>
  <si>
    <t>Risultato</t>
  </si>
  <si>
    <t>Costo annuo</t>
  </si>
  <si>
    <t>Costo al mese</t>
  </si>
  <si>
    <t>€/mese equivalenti (con l'incasso dell'auto di oggi)</t>
  </si>
  <si>
    <t>Margine sull'opzione scelta, €/mese</t>
  </si>
  <si>
    <t>Giornate di noleggio in più che il margine paga, all'anno</t>
  </si>
  <si>
    <t>Il costo equivalente è più basso del costo annuo perché vendere l'auto di oggi porta un incasso una tantum. Il tempo in più sui mezzi non è contato.</t>
  </si>
  <si>
    <t>Elettrico o termico: da quanti chilometri l'anno l'elettrica costa meno</t>
  </si>
  <si>
    <t>Nuova benzina contro nuova elettrica, comprate in contanti e tenute 10 anni. Assicurazione e revisione sono uguali e si annullano. Manutenzione, curve dei residui e regole del bollo vengono dal foglio 2.</t>
  </si>
  <si>
    <t>Le due auto</t>
  </si>
  <si>
    <t>Benzina: prezzo</t>
  </si>
  <si>
    <t>Benzina: consumo, litri per 100 km</t>
  </si>
  <si>
    <t>Benzina: potenza, kW</t>
  </si>
  <si>
    <t>Elettrica: prezzo</t>
  </si>
  <si>
    <t>Incentivo all'acquisto dell'elettrica</t>
  </si>
  <si>
    <t>Nazionale: nessuno a ottobre 2026 (F-10, F-11). Regionale: da verificare sul sito della tua Regione</t>
  </si>
  <si>
    <t>Media 2026 al 05/10/2026 (F-03)</t>
  </si>
  <si>
    <t>F-08</t>
  </si>
  <si>
    <t>Ipotesi, banda 0,45-0,80</t>
  </si>
  <si>
    <t>Quota di ricarica alla colonnina</t>
  </si>
  <si>
    <t>Differenza di valore attuale in 10 anni (elettrica − benzina) ai tuoi km</t>
  </si>
  <si>
    <t>Negativa = l'elettrica costa meno</t>
  </si>
  <si>
    <t>Km all'anno di pareggio</t>
  </si>
  <si>
    <t>Sopra questi km l'elettrica costa meno</t>
  </si>
  <si>
    <t>Km di pareggio per quota di ricarica alla colonnina e prezzo della colonnina</t>
  </si>
  <si>
    <t>Quota alla colonnina</t>
  </si>
  <si>
    <t>Il prezzo della colonnina non ha una fonte primaria: per questo la tabella mostra tre prezzi.</t>
  </si>
  <si>
    <t>Differenza di valore attuale per km all'anno (elettrica − benzina, quota e prezzi qui sopra)</t>
  </si>
  <si>
    <t>Differenza</t>
  </si>
  <si>
    <t>Costa meno</t>
  </si>
  <si>
    <t>Manutenzione base</t>
  </si>
  <si>
    <t>Bollo benzina</t>
  </si>
  <si>
    <t>Bollo elettrica</t>
  </si>
  <si>
    <t>Parte fissa della differenza (prezzi, residui, bollo, metà manutenzione)</t>
  </si>
  <si>
    <t>Parte della manutenzione che cresce con i km, per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</si>
</sst>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64" formatCode="0&quot; anni&quot;"/>
    <numFmt numFmtId="165" formatCode="#,##0&quot; km&quot;"/>
    <numFmt numFmtId="166" formatCode="#,##0.00&quot; €&quot;"/>
    <numFmt numFmtId="167" formatCode="#,##0&quot; €&quot;"/>
    <numFmt numFmtId="168" formatCode="#,##0.000&quot; €&quot;"/>
    <numFmt numFmtId="169" formatCode="0.0000&quot; €&quot;"/>
    <numFmt numFmtId="170" formatCode="0.00&quot; €&quot;"/>
    <numFmt numFmtId="171" formatCode="0.0%"/>
    <numFmt numFmtId="172" formatCode="0.0"/>
    <numFmt numFmtId="173" formatCode="0&quot; mesi&quot;"/>
    <numFmt numFmtId="174" formatCode="0.000000"/>
    <numFmt numFmtId="175" formatCode="0.0000"/>
    <numFmt numFmtId="176" formatCode="\+#,##0&quot; €&quot;;\-#,##0&quot; €&quot;;0&quot; €&quot;"/>
    <numFmt numFmtId="177" formatCode="0.00&quot; anni&quot;"/>
    <numFmt numFmtId="178" formatCode="0.00&quot; €/kWh&quot;"/>
  </numFmts>
  <fonts count="8">
    <font>
      <sz val="11"/>
      <color theme="1"/>
      <name val="Calibri"/>
      <family val="2"/>
      <scheme val="minor"/>
    </font>
    <font>
      <b/>
      <sz val="16"/>
      <color rgb="FF1E40AF"/>
      <name val="Calibri"/>
    </font>
    <font>
      <i/>
      <sz val="10"/>
      <color rgb="FF991B1B"/>
      <name val="Calibri"/>
    </font>
    <font>
      <i/>
      <sz val="9"/>
      <color rgb="FF666666"/>
      <name val="Calibri"/>
    </font>
    <font>
      <b/>
      <sz val="13"/>
      <color rgb="FFFFFFFF"/>
      <name val="Calibri"/>
    </font>
    <font>
      <b/>
      <sz val="11"/>
      <name val="Calibri"/>
    </font>
    <font>
      <sz val="11"/>
      <name val="Calibri"/>
    </font>
    <font>
      <b/>
      <sz val="14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FAFAFA"/>
      </patternFill>
    </fill>
    <fill>
      <patternFill patternType="solid">
        <fgColor rgb="FF1E40AF"/>
      </patternFill>
    </fill>
    <fill>
      <patternFill patternType="solid">
        <fgColor rgb="FFFFF59D"/>
      </patternFill>
    </fill>
    <fill>
      <patternFill patternType="solid">
        <fgColor rgb="FFC8E6C9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7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6" fillId="5" borderId="1" xfId="0" applyNumberFormat="1" applyFont="1" applyFill="1" applyBorder="1" applyAlignment="1">
      <alignment horizontal="right" vertical="center"/>
    </xf>
    <xf numFmtId="164" fontId="6" fillId="6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10" fontId="6" fillId="5" borderId="1" xfId="0" applyNumberFormat="1" applyFont="1" applyFill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right" vertical="center"/>
    </xf>
    <xf numFmtId="167" fontId="6" fillId="5" borderId="1" xfId="0" applyNumberFormat="1" applyFont="1" applyFill="1" applyBorder="1" applyAlignment="1">
      <alignment horizontal="right" vertical="center"/>
    </xf>
    <xf numFmtId="168" fontId="6" fillId="5" borderId="1" xfId="0" applyNumberFormat="1" applyFont="1" applyFill="1" applyBorder="1" applyAlignment="1">
      <alignment horizontal="right" vertical="center"/>
    </xf>
    <xf numFmtId="169" fontId="6" fillId="5" borderId="1" xfId="0" applyNumberFormat="1" applyFont="1" applyFill="1" applyBorder="1" applyAlignment="1">
      <alignment horizontal="right" vertical="center"/>
    </xf>
    <xf numFmtId="170" fontId="6" fillId="5" borderId="1" xfId="0" applyNumberFormat="1" applyFont="1" applyFill="1" applyBorder="1" applyAlignment="1">
      <alignment horizontal="right" vertical="center"/>
    </xf>
    <xf numFmtId="171" fontId="6" fillId="5" borderId="1" xfId="0" applyNumberFormat="1" applyFont="1" applyFill="1" applyBorder="1" applyAlignment="1">
      <alignment horizontal="right" vertical="center"/>
    </xf>
    <xf numFmtId="166" fontId="6" fillId="6" borderId="1" xfId="0" applyNumberFormat="1" applyFont="1" applyFill="1" applyBorder="1" applyAlignment="1">
      <alignment horizontal="right" vertical="center"/>
    </xf>
    <xf numFmtId="10" fontId="6" fillId="6" borderId="1" xfId="0" applyNumberFormat="1" applyFont="1" applyFill="1" applyBorder="1" applyAlignment="1">
      <alignment horizontal="right" vertical="center"/>
    </xf>
    <xf numFmtId="177" fontId="6" fillId="6" borderId="1" xfId="0" applyNumberFormat="1" applyFont="1" applyFill="1" applyBorder="1" applyAlignment="1">
      <alignment horizontal="right" vertical="center"/>
    </xf>
    <xf numFmtId="167" fontId="6" fillId="6" borderId="1" xfId="0" applyNumberFormat="1" applyFont="1" applyFill="1" applyBorder="1" applyAlignment="1">
      <alignment horizontal="right" vertical="center"/>
    </xf>
    <xf numFmtId="49" fontId="6" fillId="6" borderId="1" xfId="0" applyNumberFormat="1" applyFont="1" applyFill="1" applyBorder="1" applyAlignment="1">
      <alignment horizontal="right" vertical="center"/>
    </xf>
    <xf numFmtId="1" fontId="6" fillId="5" borderId="1" xfId="0" applyNumberFormat="1" applyFont="1" applyFill="1" applyBorder="1" applyAlignment="1">
      <alignment horizontal="right" vertical="center"/>
    </xf>
    <xf numFmtId="172" fontId="6" fillId="5" borderId="1" xfId="0" applyNumberFormat="1" applyFont="1" applyFill="1" applyBorder="1" applyAlignment="1">
      <alignment horizontal="right" vertical="center"/>
    </xf>
    <xf numFmtId="173" fontId="6" fillId="5" borderId="1" xfId="0" applyNumberFormat="1" applyFont="1" applyFill="1" applyBorder="1" applyAlignment="1">
      <alignment horizontal="right" vertical="center"/>
    </xf>
    <xf numFmtId="1" fontId="6" fillId="6" borderId="1" xfId="0" applyNumberFormat="1" applyFont="1" applyFill="1" applyBorder="1" applyAlignment="1">
      <alignment horizontal="right" vertical="center"/>
    </xf>
    <xf numFmtId="2" fontId="6" fillId="5" borderId="1" xfId="0" applyNumberFormat="1" applyFont="1" applyFill="1" applyBorder="1" applyAlignment="1">
      <alignment horizontal="right" vertical="center"/>
    </xf>
    <xf numFmtId="9" fontId="6" fillId="5" borderId="1" xfId="0" applyNumberFormat="1" applyFont="1" applyFill="1" applyBorder="1" applyAlignment="1">
      <alignment horizontal="right" vertical="center"/>
    </xf>
    <xf numFmtId="49" fontId="6" fillId="5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center" vertical="center" wrapText="1"/>
    </xf>
    <xf numFmtId="168" fontId="6" fillId="6" borderId="1" xfId="0" applyNumberFormat="1" applyFont="1" applyFill="1" applyBorder="1" applyAlignment="1">
      <alignment horizontal="right" vertical="center"/>
    </xf>
    <xf numFmtId="174" fontId="6" fillId="6" borderId="1" xfId="0" applyNumberFormat="1" applyFont="1" applyFill="1" applyBorder="1" applyAlignment="1">
      <alignment horizontal="right" vertical="center"/>
    </xf>
    <xf numFmtId="175" fontId="6" fillId="6" borderId="1" xfId="0" applyNumberFormat="1" applyFont="1" applyFill="1" applyBorder="1" applyAlignment="1">
      <alignment horizontal="right" vertical="center"/>
    </xf>
    <xf numFmtId="176" fontId="6" fillId="6" borderId="1" xfId="0" applyNumberFormat="1" applyFont="1" applyFill="1" applyBorder="1" applyAlignment="1">
      <alignment horizontal="right" vertical="center"/>
    </xf>
    <xf numFmtId="171" fontId="6" fillId="6" borderId="1" xfId="0" applyNumberFormat="1" applyFont="1" applyFill="1" applyBorder="1" applyAlignment="1">
      <alignment horizontal="right" vertical="center"/>
    </xf>
    <xf numFmtId="172" fontId="6" fillId="6" borderId="1" xfId="0" applyNumberFormat="1" applyFont="1" applyFill="1" applyBorder="1" applyAlignment="1">
      <alignment horizontal="right" vertical="center"/>
    </xf>
    <xf numFmtId="165" fontId="6" fillId="6" borderId="1" xfId="0" applyNumberFormat="1" applyFont="1" applyFill="1" applyBorder="1" applyAlignment="1">
      <alignment horizontal="right" vertical="center"/>
    </xf>
    <xf numFmtId="178" fontId="6" fillId="5" borderId="1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 wrapText="1"/>
    </xf>
    <xf numFmtId="0" fontId="0" fillId="0" borderId="0" xfId="0"/>
    <xf numFmtId="0" fontId="1" fillId="0" borderId="0" xfId="0" applyFont="1"/>
    <xf numFmtId="0" fontId="3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zoomScale="90" workbookViewId="0">
      <selection sqref="A1:B1"/>
    </sheetView>
  </sheetViews>
  <sheetFormatPr defaultRowHeight="15"/>
  <cols>
    <col min="1" max="1" width="110" customWidth="1"/>
    <col min="2" max="2" width="95" customWidth="1"/>
  </cols>
  <sheetData>
    <row r="1" spans="1:2" ht="32.1" customHeight="1">
      <c r="A1" s="41" t="s">
        <v>0</v>
      </c>
      <c r="B1" s="40"/>
    </row>
    <row r="2" spans="1:2" ht="32.1" customHeight="1">
      <c r="A2" s="39" t="s">
        <v>1</v>
      </c>
      <c r="B2" s="40"/>
    </row>
    <row r="4" spans="1:2" ht="18.75">
      <c r="A4" s="1" t="s">
        <v>2</v>
      </c>
    </row>
    <row r="5" spans="1:2" ht="21.95" customHeight="1">
      <c r="A5" s="2" t="s">
        <v>3</v>
      </c>
      <c r="B5" s="3" t="s">
        <v>4</v>
      </c>
    </row>
    <row r="6" spans="1:2" ht="21.95" customHeight="1">
      <c r="A6" s="2" t="s">
        <v>5</v>
      </c>
      <c r="B6" s="3" t="s">
        <v>6</v>
      </c>
    </row>
    <row r="7" spans="1:2" ht="21.95" customHeight="1">
      <c r="A7" s="2" t="s">
        <v>7</v>
      </c>
      <c r="B7" s="3" t="s">
        <v>8</v>
      </c>
    </row>
    <row r="8" spans="1:2" ht="21.95" customHeight="1">
      <c r="A8" s="2" t="s">
        <v>9</v>
      </c>
      <c r="B8" s="3" t="s">
        <v>10</v>
      </c>
    </row>
    <row r="9" spans="1:2" ht="21.95" customHeight="1">
      <c r="A9" s="2" t="s">
        <v>11</v>
      </c>
      <c r="B9" s="3" t="s">
        <v>12</v>
      </c>
    </row>
    <row r="10" spans="1:2" ht="21.95" customHeight="1">
      <c r="A10" s="2" t="s">
        <v>13</v>
      </c>
      <c r="B10" s="3" t="s">
        <v>14</v>
      </c>
    </row>
    <row r="12" spans="1:2" ht="18.75">
      <c r="A12" s="1" t="s">
        <v>15</v>
      </c>
    </row>
    <row r="13" spans="1:2">
      <c r="A13" s="3" t="s">
        <v>16</v>
      </c>
    </row>
    <row r="14" spans="1:2">
      <c r="A14" s="3" t="s">
        <v>17</v>
      </c>
    </row>
    <row r="15" spans="1:2">
      <c r="A15" s="3" t="s">
        <v>18</v>
      </c>
    </row>
    <row r="16" spans="1:2">
      <c r="A16" s="3" t="s">
        <v>19</v>
      </c>
    </row>
    <row r="18" spans="1:1" ht="18.75">
      <c r="A18" s="1" t="s">
        <v>20</v>
      </c>
    </row>
    <row r="19" spans="1:1">
      <c r="A19" s="3" t="s">
        <v>21</v>
      </c>
    </row>
    <row r="20" spans="1:1">
      <c r="A20" s="3" t="s">
        <v>22</v>
      </c>
    </row>
    <row r="21" spans="1:1">
      <c r="A21" s="3" t="s">
        <v>23</v>
      </c>
    </row>
    <row r="22" spans="1:1">
      <c r="A22" s="3" t="s">
        <v>24</v>
      </c>
    </row>
    <row r="23" spans="1:1">
      <c r="A23" s="3" t="s">
        <v>25</v>
      </c>
    </row>
    <row r="24" spans="1:1">
      <c r="A24" s="3" t="s">
        <v>26</v>
      </c>
    </row>
    <row r="25" spans="1:1">
      <c r="A25" s="3" t="s">
        <v>27</v>
      </c>
    </row>
    <row r="26" spans="1:1">
      <c r="A26" s="3" t="s">
        <v>28</v>
      </c>
    </row>
    <row r="27" spans="1:1">
      <c r="A27" s="3" t="s">
        <v>29</v>
      </c>
    </row>
    <row r="28" spans="1:1">
      <c r="A28" s="3" t="s">
        <v>30</v>
      </c>
    </row>
    <row r="29" spans="1:1">
      <c r="A29" s="3" t="s">
        <v>31</v>
      </c>
    </row>
    <row r="30" spans="1:1">
      <c r="A30" s="3" t="s">
        <v>32</v>
      </c>
    </row>
    <row r="31" spans="1:1">
      <c r="A31" s="3" t="s">
        <v>33</v>
      </c>
    </row>
    <row r="32" spans="1:1">
      <c r="A32" s="3" t="s">
        <v>34</v>
      </c>
    </row>
    <row r="33" spans="1:1">
      <c r="A33" s="3" t="s">
        <v>35</v>
      </c>
    </row>
    <row r="34" spans="1:1">
      <c r="A34" s="3" t="s">
        <v>36</v>
      </c>
    </row>
    <row r="35" spans="1:1">
      <c r="A35" s="3" t="s">
        <v>37</v>
      </c>
    </row>
    <row r="36" spans="1:1">
      <c r="A36" s="3" t="s">
        <v>38</v>
      </c>
    </row>
    <row r="37" spans="1:1">
      <c r="A37" s="3" t="s">
        <v>39</v>
      </c>
    </row>
    <row r="38" spans="1:1">
      <c r="A38" s="3" t="s">
        <v>40</v>
      </c>
    </row>
    <row r="40" spans="1:1">
      <c r="A40" s="4" t="s">
        <v>41</v>
      </c>
    </row>
    <row r="42" spans="1:1" ht="30">
      <c r="A42" s="5" t="s">
        <v>42</v>
      </c>
    </row>
    <row r="43" spans="1:1" ht="30">
      <c r="A43" s="5" t="s">
        <v>43</v>
      </c>
    </row>
    <row r="44" spans="1:1">
      <c r="A44" s="5" t="s">
        <v>44</v>
      </c>
    </row>
    <row r="45" spans="1:1" ht="30">
      <c r="A45" s="5" t="s">
        <v>45</v>
      </c>
    </row>
    <row r="46" spans="1:1">
      <c r="A46" s="5" t="s">
        <v>46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Views>
    <sheetView zoomScale="90" workbookViewId="0"/>
  </sheetViews>
  <sheetFormatPr defaultRowHeight="15"/>
  <cols>
    <col min="1" max="1" width="63.5703125" customWidth="1"/>
    <col min="2" max="2" width="16" customWidth="1"/>
    <col min="8" max="8" width="16" hidden="1" customWidth="1"/>
  </cols>
  <sheetData>
    <row r="1" spans="1:6" ht="24.95" customHeight="1">
      <c r="A1" s="41" t="s">
        <v>47</v>
      </c>
      <c r="B1" s="40"/>
      <c r="C1" s="40"/>
      <c r="D1" s="40"/>
      <c r="E1" s="40"/>
      <c r="F1" s="40"/>
    </row>
    <row r="2" spans="1:6" ht="32.1" customHeight="1">
      <c r="A2" s="39" t="s">
        <v>1</v>
      </c>
      <c r="B2" s="40"/>
      <c r="C2" s="40"/>
      <c r="D2" s="40"/>
      <c r="E2" s="40"/>
      <c r="F2" s="40"/>
    </row>
    <row r="3" spans="1:6" ht="60" customHeight="1">
      <c r="A3" s="42" t="s">
        <v>48</v>
      </c>
      <c r="B3" s="40"/>
      <c r="C3" s="40"/>
      <c r="D3" s="40"/>
      <c r="E3" s="40"/>
      <c r="F3" s="40"/>
    </row>
    <row r="5" spans="1:6">
      <c r="A5" s="43" t="s">
        <v>49</v>
      </c>
      <c r="B5" s="40"/>
      <c r="C5" s="40"/>
      <c r="D5" s="40"/>
      <c r="E5" s="40"/>
      <c r="F5" s="40"/>
    </row>
    <row r="6" spans="1:6">
      <c r="A6" s="6" t="s">
        <v>50</v>
      </c>
      <c r="B6" s="7">
        <v>36</v>
      </c>
    </row>
    <row r="7" spans="1:6" ht="45" customHeight="1">
      <c r="A7" s="6" t="s">
        <v>51</v>
      </c>
      <c r="B7" s="7">
        <v>66</v>
      </c>
      <c r="C7" s="42" t="s">
        <v>52</v>
      </c>
      <c r="D7" s="40"/>
      <c r="E7" s="40"/>
      <c r="F7" s="40"/>
    </row>
    <row r="8" spans="1:6">
      <c r="A8" s="6" t="s">
        <v>53</v>
      </c>
      <c r="B8" s="8">
        <f>'1 - Il tuo profilo'!$B$7-'1 - Il tuo profilo'!$B$6</f>
        <v>30</v>
      </c>
    </row>
    <row r="9" spans="1:6" ht="30" customHeight="1">
      <c r="A9" s="6" t="s">
        <v>54</v>
      </c>
      <c r="B9" s="9">
        <v>12000</v>
      </c>
      <c r="C9" s="42" t="s">
        <v>55</v>
      </c>
      <c r="D9" s="40"/>
      <c r="E9" s="40"/>
      <c r="F9" s="40"/>
    </row>
    <row r="10" spans="1:6" ht="45" customHeight="1">
      <c r="A10" s="6" t="s">
        <v>56</v>
      </c>
      <c r="B10" s="10" t="s">
        <v>57</v>
      </c>
      <c r="C10" s="42" t="s">
        <v>58</v>
      </c>
      <c r="D10" s="40"/>
      <c r="E10" s="40"/>
      <c r="F10" s="40"/>
    </row>
    <row r="12" spans="1:6">
      <c r="A12" s="43" t="s">
        <v>59</v>
      </c>
      <c r="B12" s="40"/>
      <c r="C12" s="40"/>
      <c r="D12" s="40"/>
      <c r="E12" s="40"/>
      <c r="F12" s="40"/>
    </row>
    <row r="13" spans="1:6" ht="45" customHeight="1">
      <c r="A13" s="6" t="s">
        <v>60</v>
      </c>
      <c r="B13" s="11">
        <v>0.03</v>
      </c>
      <c r="C13" s="42" t="s">
        <v>61</v>
      </c>
      <c r="D13" s="40"/>
      <c r="E13" s="40"/>
      <c r="F13" s="40"/>
    </row>
    <row r="14" spans="1:6" ht="30" customHeight="1">
      <c r="A14" s="6" t="s">
        <v>62</v>
      </c>
      <c r="B14" s="11">
        <v>0.02</v>
      </c>
      <c r="C14" s="42" t="s">
        <v>63</v>
      </c>
      <c r="D14" s="40"/>
      <c r="E14" s="40"/>
      <c r="F14" s="40"/>
    </row>
    <row r="15" spans="1:6" ht="45" customHeight="1">
      <c r="A15" s="6" t="s">
        <v>64</v>
      </c>
      <c r="B15" s="11">
        <v>0.03</v>
      </c>
      <c r="C15" s="42" t="s">
        <v>65</v>
      </c>
      <c r="D15" s="40"/>
      <c r="E15" s="40"/>
      <c r="F15" s="40"/>
    </row>
    <row r="17" spans="1:6">
      <c r="A17" s="43" t="s">
        <v>66</v>
      </c>
      <c r="B17" s="40"/>
      <c r="C17" s="40"/>
      <c r="D17" s="40"/>
      <c r="E17" s="40"/>
      <c r="F17" s="40"/>
    </row>
    <row r="18" spans="1:6" ht="30" customHeight="1">
      <c r="A18" s="6" t="s">
        <v>67</v>
      </c>
      <c r="B18" s="12">
        <v>27326.6</v>
      </c>
      <c r="C18" s="42" t="s">
        <v>68</v>
      </c>
      <c r="D18" s="40"/>
      <c r="E18" s="40"/>
      <c r="F18" s="40"/>
    </row>
    <row r="19" spans="1:6" ht="60" customHeight="1">
      <c r="A19" s="6" t="s">
        <v>69</v>
      </c>
      <c r="B19" s="13">
        <v>6000</v>
      </c>
      <c r="C19" s="42" t="s">
        <v>70</v>
      </c>
      <c r="D19" s="40"/>
      <c r="E19" s="40"/>
      <c r="F19" s="40"/>
    </row>
    <row r="20" spans="1:6" ht="45" customHeight="1">
      <c r="A20" s="6" t="s">
        <v>71</v>
      </c>
      <c r="B20" s="13">
        <v>1800</v>
      </c>
      <c r="C20" s="42" t="s">
        <v>72</v>
      </c>
      <c r="D20" s="40"/>
      <c r="E20" s="40"/>
      <c r="F20" s="40"/>
    </row>
    <row r="21" spans="1:6" ht="45" customHeight="1">
      <c r="A21" s="6" t="s">
        <v>73</v>
      </c>
      <c r="B21" s="12">
        <v>11948.87</v>
      </c>
      <c r="C21" s="42" t="s">
        <v>74</v>
      </c>
      <c r="D21" s="40"/>
      <c r="E21" s="40"/>
      <c r="F21" s="40"/>
    </row>
    <row r="22" spans="1:6">
      <c r="A22" s="6" t="s">
        <v>75</v>
      </c>
      <c r="B22" s="13">
        <v>60000</v>
      </c>
    </row>
    <row r="24" spans="1:6">
      <c r="A24" s="43" t="s">
        <v>76</v>
      </c>
      <c r="B24" s="40"/>
      <c r="C24" s="40"/>
      <c r="D24" s="40"/>
      <c r="E24" s="40"/>
      <c r="F24" s="40"/>
    </row>
    <row r="25" spans="1:6" ht="30" customHeight="1">
      <c r="A25" s="6" t="s">
        <v>77</v>
      </c>
      <c r="B25" s="14">
        <v>1.84995</v>
      </c>
      <c r="C25" s="42" t="s">
        <v>78</v>
      </c>
      <c r="D25" s="40"/>
      <c r="E25" s="40"/>
      <c r="F25" s="40"/>
    </row>
    <row r="26" spans="1:6" ht="30" customHeight="1">
      <c r="A26" s="6" t="s">
        <v>79</v>
      </c>
      <c r="B26" s="15">
        <v>0.29659999999999997</v>
      </c>
      <c r="C26" s="42" t="s">
        <v>80</v>
      </c>
      <c r="D26" s="40"/>
      <c r="E26" s="40"/>
      <c r="F26" s="40"/>
    </row>
    <row r="27" spans="1:6" ht="30" customHeight="1">
      <c r="A27" s="6" t="s">
        <v>81</v>
      </c>
      <c r="B27" s="16">
        <v>0.6</v>
      </c>
      <c r="C27" s="42" t="s">
        <v>82</v>
      </c>
      <c r="D27" s="40"/>
      <c r="E27" s="40"/>
      <c r="F27" s="40"/>
    </row>
    <row r="28" spans="1:6" ht="15" customHeight="1">
      <c r="A28" s="6" t="s">
        <v>83</v>
      </c>
      <c r="B28" s="17">
        <v>0.1</v>
      </c>
      <c r="C28" s="42" t="s">
        <v>84</v>
      </c>
      <c r="D28" s="40"/>
      <c r="E28" s="40"/>
      <c r="F28" s="40"/>
    </row>
    <row r="29" spans="1:6" ht="30" customHeight="1">
      <c r="A29" s="6" t="s">
        <v>85</v>
      </c>
      <c r="B29" s="12">
        <v>409.2</v>
      </c>
      <c r="C29" s="42" t="s">
        <v>86</v>
      </c>
      <c r="D29" s="40"/>
      <c r="E29" s="40"/>
      <c r="F29" s="40"/>
    </row>
    <row r="30" spans="1:6" ht="15" customHeight="1">
      <c r="A30" s="6" t="s">
        <v>87</v>
      </c>
      <c r="B30" s="12">
        <v>2.58</v>
      </c>
      <c r="C30" s="42" t="s">
        <v>88</v>
      </c>
      <c r="D30" s="40"/>
      <c r="E30" s="40"/>
      <c r="F30" s="40"/>
    </row>
    <row r="31" spans="1:6" ht="30" customHeight="1">
      <c r="A31" s="6" t="s">
        <v>89</v>
      </c>
      <c r="B31" s="12">
        <v>79.02</v>
      </c>
      <c r="C31" s="42" t="s">
        <v>90</v>
      </c>
      <c r="D31" s="40"/>
      <c r="E31" s="40"/>
      <c r="F31" s="40"/>
    </row>
    <row r="32" spans="1:6" ht="30" customHeight="1">
      <c r="A32" s="6" t="s">
        <v>91</v>
      </c>
      <c r="B32" s="13">
        <v>250</v>
      </c>
      <c r="C32" s="42" t="s">
        <v>92</v>
      </c>
      <c r="D32" s="40"/>
      <c r="E32" s="40"/>
      <c r="F32" s="40"/>
    </row>
    <row r="33" spans="1:8" ht="30" customHeight="1">
      <c r="A33" s="6" t="s">
        <v>93</v>
      </c>
      <c r="B33" s="13">
        <v>3000</v>
      </c>
      <c r="C33" s="42" t="s">
        <v>94</v>
      </c>
      <c r="D33" s="40"/>
      <c r="E33" s="40"/>
      <c r="F33" s="40"/>
    </row>
    <row r="35" spans="1:8">
      <c r="A35" s="43" t="s">
        <v>95</v>
      </c>
      <c r="B35" s="40"/>
      <c r="C35" s="40"/>
      <c r="D35" s="40"/>
      <c r="E35" s="40"/>
      <c r="F35" s="40"/>
    </row>
    <row r="36" spans="1:8" ht="45" customHeight="1">
      <c r="A36" s="6" t="s">
        <v>96</v>
      </c>
      <c r="B36" s="18">
        <f>'2 - Le opzioni'!$L$364</f>
        <v>3462.761</v>
      </c>
      <c r="C36" s="42" t="s">
        <v>97</v>
      </c>
      <c r="D36" s="40"/>
      <c r="E36" s="40"/>
      <c r="F36" s="40"/>
    </row>
    <row r="37" spans="1:8">
      <c r="A37" s="6" t="s">
        <v>98</v>
      </c>
      <c r="B37" s="18">
        <f>'1 - Il tuo profilo'!$B$36/12</f>
        <v>288.56341666666668</v>
      </c>
    </row>
    <row r="38" spans="1:8">
      <c r="A38" s="6" t="s">
        <v>99</v>
      </c>
      <c r="B38" s="18">
        <f>'1 - Il tuo profilo'!$B$19+'1 - Il tuo profilo'!$B$20+'1 - Il tuo profilo'!$B$21+'1 - Il tuo profilo'!$B$36</f>
        <v>23211.631000000001</v>
      </c>
    </row>
    <row r="39" spans="1:8">
      <c r="A39" s="6" t="s">
        <v>100</v>
      </c>
      <c r="B39" s="18">
        <f>'1 - Il tuo profilo'!$B$18-'1 - Il tuo profilo'!$B$38</f>
        <v>4114.9689999999973</v>
      </c>
    </row>
    <row r="40" spans="1:8">
      <c r="A40" s="6" t="s">
        <v>101</v>
      </c>
      <c r="B40" s="19">
        <f>'1 - Il tuo profilo'!$B$39/'1 - Il tuo profilo'!$B$18</f>
        <v>0.15058474160707871</v>
      </c>
    </row>
    <row r="41" spans="1:8" ht="45" customHeight="1">
      <c r="A41" s="6" t="s">
        <v>102</v>
      </c>
      <c r="B41" s="20">
        <f>IF('1 - Il tuo profilo'!$B$39&lt;=0,"risparmio nullo",NPER('1 - Il tuo profilo'!$B$13,-'1 - Il tuo profilo'!$B$39,0,'1 - Il tuo profilo'!$B$22))</f>
        <v>12.275698888345941</v>
      </c>
      <c r="C41" s="42" t="s">
        <v>103</v>
      </c>
      <c r="D41" s="40"/>
      <c r="E41" s="40"/>
      <c r="F41" s="40"/>
    </row>
    <row r="42" spans="1:8" ht="30" customHeight="1">
      <c r="A42" s="6" t="s">
        <v>104</v>
      </c>
      <c r="B42" s="21">
        <f>(((('1 - Il tuo profilo'!$B$22)*INDEX('3 - Il costo opportunità'!$B$74:$B$134,('1 - Il tuo profilo'!$B$8)+1)+('1 - Il tuo profilo'!$B$39)*INDEX('3 - Il costo opportunità'!$C$74:$C$134,('1 - Il tuo profilo'!$B$8)+1))-'3 - Il costo opportunità'!$B$8*MAX(0,(('1 - Il tuo profilo'!$B$22)*INDEX('3 - Il costo opportunità'!$B$74:$B$134,('1 - Il tuo profilo'!$B$8)+1)+('1 - Il tuo profilo'!$B$39)*INDEX('3 - Il costo opportunità'!$C$74:$C$134,('1 - Il tuo profilo'!$B$8)+1))-(('1 - Il tuo profilo'!$B$22)+('1 - Il tuo profilo'!$B$39)*INDEX('3 - Il costo opportunità'!$D$74:$D$134,('1 - Il tuo profilo'!$B$8)+1))))/(1+'1 - Il tuo profilo'!$B$14)^('1 - Il tuo profilo'!$B$8))</f>
        <v>287016.88655868237</v>
      </c>
      <c r="C42" s="42" t="s">
        <v>105</v>
      </c>
      <c r="D42" s="40"/>
      <c r="E42" s="40"/>
      <c r="F42" s="40"/>
      <c r="H42" s="21">
        <f>FV('1 - Il tuo profilo'!$B$13,'1 - Il tuo profilo'!$B$8,-('1 - Il tuo profilo'!$B$39),-('1 - Il tuo profilo'!$B$22))</f>
        <v>341407.10906500742</v>
      </c>
    </row>
    <row r="43" spans="1:8">
      <c r="A43" s="6" t="s">
        <v>106</v>
      </c>
      <c r="B43" s="21">
        <f>'1 - Il tuo profilo'!$B$42*'1 - Il tuo profilo'!$B$15/12</f>
        <v>717.54221639670595</v>
      </c>
    </row>
    <row r="48" spans="1:8">
      <c r="A48" s="43" t="s">
        <v>107</v>
      </c>
      <c r="B48" s="40"/>
      <c r="C48" s="40"/>
      <c r="D48" s="40"/>
      <c r="E48" s="40"/>
      <c r="F48" s="40"/>
    </row>
    <row r="49" spans="1:6">
      <c r="A49" s="6" t="s">
        <v>108</v>
      </c>
      <c r="B49" s="13">
        <v>38000</v>
      </c>
    </row>
    <row r="50" spans="1:6">
      <c r="A50" s="6" t="s">
        <v>109</v>
      </c>
      <c r="B50" s="11">
        <v>9.1899999999999996E-2</v>
      </c>
    </row>
    <row r="51" spans="1:6" ht="15" customHeight="1">
      <c r="A51" s="6" t="s">
        <v>110</v>
      </c>
      <c r="B51" s="11">
        <v>0.02</v>
      </c>
      <c r="C51" s="42" t="s">
        <v>111</v>
      </c>
      <c r="D51" s="40"/>
      <c r="E51" s="40"/>
      <c r="F51" s="40"/>
    </row>
    <row r="52" spans="1:6">
      <c r="A52" s="6" t="s">
        <v>112</v>
      </c>
      <c r="B52" s="18">
        <f>'1 - Il tuo profilo'!$B$49*'1 - Il tuo profilo'!$B$50</f>
        <v>3492.2</v>
      </c>
    </row>
    <row r="53" spans="1:6">
      <c r="A53" s="6" t="s">
        <v>113</v>
      </c>
      <c r="B53" s="18">
        <f>'1 - Il tuo profilo'!$B$49-'1 - Il tuo profilo'!$B$52</f>
        <v>34507.800000000003</v>
      </c>
    </row>
    <row r="54" spans="1:6" ht="15" customHeight="1">
      <c r="A54" s="6" t="s">
        <v>114</v>
      </c>
      <c r="B54" s="18">
        <f>0.23*MIN('1 - Il tuo profilo'!$B$53,28000)+0.33*MAX(0,MIN('1 - Il tuo profilo'!$B$53,50000)-28000)+0.43*MAX(0,'1 - Il tuo profilo'!$B$53-50000)</f>
        <v>8587.5740000000005</v>
      </c>
      <c r="C54" s="42" t="s">
        <v>115</v>
      </c>
      <c r="D54" s="40"/>
      <c r="E54" s="40"/>
      <c r="F54" s="40"/>
    </row>
    <row r="55" spans="1:6" ht="30" customHeight="1">
      <c r="A55" s="6" t="s">
        <v>116</v>
      </c>
      <c r="B55" s="18">
        <f>IF('1 - Il tuo profilo'!$B$53&lt;=15000,1955,IF('1 - Il tuo profilo'!$B$53&lt;=28000,1910+1190*(28000-'1 - Il tuo profilo'!$B$53)/13000,IF('1 - Il tuo profilo'!$B$53&lt;=50000,1910*(50000-'1 - Il tuo profilo'!$B$53)/22000,0)))+IF(AND('1 - Il tuo profilo'!$B$53&gt;25000,'1 - Il tuo profilo'!$B$53&lt;=35000),65,0)</f>
        <v>1410.0046363636361</v>
      </c>
      <c r="C55" s="42" t="s">
        <v>117</v>
      </c>
      <c r="D55" s="40"/>
      <c r="E55" s="40"/>
      <c r="F55" s="40"/>
    </row>
    <row r="56" spans="1:6">
      <c r="A56" s="6" t="s">
        <v>118</v>
      </c>
      <c r="B56" s="18">
        <f>IF('1 - Il tuo profilo'!$B$53&lt;=20000,0,IF('1 - Il tuo profilo'!$B$53&lt;=32000,1000,IF('1 - Il tuo profilo'!$B$53&lt;=40000,1000*(40000-'1 - Il tuo profilo'!$B$53)/8000,0)))</f>
        <v>686.52499999999964</v>
      </c>
    </row>
    <row r="57" spans="1:6">
      <c r="A57" s="6" t="s">
        <v>119</v>
      </c>
      <c r="B57" s="18">
        <f>MAX(0,'1 - Il tuo profilo'!$B$54-'1 - Il tuo profilo'!$B$55-'1 - Il tuo profilo'!$B$56)</f>
        <v>6491.0443636363652</v>
      </c>
    </row>
    <row r="58" spans="1:6">
      <c r="A58" s="6" t="s">
        <v>120</v>
      </c>
      <c r="B58" s="18">
        <f>'1 - Il tuo profilo'!$B$51*'1 - Il tuo profilo'!$B$53</f>
        <v>690.15600000000006</v>
      </c>
    </row>
    <row r="59" spans="1:6" ht="45" customHeight="1">
      <c r="A59" s="6" t="s">
        <v>121</v>
      </c>
      <c r="B59" s="18">
        <f>'1 - Il tuo profilo'!$B$49-'1 - Il tuo profilo'!$B$52-'1 - Il tuo profilo'!$B$57-'1 - Il tuo profilo'!$B$58</f>
        <v>27326.59963636364</v>
      </c>
      <c r="C59" s="42" t="s">
        <v>122</v>
      </c>
      <c r="D59" s="40"/>
      <c r="E59" s="40"/>
      <c r="F59" s="40"/>
    </row>
    <row r="61" spans="1:6">
      <c r="A61" s="43" t="s">
        <v>123</v>
      </c>
      <c r="B61" s="40"/>
      <c r="C61" s="40"/>
      <c r="D61" s="40"/>
      <c r="E61" s="40"/>
      <c r="F61" s="40"/>
    </row>
    <row r="62" spans="1:6">
      <c r="A62" s="6" t="s">
        <v>124</v>
      </c>
      <c r="B62" s="12">
        <v>2223.39</v>
      </c>
    </row>
    <row r="63" spans="1:6">
      <c r="A63" s="6" t="s">
        <v>125</v>
      </c>
      <c r="B63" s="12">
        <v>1996.39</v>
      </c>
    </row>
    <row r="64" spans="1:6">
      <c r="A64" s="6" t="s">
        <v>126</v>
      </c>
      <c r="B64" s="12">
        <v>864.56</v>
      </c>
    </row>
    <row r="65" spans="1:6">
      <c r="A65" s="6" t="s">
        <v>127</v>
      </c>
      <c r="B65" s="12">
        <v>507.44</v>
      </c>
    </row>
    <row r="66" spans="1:6">
      <c r="A66" s="6" t="s">
        <v>128</v>
      </c>
      <c r="B66" s="12">
        <v>17.95</v>
      </c>
    </row>
    <row r="67" spans="1:6">
      <c r="A67" s="6" t="s">
        <v>129</v>
      </c>
      <c r="B67" s="12">
        <v>249.87</v>
      </c>
    </row>
    <row r="68" spans="1:6">
      <c r="A68" s="6" t="s">
        <v>130</v>
      </c>
      <c r="B68" s="18">
        <f>'1 - Il tuo profilo'!$B$62-'1 - Il tuo profilo'!$B$64-'1 - Il tuo profilo'!$B$67</f>
        <v>1108.96</v>
      </c>
    </row>
    <row r="69" spans="1:6" ht="30" customHeight="1">
      <c r="A69" s="6" t="s">
        <v>131</v>
      </c>
      <c r="B69" s="18">
        <f>'1 - Il tuo profilo'!$B$68*'1 - Il tuo profilo'!$B$63/'1 - Il tuo profilo'!$B$62*12</f>
        <v>11948.870802153471</v>
      </c>
      <c r="C69" s="42" t="s">
        <v>132</v>
      </c>
      <c r="D69" s="40"/>
      <c r="E69" s="40"/>
      <c r="F69" s="40"/>
    </row>
    <row r="70" spans="1:6" ht="60" customHeight="1">
      <c r="A70" s="6" t="s">
        <v>133</v>
      </c>
      <c r="B70" s="18">
        <f>'1 - Il tuo profilo'!$B$64-'1 - Il tuo profilo'!$B$65-'1 - Il tuo profilo'!$B$66</f>
        <v>339.16999999999996</v>
      </c>
      <c r="C70" s="42" t="s">
        <v>134</v>
      </c>
      <c r="D70" s="40"/>
      <c r="E70" s="40"/>
      <c r="F70" s="40"/>
    </row>
    <row r="71" spans="1:6">
      <c r="A71" s="6" t="s">
        <v>135</v>
      </c>
      <c r="B71" s="22" t="str">
        <f>IF('1 - Il tuo profilo'!$B$20&lt;='1 - Il tuo profilo'!$B$70*12,"sotto il tetto ISTAT","sopra il tetto ISTAT: controlla")</f>
        <v>sotto il tetto ISTAT</v>
      </c>
    </row>
    <row r="72" spans="1:6" ht="45" customHeight="1">
      <c r="A72" s="42" t="s">
        <v>136</v>
      </c>
      <c r="B72" s="40"/>
      <c r="C72" s="40"/>
      <c r="D72" s="40"/>
      <c r="E72" s="40"/>
      <c r="F72" s="40"/>
    </row>
  </sheetData>
  <mergeCells count="39">
    <mergeCell ref="A1:F1"/>
    <mergeCell ref="C21:F21"/>
    <mergeCell ref="C59:F59"/>
    <mergeCell ref="A61:F61"/>
    <mergeCell ref="C51:F51"/>
    <mergeCell ref="C27:F27"/>
    <mergeCell ref="C36:F36"/>
    <mergeCell ref="A72:F72"/>
    <mergeCell ref="C14:F14"/>
    <mergeCell ref="C20:F20"/>
    <mergeCell ref="C26:F26"/>
    <mergeCell ref="C29:F29"/>
    <mergeCell ref="C54:F54"/>
    <mergeCell ref="C25:F25"/>
    <mergeCell ref="A48:F48"/>
    <mergeCell ref="C41:F41"/>
    <mergeCell ref="C55:F55"/>
    <mergeCell ref="A24:F24"/>
    <mergeCell ref="C31:F31"/>
    <mergeCell ref="A2:F2"/>
    <mergeCell ref="C18:F18"/>
    <mergeCell ref="C69:F69"/>
    <mergeCell ref="A5:F5"/>
    <mergeCell ref="C30:F30"/>
    <mergeCell ref="C15:F15"/>
    <mergeCell ref="A17:F17"/>
    <mergeCell ref="C33:F33"/>
    <mergeCell ref="A35:F35"/>
    <mergeCell ref="C42:F42"/>
    <mergeCell ref="C10:F10"/>
    <mergeCell ref="C9:F9"/>
    <mergeCell ref="C70:F70"/>
    <mergeCell ref="C7:F7"/>
    <mergeCell ref="A12:F12"/>
    <mergeCell ref="C32:F32"/>
    <mergeCell ref="A3:F3"/>
    <mergeCell ref="C19:F19"/>
    <mergeCell ref="C28:F28"/>
    <mergeCell ref="C13:F13"/>
  </mergeCells>
  <dataValidations count="5">
    <dataValidation type="whole" errorTitle="Valore non valido" error="Valore fuori dal campo del simulatore (18 - 100)" sqref="B7">
      <formula1>18</formula1>
      <formula2>100</formula2>
    </dataValidation>
    <dataValidation type="decimal" errorTitle="Valore non valido" error="Valore fuori dal campo del simulatore (1000 - 60000)" sqref="B9">
      <formula1>1000</formula1>
      <formula2>60000</formula2>
    </dataValidation>
    <dataValidation type="decimal" errorTitle="Valore non valido" error="Valore fuori dal campo del simulatore (0.001 - 0.08)" sqref="B13">
      <formula1>0.001</formula1>
      <formula2>0.08</formula2>
    </dataValidation>
    <dataValidation type="decimal" errorTitle="Valore non valido" error="Valore fuori dal campo del simulatore (0 - 0.08)" sqref="B14">
      <formula1>0</formula1>
      <formula2>0.08</formula2>
    </dataValidation>
    <dataValidation type="decimal" errorTitle="Valore non valido" error="Valore fuori dal campo del simulatore (0.01 - 0.06)" sqref="B15">
      <formula1>0.01</formula1>
      <formula2>0.06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49"/>
  <sheetViews>
    <sheetView zoomScale="90" workbookViewId="0"/>
  </sheetViews>
  <sheetFormatPr defaultRowHeight="15"/>
  <cols>
    <col min="1" max="2" width="70" customWidth="1"/>
    <col min="3" max="3" width="16" customWidth="1"/>
    <col min="4" max="4" width="28.85546875" customWidth="1"/>
    <col min="5" max="5" width="16.5703125" customWidth="1"/>
    <col min="6" max="6" width="16" customWidth="1"/>
    <col min="7" max="7" width="17.7109375" customWidth="1"/>
    <col min="8" max="8" width="16" customWidth="1"/>
    <col min="9" max="10" width="16.5703125" customWidth="1"/>
    <col min="11" max="11" width="17.7109375" customWidth="1"/>
    <col min="12" max="18" width="16" customWidth="1"/>
  </cols>
  <sheetData>
    <row r="1" spans="1:8" ht="24.95" customHeight="1">
      <c r="A1" s="41" t="s">
        <v>137</v>
      </c>
      <c r="B1" s="40"/>
      <c r="C1" s="40"/>
      <c r="D1" s="40"/>
      <c r="E1" s="40"/>
      <c r="F1" s="40"/>
      <c r="G1" s="40"/>
      <c r="H1" s="40"/>
    </row>
    <row r="2" spans="1:8" ht="32.1" customHeight="1">
      <c r="A2" s="39" t="s">
        <v>1</v>
      </c>
      <c r="B2" s="40"/>
      <c r="C2" s="40"/>
      <c r="D2" s="40"/>
      <c r="E2" s="40"/>
      <c r="F2" s="40"/>
      <c r="G2" s="40"/>
      <c r="H2" s="40"/>
    </row>
    <row r="3" spans="1:8" ht="45" customHeight="1">
      <c r="A3" s="42" t="s">
        <v>138</v>
      </c>
      <c r="B3" s="40"/>
      <c r="C3" s="40"/>
      <c r="D3" s="40"/>
      <c r="E3" s="40"/>
      <c r="F3" s="40"/>
      <c r="G3" s="40"/>
      <c r="H3" s="40"/>
    </row>
    <row r="5" spans="1:8">
      <c r="A5" s="43" t="s">
        <v>139</v>
      </c>
      <c r="B5" s="40"/>
      <c r="C5" s="40"/>
      <c r="D5" s="40"/>
      <c r="E5" s="40"/>
      <c r="F5" s="40"/>
      <c r="G5" s="40"/>
      <c r="H5" s="40"/>
    </row>
    <row r="6" spans="1:8" ht="45" customHeight="1">
      <c r="A6" s="6" t="s">
        <v>140</v>
      </c>
      <c r="B6" s="13">
        <v>19000</v>
      </c>
      <c r="C6" s="42" t="s">
        <v>141</v>
      </c>
      <c r="D6" s="40"/>
      <c r="E6" s="40"/>
      <c r="F6" s="40"/>
    </row>
    <row r="7" spans="1:8">
      <c r="A7" s="6" t="s">
        <v>142</v>
      </c>
      <c r="B7" s="23">
        <v>70</v>
      </c>
    </row>
    <row r="8" spans="1:8">
      <c r="A8" s="6" t="s">
        <v>143</v>
      </c>
      <c r="B8" s="24">
        <v>5.6</v>
      </c>
    </row>
    <row r="10" spans="1:8">
      <c r="A10" s="43" t="s">
        <v>144</v>
      </c>
      <c r="B10" s="40"/>
      <c r="C10" s="40"/>
      <c r="D10" s="40"/>
      <c r="E10" s="40"/>
      <c r="F10" s="40"/>
      <c r="G10" s="40"/>
      <c r="H10" s="40"/>
    </row>
    <row r="11" spans="1:8">
      <c r="A11" s="6" t="s">
        <v>145</v>
      </c>
      <c r="B11" s="7">
        <v>4</v>
      </c>
    </row>
    <row r="12" spans="1:8" ht="15" customHeight="1">
      <c r="A12" s="6" t="s">
        <v>146</v>
      </c>
      <c r="B12" s="17">
        <v>0.2</v>
      </c>
      <c r="C12" s="42" t="s">
        <v>147</v>
      </c>
      <c r="D12" s="40"/>
      <c r="E12" s="40"/>
      <c r="F12" s="40"/>
    </row>
    <row r="13" spans="1:8">
      <c r="A13" s="6" t="s">
        <v>148</v>
      </c>
      <c r="B13" s="21">
        <f>'2 - Le opzioni'!$B$6*IF('2 - Le opzioni'!$B$11&gt;=MAX('2 - Le opzioni'!$B$67:$K$67),0,INDEX('2 - Le opzioni'!$B$68:$K$68,MATCH('2 - Le opzioni'!$B$11,'2 - Le opzioni'!$B$67:$K$67,1))+(INDEX('2 - Le opzioni'!$B$68:$K$68,MATCH('2 - Le opzioni'!$B$11,'2 - Le opzioni'!$B$67:$K$67,1)+1)-INDEX('2 - Le opzioni'!$B$68:$K$68,MATCH('2 - Le opzioni'!$B$11,'2 - Le opzioni'!$B$67:$K$67,1)))*('2 - Le opzioni'!$B$11-INDEX('2 - Le opzioni'!$B$67:$K$67,MATCH('2 - Le opzioni'!$B$11,'2 - Le opzioni'!$B$67:$K$67,1)))/(INDEX('2 - Le opzioni'!$B$67:$K$67,MATCH('2 - Le opzioni'!$B$11,'2 - Le opzioni'!$B$67:$K$67,1)+1)-INDEX('2 - Le opzioni'!$B$67:$K$67,MATCH('2 - Le opzioni'!$B$11,'2 - Le opzioni'!$B$67:$K$67,1))))*(1+'2 - Le opzioni'!$B$12)</f>
        <v>12540</v>
      </c>
    </row>
    <row r="14" spans="1:8" ht="30" customHeight="1">
      <c r="A14" s="42" t="s">
        <v>149</v>
      </c>
      <c r="B14" s="40"/>
      <c r="C14" s="40"/>
      <c r="D14" s="40"/>
      <c r="E14" s="40"/>
      <c r="F14" s="40"/>
      <c r="G14" s="40"/>
      <c r="H14" s="40"/>
    </row>
    <row r="16" spans="1:8">
      <c r="A16" s="43" t="s">
        <v>150</v>
      </c>
      <c r="B16" s="40"/>
      <c r="C16" s="40"/>
      <c r="D16" s="40"/>
      <c r="E16" s="40"/>
      <c r="F16" s="40"/>
      <c r="G16" s="40"/>
      <c r="H16" s="40"/>
    </row>
    <row r="17" spans="1:8">
      <c r="A17" s="6" t="s">
        <v>151</v>
      </c>
      <c r="B17" s="7">
        <v>13</v>
      </c>
    </row>
    <row r="18" spans="1:8">
      <c r="A18" s="6" t="s">
        <v>142</v>
      </c>
      <c r="B18" s="23">
        <v>51</v>
      </c>
    </row>
    <row r="19" spans="1:8">
      <c r="A19" s="6" t="s">
        <v>143</v>
      </c>
      <c r="B19" s="24">
        <v>6.5</v>
      </c>
    </row>
    <row r="20" spans="1:8" ht="30" customHeight="1">
      <c r="A20" s="42" t="s">
        <v>152</v>
      </c>
      <c r="B20" s="40"/>
      <c r="C20" s="40"/>
      <c r="D20" s="40"/>
      <c r="E20" s="40"/>
      <c r="F20" s="40"/>
      <c r="G20" s="40"/>
      <c r="H20" s="40"/>
    </row>
    <row r="22" spans="1:8">
      <c r="A22" s="43" t="s">
        <v>153</v>
      </c>
      <c r="B22" s="40"/>
      <c r="C22" s="40"/>
      <c r="D22" s="40"/>
      <c r="E22" s="40"/>
      <c r="F22" s="40"/>
      <c r="G22" s="40"/>
      <c r="H22" s="40"/>
    </row>
    <row r="23" spans="1:8">
      <c r="A23" s="6" t="s">
        <v>154</v>
      </c>
      <c r="B23" s="13">
        <v>23000</v>
      </c>
    </row>
    <row r="24" spans="1:8">
      <c r="A24" s="6" t="s">
        <v>155</v>
      </c>
      <c r="B24" s="23">
        <v>70</v>
      </c>
    </row>
    <row r="25" spans="1:8">
      <c r="A25" s="6" t="s">
        <v>156</v>
      </c>
      <c r="B25" s="24">
        <v>4.5999999999999996</v>
      </c>
    </row>
    <row r="26" spans="1:8" ht="45" customHeight="1">
      <c r="A26" s="6" t="s">
        <v>157</v>
      </c>
      <c r="B26" s="17">
        <v>0.5</v>
      </c>
      <c r="C26" s="42" t="s">
        <v>158</v>
      </c>
      <c r="D26" s="40"/>
      <c r="E26" s="40"/>
      <c r="F26" s="40"/>
    </row>
    <row r="27" spans="1:8">
      <c r="A27" s="6" t="s">
        <v>159</v>
      </c>
      <c r="B27" s="7">
        <v>5</v>
      </c>
    </row>
    <row r="28" spans="1:8">
      <c r="A28" s="6" t="s">
        <v>160</v>
      </c>
      <c r="B28" s="13">
        <v>26000</v>
      </c>
    </row>
    <row r="29" spans="1:8">
      <c r="A29" s="6" t="s">
        <v>161</v>
      </c>
      <c r="B29" s="23">
        <v>85</v>
      </c>
    </row>
    <row r="30" spans="1:8">
      <c r="A30" s="6" t="s">
        <v>162</v>
      </c>
      <c r="B30" s="24">
        <v>17</v>
      </c>
    </row>
    <row r="31" spans="1:8" ht="30" customHeight="1">
      <c r="A31" s="6" t="s">
        <v>163</v>
      </c>
      <c r="B31" s="7">
        <v>5</v>
      </c>
      <c r="C31" s="42" t="s">
        <v>164</v>
      </c>
      <c r="D31" s="40"/>
      <c r="E31" s="40"/>
      <c r="F31" s="40"/>
    </row>
    <row r="32" spans="1:8">
      <c r="A32" s="6" t="s">
        <v>165</v>
      </c>
      <c r="B32" s="17">
        <v>0.25</v>
      </c>
    </row>
    <row r="33" spans="1:8" ht="30" customHeight="1">
      <c r="A33" s="6" t="s">
        <v>166</v>
      </c>
      <c r="B33" s="17">
        <v>0.8</v>
      </c>
      <c r="C33" s="42" t="s">
        <v>167</v>
      </c>
      <c r="D33" s="40"/>
      <c r="E33" s="40"/>
      <c r="F33" s="40"/>
    </row>
    <row r="35" spans="1:8">
      <c r="A35" s="43" t="s">
        <v>168</v>
      </c>
      <c r="B35" s="40"/>
      <c r="C35" s="40"/>
      <c r="D35" s="40"/>
      <c r="E35" s="40"/>
      <c r="F35" s="40"/>
      <c r="G35" s="40"/>
      <c r="H35" s="40"/>
    </row>
    <row r="36" spans="1:8" ht="30" customHeight="1">
      <c r="A36" s="6" t="s">
        <v>169</v>
      </c>
      <c r="B36" s="11">
        <v>9.1200000000000003E-2</v>
      </c>
      <c r="C36" s="42" t="s">
        <v>170</v>
      </c>
      <c r="D36" s="40"/>
      <c r="E36" s="40"/>
      <c r="F36" s="40"/>
    </row>
    <row r="37" spans="1:8" ht="15" customHeight="1">
      <c r="A37" s="6" t="s">
        <v>171</v>
      </c>
      <c r="B37" s="13">
        <v>300</v>
      </c>
      <c r="C37" s="42" t="s">
        <v>172</v>
      </c>
      <c r="D37" s="40"/>
      <c r="E37" s="40"/>
      <c r="F37" s="40"/>
    </row>
    <row r="38" spans="1:8">
      <c r="A38" s="6" t="s">
        <v>173</v>
      </c>
      <c r="B38" s="25">
        <v>60</v>
      </c>
    </row>
    <row r="39" spans="1:8" ht="30" customHeight="1">
      <c r="A39" s="6" t="s">
        <v>174</v>
      </c>
      <c r="B39" s="25">
        <v>36</v>
      </c>
      <c r="C39" s="42" t="s">
        <v>175</v>
      </c>
      <c r="D39" s="40"/>
      <c r="E39" s="40"/>
      <c r="F39" s="40"/>
    </row>
    <row r="40" spans="1:8" ht="30" customHeight="1">
      <c r="A40" s="6" t="s">
        <v>176</v>
      </c>
      <c r="B40" s="17">
        <v>0.55000000000000004</v>
      </c>
      <c r="C40" s="42" t="s">
        <v>177</v>
      </c>
      <c r="D40" s="40"/>
      <c r="E40" s="40"/>
      <c r="F40" s="40"/>
    </row>
    <row r="41" spans="1:8">
      <c r="A41" s="6" t="s">
        <v>178</v>
      </c>
      <c r="B41" s="21">
        <f>'2 - Le opzioni'!$B$40*'2 - Le opzioni'!$B$6</f>
        <v>10450</v>
      </c>
    </row>
    <row r="42" spans="1:8">
      <c r="A42" s="6" t="s">
        <v>179</v>
      </c>
      <c r="B42" s="26">
        <f>'2 - Le opzioni'!$B$39/12</f>
        <v>3</v>
      </c>
    </row>
    <row r="43" spans="1:8" ht="15" customHeight="1">
      <c r="A43" s="6" t="s">
        <v>180</v>
      </c>
      <c r="B43" s="25">
        <v>48</v>
      </c>
      <c r="C43" s="42" t="s">
        <v>181</v>
      </c>
      <c r="D43" s="40"/>
      <c r="E43" s="40"/>
      <c r="F43" s="40"/>
    </row>
    <row r="44" spans="1:8" ht="30" customHeight="1">
      <c r="A44" s="6" t="s">
        <v>182</v>
      </c>
      <c r="B44" s="13">
        <v>400</v>
      </c>
      <c r="C44" s="42" t="s">
        <v>183</v>
      </c>
      <c r="D44" s="40"/>
      <c r="E44" s="40"/>
      <c r="F44" s="40"/>
    </row>
    <row r="46" spans="1:8">
      <c r="A46" s="43" t="s">
        <v>184</v>
      </c>
      <c r="B46" s="40"/>
      <c r="C46" s="40"/>
      <c r="D46" s="40"/>
      <c r="E46" s="40"/>
      <c r="F46" s="40"/>
      <c r="G46" s="40"/>
      <c r="H46" s="40"/>
    </row>
    <row r="47" spans="1:8" ht="45" customHeight="1">
      <c r="A47" s="6" t="s">
        <v>185</v>
      </c>
      <c r="B47" s="13">
        <v>300</v>
      </c>
      <c r="C47" s="42" t="s">
        <v>186</v>
      </c>
      <c r="D47" s="40"/>
      <c r="E47" s="40"/>
      <c r="F47" s="40"/>
    </row>
    <row r="48" spans="1:8">
      <c r="A48" s="6" t="s">
        <v>187</v>
      </c>
      <c r="B48" s="13">
        <v>340</v>
      </c>
    </row>
    <row r="49" spans="1:8">
      <c r="A49" s="6" t="s">
        <v>188</v>
      </c>
      <c r="B49" s="25">
        <v>48</v>
      </c>
    </row>
    <row r="50" spans="1:8">
      <c r="A50" s="6" t="s">
        <v>189</v>
      </c>
      <c r="B50" s="26">
        <f>'2 - Le opzioni'!$B$49/12</f>
        <v>4</v>
      </c>
    </row>
    <row r="51" spans="1:8">
      <c r="A51" s="6" t="s">
        <v>190</v>
      </c>
      <c r="B51" s="9">
        <v>15000</v>
      </c>
    </row>
    <row r="52" spans="1:8">
      <c r="A52" s="6" t="s">
        <v>191</v>
      </c>
      <c r="B52" s="12">
        <v>0.1</v>
      </c>
    </row>
    <row r="53" spans="1:8" ht="30" customHeight="1">
      <c r="A53" s="42" t="s">
        <v>192</v>
      </c>
      <c r="B53" s="40"/>
      <c r="C53" s="40"/>
      <c r="D53" s="40"/>
      <c r="E53" s="40"/>
      <c r="F53" s="40"/>
      <c r="G53" s="40"/>
      <c r="H53" s="40"/>
    </row>
    <row r="55" spans="1:8">
      <c r="A55" s="43" t="s">
        <v>193</v>
      </c>
      <c r="B55" s="40"/>
      <c r="C55" s="40"/>
      <c r="D55" s="40"/>
      <c r="E55" s="40"/>
      <c r="F55" s="40"/>
      <c r="G55" s="40"/>
      <c r="H55" s="40"/>
    </row>
    <row r="56" spans="1:8">
      <c r="A56" s="6" t="s">
        <v>194</v>
      </c>
      <c r="B56" s="13">
        <v>350</v>
      </c>
    </row>
    <row r="57" spans="1:8">
      <c r="A57" s="6" t="s">
        <v>195</v>
      </c>
      <c r="B57" s="13">
        <v>600</v>
      </c>
    </row>
    <row r="58" spans="1:8">
      <c r="A58" s="6" t="s">
        <v>196</v>
      </c>
      <c r="B58" s="13">
        <v>900</v>
      </c>
    </row>
    <row r="59" spans="1:8">
      <c r="A59" s="6" t="s">
        <v>197</v>
      </c>
      <c r="B59" s="13">
        <v>1300</v>
      </c>
    </row>
    <row r="60" spans="1:8">
      <c r="A60" s="6" t="s">
        <v>198</v>
      </c>
      <c r="B60" s="13">
        <v>100</v>
      </c>
    </row>
    <row r="61" spans="1:8">
      <c r="A61" s="6" t="s">
        <v>199</v>
      </c>
      <c r="B61" s="27">
        <v>0.9</v>
      </c>
    </row>
    <row r="62" spans="1:8">
      <c r="A62" s="6" t="s">
        <v>200</v>
      </c>
      <c r="B62" s="27">
        <v>0.7</v>
      </c>
    </row>
    <row r="63" spans="1:8" ht="30" customHeight="1">
      <c r="A63" s="6" t="s">
        <v>201</v>
      </c>
      <c r="B63" s="9">
        <v>12000</v>
      </c>
      <c r="C63" s="42" t="s">
        <v>202</v>
      </c>
      <c r="D63" s="40"/>
      <c r="E63" s="40"/>
      <c r="F63" s="40"/>
    </row>
    <row r="64" spans="1:8">
      <c r="A64" s="6" t="s">
        <v>203</v>
      </c>
      <c r="B64" s="7">
        <v>5</v>
      </c>
    </row>
    <row r="66" spans="1:12">
      <c r="A66" s="43" t="s">
        <v>204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spans="1:12">
      <c r="A67" s="6" t="s">
        <v>205</v>
      </c>
      <c r="B67" s="23">
        <v>0</v>
      </c>
      <c r="C67" s="23">
        <v>1</v>
      </c>
      <c r="D67" s="23">
        <v>3</v>
      </c>
      <c r="E67" s="23">
        <v>4</v>
      </c>
      <c r="F67" s="23">
        <v>5</v>
      </c>
      <c r="G67" s="23">
        <v>8</v>
      </c>
      <c r="H67" s="23">
        <v>10</v>
      </c>
      <c r="I67" s="23">
        <v>14</v>
      </c>
      <c r="J67" s="23">
        <v>18</v>
      </c>
      <c r="K67" s="23">
        <v>23</v>
      </c>
    </row>
    <row r="68" spans="1:12">
      <c r="A68" s="6" t="s">
        <v>206</v>
      </c>
      <c r="B68" s="28">
        <v>1</v>
      </c>
      <c r="C68" s="28">
        <v>0.8</v>
      </c>
      <c r="D68" s="28">
        <v>0.62</v>
      </c>
      <c r="E68" s="28">
        <v>0.55000000000000004</v>
      </c>
      <c r="F68" s="28">
        <v>0.49</v>
      </c>
      <c r="G68" s="28">
        <v>0.33</v>
      </c>
      <c r="H68" s="28">
        <v>0.24</v>
      </c>
      <c r="I68" s="28">
        <v>0.12</v>
      </c>
      <c r="J68" s="28">
        <v>0.05</v>
      </c>
      <c r="K68" s="28">
        <v>0</v>
      </c>
    </row>
    <row r="69" spans="1:12">
      <c r="A69" s="6" t="s">
        <v>207</v>
      </c>
      <c r="B69" s="28">
        <v>1</v>
      </c>
      <c r="C69" s="28">
        <v>0.72</v>
      </c>
      <c r="D69" s="28">
        <v>0.52</v>
      </c>
      <c r="E69" s="28">
        <v>0.45</v>
      </c>
      <c r="F69" s="28">
        <v>0.39</v>
      </c>
      <c r="G69" s="28">
        <v>0.25</v>
      </c>
      <c r="H69" s="28">
        <v>0.17</v>
      </c>
      <c r="I69" s="28">
        <v>0.08</v>
      </c>
      <c r="J69" s="28">
        <v>0.03</v>
      </c>
      <c r="K69" s="28">
        <v>0</v>
      </c>
    </row>
    <row r="70" spans="1:12" ht="30" customHeight="1">
      <c r="A70" s="42" t="s">
        <v>208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2" spans="1:12">
      <c r="A72" s="43" t="s">
        <v>209</v>
      </c>
      <c r="B72" s="40"/>
      <c r="C72" s="40"/>
      <c r="D72" s="40"/>
      <c r="E72" s="40"/>
      <c r="F72" s="40"/>
      <c r="G72" s="40"/>
      <c r="H72" s="40"/>
    </row>
    <row r="73" spans="1:12">
      <c r="A73" s="6" t="s">
        <v>210</v>
      </c>
      <c r="B73" s="21">
        <f>'1 - Il tuo profilo'!$B$19/12</f>
        <v>500</v>
      </c>
    </row>
    <row r="74" spans="1:12" ht="30" customHeight="1">
      <c r="A74" s="6" t="s">
        <v>211</v>
      </c>
      <c r="B74" s="13">
        <v>703.34536968126656</v>
      </c>
      <c r="C74" s="42" t="s">
        <v>212</v>
      </c>
      <c r="D74" s="40"/>
      <c r="E74" s="40"/>
      <c r="F74" s="40"/>
    </row>
    <row r="76" spans="1:12">
      <c r="A76" s="43" t="s">
        <v>213</v>
      </c>
      <c r="B76" s="40"/>
      <c r="C76" s="40"/>
      <c r="D76" s="40"/>
      <c r="E76" s="40"/>
      <c r="F76" s="40"/>
      <c r="G76" s="40"/>
      <c r="H76" s="40"/>
    </row>
    <row r="77" spans="1:12">
      <c r="A77" s="6" t="s">
        <v>214</v>
      </c>
      <c r="B77" s="18">
        <f>'2 - Le opzioni'!$B$222</f>
        <v>333.0662952236093</v>
      </c>
    </row>
    <row r="78" spans="1:12">
      <c r="A78" s="6" t="s">
        <v>215</v>
      </c>
      <c r="B78" s="19">
        <f>(1+RATE('2 - Le opzioni'!$B$38,-'2 - Le opzioni'!$B$77,'2 - Le opzioni'!$B$6-'1 - Il tuo profilo'!$B$33-'2 - Le opzioni'!$B$37,0))^12-1</f>
        <v>0.10398639339932636</v>
      </c>
    </row>
    <row r="79" spans="1:12">
      <c r="A79" s="6" t="s">
        <v>216</v>
      </c>
      <c r="B79" s="18">
        <f>'2 - Le opzioni'!$B$260</f>
        <v>256.21864450167612</v>
      </c>
    </row>
    <row r="80" spans="1:12">
      <c r="A80" s="6" t="s">
        <v>217</v>
      </c>
      <c r="B80" s="19">
        <f>(1+RATE('2 - Le opzioni'!$B$39,-'2 - Le opzioni'!$B$79,'2 - Le opzioni'!$B$6-'1 - Il tuo profilo'!$B$33-'2 - Le opzioni'!$B$37,-'2 - Le opzioni'!$B$41))^12-1</f>
        <v>0.10445087037687895</v>
      </c>
    </row>
    <row r="81" spans="1:8" ht="45" customHeight="1">
      <c r="A81" s="6" t="s">
        <v>218</v>
      </c>
      <c r="B81" s="29" t="s">
        <v>219</v>
      </c>
      <c r="C81" s="42" t="s">
        <v>220</v>
      </c>
      <c r="D81" s="40"/>
      <c r="E81" s="40"/>
      <c r="F81" s="40"/>
      <c r="G81" s="40"/>
      <c r="H81" s="40"/>
    </row>
    <row r="83" spans="1:8" ht="32.1" customHeight="1">
      <c r="A83" s="30" t="s">
        <v>221</v>
      </c>
      <c r="B83" s="30" t="s">
        <v>222</v>
      </c>
      <c r="C83" s="30" t="s">
        <v>223</v>
      </c>
      <c r="D83" s="30" t="s">
        <v>224</v>
      </c>
      <c r="E83" s="30" t="s">
        <v>225</v>
      </c>
      <c r="F83" s="30" t="s">
        <v>226</v>
      </c>
      <c r="G83" s="30" t="s">
        <v>227</v>
      </c>
      <c r="H83" s="30" t="s">
        <v>228</v>
      </c>
    </row>
    <row r="84" spans="1:8">
      <c r="A84" s="10" t="s">
        <v>229</v>
      </c>
      <c r="B84" s="10" t="s">
        <v>230</v>
      </c>
      <c r="C84" s="18">
        <f>'2 - Le opzioni'!$B$222</f>
        <v>333.0662952236093</v>
      </c>
      <c r="D84" s="21">
        <f>'2 - Le opzioni'!$J$224</f>
        <v>40796.548909922029</v>
      </c>
      <c r="E84" s="21">
        <f>'2 - Le opzioni'!$I$224</f>
        <v>36718.386747283788</v>
      </c>
      <c r="F84" s="18">
        <f>'2 - Le opzioni'!$L$224</f>
        <v>358.70959000902144</v>
      </c>
      <c r="G84" s="31">
        <f>'2 - Le opzioni'!$M$224</f>
        <v>0.35870959000902142</v>
      </c>
      <c r="H84" s="26">
        <f>'2 - Le opzioni'!$C$224</f>
        <v>10</v>
      </c>
    </row>
    <row r="85" spans="1:8">
      <c r="A85" s="10" t="s">
        <v>231</v>
      </c>
      <c r="B85" s="10" t="s">
        <v>232</v>
      </c>
      <c r="C85" s="18">
        <f>'2 - Le opzioni'!$B$260</f>
        <v>256.21864450167612</v>
      </c>
      <c r="D85" s="21">
        <f>'2 - Le opzioni'!$J$262</f>
        <v>40580.857254272065</v>
      </c>
      <c r="E85" s="21">
        <f>'2 - Le opzioni'!$I$262</f>
        <v>36613.382362050696</v>
      </c>
      <c r="F85" s="18">
        <f>'2 - Le opzioni'!$L$262</f>
        <v>357.68378023596824</v>
      </c>
      <c r="G85" s="31">
        <f>'2 - Le opzioni'!$M$262</f>
        <v>0.35768378023596825</v>
      </c>
      <c r="H85" s="26">
        <f>'2 - Le opzioni'!$C$262</f>
        <v>10</v>
      </c>
    </row>
    <row r="86" spans="1:8">
      <c r="A86" s="10" t="s">
        <v>233</v>
      </c>
      <c r="B86" s="10" t="s">
        <v>234</v>
      </c>
      <c r="C86" s="18">
        <f>'2 - Le opzioni'!$B$279</f>
        <v>256.21864450167612</v>
      </c>
      <c r="D86" s="21">
        <f>'2 - Le opzioni'!$J$281</f>
        <v>42358.743907421427</v>
      </c>
      <c r="E86" s="21">
        <f>'2 - Le opzioni'!$I$281</f>
        <v>37646.729733479311</v>
      </c>
      <c r="F86" s="18">
        <f>'2 - Le opzioni'!$L$281</f>
        <v>367.77876655694212</v>
      </c>
      <c r="G86" s="31">
        <f>'2 - Le opzioni'!$M$281</f>
        <v>0.36777876655694208</v>
      </c>
      <c r="H86" s="26">
        <f>'2 - Le opzioni'!$C$281</f>
        <v>10</v>
      </c>
    </row>
    <row r="87" spans="1:8">
      <c r="A87" s="10" t="s">
        <v>235</v>
      </c>
      <c r="B87" s="10" t="s">
        <v>236</v>
      </c>
      <c r="C87" s="18">
        <f>'2 - Le opzioni'!$B$298</f>
        <v>256.21864450167612</v>
      </c>
      <c r="D87" s="21">
        <f>IF('2 - Le opzioni'!$B$81="sì",'2 - Le opzioni'!$J$319,'2 - Le opzioni'!$J$300)</f>
        <v>63489.146860851455</v>
      </c>
      <c r="E87" s="21">
        <f>IF('2 - Le opzioni'!$B$81="sì",'2 - Le opzioni'!$I$319,'2 - Le opzioni'!$I$300)</f>
        <v>54610.959048792349</v>
      </c>
      <c r="F87" s="18">
        <f>IF('2 - Le opzioni'!$B$81="sì",'2 - Le opzioni'!$L$319,'2 - Le opzioni'!$L$300)</f>
        <v>533.50586629029601</v>
      </c>
      <c r="G87" s="31">
        <f>IF('2 - Le opzioni'!$B$81="sì",'2 - Le opzioni'!$M$319,'2 - Le opzioni'!$M$300)</f>
        <v>0.53350586629029606</v>
      </c>
      <c r="H87" s="26">
        <f>IF('2 - Le opzioni'!$B$81="sì",'2 - Le opzioni'!$C$319,'2 - Le opzioni'!$C$300)</f>
        <v>3</v>
      </c>
    </row>
    <row r="88" spans="1:8">
      <c r="A88" s="10" t="s">
        <v>237</v>
      </c>
      <c r="B88" s="10" t="s">
        <v>238</v>
      </c>
      <c r="C88" s="10" t="s">
        <v>239</v>
      </c>
      <c r="D88" s="21">
        <f>'2 - Le opzioni'!$J$129</f>
        <v>37485.744000000006</v>
      </c>
      <c r="E88" s="21">
        <f>'2 - Le opzioni'!$I$129</f>
        <v>34745.942229012529</v>
      </c>
      <c r="F88" s="18">
        <f>'2 - Le opzioni'!$L$129</f>
        <v>339.44036749839563</v>
      </c>
      <c r="G88" s="31">
        <f>'2 - Le opzioni'!$M$129</f>
        <v>0.33944036749839562</v>
      </c>
      <c r="H88" s="26">
        <f>'2 - Le opzioni'!$C$129</f>
        <v>10</v>
      </c>
    </row>
    <row r="89" spans="1:8">
      <c r="A89" s="10" t="s">
        <v>240</v>
      </c>
      <c r="B89" s="10" t="s">
        <v>241</v>
      </c>
      <c r="C89" s="10" t="s">
        <v>239</v>
      </c>
      <c r="D89" s="21">
        <f>'2 - Le opzioni'!$J$148</f>
        <v>34984.76400000001</v>
      </c>
      <c r="E89" s="21">
        <f>'2 - Le opzioni'!$I$148</f>
        <v>31318.301456125715</v>
      </c>
      <c r="F89" s="18">
        <f>'2 - Le opzioni'!$L$148</f>
        <v>305.95502880956047</v>
      </c>
      <c r="G89" s="31">
        <f>'2 - Le opzioni'!$M$148</f>
        <v>0.30595502880956044</v>
      </c>
      <c r="H89" s="26">
        <f>'2 - Le opzioni'!$C$148</f>
        <v>10</v>
      </c>
    </row>
    <row r="90" spans="1:8">
      <c r="A90" s="10" t="s">
        <v>242</v>
      </c>
      <c r="B90" s="10" t="s">
        <v>243</v>
      </c>
      <c r="C90" s="18">
        <f>'2 - Le opzioni'!$H$336</f>
        <v>300</v>
      </c>
      <c r="D90" s="21">
        <f>'2 - Le opzioni'!$J$338</f>
        <v>52571.352652579335</v>
      </c>
      <c r="E90" s="21">
        <f>'2 - Le opzioni'!$I$338</f>
        <v>45354.376330539002</v>
      </c>
      <c r="F90" s="18">
        <f>'2 - Le opzioni'!$L$338</f>
        <v>443.0763761658456</v>
      </c>
      <c r="G90" s="31">
        <f>'2 - Le opzioni'!$M$338</f>
        <v>0.44307637616584561</v>
      </c>
      <c r="H90" s="26">
        <f>'2 - Le opzioni'!$C$338</f>
        <v>4</v>
      </c>
    </row>
    <row r="91" spans="1:8">
      <c r="A91" s="10" t="s">
        <v>244</v>
      </c>
      <c r="B91" s="10" t="s">
        <v>245</v>
      </c>
      <c r="C91" s="10" t="s">
        <v>239</v>
      </c>
      <c r="D91" s="21">
        <f>'2 - Le opzioni'!$J$395</f>
        <v>37703.636999999995</v>
      </c>
      <c r="E91" s="21">
        <f>'2 - Le opzioni'!$I$395</f>
        <v>33148.547144068551</v>
      </c>
      <c r="F91" s="18">
        <f>'2 - Le opzioni'!$L$395</f>
        <v>323.83508124368109</v>
      </c>
      <c r="G91" s="31">
        <f>'2 - Le opzioni'!$M$395</f>
        <v>0.3238350812436811</v>
      </c>
      <c r="H91" s="26">
        <f>'2 - Le opzioni'!$C$395</f>
        <v>10</v>
      </c>
    </row>
    <row r="92" spans="1:8">
      <c r="A92" s="10" t="s">
        <v>246</v>
      </c>
      <c r="B92" s="10" t="s">
        <v>247</v>
      </c>
      <c r="C92" s="10" t="s">
        <v>239</v>
      </c>
      <c r="D92" s="21">
        <f>'2 - Le opzioni'!$J$376</f>
        <v>38732.51</v>
      </c>
      <c r="E92" s="21">
        <f>'2 - Le opzioni'!$I$376</f>
        <v>32836.885064558817</v>
      </c>
      <c r="F92" s="18">
        <f>'2 - Le opzioni'!$L$376</f>
        <v>320.79038928780244</v>
      </c>
      <c r="G92" s="31">
        <f>'2 - Le opzioni'!$M$376</f>
        <v>0.32079038928780246</v>
      </c>
      <c r="H92" s="26">
        <f>'2 - Le opzioni'!$C$376</f>
        <v>10</v>
      </c>
    </row>
    <row r="93" spans="1:8">
      <c r="A93" s="10" t="s">
        <v>248</v>
      </c>
      <c r="B93" s="10" t="s">
        <v>249</v>
      </c>
      <c r="C93" s="10" t="s">
        <v>239</v>
      </c>
      <c r="D93" s="21">
        <f>'2 - Le opzioni'!$J$414</f>
        <v>21060</v>
      </c>
      <c r="E93" s="21">
        <f>'2 - Le opzioni'!$I$414</f>
        <v>17523.668025282645</v>
      </c>
      <c r="F93" s="18">
        <f>'2 - Le opzioni'!$L$414</f>
        <v>171.19237334871011</v>
      </c>
      <c r="G93" s="31">
        <f>'2 - Le opzioni'!$M$414</f>
        <v>0.1711923733487101</v>
      </c>
      <c r="H93" s="26">
        <f>'2 - Le opzioni'!$C$414</f>
        <v>10</v>
      </c>
    </row>
    <row r="94" spans="1:8">
      <c r="A94" s="10" t="s">
        <v>250</v>
      </c>
      <c r="B94" s="10" t="s">
        <v>251</v>
      </c>
      <c r="C94" s="10" t="s">
        <v>239</v>
      </c>
      <c r="D94" s="21">
        <f>'2 - Le opzioni'!$J$167</f>
        <v>37239.304000000004</v>
      </c>
      <c r="E94" s="21">
        <f>'2 - Le opzioni'!$I$167</f>
        <v>35214.316180379974</v>
      </c>
      <c r="F94" s="18">
        <f>'2 - Le opzioni'!$L$167</f>
        <v>344.01601046501781</v>
      </c>
      <c r="G94" s="31">
        <f>'2 - Le opzioni'!$M$167</f>
        <v>0.34401601046501779</v>
      </c>
      <c r="H94" s="26">
        <f>'2 - Le opzioni'!$C$167</f>
        <v>10</v>
      </c>
    </row>
    <row r="95" spans="1:8">
      <c r="A95" s="10" t="s">
        <v>252</v>
      </c>
      <c r="B95" s="10" t="s">
        <v>253</v>
      </c>
      <c r="C95" s="10" t="s">
        <v>239</v>
      </c>
      <c r="D95" s="21">
        <f>'2 - Le opzioni'!$J$186</f>
        <v>35486.781000000003</v>
      </c>
      <c r="E95" s="21">
        <f>'2 - Le opzioni'!$I$186</f>
        <v>34080.685280087018</v>
      </c>
      <c r="F95" s="18">
        <f>'2 - Le opzioni'!$L$186</f>
        <v>332.94133340296725</v>
      </c>
      <c r="G95" s="31">
        <f>'2 - Le opzioni'!$M$186</f>
        <v>0.33294133340296728</v>
      </c>
      <c r="H95" s="26">
        <f>'2 - Le opzioni'!$C$186</f>
        <v>10</v>
      </c>
    </row>
    <row r="96" spans="1:8">
      <c r="A96" s="10" t="s">
        <v>254</v>
      </c>
      <c r="B96" s="10" t="s">
        <v>255</v>
      </c>
      <c r="C96" s="10" t="s">
        <v>239</v>
      </c>
      <c r="D96" s="21">
        <f>'2 - Le opzioni'!$J$205</f>
        <v>39819.332999999999</v>
      </c>
      <c r="E96" s="21">
        <f>'2 - Le opzioni'!$I$205</f>
        <v>37776.4400161749</v>
      </c>
      <c r="F96" s="18">
        <f>'2 - Le opzioni'!$L$205</f>
        <v>369.04593340296725</v>
      </c>
      <c r="G96" s="31">
        <f>'2 - Le opzioni'!$M$205</f>
        <v>0.36904593340296726</v>
      </c>
      <c r="H96" s="26">
        <f>'2 - Le opzioni'!$C$205</f>
        <v>10</v>
      </c>
    </row>
    <row r="97" spans="1:19">
      <c r="A97" s="10" t="s">
        <v>256</v>
      </c>
      <c r="B97" s="10" t="s">
        <v>257</v>
      </c>
      <c r="C97" s="18">
        <f>'2 - Le opzioni'!$B$241</f>
        <v>478.78279938393837</v>
      </c>
      <c r="D97" s="21">
        <f>'2 - Le opzioni'!$J$243</f>
        <v>40114.813058012915</v>
      </c>
      <c r="E97" s="21">
        <f>'2 - Le opzioni'!$I$243</f>
        <v>36784.824275101957</v>
      </c>
      <c r="F97" s="18">
        <f>'2 - Le opzioni'!$L$243</f>
        <v>359.35863209599796</v>
      </c>
      <c r="G97" s="31">
        <f>'2 - Le opzioni'!$M$243</f>
        <v>0.35935863209599794</v>
      </c>
      <c r="H97" s="26">
        <f>'2 - Le opzioni'!$C$243</f>
        <v>10</v>
      </c>
    </row>
    <row r="98" spans="1:19">
      <c r="A98" s="10" t="s">
        <v>258</v>
      </c>
      <c r="B98" s="10" t="s">
        <v>259</v>
      </c>
      <c r="C98" s="18">
        <f>'2 - Le opzioni'!$H$355</f>
        <v>340</v>
      </c>
      <c r="D98" s="21">
        <f>'2 - Le opzioni'!$J$357</f>
        <v>51427.889806256579</v>
      </c>
      <c r="E98" s="21">
        <f>'2 - Le opzioni'!$I$357</f>
        <v>44445.834298851732</v>
      </c>
      <c r="F98" s="18">
        <f>'2 - Le opzioni'!$L$357</f>
        <v>434.20063927861401</v>
      </c>
      <c r="G98" s="31">
        <f>'2 - Le opzioni'!$M$357</f>
        <v>0.43420063927861396</v>
      </c>
      <c r="H98" s="26">
        <f>'2 - Le opzioni'!$C$357</f>
        <v>4</v>
      </c>
    </row>
    <row r="99" spans="1:19">
      <c r="A99" s="10" t="s">
        <v>260</v>
      </c>
      <c r="B99" s="10" t="s">
        <v>261</v>
      </c>
      <c r="C99" s="10" t="s">
        <v>239</v>
      </c>
      <c r="D99" s="21">
        <f>'2 - Le opzioni'!$J$433</f>
        <v>14330</v>
      </c>
      <c r="E99" s="21">
        <f>'2 - Le opzioni'!$I$433</f>
        <v>11782.841516132508</v>
      </c>
      <c r="F99" s="18">
        <f>'2 - Le opzioni'!$L$433</f>
        <v>115.10904001537675</v>
      </c>
      <c r="G99" s="31">
        <f>'2 - Le opzioni'!$M$433</f>
        <v>0.11510904001537674</v>
      </c>
      <c r="H99" s="26">
        <f>'2 - Le opzioni'!$C$433</f>
        <v>10</v>
      </c>
    </row>
    <row r="100" spans="1:19">
      <c r="A100" s="10" t="s">
        <v>262</v>
      </c>
      <c r="B100" s="10" t="s">
        <v>263</v>
      </c>
      <c r="C100" s="10" t="s">
        <v>239</v>
      </c>
      <c r="D100" s="21">
        <f>'2 - Le opzioni'!$J$452</f>
        <v>39000</v>
      </c>
      <c r="E100" s="21">
        <f>'2 - Le opzioni'!$I$452</f>
        <v>32826.851914458486</v>
      </c>
      <c r="F100" s="18">
        <f>'2 - Le opzioni'!$L$452</f>
        <v>320.69237334871019</v>
      </c>
      <c r="G100" s="31">
        <f>'2 - Le opzioni'!$M$452</f>
        <v>0.32069237334871015</v>
      </c>
      <c r="H100" s="26">
        <f>'2 - Le opzioni'!$C$452</f>
        <v>10</v>
      </c>
    </row>
    <row r="101" spans="1:19" ht="45" customHeight="1">
      <c r="A101" s="42" t="s">
        <v>264</v>
      </c>
      <c r="B101" s="40"/>
      <c r="C101" s="40"/>
      <c r="D101" s="40"/>
      <c r="E101" s="40"/>
      <c r="F101" s="40"/>
      <c r="G101" s="40"/>
      <c r="H101" s="40"/>
    </row>
    <row r="102" spans="1:19" ht="30" customHeight="1">
      <c r="A102" s="42" t="s">
        <v>265</v>
      </c>
      <c r="B102" s="40"/>
      <c r="C102" s="40"/>
      <c r="D102" s="40"/>
      <c r="E102" s="40"/>
      <c r="F102" s="40"/>
      <c r="G102" s="40"/>
      <c r="H102" s="40"/>
    </row>
    <row r="108" spans="1:19">
      <c r="A108" s="43" t="s">
        <v>266</v>
      </c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</row>
    <row r="109" spans="1:19" ht="15" customHeight="1">
      <c r="A109" s="42" t="s">
        <v>267</v>
      </c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</row>
    <row r="110" spans="1:19">
      <c r="A110" s="6" t="s">
        <v>268</v>
      </c>
      <c r="B110" s="32">
        <f>((1+'1 - Il tuo profilo'!$B$14)*(1+'1 - Il tuo profilo'!$B$13))^(1/12)-1</f>
        <v>4.1219243192651689E-3</v>
      </c>
    </row>
    <row r="111" spans="1:19">
      <c r="A111" s="6" t="s">
        <v>269</v>
      </c>
      <c r="B111" s="32">
        <f>(1+'1 - Il tuo profilo'!$B$14)^(1/12)-1</f>
        <v>1.6515813019202241E-3</v>
      </c>
    </row>
    <row r="112" spans="1:19">
      <c r="A112" s="6" t="s">
        <v>270</v>
      </c>
      <c r="B112" s="33">
        <f>PV('1 - Il tuo profilo'!$B$13,10,-1)</f>
        <v>8.5302028367758282</v>
      </c>
    </row>
    <row r="114" spans="1:13">
      <c r="A114" s="2" t="s">
        <v>271</v>
      </c>
    </row>
    <row r="115" spans="1:13" ht="32.1" customHeight="1">
      <c r="A115" s="30" t="s">
        <v>272</v>
      </c>
      <c r="B115" s="30" t="s">
        <v>273</v>
      </c>
      <c r="C115" s="30" t="s">
        <v>274</v>
      </c>
      <c r="D115" s="30" t="s">
        <v>275</v>
      </c>
      <c r="E115" s="30" t="s">
        <v>276</v>
      </c>
      <c r="F115" s="30" t="s">
        <v>277</v>
      </c>
      <c r="G115" s="30" t="s">
        <v>278</v>
      </c>
      <c r="H115" s="30" t="s">
        <v>279</v>
      </c>
      <c r="I115" s="30" t="s">
        <v>280</v>
      </c>
      <c r="J115" s="30" t="s">
        <v>281</v>
      </c>
      <c r="K115" s="30" t="s">
        <v>282</v>
      </c>
      <c r="L115" s="30" t="s">
        <v>283</v>
      </c>
      <c r="M115" s="30" t="s">
        <v>284</v>
      </c>
    </row>
    <row r="116" spans="1:13">
      <c r="A116" s="26">
        <v>0</v>
      </c>
      <c r="G116" s="21">
        <f>-'1 - Il tuo profilo'!$B$33+'2 - Le opzioni'!$B$6</f>
        <v>16000</v>
      </c>
      <c r="L116" s="21">
        <f t="shared" ref="L116:L126" si="0">SUM(C116:K116)</f>
        <v>16000</v>
      </c>
      <c r="M116" s="33">
        <f>1/(1+'1 - Il tuo profilo'!$B$13)^A116</f>
        <v>1</v>
      </c>
    </row>
    <row r="117" spans="1:13">
      <c r="A117" s="26">
        <v>1</v>
      </c>
      <c r="B117" s="26">
        <f>1</f>
        <v>1</v>
      </c>
      <c r="C117" s="21">
        <f>'1 - Il tuo profilo'!$B$9/100*'2 - Le opzioni'!$B$8*'1 - Il tuo profilo'!$B$25</f>
        <v>1243.1664000000001</v>
      </c>
      <c r="D117" s="21">
        <f>'1 - Il tuo profilo'!$B$29+IF($B117&lt;='2 - Le opzioni'!$B$64,'1 - Il tuo profilo'!$B$32,0)</f>
        <v>659.2</v>
      </c>
      <c r="E117" s="21">
        <f>'2 - Le opzioni'!$B$7*'1 - Il tuo profilo'!$B$30+IF(AND($B117&gt;=4,MOD($B117,2)=0),'1 - Il tuo profilo'!$B$31,0)</f>
        <v>180.6</v>
      </c>
      <c r="F117" s="21">
        <f>IF($B117&lt;=3,'2 - Le opzioni'!$B$56,IF($B117&lt;=7,'2 - Le opzioni'!$B$57,IF($B117&lt;=12,'2 - Le opzioni'!$B$58,'2 - Le opzioni'!$B$59+'2 - Le opzioni'!$B$60*($B117-13))))*1*(0.5+0.5*'1 - Il tuo profilo'!$B$9/'2 - Le opzioni'!$B$63)</f>
        <v>350</v>
      </c>
      <c r="L117" s="21">
        <f t="shared" si="0"/>
        <v>2432.9664000000002</v>
      </c>
      <c r="M117" s="33">
        <f>1/(1+'1 - Il tuo profilo'!$B$13)^A117</f>
        <v>0.970873786407767</v>
      </c>
    </row>
    <row r="118" spans="1:13">
      <c r="A118" s="26">
        <v>2</v>
      </c>
      <c r="B118" s="26">
        <f>2</f>
        <v>2</v>
      </c>
      <c r="C118" s="21">
        <f>'1 - Il tuo profilo'!$B$9/100*'2 - Le opzioni'!$B$8*'1 - Il tuo profilo'!$B$25</f>
        <v>1243.1664000000001</v>
      </c>
      <c r="D118" s="21">
        <f>'1 - Il tuo profilo'!$B$29+IF($B118&lt;='2 - Le opzioni'!$B$64,'1 - Il tuo profilo'!$B$32,0)</f>
        <v>659.2</v>
      </c>
      <c r="E118" s="21">
        <f>'2 - Le opzioni'!$B$7*'1 - Il tuo profilo'!$B$30+IF(AND($B118&gt;=4,MOD($B118,2)=0),'1 - Il tuo profilo'!$B$31,0)</f>
        <v>180.6</v>
      </c>
      <c r="F118" s="21">
        <f>IF($B118&lt;=3,'2 - Le opzioni'!$B$56,IF($B118&lt;=7,'2 - Le opzioni'!$B$57,IF($B118&lt;=12,'2 - Le opzioni'!$B$58,'2 - Le opzioni'!$B$59+'2 - Le opzioni'!$B$60*($B118-13))))*1*(0.5+0.5*'1 - Il tuo profilo'!$B$9/'2 - Le opzioni'!$B$63)</f>
        <v>350</v>
      </c>
      <c r="L118" s="21">
        <f t="shared" si="0"/>
        <v>2432.9664000000002</v>
      </c>
      <c r="M118" s="33">
        <f>1/(1+'1 - Il tuo profilo'!$B$13)^A118</f>
        <v>0.94259590913375435</v>
      </c>
    </row>
    <row r="119" spans="1:13">
      <c r="A119" s="26">
        <v>3</v>
      </c>
      <c r="B119" s="26">
        <f>3</f>
        <v>3</v>
      </c>
      <c r="C119" s="21">
        <f>'1 - Il tuo profilo'!$B$9/100*'2 - Le opzioni'!$B$8*'1 - Il tuo profilo'!$B$25</f>
        <v>1243.1664000000001</v>
      </c>
      <c r="D119" s="21">
        <f>'1 - Il tuo profilo'!$B$29+IF($B119&lt;='2 - Le opzioni'!$B$64,'1 - Il tuo profilo'!$B$32,0)</f>
        <v>659.2</v>
      </c>
      <c r="E119" s="21">
        <f>'2 - Le opzioni'!$B$7*'1 - Il tuo profilo'!$B$30+IF(AND($B119&gt;=4,MOD($B119,2)=0),'1 - Il tuo profilo'!$B$31,0)</f>
        <v>180.6</v>
      </c>
      <c r="F119" s="21">
        <f>IF($B119&lt;=3,'2 - Le opzioni'!$B$56,IF($B119&lt;=7,'2 - Le opzioni'!$B$57,IF($B119&lt;=12,'2 - Le opzioni'!$B$58,'2 - Le opzioni'!$B$59+'2 - Le opzioni'!$B$60*($B119-13))))*1*(0.5+0.5*'1 - Il tuo profilo'!$B$9/'2 - Le opzioni'!$B$63)</f>
        <v>350</v>
      </c>
      <c r="L119" s="21">
        <f t="shared" si="0"/>
        <v>2432.9664000000002</v>
      </c>
      <c r="M119" s="33">
        <f>1/(1+'1 - Il tuo profilo'!$B$13)^A119</f>
        <v>0.91514165935315961</v>
      </c>
    </row>
    <row r="120" spans="1:13">
      <c r="A120" s="26">
        <v>4</v>
      </c>
      <c r="B120" s="26">
        <f>4</f>
        <v>4</v>
      </c>
      <c r="C120" s="21">
        <f>'1 - Il tuo profilo'!$B$9/100*'2 - Le opzioni'!$B$8*'1 - Il tuo profilo'!$B$25</f>
        <v>1243.1664000000001</v>
      </c>
      <c r="D120" s="21">
        <f>'1 - Il tuo profilo'!$B$29+IF($B120&lt;='2 - Le opzioni'!$B$64,'1 - Il tuo profilo'!$B$32,0)</f>
        <v>659.2</v>
      </c>
      <c r="E120" s="21">
        <f>'2 - Le opzioni'!$B$7*'1 - Il tuo profilo'!$B$30+IF(AND($B120&gt;=4,MOD($B120,2)=0),'1 - Il tuo profilo'!$B$31,0)</f>
        <v>259.62</v>
      </c>
      <c r="F120" s="21">
        <f>IF($B120&lt;=3,'2 - Le opzioni'!$B$56,IF($B120&lt;=7,'2 - Le opzioni'!$B$57,IF($B120&lt;=12,'2 - Le opzioni'!$B$58,'2 - Le opzioni'!$B$59+'2 - Le opzioni'!$B$60*($B120-13))))*1*(0.5+0.5*'1 - Il tuo profilo'!$B$9/'2 - Le opzioni'!$B$63)</f>
        <v>600</v>
      </c>
      <c r="L120" s="21">
        <f t="shared" si="0"/>
        <v>2761.9864000000002</v>
      </c>
      <c r="M120" s="33">
        <f>1/(1+'1 - Il tuo profilo'!$B$13)^A120</f>
        <v>0.888487047915689</v>
      </c>
    </row>
    <row r="121" spans="1:13">
      <c r="A121" s="26">
        <v>5</v>
      </c>
      <c r="B121" s="26">
        <f>5</f>
        <v>5</v>
      </c>
      <c r="C121" s="21">
        <f>'1 - Il tuo profilo'!$B$9/100*'2 - Le opzioni'!$B$8*'1 - Il tuo profilo'!$B$25</f>
        <v>1243.1664000000001</v>
      </c>
      <c r="D121" s="21">
        <f>'1 - Il tuo profilo'!$B$29+IF($B121&lt;='2 - Le opzioni'!$B$64,'1 - Il tuo profilo'!$B$32,0)</f>
        <v>659.2</v>
      </c>
      <c r="E121" s="21">
        <f>'2 - Le opzioni'!$B$7*'1 - Il tuo profilo'!$B$30+IF(AND($B121&gt;=4,MOD($B121,2)=0),'1 - Il tuo profilo'!$B$31,0)</f>
        <v>180.6</v>
      </c>
      <c r="F121" s="21">
        <f>IF($B121&lt;=3,'2 - Le opzioni'!$B$56,IF($B121&lt;=7,'2 - Le opzioni'!$B$57,IF($B121&lt;=12,'2 - Le opzioni'!$B$58,'2 - Le opzioni'!$B$59+'2 - Le opzioni'!$B$60*($B121-13))))*1*(0.5+0.5*'1 - Il tuo profilo'!$B$9/'2 - Le opzioni'!$B$63)</f>
        <v>600</v>
      </c>
      <c r="L121" s="21">
        <f t="shared" si="0"/>
        <v>2682.9664000000002</v>
      </c>
      <c r="M121" s="33">
        <f>1/(1+'1 - Il tuo profilo'!$B$13)^A121</f>
        <v>0.86260878438416411</v>
      </c>
    </row>
    <row r="122" spans="1:13">
      <c r="A122" s="26">
        <v>6</v>
      </c>
      <c r="B122" s="26">
        <f>6</f>
        <v>6</v>
      </c>
      <c r="C122" s="21">
        <f>'1 - Il tuo profilo'!$B$9/100*'2 - Le opzioni'!$B$8*'1 - Il tuo profilo'!$B$25</f>
        <v>1243.1664000000001</v>
      </c>
      <c r="D122" s="21">
        <f>'1 - Il tuo profilo'!$B$29+IF($B122&lt;='2 - Le opzioni'!$B$64,'1 - Il tuo profilo'!$B$32,0)</f>
        <v>409.2</v>
      </c>
      <c r="E122" s="21">
        <f>'2 - Le opzioni'!$B$7*'1 - Il tuo profilo'!$B$30+IF(AND($B122&gt;=4,MOD($B122,2)=0),'1 - Il tuo profilo'!$B$31,0)</f>
        <v>259.62</v>
      </c>
      <c r="F122" s="21">
        <f>IF($B122&lt;=3,'2 - Le opzioni'!$B$56,IF($B122&lt;=7,'2 - Le opzioni'!$B$57,IF($B122&lt;=12,'2 - Le opzioni'!$B$58,'2 - Le opzioni'!$B$59+'2 - Le opzioni'!$B$60*($B122-13))))*1*(0.5+0.5*'1 - Il tuo profilo'!$B$9/'2 - Le opzioni'!$B$63)</f>
        <v>600</v>
      </c>
      <c r="L122" s="21">
        <f t="shared" si="0"/>
        <v>2511.9864000000002</v>
      </c>
      <c r="M122" s="33">
        <f>1/(1+'1 - Il tuo profilo'!$B$13)^A122</f>
        <v>0.83748425668365445</v>
      </c>
    </row>
    <row r="123" spans="1:13">
      <c r="A123" s="26">
        <v>7</v>
      </c>
      <c r="B123" s="26">
        <f>7</f>
        <v>7</v>
      </c>
      <c r="C123" s="21">
        <f>'1 - Il tuo profilo'!$B$9/100*'2 - Le opzioni'!$B$8*'1 - Il tuo profilo'!$B$25</f>
        <v>1243.1664000000001</v>
      </c>
      <c r="D123" s="21">
        <f>'1 - Il tuo profilo'!$B$29+IF($B123&lt;='2 - Le opzioni'!$B$64,'1 - Il tuo profilo'!$B$32,0)</f>
        <v>409.2</v>
      </c>
      <c r="E123" s="21">
        <f>'2 - Le opzioni'!$B$7*'1 - Il tuo profilo'!$B$30+IF(AND($B123&gt;=4,MOD($B123,2)=0),'1 - Il tuo profilo'!$B$31,0)</f>
        <v>180.6</v>
      </c>
      <c r="F123" s="21">
        <f>IF($B123&lt;=3,'2 - Le opzioni'!$B$56,IF($B123&lt;=7,'2 - Le opzioni'!$B$57,IF($B123&lt;=12,'2 - Le opzioni'!$B$58,'2 - Le opzioni'!$B$59+'2 - Le opzioni'!$B$60*($B123-13))))*1*(0.5+0.5*'1 - Il tuo profilo'!$B$9/'2 - Le opzioni'!$B$63)</f>
        <v>600</v>
      </c>
      <c r="L123" s="21">
        <f t="shared" si="0"/>
        <v>2432.9664000000002</v>
      </c>
      <c r="M123" s="33">
        <f>1/(1+'1 - Il tuo profilo'!$B$13)^A123</f>
        <v>0.81309151134335378</v>
      </c>
    </row>
    <row r="124" spans="1:13">
      <c r="A124" s="26">
        <v>8</v>
      </c>
      <c r="B124" s="26">
        <f>8</f>
        <v>8</v>
      </c>
      <c r="C124" s="21">
        <f>'1 - Il tuo profilo'!$B$9/100*'2 - Le opzioni'!$B$8*'1 - Il tuo profilo'!$B$25</f>
        <v>1243.1664000000001</v>
      </c>
      <c r="D124" s="21">
        <f>'1 - Il tuo profilo'!$B$29+IF($B124&lt;='2 - Le opzioni'!$B$64,'1 - Il tuo profilo'!$B$32,0)</f>
        <v>409.2</v>
      </c>
      <c r="E124" s="21">
        <f>'2 - Le opzioni'!$B$7*'1 - Il tuo profilo'!$B$30+IF(AND($B124&gt;=4,MOD($B124,2)=0),'1 - Il tuo profilo'!$B$31,0)</f>
        <v>259.62</v>
      </c>
      <c r="F124" s="21">
        <f>IF($B124&lt;=3,'2 - Le opzioni'!$B$56,IF($B124&lt;=7,'2 - Le opzioni'!$B$57,IF($B124&lt;=12,'2 - Le opzioni'!$B$58,'2 - Le opzioni'!$B$59+'2 - Le opzioni'!$B$60*($B124-13))))*1*(0.5+0.5*'1 - Il tuo profilo'!$B$9/'2 - Le opzioni'!$B$63)</f>
        <v>900</v>
      </c>
      <c r="L124" s="21">
        <f t="shared" si="0"/>
        <v>2811.9864000000002</v>
      </c>
      <c r="M124" s="33">
        <f>1/(1+'1 - Il tuo profilo'!$B$13)^A124</f>
        <v>0.78940923431393573</v>
      </c>
    </row>
    <row r="125" spans="1:13">
      <c r="A125" s="26">
        <v>9</v>
      </c>
      <c r="B125" s="26">
        <f>9</f>
        <v>9</v>
      </c>
      <c r="C125" s="21">
        <f>'1 - Il tuo profilo'!$B$9/100*'2 - Le opzioni'!$B$8*'1 - Il tuo profilo'!$B$25</f>
        <v>1243.1664000000001</v>
      </c>
      <c r="D125" s="21">
        <f>'1 - Il tuo profilo'!$B$29+IF($B125&lt;='2 - Le opzioni'!$B$64,'1 - Il tuo profilo'!$B$32,0)</f>
        <v>409.2</v>
      </c>
      <c r="E125" s="21">
        <f>'2 - Le opzioni'!$B$7*'1 - Il tuo profilo'!$B$30+IF(AND($B125&gt;=4,MOD($B125,2)=0),'1 - Il tuo profilo'!$B$31,0)</f>
        <v>180.6</v>
      </c>
      <c r="F125" s="21">
        <f>IF($B125&lt;=3,'2 - Le opzioni'!$B$56,IF($B125&lt;=7,'2 - Le opzioni'!$B$57,IF($B125&lt;=12,'2 - Le opzioni'!$B$58,'2 - Le opzioni'!$B$59+'2 - Le opzioni'!$B$60*($B125-13))))*1*(0.5+0.5*'1 - Il tuo profilo'!$B$9/'2 - Le opzioni'!$B$63)</f>
        <v>900</v>
      </c>
      <c r="L125" s="21">
        <f t="shared" si="0"/>
        <v>2732.9664000000002</v>
      </c>
      <c r="M125" s="33">
        <f>1/(1+'1 - Il tuo profilo'!$B$13)^A125</f>
        <v>0.76641673234362695</v>
      </c>
    </row>
    <row r="126" spans="1:13">
      <c r="A126" s="26">
        <v>10</v>
      </c>
      <c r="B126" s="26">
        <f>10</f>
        <v>10</v>
      </c>
      <c r="C126" s="21">
        <f>'1 - Il tuo profilo'!$B$9/100*'2 - Le opzioni'!$B$8*'1 - Il tuo profilo'!$B$25</f>
        <v>1243.1664000000001</v>
      </c>
      <c r="D126" s="21">
        <f>'1 - Il tuo profilo'!$B$29+IF($B126&lt;='2 - Le opzioni'!$B$64,'1 - Il tuo profilo'!$B$32,0)</f>
        <v>409.2</v>
      </c>
      <c r="E126" s="21">
        <f>'2 - Le opzioni'!$B$7*'1 - Il tuo profilo'!$B$30+IF(AND($B126&gt;=4,MOD($B126,2)=0),'1 - Il tuo profilo'!$B$31,0)</f>
        <v>259.62</v>
      </c>
      <c r="F126" s="21">
        <f>IF($B126&lt;=3,'2 - Le opzioni'!$B$56,IF($B126&lt;=7,'2 - Le opzioni'!$B$57,IF($B126&lt;=12,'2 - Le opzioni'!$B$58,'2 - Le opzioni'!$B$59+'2 - Le opzioni'!$B$60*($B126-13))))*1*(0.5+0.5*'1 - Il tuo profilo'!$B$9/'2 - Le opzioni'!$B$63)</f>
        <v>900</v>
      </c>
      <c r="G126" s="21">
        <f>-('2 - Le opzioni'!$B$6*IF(10&gt;=MAX('2 - Le opzioni'!$B$67:$K$67),0,INDEX('2 - Le opzioni'!$B$68:$K$68,MATCH(10,'2 - Le opzioni'!$B$67:$K$67,1))+(INDEX('2 - Le opzioni'!$B$68:$K$68,MATCH(10,'2 - Le opzioni'!$B$67:$K$67,1)+1)-INDEX('2 - Le opzioni'!$B$68:$K$68,MATCH(10,'2 - Le opzioni'!$B$67:$K$67,1)))*(10-INDEX('2 - Le opzioni'!$B$67:$K$67,MATCH(10,'2 - Le opzioni'!$B$67:$K$67,1)))/(INDEX('2 - Le opzioni'!$B$67:$K$67,MATCH(10,'2 - Le opzioni'!$B$67:$K$67,1)+1)-INDEX('2 - Le opzioni'!$B$67:$K$67,MATCH(10,'2 - Le opzioni'!$B$67:$K$67,1)))))</f>
        <v>-4560</v>
      </c>
      <c r="L126" s="21">
        <f t="shared" si="0"/>
        <v>-1748.0135999999998</v>
      </c>
      <c r="M126" s="33">
        <f>1/(1+'1 - Il tuo profilo'!$B$13)^A126</f>
        <v>0.74409391489672516</v>
      </c>
    </row>
    <row r="128" spans="1:13" ht="32.1" customHeight="1">
      <c r="A128" s="30" t="s">
        <v>285</v>
      </c>
      <c r="B128" s="30" t="s">
        <v>286</v>
      </c>
      <c r="C128" s="30" t="s">
        <v>287</v>
      </c>
      <c r="D128" s="30" t="s">
        <v>288</v>
      </c>
      <c r="E128" s="30" t="s">
        <v>289</v>
      </c>
      <c r="F128" s="30" t="s">
        <v>290</v>
      </c>
      <c r="G128" s="30" t="s">
        <v>291</v>
      </c>
      <c r="H128" s="30" t="s">
        <v>292</v>
      </c>
      <c r="I128" s="30" t="s">
        <v>225</v>
      </c>
      <c r="J128" s="30" t="s">
        <v>293</v>
      </c>
      <c r="K128" s="30" t="s">
        <v>294</v>
      </c>
      <c r="L128" s="30" t="s">
        <v>295</v>
      </c>
      <c r="M128" s="30" t="s">
        <v>227</v>
      </c>
    </row>
    <row r="129" spans="1:18">
      <c r="A129" s="21">
        <f>L116+NPV('1 - Il tuo profilo'!$B$13,L117:L126)+E129+G129</f>
        <v>34745.942229012529</v>
      </c>
      <c r="B129" s="21">
        <f>SUM(L116:L126)+F129+H129</f>
        <v>37485.744000000006</v>
      </c>
      <c r="C129" s="26">
        <f>10</f>
        <v>10</v>
      </c>
      <c r="D129" s="33">
        <f>PV('1 - Il tuo profilo'!$B$13,C129,-1)</f>
        <v>8.5302028367758282</v>
      </c>
      <c r="E129" s="21">
        <f>0</f>
        <v>0</v>
      </c>
      <c r="F129" s="21">
        <f>0</f>
        <v>0</v>
      </c>
      <c r="G129" s="21">
        <f>0</f>
        <v>0</v>
      </c>
      <c r="H129" s="21">
        <f>0</f>
        <v>0</v>
      </c>
      <c r="I129" s="21">
        <f>IF(C129&gt;=10,A129,A129/D129*'2 - Le opzioni'!$B$112-'1 - Il tuo profilo'!$B$33)</f>
        <v>34745.942229012529</v>
      </c>
      <c r="J129" s="21">
        <f>IF(C129&gt;=10,B129,B129*10/C129-'1 - Il tuo profilo'!$B$33)</f>
        <v>37485.744000000006</v>
      </c>
      <c r="K129" s="18">
        <f>I129/'2 - Le opzioni'!$B$112</f>
        <v>4073.2844099807476</v>
      </c>
      <c r="L129" s="18">
        <f>K129/12</f>
        <v>339.44036749839563</v>
      </c>
      <c r="M129" s="31">
        <f>K129/'1 - Il tuo profilo'!$B$9</f>
        <v>0.33944036749839562</v>
      </c>
    </row>
    <row r="130" spans="1:18" ht="32.1" customHeight="1">
      <c r="A130" s="30" t="s">
        <v>296</v>
      </c>
      <c r="B130" s="30" t="s">
        <v>297</v>
      </c>
      <c r="C130" s="30" t="s">
        <v>298</v>
      </c>
      <c r="D130" s="30" t="s">
        <v>299</v>
      </c>
      <c r="E130" s="30" t="s">
        <v>300</v>
      </c>
      <c r="F130" s="30" t="s">
        <v>301</v>
      </c>
      <c r="G130" s="30" t="s">
        <v>302</v>
      </c>
      <c r="H130" s="30" t="s">
        <v>303</v>
      </c>
      <c r="I130" s="30" t="s">
        <v>304</v>
      </c>
      <c r="J130" s="30" t="s">
        <v>305</v>
      </c>
      <c r="K130" s="30" t="s">
        <v>306</v>
      </c>
      <c r="L130" s="30" t="s">
        <v>307</v>
      </c>
      <c r="M130" s="30" t="s">
        <v>308</v>
      </c>
      <c r="N130" s="30" t="s">
        <v>309</v>
      </c>
      <c r="O130" s="30" t="s">
        <v>310</v>
      </c>
      <c r="P130" s="30" t="s">
        <v>311</v>
      </c>
      <c r="Q130" s="30" t="s">
        <v>312</v>
      </c>
      <c r="R130" s="30" t="s">
        <v>313</v>
      </c>
    </row>
    <row r="131" spans="1:18">
      <c r="A131" s="21">
        <f>SUMPRODUCT(G116:G126,M116:M126)</f>
        <v>12606.931748070932</v>
      </c>
      <c r="B131" s="21">
        <f>SUMPRODUCT(H116:H126,M116:M126)</f>
        <v>0</v>
      </c>
      <c r="C131" s="21">
        <f>SUMPRODUCT(I116:I126,M116:M126)+G129</f>
        <v>0</v>
      </c>
      <c r="D131" s="21">
        <f>SUMPRODUCT(C116:C126,M116:M126)</f>
        <v>10604.461551864397</v>
      </c>
      <c r="E131" s="21">
        <f>SUMPRODUCT(D116:D126,M116:M126)</f>
        <v>4635.4857976073035</v>
      </c>
      <c r="F131" s="21">
        <f>SUMPRODUCT(E116:E126,M116:M126)</f>
        <v>1798.1183036617813</v>
      </c>
      <c r="G131" s="21">
        <f>SUMPRODUCT(F116:F126,M116:M126)</f>
        <v>5100.9448278081145</v>
      </c>
      <c r="H131" s="21">
        <f>SUMPRODUCT(J116:J126,M116:M126)</f>
        <v>0</v>
      </c>
      <c r="I131" s="21">
        <f>SUMPRODUCT(K116:K126,M116:M126)</f>
        <v>0</v>
      </c>
      <c r="J131" s="18">
        <f t="shared" ref="J131:R131" si="1">A131/$D129/12</f>
        <v>123.15974963025216</v>
      </c>
      <c r="K131" s="18">
        <f t="shared" si="1"/>
        <v>0</v>
      </c>
      <c r="L131" s="18">
        <f t="shared" si="1"/>
        <v>0</v>
      </c>
      <c r="M131" s="18">
        <f t="shared" si="1"/>
        <v>103.59720000000003</v>
      </c>
      <c r="N131" s="18">
        <f t="shared" si="1"/>
        <v>45.285029034543875</v>
      </c>
      <c r="O131" s="18">
        <f t="shared" si="1"/>
        <v>17.566193306190069</v>
      </c>
      <c r="P131" s="18">
        <f t="shared" si="1"/>
        <v>49.832195527409489</v>
      </c>
      <c r="Q131" s="18">
        <f t="shared" si="1"/>
        <v>0</v>
      </c>
      <c r="R131" s="18">
        <f t="shared" si="1"/>
        <v>0</v>
      </c>
    </row>
    <row r="133" spans="1:18">
      <c r="A133" s="2" t="s">
        <v>314</v>
      </c>
    </row>
    <row r="134" spans="1:18" ht="32.1" customHeight="1">
      <c r="A134" s="30" t="s">
        <v>272</v>
      </c>
      <c r="B134" s="30" t="s">
        <v>273</v>
      </c>
      <c r="C134" s="30" t="s">
        <v>274</v>
      </c>
      <c r="D134" s="30" t="s">
        <v>275</v>
      </c>
      <c r="E134" s="30" t="s">
        <v>276</v>
      </c>
      <c r="F134" s="30" t="s">
        <v>277</v>
      </c>
      <c r="G134" s="30" t="s">
        <v>278</v>
      </c>
      <c r="H134" s="30" t="s">
        <v>279</v>
      </c>
      <c r="I134" s="30" t="s">
        <v>280</v>
      </c>
      <c r="J134" s="30" t="s">
        <v>281</v>
      </c>
      <c r="K134" s="30" t="s">
        <v>282</v>
      </c>
      <c r="L134" s="30" t="s">
        <v>283</v>
      </c>
      <c r="M134" s="30" t="s">
        <v>284</v>
      </c>
    </row>
    <row r="135" spans="1:18">
      <c r="A135" s="26">
        <v>0</v>
      </c>
      <c r="G135" s="21">
        <f>-'1 - Il tuo profilo'!$B$33+'2 - Le opzioni'!$B$13</f>
        <v>9540</v>
      </c>
      <c r="L135" s="21">
        <f t="shared" ref="L135:L145" si="2">SUM(C135:K135)</f>
        <v>9540</v>
      </c>
      <c r="M135" s="33">
        <f>1/(1+'1 - Il tuo profilo'!$B$13)^A135</f>
        <v>1</v>
      </c>
    </row>
    <row r="136" spans="1:18">
      <c r="A136" s="26">
        <v>1</v>
      </c>
      <c r="B136" s="26">
        <f>'2 - Le opzioni'!$B$11+1</f>
        <v>5</v>
      </c>
      <c r="C136" s="21">
        <f>'1 - Il tuo profilo'!$B$9/100*'2 - Le opzioni'!$B$8*'1 - Il tuo profilo'!$B$25</f>
        <v>1243.1664000000001</v>
      </c>
      <c r="D136" s="21">
        <f>'1 - Il tuo profilo'!$B$29</f>
        <v>409.2</v>
      </c>
      <c r="E136" s="21">
        <f>'2 - Le opzioni'!$B$7*'1 - Il tuo profilo'!$B$30+IF(AND($B136&gt;=4,MOD($B136,2)=0),'1 - Il tuo profilo'!$B$31,0)</f>
        <v>180.6</v>
      </c>
      <c r="F136" s="21">
        <f>IF($B136&lt;=3,'2 - Le opzioni'!$B$56,IF($B136&lt;=7,'2 - Le opzioni'!$B$57,IF($B136&lt;=12,'2 - Le opzioni'!$B$58,'2 - Le opzioni'!$B$59+'2 - Le opzioni'!$B$60*($B136-13))))*1*(0.5+0.5*'1 - Il tuo profilo'!$B$9/'2 - Le opzioni'!$B$63)</f>
        <v>600</v>
      </c>
      <c r="L136" s="21">
        <f t="shared" si="2"/>
        <v>2432.9664000000002</v>
      </c>
      <c r="M136" s="33">
        <f>1/(1+'1 - Il tuo profilo'!$B$13)^A136</f>
        <v>0.970873786407767</v>
      </c>
    </row>
    <row r="137" spans="1:18">
      <c r="A137" s="26">
        <v>2</v>
      </c>
      <c r="B137" s="26">
        <f>'2 - Le opzioni'!$B$11+2</f>
        <v>6</v>
      </c>
      <c r="C137" s="21">
        <f>'1 - Il tuo profilo'!$B$9/100*'2 - Le opzioni'!$B$8*'1 - Il tuo profilo'!$B$25</f>
        <v>1243.1664000000001</v>
      </c>
      <c r="D137" s="21">
        <f>'1 - Il tuo profilo'!$B$29</f>
        <v>409.2</v>
      </c>
      <c r="E137" s="21">
        <f>'2 - Le opzioni'!$B$7*'1 - Il tuo profilo'!$B$30+IF(AND($B137&gt;=4,MOD($B137,2)=0),'1 - Il tuo profilo'!$B$31,0)</f>
        <v>259.62</v>
      </c>
      <c r="F137" s="21">
        <f>IF($B137&lt;=3,'2 - Le opzioni'!$B$56,IF($B137&lt;=7,'2 - Le opzioni'!$B$57,IF($B137&lt;=12,'2 - Le opzioni'!$B$58,'2 - Le opzioni'!$B$59+'2 - Le opzioni'!$B$60*($B137-13))))*1*(0.5+0.5*'1 - Il tuo profilo'!$B$9/'2 - Le opzioni'!$B$63)</f>
        <v>600</v>
      </c>
      <c r="L137" s="21">
        <f t="shared" si="2"/>
        <v>2511.9864000000002</v>
      </c>
      <c r="M137" s="33">
        <f>1/(1+'1 - Il tuo profilo'!$B$13)^A137</f>
        <v>0.94259590913375435</v>
      </c>
    </row>
    <row r="138" spans="1:18">
      <c r="A138" s="26">
        <v>3</v>
      </c>
      <c r="B138" s="26">
        <f>'2 - Le opzioni'!$B$11+3</f>
        <v>7</v>
      </c>
      <c r="C138" s="21">
        <f>'1 - Il tuo profilo'!$B$9/100*'2 - Le opzioni'!$B$8*'1 - Il tuo profilo'!$B$25</f>
        <v>1243.1664000000001</v>
      </c>
      <c r="D138" s="21">
        <f>'1 - Il tuo profilo'!$B$29</f>
        <v>409.2</v>
      </c>
      <c r="E138" s="21">
        <f>'2 - Le opzioni'!$B$7*'1 - Il tuo profilo'!$B$30+IF(AND($B138&gt;=4,MOD($B138,2)=0),'1 - Il tuo profilo'!$B$31,0)</f>
        <v>180.6</v>
      </c>
      <c r="F138" s="21">
        <f>IF($B138&lt;=3,'2 - Le opzioni'!$B$56,IF($B138&lt;=7,'2 - Le opzioni'!$B$57,IF($B138&lt;=12,'2 - Le opzioni'!$B$58,'2 - Le opzioni'!$B$59+'2 - Le opzioni'!$B$60*($B138-13))))*1*(0.5+0.5*'1 - Il tuo profilo'!$B$9/'2 - Le opzioni'!$B$63)</f>
        <v>600</v>
      </c>
      <c r="L138" s="21">
        <f t="shared" si="2"/>
        <v>2432.9664000000002</v>
      </c>
      <c r="M138" s="33">
        <f>1/(1+'1 - Il tuo profilo'!$B$13)^A138</f>
        <v>0.91514165935315961</v>
      </c>
    </row>
    <row r="139" spans="1:18">
      <c r="A139" s="26">
        <v>4</v>
      </c>
      <c r="B139" s="26">
        <f>'2 - Le opzioni'!$B$11+4</f>
        <v>8</v>
      </c>
      <c r="C139" s="21">
        <f>'1 - Il tuo profilo'!$B$9/100*'2 - Le opzioni'!$B$8*'1 - Il tuo profilo'!$B$25</f>
        <v>1243.1664000000001</v>
      </c>
      <c r="D139" s="21">
        <f>'1 - Il tuo profilo'!$B$29</f>
        <v>409.2</v>
      </c>
      <c r="E139" s="21">
        <f>'2 - Le opzioni'!$B$7*'1 - Il tuo profilo'!$B$30+IF(AND($B139&gt;=4,MOD($B139,2)=0),'1 - Il tuo profilo'!$B$31,0)</f>
        <v>259.62</v>
      </c>
      <c r="F139" s="21">
        <f>IF($B139&lt;=3,'2 - Le opzioni'!$B$56,IF($B139&lt;=7,'2 - Le opzioni'!$B$57,IF($B139&lt;=12,'2 - Le opzioni'!$B$58,'2 - Le opzioni'!$B$59+'2 - Le opzioni'!$B$60*($B139-13))))*1*(0.5+0.5*'1 - Il tuo profilo'!$B$9/'2 - Le opzioni'!$B$63)</f>
        <v>900</v>
      </c>
      <c r="L139" s="21">
        <f t="shared" si="2"/>
        <v>2811.9864000000002</v>
      </c>
      <c r="M139" s="33">
        <f>1/(1+'1 - Il tuo profilo'!$B$13)^A139</f>
        <v>0.888487047915689</v>
      </c>
    </row>
    <row r="140" spans="1:18">
      <c r="A140" s="26">
        <v>5</v>
      </c>
      <c r="B140" s="26">
        <f>'2 - Le opzioni'!$B$11+5</f>
        <v>9</v>
      </c>
      <c r="C140" s="21">
        <f>'1 - Il tuo profilo'!$B$9/100*'2 - Le opzioni'!$B$8*'1 - Il tuo profilo'!$B$25</f>
        <v>1243.1664000000001</v>
      </c>
      <c r="D140" s="21">
        <f>'1 - Il tuo profilo'!$B$29</f>
        <v>409.2</v>
      </c>
      <c r="E140" s="21">
        <f>'2 - Le opzioni'!$B$7*'1 - Il tuo profilo'!$B$30+IF(AND($B140&gt;=4,MOD($B140,2)=0),'1 - Il tuo profilo'!$B$31,0)</f>
        <v>180.6</v>
      </c>
      <c r="F140" s="21">
        <f>IF($B140&lt;=3,'2 - Le opzioni'!$B$56,IF($B140&lt;=7,'2 - Le opzioni'!$B$57,IF($B140&lt;=12,'2 - Le opzioni'!$B$58,'2 - Le opzioni'!$B$59+'2 - Le opzioni'!$B$60*($B140-13))))*1*(0.5+0.5*'1 - Il tuo profilo'!$B$9/'2 - Le opzioni'!$B$63)</f>
        <v>900</v>
      </c>
      <c r="L140" s="21">
        <f t="shared" si="2"/>
        <v>2732.9664000000002</v>
      </c>
      <c r="M140" s="33">
        <f>1/(1+'1 - Il tuo profilo'!$B$13)^A140</f>
        <v>0.86260878438416411</v>
      </c>
    </row>
    <row r="141" spans="1:18">
      <c r="A141" s="26">
        <v>6</v>
      </c>
      <c r="B141" s="26">
        <f>'2 - Le opzioni'!$B$11+6</f>
        <v>10</v>
      </c>
      <c r="C141" s="21">
        <f>'1 - Il tuo profilo'!$B$9/100*'2 - Le opzioni'!$B$8*'1 - Il tuo profilo'!$B$25</f>
        <v>1243.1664000000001</v>
      </c>
      <c r="D141" s="21">
        <f>'1 - Il tuo profilo'!$B$29</f>
        <v>409.2</v>
      </c>
      <c r="E141" s="21">
        <f>'2 - Le opzioni'!$B$7*'1 - Il tuo profilo'!$B$30+IF(AND($B141&gt;=4,MOD($B141,2)=0),'1 - Il tuo profilo'!$B$31,0)</f>
        <v>259.62</v>
      </c>
      <c r="F141" s="21">
        <f>IF($B141&lt;=3,'2 - Le opzioni'!$B$56,IF($B141&lt;=7,'2 - Le opzioni'!$B$57,IF($B141&lt;=12,'2 - Le opzioni'!$B$58,'2 - Le opzioni'!$B$59+'2 - Le opzioni'!$B$60*($B141-13))))*1*(0.5+0.5*'1 - Il tuo profilo'!$B$9/'2 - Le opzioni'!$B$63)</f>
        <v>900</v>
      </c>
      <c r="L141" s="21">
        <f t="shared" si="2"/>
        <v>2811.9864000000002</v>
      </c>
      <c r="M141" s="33">
        <f>1/(1+'1 - Il tuo profilo'!$B$13)^A141</f>
        <v>0.83748425668365445</v>
      </c>
    </row>
    <row r="142" spans="1:18">
      <c r="A142" s="26">
        <v>7</v>
      </c>
      <c r="B142" s="26">
        <f>'2 - Le opzioni'!$B$11+7</f>
        <v>11</v>
      </c>
      <c r="C142" s="21">
        <f>'1 - Il tuo profilo'!$B$9/100*'2 - Le opzioni'!$B$8*'1 - Il tuo profilo'!$B$25</f>
        <v>1243.1664000000001</v>
      </c>
      <c r="D142" s="21">
        <f>'1 - Il tuo profilo'!$B$29</f>
        <v>409.2</v>
      </c>
      <c r="E142" s="21">
        <f>'2 - Le opzioni'!$B$7*'1 - Il tuo profilo'!$B$30+IF(AND($B142&gt;=4,MOD($B142,2)=0),'1 - Il tuo profilo'!$B$31,0)</f>
        <v>180.6</v>
      </c>
      <c r="F142" s="21">
        <f>IF($B142&lt;=3,'2 - Le opzioni'!$B$56,IF($B142&lt;=7,'2 - Le opzioni'!$B$57,IF($B142&lt;=12,'2 - Le opzioni'!$B$58,'2 - Le opzioni'!$B$59+'2 - Le opzioni'!$B$60*($B142-13))))*1*(0.5+0.5*'1 - Il tuo profilo'!$B$9/'2 - Le opzioni'!$B$63)</f>
        <v>900</v>
      </c>
      <c r="L142" s="21">
        <f t="shared" si="2"/>
        <v>2732.9664000000002</v>
      </c>
      <c r="M142" s="33">
        <f>1/(1+'1 - Il tuo profilo'!$B$13)^A142</f>
        <v>0.81309151134335378</v>
      </c>
    </row>
    <row r="143" spans="1:18">
      <c r="A143" s="26">
        <v>8</v>
      </c>
      <c r="B143" s="26">
        <f>'2 - Le opzioni'!$B$11+8</f>
        <v>12</v>
      </c>
      <c r="C143" s="21">
        <f>'1 - Il tuo profilo'!$B$9/100*'2 - Le opzioni'!$B$8*'1 - Il tuo profilo'!$B$25</f>
        <v>1243.1664000000001</v>
      </c>
      <c r="D143" s="21">
        <f>'1 - Il tuo profilo'!$B$29</f>
        <v>409.2</v>
      </c>
      <c r="E143" s="21">
        <f>'2 - Le opzioni'!$B$7*'1 - Il tuo profilo'!$B$30+IF(AND($B143&gt;=4,MOD($B143,2)=0),'1 - Il tuo profilo'!$B$31,0)</f>
        <v>259.62</v>
      </c>
      <c r="F143" s="21">
        <f>IF($B143&lt;=3,'2 - Le opzioni'!$B$56,IF($B143&lt;=7,'2 - Le opzioni'!$B$57,IF($B143&lt;=12,'2 - Le opzioni'!$B$58,'2 - Le opzioni'!$B$59+'2 - Le opzioni'!$B$60*($B143-13))))*1*(0.5+0.5*'1 - Il tuo profilo'!$B$9/'2 - Le opzioni'!$B$63)</f>
        <v>900</v>
      </c>
      <c r="L143" s="21">
        <f t="shared" si="2"/>
        <v>2811.9864000000002</v>
      </c>
      <c r="M143" s="33">
        <f>1/(1+'1 - Il tuo profilo'!$B$13)^A143</f>
        <v>0.78940923431393573</v>
      </c>
    </row>
    <row r="144" spans="1:18">
      <c r="A144" s="26">
        <v>9</v>
      </c>
      <c r="B144" s="26">
        <f>'2 - Le opzioni'!$B$11+9</f>
        <v>13</v>
      </c>
      <c r="C144" s="21">
        <f>'1 - Il tuo profilo'!$B$9/100*'2 - Le opzioni'!$B$8*'1 - Il tuo profilo'!$B$25</f>
        <v>1243.1664000000001</v>
      </c>
      <c r="D144" s="21">
        <f>'1 - Il tuo profilo'!$B$29</f>
        <v>409.2</v>
      </c>
      <c r="E144" s="21">
        <f>'2 - Le opzioni'!$B$7*'1 - Il tuo profilo'!$B$30+IF(AND($B144&gt;=4,MOD($B144,2)=0),'1 - Il tuo profilo'!$B$31,0)</f>
        <v>180.6</v>
      </c>
      <c r="F144" s="21">
        <f>IF($B144&lt;=3,'2 - Le opzioni'!$B$56,IF($B144&lt;=7,'2 - Le opzioni'!$B$57,IF($B144&lt;=12,'2 - Le opzioni'!$B$58,'2 - Le opzioni'!$B$59+'2 - Le opzioni'!$B$60*($B144-13))))*1*(0.5+0.5*'1 - Il tuo profilo'!$B$9/'2 - Le opzioni'!$B$63)</f>
        <v>1300</v>
      </c>
      <c r="L144" s="21">
        <f t="shared" si="2"/>
        <v>3132.9664000000002</v>
      </c>
      <c r="M144" s="33">
        <f>1/(1+'1 - Il tuo profilo'!$B$13)^A144</f>
        <v>0.76641673234362695</v>
      </c>
    </row>
    <row r="145" spans="1:18">
      <c r="A145" s="26">
        <v>10</v>
      </c>
      <c r="B145" s="26">
        <f>'2 - Le opzioni'!$B$11+10</f>
        <v>14</v>
      </c>
      <c r="C145" s="21">
        <f>'1 - Il tuo profilo'!$B$9/100*'2 - Le opzioni'!$B$8*'1 - Il tuo profilo'!$B$25</f>
        <v>1243.1664000000001</v>
      </c>
      <c r="D145" s="21">
        <f>'1 - Il tuo profilo'!$B$29</f>
        <v>409.2</v>
      </c>
      <c r="E145" s="21">
        <f>'2 - Le opzioni'!$B$7*'1 - Il tuo profilo'!$B$30+IF(AND($B145&gt;=4,MOD($B145,2)=0),'1 - Il tuo profilo'!$B$31,0)</f>
        <v>259.62</v>
      </c>
      <c r="F145" s="21">
        <f>IF($B145&lt;=3,'2 - Le opzioni'!$B$56,IF($B145&lt;=7,'2 - Le opzioni'!$B$57,IF($B145&lt;=12,'2 - Le opzioni'!$B$58,'2 - Le opzioni'!$B$59+'2 - Le opzioni'!$B$60*($B145-13))))*1*(0.5+0.5*'1 - Il tuo profilo'!$B$9/'2 - Le opzioni'!$B$63)</f>
        <v>1400</v>
      </c>
      <c r="G145" s="21">
        <f>-('2 - Le opzioni'!$B$6*IF('2 - Le opzioni'!$B$11+10&gt;=MAX('2 - Le opzioni'!$B$67:$K$67),0,INDEX('2 - Le opzioni'!$B$68:$K$68,MATCH('2 - Le opzioni'!$B$11+10,'2 - Le opzioni'!$B$67:$K$67,1))+(INDEX('2 - Le opzioni'!$B$68:$K$68,MATCH('2 - Le opzioni'!$B$11+10,'2 - Le opzioni'!$B$67:$K$67,1)+1)-INDEX('2 - Le opzioni'!$B$68:$K$68,MATCH('2 - Le opzioni'!$B$11+10,'2 - Le opzioni'!$B$67:$K$67,1)))*('2 - Le opzioni'!$B$11+10-INDEX('2 - Le opzioni'!$B$67:$K$67,MATCH('2 - Le opzioni'!$B$11+10,'2 - Le opzioni'!$B$67:$K$67,1)))/(INDEX('2 - Le opzioni'!$B$67:$K$67,MATCH('2 - Le opzioni'!$B$11+10,'2 - Le opzioni'!$B$67:$K$67,1)+1)-INDEX('2 - Le opzioni'!$B$67:$K$67,MATCH('2 - Le opzioni'!$B$11+10,'2 - Le opzioni'!$B$67:$K$67,1)))))</f>
        <v>-2280</v>
      </c>
      <c r="L145" s="21">
        <f t="shared" si="2"/>
        <v>1031.9864000000002</v>
      </c>
      <c r="M145" s="33">
        <f>1/(1+'1 - Il tuo profilo'!$B$13)^A145</f>
        <v>0.74409391489672516</v>
      </c>
    </row>
    <row r="147" spans="1:18" ht="32.1" customHeight="1">
      <c r="A147" s="30" t="s">
        <v>285</v>
      </c>
      <c r="B147" s="30" t="s">
        <v>286</v>
      </c>
      <c r="C147" s="30" t="s">
        <v>287</v>
      </c>
      <c r="D147" s="30" t="s">
        <v>288</v>
      </c>
      <c r="E147" s="30" t="s">
        <v>289</v>
      </c>
      <c r="F147" s="30" t="s">
        <v>290</v>
      </c>
      <c r="G147" s="30" t="s">
        <v>291</v>
      </c>
      <c r="H147" s="30" t="s">
        <v>292</v>
      </c>
      <c r="I147" s="30" t="s">
        <v>225</v>
      </c>
      <c r="J147" s="30" t="s">
        <v>293</v>
      </c>
      <c r="K147" s="30" t="s">
        <v>294</v>
      </c>
      <c r="L147" s="30" t="s">
        <v>295</v>
      </c>
      <c r="M147" s="30" t="s">
        <v>227</v>
      </c>
    </row>
    <row r="148" spans="1:18">
      <c r="A148" s="21">
        <f>L135+NPV('1 - Il tuo profilo'!$B$13,L136:L145)+E148+G148</f>
        <v>31318.301456125715</v>
      </c>
      <c r="B148" s="21">
        <f>SUM(L135:L145)+F148+H148</f>
        <v>34984.76400000001</v>
      </c>
      <c r="C148" s="26">
        <f>10</f>
        <v>10</v>
      </c>
      <c r="D148" s="33">
        <f>PV('1 - Il tuo profilo'!$B$13,C148,-1)</f>
        <v>8.5302028367758282</v>
      </c>
      <c r="E148" s="21">
        <f>0</f>
        <v>0</v>
      </c>
      <c r="F148" s="21">
        <f>0</f>
        <v>0</v>
      </c>
      <c r="G148" s="21">
        <f>0</f>
        <v>0</v>
      </c>
      <c r="H148" s="21">
        <f>0</f>
        <v>0</v>
      </c>
      <c r="I148" s="21">
        <f>IF(C148&gt;=10,A148,A148/D148*'2 - Le opzioni'!$B$112-'1 - Il tuo profilo'!$B$33)</f>
        <v>31318.301456125715</v>
      </c>
      <c r="J148" s="21">
        <f>IF(C148&gt;=10,B148,B148*10/C148-'1 - Il tuo profilo'!$B$33)</f>
        <v>34984.76400000001</v>
      </c>
      <c r="K148" s="18">
        <f>I148/'2 - Le opzioni'!$B$112</f>
        <v>3671.4603457147255</v>
      </c>
      <c r="L148" s="18">
        <f>K148/12</f>
        <v>305.95502880956047</v>
      </c>
      <c r="M148" s="31">
        <f>K148/'1 - Il tuo profilo'!$B$9</f>
        <v>0.30595502880956044</v>
      </c>
    </row>
    <row r="149" spans="1:18" ht="32.1" customHeight="1">
      <c r="A149" s="30" t="s">
        <v>296</v>
      </c>
      <c r="B149" s="30" t="s">
        <v>297</v>
      </c>
      <c r="C149" s="30" t="s">
        <v>298</v>
      </c>
      <c r="D149" s="30" t="s">
        <v>299</v>
      </c>
      <c r="E149" s="30" t="s">
        <v>300</v>
      </c>
      <c r="F149" s="30" t="s">
        <v>301</v>
      </c>
      <c r="G149" s="30" t="s">
        <v>302</v>
      </c>
      <c r="H149" s="30" t="s">
        <v>303</v>
      </c>
      <c r="I149" s="30" t="s">
        <v>304</v>
      </c>
      <c r="J149" s="30" t="s">
        <v>305</v>
      </c>
      <c r="K149" s="30" t="s">
        <v>306</v>
      </c>
      <c r="L149" s="30" t="s">
        <v>307</v>
      </c>
      <c r="M149" s="30" t="s">
        <v>308</v>
      </c>
      <c r="N149" s="30" t="s">
        <v>309</v>
      </c>
      <c r="O149" s="30" t="s">
        <v>310</v>
      </c>
      <c r="P149" s="30" t="s">
        <v>311</v>
      </c>
      <c r="Q149" s="30" t="s">
        <v>312</v>
      </c>
      <c r="R149" s="30" t="s">
        <v>313</v>
      </c>
    </row>
    <row r="150" spans="1:18">
      <c r="A150" s="21">
        <f>SUMPRODUCT(G135:G145,M135:M145)</f>
        <v>7843.4658740354662</v>
      </c>
      <c r="B150" s="21">
        <f>SUMPRODUCT(H135:H145,M135:M145)</f>
        <v>0</v>
      </c>
      <c r="C150" s="21">
        <f>SUMPRODUCT(I135:I145,M135:M145)+G148</f>
        <v>0</v>
      </c>
      <c r="D150" s="21">
        <f>SUMPRODUCT(C135:C145,M135:M145)</f>
        <v>10604.461551864397</v>
      </c>
      <c r="E150" s="21">
        <f>SUMPRODUCT(D135:D145,M135:M145)</f>
        <v>3490.5590008086697</v>
      </c>
      <c r="F150" s="21">
        <f>SUMPRODUCT(E135:E145,M135:M145)</f>
        <v>1872.6022324015305</v>
      </c>
      <c r="G150" s="21">
        <f>SUMPRODUCT(F135:F145,M135:M145)</f>
        <v>7507.2127970156562</v>
      </c>
      <c r="H150" s="21">
        <f>SUMPRODUCT(J135:J145,M135:M145)</f>
        <v>0</v>
      </c>
      <c r="I150" s="21">
        <f>SUMPRODUCT(K135:K145,M135:M145)</f>
        <v>0</v>
      </c>
      <c r="J150" s="18">
        <f t="shared" ref="J150:R150" si="3">A150/$D148/12</f>
        <v>76.624456496121567</v>
      </c>
      <c r="K150" s="18">
        <f t="shared" si="3"/>
        <v>0</v>
      </c>
      <c r="L150" s="18">
        <f t="shared" si="3"/>
        <v>0</v>
      </c>
      <c r="M150" s="18">
        <f t="shared" si="3"/>
        <v>103.59720000000003</v>
      </c>
      <c r="N150" s="18">
        <f t="shared" si="3"/>
        <v>34.100000000000009</v>
      </c>
      <c r="O150" s="18">
        <f t="shared" si="3"/>
        <v>18.293842364532022</v>
      </c>
      <c r="P150" s="18">
        <f t="shared" si="3"/>
        <v>73.339529948906886</v>
      </c>
      <c r="Q150" s="18">
        <f t="shared" si="3"/>
        <v>0</v>
      </c>
      <c r="R150" s="18">
        <f t="shared" si="3"/>
        <v>0</v>
      </c>
    </row>
    <row r="152" spans="1:18">
      <c r="A152" s="2" t="s">
        <v>315</v>
      </c>
    </row>
    <row r="153" spans="1:18" ht="32.1" customHeight="1">
      <c r="A153" s="30" t="s">
        <v>272</v>
      </c>
      <c r="B153" s="30" t="s">
        <v>273</v>
      </c>
      <c r="C153" s="30" t="s">
        <v>274</v>
      </c>
      <c r="D153" s="30" t="s">
        <v>275</v>
      </c>
      <c r="E153" s="30" t="s">
        <v>276</v>
      </c>
      <c r="F153" s="30" t="s">
        <v>277</v>
      </c>
      <c r="G153" s="30" t="s">
        <v>278</v>
      </c>
      <c r="H153" s="30" t="s">
        <v>279</v>
      </c>
      <c r="I153" s="30" t="s">
        <v>280</v>
      </c>
      <c r="J153" s="30" t="s">
        <v>281</v>
      </c>
      <c r="K153" s="30" t="s">
        <v>282</v>
      </c>
      <c r="L153" s="30" t="s">
        <v>283</v>
      </c>
      <c r="M153" s="30" t="s">
        <v>284</v>
      </c>
    </row>
    <row r="154" spans="1:18">
      <c r="A154" s="26">
        <v>0</v>
      </c>
      <c r="G154" s="21">
        <f>-'1 - Il tuo profilo'!$B$33+'2 - Le opzioni'!$B$23</f>
        <v>20000</v>
      </c>
      <c r="L154" s="21">
        <f t="shared" ref="L154:L164" si="4">SUM(C154:K154)</f>
        <v>20000</v>
      </c>
      <c r="M154" s="33">
        <f>1/(1+'1 - Il tuo profilo'!$B$13)^A154</f>
        <v>1</v>
      </c>
    </row>
    <row r="155" spans="1:18">
      <c r="A155" s="26">
        <v>1</v>
      </c>
      <c r="B155" s="26">
        <f>1</f>
        <v>1</v>
      </c>
      <c r="C155" s="21">
        <f>'1 - Il tuo profilo'!$B$9/100*'2 - Le opzioni'!$B$25*'1 - Il tuo profilo'!$B$25</f>
        <v>1021.1724</v>
      </c>
      <c r="D155" s="21">
        <f>'1 - Il tuo profilo'!$B$29+IF($B155&lt;='2 - Le opzioni'!$B$64,'1 - Il tuo profilo'!$B$32,0)</f>
        <v>659.2</v>
      </c>
      <c r="E155" s="21">
        <f>IF($B155&lt;='2 - Le opzioni'!$B$27,'2 - Le opzioni'!$B$26,1)*'2 - Le opzioni'!$B$24*'1 - Il tuo profilo'!$B$30+IF(AND($B155&gt;=4,MOD($B155,2)=0),'1 - Il tuo profilo'!$B$31,0)</f>
        <v>90.3</v>
      </c>
      <c r="F155" s="21">
        <f>IF($B155&lt;=3,'2 - Le opzioni'!$B$56,IF($B155&lt;=7,'2 - Le opzioni'!$B$57,IF($B155&lt;=12,'2 - Le opzioni'!$B$58,'2 - Le opzioni'!$B$59+'2 - Le opzioni'!$B$60*($B155-13))))*'2 - Le opzioni'!$B$61*(0.5+0.5*'1 - Il tuo profilo'!$B$9/'2 - Le opzioni'!$B$63)</f>
        <v>315</v>
      </c>
      <c r="L155" s="21">
        <f t="shared" si="4"/>
        <v>2085.6724000000004</v>
      </c>
      <c r="M155" s="33">
        <f>1/(1+'1 - Il tuo profilo'!$B$13)^A155</f>
        <v>0.970873786407767</v>
      </c>
    </row>
    <row r="156" spans="1:18">
      <c r="A156" s="26">
        <v>2</v>
      </c>
      <c r="B156" s="26">
        <f>2</f>
        <v>2</v>
      </c>
      <c r="C156" s="21">
        <f>'1 - Il tuo profilo'!$B$9/100*'2 - Le opzioni'!$B$25*'1 - Il tuo profilo'!$B$25</f>
        <v>1021.1724</v>
      </c>
      <c r="D156" s="21">
        <f>'1 - Il tuo profilo'!$B$29+IF($B156&lt;='2 - Le opzioni'!$B$64,'1 - Il tuo profilo'!$B$32,0)</f>
        <v>659.2</v>
      </c>
      <c r="E156" s="21">
        <f>IF($B156&lt;='2 - Le opzioni'!$B$27,'2 - Le opzioni'!$B$26,1)*'2 - Le opzioni'!$B$24*'1 - Il tuo profilo'!$B$30+IF(AND($B156&gt;=4,MOD($B156,2)=0),'1 - Il tuo profilo'!$B$31,0)</f>
        <v>90.3</v>
      </c>
      <c r="F156" s="21">
        <f>IF($B156&lt;=3,'2 - Le opzioni'!$B$56,IF($B156&lt;=7,'2 - Le opzioni'!$B$57,IF($B156&lt;=12,'2 - Le opzioni'!$B$58,'2 - Le opzioni'!$B$59+'2 - Le opzioni'!$B$60*($B156-13))))*'2 - Le opzioni'!$B$61*(0.5+0.5*'1 - Il tuo profilo'!$B$9/'2 - Le opzioni'!$B$63)</f>
        <v>315</v>
      </c>
      <c r="L156" s="21">
        <f t="shared" si="4"/>
        <v>2085.6724000000004</v>
      </c>
      <c r="M156" s="33">
        <f>1/(1+'1 - Il tuo profilo'!$B$13)^A156</f>
        <v>0.94259590913375435</v>
      </c>
    </row>
    <row r="157" spans="1:18">
      <c r="A157" s="26">
        <v>3</v>
      </c>
      <c r="B157" s="26">
        <f>3</f>
        <v>3</v>
      </c>
      <c r="C157" s="21">
        <f>'1 - Il tuo profilo'!$B$9/100*'2 - Le opzioni'!$B$25*'1 - Il tuo profilo'!$B$25</f>
        <v>1021.1724</v>
      </c>
      <c r="D157" s="21">
        <f>'1 - Il tuo profilo'!$B$29+IF($B157&lt;='2 - Le opzioni'!$B$64,'1 - Il tuo profilo'!$B$32,0)</f>
        <v>659.2</v>
      </c>
      <c r="E157" s="21">
        <f>IF($B157&lt;='2 - Le opzioni'!$B$27,'2 - Le opzioni'!$B$26,1)*'2 - Le opzioni'!$B$24*'1 - Il tuo profilo'!$B$30+IF(AND($B157&gt;=4,MOD($B157,2)=0),'1 - Il tuo profilo'!$B$31,0)</f>
        <v>90.3</v>
      </c>
      <c r="F157" s="21">
        <f>IF($B157&lt;=3,'2 - Le opzioni'!$B$56,IF($B157&lt;=7,'2 - Le opzioni'!$B$57,IF($B157&lt;=12,'2 - Le opzioni'!$B$58,'2 - Le opzioni'!$B$59+'2 - Le opzioni'!$B$60*($B157-13))))*'2 - Le opzioni'!$B$61*(0.5+0.5*'1 - Il tuo profilo'!$B$9/'2 - Le opzioni'!$B$63)</f>
        <v>315</v>
      </c>
      <c r="L157" s="21">
        <f t="shared" si="4"/>
        <v>2085.6724000000004</v>
      </c>
      <c r="M157" s="33">
        <f>1/(1+'1 - Il tuo profilo'!$B$13)^A157</f>
        <v>0.91514165935315961</v>
      </c>
    </row>
    <row r="158" spans="1:18">
      <c r="A158" s="26">
        <v>4</v>
      </c>
      <c r="B158" s="26">
        <f>4</f>
        <v>4</v>
      </c>
      <c r="C158" s="21">
        <f>'1 - Il tuo profilo'!$B$9/100*'2 - Le opzioni'!$B$25*'1 - Il tuo profilo'!$B$25</f>
        <v>1021.1724</v>
      </c>
      <c r="D158" s="21">
        <f>'1 - Il tuo profilo'!$B$29+IF($B158&lt;='2 - Le opzioni'!$B$64,'1 - Il tuo profilo'!$B$32,0)</f>
        <v>659.2</v>
      </c>
      <c r="E158" s="21">
        <f>IF($B158&lt;='2 - Le opzioni'!$B$27,'2 - Le opzioni'!$B$26,1)*'2 - Le opzioni'!$B$24*'1 - Il tuo profilo'!$B$30+IF(AND($B158&gt;=4,MOD($B158,2)=0),'1 - Il tuo profilo'!$B$31,0)</f>
        <v>169.32</v>
      </c>
      <c r="F158" s="21">
        <f>IF($B158&lt;=3,'2 - Le opzioni'!$B$56,IF($B158&lt;=7,'2 - Le opzioni'!$B$57,IF($B158&lt;=12,'2 - Le opzioni'!$B$58,'2 - Le opzioni'!$B$59+'2 - Le opzioni'!$B$60*($B158-13))))*'2 - Le opzioni'!$B$61*(0.5+0.5*'1 - Il tuo profilo'!$B$9/'2 - Le opzioni'!$B$63)</f>
        <v>540</v>
      </c>
      <c r="L158" s="21">
        <f t="shared" si="4"/>
        <v>2389.6923999999999</v>
      </c>
      <c r="M158" s="33">
        <f>1/(1+'1 - Il tuo profilo'!$B$13)^A158</f>
        <v>0.888487047915689</v>
      </c>
    </row>
    <row r="159" spans="1:18">
      <c r="A159" s="26">
        <v>5</v>
      </c>
      <c r="B159" s="26">
        <f>5</f>
        <v>5</v>
      </c>
      <c r="C159" s="21">
        <f>'1 - Il tuo profilo'!$B$9/100*'2 - Le opzioni'!$B$25*'1 - Il tuo profilo'!$B$25</f>
        <v>1021.1724</v>
      </c>
      <c r="D159" s="21">
        <f>'1 - Il tuo profilo'!$B$29+IF($B159&lt;='2 - Le opzioni'!$B$64,'1 - Il tuo profilo'!$B$32,0)</f>
        <v>659.2</v>
      </c>
      <c r="E159" s="21">
        <f>IF($B159&lt;='2 - Le opzioni'!$B$27,'2 - Le opzioni'!$B$26,1)*'2 - Le opzioni'!$B$24*'1 - Il tuo profilo'!$B$30+IF(AND($B159&gt;=4,MOD($B159,2)=0),'1 - Il tuo profilo'!$B$31,0)</f>
        <v>90.3</v>
      </c>
      <c r="F159" s="21">
        <f>IF($B159&lt;=3,'2 - Le opzioni'!$B$56,IF($B159&lt;=7,'2 - Le opzioni'!$B$57,IF($B159&lt;=12,'2 - Le opzioni'!$B$58,'2 - Le opzioni'!$B$59+'2 - Le opzioni'!$B$60*($B159-13))))*'2 - Le opzioni'!$B$61*(0.5+0.5*'1 - Il tuo profilo'!$B$9/'2 - Le opzioni'!$B$63)</f>
        <v>540</v>
      </c>
      <c r="L159" s="21">
        <f t="shared" si="4"/>
        <v>2310.6724000000004</v>
      </c>
      <c r="M159" s="33">
        <f>1/(1+'1 - Il tuo profilo'!$B$13)^A159</f>
        <v>0.86260878438416411</v>
      </c>
    </row>
    <row r="160" spans="1:18">
      <c r="A160" s="26">
        <v>6</v>
      </c>
      <c r="B160" s="26">
        <f>6</f>
        <v>6</v>
      </c>
      <c r="C160" s="21">
        <f>'1 - Il tuo profilo'!$B$9/100*'2 - Le opzioni'!$B$25*'1 - Il tuo profilo'!$B$25</f>
        <v>1021.1724</v>
      </c>
      <c r="D160" s="21">
        <f>'1 - Il tuo profilo'!$B$29+IF($B160&lt;='2 - Le opzioni'!$B$64,'1 - Il tuo profilo'!$B$32,0)</f>
        <v>409.2</v>
      </c>
      <c r="E160" s="21">
        <f>IF($B160&lt;='2 - Le opzioni'!$B$27,'2 - Le opzioni'!$B$26,1)*'2 - Le opzioni'!$B$24*'1 - Il tuo profilo'!$B$30+IF(AND($B160&gt;=4,MOD($B160,2)=0),'1 - Il tuo profilo'!$B$31,0)</f>
        <v>259.62</v>
      </c>
      <c r="F160" s="21">
        <f>IF($B160&lt;=3,'2 - Le opzioni'!$B$56,IF($B160&lt;=7,'2 - Le opzioni'!$B$57,IF($B160&lt;=12,'2 - Le opzioni'!$B$58,'2 - Le opzioni'!$B$59+'2 - Le opzioni'!$B$60*($B160-13))))*'2 - Le opzioni'!$B$61*(0.5+0.5*'1 - Il tuo profilo'!$B$9/'2 - Le opzioni'!$B$63)</f>
        <v>540</v>
      </c>
      <c r="L160" s="21">
        <f t="shared" si="4"/>
        <v>2229.9924000000001</v>
      </c>
      <c r="M160" s="33">
        <f>1/(1+'1 - Il tuo profilo'!$B$13)^A160</f>
        <v>0.83748425668365445</v>
      </c>
    </row>
    <row r="161" spans="1:18">
      <c r="A161" s="26">
        <v>7</v>
      </c>
      <c r="B161" s="26">
        <f>7</f>
        <v>7</v>
      </c>
      <c r="C161" s="21">
        <f>'1 - Il tuo profilo'!$B$9/100*'2 - Le opzioni'!$B$25*'1 - Il tuo profilo'!$B$25</f>
        <v>1021.1724</v>
      </c>
      <c r="D161" s="21">
        <f>'1 - Il tuo profilo'!$B$29+IF($B161&lt;='2 - Le opzioni'!$B$64,'1 - Il tuo profilo'!$B$32,0)</f>
        <v>409.2</v>
      </c>
      <c r="E161" s="21">
        <f>IF($B161&lt;='2 - Le opzioni'!$B$27,'2 - Le opzioni'!$B$26,1)*'2 - Le opzioni'!$B$24*'1 - Il tuo profilo'!$B$30+IF(AND($B161&gt;=4,MOD($B161,2)=0),'1 - Il tuo profilo'!$B$31,0)</f>
        <v>180.6</v>
      </c>
      <c r="F161" s="21">
        <f>IF($B161&lt;=3,'2 - Le opzioni'!$B$56,IF($B161&lt;=7,'2 - Le opzioni'!$B$57,IF($B161&lt;=12,'2 - Le opzioni'!$B$58,'2 - Le opzioni'!$B$59+'2 - Le opzioni'!$B$60*($B161-13))))*'2 - Le opzioni'!$B$61*(0.5+0.5*'1 - Il tuo profilo'!$B$9/'2 - Le opzioni'!$B$63)</f>
        <v>540</v>
      </c>
      <c r="L161" s="21">
        <f t="shared" si="4"/>
        <v>2150.9723999999997</v>
      </c>
      <c r="M161" s="33">
        <f>1/(1+'1 - Il tuo profilo'!$B$13)^A161</f>
        <v>0.81309151134335378</v>
      </c>
    </row>
    <row r="162" spans="1:18">
      <c r="A162" s="26">
        <v>8</v>
      </c>
      <c r="B162" s="26">
        <f>8</f>
        <v>8</v>
      </c>
      <c r="C162" s="21">
        <f>'1 - Il tuo profilo'!$B$9/100*'2 - Le opzioni'!$B$25*'1 - Il tuo profilo'!$B$25</f>
        <v>1021.1724</v>
      </c>
      <c r="D162" s="21">
        <f>'1 - Il tuo profilo'!$B$29+IF($B162&lt;='2 - Le opzioni'!$B$64,'1 - Il tuo profilo'!$B$32,0)</f>
        <v>409.2</v>
      </c>
      <c r="E162" s="21">
        <f>IF($B162&lt;='2 - Le opzioni'!$B$27,'2 - Le opzioni'!$B$26,1)*'2 - Le opzioni'!$B$24*'1 - Il tuo profilo'!$B$30+IF(AND($B162&gt;=4,MOD($B162,2)=0),'1 - Il tuo profilo'!$B$31,0)</f>
        <v>259.62</v>
      </c>
      <c r="F162" s="21">
        <f>IF($B162&lt;=3,'2 - Le opzioni'!$B$56,IF($B162&lt;=7,'2 - Le opzioni'!$B$57,IF($B162&lt;=12,'2 - Le opzioni'!$B$58,'2 - Le opzioni'!$B$59+'2 - Le opzioni'!$B$60*($B162-13))))*'2 - Le opzioni'!$B$61*(0.5+0.5*'1 - Il tuo profilo'!$B$9/'2 - Le opzioni'!$B$63)</f>
        <v>810</v>
      </c>
      <c r="L162" s="21">
        <f t="shared" si="4"/>
        <v>2499.9924000000001</v>
      </c>
      <c r="M162" s="33">
        <f>1/(1+'1 - Il tuo profilo'!$B$13)^A162</f>
        <v>0.78940923431393573</v>
      </c>
    </row>
    <row r="163" spans="1:18">
      <c r="A163" s="26">
        <v>9</v>
      </c>
      <c r="B163" s="26">
        <f>9</f>
        <v>9</v>
      </c>
      <c r="C163" s="21">
        <f>'1 - Il tuo profilo'!$B$9/100*'2 - Le opzioni'!$B$25*'1 - Il tuo profilo'!$B$25</f>
        <v>1021.1724</v>
      </c>
      <c r="D163" s="21">
        <f>'1 - Il tuo profilo'!$B$29+IF($B163&lt;='2 - Le opzioni'!$B$64,'1 - Il tuo profilo'!$B$32,0)</f>
        <v>409.2</v>
      </c>
      <c r="E163" s="21">
        <f>IF($B163&lt;='2 - Le opzioni'!$B$27,'2 - Le opzioni'!$B$26,1)*'2 - Le opzioni'!$B$24*'1 - Il tuo profilo'!$B$30+IF(AND($B163&gt;=4,MOD($B163,2)=0),'1 - Il tuo profilo'!$B$31,0)</f>
        <v>180.6</v>
      </c>
      <c r="F163" s="21">
        <f>IF($B163&lt;=3,'2 - Le opzioni'!$B$56,IF($B163&lt;=7,'2 - Le opzioni'!$B$57,IF($B163&lt;=12,'2 - Le opzioni'!$B$58,'2 - Le opzioni'!$B$59+'2 - Le opzioni'!$B$60*($B163-13))))*'2 - Le opzioni'!$B$61*(0.5+0.5*'1 - Il tuo profilo'!$B$9/'2 - Le opzioni'!$B$63)</f>
        <v>810</v>
      </c>
      <c r="L163" s="21">
        <f t="shared" si="4"/>
        <v>2420.9723999999997</v>
      </c>
      <c r="M163" s="33">
        <f>1/(1+'1 - Il tuo profilo'!$B$13)^A163</f>
        <v>0.76641673234362695</v>
      </c>
    </row>
    <row r="164" spans="1:18">
      <c r="A164" s="26">
        <v>10</v>
      </c>
      <c r="B164" s="26">
        <f>10</f>
        <v>10</v>
      </c>
      <c r="C164" s="21">
        <f>'1 - Il tuo profilo'!$B$9/100*'2 - Le opzioni'!$B$25*'1 - Il tuo profilo'!$B$25</f>
        <v>1021.1724</v>
      </c>
      <c r="D164" s="21">
        <f>'1 - Il tuo profilo'!$B$29+IF($B164&lt;='2 - Le opzioni'!$B$64,'1 - Il tuo profilo'!$B$32,0)</f>
        <v>409.2</v>
      </c>
      <c r="E164" s="21">
        <f>IF($B164&lt;='2 - Le opzioni'!$B$27,'2 - Le opzioni'!$B$26,1)*'2 - Le opzioni'!$B$24*'1 - Il tuo profilo'!$B$30+IF(AND($B164&gt;=4,MOD($B164,2)=0),'1 - Il tuo profilo'!$B$31,0)</f>
        <v>259.62</v>
      </c>
      <c r="F164" s="21">
        <f>IF($B164&lt;=3,'2 - Le opzioni'!$B$56,IF($B164&lt;=7,'2 - Le opzioni'!$B$57,IF($B164&lt;=12,'2 - Le opzioni'!$B$58,'2 - Le opzioni'!$B$59+'2 - Le opzioni'!$B$60*($B164-13))))*'2 - Le opzioni'!$B$61*(0.5+0.5*'1 - Il tuo profilo'!$B$9/'2 - Le opzioni'!$B$63)</f>
        <v>810</v>
      </c>
      <c r="G164" s="21">
        <f>-('2 - Le opzioni'!$B$23*IF(10&gt;=MAX('2 - Le opzioni'!$B$67:$K$67),0,INDEX('2 - Le opzioni'!$B$68:$K$68,MATCH(10,'2 - Le opzioni'!$B$67:$K$67,1))+(INDEX('2 - Le opzioni'!$B$68:$K$68,MATCH(10,'2 - Le opzioni'!$B$67:$K$67,1)+1)-INDEX('2 - Le opzioni'!$B$68:$K$68,MATCH(10,'2 - Le opzioni'!$B$67:$K$67,1)))*(10-INDEX('2 - Le opzioni'!$B$67:$K$67,MATCH(10,'2 - Le opzioni'!$B$67:$K$67,1)))/(INDEX('2 - Le opzioni'!$B$67:$K$67,MATCH(10,'2 - Le opzioni'!$B$67:$K$67,1)+1)-INDEX('2 - Le opzioni'!$B$67:$K$67,MATCH(10,'2 - Le opzioni'!$B$67:$K$67,1)))))</f>
        <v>-5520</v>
      </c>
      <c r="L164" s="21">
        <f t="shared" si="4"/>
        <v>-3020.0075999999999</v>
      </c>
      <c r="M164" s="33">
        <f>1/(1+'1 - Il tuo profilo'!$B$13)^A164</f>
        <v>0.74409391489672516</v>
      </c>
    </row>
    <row r="166" spans="1:18" ht="32.1" customHeight="1">
      <c r="A166" s="30" t="s">
        <v>285</v>
      </c>
      <c r="B166" s="30" t="s">
        <v>286</v>
      </c>
      <c r="C166" s="30" t="s">
        <v>287</v>
      </c>
      <c r="D166" s="30" t="s">
        <v>288</v>
      </c>
      <c r="E166" s="30" t="s">
        <v>289</v>
      </c>
      <c r="F166" s="30" t="s">
        <v>290</v>
      </c>
      <c r="G166" s="30" t="s">
        <v>291</v>
      </c>
      <c r="H166" s="30" t="s">
        <v>292</v>
      </c>
      <c r="I166" s="30" t="s">
        <v>225</v>
      </c>
      <c r="J166" s="30" t="s">
        <v>293</v>
      </c>
      <c r="K166" s="30" t="s">
        <v>294</v>
      </c>
      <c r="L166" s="30" t="s">
        <v>295</v>
      </c>
      <c r="M166" s="30" t="s">
        <v>227</v>
      </c>
    </row>
    <row r="167" spans="1:18">
      <c r="A167" s="21">
        <f>L154+NPV('1 - Il tuo profilo'!$B$13,L155:L164)+E167+G167</f>
        <v>35214.316180379974</v>
      </c>
      <c r="B167" s="21">
        <f>SUM(L154:L164)+F167+H167</f>
        <v>37239.304000000004</v>
      </c>
      <c r="C167" s="26">
        <f>10</f>
        <v>10</v>
      </c>
      <c r="D167" s="33">
        <f>PV('1 - Il tuo profilo'!$B$13,C167,-1)</f>
        <v>8.5302028367758282</v>
      </c>
      <c r="E167" s="21">
        <f>0</f>
        <v>0</v>
      </c>
      <c r="F167" s="21">
        <f>0</f>
        <v>0</v>
      </c>
      <c r="G167" s="21">
        <f>0</f>
        <v>0</v>
      </c>
      <c r="H167" s="21">
        <f>0</f>
        <v>0</v>
      </c>
      <c r="I167" s="21">
        <f>IF(C167&gt;=10,A167,A167/D167*'2 - Le opzioni'!$B$112-'1 - Il tuo profilo'!$B$33)</f>
        <v>35214.316180379974</v>
      </c>
      <c r="J167" s="21">
        <f>IF(C167&gt;=10,B167,B167*10/C167-'1 - Il tuo profilo'!$B$33)</f>
        <v>37239.304000000004</v>
      </c>
      <c r="K167" s="18">
        <f>I167/'2 - Le opzioni'!$B$112</f>
        <v>4128.1921255802135</v>
      </c>
      <c r="L167" s="18">
        <f>K167/12</f>
        <v>344.01601046501781</v>
      </c>
      <c r="M167" s="31">
        <f>K167/'1 - Il tuo profilo'!$B$9</f>
        <v>0.34401601046501779</v>
      </c>
    </row>
    <row r="168" spans="1:18" ht="32.1" customHeight="1">
      <c r="A168" s="30" t="s">
        <v>296</v>
      </c>
      <c r="B168" s="30" t="s">
        <v>297</v>
      </c>
      <c r="C168" s="30" t="s">
        <v>298</v>
      </c>
      <c r="D168" s="30" t="s">
        <v>299</v>
      </c>
      <c r="E168" s="30" t="s">
        <v>300</v>
      </c>
      <c r="F168" s="30" t="s">
        <v>301</v>
      </c>
      <c r="G168" s="30" t="s">
        <v>302</v>
      </c>
      <c r="H168" s="30" t="s">
        <v>303</v>
      </c>
      <c r="I168" s="30" t="s">
        <v>304</v>
      </c>
      <c r="J168" s="30" t="s">
        <v>305</v>
      </c>
      <c r="K168" s="30" t="s">
        <v>306</v>
      </c>
      <c r="L168" s="30" t="s">
        <v>307</v>
      </c>
      <c r="M168" s="30" t="s">
        <v>308</v>
      </c>
      <c r="N168" s="30" t="s">
        <v>309</v>
      </c>
      <c r="O168" s="30" t="s">
        <v>310</v>
      </c>
      <c r="P168" s="30" t="s">
        <v>311</v>
      </c>
      <c r="Q168" s="30" t="s">
        <v>312</v>
      </c>
      <c r="R168" s="30" t="s">
        <v>313</v>
      </c>
    </row>
    <row r="169" spans="1:18">
      <c r="A169" s="21">
        <f>SUMPRODUCT(G154:G164,M154:M164)</f>
        <v>15892.601589770078</v>
      </c>
      <c r="B169" s="21">
        <f>SUMPRODUCT(H154:H164,M154:M164)</f>
        <v>0</v>
      </c>
      <c r="C169" s="21">
        <f>SUMPRODUCT(I154:I164,M154:M164)+G167</f>
        <v>0</v>
      </c>
      <c r="D169" s="21">
        <f>SUMPRODUCT(C154:C164,M154:M164)</f>
        <v>8710.8077033171812</v>
      </c>
      <c r="E169" s="21">
        <f>SUMPRODUCT(D154:D164,M154:M164)</f>
        <v>4635.4857976073035</v>
      </c>
      <c r="F169" s="21">
        <f>SUMPRODUCT(E154:E164,M154:M164)</f>
        <v>1384.570744658115</v>
      </c>
      <c r="G169" s="21">
        <f>SUMPRODUCT(F154:F164,M154:M164)</f>
        <v>4590.850345027302</v>
      </c>
      <c r="H169" s="21">
        <f>SUMPRODUCT(J154:J164,M154:M164)</f>
        <v>0</v>
      </c>
      <c r="I169" s="21">
        <f>SUMPRODUCT(K154:K164,M154:M164)</f>
        <v>0</v>
      </c>
      <c r="J169" s="18">
        <f t="shared" ref="J169:R169" si="5">A169/$D167/12</f>
        <v>155.25814463689261</v>
      </c>
      <c r="K169" s="18">
        <f t="shared" si="5"/>
        <v>0</v>
      </c>
      <c r="L169" s="18">
        <f t="shared" si="5"/>
        <v>0</v>
      </c>
      <c r="M169" s="18">
        <f t="shared" si="5"/>
        <v>85.097700000000003</v>
      </c>
      <c r="N169" s="18">
        <f t="shared" si="5"/>
        <v>45.285029034543875</v>
      </c>
      <c r="O169" s="18">
        <f t="shared" si="5"/>
        <v>13.526160818912826</v>
      </c>
      <c r="P169" s="18">
        <f t="shared" si="5"/>
        <v>44.848975974668541</v>
      </c>
      <c r="Q169" s="18">
        <f t="shared" si="5"/>
        <v>0</v>
      </c>
      <c r="R169" s="18">
        <f t="shared" si="5"/>
        <v>0</v>
      </c>
    </row>
    <row r="171" spans="1:18">
      <c r="A171" s="2" t="s">
        <v>316</v>
      </c>
    </row>
    <row r="172" spans="1:18" ht="32.1" customHeight="1">
      <c r="A172" s="30" t="s">
        <v>272</v>
      </c>
      <c r="B172" s="30" t="s">
        <v>273</v>
      </c>
      <c r="C172" s="30" t="s">
        <v>274</v>
      </c>
      <c r="D172" s="30" t="s">
        <v>275</v>
      </c>
      <c r="E172" s="30" t="s">
        <v>276</v>
      </c>
      <c r="F172" s="30" t="s">
        <v>277</v>
      </c>
      <c r="G172" s="30" t="s">
        <v>278</v>
      </c>
      <c r="H172" s="30" t="s">
        <v>279</v>
      </c>
      <c r="I172" s="30" t="s">
        <v>280</v>
      </c>
      <c r="J172" s="30" t="s">
        <v>281</v>
      </c>
      <c r="K172" s="30" t="s">
        <v>282</v>
      </c>
      <c r="L172" s="30" t="s">
        <v>283</v>
      </c>
      <c r="M172" s="30" t="s">
        <v>284</v>
      </c>
    </row>
    <row r="173" spans="1:18">
      <c r="A173" s="26">
        <v>0</v>
      </c>
      <c r="G173" s="21">
        <f>-'1 - Il tuo profilo'!$B$33+'2 - Le opzioni'!$B$28</f>
        <v>23000</v>
      </c>
      <c r="L173" s="21">
        <f t="shared" ref="L173:L183" si="6">SUM(C173:K173)</f>
        <v>23000</v>
      </c>
      <c r="M173" s="33">
        <f>1/(1+'1 - Il tuo profilo'!$B$13)^A173</f>
        <v>1</v>
      </c>
    </row>
    <row r="174" spans="1:18">
      <c r="A174" s="26">
        <v>1</v>
      </c>
      <c r="B174" s="26">
        <f>1</f>
        <v>1</v>
      </c>
      <c r="C174" s="21">
        <f>'1 - Il tuo profilo'!$B$9/100*'2 - Le opzioni'!$B$30*((1-'1 - Il tuo profilo'!$B$28)*'1 - Il tuo profilo'!$B$26+'1 - Il tuo profilo'!$B$28*'1 - Il tuo profilo'!$B$27)</f>
        <v>666.95760000000007</v>
      </c>
      <c r="D174" s="21">
        <f>'1 - Il tuo profilo'!$B$29+IF($B174&lt;='2 - Le opzioni'!$B$64,'1 - Il tuo profilo'!$B$32,0)</f>
        <v>659.2</v>
      </c>
      <c r="E174" s="21">
        <f>IF($B174&lt;='2 - Le opzioni'!$B$31,0,'2 - Le opzioni'!$B$32)*'2 - Le opzioni'!$B$29*'1 - Il tuo profilo'!$B$30+IF(AND($B174&gt;=4,MOD($B174,2)=0),'1 - Il tuo profilo'!$B$31,0)</f>
        <v>0</v>
      </c>
      <c r="F174" s="21">
        <f>IF($B174&lt;=3,'2 - Le opzioni'!$B$56,IF($B174&lt;=7,'2 - Le opzioni'!$B$57,IF($B174&lt;=12,'2 - Le opzioni'!$B$58,'2 - Le opzioni'!$B$59+'2 - Le opzioni'!$B$60*($B174-13))))*'2 - Le opzioni'!$B$62*(0.5+0.5*'1 - Il tuo profilo'!$B$9/'2 - Le opzioni'!$B$63)</f>
        <v>244.99999999999997</v>
      </c>
      <c r="L174" s="21">
        <f t="shared" si="6"/>
        <v>1571.1576</v>
      </c>
      <c r="M174" s="33">
        <f>1/(1+'1 - Il tuo profilo'!$B$13)^A174</f>
        <v>0.970873786407767</v>
      </c>
    </row>
    <row r="175" spans="1:18">
      <c r="A175" s="26">
        <v>2</v>
      </c>
      <c r="B175" s="26">
        <f>2</f>
        <v>2</v>
      </c>
      <c r="C175" s="21">
        <f>'1 - Il tuo profilo'!$B$9/100*'2 - Le opzioni'!$B$30*((1-'1 - Il tuo profilo'!$B$28)*'1 - Il tuo profilo'!$B$26+'1 - Il tuo profilo'!$B$28*'1 - Il tuo profilo'!$B$27)</f>
        <v>666.95760000000007</v>
      </c>
      <c r="D175" s="21">
        <f>'1 - Il tuo profilo'!$B$29+IF($B175&lt;='2 - Le opzioni'!$B$64,'1 - Il tuo profilo'!$B$32,0)</f>
        <v>659.2</v>
      </c>
      <c r="E175" s="21">
        <f>IF($B175&lt;='2 - Le opzioni'!$B$31,0,'2 - Le opzioni'!$B$32)*'2 - Le opzioni'!$B$29*'1 - Il tuo profilo'!$B$30+IF(AND($B175&gt;=4,MOD($B175,2)=0),'1 - Il tuo profilo'!$B$31,0)</f>
        <v>0</v>
      </c>
      <c r="F175" s="21">
        <f>IF($B175&lt;=3,'2 - Le opzioni'!$B$56,IF($B175&lt;=7,'2 - Le opzioni'!$B$57,IF($B175&lt;=12,'2 - Le opzioni'!$B$58,'2 - Le opzioni'!$B$59+'2 - Le opzioni'!$B$60*($B175-13))))*'2 - Le opzioni'!$B$62*(0.5+0.5*'1 - Il tuo profilo'!$B$9/'2 - Le opzioni'!$B$63)</f>
        <v>244.99999999999997</v>
      </c>
      <c r="L175" s="21">
        <f t="shared" si="6"/>
        <v>1571.1576</v>
      </c>
      <c r="M175" s="33">
        <f>1/(1+'1 - Il tuo profilo'!$B$13)^A175</f>
        <v>0.94259590913375435</v>
      </c>
    </row>
    <row r="176" spans="1:18">
      <c r="A176" s="26">
        <v>3</v>
      </c>
      <c r="B176" s="26">
        <f>3</f>
        <v>3</v>
      </c>
      <c r="C176" s="21">
        <f>'1 - Il tuo profilo'!$B$9/100*'2 - Le opzioni'!$B$30*((1-'1 - Il tuo profilo'!$B$28)*'1 - Il tuo profilo'!$B$26+'1 - Il tuo profilo'!$B$28*'1 - Il tuo profilo'!$B$27)</f>
        <v>666.95760000000007</v>
      </c>
      <c r="D176" s="21">
        <f>'1 - Il tuo profilo'!$B$29+IF($B176&lt;='2 - Le opzioni'!$B$64,'1 - Il tuo profilo'!$B$32,0)</f>
        <v>659.2</v>
      </c>
      <c r="E176" s="21">
        <f>IF($B176&lt;='2 - Le opzioni'!$B$31,0,'2 - Le opzioni'!$B$32)*'2 - Le opzioni'!$B$29*'1 - Il tuo profilo'!$B$30+IF(AND($B176&gt;=4,MOD($B176,2)=0),'1 - Il tuo profilo'!$B$31,0)</f>
        <v>0</v>
      </c>
      <c r="F176" s="21">
        <f>IF($B176&lt;=3,'2 - Le opzioni'!$B$56,IF($B176&lt;=7,'2 - Le opzioni'!$B$57,IF($B176&lt;=12,'2 - Le opzioni'!$B$58,'2 - Le opzioni'!$B$59+'2 - Le opzioni'!$B$60*($B176-13))))*'2 - Le opzioni'!$B$62*(0.5+0.5*'1 - Il tuo profilo'!$B$9/'2 - Le opzioni'!$B$63)</f>
        <v>244.99999999999997</v>
      </c>
      <c r="L176" s="21">
        <f t="shared" si="6"/>
        <v>1571.1576</v>
      </c>
      <c r="M176" s="33">
        <f>1/(1+'1 - Il tuo profilo'!$B$13)^A176</f>
        <v>0.91514165935315961</v>
      </c>
    </row>
    <row r="177" spans="1:18">
      <c r="A177" s="26">
        <v>4</v>
      </c>
      <c r="B177" s="26">
        <f>4</f>
        <v>4</v>
      </c>
      <c r="C177" s="21">
        <f>'1 - Il tuo profilo'!$B$9/100*'2 - Le opzioni'!$B$30*((1-'1 - Il tuo profilo'!$B$28)*'1 - Il tuo profilo'!$B$26+'1 - Il tuo profilo'!$B$28*'1 - Il tuo profilo'!$B$27)</f>
        <v>666.95760000000007</v>
      </c>
      <c r="D177" s="21">
        <f>'1 - Il tuo profilo'!$B$29+IF($B177&lt;='2 - Le opzioni'!$B$64,'1 - Il tuo profilo'!$B$32,0)</f>
        <v>659.2</v>
      </c>
      <c r="E177" s="21">
        <f>IF($B177&lt;='2 - Le opzioni'!$B$31,0,'2 - Le opzioni'!$B$32)*'2 - Le opzioni'!$B$29*'1 - Il tuo profilo'!$B$30+IF(AND($B177&gt;=4,MOD($B177,2)=0),'1 - Il tuo profilo'!$B$31,0)</f>
        <v>79.02</v>
      </c>
      <c r="F177" s="21">
        <f>IF($B177&lt;=3,'2 - Le opzioni'!$B$56,IF($B177&lt;=7,'2 - Le opzioni'!$B$57,IF($B177&lt;=12,'2 - Le opzioni'!$B$58,'2 - Le opzioni'!$B$59+'2 - Le opzioni'!$B$60*($B177-13))))*'2 - Le opzioni'!$B$62*(0.5+0.5*'1 - Il tuo profilo'!$B$9/'2 - Le opzioni'!$B$63)</f>
        <v>420</v>
      </c>
      <c r="L177" s="21">
        <f t="shared" si="6"/>
        <v>1825.1776</v>
      </c>
      <c r="M177" s="33">
        <f>1/(1+'1 - Il tuo profilo'!$B$13)^A177</f>
        <v>0.888487047915689</v>
      </c>
    </row>
    <row r="178" spans="1:18">
      <c r="A178" s="26">
        <v>5</v>
      </c>
      <c r="B178" s="26">
        <f>5</f>
        <v>5</v>
      </c>
      <c r="C178" s="21">
        <f>'1 - Il tuo profilo'!$B$9/100*'2 - Le opzioni'!$B$30*((1-'1 - Il tuo profilo'!$B$28)*'1 - Il tuo profilo'!$B$26+'1 - Il tuo profilo'!$B$28*'1 - Il tuo profilo'!$B$27)</f>
        <v>666.95760000000007</v>
      </c>
      <c r="D178" s="21">
        <f>'1 - Il tuo profilo'!$B$29+IF($B178&lt;='2 - Le opzioni'!$B$64,'1 - Il tuo profilo'!$B$32,0)</f>
        <v>659.2</v>
      </c>
      <c r="E178" s="21">
        <f>IF($B178&lt;='2 - Le opzioni'!$B$31,0,'2 - Le opzioni'!$B$32)*'2 - Le opzioni'!$B$29*'1 - Il tuo profilo'!$B$30+IF(AND($B178&gt;=4,MOD($B178,2)=0),'1 - Il tuo profilo'!$B$31,0)</f>
        <v>0</v>
      </c>
      <c r="F178" s="21">
        <f>IF($B178&lt;=3,'2 - Le opzioni'!$B$56,IF($B178&lt;=7,'2 - Le opzioni'!$B$57,IF($B178&lt;=12,'2 - Le opzioni'!$B$58,'2 - Le opzioni'!$B$59+'2 - Le opzioni'!$B$60*($B178-13))))*'2 - Le opzioni'!$B$62*(0.5+0.5*'1 - Il tuo profilo'!$B$9/'2 - Le opzioni'!$B$63)</f>
        <v>420</v>
      </c>
      <c r="L178" s="21">
        <f t="shared" si="6"/>
        <v>1746.1576</v>
      </c>
      <c r="M178" s="33">
        <f>1/(1+'1 - Il tuo profilo'!$B$13)^A178</f>
        <v>0.86260878438416411</v>
      </c>
    </row>
    <row r="179" spans="1:18">
      <c r="A179" s="26">
        <v>6</v>
      </c>
      <c r="B179" s="26">
        <f>6</f>
        <v>6</v>
      </c>
      <c r="C179" s="21">
        <f>'1 - Il tuo profilo'!$B$9/100*'2 - Le opzioni'!$B$30*((1-'1 - Il tuo profilo'!$B$28)*'1 - Il tuo profilo'!$B$26+'1 - Il tuo profilo'!$B$28*'1 - Il tuo profilo'!$B$27)</f>
        <v>666.95760000000007</v>
      </c>
      <c r="D179" s="21">
        <f>'1 - Il tuo profilo'!$B$29+IF($B179&lt;='2 - Le opzioni'!$B$64,'1 - Il tuo profilo'!$B$32,0)</f>
        <v>409.2</v>
      </c>
      <c r="E179" s="21">
        <f>IF($B179&lt;='2 - Le opzioni'!$B$31,0,'2 - Le opzioni'!$B$32)*'2 - Le opzioni'!$B$29*'1 - Il tuo profilo'!$B$30+IF(AND($B179&gt;=4,MOD($B179,2)=0),'1 - Il tuo profilo'!$B$31,0)</f>
        <v>133.845</v>
      </c>
      <c r="F179" s="21">
        <f>IF($B179&lt;=3,'2 - Le opzioni'!$B$56,IF($B179&lt;=7,'2 - Le opzioni'!$B$57,IF($B179&lt;=12,'2 - Le opzioni'!$B$58,'2 - Le opzioni'!$B$59+'2 - Le opzioni'!$B$60*($B179-13))))*'2 - Le opzioni'!$B$62*(0.5+0.5*'1 - Il tuo profilo'!$B$9/'2 - Le opzioni'!$B$63)</f>
        <v>420</v>
      </c>
      <c r="L179" s="21">
        <f t="shared" si="6"/>
        <v>1630.0026</v>
      </c>
      <c r="M179" s="33">
        <f>1/(1+'1 - Il tuo profilo'!$B$13)^A179</f>
        <v>0.83748425668365445</v>
      </c>
    </row>
    <row r="180" spans="1:18">
      <c r="A180" s="26">
        <v>7</v>
      </c>
      <c r="B180" s="26">
        <f>7</f>
        <v>7</v>
      </c>
      <c r="C180" s="21">
        <f>'1 - Il tuo profilo'!$B$9/100*'2 - Le opzioni'!$B$30*((1-'1 - Il tuo profilo'!$B$28)*'1 - Il tuo profilo'!$B$26+'1 - Il tuo profilo'!$B$28*'1 - Il tuo profilo'!$B$27)</f>
        <v>666.95760000000007</v>
      </c>
      <c r="D180" s="21">
        <f>'1 - Il tuo profilo'!$B$29+IF($B180&lt;='2 - Le opzioni'!$B$64,'1 - Il tuo profilo'!$B$32,0)</f>
        <v>409.2</v>
      </c>
      <c r="E180" s="21">
        <f>IF($B180&lt;='2 - Le opzioni'!$B$31,0,'2 - Le opzioni'!$B$32)*'2 - Le opzioni'!$B$29*'1 - Il tuo profilo'!$B$30+IF(AND($B180&gt;=4,MOD($B180,2)=0),'1 - Il tuo profilo'!$B$31,0)</f>
        <v>54.825000000000003</v>
      </c>
      <c r="F180" s="21">
        <f>IF($B180&lt;=3,'2 - Le opzioni'!$B$56,IF($B180&lt;=7,'2 - Le opzioni'!$B$57,IF($B180&lt;=12,'2 - Le opzioni'!$B$58,'2 - Le opzioni'!$B$59+'2 - Le opzioni'!$B$60*($B180-13))))*'2 - Le opzioni'!$B$62*(0.5+0.5*'1 - Il tuo profilo'!$B$9/'2 - Le opzioni'!$B$63)</f>
        <v>420</v>
      </c>
      <c r="L180" s="21">
        <f t="shared" si="6"/>
        <v>1550.9826</v>
      </c>
      <c r="M180" s="33">
        <f>1/(1+'1 - Il tuo profilo'!$B$13)^A180</f>
        <v>0.81309151134335378</v>
      </c>
    </row>
    <row r="181" spans="1:18">
      <c r="A181" s="26">
        <v>8</v>
      </c>
      <c r="B181" s="26">
        <f>8</f>
        <v>8</v>
      </c>
      <c r="C181" s="21">
        <f>'1 - Il tuo profilo'!$B$9/100*'2 - Le opzioni'!$B$30*((1-'1 - Il tuo profilo'!$B$28)*'1 - Il tuo profilo'!$B$26+'1 - Il tuo profilo'!$B$28*'1 - Il tuo profilo'!$B$27)</f>
        <v>666.95760000000007</v>
      </c>
      <c r="D181" s="21">
        <f>'1 - Il tuo profilo'!$B$29+IF($B181&lt;='2 - Le opzioni'!$B$64,'1 - Il tuo profilo'!$B$32,0)</f>
        <v>409.2</v>
      </c>
      <c r="E181" s="21">
        <f>IF($B181&lt;='2 - Le opzioni'!$B$31,0,'2 - Le opzioni'!$B$32)*'2 - Le opzioni'!$B$29*'1 - Il tuo profilo'!$B$30+IF(AND($B181&gt;=4,MOD($B181,2)=0),'1 - Il tuo profilo'!$B$31,0)</f>
        <v>133.845</v>
      </c>
      <c r="F181" s="21">
        <f>IF($B181&lt;=3,'2 - Le opzioni'!$B$56,IF($B181&lt;=7,'2 - Le opzioni'!$B$57,IF($B181&lt;=12,'2 - Le opzioni'!$B$58,'2 - Le opzioni'!$B$59+'2 - Le opzioni'!$B$60*($B181-13))))*'2 - Le opzioni'!$B$62*(0.5+0.5*'1 - Il tuo profilo'!$B$9/'2 - Le opzioni'!$B$63)</f>
        <v>630</v>
      </c>
      <c r="L181" s="21">
        <f t="shared" si="6"/>
        <v>1840.0026</v>
      </c>
      <c r="M181" s="33">
        <f>1/(1+'1 - Il tuo profilo'!$B$13)^A181</f>
        <v>0.78940923431393573</v>
      </c>
    </row>
    <row r="182" spans="1:18">
      <c r="A182" s="26">
        <v>9</v>
      </c>
      <c r="B182" s="26">
        <f>9</f>
        <v>9</v>
      </c>
      <c r="C182" s="21">
        <f>'1 - Il tuo profilo'!$B$9/100*'2 - Le opzioni'!$B$30*((1-'1 - Il tuo profilo'!$B$28)*'1 - Il tuo profilo'!$B$26+'1 - Il tuo profilo'!$B$28*'1 - Il tuo profilo'!$B$27)</f>
        <v>666.95760000000007</v>
      </c>
      <c r="D182" s="21">
        <f>'1 - Il tuo profilo'!$B$29+IF($B182&lt;='2 - Le opzioni'!$B$64,'1 - Il tuo profilo'!$B$32,0)</f>
        <v>409.2</v>
      </c>
      <c r="E182" s="21">
        <f>IF($B182&lt;='2 - Le opzioni'!$B$31,0,'2 - Le opzioni'!$B$32)*'2 - Le opzioni'!$B$29*'1 - Il tuo profilo'!$B$30+IF(AND($B182&gt;=4,MOD($B182,2)=0),'1 - Il tuo profilo'!$B$31,0)</f>
        <v>54.825000000000003</v>
      </c>
      <c r="F182" s="21">
        <f>IF($B182&lt;=3,'2 - Le opzioni'!$B$56,IF($B182&lt;=7,'2 - Le opzioni'!$B$57,IF($B182&lt;=12,'2 - Le opzioni'!$B$58,'2 - Le opzioni'!$B$59+'2 - Le opzioni'!$B$60*($B182-13))))*'2 - Le opzioni'!$B$62*(0.5+0.5*'1 - Il tuo profilo'!$B$9/'2 - Le opzioni'!$B$63)</f>
        <v>630</v>
      </c>
      <c r="L182" s="21">
        <f t="shared" si="6"/>
        <v>1760.9826</v>
      </c>
      <c r="M182" s="33">
        <f>1/(1+'1 - Il tuo profilo'!$B$13)^A182</f>
        <v>0.76641673234362695</v>
      </c>
    </row>
    <row r="183" spans="1:18">
      <c r="A183" s="26">
        <v>10</v>
      </c>
      <c r="B183" s="26">
        <f>10</f>
        <v>10</v>
      </c>
      <c r="C183" s="21">
        <f>'1 - Il tuo profilo'!$B$9/100*'2 - Le opzioni'!$B$30*((1-'1 - Il tuo profilo'!$B$28)*'1 - Il tuo profilo'!$B$26+'1 - Il tuo profilo'!$B$28*'1 - Il tuo profilo'!$B$27)</f>
        <v>666.95760000000007</v>
      </c>
      <c r="D183" s="21">
        <f>'1 - Il tuo profilo'!$B$29+IF($B183&lt;='2 - Le opzioni'!$B$64,'1 - Il tuo profilo'!$B$32,0)</f>
        <v>409.2</v>
      </c>
      <c r="E183" s="21">
        <f>IF($B183&lt;='2 - Le opzioni'!$B$31,0,'2 - Le opzioni'!$B$32)*'2 - Le opzioni'!$B$29*'1 - Il tuo profilo'!$B$30+IF(AND($B183&gt;=4,MOD($B183,2)=0),'1 - Il tuo profilo'!$B$31,0)</f>
        <v>133.845</v>
      </c>
      <c r="F183" s="21">
        <f>IF($B183&lt;=3,'2 - Le opzioni'!$B$56,IF($B183&lt;=7,'2 - Le opzioni'!$B$57,IF($B183&lt;=12,'2 - Le opzioni'!$B$58,'2 - Le opzioni'!$B$59+'2 - Le opzioni'!$B$60*($B183-13))))*'2 - Le opzioni'!$B$62*(0.5+0.5*'1 - Il tuo profilo'!$B$9/'2 - Le opzioni'!$B$63)</f>
        <v>630</v>
      </c>
      <c r="G183" s="21">
        <f>-('2 - Le opzioni'!$B$28*IF(10&gt;=MAX('2 - Le opzioni'!$B$67:$K$67),0,INDEX('2 - Le opzioni'!$B$69:$K$69,MATCH(10,'2 - Le opzioni'!$B$67:$K$67,1))+(INDEX('2 - Le opzioni'!$B$69:$K$69,MATCH(10,'2 - Le opzioni'!$B$67:$K$67,1)+1)-INDEX('2 - Le opzioni'!$B$69:$K$69,MATCH(10,'2 - Le opzioni'!$B$67:$K$67,1)))*(10-INDEX('2 - Le opzioni'!$B$67:$K$67,MATCH(10,'2 - Le opzioni'!$B$67:$K$67,1)))/(INDEX('2 - Le opzioni'!$B$67:$K$67,MATCH(10,'2 - Le opzioni'!$B$67:$K$67,1)+1)-INDEX('2 - Le opzioni'!$B$67:$K$67,MATCH(10,'2 - Le opzioni'!$B$67:$K$67,1)))))</f>
        <v>-4420</v>
      </c>
      <c r="L183" s="21">
        <f t="shared" si="6"/>
        <v>-2579.9974000000002</v>
      </c>
      <c r="M183" s="33">
        <f>1/(1+'1 - Il tuo profilo'!$B$13)^A183</f>
        <v>0.74409391489672516</v>
      </c>
    </row>
    <row r="185" spans="1:18" ht="32.1" customHeight="1">
      <c r="A185" s="30" t="s">
        <v>285</v>
      </c>
      <c r="B185" s="30" t="s">
        <v>286</v>
      </c>
      <c r="C185" s="30" t="s">
        <v>287</v>
      </c>
      <c r="D185" s="30" t="s">
        <v>288</v>
      </c>
      <c r="E185" s="30" t="s">
        <v>289</v>
      </c>
      <c r="F185" s="30" t="s">
        <v>290</v>
      </c>
      <c r="G185" s="30" t="s">
        <v>291</v>
      </c>
      <c r="H185" s="30" t="s">
        <v>292</v>
      </c>
      <c r="I185" s="30" t="s">
        <v>225</v>
      </c>
      <c r="J185" s="30" t="s">
        <v>293</v>
      </c>
      <c r="K185" s="30" t="s">
        <v>294</v>
      </c>
      <c r="L185" s="30" t="s">
        <v>295</v>
      </c>
      <c r="M185" s="30" t="s">
        <v>227</v>
      </c>
    </row>
    <row r="186" spans="1:18">
      <c r="A186" s="21">
        <f>L173+NPV('1 - Il tuo profilo'!$B$13,L174:L183)+E186+G186</f>
        <v>34080.685280087018</v>
      </c>
      <c r="B186" s="21">
        <f>SUM(L173:L183)+F186+H186</f>
        <v>35486.781000000003</v>
      </c>
      <c r="C186" s="26">
        <f>10</f>
        <v>10</v>
      </c>
      <c r="D186" s="33">
        <f>PV('1 - Il tuo profilo'!$B$13,C186,-1)</f>
        <v>8.5302028367758282</v>
      </c>
      <c r="E186" s="21">
        <f>0</f>
        <v>0</v>
      </c>
      <c r="F186" s="21">
        <f>0</f>
        <v>0</v>
      </c>
      <c r="G186" s="21">
        <f>0</f>
        <v>0</v>
      </c>
      <c r="H186" s="21">
        <f>0</f>
        <v>0</v>
      </c>
      <c r="I186" s="21">
        <f>IF(C186&gt;=10,A186,A186/D186*'2 - Le opzioni'!$B$112-'1 - Il tuo profilo'!$B$33)</f>
        <v>34080.685280087018</v>
      </c>
      <c r="J186" s="21">
        <f>IF(C186&gt;=10,B186,B186*10/C186-'1 - Il tuo profilo'!$B$33)</f>
        <v>35486.781000000003</v>
      </c>
      <c r="K186" s="18">
        <f>I186/'2 - Le opzioni'!$B$112</f>
        <v>3995.2960008356072</v>
      </c>
      <c r="L186" s="18">
        <f>K186/12</f>
        <v>332.94133340296725</v>
      </c>
      <c r="M186" s="31">
        <f>K186/'1 - Il tuo profilo'!$B$9</f>
        <v>0.33294133340296728</v>
      </c>
    </row>
    <row r="187" spans="1:18" ht="32.1" customHeight="1">
      <c r="A187" s="30" t="s">
        <v>296</v>
      </c>
      <c r="B187" s="30" t="s">
        <v>297</v>
      </c>
      <c r="C187" s="30" t="s">
        <v>298</v>
      </c>
      <c r="D187" s="30" t="s">
        <v>299</v>
      </c>
      <c r="E187" s="30" t="s">
        <v>300</v>
      </c>
      <c r="F187" s="30" t="s">
        <v>301</v>
      </c>
      <c r="G187" s="30" t="s">
        <v>302</v>
      </c>
      <c r="H187" s="30" t="s">
        <v>303</v>
      </c>
      <c r="I187" s="30" t="s">
        <v>304</v>
      </c>
      <c r="J187" s="30" t="s">
        <v>305</v>
      </c>
      <c r="K187" s="30" t="s">
        <v>306</v>
      </c>
      <c r="L187" s="30" t="s">
        <v>307</v>
      </c>
      <c r="M187" s="30" t="s">
        <v>308</v>
      </c>
      <c r="N187" s="30" t="s">
        <v>309</v>
      </c>
      <c r="O187" s="30" t="s">
        <v>310</v>
      </c>
      <c r="P187" s="30" t="s">
        <v>311</v>
      </c>
      <c r="Q187" s="30" t="s">
        <v>312</v>
      </c>
      <c r="R187" s="30" t="s">
        <v>313</v>
      </c>
    </row>
    <row r="188" spans="1:18">
      <c r="A188" s="21">
        <f>SUMPRODUCT(G173:G183,M173:M183)</f>
        <v>19711.104896156474</v>
      </c>
      <c r="B188" s="21">
        <f>SUMPRODUCT(H173:H183,M173:M183)</f>
        <v>0</v>
      </c>
      <c r="C188" s="21">
        <f>SUMPRODUCT(I173:I183,M173:M183)+G186</f>
        <v>0</v>
      </c>
      <c r="D188" s="21">
        <f>SUMPRODUCT(C173:C183,M173:M183)</f>
        <v>5689.2836115291993</v>
      </c>
      <c r="E188" s="21">
        <f>SUMPRODUCT(D173:D183,M173:M183)</f>
        <v>4635.4857976073035</v>
      </c>
      <c r="F188" s="21">
        <f>SUMPRODUCT(E173:E183,M173:M183)</f>
        <v>474.1495953283611</v>
      </c>
      <c r="G188" s="21">
        <f>SUMPRODUCT(F173:F183,M173:M183)</f>
        <v>3570.6613794656796</v>
      </c>
      <c r="H188" s="21">
        <f>SUMPRODUCT(J173:J183,M173:M183)</f>
        <v>0</v>
      </c>
      <c r="I188" s="21">
        <f>SUMPRODUCT(K173:K183,M173:M183)</f>
        <v>0</v>
      </c>
      <c r="J188" s="18">
        <f t="shared" ref="J188:R188" si="7">A188/$D186/12</f>
        <v>192.56190106032213</v>
      </c>
      <c r="K188" s="18">
        <f t="shared" si="7"/>
        <v>0</v>
      </c>
      <c r="L188" s="18">
        <f t="shared" si="7"/>
        <v>0</v>
      </c>
      <c r="M188" s="18">
        <f t="shared" si="7"/>
        <v>55.579800000000013</v>
      </c>
      <c r="N188" s="18">
        <f t="shared" si="7"/>
        <v>45.285029034543875</v>
      </c>
      <c r="O188" s="18">
        <f t="shared" si="7"/>
        <v>4.6320664389145998</v>
      </c>
      <c r="P188" s="18">
        <f t="shared" si="7"/>
        <v>34.882536869186644</v>
      </c>
      <c r="Q188" s="18">
        <f t="shared" si="7"/>
        <v>0</v>
      </c>
      <c r="R188" s="18">
        <f t="shared" si="7"/>
        <v>0</v>
      </c>
    </row>
    <row r="190" spans="1:18">
      <c r="A190" s="2" t="s">
        <v>317</v>
      </c>
    </row>
    <row r="191" spans="1:18" ht="32.1" customHeight="1">
      <c r="A191" s="30" t="s">
        <v>272</v>
      </c>
      <c r="B191" s="30" t="s">
        <v>273</v>
      </c>
      <c r="C191" s="30" t="s">
        <v>274</v>
      </c>
      <c r="D191" s="30" t="s">
        <v>275</v>
      </c>
      <c r="E191" s="30" t="s">
        <v>276</v>
      </c>
      <c r="F191" s="30" t="s">
        <v>277</v>
      </c>
      <c r="G191" s="30" t="s">
        <v>278</v>
      </c>
      <c r="H191" s="30" t="s">
        <v>279</v>
      </c>
      <c r="I191" s="30" t="s">
        <v>280</v>
      </c>
      <c r="J191" s="30" t="s">
        <v>281</v>
      </c>
      <c r="K191" s="30" t="s">
        <v>282</v>
      </c>
      <c r="L191" s="30" t="s">
        <v>283</v>
      </c>
      <c r="M191" s="30" t="s">
        <v>284</v>
      </c>
    </row>
    <row r="192" spans="1:18">
      <c r="A192" s="26">
        <v>0</v>
      </c>
      <c r="G192" s="21">
        <f>-'1 - Il tuo profilo'!$B$33+'2 - Le opzioni'!$B$28</f>
        <v>23000</v>
      </c>
      <c r="L192" s="21">
        <f t="shared" ref="L192:L202" si="8">SUM(C192:K192)</f>
        <v>23000</v>
      </c>
      <c r="M192" s="33">
        <f>1/(1+'1 - Il tuo profilo'!$B$13)^A192</f>
        <v>1</v>
      </c>
    </row>
    <row r="193" spans="1:18">
      <c r="A193" s="26">
        <v>1</v>
      </c>
      <c r="B193" s="26">
        <f>1</f>
        <v>1</v>
      </c>
      <c r="C193" s="21">
        <f>'1 - Il tuo profilo'!$B$9/100*'2 - Le opzioni'!$B$30*((1-'2 - Le opzioni'!$B$33)*'1 - Il tuo profilo'!$B$26+'2 - Le opzioni'!$B$33*'1 - Il tuo profilo'!$B$27)</f>
        <v>1100.2128</v>
      </c>
      <c r="D193" s="21">
        <f>'1 - Il tuo profilo'!$B$29+IF($B193&lt;='2 - Le opzioni'!$B$64,'1 - Il tuo profilo'!$B$32,0)</f>
        <v>659.2</v>
      </c>
      <c r="E193" s="21">
        <f>IF($B193&lt;='2 - Le opzioni'!$B$31,0,'2 - Le opzioni'!$B$32)*'2 - Le opzioni'!$B$29*'1 - Il tuo profilo'!$B$30+IF(AND($B193&gt;=4,MOD($B193,2)=0),'1 - Il tuo profilo'!$B$31,0)</f>
        <v>0</v>
      </c>
      <c r="F193" s="21">
        <f>IF($B193&lt;=3,'2 - Le opzioni'!$B$56,IF($B193&lt;=7,'2 - Le opzioni'!$B$57,IF($B193&lt;=12,'2 - Le opzioni'!$B$58,'2 - Le opzioni'!$B$59+'2 - Le opzioni'!$B$60*($B193-13))))*'2 - Le opzioni'!$B$62*(0.5+0.5*'1 - Il tuo profilo'!$B$9/'2 - Le opzioni'!$B$63)</f>
        <v>244.99999999999997</v>
      </c>
      <c r="L193" s="21">
        <f t="shared" si="8"/>
        <v>2004.4128000000001</v>
      </c>
      <c r="M193" s="33">
        <f>1/(1+'1 - Il tuo profilo'!$B$13)^A193</f>
        <v>0.970873786407767</v>
      </c>
    </row>
    <row r="194" spans="1:18">
      <c r="A194" s="26">
        <v>2</v>
      </c>
      <c r="B194" s="26">
        <f>2</f>
        <v>2</v>
      </c>
      <c r="C194" s="21">
        <f>'1 - Il tuo profilo'!$B$9/100*'2 - Le opzioni'!$B$30*((1-'2 - Le opzioni'!$B$33)*'1 - Il tuo profilo'!$B$26+'2 - Le opzioni'!$B$33*'1 - Il tuo profilo'!$B$27)</f>
        <v>1100.2128</v>
      </c>
      <c r="D194" s="21">
        <f>'1 - Il tuo profilo'!$B$29+IF($B194&lt;='2 - Le opzioni'!$B$64,'1 - Il tuo profilo'!$B$32,0)</f>
        <v>659.2</v>
      </c>
      <c r="E194" s="21">
        <f>IF($B194&lt;='2 - Le opzioni'!$B$31,0,'2 - Le opzioni'!$B$32)*'2 - Le opzioni'!$B$29*'1 - Il tuo profilo'!$B$30+IF(AND($B194&gt;=4,MOD($B194,2)=0),'1 - Il tuo profilo'!$B$31,0)</f>
        <v>0</v>
      </c>
      <c r="F194" s="21">
        <f>IF($B194&lt;=3,'2 - Le opzioni'!$B$56,IF($B194&lt;=7,'2 - Le opzioni'!$B$57,IF($B194&lt;=12,'2 - Le opzioni'!$B$58,'2 - Le opzioni'!$B$59+'2 - Le opzioni'!$B$60*($B194-13))))*'2 - Le opzioni'!$B$62*(0.5+0.5*'1 - Il tuo profilo'!$B$9/'2 - Le opzioni'!$B$63)</f>
        <v>244.99999999999997</v>
      </c>
      <c r="L194" s="21">
        <f t="shared" si="8"/>
        <v>2004.4128000000001</v>
      </c>
      <c r="M194" s="33">
        <f>1/(1+'1 - Il tuo profilo'!$B$13)^A194</f>
        <v>0.94259590913375435</v>
      </c>
    </row>
    <row r="195" spans="1:18">
      <c r="A195" s="26">
        <v>3</v>
      </c>
      <c r="B195" s="26">
        <f>3</f>
        <v>3</v>
      </c>
      <c r="C195" s="21">
        <f>'1 - Il tuo profilo'!$B$9/100*'2 - Le opzioni'!$B$30*((1-'2 - Le opzioni'!$B$33)*'1 - Il tuo profilo'!$B$26+'2 - Le opzioni'!$B$33*'1 - Il tuo profilo'!$B$27)</f>
        <v>1100.2128</v>
      </c>
      <c r="D195" s="21">
        <f>'1 - Il tuo profilo'!$B$29+IF($B195&lt;='2 - Le opzioni'!$B$64,'1 - Il tuo profilo'!$B$32,0)</f>
        <v>659.2</v>
      </c>
      <c r="E195" s="21">
        <f>IF($B195&lt;='2 - Le opzioni'!$B$31,0,'2 - Le opzioni'!$B$32)*'2 - Le opzioni'!$B$29*'1 - Il tuo profilo'!$B$30+IF(AND($B195&gt;=4,MOD($B195,2)=0),'1 - Il tuo profilo'!$B$31,0)</f>
        <v>0</v>
      </c>
      <c r="F195" s="21">
        <f>IF($B195&lt;=3,'2 - Le opzioni'!$B$56,IF($B195&lt;=7,'2 - Le opzioni'!$B$57,IF($B195&lt;=12,'2 - Le opzioni'!$B$58,'2 - Le opzioni'!$B$59+'2 - Le opzioni'!$B$60*($B195-13))))*'2 - Le opzioni'!$B$62*(0.5+0.5*'1 - Il tuo profilo'!$B$9/'2 - Le opzioni'!$B$63)</f>
        <v>244.99999999999997</v>
      </c>
      <c r="L195" s="21">
        <f t="shared" si="8"/>
        <v>2004.4128000000001</v>
      </c>
      <c r="M195" s="33">
        <f>1/(1+'1 - Il tuo profilo'!$B$13)^A195</f>
        <v>0.91514165935315961</v>
      </c>
    </row>
    <row r="196" spans="1:18">
      <c r="A196" s="26">
        <v>4</v>
      </c>
      <c r="B196" s="26">
        <f>4</f>
        <v>4</v>
      </c>
      <c r="C196" s="21">
        <f>'1 - Il tuo profilo'!$B$9/100*'2 - Le opzioni'!$B$30*((1-'2 - Le opzioni'!$B$33)*'1 - Il tuo profilo'!$B$26+'2 - Le opzioni'!$B$33*'1 - Il tuo profilo'!$B$27)</f>
        <v>1100.2128</v>
      </c>
      <c r="D196" s="21">
        <f>'1 - Il tuo profilo'!$B$29+IF($B196&lt;='2 - Le opzioni'!$B$64,'1 - Il tuo profilo'!$B$32,0)</f>
        <v>659.2</v>
      </c>
      <c r="E196" s="21">
        <f>IF($B196&lt;='2 - Le opzioni'!$B$31,0,'2 - Le opzioni'!$B$32)*'2 - Le opzioni'!$B$29*'1 - Il tuo profilo'!$B$30+IF(AND($B196&gt;=4,MOD($B196,2)=0),'1 - Il tuo profilo'!$B$31,0)</f>
        <v>79.02</v>
      </c>
      <c r="F196" s="21">
        <f>IF($B196&lt;=3,'2 - Le opzioni'!$B$56,IF($B196&lt;=7,'2 - Le opzioni'!$B$57,IF($B196&lt;=12,'2 - Le opzioni'!$B$58,'2 - Le opzioni'!$B$59+'2 - Le opzioni'!$B$60*($B196-13))))*'2 - Le opzioni'!$B$62*(0.5+0.5*'1 - Il tuo profilo'!$B$9/'2 - Le opzioni'!$B$63)</f>
        <v>420</v>
      </c>
      <c r="L196" s="21">
        <f t="shared" si="8"/>
        <v>2258.4328</v>
      </c>
      <c r="M196" s="33">
        <f>1/(1+'1 - Il tuo profilo'!$B$13)^A196</f>
        <v>0.888487047915689</v>
      </c>
    </row>
    <row r="197" spans="1:18">
      <c r="A197" s="26">
        <v>5</v>
      </c>
      <c r="B197" s="26">
        <f>5</f>
        <v>5</v>
      </c>
      <c r="C197" s="21">
        <f>'1 - Il tuo profilo'!$B$9/100*'2 - Le opzioni'!$B$30*((1-'2 - Le opzioni'!$B$33)*'1 - Il tuo profilo'!$B$26+'2 - Le opzioni'!$B$33*'1 - Il tuo profilo'!$B$27)</f>
        <v>1100.2128</v>
      </c>
      <c r="D197" s="21">
        <f>'1 - Il tuo profilo'!$B$29+IF($B197&lt;='2 - Le opzioni'!$B$64,'1 - Il tuo profilo'!$B$32,0)</f>
        <v>659.2</v>
      </c>
      <c r="E197" s="21">
        <f>IF($B197&lt;='2 - Le opzioni'!$B$31,0,'2 - Le opzioni'!$B$32)*'2 - Le opzioni'!$B$29*'1 - Il tuo profilo'!$B$30+IF(AND($B197&gt;=4,MOD($B197,2)=0),'1 - Il tuo profilo'!$B$31,0)</f>
        <v>0</v>
      </c>
      <c r="F197" s="21">
        <f>IF($B197&lt;=3,'2 - Le opzioni'!$B$56,IF($B197&lt;=7,'2 - Le opzioni'!$B$57,IF($B197&lt;=12,'2 - Le opzioni'!$B$58,'2 - Le opzioni'!$B$59+'2 - Le opzioni'!$B$60*($B197-13))))*'2 - Le opzioni'!$B$62*(0.5+0.5*'1 - Il tuo profilo'!$B$9/'2 - Le opzioni'!$B$63)</f>
        <v>420</v>
      </c>
      <c r="L197" s="21">
        <f t="shared" si="8"/>
        <v>2179.4128000000001</v>
      </c>
      <c r="M197" s="33">
        <f>1/(1+'1 - Il tuo profilo'!$B$13)^A197</f>
        <v>0.86260878438416411</v>
      </c>
    </row>
    <row r="198" spans="1:18">
      <c r="A198" s="26">
        <v>6</v>
      </c>
      <c r="B198" s="26">
        <f>6</f>
        <v>6</v>
      </c>
      <c r="C198" s="21">
        <f>'1 - Il tuo profilo'!$B$9/100*'2 - Le opzioni'!$B$30*((1-'2 - Le opzioni'!$B$33)*'1 - Il tuo profilo'!$B$26+'2 - Le opzioni'!$B$33*'1 - Il tuo profilo'!$B$27)</f>
        <v>1100.2128</v>
      </c>
      <c r="D198" s="21">
        <f>'1 - Il tuo profilo'!$B$29+IF($B198&lt;='2 - Le opzioni'!$B$64,'1 - Il tuo profilo'!$B$32,0)</f>
        <v>409.2</v>
      </c>
      <c r="E198" s="21">
        <f>IF($B198&lt;='2 - Le opzioni'!$B$31,0,'2 - Le opzioni'!$B$32)*'2 - Le opzioni'!$B$29*'1 - Il tuo profilo'!$B$30+IF(AND($B198&gt;=4,MOD($B198,2)=0),'1 - Il tuo profilo'!$B$31,0)</f>
        <v>133.845</v>
      </c>
      <c r="F198" s="21">
        <f>IF($B198&lt;=3,'2 - Le opzioni'!$B$56,IF($B198&lt;=7,'2 - Le opzioni'!$B$57,IF($B198&lt;=12,'2 - Le opzioni'!$B$58,'2 - Le opzioni'!$B$59+'2 - Le opzioni'!$B$60*($B198-13))))*'2 - Le opzioni'!$B$62*(0.5+0.5*'1 - Il tuo profilo'!$B$9/'2 - Le opzioni'!$B$63)</f>
        <v>420</v>
      </c>
      <c r="L198" s="21">
        <f t="shared" si="8"/>
        <v>2063.2578000000003</v>
      </c>
      <c r="M198" s="33">
        <f>1/(1+'1 - Il tuo profilo'!$B$13)^A198</f>
        <v>0.83748425668365445</v>
      </c>
    </row>
    <row r="199" spans="1:18">
      <c r="A199" s="26">
        <v>7</v>
      </c>
      <c r="B199" s="26">
        <f>7</f>
        <v>7</v>
      </c>
      <c r="C199" s="21">
        <f>'1 - Il tuo profilo'!$B$9/100*'2 - Le opzioni'!$B$30*((1-'2 - Le opzioni'!$B$33)*'1 - Il tuo profilo'!$B$26+'2 - Le opzioni'!$B$33*'1 - Il tuo profilo'!$B$27)</f>
        <v>1100.2128</v>
      </c>
      <c r="D199" s="21">
        <f>'1 - Il tuo profilo'!$B$29+IF($B199&lt;='2 - Le opzioni'!$B$64,'1 - Il tuo profilo'!$B$32,0)</f>
        <v>409.2</v>
      </c>
      <c r="E199" s="21">
        <f>IF($B199&lt;='2 - Le opzioni'!$B$31,0,'2 - Le opzioni'!$B$32)*'2 - Le opzioni'!$B$29*'1 - Il tuo profilo'!$B$30+IF(AND($B199&gt;=4,MOD($B199,2)=0),'1 - Il tuo profilo'!$B$31,0)</f>
        <v>54.825000000000003</v>
      </c>
      <c r="F199" s="21">
        <f>IF($B199&lt;=3,'2 - Le opzioni'!$B$56,IF($B199&lt;=7,'2 - Le opzioni'!$B$57,IF($B199&lt;=12,'2 - Le opzioni'!$B$58,'2 - Le opzioni'!$B$59+'2 - Le opzioni'!$B$60*($B199-13))))*'2 - Le opzioni'!$B$62*(0.5+0.5*'1 - Il tuo profilo'!$B$9/'2 - Le opzioni'!$B$63)</f>
        <v>420</v>
      </c>
      <c r="L199" s="21">
        <f t="shared" si="8"/>
        <v>1984.2378000000001</v>
      </c>
      <c r="M199" s="33">
        <f>1/(1+'1 - Il tuo profilo'!$B$13)^A199</f>
        <v>0.81309151134335378</v>
      </c>
    </row>
    <row r="200" spans="1:18">
      <c r="A200" s="26">
        <v>8</v>
      </c>
      <c r="B200" s="26">
        <f>8</f>
        <v>8</v>
      </c>
      <c r="C200" s="21">
        <f>'1 - Il tuo profilo'!$B$9/100*'2 - Le opzioni'!$B$30*((1-'2 - Le opzioni'!$B$33)*'1 - Il tuo profilo'!$B$26+'2 - Le opzioni'!$B$33*'1 - Il tuo profilo'!$B$27)</f>
        <v>1100.2128</v>
      </c>
      <c r="D200" s="21">
        <f>'1 - Il tuo profilo'!$B$29+IF($B200&lt;='2 - Le opzioni'!$B$64,'1 - Il tuo profilo'!$B$32,0)</f>
        <v>409.2</v>
      </c>
      <c r="E200" s="21">
        <f>IF($B200&lt;='2 - Le opzioni'!$B$31,0,'2 - Le opzioni'!$B$32)*'2 - Le opzioni'!$B$29*'1 - Il tuo profilo'!$B$30+IF(AND($B200&gt;=4,MOD($B200,2)=0),'1 - Il tuo profilo'!$B$31,0)</f>
        <v>133.845</v>
      </c>
      <c r="F200" s="21">
        <f>IF($B200&lt;=3,'2 - Le opzioni'!$B$56,IF($B200&lt;=7,'2 - Le opzioni'!$B$57,IF($B200&lt;=12,'2 - Le opzioni'!$B$58,'2 - Le opzioni'!$B$59+'2 - Le opzioni'!$B$60*($B200-13))))*'2 - Le opzioni'!$B$62*(0.5+0.5*'1 - Il tuo profilo'!$B$9/'2 - Le opzioni'!$B$63)</f>
        <v>630</v>
      </c>
      <c r="L200" s="21">
        <f t="shared" si="8"/>
        <v>2273.2578000000003</v>
      </c>
      <c r="M200" s="33">
        <f>1/(1+'1 - Il tuo profilo'!$B$13)^A200</f>
        <v>0.78940923431393573</v>
      </c>
    </row>
    <row r="201" spans="1:18">
      <c r="A201" s="26">
        <v>9</v>
      </c>
      <c r="B201" s="26">
        <f>9</f>
        <v>9</v>
      </c>
      <c r="C201" s="21">
        <f>'1 - Il tuo profilo'!$B$9/100*'2 - Le opzioni'!$B$30*((1-'2 - Le opzioni'!$B$33)*'1 - Il tuo profilo'!$B$26+'2 - Le opzioni'!$B$33*'1 - Il tuo profilo'!$B$27)</f>
        <v>1100.2128</v>
      </c>
      <c r="D201" s="21">
        <f>'1 - Il tuo profilo'!$B$29+IF($B201&lt;='2 - Le opzioni'!$B$64,'1 - Il tuo profilo'!$B$32,0)</f>
        <v>409.2</v>
      </c>
      <c r="E201" s="21">
        <f>IF($B201&lt;='2 - Le opzioni'!$B$31,0,'2 - Le opzioni'!$B$32)*'2 - Le opzioni'!$B$29*'1 - Il tuo profilo'!$B$30+IF(AND($B201&gt;=4,MOD($B201,2)=0),'1 - Il tuo profilo'!$B$31,0)</f>
        <v>54.825000000000003</v>
      </c>
      <c r="F201" s="21">
        <f>IF($B201&lt;=3,'2 - Le opzioni'!$B$56,IF($B201&lt;=7,'2 - Le opzioni'!$B$57,IF($B201&lt;=12,'2 - Le opzioni'!$B$58,'2 - Le opzioni'!$B$59+'2 - Le opzioni'!$B$60*($B201-13))))*'2 - Le opzioni'!$B$62*(0.5+0.5*'1 - Il tuo profilo'!$B$9/'2 - Le opzioni'!$B$63)</f>
        <v>630</v>
      </c>
      <c r="L201" s="21">
        <f t="shared" si="8"/>
        <v>2194.2377999999999</v>
      </c>
      <c r="M201" s="33">
        <f>1/(1+'1 - Il tuo profilo'!$B$13)^A201</f>
        <v>0.76641673234362695</v>
      </c>
    </row>
    <row r="202" spans="1:18">
      <c r="A202" s="26">
        <v>10</v>
      </c>
      <c r="B202" s="26">
        <f>10</f>
        <v>10</v>
      </c>
      <c r="C202" s="21">
        <f>'1 - Il tuo profilo'!$B$9/100*'2 - Le opzioni'!$B$30*((1-'2 - Le opzioni'!$B$33)*'1 - Il tuo profilo'!$B$26+'2 - Le opzioni'!$B$33*'1 - Il tuo profilo'!$B$27)</f>
        <v>1100.2128</v>
      </c>
      <c r="D202" s="21">
        <f>'1 - Il tuo profilo'!$B$29+IF($B202&lt;='2 - Le opzioni'!$B$64,'1 - Il tuo profilo'!$B$32,0)</f>
        <v>409.2</v>
      </c>
      <c r="E202" s="21">
        <f>IF($B202&lt;='2 - Le opzioni'!$B$31,0,'2 - Le opzioni'!$B$32)*'2 - Le opzioni'!$B$29*'1 - Il tuo profilo'!$B$30+IF(AND($B202&gt;=4,MOD($B202,2)=0),'1 - Il tuo profilo'!$B$31,0)</f>
        <v>133.845</v>
      </c>
      <c r="F202" s="21">
        <f>IF($B202&lt;=3,'2 - Le opzioni'!$B$56,IF($B202&lt;=7,'2 - Le opzioni'!$B$57,IF($B202&lt;=12,'2 - Le opzioni'!$B$58,'2 - Le opzioni'!$B$59+'2 - Le opzioni'!$B$60*($B202-13))))*'2 - Le opzioni'!$B$62*(0.5+0.5*'1 - Il tuo profilo'!$B$9/'2 - Le opzioni'!$B$63)</f>
        <v>630</v>
      </c>
      <c r="G202" s="21">
        <f>-('2 - Le opzioni'!$B$28*IF(10&gt;=MAX('2 - Le opzioni'!$B$67:$K$67),0,INDEX('2 - Le opzioni'!$B$69:$K$69,MATCH(10,'2 - Le opzioni'!$B$67:$K$67,1))+(INDEX('2 - Le opzioni'!$B$69:$K$69,MATCH(10,'2 - Le opzioni'!$B$67:$K$67,1)+1)-INDEX('2 - Le opzioni'!$B$69:$K$69,MATCH(10,'2 - Le opzioni'!$B$67:$K$67,1)))*(10-INDEX('2 - Le opzioni'!$B$67:$K$67,MATCH(10,'2 - Le opzioni'!$B$67:$K$67,1)))/(INDEX('2 - Le opzioni'!$B$67:$K$67,MATCH(10,'2 - Le opzioni'!$B$67:$K$67,1)+1)-INDEX('2 - Le opzioni'!$B$67:$K$67,MATCH(10,'2 - Le opzioni'!$B$67:$K$67,1)))))</f>
        <v>-4420</v>
      </c>
      <c r="L202" s="21">
        <f t="shared" si="8"/>
        <v>-2146.7421999999997</v>
      </c>
      <c r="M202" s="33">
        <f>1/(1+'1 - Il tuo profilo'!$B$13)^A202</f>
        <v>0.74409391489672516</v>
      </c>
    </row>
    <row r="204" spans="1:18" ht="32.1" customHeight="1">
      <c r="A204" s="30" t="s">
        <v>285</v>
      </c>
      <c r="B204" s="30" t="s">
        <v>286</v>
      </c>
      <c r="C204" s="30" t="s">
        <v>287</v>
      </c>
      <c r="D204" s="30" t="s">
        <v>288</v>
      </c>
      <c r="E204" s="30" t="s">
        <v>289</v>
      </c>
      <c r="F204" s="30" t="s">
        <v>290</v>
      </c>
      <c r="G204" s="30" t="s">
        <v>291</v>
      </c>
      <c r="H204" s="30" t="s">
        <v>292</v>
      </c>
      <c r="I204" s="30" t="s">
        <v>225</v>
      </c>
      <c r="J204" s="30" t="s">
        <v>293</v>
      </c>
      <c r="K204" s="30" t="s">
        <v>294</v>
      </c>
      <c r="L204" s="30" t="s">
        <v>295</v>
      </c>
      <c r="M204" s="30" t="s">
        <v>227</v>
      </c>
    </row>
    <row r="205" spans="1:18">
      <c r="A205" s="21">
        <f>L192+NPV('1 - Il tuo profilo'!$B$13,L193:L202)+E205+G205</f>
        <v>37776.4400161749</v>
      </c>
      <c r="B205" s="21">
        <f>SUM(L192:L202)+F205+H205</f>
        <v>39819.332999999999</v>
      </c>
      <c r="C205" s="26">
        <f>10</f>
        <v>10</v>
      </c>
      <c r="D205" s="33">
        <f>PV('1 - Il tuo profilo'!$B$13,C205,-1)</f>
        <v>8.5302028367758282</v>
      </c>
      <c r="E205" s="21">
        <f>0</f>
        <v>0</v>
      </c>
      <c r="F205" s="21">
        <f>0</f>
        <v>0</v>
      </c>
      <c r="G205" s="21">
        <f>0</f>
        <v>0</v>
      </c>
      <c r="H205" s="21">
        <f>0</f>
        <v>0</v>
      </c>
      <c r="I205" s="21">
        <f>IF(C205&gt;=10,A205,A205/D205*'2 - Le opzioni'!$B$112-'1 - Il tuo profilo'!$B$33)</f>
        <v>37776.4400161749</v>
      </c>
      <c r="J205" s="21">
        <f>IF(C205&gt;=10,B205,B205*10/C205-'1 - Il tuo profilo'!$B$33)</f>
        <v>39819.332999999999</v>
      </c>
      <c r="K205" s="18">
        <f>I205/'2 - Le opzioni'!$B$112</f>
        <v>4428.5512008356072</v>
      </c>
      <c r="L205" s="18">
        <f>K205/12</f>
        <v>369.04593340296725</v>
      </c>
      <c r="M205" s="31">
        <f>K205/'1 - Il tuo profilo'!$B$9</f>
        <v>0.36904593340296726</v>
      </c>
    </row>
    <row r="206" spans="1:18" ht="32.1" customHeight="1">
      <c r="A206" s="30" t="s">
        <v>296</v>
      </c>
      <c r="B206" s="30" t="s">
        <v>297</v>
      </c>
      <c r="C206" s="30" t="s">
        <v>298</v>
      </c>
      <c r="D206" s="30" t="s">
        <v>299</v>
      </c>
      <c r="E206" s="30" t="s">
        <v>300</v>
      </c>
      <c r="F206" s="30" t="s">
        <v>301</v>
      </c>
      <c r="G206" s="30" t="s">
        <v>302</v>
      </c>
      <c r="H206" s="30" t="s">
        <v>303</v>
      </c>
      <c r="I206" s="30" t="s">
        <v>304</v>
      </c>
      <c r="J206" s="30" t="s">
        <v>305</v>
      </c>
      <c r="K206" s="30" t="s">
        <v>306</v>
      </c>
      <c r="L206" s="30" t="s">
        <v>307</v>
      </c>
      <c r="M206" s="30" t="s">
        <v>308</v>
      </c>
      <c r="N206" s="30" t="s">
        <v>309</v>
      </c>
      <c r="O206" s="30" t="s">
        <v>310</v>
      </c>
      <c r="P206" s="30" t="s">
        <v>311</v>
      </c>
      <c r="Q206" s="30" t="s">
        <v>312</v>
      </c>
      <c r="R206" s="30" t="s">
        <v>313</v>
      </c>
    </row>
    <row r="207" spans="1:18">
      <c r="A207" s="21">
        <f>SUMPRODUCT(G192:G202,M192:M202)</f>
        <v>19711.104896156474</v>
      </c>
      <c r="B207" s="21">
        <f>SUMPRODUCT(H192:H202,M192:M202)</f>
        <v>0</v>
      </c>
      <c r="C207" s="21">
        <f>SUMPRODUCT(I192:I202,M192:M202)+G205</f>
        <v>0</v>
      </c>
      <c r="D207" s="21">
        <f>SUMPRODUCT(C192:C202,M192:M202)</f>
        <v>9385.0383476170791</v>
      </c>
      <c r="E207" s="21">
        <f>SUMPRODUCT(D192:D202,M192:M202)</f>
        <v>4635.4857976073035</v>
      </c>
      <c r="F207" s="21">
        <f>SUMPRODUCT(E192:E202,M192:M202)</f>
        <v>474.1495953283611</v>
      </c>
      <c r="G207" s="21">
        <f>SUMPRODUCT(F192:F202,M192:M202)</f>
        <v>3570.6613794656796</v>
      </c>
      <c r="H207" s="21">
        <f>SUMPRODUCT(J192:J202,M192:M202)</f>
        <v>0</v>
      </c>
      <c r="I207" s="21">
        <f>SUMPRODUCT(K192:K202,M192:M202)</f>
        <v>0</v>
      </c>
      <c r="J207" s="18">
        <f t="shared" ref="J207:R207" si="9">A207/$D205/12</f>
        <v>192.56190106032213</v>
      </c>
      <c r="K207" s="18">
        <f t="shared" si="9"/>
        <v>0</v>
      </c>
      <c r="L207" s="18">
        <f t="shared" si="9"/>
        <v>0</v>
      </c>
      <c r="M207" s="18">
        <f t="shared" si="9"/>
        <v>91.684400000000025</v>
      </c>
      <c r="N207" s="18">
        <f t="shared" si="9"/>
        <v>45.285029034543875</v>
      </c>
      <c r="O207" s="18">
        <f t="shared" si="9"/>
        <v>4.6320664389145998</v>
      </c>
      <c r="P207" s="18">
        <f t="shared" si="9"/>
        <v>34.882536869186644</v>
      </c>
      <c r="Q207" s="18">
        <f t="shared" si="9"/>
        <v>0</v>
      </c>
      <c r="R207" s="18">
        <f t="shared" si="9"/>
        <v>0</v>
      </c>
    </row>
    <row r="209" spans="1:13">
      <c r="A209" s="2" t="s">
        <v>318</v>
      </c>
    </row>
    <row r="210" spans="1:13" ht="32.1" customHeight="1">
      <c r="A210" s="30" t="s">
        <v>272</v>
      </c>
      <c r="B210" s="30" t="s">
        <v>273</v>
      </c>
      <c r="C210" s="30" t="s">
        <v>274</v>
      </c>
      <c r="D210" s="30" t="s">
        <v>275</v>
      </c>
      <c r="E210" s="30" t="s">
        <v>276</v>
      </c>
      <c r="F210" s="30" t="s">
        <v>277</v>
      </c>
      <c r="G210" s="30" t="s">
        <v>278</v>
      </c>
      <c r="H210" s="30" t="s">
        <v>279</v>
      </c>
      <c r="I210" s="30" t="s">
        <v>280</v>
      </c>
      <c r="J210" s="30" t="s">
        <v>281</v>
      </c>
      <c r="K210" s="30" t="s">
        <v>282</v>
      </c>
      <c r="L210" s="30" t="s">
        <v>283</v>
      </c>
      <c r="M210" s="30" t="s">
        <v>284</v>
      </c>
    </row>
    <row r="211" spans="1:13">
      <c r="A211" s="26">
        <v>0</v>
      </c>
      <c r="G211" s="21">
        <f>-'1 - Il tuo profilo'!$B$33+'2 - Le opzioni'!$B$6</f>
        <v>16000</v>
      </c>
      <c r="H211" s="21">
        <f>-('2 - Le opzioni'!$B$6-'1 - Il tuo profilo'!$B$33)+'2 - Le opzioni'!$B$37</f>
        <v>-15700</v>
      </c>
      <c r="L211" s="21">
        <f t="shared" ref="L211:L221" si="10">SUM(C211:K211)</f>
        <v>300</v>
      </c>
      <c r="M211" s="33">
        <f>1/(1+'1 - Il tuo profilo'!$B$13)^A211</f>
        <v>1</v>
      </c>
    </row>
    <row r="212" spans="1:13">
      <c r="A212" s="26">
        <v>1</v>
      </c>
      <c r="B212" s="26">
        <f>1</f>
        <v>1</v>
      </c>
      <c r="C212" s="21">
        <f>'1 - Il tuo profilo'!$B$9/100*'2 - Le opzioni'!$B$8*'1 - Il tuo profilo'!$B$25</f>
        <v>1243.1664000000001</v>
      </c>
      <c r="D212" s="21">
        <f>'1 - Il tuo profilo'!$B$29+IF($B212&lt;='2 - Le opzioni'!$B$64,'1 - Il tuo profilo'!$B$32,0)</f>
        <v>659.2</v>
      </c>
      <c r="E212" s="21">
        <f>'2 - Le opzioni'!$B$7*'1 - Il tuo profilo'!$B$30+IF(AND($B212&gt;=4,MOD($B212,2)=0),'1 - Il tuo profilo'!$B$31,0)</f>
        <v>180.6</v>
      </c>
      <c r="F212" s="21">
        <f>IF($B212&lt;=3,'2 - Le opzioni'!$B$56,IF($B212&lt;=7,'2 - Le opzioni'!$B$57,IF($B212&lt;=12,'2 - Le opzioni'!$B$58,'2 - Le opzioni'!$B$59+'2 - Le opzioni'!$B$60*($B212-13))))*1*(0.5+0.5*'1 - Il tuo profilo'!$B$9/'2 - Le opzioni'!$B$63)</f>
        <v>350</v>
      </c>
      <c r="L212" s="21">
        <f t="shared" si="10"/>
        <v>2432.9664000000002</v>
      </c>
      <c r="M212" s="33">
        <f>1/(1+'1 - Il tuo profilo'!$B$13)^A212</f>
        <v>0.970873786407767</v>
      </c>
    </row>
    <row r="213" spans="1:13">
      <c r="A213" s="26">
        <v>2</v>
      </c>
      <c r="B213" s="26">
        <f>2</f>
        <v>2</v>
      </c>
      <c r="C213" s="21">
        <f>'1 - Il tuo profilo'!$B$9/100*'2 - Le opzioni'!$B$8*'1 - Il tuo profilo'!$B$25</f>
        <v>1243.1664000000001</v>
      </c>
      <c r="D213" s="21">
        <f>'1 - Il tuo profilo'!$B$29+IF($B213&lt;='2 - Le opzioni'!$B$64,'1 - Il tuo profilo'!$B$32,0)</f>
        <v>659.2</v>
      </c>
      <c r="E213" s="21">
        <f>'2 - Le opzioni'!$B$7*'1 - Il tuo profilo'!$B$30+IF(AND($B213&gt;=4,MOD($B213,2)=0),'1 - Il tuo profilo'!$B$31,0)</f>
        <v>180.6</v>
      </c>
      <c r="F213" s="21">
        <f>IF($B213&lt;=3,'2 - Le opzioni'!$B$56,IF($B213&lt;=7,'2 - Le opzioni'!$B$57,IF($B213&lt;=12,'2 - Le opzioni'!$B$58,'2 - Le opzioni'!$B$59+'2 - Le opzioni'!$B$60*($B213-13))))*1*(0.5+0.5*'1 - Il tuo profilo'!$B$9/'2 - Le opzioni'!$B$63)</f>
        <v>350</v>
      </c>
      <c r="L213" s="21">
        <f t="shared" si="10"/>
        <v>2432.9664000000002</v>
      </c>
      <c r="M213" s="33">
        <f>1/(1+'1 - Il tuo profilo'!$B$13)^A213</f>
        <v>0.94259590913375435</v>
      </c>
    </row>
    <row r="214" spans="1:13">
      <c r="A214" s="26">
        <v>3</v>
      </c>
      <c r="B214" s="26">
        <f>3</f>
        <v>3</v>
      </c>
      <c r="C214" s="21">
        <f>'1 - Il tuo profilo'!$B$9/100*'2 - Le opzioni'!$B$8*'1 - Il tuo profilo'!$B$25</f>
        <v>1243.1664000000001</v>
      </c>
      <c r="D214" s="21">
        <f>'1 - Il tuo profilo'!$B$29+IF($B214&lt;='2 - Le opzioni'!$B$64,'1 - Il tuo profilo'!$B$32,0)</f>
        <v>659.2</v>
      </c>
      <c r="E214" s="21">
        <f>'2 - Le opzioni'!$B$7*'1 - Il tuo profilo'!$B$30+IF(AND($B214&gt;=4,MOD($B214,2)=0),'1 - Il tuo profilo'!$B$31,0)</f>
        <v>180.6</v>
      </c>
      <c r="F214" s="21">
        <f>IF($B214&lt;=3,'2 - Le opzioni'!$B$56,IF($B214&lt;=7,'2 - Le opzioni'!$B$57,IF($B214&lt;=12,'2 - Le opzioni'!$B$58,'2 - Le opzioni'!$B$59+'2 - Le opzioni'!$B$60*($B214-13))))*1*(0.5+0.5*'1 - Il tuo profilo'!$B$9/'2 - Le opzioni'!$B$63)</f>
        <v>350</v>
      </c>
      <c r="L214" s="21">
        <f t="shared" si="10"/>
        <v>2432.9664000000002</v>
      </c>
      <c r="M214" s="33">
        <f>1/(1+'1 - Il tuo profilo'!$B$13)^A214</f>
        <v>0.91514165935315961</v>
      </c>
    </row>
    <row r="215" spans="1:13">
      <c r="A215" s="26">
        <v>4</v>
      </c>
      <c r="B215" s="26">
        <f>4</f>
        <v>4</v>
      </c>
      <c r="C215" s="21">
        <f>'1 - Il tuo profilo'!$B$9/100*'2 - Le opzioni'!$B$8*'1 - Il tuo profilo'!$B$25</f>
        <v>1243.1664000000001</v>
      </c>
      <c r="D215" s="21">
        <f>'1 - Il tuo profilo'!$B$29+IF($B215&lt;='2 - Le opzioni'!$B$64,'1 - Il tuo profilo'!$B$32,0)</f>
        <v>659.2</v>
      </c>
      <c r="E215" s="21">
        <f>'2 - Le opzioni'!$B$7*'1 - Il tuo profilo'!$B$30+IF(AND($B215&gt;=4,MOD($B215,2)=0),'1 - Il tuo profilo'!$B$31,0)</f>
        <v>259.62</v>
      </c>
      <c r="F215" s="21">
        <f>IF($B215&lt;=3,'2 - Le opzioni'!$B$56,IF($B215&lt;=7,'2 - Le opzioni'!$B$57,IF($B215&lt;=12,'2 - Le opzioni'!$B$58,'2 - Le opzioni'!$B$59+'2 - Le opzioni'!$B$60*($B215-13))))*1*(0.5+0.5*'1 - Il tuo profilo'!$B$9/'2 - Le opzioni'!$B$63)</f>
        <v>600</v>
      </c>
      <c r="L215" s="21">
        <f t="shared" si="10"/>
        <v>2761.9864000000002</v>
      </c>
      <c r="M215" s="33">
        <f>1/(1+'1 - Il tuo profilo'!$B$13)^A215</f>
        <v>0.888487047915689</v>
      </c>
    </row>
    <row r="216" spans="1:13">
      <c r="A216" s="26">
        <v>5</v>
      </c>
      <c r="B216" s="26">
        <f>5</f>
        <v>5</v>
      </c>
      <c r="C216" s="21">
        <f>'1 - Il tuo profilo'!$B$9/100*'2 - Le opzioni'!$B$8*'1 - Il tuo profilo'!$B$25</f>
        <v>1243.1664000000001</v>
      </c>
      <c r="D216" s="21">
        <f>'1 - Il tuo profilo'!$B$29+IF($B216&lt;='2 - Le opzioni'!$B$64,'1 - Il tuo profilo'!$B$32,0)</f>
        <v>659.2</v>
      </c>
      <c r="E216" s="21">
        <f>'2 - Le opzioni'!$B$7*'1 - Il tuo profilo'!$B$30+IF(AND($B216&gt;=4,MOD($B216,2)=0),'1 - Il tuo profilo'!$B$31,0)</f>
        <v>180.6</v>
      </c>
      <c r="F216" s="21">
        <f>IF($B216&lt;=3,'2 - Le opzioni'!$B$56,IF($B216&lt;=7,'2 - Le opzioni'!$B$57,IF($B216&lt;=12,'2 - Le opzioni'!$B$58,'2 - Le opzioni'!$B$59+'2 - Le opzioni'!$B$60*($B216-13))))*1*(0.5+0.5*'1 - Il tuo profilo'!$B$9/'2 - Le opzioni'!$B$63)</f>
        <v>600</v>
      </c>
      <c r="L216" s="21">
        <f t="shared" si="10"/>
        <v>2682.9664000000002</v>
      </c>
      <c r="M216" s="33">
        <f>1/(1+'1 - Il tuo profilo'!$B$13)^A216</f>
        <v>0.86260878438416411</v>
      </c>
    </row>
    <row r="217" spans="1:13">
      <c r="A217" s="26">
        <v>6</v>
      </c>
      <c r="B217" s="26">
        <f>6</f>
        <v>6</v>
      </c>
      <c r="C217" s="21">
        <f>'1 - Il tuo profilo'!$B$9/100*'2 - Le opzioni'!$B$8*'1 - Il tuo profilo'!$B$25</f>
        <v>1243.1664000000001</v>
      </c>
      <c r="D217" s="21">
        <f>'1 - Il tuo profilo'!$B$29+IF($B217&lt;='2 - Le opzioni'!$B$64,'1 - Il tuo profilo'!$B$32,0)</f>
        <v>409.2</v>
      </c>
      <c r="E217" s="21">
        <f>'2 - Le opzioni'!$B$7*'1 - Il tuo profilo'!$B$30+IF(AND($B217&gt;=4,MOD($B217,2)=0),'1 - Il tuo profilo'!$B$31,0)</f>
        <v>259.62</v>
      </c>
      <c r="F217" s="21">
        <f>IF($B217&lt;=3,'2 - Le opzioni'!$B$56,IF($B217&lt;=7,'2 - Le opzioni'!$B$57,IF($B217&lt;=12,'2 - Le opzioni'!$B$58,'2 - Le opzioni'!$B$59+'2 - Le opzioni'!$B$60*($B217-13))))*1*(0.5+0.5*'1 - Il tuo profilo'!$B$9/'2 - Le opzioni'!$B$63)</f>
        <v>600</v>
      </c>
      <c r="L217" s="21">
        <f t="shared" si="10"/>
        <v>2511.9864000000002</v>
      </c>
      <c r="M217" s="33">
        <f>1/(1+'1 - Il tuo profilo'!$B$13)^A217</f>
        <v>0.83748425668365445</v>
      </c>
    </row>
    <row r="218" spans="1:13">
      <c r="A218" s="26">
        <v>7</v>
      </c>
      <c r="B218" s="26">
        <f>7</f>
        <v>7</v>
      </c>
      <c r="C218" s="21">
        <f>'1 - Il tuo profilo'!$B$9/100*'2 - Le opzioni'!$B$8*'1 - Il tuo profilo'!$B$25</f>
        <v>1243.1664000000001</v>
      </c>
      <c r="D218" s="21">
        <f>'1 - Il tuo profilo'!$B$29+IF($B218&lt;='2 - Le opzioni'!$B$64,'1 - Il tuo profilo'!$B$32,0)</f>
        <v>409.2</v>
      </c>
      <c r="E218" s="21">
        <f>'2 - Le opzioni'!$B$7*'1 - Il tuo profilo'!$B$30+IF(AND($B218&gt;=4,MOD($B218,2)=0),'1 - Il tuo profilo'!$B$31,0)</f>
        <v>180.6</v>
      </c>
      <c r="F218" s="21">
        <f>IF($B218&lt;=3,'2 - Le opzioni'!$B$56,IF($B218&lt;=7,'2 - Le opzioni'!$B$57,IF($B218&lt;=12,'2 - Le opzioni'!$B$58,'2 - Le opzioni'!$B$59+'2 - Le opzioni'!$B$60*($B218-13))))*1*(0.5+0.5*'1 - Il tuo profilo'!$B$9/'2 - Le opzioni'!$B$63)</f>
        <v>600</v>
      </c>
      <c r="L218" s="21">
        <f t="shared" si="10"/>
        <v>2432.9664000000002</v>
      </c>
      <c r="M218" s="33">
        <f>1/(1+'1 - Il tuo profilo'!$B$13)^A218</f>
        <v>0.81309151134335378</v>
      </c>
    </row>
    <row r="219" spans="1:13">
      <c r="A219" s="26">
        <v>8</v>
      </c>
      <c r="B219" s="26">
        <f>8</f>
        <v>8</v>
      </c>
      <c r="C219" s="21">
        <f>'1 - Il tuo profilo'!$B$9/100*'2 - Le opzioni'!$B$8*'1 - Il tuo profilo'!$B$25</f>
        <v>1243.1664000000001</v>
      </c>
      <c r="D219" s="21">
        <f>'1 - Il tuo profilo'!$B$29+IF($B219&lt;='2 - Le opzioni'!$B$64,'1 - Il tuo profilo'!$B$32,0)</f>
        <v>409.2</v>
      </c>
      <c r="E219" s="21">
        <f>'2 - Le opzioni'!$B$7*'1 - Il tuo profilo'!$B$30+IF(AND($B219&gt;=4,MOD($B219,2)=0),'1 - Il tuo profilo'!$B$31,0)</f>
        <v>259.62</v>
      </c>
      <c r="F219" s="21">
        <f>IF($B219&lt;=3,'2 - Le opzioni'!$B$56,IF($B219&lt;=7,'2 - Le opzioni'!$B$57,IF($B219&lt;=12,'2 - Le opzioni'!$B$58,'2 - Le opzioni'!$B$59+'2 - Le opzioni'!$B$60*($B219-13))))*1*(0.5+0.5*'1 - Il tuo profilo'!$B$9/'2 - Le opzioni'!$B$63)</f>
        <v>900</v>
      </c>
      <c r="L219" s="21">
        <f t="shared" si="10"/>
        <v>2811.9864000000002</v>
      </c>
      <c r="M219" s="33">
        <f>1/(1+'1 - Il tuo profilo'!$B$13)^A219</f>
        <v>0.78940923431393573</v>
      </c>
    </row>
    <row r="220" spans="1:13">
      <c r="A220" s="26">
        <v>9</v>
      </c>
      <c r="B220" s="26">
        <f>9</f>
        <v>9</v>
      </c>
      <c r="C220" s="21">
        <f>'1 - Il tuo profilo'!$B$9/100*'2 - Le opzioni'!$B$8*'1 - Il tuo profilo'!$B$25</f>
        <v>1243.1664000000001</v>
      </c>
      <c r="D220" s="21">
        <f>'1 - Il tuo profilo'!$B$29+IF($B220&lt;='2 - Le opzioni'!$B$64,'1 - Il tuo profilo'!$B$32,0)</f>
        <v>409.2</v>
      </c>
      <c r="E220" s="21">
        <f>'2 - Le opzioni'!$B$7*'1 - Il tuo profilo'!$B$30+IF(AND($B220&gt;=4,MOD($B220,2)=0),'1 - Il tuo profilo'!$B$31,0)</f>
        <v>180.6</v>
      </c>
      <c r="F220" s="21">
        <f>IF($B220&lt;=3,'2 - Le opzioni'!$B$56,IF($B220&lt;=7,'2 - Le opzioni'!$B$57,IF($B220&lt;=12,'2 - Le opzioni'!$B$58,'2 - Le opzioni'!$B$59+'2 - Le opzioni'!$B$60*($B220-13))))*1*(0.5+0.5*'1 - Il tuo profilo'!$B$9/'2 - Le opzioni'!$B$63)</f>
        <v>900</v>
      </c>
      <c r="L220" s="21">
        <f t="shared" si="10"/>
        <v>2732.9664000000002</v>
      </c>
      <c r="M220" s="33">
        <f>1/(1+'1 - Il tuo profilo'!$B$13)^A220</f>
        <v>0.76641673234362695</v>
      </c>
    </row>
    <row r="221" spans="1:13">
      <c r="A221" s="26">
        <v>10</v>
      </c>
      <c r="B221" s="26">
        <f>10</f>
        <v>10</v>
      </c>
      <c r="C221" s="21">
        <f>'1 - Il tuo profilo'!$B$9/100*'2 - Le opzioni'!$B$8*'1 - Il tuo profilo'!$B$25</f>
        <v>1243.1664000000001</v>
      </c>
      <c r="D221" s="21">
        <f>'1 - Il tuo profilo'!$B$29+IF($B221&lt;='2 - Le opzioni'!$B$64,'1 - Il tuo profilo'!$B$32,0)</f>
        <v>409.2</v>
      </c>
      <c r="E221" s="21">
        <f>'2 - Le opzioni'!$B$7*'1 - Il tuo profilo'!$B$30+IF(AND($B221&gt;=4,MOD($B221,2)=0),'1 - Il tuo profilo'!$B$31,0)</f>
        <v>259.62</v>
      </c>
      <c r="F221" s="21">
        <f>IF($B221&lt;=3,'2 - Le opzioni'!$B$56,IF($B221&lt;=7,'2 - Le opzioni'!$B$57,IF($B221&lt;=12,'2 - Le opzioni'!$B$58,'2 - Le opzioni'!$B$59+'2 - Le opzioni'!$B$60*($B221-13))))*1*(0.5+0.5*'1 - Il tuo profilo'!$B$9/'2 - Le opzioni'!$B$63)</f>
        <v>900</v>
      </c>
      <c r="G221" s="21">
        <f>-('2 - Le opzioni'!$B$6*IF(10&gt;=MAX('2 - Le opzioni'!$B$67:$K$67),0,INDEX('2 - Le opzioni'!$B$68:$K$68,MATCH(10,'2 - Le opzioni'!$B$67:$K$67,1))+(INDEX('2 - Le opzioni'!$B$68:$K$68,MATCH(10,'2 - Le opzioni'!$B$67:$K$67,1)+1)-INDEX('2 - Le opzioni'!$B$68:$K$68,MATCH(10,'2 - Le opzioni'!$B$67:$K$67,1)))*(10-INDEX('2 - Le opzioni'!$B$67:$K$67,MATCH(10,'2 - Le opzioni'!$B$67:$K$67,1)))/(INDEX('2 - Le opzioni'!$B$67:$K$67,MATCH(10,'2 - Le opzioni'!$B$67:$K$67,1)+1)-INDEX('2 - Le opzioni'!$B$67:$K$67,MATCH(10,'2 - Le opzioni'!$B$67:$K$67,1)))))</f>
        <v>-4560</v>
      </c>
      <c r="L221" s="21">
        <f t="shared" si="10"/>
        <v>-1748.0135999999998</v>
      </c>
      <c r="M221" s="33">
        <f>1/(1+'1 - Il tuo profilo'!$B$13)^A221</f>
        <v>0.74409391489672516</v>
      </c>
    </row>
    <row r="222" spans="1:13">
      <c r="A222" s="6" t="s">
        <v>319</v>
      </c>
      <c r="B222" s="18">
        <f>-PMT('2 - Le opzioni'!$B$36/12,'2 - Le opzioni'!$B$38,('2 - Le opzioni'!$B$6-'1 - Il tuo profilo'!$B$33),-(0))</f>
        <v>333.0662952236093</v>
      </c>
    </row>
    <row r="223" spans="1:13" ht="32.1" customHeight="1">
      <c r="A223" s="30" t="s">
        <v>285</v>
      </c>
      <c r="B223" s="30" t="s">
        <v>286</v>
      </c>
      <c r="C223" s="30" t="s">
        <v>287</v>
      </c>
      <c r="D223" s="30" t="s">
        <v>288</v>
      </c>
      <c r="E223" s="30" t="s">
        <v>289</v>
      </c>
      <c r="F223" s="30" t="s">
        <v>290</v>
      </c>
      <c r="G223" s="30" t="s">
        <v>291</v>
      </c>
      <c r="H223" s="30" t="s">
        <v>292</v>
      </c>
      <c r="I223" s="30" t="s">
        <v>225</v>
      </c>
      <c r="J223" s="30" t="s">
        <v>293</v>
      </c>
      <c r="K223" s="30" t="s">
        <v>294</v>
      </c>
      <c r="L223" s="30" t="s">
        <v>295</v>
      </c>
      <c r="M223" s="30" t="s">
        <v>227</v>
      </c>
    </row>
    <row r="224" spans="1:13">
      <c r="A224" s="21">
        <f>L211+NPV('1 - Il tuo profilo'!$B$13,L212:L221)+E224+G224</f>
        <v>36718.386747283788</v>
      </c>
      <c r="B224" s="21">
        <f>SUM(L211:L221)+F224+H224</f>
        <v>40796.548909922029</v>
      </c>
      <c r="C224" s="26">
        <f>10</f>
        <v>10</v>
      </c>
      <c r="D224" s="33">
        <f>PV('1 - Il tuo profilo'!$B$13,C224,-1)</f>
        <v>8.5302028367758282</v>
      </c>
      <c r="E224" s="21">
        <f>B222*PV('2 - Le opzioni'!$B$110,'2 - Le opzioni'!$B$38,-1)*(1+'2 - Le opzioni'!$B$110)^-(0)</f>
        <v>17672.444518271262</v>
      </c>
      <c r="F224" s="21">
        <f>B222*PV('2 - Le opzioni'!$B$111,'2 - Le opzioni'!$B$38,-1)*(1+'2 - Le opzioni'!$B$111)^-(0)</f>
        <v>19010.804909922026</v>
      </c>
      <c r="G224" s="21">
        <f>0</f>
        <v>0</v>
      </c>
      <c r="H224" s="21">
        <f>0</f>
        <v>0</v>
      </c>
      <c r="I224" s="21">
        <f>IF(C224&gt;=10,A224,A224/D224*'2 - Le opzioni'!$B$112-'1 - Il tuo profilo'!$B$33)</f>
        <v>36718.386747283788</v>
      </c>
      <c r="J224" s="21">
        <f>IF(C224&gt;=10,B224,B224*10/C224-'1 - Il tuo profilo'!$B$33)</f>
        <v>40796.548909922029</v>
      </c>
      <c r="K224" s="18">
        <f>I224/'2 - Le opzioni'!$B$112</f>
        <v>4304.5150801082573</v>
      </c>
      <c r="L224" s="18">
        <f>K224/12</f>
        <v>358.70959000902144</v>
      </c>
      <c r="M224" s="31">
        <f>K224/'1 - Il tuo profilo'!$B$9</f>
        <v>0.35870959000902142</v>
      </c>
    </row>
    <row r="225" spans="1:18" ht="32.1" customHeight="1">
      <c r="A225" s="30" t="s">
        <v>296</v>
      </c>
      <c r="B225" s="30" t="s">
        <v>297</v>
      </c>
      <c r="C225" s="30" t="s">
        <v>298</v>
      </c>
      <c r="D225" s="30" t="s">
        <v>299</v>
      </c>
      <c r="E225" s="30" t="s">
        <v>300</v>
      </c>
      <c r="F225" s="30" t="s">
        <v>301</v>
      </c>
      <c r="G225" s="30" t="s">
        <v>302</v>
      </c>
      <c r="H225" s="30" t="s">
        <v>303</v>
      </c>
      <c r="I225" s="30" t="s">
        <v>304</v>
      </c>
      <c r="J225" s="30" t="s">
        <v>305</v>
      </c>
      <c r="K225" s="30" t="s">
        <v>306</v>
      </c>
      <c r="L225" s="30" t="s">
        <v>307</v>
      </c>
      <c r="M225" s="30" t="s">
        <v>308</v>
      </c>
      <c r="N225" s="30" t="s">
        <v>309</v>
      </c>
      <c r="O225" s="30" t="s">
        <v>310</v>
      </c>
      <c r="P225" s="30" t="s">
        <v>311</v>
      </c>
      <c r="Q225" s="30" t="s">
        <v>312</v>
      </c>
      <c r="R225" s="30" t="s">
        <v>313</v>
      </c>
    </row>
    <row r="226" spans="1:18">
      <c r="A226" s="21">
        <f>SUMPRODUCT(G211:G221,M211:M221)</f>
        <v>12606.931748070932</v>
      </c>
      <c r="B226" s="21">
        <f>SUMPRODUCT(H211:H221,M211:M221)+E224</f>
        <v>1972.4445182712625</v>
      </c>
      <c r="C226" s="21">
        <f>SUMPRODUCT(I211:I221,M211:M221)+G224</f>
        <v>0</v>
      </c>
      <c r="D226" s="21">
        <f>SUMPRODUCT(C211:C221,M211:M221)</f>
        <v>10604.461551864397</v>
      </c>
      <c r="E226" s="21">
        <f>SUMPRODUCT(D211:D221,M211:M221)</f>
        <v>4635.4857976073035</v>
      </c>
      <c r="F226" s="21">
        <f>SUMPRODUCT(E211:E221,M211:M221)</f>
        <v>1798.1183036617813</v>
      </c>
      <c r="G226" s="21">
        <f>SUMPRODUCT(F211:F221,M211:M221)</f>
        <v>5100.9448278081145</v>
      </c>
      <c r="H226" s="21">
        <f>SUMPRODUCT(J211:J221,M211:M221)</f>
        <v>0</v>
      </c>
      <c r="I226" s="21">
        <f>SUMPRODUCT(K211:K221,M211:M221)</f>
        <v>0</v>
      </c>
      <c r="J226" s="18">
        <f t="shared" ref="J226:R226" si="11">A226/$D224/12</f>
        <v>123.15974963025216</v>
      </c>
      <c r="K226" s="18">
        <f t="shared" si="11"/>
        <v>19.269222510625841</v>
      </c>
      <c r="L226" s="18">
        <f t="shared" si="11"/>
        <v>0</v>
      </c>
      <c r="M226" s="18">
        <f t="shared" si="11"/>
        <v>103.59720000000003</v>
      </c>
      <c r="N226" s="18">
        <f t="shared" si="11"/>
        <v>45.285029034543875</v>
      </c>
      <c r="O226" s="18">
        <f t="shared" si="11"/>
        <v>17.566193306190069</v>
      </c>
      <c r="P226" s="18">
        <f t="shared" si="11"/>
        <v>49.832195527409489</v>
      </c>
      <c r="Q226" s="18">
        <f t="shared" si="11"/>
        <v>0</v>
      </c>
      <c r="R226" s="18">
        <f t="shared" si="11"/>
        <v>0</v>
      </c>
    </row>
    <row r="228" spans="1:18">
      <c r="A228" s="2" t="s">
        <v>320</v>
      </c>
    </row>
    <row r="229" spans="1:18" ht="32.1" customHeight="1">
      <c r="A229" s="30" t="s">
        <v>272</v>
      </c>
      <c r="B229" s="30" t="s">
        <v>273</v>
      </c>
      <c r="C229" s="30" t="s">
        <v>274</v>
      </c>
      <c r="D229" s="30" t="s">
        <v>275</v>
      </c>
      <c r="E229" s="30" t="s">
        <v>276</v>
      </c>
      <c r="F229" s="30" t="s">
        <v>277</v>
      </c>
      <c r="G229" s="30" t="s">
        <v>278</v>
      </c>
      <c r="H229" s="30" t="s">
        <v>279</v>
      </c>
      <c r="I229" s="30" t="s">
        <v>280</v>
      </c>
      <c r="J229" s="30" t="s">
        <v>281</v>
      </c>
      <c r="K229" s="30" t="s">
        <v>282</v>
      </c>
      <c r="L229" s="30" t="s">
        <v>283</v>
      </c>
      <c r="M229" s="30" t="s">
        <v>284</v>
      </c>
    </row>
    <row r="230" spans="1:18">
      <c r="A230" s="26">
        <v>0</v>
      </c>
      <c r="G230" s="21">
        <f>-'1 - Il tuo profilo'!$B$33+'2 - Le opzioni'!$B$28</f>
        <v>23000</v>
      </c>
      <c r="H230" s="21">
        <f>-('2 - Le opzioni'!$B$28-'1 - Il tuo profilo'!$B$33)+'2 - Le opzioni'!$B$37</f>
        <v>-22700</v>
      </c>
      <c r="L230" s="21">
        <f t="shared" ref="L230:L240" si="12">SUM(C230:K230)</f>
        <v>300</v>
      </c>
      <c r="M230" s="33">
        <f>1/(1+'1 - Il tuo profilo'!$B$13)^A230</f>
        <v>1</v>
      </c>
    </row>
    <row r="231" spans="1:18">
      <c r="A231" s="26">
        <v>1</v>
      </c>
      <c r="B231" s="26">
        <f>1</f>
        <v>1</v>
      </c>
      <c r="C231" s="21">
        <f>'1 - Il tuo profilo'!$B$9/100*'2 - Le opzioni'!$B$30*((1-'1 - Il tuo profilo'!$B$28)*'1 - Il tuo profilo'!$B$26+'1 - Il tuo profilo'!$B$28*'1 - Il tuo profilo'!$B$27)</f>
        <v>666.95760000000007</v>
      </c>
      <c r="D231" s="21">
        <f>'1 - Il tuo profilo'!$B$29+IF($B231&lt;='2 - Le opzioni'!$B$64,'1 - Il tuo profilo'!$B$32,0)</f>
        <v>659.2</v>
      </c>
      <c r="E231" s="21">
        <f>IF($B231&lt;='2 - Le opzioni'!$B$31,0,'2 - Le opzioni'!$B$32)*'2 - Le opzioni'!$B$29*'1 - Il tuo profilo'!$B$30+IF(AND($B231&gt;=4,MOD($B231,2)=0),'1 - Il tuo profilo'!$B$31,0)</f>
        <v>0</v>
      </c>
      <c r="F231" s="21">
        <f>IF($B231&lt;=3,'2 - Le opzioni'!$B$56,IF($B231&lt;=7,'2 - Le opzioni'!$B$57,IF($B231&lt;=12,'2 - Le opzioni'!$B$58,'2 - Le opzioni'!$B$59+'2 - Le opzioni'!$B$60*($B231-13))))*'2 - Le opzioni'!$B$62*(0.5+0.5*'1 - Il tuo profilo'!$B$9/'2 - Le opzioni'!$B$63)</f>
        <v>244.99999999999997</v>
      </c>
      <c r="L231" s="21">
        <f t="shared" si="12"/>
        <v>1571.1576</v>
      </c>
      <c r="M231" s="33">
        <f>1/(1+'1 - Il tuo profilo'!$B$13)^A231</f>
        <v>0.970873786407767</v>
      </c>
    </row>
    <row r="232" spans="1:18">
      <c r="A232" s="26">
        <v>2</v>
      </c>
      <c r="B232" s="26">
        <f>2</f>
        <v>2</v>
      </c>
      <c r="C232" s="21">
        <f>'1 - Il tuo profilo'!$B$9/100*'2 - Le opzioni'!$B$30*((1-'1 - Il tuo profilo'!$B$28)*'1 - Il tuo profilo'!$B$26+'1 - Il tuo profilo'!$B$28*'1 - Il tuo profilo'!$B$27)</f>
        <v>666.95760000000007</v>
      </c>
      <c r="D232" s="21">
        <f>'1 - Il tuo profilo'!$B$29+IF($B232&lt;='2 - Le opzioni'!$B$64,'1 - Il tuo profilo'!$B$32,0)</f>
        <v>659.2</v>
      </c>
      <c r="E232" s="21">
        <f>IF($B232&lt;='2 - Le opzioni'!$B$31,0,'2 - Le opzioni'!$B$32)*'2 - Le opzioni'!$B$29*'1 - Il tuo profilo'!$B$30+IF(AND($B232&gt;=4,MOD($B232,2)=0),'1 - Il tuo profilo'!$B$31,0)</f>
        <v>0</v>
      </c>
      <c r="F232" s="21">
        <f>IF($B232&lt;=3,'2 - Le opzioni'!$B$56,IF($B232&lt;=7,'2 - Le opzioni'!$B$57,IF($B232&lt;=12,'2 - Le opzioni'!$B$58,'2 - Le opzioni'!$B$59+'2 - Le opzioni'!$B$60*($B232-13))))*'2 - Le opzioni'!$B$62*(0.5+0.5*'1 - Il tuo profilo'!$B$9/'2 - Le opzioni'!$B$63)</f>
        <v>244.99999999999997</v>
      </c>
      <c r="L232" s="21">
        <f t="shared" si="12"/>
        <v>1571.1576</v>
      </c>
      <c r="M232" s="33">
        <f>1/(1+'1 - Il tuo profilo'!$B$13)^A232</f>
        <v>0.94259590913375435</v>
      </c>
    </row>
    <row r="233" spans="1:18">
      <c r="A233" s="26">
        <v>3</v>
      </c>
      <c r="B233" s="26">
        <f>3</f>
        <v>3</v>
      </c>
      <c r="C233" s="21">
        <f>'1 - Il tuo profilo'!$B$9/100*'2 - Le opzioni'!$B$30*((1-'1 - Il tuo profilo'!$B$28)*'1 - Il tuo profilo'!$B$26+'1 - Il tuo profilo'!$B$28*'1 - Il tuo profilo'!$B$27)</f>
        <v>666.95760000000007</v>
      </c>
      <c r="D233" s="21">
        <f>'1 - Il tuo profilo'!$B$29+IF($B233&lt;='2 - Le opzioni'!$B$64,'1 - Il tuo profilo'!$B$32,0)</f>
        <v>659.2</v>
      </c>
      <c r="E233" s="21">
        <f>IF($B233&lt;='2 - Le opzioni'!$B$31,0,'2 - Le opzioni'!$B$32)*'2 - Le opzioni'!$B$29*'1 - Il tuo profilo'!$B$30+IF(AND($B233&gt;=4,MOD($B233,2)=0),'1 - Il tuo profilo'!$B$31,0)</f>
        <v>0</v>
      </c>
      <c r="F233" s="21">
        <f>IF($B233&lt;=3,'2 - Le opzioni'!$B$56,IF($B233&lt;=7,'2 - Le opzioni'!$B$57,IF($B233&lt;=12,'2 - Le opzioni'!$B$58,'2 - Le opzioni'!$B$59+'2 - Le opzioni'!$B$60*($B233-13))))*'2 - Le opzioni'!$B$62*(0.5+0.5*'1 - Il tuo profilo'!$B$9/'2 - Le opzioni'!$B$63)</f>
        <v>244.99999999999997</v>
      </c>
      <c r="L233" s="21">
        <f t="shared" si="12"/>
        <v>1571.1576</v>
      </c>
      <c r="M233" s="33">
        <f>1/(1+'1 - Il tuo profilo'!$B$13)^A233</f>
        <v>0.91514165935315961</v>
      </c>
    </row>
    <row r="234" spans="1:18">
      <c r="A234" s="26">
        <v>4</v>
      </c>
      <c r="B234" s="26">
        <f>4</f>
        <v>4</v>
      </c>
      <c r="C234" s="21">
        <f>'1 - Il tuo profilo'!$B$9/100*'2 - Le opzioni'!$B$30*((1-'1 - Il tuo profilo'!$B$28)*'1 - Il tuo profilo'!$B$26+'1 - Il tuo profilo'!$B$28*'1 - Il tuo profilo'!$B$27)</f>
        <v>666.95760000000007</v>
      </c>
      <c r="D234" s="21">
        <f>'1 - Il tuo profilo'!$B$29+IF($B234&lt;='2 - Le opzioni'!$B$64,'1 - Il tuo profilo'!$B$32,0)</f>
        <v>659.2</v>
      </c>
      <c r="E234" s="21">
        <f>IF($B234&lt;='2 - Le opzioni'!$B$31,0,'2 - Le opzioni'!$B$32)*'2 - Le opzioni'!$B$29*'1 - Il tuo profilo'!$B$30+IF(AND($B234&gt;=4,MOD($B234,2)=0),'1 - Il tuo profilo'!$B$31,0)</f>
        <v>79.02</v>
      </c>
      <c r="F234" s="21">
        <f>IF($B234&lt;=3,'2 - Le opzioni'!$B$56,IF($B234&lt;=7,'2 - Le opzioni'!$B$57,IF($B234&lt;=12,'2 - Le opzioni'!$B$58,'2 - Le opzioni'!$B$59+'2 - Le opzioni'!$B$60*($B234-13))))*'2 - Le opzioni'!$B$62*(0.5+0.5*'1 - Il tuo profilo'!$B$9/'2 - Le opzioni'!$B$63)</f>
        <v>420</v>
      </c>
      <c r="L234" s="21">
        <f t="shared" si="12"/>
        <v>1825.1776</v>
      </c>
      <c r="M234" s="33">
        <f>1/(1+'1 - Il tuo profilo'!$B$13)^A234</f>
        <v>0.888487047915689</v>
      </c>
    </row>
    <row r="235" spans="1:18">
      <c r="A235" s="26">
        <v>5</v>
      </c>
      <c r="B235" s="26">
        <f>5</f>
        <v>5</v>
      </c>
      <c r="C235" s="21">
        <f>'1 - Il tuo profilo'!$B$9/100*'2 - Le opzioni'!$B$30*((1-'1 - Il tuo profilo'!$B$28)*'1 - Il tuo profilo'!$B$26+'1 - Il tuo profilo'!$B$28*'1 - Il tuo profilo'!$B$27)</f>
        <v>666.95760000000007</v>
      </c>
      <c r="D235" s="21">
        <f>'1 - Il tuo profilo'!$B$29+IF($B235&lt;='2 - Le opzioni'!$B$64,'1 - Il tuo profilo'!$B$32,0)</f>
        <v>659.2</v>
      </c>
      <c r="E235" s="21">
        <f>IF($B235&lt;='2 - Le opzioni'!$B$31,0,'2 - Le opzioni'!$B$32)*'2 - Le opzioni'!$B$29*'1 - Il tuo profilo'!$B$30+IF(AND($B235&gt;=4,MOD($B235,2)=0),'1 - Il tuo profilo'!$B$31,0)</f>
        <v>0</v>
      </c>
      <c r="F235" s="21">
        <f>IF($B235&lt;=3,'2 - Le opzioni'!$B$56,IF($B235&lt;=7,'2 - Le opzioni'!$B$57,IF($B235&lt;=12,'2 - Le opzioni'!$B$58,'2 - Le opzioni'!$B$59+'2 - Le opzioni'!$B$60*($B235-13))))*'2 - Le opzioni'!$B$62*(0.5+0.5*'1 - Il tuo profilo'!$B$9/'2 - Le opzioni'!$B$63)</f>
        <v>420</v>
      </c>
      <c r="L235" s="21">
        <f t="shared" si="12"/>
        <v>1746.1576</v>
      </c>
      <c r="M235" s="33">
        <f>1/(1+'1 - Il tuo profilo'!$B$13)^A235</f>
        <v>0.86260878438416411</v>
      </c>
    </row>
    <row r="236" spans="1:18">
      <c r="A236" s="26">
        <v>6</v>
      </c>
      <c r="B236" s="26">
        <f>6</f>
        <v>6</v>
      </c>
      <c r="C236" s="21">
        <f>'1 - Il tuo profilo'!$B$9/100*'2 - Le opzioni'!$B$30*((1-'1 - Il tuo profilo'!$B$28)*'1 - Il tuo profilo'!$B$26+'1 - Il tuo profilo'!$B$28*'1 - Il tuo profilo'!$B$27)</f>
        <v>666.95760000000007</v>
      </c>
      <c r="D236" s="21">
        <f>'1 - Il tuo profilo'!$B$29+IF($B236&lt;='2 - Le opzioni'!$B$64,'1 - Il tuo profilo'!$B$32,0)</f>
        <v>409.2</v>
      </c>
      <c r="E236" s="21">
        <f>IF($B236&lt;='2 - Le opzioni'!$B$31,0,'2 - Le opzioni'!$B$32)*'2 - Le opzioni'!$B$29*'1 - Il tuo profilo'!$B$30+IF(AND($B236&gt;=4,MOD($B236,2)=0),'1 - Il tuo profilo'!$B$31,0)</f>
        <v>133.845</v>
      </c>
      <c r="F236" s="21">
        <f>IF($B236&lt;=3,'2 - Le opzioni'!$B$56,IF($B236&lt;=7,'2 - Le opzioni'!$B$57,IF($B236&lt;=12,'2 - Le opzioni'!$B$58,'2 - Le opzioni'!$B$59+'2 - Le opzioni'!$B$60*($B236-13))))*'2 - Le opzioni'!$B$62*(0.5+0.5*'1 - Il tuo profilo'!$B$9/'2 - Le opzioni'!$B$63)</f>
        <v>420</v>
      </c>
      <c r="L236" s="21">
        <f t="shared" si="12"/>
        <v>1630.0026</v>
      </c>
      <c r="M236" s="33">
        <f>1/(1+'1 - Il tuo profilo'!$B$13)^A236</f>
        <v>0.83748425668365445</v>
      </c>
    </row>
    <row r="237" spans="1:18">
      <c r="A237" s="26">
        <v>7</v>
      </c>
      <c r="B237" s="26">
        <f>7</f>
        <v>7</v>
      </c>
      <c r="C237" s="21">
        <f>'1 - Il tuo profilo'!$B$9/100*'2 - Le opzioni'!$B$30*((1-'1 - Il tuo profilo'!$B$28)*'1 - Il tuo profilo'!$B$26+'1 - Il tuo profilo'!$B$28*'1 - Il tuo profilo'!$B$27)</f>
        <v>666.95760000000007</v>
      </c>
      <c r="D237" s="21">
        <f>'1 - Il tuo profilo'!$B$29+IF($B237&lt;='2 - Le opzioni'!$B$64,'1 - Il tuo profilo'!$B$32,0)</f>
        <v>409.2</v>
      </c>
      <c r="E237" s="21">
        <f>IF($B237&lt;='2 - Le opzioni'!$B$31,0,'2 - Le opzioni'!$B$32)*'2 - Le opzioni'!$B$29*'1 - Il tuo profilo'!$B$30+IF(AND($B237&gt;=4,MOD($B237,2)=0),'1 - Il tuo profilo'!$B$31,0)</f>
        <v>54.825000000000003</v>
      </c>
      <c r="F237" s="21">
        <f>IF($B237&lt;=3,'2 - Le opzioni'!$B$56,IF($B237&lt;=7,'2 - Le opzioni'!$B$57,IF($B237&lt;=12,'2 - Le opzioni'!$B$58,'2 - Le opzioni'!$B$59+'2 - Le opzioni'!$B$60*($B237-13))))*'2 - Le opzioni'!$B$62*(0.5+0.5*'1 - Il tuo profilo'!$B$9/'2 - Le opzioni'!$B$63)</f>
        <v>420</v>
      </c>
      <c r="L237" s="21">
        <f t="shared" si="12"/>
        <v>1550.9826</v>
      </c>
      <c r="M237" s="33">
        <f>1/(1+'1 - Il tuo profilo'!$B$13)^A237</f>
        <v>0.81309151134335378</v>
      </c>
    </row>
    <row r="238" spans="1:18">
      <c r="A238" s="26">
        <v>8</v>
      </c>
      <c r="B238" s="26">
        <f>8</f>
        <v>8</v>
      </c>
      <c r="C238" s="21">
        <f>'1 - Il tuo profilo'!$B$9/100*'2 - Le opzioni'!$B$30*((1-'1 - Il tuo profilo'!$B$28)*'1 - Il tuo profilo'!$B$26+'1 - Il tuo profilo'!$B$28*'1 - Il tuo profilo'!$B$27)</f>
        <v>666.95760000000007</v>
      </c>
      <c r="D238" s="21">
        <f>'1 - Il tuo profilo'!$B$29+IF($B238&lt;='2 - Le opzioni'!$B$64,'1 - Il tuo profilo'!$B$32,0)</f>
        <v>409.2</v>
      </c>
      <c r="E238" s="21">
        <f>IF($B238&lt;='2 - Le opzioni'!$B$31,0,'2 - Le opzioni'!$B$32)*'2 - Le opzioni'!$B$29*'1 - Il tuo profilo'!$B$30+IF(AND($B238&gt;=4,MOD($B238,2)=0),'1 - Il tuo profilo'!$B$31,0)</f>
        <v>133.845</v>
      </c>
      <c r="F238" s="21">
        <f>IF($B238&lt;=3,'2 - Le opzioni'!$B$56,IF($B238&lt;=7,'2 - Le opzioni'!$B$57,IF($B238&lt;=12,'2 - Le opzioni'!$B$58,'2 - Le opzioni'!$B$59+'2 - Le opzioni'!$B$60*($B238-13))))*'2 - Le opzioni'!$B$62*(0.5+0.5*'1 - Il tuo profilo'!$B$9/'2 - Le opzioni'!$B$63)</f>
        <v>630</v>
      </c>
      <c r="L238" s="21">
        <f t="shared" si="12"/>
        <v>1840.0026</v>
      </c>
      <c r="M238" s="33">
        <f>1/(1+'1 - Il tuo profilo'!$B$13)^A238</f>
        <v>0.78940923431393573</v>
      </c>
    </row>
    <row r="239" spans="1:18">
      <c r="A239" s="26">
        <v>9</v>
      </c>
      <c r="B239" s="26">
        <f>9</f>
        <v>9</v>
      </c>
      <c r="C239" s="21">
        <f>'1 - Il tuo profilo'!$B$9/100*'2 - Le opzioni'!$B$30*((1-'1 - Il tuo profilo'!$B$28)*'1 - Il tuo profilo'!$B$26+'1 - Il tuo profilo'!$B$28*'1 - Il tuo profilo'!$B$27)</f>
        <v>666.95760000000007</v>
      </c>
      <c r="D239" s="21">
        <f>'1 - Il tuo profilo'!$B$29+IF($B239&lt;='2 - Le opzioni'!$B$64,'1 - Il tuo profilo'!$B$32,0)</f>
        <v>409.2</v>
      </c>
      <c r="E239" s="21">
        <f>IF($B239&lt;='2 - Le opzioni'!$B$31,0,'2 - Le opzioni'!$B$32)*'2 - Le opzioni'!$B$29*'1 - Il tuo profilo'!$B$30+IF(AND($B239&gt;=4,MOD($B239,2)=0),'1 - Il tuo profilo'!$B$31,0)</f>
        <v>54.825000000000003</v>
      </c>
      <c r="F239" s="21">
        <f>IF($B239&lt;=3,'2 - Le opzioni'!$B$56,IF($B239&lt;=7,'2 - Le opzioni'!$B$57,IF($B239&lt;=12,'2 - Le opzioni'!$B$58,'2 - Le opzioni'!$B$59+'2 - Le opzioni'!$B$60*($B239-13))))*'2 - Le opzioni'!$B$62*(0.5+0.5*'1 - Il tuo profilo'!$B$9/'2 - Le opzioni'!$B$63)</f>
        <v>630</v>
      </c>
      <c r="L239" s="21">
        <f t="shared" si="12"/>
        <v>1760.9826</v>
      </c>
      <c r="M239" s="33">
        <f>1/(1+'1 - Il tuo profilo'!$B$13)^A239</f>
        <v>0.76641673234362695</v>
      </c>
    </row>
    <row r="240" spans="1:18">
      <c r="A240" s="26">
        <v>10</v>
      </c>
      <c r="B240" s="26">
        <f>10</f>
        <v>10</v>
      </c>
      <c r="C240" s="21">
        <f>'1 - Il tuo profilo'!$B$9/100*'2 - Le opzioni'!$B$30*((1-'1 - Il tuo profilo'!$B$28)*'1 - Il tuo profilo'!$B$26+'1 - Il tuo profilo'!$B$28*'1 - Il tuo profilo'!$B$27)</f>
        <v>666.95760000000007</v>
      </c>
      <c r="D240" s="21">
        <f>'1 - Il tuo profilo'!$B$29+IF($B240&lt;='2 - Le opzioni'!$B$64,'1 - Il tuo profilo'!$B$32,0)</f>
        <v>409.2</v>
      </c>
      <c r="E240" s="21">
        <f>IF($B240&lt;='2 - Le opzioni'!$B$31,0,'2 - Le opzioni'!$B$32)*'2 - Le opzioni'!$B$29*'1 - Il tuo profilo'!$B$30+IF(AND($B240&gt;=4,MOD($B240,2)=0),'1 - Il tuo profilo'!$B$31,0)</f>
        <v>133.845</v>
      </c>
      <c r="F240" s="21">
        <f>IF($B240&lt;=3,'2 - Le opzioni'!$B$56,IF($B240&lt;=7,'2 - Le opzioni'!$B$57,IF($B240&lt;=12,'2 - Le opzioni'!$B$58,'2 - Le opzioni'!$B$59+'2 - Le opzioni'!$B$60*($B240-13))))*'2 - Le opzioni'!$B$62*(0.5+0.5*'1 - Il tuo profilo'!$B$9/'2 - Le opzioni'!$B$63)</f>
        <v>630</v>
      </c>
      <c r="G240" s="21">
        <f>-('2 - Le opzioni'!$B$28*IF(10&gt;=MAX('2 - Le opzioni'!$B$67:$K$67),0,INDEX('2 - Le opzioni'!$B$69:$K$69,MATCH(10,'2 - Le opzioni'!$B$67:$K$67,1))+(INDEX('2 - Le opzioni'!$B$69:$K$69,MATCH(10,'2 - Le opzioni'!$B$67:$K$67,1)+1)-INDEX('2 - Le opzioni'!$B$69:$K$69,MATCH(10,'2 - Le opzioni'!$B$67:$K$67,1)))*(10-INDEX('2 - Le opzioni'!$B$67:$K$67,MATCH(10,'2 - Le opzioni'!$B$67:$K$67,1)))/(INDEX('2 - Le opzioni'!$B$67:$K$67,MATCH(10,'2 - Le opzioni'!$B$67:$K$67,1)+1)-INDEX('2 - Le opzioni'!$B$67:$K$67,MATCH(10,'2 - Le opzioni'!$B$67:$K$67,1)))))</f>
        <v>-4420</v>
      </c>
      <c r="L240" s="21">
        <f t="shared" si="12"/>
        <v>-2579.9974000000002</v>
      </c>
      <c r="M240" s="33">
        <f>1/(1+'1 - Il tuo profilo'!$B$13)^A240</f>
        <v>0.74409391489672516</v>
      </c>
    </row>
    <row r="241" spans="1:18">
      <c r="A241" s="6" t="s">
        <v>319</v>
      </c>
      <c r="B241" s="18">
        <f>-PMT('2 - Le opzioni'!$B$36/12,'2 - Le opzioni'!$B$38,('2 - Le opzioni'!$B$28-'1 - Il tuo profilo'!$B$33),-(0))</f>
        <v>478.78279938393837</v>
      </c>
    </row>
    <row r="242" spans="1:18" ht="32.1" customHeight="1">
      <c r="A242" s="30" t="s">
        <v>285</v>
      </c>
      <c r="B242" s="30" t="s">
        <v>286</v>
      </c>
      <c r="C242" s="30" t="s">
        <v>287</v>
      </c>
      <c r="D242" s="30" t="s">
        <v>288</v>
      </c>
      <c r="E242" s="30" t="s">
        <v>289</v>
      </c>
      <c r="F242" s="30" t="s">
        <v>290</v>
      </c>
      <c r="G242" s="30" t="s">
        <v>291</v>
      </c>
      <c r="H242" s="30" t="s">
        <v>292</v>
      </c>
      <c r="I242" s="30" t="s">
        <v>225</v>
      </c>
      <c r="J242" s="30" t="s">
        <v>293</v>
      </c>
      <c r="K242" s="30" t="s">
        <v>294</v>
      </c>
      <c r="L242" s="30" t="s">
        <v>295</v>
      </c>
      <c r="M242" s="30" t="s">
        <v>227</v>
      </c>
    </row>
    <row r="243" spans="1:18">
      <c r="A243" s="21">
        <f>L230+NPV('1 - Il tuo profilo'!$B$13,L231:L240)+E243+G243</f>
        <v>36784.824275101957</v>
      </c>
      <c r="B243" s="21">
        <f>SUM(L230:L240)+F243+H243</f>
        <v>40114.813058012915</v>
      </c>
      <c r="C243" s="26">
        <f>10</f>
        <v>10</v>
      </c>
      <c r="D243" s="33">
        <f>PV('1 - Il tuo profilo'!$B$13,C243,-1)</f>
        <v>8.5302028367758282</v>
      </c>
      <c r="E243" s="21">
        <f>B241*PV('2 - Le opzioni'!$B$110,'2 - Le opzioni'!$B$38,-1)*(1+'2 - Le opzioni'!$B$110)^-(0)</f>
        <v>25404.138995014942</v>
      </c>
      <c r="F243" s="21">
        <f>B241*PV('2 - Le opzioni'!$B$111,'2 - Le opzioni'!$B$38,-1)*(1+'2 - Le opzioni'!$B$111)^-(0)</f>
        <v>27328.032058012916</v>
      </c>
      <c r="G243" s="21">
        <f>0</f>
        <v>0</v>
      </c>
      <c r="H243" s="21">
        <f>0</f>
        <v>0</v>
      </c>
      <c r="I243" s="21">
        <f>IF(C243&gt;=10,A243,A243/D243*'2 - Le opzioni'!$B$112-'1 - Il tuo profilo'!$B$33)</f>
        <v>36784.824275101957</v>
      </c>
      <c r="J243" s="21">
        <f>IF(C243&gt;=10,B243,B243*10/C243-'1 - Il tuo profilo'!$B$33)</f>
        <v>40114.813058012915</v>
      </c>
      <c r="K243" s="18">
        <f>I243/'2 - Le opzioni'!$B$112</f>
        <v>4312.3035851519753</v>
      </c>
      <c r="L243" s="18">
        <f>K243/12</f>
        <v>359.35863209599796</v>
      </c>
      <c r="M243" s="31">
        <f>K243/'1 - Il tuo profilo'!$B$9</f>
        <v>0.35935863209599794</v>
      </c>
    </row>
    <row r="244" spans="1:18" ht="32.1" customHeight="1">
      <c r="A244" s="30" t="s">
        <v>296</v>
      </c>
      <c r="B244" s="30" t="s">
        <v>297</v>
      </c>
      <c r="C244" s="30" t="s">
        <v>298</v>
      </c>
      <c r="D244" s="30" t="s">
        <v>299</v>
      </c>
      <c r="E244" s="30" t="s">
        <v>300</v>
      </c>
      <c r="F244" s="30" t="s">
        <v>301</v>
      </c>
      <c r="G244" s="30" t="s">
        <v>302</v>
      </c>
      <c r="H244" s="30" t="s">
        <v>303</v>
      </c>
      <c r="I244" s="30" t="s">
        <v>304</v>
      </c>
      <c r="J244" s="30" t="s">
        <v>305</v>
      </c>
      <c r="K244" s="30" t="s">
        <v>306</v>
      </c>
      <c r="L244" s="30" t="s">
        <v>307</v>
      </c>
      <c r="M244" s="30" t="s">
        <v>308</v>
      </c>
      <c r="N244" s="30" t="s">
        <v>309</v>
      </c>
      <c r="O244" s="30" t="s">
        <v>310</v>
      </c>
      <c r="P244" s="30" t="s">
        <v>311</v>
      </c>
      <c r="Q244" s="30" t="s">
        <v>312</v>
      </c>
      <c r="R244" s="30" t="s">
        <v>313</v>
      </c>
    </row>
    <row r="245" spans="1:18">
      <c r="A245" s="21">
        <f>SUMPRODUCT(G230:G240,M230:M240)</f>
        <v>19711.104896156474</v>
      </c>
      <c r="B245" s="21">
        <f>SUMPRODUCT(H230:H240,M230:M240)+E243</f>
        <v>2704.1389950149423</v>
      </c>
      <c r="C245" s="21">
        <f>SUMPRODUCT(I230:I240,M230:M240)+G243</f>
        <v>0</v>
      </c>
      <c r="D245" s="21">
        <f>SUMPRODUCT(C230:C240,M230:M240)</f>
        <v>5689.2836115291993</v>
      </c>
      <c r="E245" s="21">
        <f>SUMPRODUCT(D230:D240,M230:M240)</f>
        <v>4635.4857976073035</v>
      </c>
      <c r="F245" s="21">
        <f>SUMPRODUCT(E230:E240,M230:M240)</f>
        <v>474.1495953283611</v>
      </c>
      <c r="G245" s="21">
        <f>SUMPRODUCT(F230:F240,M230:M240)</f>
        <v>3570.6613794656796</v>
      </c>
      <c r="H245" s="21">
        <f>SUMPRODUCT(J230:J240,M230:M240)</f>
        <v>0</v>
      </c>
      <c r="I245" s="21">
        <f>SUMPRODUCT(K230:K240,M230:M240)</f>
        <v>0</v>
      </c>
      <c r="J245" s="18">
        <f t="shared" ref="J245:R245" si="13">A245/$D243/12</f>
        <v>192.56190106032213</v>
      </c>
      <c r="K245" s="18">
        <f t="shared" si="13"/>
        <v>26.417298693030741</v>
      </c>
      <c r="L245" s="18">
        <f t="shared" si="13"/>
        <v>0</v>
      </c>
      <c r="M245" s="18">
        <f t="shared" si="13"/>
        <v>55.579800000000013</v>
      </c>
      <c r="N245" s="18">
        <f t="shared" si="13"/>
        <v>45.285029034543875</v>
      </c>
      <c r="O245" s="18">
        <f t="shared" si="13"/>
        <v>4.6320664389145998</v>
      </c>
      <c r="P245" s="18">
        <f t="shared" si="13"/>
        <v>34.882536869186644</v>
      </c>
      <c r="Q245" s="18">
        <f t="shared" si="13"/>
        <v>0</v>
      </c>
      <c r="R245" s="18">
        <f t="shared" si="13"/>
        <v>0</v>
      </c>
    </row>
    <row r="247" spans="1:18">
      <c r="A247" s="2" t="s">
        <v>321</v>
      </c>
    </row>
    <row r="248" spans="1:18" ht="32.1" customHeight="1">
      <c r="A248" s="30" t="s">
        <v>272</v>
      </c>
      <c r="B248" s="30" t="s">
        <v>273</v>
      </c>
      <c r="C248" s="30" t="s">
        <v>274</v>
      </c>
      <c r="D248" s="30" t="s">
        <v>275</v>
      </c>
      <c r="E248" s="30" t="s">
        <v>276</v>
      </c>
      <c r="F248" s="30" t="s">
        <v>277</v>
      </c>
      <c r="G248" s="30" t="s">
        <v>278</v>
      </c>
      <c r="H248" s="30" t="s">
        <v>279</v>
      </c>
      <c r="I248" s="30" t="s">
        <v>280</v>
      </c>
      <c r="J248" s="30" t="s">
        <v>281</v>
      </c>
      <c r="K248" s="30" t="s">
        <v>282</v>
      </c>
      <c r="L248" s="30" t="s">
        <v>283</v>
      </c>
      <c r="M248" s="30" t="s">
        <v>284</v>
      </c>
    </row>
    <row r="249" spans="1:18">
      <c r="A249" s="26">
        <v>0</v>
      </c>
      <c r="G249" s="21">
        <f>-'1 - Il tuo profilo'!$B$33+'2 - Le opzioni'!$B$6</f>
        <v>16000</v>
      </c>
      <c r="H249" s="21">
        <f>-('2 - Le opzioni'!$B$6-'1 - Il tuo profilo'!$B$33)+'2 - Le opzioni'!$B$37+IF(A249=('2 - Le opzioni'!$B$42),'2 - Le opzioni'!$B$41/(1+'1 - Il tuo profilo'!$B$14)^('2 - Le opzioni'!$B$42),0)</f>
        <v>-15700</v>
      </c>
      <c r="L249" s="21">
        <f t="shared" ref="L249:L259" si="14">SUM(C249:K249)</f>
        <v>300</v>
      </c>
      <c r="M249" s="33">
        <f>1/(1+'1 - Il tuo profilo'!$B$13)^A249</f>
        <v>1</v>
      </c>
    </row>
    <row r="250" spans="1:18">
      <c r="A250" s="26">
        <v>1</v>
      </c>
      <c r="B250" s="26">
        <f>1</f>
        <v>1</v>
      </c>
      <c r="C250" s="21">
        <f>'1 - Il tuo profilo'!$B$9/100*'2 - Le opzioni'!$B$8*'1 - Il tuo profilo'!$B$25</f>
        <v>1243.1664000000001</v>
      </c>
      <c r="D250" s="21">
        <f>'1 - Il tuo profilo'!$B$29+IF($B250&lt;='2 - Le opzioni'!$B$64,'1 - Il tuo profilo'!$B$32,0)</f>
        <v>659.2</v>
      </c>
      <c r="E250" s="21">
        <f>'2 - Le opzioni'!$B$7*'1 - Il tuo profilo'!$B$30+IF(AND($B250&gt;=4,MOD($B250,2)=0),'1 - Il tuo profilo'!$B$31,0)</f>
        <v>180.6</v>
      </c>
      <c r="F250" s="21">
        <f>IF($B250&lt;=3,'2 - Le opzioni'!$B$56,IF($B250&lt;=7,'2 - Le opzioni'!$B$57,IF($B250&lt;=12,'2 - Le opzioni'!$B$58,'2 - Le opzioni'!$B$59+'2 - Le opzioni'!$B$60*($B250-13))))*1*(0.5+0.5*'1 - Il tuo profilo'!$B$9/'2 - Le opzioni'!$B$63)</f>
        <v>350</v>
      </c>
      <c r="H250" s="21">
        <f>IF(A250=('2 - Le opzioni'!$B$42),'2 - Le opzioni'!$B$41/(1+'1 - Il tuo profilo'!$B$14)^('2 - Le opzioni'!$B$42),0)</f>
        <v>0</v>
      </c>
      <c r="L250" s="21">
        <f t="shared" si="14"/>
        <v>2432.9664000000002</v>
      </c>
      <c r="M250" s="33">
        <f>1/(1+'1 - Il tuo profilo'!$B$13)^A250</f>
        <v>0.970873786407767</v>
      </c>
    </row>
    <row r="251" spans="1:18">
      <c r="A251" s="26">
        <v>2</v>
      </c>
      <c r="B251" s="26">
        <f>2</f>
        <v>2</v>
      </c>
      <c r="C251" s="21">
        <f>'1 - Il tuo profilo'!$B$9/100*'2 - Le opzioni'!$B$8*'1 - Il tuo profilo'!$B$25</f>
        <v>1243.1664000000001</v>
      </c>
      <c r="D251" s="21">
        <f>'1 - Il tuo profilo'!$B$29+IF($B251&lt;='2 - Le opzioni'!$B$64,'1 - Il tuo profilo'!$B$32,0)</f>
        <v>659.2</v>
      </c>
      <c r="E251" s="21">
        <f>'2 - Le opzioni'!$B$7*'1 - Il tuo profilo'!$B$30+IF(AND($B251&gt;=4,MOD($B251,2)=0),'1 - Il tuo profilo'!$B$31,0)</f>
        <v>180.6</v>
      </c>
      <c r="F251" s="21">
        <f>IF($B251&lt;=3,'2 - Le opzioni'!$B$56,IF($B251&lt;=7,'2 - Le opzioni'!$B$57,IF($B251&lt;=12,'2 - Le opzioni'!$B$58,'2 - Le opzioni'!$B$59+'2 - Le opzioni'!$B$60*($B251-13))))*1*(0.5+0.5*'1 - Il tuo profilo'!$B$9/'2 - Le opzioni'!$B$63)</f>
        <v>350</v>
      </c>
      <c r="H251" s="21">
        <f>IF(A251=('2 - Le opzioni'!$B$42),'2 - Le opzioni'!$B$41/(1+'1 - Il tuo profilo'!$B$14)^('2 - Le opzioni'!$B$42),0)</f>
        <v>0</v>
      </c>
      <c r="L251" s="21">
        <f t="shared" si="14"/>
        <v>2432.9664000000002</v>
      </c>
      <c r="M251" s="33">
        <f>1/(1+'1 - Il tuo profilo'!$B$13)^A251</f>
        <v>0.94259590913375435</v>
      </c>
    </row>
    <row r="252" spans="1:18">
      <c r="A252" s="26">
        <v>3</v>
      </c>
      <c r="B252" s="26">
        <f>3</f>
        <v>3</v>
      </c>
      <c r="C252" s="21">
        <f>'1 - Il tuo profilo'!$B$9/100*'2 - Le opzioni'!$B$8*'1 - Il tuo profilo'!$B$25</f>
        <v>1243.1664000000001</v>
      </c>
      <c r="D252" s="21">
        <f>'1 - Il tuo profilo'!$B$29+IF($B252&lt;='2 - Le opzioni'!$B$64,'1 - Il tuo profilo'!$B$32,0)</f>
        <v>659.2</v>
      </c>
      <c r="E252" s="21">
        <f>'2 - Le opzioni'!$B$7*'1 - Il tuo profilo'!$B$30+IF(AND($B252&gt;=4,MOD($B252,2)=0),'1 - Il tuo profilo'!$B$31,0)</f>
        <v>180.6</v>
      </c>
      <c r="F252" s="21">
        <f>IF($B252&lt;=3,'2 - Le opzioni'!$B$56,IF($B252&lt;=7,'2 - Le opzioni'!$B$57,IF($B252&lt;=12,'2 - Le opzioni'!$B$58,'2 - Le opzioni'!$B$59+'2 - Le opzioni'!$B$60*($B252-13))))*1*(0.5+0.5*'1 - Il tuo profilo'!$B$9/'2 - Le opzioni'!$B$63)</f>
        <v>350</v>
      </c>
      <c r="H252" s="21">
        <f>IF(A252=('2 - Le opzioni'!$B$42),'2 - Le opzioni'!$B$41/(1+'1 - Il tuo profilo'!$B$14)^('2 - Le opzioni'!$B$42),0)</f>
        <v>9847.268396016616</v>
      </c>
      <c r="L252" s="21">
        <f t="shared" si="14"/>
        <v>12280.234796016615</v>
      </c>
      <c r="M252" s="33">
        <f>1/(1+'1 - Il tuo profilo'!$B$13)^A252</f>
        <v>0.91514165935315961</v>
      </c>
    </row>
    <row r="253" spans="1:18">
      <c r="A253" s="26">
        <v>4</v>
      </c>
      <c r="B253" s="26">
        <f>4</f>
        <v>4</v>
      </c>
      <c r="C253" s="21">
        <f>'1 - Il tuo profilo'!$B$9/100*'2 - Le opzioni'!$B$8*'1 - Il tuo profilo'!$B$25</f>
        <v>1243.1664000000001</v>
      </c>
      <c r="D253" s="21">
        <f>'1 - Il tuo profilo'!$B$29+IF($B253&lt;='2 - Le opzioni'!$B$64,'1 - Il tuo profilo'!$B$32,0)</f>
        <v>659.2</v>
      </c>
      <c r="E253" s="21">
        <f>'2 - Le opzioni'!$B$7*'1 - Il tuo profilo'!$B$30+IF(AND($B253&gt;=4,MOD($B253,2)=0),'1 - Il tuo profilo'!$B$31,0)</f>
        <v>259.62</v>
      </c>
      <c r="F253" s="21">
        <f>IF($B253&lt;=3,'2 - Le opzioni'!$B$56,IF($B253&lt;=7,'2 - Le opzioni'!$B$57,IF($B253&lt;=12,'2 - Le opzioni'!$B$58,'2 - Le opzioni'!$B$59+'2 - Le opzioni'!$B$60*($B253-13))))*1*(0.5+0.5*'1 - Il tuo profilo'!$B$9/'2 - Le opzioni'!$B$63)</f>
        <v>600</v>
      </c>
      <c r="H253" s="21">
        <f>IF(A253=('2 - Le opzioni'!$B$42),'2 - Le opzioni'!$B$41/(1+'1 - Il tuo profilo'!$B$14)^('2 - Le opzioni'!$B$42),0)</f>
        <v>0</v>
      </c>
      <c r="L253" s="21">
        <f t="shared" si="14"/>
        <v>2761.9864000000002</v>
      </c>
      <c r="M253" s="33">
        <f>1/(1+'1 - Il tuo profilo'!$B$13)^A253</f>
        <v>0.888487047915689</v>
      </c>
    </row>
    <row r="254" spans="1:18">
      <c r="A254" s="26">
        <v>5</v>
      </c>
      <c r="B254" s="26">
        <f>5</f>
        <v>5</v>
      </c>
      <c r="C254" s="21">
        <f>'1 - Il tuo profilo'!$B$9/100*'2 - Le opzioni'!$B$8*'1 - Il tuo profilo'!$B$25</f>
        <v>1243.1664000000001</v>
      </c>
      <c r="D254" s="21">
        <f>'1 - Il tuo profilo'!$B$29+IF($B254&lt;='2 - Le opzioni'!$B$64,'1 - Il tuo profilo'!$B$32,0)</f>
        <v>659.2</v>
      </c>
      <c r="E254" s="21">
        <f>'2 - Le opzioni'!$B$7*'1 - Il tuo profilo'!$B$30+IF(AND($B254&gt;=4,MOD($B254,2)=0),'1 - Il tuo profilo'!$B$31,0)</f>
        <v>180.6</v>
      </c>
      <c r="F254" s="21">
        <f>IF($B254&lt;=3,'2 - Le opzioni'!$B$56,IF($B254&lt;=7,'2 - Le opzioni'!$B$57,IF($B254&lt;=12,'2 - Le opzioni'!$B$58,'2 - Le opzioni'!$B$59+'2 - Le opzioni'!$B$60*($B254-13))))*1*(0.5+0.5*'1 - Il tuo profilo'!$B$9/'2 - Le opzioni'!$B$63)</f>
        <v>600</v>
      </c>
      <c r="H254" s="21">
        <f>IF(A254=('2 - Le opzioni'!$B$42),'2 - Le opzioni'!$B$41/(1+'1 - Il tuo profilo'!$B$14)^('2 - Le opzioni'!$B$42),0)</f>
        <v>0</v>
      </c>
      <c r="L254" s="21">
        <f t="shared" si="14"/>
        <v>2682.9664000000002</v>
      </c>
      <c r="M254" s="33">
        <f>1/(1+'1 - Il tuo profilo'!$B$13)^A254</f>
        <v>0.86260878438416411</v>
      </c>
    </row>
    <row r="255" spans="1:18">
      <c r="A255" s="26">
        <v>6</v>
      </c>
      <c r="B255" s="26">
        <f>6</f>
        <v>6</v>
      </c>
      <c r="C255" s="21">
        <f>'1 - Il tuo profilo'!$B$9/100*'2 - Le opzioni'!$B$8*'1 - Il tuo profilo'!$B$25</f>
        <v>1243.1664000000001</v>
      </c>
      <c r="D255" s="21">
        <f>'1 - Il tuo profilo'!$B$29+IF($B255&lt;='2 - Le opzioni'!$B$64,'1 - Il tuo profilo'!$B$32,0)</f>
        <v>409.2</v>
      </c>
      <c r="E255" s="21">
        <f>'2 - Le opzioni'!$B$7*'1 - Il tuo profilo'!$B$30+IF(AND($B255&gt;=4,MOD($B255,2)=0),'1 - Il tuo profilo'!$B$31,0)</f>
        <v>259.62</v>
      </c>
      <c r="F255" s="21">
        <f>IF($B255&lt;=3,'2 - Le opzioni'!$B$56,IF($B255&lt;=7,'2 - Le opzioni'!$B$57,IF($B255&lt;=12,'2 - Le opzioni'!$B$58,'2 - Le opzioni'!$B$59+'2 - Le opzioni'!$B$60*($B255-13))))*1*(0.5+0.5*'1 - Il tuo profilo'!$B$9/'2 - Le opzioni'!$B$63)</f>
        <v>600</v>
      </c>
      <c r="H255" s="21">
        <f>IF(A255=('2 - Le opzioni'!$B$42),'2 - Le opzioni'!$B$41/(1+'1 - Il tuo profilo'!$B$14)^('2 - Le opzioni'!$B$42),0)</f>
        <v>0</v>
      </c>
      <c r="L255" s="21">
        <f t="shared" si="14"/>
        <v>2511.9864000000002</v>
      </c>
      <c r="M255" s="33">
        <f>1/(1+'1 - Il tuo profilo'!$B$13)^A255</f>
        <v>0.83748425668365445</v>
      </c>
    </row>
    <row r="256" spans="1:18">
      <c r="A256" s="26">
        <v>7</v>
      </c>
      <c r="B256" s="26">
        <f>7</f>
        <v>7</v>
      </c>
      <c r="C256" s="21">
        <f>'1 - Il tuo profilo'!$B$9/100*'2 - Le opzioni'!$B$8*'1 - Il tuo profilo'!$B$25</f>
        <v>1243.1664000000001</v>
      </c>
      <c r="D256" s="21">
        <f>'1 - Il tuo profilo'!$B$29+IF($B256&lt;='2 - Le opzioni'!$B$64,'1 - Il tuo profilo'!$B$32,0)</f>
        <v>409.2</v>
      </c>
      <c r="E256" s="21">
        <f>'2 - Le opzioni'!$B$7*'1 - Il tuo profilo'!$B$30+IF(AND($B256&gt;=4,MOD($B256,2)=0),'1 - Il tuo profilo'!$B$31,0)</f>
        <v>180.6</v>
      </c>
      <c r="F256" s="21">
        <f>IF($B256&lt;=3,'2 - Le opzioni'!$B$56,IF($B256&lt;=7,'2 - Le opzioni'!$B$57,IF($B256&lt;=12,'2 - Le opzioni'!$B$58,'2 - Le opzioni'!$B$59+'2 - Le opzioni'!$B$60*($B256-13))))*1*(0.5+0.5*'1 - Il tuo profilo'!$B$9/'2 - Le opzioni'!$B$63)</f>
        <v>600</v>
      </c>
      <c r="H256" s="21">
        <f>IF(A256=('2 - Le opzioni'!$B$42),'2 - Le opzioni'!$B$41/(1+'1 - Il tuo profilo'!$B$14)^('2 - Le opzioni'!$B$42),0)</f>
        <v>0</v>
      </c>
      <c r="L256" s="21">
        <f t="shared" si="14"/>
        <v>2432.9664000000002</v>
      </c>
      <c r="M256" s="33">
        <f>1/(1+'1 - Il tuo profilo'!$B$13)^A256</f>
        <v>0.81309151134335378</v>
      </c>
    </row>
    <row r="257" spans="1:18">
      <c r="A257" s="26">
        <v>8</v>
      </c>
      <c r="B257" s="26">
        <f>8</f>
        <v>8</v>
      </c>
      <c r="C257" s="21">
        <f>'1 - Il tuo profilo'!$B$9/100*'2 - Le opzioni'!$B$8*'1 - Il tuo profilo'!$B$25</f>
        <v>1243.1664000000001</v>
      </c>
      <c r="D257" s="21">
        <f>'1 - Il tuo profilo'!$B$29+IF($B257&lt;='2 - Le opzioni'!$B$64,'1 - Il tuo profilo'!$B$32,0)</f>
        <v>409.2</v>
      </c>
      <c r="E257" s="21">
        <f>'2 - Le opzioni'!$B$7*'1 - Il tuo profilo'!$B$30+IF(AND($B257&gt;=4,MOD($B257,2)=0),'1 - Il tuo profilo'!$B$31,0)</f>
        <v>259.62</v>
      </c>
      <c r="F257" s="21">
        <f>IF($B257&lt;=3,'2 - Le opzioni'!$B$56,IF($B257&lt;=7,'2 - Le opzioni'!$B$57,IF($B257&lt;=12,'2 - Le opzioni'!$B$58,'2 - Le opzioni'!$B$59+'2 - Le opzioni'!$B$60*($B257-13))))*1*(0.5+0.5*'1 - Il tuo profilo'!$B$9/'2 - Le opzioni'!$B$63)</f>
        <v>900</v>
      </c>
      <c r="H257" s="21">
        <f>IF(A257=('2 - Le opzioni'!$B$42),'2 - Le opzioni'!$B$41/(1+'1 - Il tuo profilo'!$B$14)^('2 - Le opzioni'!$B$42),0)</f>
        <v>0</v>
      </c>
      <c r="L257" s="21">
        <f t="shared" si="14"/>
        <v>2811.9864000000002</v>
      </c>
      <c r="M257" s="33">
        <f>1/(1+'1 - Il tuo profilo'!$B$13)^A257</f>
        <v>0.78940923431393573</v>
      </c>
    </row>
    <row r="258" spans="1:18">
      <c r="A258" s="26">
        <v>9</v>
      </c>
      <c r="B258" s="26">
        <f>9</f>
        <v>9</v>
      </c>
      <c r="C258" s="21">
        <f>'1 - Il tuo profilo'!$B$9/100*'2 - Le opzioni'!$B$8*'1 - Il tuo profilo'!$B$25</f>
        <v>1243.1664000000001</v>
      </c>
      <c r="D258" s="21">
        <f>'1 - Il tuo profilo'!$B$29+IF($B258&lt;='2 - Le opzioni'!$B$64,'1 - Il tuo profilo'!$B$32,0)</f>
        <v>409.2</v>
      </c>
      <c r="E258" s="21">
        <f>'2 - Le opzioni'!$B$7*'1 - Il tuo profilo'!$B$30+IF(AND($B258&gt;=4,MOD($B258,2)=0),'1 - Il tuo profilo'!$B$31,0)</f>
        <v>180.6</v>
      </c>
      <c r="F258" s="21">
        <f>IF($B258&lt;=3,'2 - Le opzioni'!$B$56,IF($B258&lt;=7,'2 - Le opzioni'!$B$57,IF($B258&lt;=12,'2 - Le opzioni'!$B$58,'2 - Le opzioni'!$B$59+'2 - Le opzioni'!$B$60*($B258-13))))*1*(0.5+0.5*'1 - Il tuo profilo'!$B$9/'2 - Le opzioni'!$B$63)</f>
        <v>900</v>
      </c>
      <c r="H258" s="21">
        <f>IF(A258=('2 - Le opzioni'!$B$42),'2 - Le opzioni'!$B$41/(1+'1 - Il tuo profilo'!$B$14)^('2 - Le opzioni'!$B$42),0)</f>
        <v>0</v>
      </c>
      <c r="L258" s="21">
        <f t="shared" si="14"/>
        <v>2732.9664000000002</v>
      </c>
      <c r="M258" s="33">
        <f>1/(1+'1 - Il tuo profilo'!$B$13)^A258</f>
        <v>0.76641673234362695</v>
      </c>
    </row>
    <row r="259" spans="1:18">
      <c r="A259" s="26">
        <v>10</v>
      </c>
      <c r="B259" s="26">
        <f>10</f>
        <v>10</v>
      </c>
      <c r="C259" s="21">
        <f>'1 - Il tuo profilo'!$B$9/100*'2 - Le opzioni'!$B$8*'1 - Il tuo profilo'!$B$25</f>
        <v>1243.1664000000001</v>
      </c>
      <c r="D259" s="21">
        <f>'1 - Il tuo profilo'!$B$29+IF($B259&lt;='2 - Le opzioni'!$B$64,'1 - Il tuo profilo'!$B$32,0)</f>
        <v>409.2</v>
      </c>
      <c r="E259" s="21">
        <f>'2 - Le opzioni'!$B$7*'1 - Il tuo profilo'!$B$30+IF(AND($B259&gt;=4,MOD($B259,2)=0),'1 - Il tuo profilo'!$B$31,0)</f>
        <v>259.62</v>
      </c>
      <c r="F259" s="21">
        <f>IF($B259&lt;=3,'2 - Le opzioni'!$B$56,IF($B259&lt;=7,'2 - Le opzioni'!$B$57,IF($B259&lt;=12,'2 - Le opzioni'!$B$58,'2 - Le opzioni'!$B$59+'2 - Le opzioni'!$B$60*($B259-13))))*1*(0.5+0.5*'1 - Il tuo profilo'!$B$9/'2 - Le opzioni'!$B$63)</f>
        <v>900</v>
      </c>
      <c r="G259" s="21">
        <f>-('2 - Le opzioni'!$B$6*IF(10&gt;=MAX('2 - Le opzioni'!$B$67:$K$67),0,INDEX('2 - Le opzioni'!$B$68:$K$68,MATCH(10,'2 - Le opzioni'!$B$67:$K$67,1))+(INDEX('2 - Le opzioni'!$B$68:$K$68,MATCH(10,'2 - Le opzioni'!$B$67:$K$67,1)+1)-INDEX('2 - Le opzioni'!$B$68:$K$68,MATCH(10,'2 - Le opzioni'!$B$67:$K$67,1)))*(10-INDEX('2 - Le opzioni'!$B$67:$K$67,MATCH(10,'2 - Le opzioni'!$B$67:$K$67,1)))/(INDEX('2 - Le opzioni'!$B$67:$K$67,MATCH(10,'2 - Le opzioni'!$B$67:$K$67,1)+1)-INDEX('2 - Le opzioni'!$B$67:$K$67,MATCH(10,'2 - Le opzioni'!$B$67:$K$67,1)))))</f>
        <v>-4560</v>
      </c>
      <c r="H259" s="21">
        <f>IF(A259=('2 - Le opzioni'!$B$42),'2 - Le opzioni'!$B$41/(1+'1 - Il tuo profilo'!$B$14)^('2 - Le opzioni'!$B$42),0)</f>
        <v>0</v>
      </c>
      <c r="L259" s="21">
        <f t="shared" si="14"/>
        <v>-1748.0135999999998</v>
      </c>
      <c r="M259" s="33">
        <f>1/(1+'1 - Il tuo profilo'!$B$13)^A259</f>
        <v>0.74409391489672516</v>
      </c>
    </row>
    <row r="260" spans="1:18">
      <c r="A260" s="6" t="s">
        <v>319</v>
      </c>
      <c r="B260" s="18">
        <f>-PMT('2 - Le opzioni'!$B$36/12,'2 - Le opzioni'!$B$39,('2 - Le opzioni'!$B$6-'1 - Il tuo profilo'!$B$33),-('2 - Le opzioni'!$B$41))</f>
        <v>256.21864450167612</v>
      </c>
    </row>
    <row r="261" spans="1:18" ht="32.1" customHeight="1">
      <c r="A261" s="30" t="s">
        <v>285</v>
      </c>
      <c r="B261" s="30" t="s">
        <v>286</v>
      </c>
      <c r="C261" s="30" t="s">
        <v>287</v>
      </c>
      <c r="D261" s="30" t="s">
        <v>288</v>
      </c>
      <c r="E261" s="30" t="s">
        <v>289</v>
      </c>
      <c r="F261" s="30" t="s">
        <v>290</v>
      </c>
      <c r="G261" s="30" t="s">
        <v>291</v>
      </c>
      <c r="H261" s="30" t="s">
        <v>292</v>
      </c>
      <c r="I261" s="30" t="s">
        <v>225</v>
      </c>
      <c r="J261" s="30" t="s">
        <v>293</v>
      </c>
      <c r="K261" s="30" t="s">
        <v>294</v>
      </c>
      <c r="L261" s="30" t="s">
        <v>295</v>
      </c>
      <c r="M261" s="30" t="s">
        <v>227</v>
      </c>
    </row>
    <row r="262" spans="1:18">
      <c r="A262" s="21">
        <f>L249+NPV('1 - Il tuo profilo'!$B$13,L250:L259)+E262+G262</f>
        <v>36613.382362050696</v>
      </c>
      <c r="B262" s="21">
        <f>SUM(L249:L259)+F262+H262</f>
        <v>40580.857254272065</v>
      </c>
      <c r="C262" s="26">
        <f>10</f>
        <v>10</v>
      </c>
      <c r="D262" s="33">
        <f>PV('1 - Il tuo profilo'!$B$13,C262,-1)</f>
        <v>8.5302028367758282</v>
      </c>
      <c r="E262" s="21">
        <f>B260*PV('2 - Le opzioni'!$B$110,'2 - Le opzioni'!$B$39,-1)*(1+'2 - Le opzioni'!$B$110)^-(0)</f>
        <v>8555.7945930115911</v>
      </c>
      <c r="F262" s="21">
        <f>B260*PV('2 - Le opzioni'!$B$111,'2 - Le opzioni'!$B$39,-1)*(1+'2 - Le opzioni'!$B$111)^-(0)</f>
        <v>8947.8448582554374</v>
      </c>
      <c r="G262" s="21">
        <f>0</f>
        <v>0</v>
      </c>
      <c r="H262" s="21">
        <f>0</f>
        <v>0</v>
      </c>
      <c r="I262" s="21">
        <f>IF(C262&gt;=10,A262,A262/D262*'2 - Le opzioni'!$B$112-'1 - Il tuo profilo'!$B$33)</f>
        <v>36613.382362050696</v>
      </c>
      <c r="J262" s="21">
        <f>IF(C262&gt;=10,B262,B262*10/C262-'1 - Il tuo profilo'!$B$33)</f>
        <v>40580.857254272065</v>
      </c>
      <c r="K262" s="18">
        <f>I262/'2 - Le opzioni'!$B$112</f>
        <v>4292.2053628316189</v>
      </c>
      <c r="L262" s="18">
        <f>K262/12</f>
        <v>357.68378023596824</v>
      </c>
      <c r="M262" s="31">
        <f>K262/'1 - Il tuo profilo'!$B$9</f>
        <v>0.35768378023596825</v>
      </c>
    </row>
    <row r="263" spans="1:18" ht="32.1" customHeight="1">
      <c r="A263" s="30" t="s">
        <v>296</v>
      </c>
      <c r="B263" s="30" t="s">
        <v>297</v>
      </c>
      <c r="C263" s="30" t="s">
        <v>298</v>
      </c>
      <c r="D263" s="30" t="s">
        <v>299</v>
      </c>
      <c r="E263" s="30" t="s">
        <v>300</v>
      </c>
      <c r="F263" s="30" t="s">
        <v>301</v>
      </c>
      <c r="G263" s="30" t="s">
        <v>302</v>
      </c>
      <c r="H263" s="30" t="s">
        <v>303</v>
      </c>
      <c r="I263" s="30" t="s">
        <v>304</v>
      </c>
      <c r="J263" s="30" t="s">
        <v>305</v>
      </c>
      <c r="K263" s="30" t="s">
        <v>306</v>
      </c>
      <c r="L263" s="30" t="s">
        <v>307</v>
      </c>
      <c r="M263" s="30" t="s">
        <v>308</v>
      </c>
      <c r="N263" s="30" t="s">
        <v>309</v>
      </c>
      <c r="O263" s="30" t="s">
        <v>310</v>
      </c>
      <c r="P263" s="30" t="s">
        <v>311</v>
      </c>
      <c r="Q263" s="30" t="s">
        <v>312</v>
      </c>
      <c r="R263" s="30" t="s">
        <v>313</v>
      </c>
    </row>
    <row r="264" spans="1:18">
      <c r="A264" s="21">
        <f>SUMPRODUCT(G249:G259,M249:M259)</f>
        <v>12606.931748070932</v>
      </c>
      <c r="B264" s="21">
        <f>SUMPRODUCT(H249:H259,M249:M259)+E262</f>
        <v>1867.4401330381643</v>
      </c>
      <c r="C264" s="21">
        <f>SUMPRODUCT(I249:I259,M249:M259)+G262</f>
        <v>0</v>
      </c>
      <c r="D264" s="21">
        <f>SUMPRODUCT(C249:C259,M249:M259)</f>
        <v>10604.461551864397</v>
      </c>
      <c r="E264" s="21">
        <f>SUMPRODUCT(D249:D259,M249:M259)</f>
        <v>4635.4857976073035</v>
      </c>
      <c r="F264" s="21">
        <f>SUMPRODUCT(E249:E259,M249:M259)</f>
        <v>1798.1183036617813</v>
      </c>
      <c r="G264" s="21">
        <f>SUMPRODUCT(F249:F259,M249:M259)</f>
        <v>5100.9448278081145</v>
      </c>
      <c r="H264" s="21">
        <f>SUMPRODUCT(J249:J259,M249:M259)</f>
        <v>0</v>
      </c>
      <c r="I264" s="21">
        <f>SUMPRODUCT(K249:K259,M249:M259)</f>
        <v>0</v>
      </c>
      <c r="J264" s="18">
        <f t="shared" ref="J264:R264" si="15">A264/$D262/12</f>
        <v>123.15974963025216</v>
      </c>
      <c r="K264" s="18">
        <f t="shared" si="15"/>
        <v>18.243412737572555</v>
      </c>
      <c r="L264" s="18">
        <f t="shared" si="15"/>
        <v>0</v>
      </c>
      <c r="M264" s="18">
        <f t="shared" si="15"/>
        <v>103.59720000000003</v>
      </c>
      <c r="N264" s="18">
        <f t="shared" si="15"/>
        <v>45.285029034543875</v>
      </c>
      <c r="O264" s="18">
        <f t="shared" si="15"/>
        <v>17.566193306190069</v>
      </c>
      <c r="P264" s="18">
        <f t="shared" si="15"/>
        <v>49.832195527409489</v>
      </c>
      <c r="Q264" s="18">
        <f t="shared" si="15"/>
        <v>0</v>
      </c>
      <c r="R264" s="18">
        <f t="shared" si="15"/>
        <v>0</v>
      </c>
    </row>
    <row r="266" spans="1:18">
      <c r="A266" s="2" t="s">
        <v>322</v>
      </c>
    </row>
    <row r="267" spans="1:18" ht="32.1" customHeight="1">
      <c r="A267" s="30" t="s">
        <v>272</v>
      </c>
      <c r="B267" s="30" t="s">
        <v>273</v>
      </c>
      <c r="C267" s="30" t="s">
        <v>274</v>
      </c>
      <c r="D267" s="30" t="s">
        <v>275</v>
      </c>
      <c r="E267" s="30" t="s">
        <v>276</v>
      </c>
      <c r="F267" s="30" t="s">
        <v>277</v>
      </c>
      <c r="G267" s="30" t="s">
        <v>278</v>
      </c>
      <c r="H267" s="30" t="s">
        <v>279</v>
      </c>
      <c r="I267" s="30" t="s">
        <v>280</v>
      </c>
      <c r="J267" s="30" t="s">
        <v>281</v>
      </c>
      <c r="K267" s="30" t="s">
        <v>282</v>
      </c>
      <c r="L267" s="30" t="s">
        <v>283</v>
      </c>
      <c r="M267" s="30" t="s">
        <v>284</v>
      </c>
    </row>
    <row r="268" spans="1:18">
      <c r="A268" s="26">
        <v>0</v>
      </c>
      <c r="G268" s="21">
        <f>-'1 - Il tuo profilo'!$B$33+'2 - Le opzioni'!$B$6</f>
        <v>16000</v>
      </c>
      <c r="H268" s="21">
        <f>-('2 - Le opzioni'!$B$6-'1 - Il tuo profilo'!$B$33)+'2 - Le opzioni'!$B$37+IF(A268=('2 - Le opzioni'!$B$42),'2 - Le opzioni'!$B$37,0)</f>
        <v>-15700</v>
      </c>
      <c r="L268" s="21">
        <f t="shared" ref="L268:L278" si="16">SUM(C268:K268)</f>
        <v>300</v>
      </c>
      <c r="M268" s="33">
        <f>1/(1+'1 - Il tuo profilo'!$B$13)^A268</f>
        <v>1</v>
      </c>
    </row>
    <row r="269" spans="1:18">
      <c r="A269" s="26">
        <v>1</v>
      </c>
      <c r="B269" s="26">
        <f>1</f>
        <v>1</v>
      </c>
      <c r="C269" s="21">
        <f>'1 - Il tuo profilo'!$B$9/100*'2 - Le opzioni'!$B$8*'1 - Il tuo profilo'!$B$25</f>
        <v>1243.1664000000001</v>
      </c>
      <c r="D269" s="21">
        <f>'1 - Il tuo profilo'!$B$29+IF($B269&lt;='2 - Le opzioni'!$B$64,'1 - Il tuo profilo'!$B$32,0)</f>
        <v>659.2</v>
      </c>
      <c r="E269" s="21">
        <f>'2 - Le opzioni'!$B$7*'1 - Il tuo profilo'!$B$30+IF(AND($B269&gt;=4,MOD($B269,2)=0),'1 - Il tuo profilo'!$B$31,0)</f>
        <v>180.6</v>
      </c>
      <c r="F269" s="21">
        <f>IF($B269&lt;=3,'2 - Le opzioni'!$B$56,IF($B269&lt;=7,'2 - Le opzioni'!$B$57,IF($B269&lt;=12,'2 - Le opzioni'!$B$58,'2 - Le opzioni'!$B$59+'2 - Le opzioni'!$B$60*($B269-13))))*1*(0.5+0.5*'1 - Il tuo profilo'!$B$9/'2 - Le opzioni'!$B$63)</f>
        <v>350</v>
      </c>
      <c r="H269" s="21">
        <f>IF(A269=('2 - Le opzioni'!$B$42),'2 - Le opzioni'!$B$37,0)</f>
        <v>0</v>
      </c>
      <c r="L269" s="21">
        <f t="shared" si="16"/>
        <v>2432.9664000000002</v>
      </c>
      <c r="M269" s="33">
        <f>1/(1+'1 - Il tuo profilo'!$B$13)^A269</f>
        <v>0.970873786407767</v>
      </c>
    </row>
    <row r="270" spans="1:18">
      <c r="A270" s="26">
        <v>2</v>
      </c>
      <c r="B270" s="26">
        <f>2</f>
        <v>2</v>
      </c>
      <c r="C270" s="21">
        <f>'1 - Il tuo profilo'!$B$9/100*'2 - Le opzioni'!$B$8*'1 - Il tuo profilo'!$B$25</f>
        <v>1243.1664000000001</v>
      </c>
      <c r="D270" s="21">
        <f>'1 - Il tuo profilo'!$B$29+IF($B270&lt;='2 - Le opzioni'!$B$64,'1 - Il tuo profilo'!$B$32,0)</f>
        <v>659.2</v>
      </c>
      <c r="E270" s="21">
        <f>'2 - Le opzioni'!$B$7*'1 - Il tuo profilo'!$B$30+IF(AND($B270&gt;=4,MOD($B270,2)=0),'1 - Il tuo profilo'!$B$31,0)</f>
        <v>180.6</v>
      </c>
      <c r="F270" s="21">
        <f>IF($B270&lt;=3,'2 - Le opzioni'!$B$56,IF($B270&lt;=7,'2 - Le opzioni'!$B$57,IF($B270&lt;=12,'2 - Le opzioni'!$B$58,'2 - Le opzioni'!$B$59+'2 - Le opzioni'!$B$60*($B270-13))))*1*(0.5+0.5*'1 - Il tuo profilo'!$B$9/'2 - Le opzioni'!$B$63)</f>
        <v>350</v>
      </c>
      <c r="H270" s="21">
        <f>IF(A270=('2 - Le opzioni'!$B$42),'2 - Le opzioni'!$B$37,0)</f>
        <v>0</v>
      </c>
      <c r="L270" s="21">
        <f t="shared" si="16"/>
        <v>2432.9664000000002</v>
      </c>
      <c r="M270" s="33">
        <f>1/(1+'1 - Il tuo profilo'!$B$13)^A270</f>
        <v>0.94259590913375435</v>
      </c>
    </row>
    <row r="271" spans="1:18">
      <c r="A271" s="26">
        <v>3</v>
      </c>
      <c r="B271" s="26">
        <f>3</f>
        <v>3</v>
      </c>
      <c r="C271" s="21">
        <f>'1 - Il tuo profilo'!$B$9/100*'2 - Le opzioni'!$B$8*'1 - Il tuo profilo'!$B$25</f>
        <v>1243.1664000000001</v>
      </c>
      <c r="D271" s="21">
        <f>'1 - Il tuo profilo'!$B$29+IF($B271&lt;='2 - Le opzioni'!$B$64,'1 - Il tuo profilo'!$B$32,0)</f>
        <v>659.2</v>
      </c>
      <c r="E271" s="21">
        <f>'2 - Le opzioni'!$B$7*'1 - Il tuo profilo'!$B$30+IF(AND($B271&gt;=4,MOD($B271,2)=0),'1 - Il tuo profilo'!$B$31,0)</f>
        <v>180.6</v>
      </c>
      <c r="F271" s="21">
        <f>IF($B271&lt;=3,'2 - Le opzioni'!$B$56,IF($B271&lt;=7,'2 - Le opzioni'!$B$57,IF($B271&lt;=12,'2 - Le opzioni'!$B$58,'2 - Le opzioni'!$B$59+'2 - Le opzioni'!$B$60*($B271-13))))*1*(0.5+0.5*'1 - Il tuo profilo'!$B$9/'2 - Le opzioni'!$B$63)</f>
        <v>350</v>
      </c>
      <c r="H271" s="21">
        <f>IF(A271=('2 - Le opzioni'!$B$42),'2 - Le opzioni'!$B$37,0)</f>
        <v>300</v>
      </c>
      <c r="L271" s="21">
        <f t="shared" si="16"/>
        <v>2732.9664000000002</v>
      </c>
      <c r="M271" s="33">
        <f>1/(1+'1 - Il tuo profilo'!$B$13)^A271</f>
        <v>0.91514165935315961</v>
      </c>
    </row>
    <row r="272" spans="1:18">
      <c r="A272" s="26">
        <v>4</v>
      </c>
      <c r="B272" s="26">
        <f>4</f>
        <v>4</v>
      </c>
      <c r="C272" s="21">
        <f>'1 - Il tuo profilo'!$B$9/100*'2 - Le opzioni'!$B$8*'1 - Il tuo profilo'!$B$25</f>
        <v>1243.1664000000001</v>
      </c>
      <c r="D272" s="21">
        <f>'1 - Il tuo profilo'!$B$29+IF($B272&lt;='2 - Le opzioni'!$B$64,'1 - Il tuo profilo'!$B$32,0)</f>
        <v>659.2</v>
      </c>
      <c r="E272" s="21">
        <f>'2 - Le opzioni'!$B$7*'1 - Il tuo profilo'!$B$30+IF(AND($B272&gt;=4,MOD($B272,2)=0),'1 - Il tuo profilo'!$B$31,0)</f>
        <v>259.62</v>
      </c>
      <c r="F272" s="21">
        <f>IF($B272&lt;=3,'2 - Le opzioni'!$B$56,IF($B272&lt;=7,'2 - Le opzioni'!$B$57,IF($B272&lt;=12,'2 - Le opzioni'!$B$58,'2 - Le opzioni'!$B$59+'2 - Le opzioni'!$B$60*($B272-13))))*1*(0.5+0.5*'1 - Il tuo profilo'!$B$9/'2 - Le opzioni'!$B$63)</f>
        <v>600</v>
      </c>
      <c r="H272" s="21">
        <f>IF(A272=('2 - Le opzioni'!$B$42),'2 - Le opzioni'!$B$37,0)</f>
        <v>0</v>
      </c>
      <c r="L272" s="21">
        <f t="shared" si="16"/>
        <v>2761.9864000000002</v>
      </c>
      <c r="M272" s="33">
        <f>1/(1+'1 - Il tuo profilo'!$B$13)^A272</f>
        <v>0.888487047915689</v>
      </c>
    </row>
    <row r="273" spans="1:18">
      <c r="A273" s="26">
        <v>5</v>
      </c>
      <c r="B273" s="26">
        <f>5</f>
        <v>5</v>
      </c>
      <c r="C273" s="21">
        <f>'1 - Il tuo profilo'!$B$9/100*'2 - Le opzioni'!$B$8*'1 - Il tuo profilo'!$B$25</f>
        <v>1243.1664000000001</v>
      </c>
      <c r="D273" s="21">
        <f>'1 - Il tuo profilo'!$B$29+IF($B273&lt;='2 - Le opzioni'!$B$64,'1 - Il tuo profilo'!$B$32,0)</f>
        <v>659.2</v>
      </c>
      <c r="E273" s="21">
        <f>'2 - Le opzioni'!$B$7*'1 - Il tuo profilo'!$B$30+IF(AND($B273&gt;=4,MOD($B273,2)=0),'1 - Il tuo profilo'!$B$31,0)</f>
        <v>180.6</v>
      </c>
      <c r="F273" s="21">
        <f>IF($B273&lt;=3,'2 - Le opzioni'!$B$56,IF($B273&lt;=7,'2 - Le opzioni'!$B$57,IF($B273&lt;=12,'2 - Le opzioni'!$B$58,'2 - Le opzioni'!$B$59+'2 - Le opzioni'!$B$60*($B273-13))))*1*(0.5+0.5*'1 - Il tuo profilo'!$B$9/'2 - Le opzioni'!$B$63)</f>
        <v>600</v>
      </c>
      <c r="H273" s="21">
        <f>IF(A273=('2 - Le opzioni'!$B$42),'2 - Le opzioni'!$B$37,0)</f>
        <v>0</v>
      </c>
      <c r="L273" s="21">
        <f t="shared" si="16"/>
        <v>2682.9664000000002</v>
      </c>
      <c r="M273" s="33">
        <f>1/(1+'1 - Il tuo profilo'!$B$13)^A273</f>
        <v>0.86260878438416411</v>
      </c>
    </row>
    <row r="274" spans="1:18">
      <c r="A274" s="26">
        <v>6</v>
      </c>
      <c r="B274" s="26">
        <f>6</f>
        <v>6</v>
      </c>
      <c r="C274" s="21">
        <f>'1 - Il tuo profilo'!$B$9/100*'2 - Le opzioni'!$B$8*'1 - Il tuo profilo'!$B$25</f>
        <v>1243.1664000000001</v>
      </c>
      <c r="D274" s="21">
        <f>'1 - Il tuo profilo'!$B$29+IF($B274&lt;='2 - Le opzioni'!$B$64,'1 - Il tuo profilo'!$B$32,0)</f>
        <v>409.2</v>
      </c>
      <c r="E274" s="21">
        <f>'2 - Le opzioni'!$B$7*'1 - Il tuo profilo'!$B$30+IF(AND($B274&gt;=4,MOD($B274,2)=0),'1 - Il tuo profilo'!$B$31,0)</f>
        <v>259.62</v>
      </c>
      <c r="F274" s="21">
        <f>IF($B274&lt;=3,'2 - Le opzioni'!$B$56,IF($B274&lt;=7,'2 - Le opzioni'!$B$57,IF($B274&lt;=12,'2 - Le opzioni'!$B$58,'2 - Le opzioni'!$B$59+'2 - Le opzioni'!$B$60*($B274-13))))*1*(0.5+0.5*'1 - Il tuo profilo'!$B$9/'2 - Le opzioni'!$B$63)</f>
        <v>600</v>
      </c>
      <c r="H274" s="21">
        <f>IF(A274=('2 - Le opzioni'!$B$42),'2 - Le opzioni'!$B$37,0)</f>
        <v>0</v>
      </c>
      <c r="L274" s="21">
        <f t="shared" si="16"/>
        <v>2511.9864000000002</v>
      </c>
      <c r="M274" s="33">
        <f>1/(1+'1 - Il tuo profilo'!$B$13)^A274</f>
        <v>0.83748425668365445</v>
      </c>
    </row>
    <row r="275" spans="1:18">
      <c r="A275" s="26">
        <v>7</v>
      </c>
      <c r="B275" s="26">
        <f>7</f>
        <v>7</v>
      </c>
      <c r="C275" s="21">
        <f>'1 - Il tuo profilo'!$B$9/100*'2 - Le opzioni'!$B$8*'1 - Il tuo profilo'!$B$25</f>
        <v>1243.1664000000001</v>
      </c>
      <c r="D275" s="21">
        <f>'1 - Il tuo profilo'!$B$29+IF($B275&lt;='2 - Le opzioni'!$B$64,'1 - Il tuo profilo'!$B$32,0)</f>
        <v>409.2</v>
      </c>
      <c r="E275" s="21">
        <f>'2 - Le opzioni'!$B$7*'1 - Il tuo profilo'!$B$30+IF(AND($B275&gt;=4,MOD($B275,2)=0),'1 - Il tuo profilo'!$B$31,0)</f>
        <v>180.6</v>
      </c>
      <c r="F275" s="21">
        <f>IF($B275&lt;=3,'2 - Le opzioni'!$B$56,IF($B275&lt;=7,'2 - Le opzioni'!$B$57,IF($B275&lt;=12,'2 - Le opzioni'!$B$58,'2 - Le opzioni'!$B$59+'2 - Le opzioni'!$B$60*($B275-13))))*1*(0.5+0.5*'1 - Il tuo profilo'!$B$9/'2 - Le opzioni'!$B$63)</f>
        <v>600</v>
      </c>
      <c r="H275" s="21">
        <f>IF(A275=('2 - Le opzioni'!$B$42),'2 - Le opzioni'!$B$37,0)</f>
        <v>0</v>
      </c>
      <c r="L275" s="21">
        <f t="shared" si="16"/>
        <v>2432.9664000000002</v>
      </c>
      <c r="M275" s="33">
        <f>1/(1+'1 - Il tuo profilo'!$B$13)^A275</f>
        <v>0.81309151134335378</v>
      </c>
    </row>
    <row r="276" spans="1:18">
      <c r="A276" s="26">
        <v>8</v>
      </c>
      <c r="B276" s="26">
        <f>8</f>
        <v>8</v>
      </c>
      <c r="C276" s="21">
        <f>'1 - Il tuo profilo'!$B$9/100*'2 - Le opzioni'!$B$8*'1 - Il tuo profilo'!$B$25</f>
        <v>1243.1664000000001</v>
      </c>
      <c r="D276" s="21">
        <f>'1 - Il tuo profilo'!$B$29+IF($B276&lt;='2 - Le opzioni'!$B$64,'1 - Il tuo profilo'!$B$32,0)</f>
        <v>409.2</v>
      </c>
      <c r="E276" s="21">
        <f>'2 - Le opzioni'!$B$7*'1 - Il tuo profilo'!$B$30+IF(AND($B276&gt;=4,MOD($B276,2)=0),'1 - Il tuo profilo'!$B$31,0)</f>
        <v>259.62</v>
      </c>
      <c r="F276" s="21">
        <f>IF($B276&lt;=3,'2 - Le opzioni'!$B$56,IF($B276&lt;=7,'2 - Le opzioni'!$B$57,IF($B276&lt;=12,'2 - Le opzioni'!$B$58,'2 - Le opzioni'!$B$59+'2 - Le opzioni'!$B$60*($B276-13))))*1*(0.5+0.5*'1 - Il tuo profilo'!$B$9/'2 - Le opzioni'!$B$63)</f>
        <v>900</v>
      </c>
      <c r="H276" s="21">
        <f>IF(A276=('2 - Le opzioni'!$B$42),'2 - Le opzioni'!$B$37,0)</f>
        <v>0</v>
      </c>
      <c r="L276" s="21">
        <f t="shared" si="16"/>
        <v>2811.9864000000002</v>
      </c>
      <c r="M276" s="33">
        <f>1/(1+'1 - Il tuo profilo'!$B$13)^A276</f>
        <v>0.78940923431393573</v>
      </c>
    </row>
    <row r="277" spans="1:18">
      <c r="A277" s="26">
        <v>9</v>
      </c>
      <c r="B277" s="26">
        <f>9</f>
        <v>9</v>
      </c>
      <c r="C277" s="21">
        <f>'1 - Il tuo profilo'!$B$9/100*'2 - Le opzioni'!$B$8*'1 - Il tuo profilo'!$B$25</f>
        <v>1243.1664000000001</v>
      </c>
      <c r="D277" s="21">
        <f>'1 - Il tuo profilo'!$B$29+IF($B277&lt;='2 - Le opzioni'!$B$64,'1 - Il tuo profilo'!$B$32,0)</f>
        <v>409.2</v>
      </c>
      <c r="E277" s="21">
        <f>'2 - Le opzioni'!$B$7*'1 - Il tuo profilo'!$B$30+IF(AND($B277&gt;=4,MOD($B277,2)=0),'1 - Il tuo profilo'!$B$31,0)</f>
        <v>180.6</v>
      </c>
      <c r="F277" s="21">
        <f>IF($B277&lt;=3,'2 - Le opzioni'!$B$56,IF($B277&lt;=7,'2 - Le opzioni'!$B$57,IF($B277&lt;=12,'2 - Le opzioni'!$B$58,'2 - Le opzioni'!$B$59+'2 - Le opzioni'!$B$60*($B277-13))))*1*(0.5+0.5*'1 - Il tuo profilo'!$B$9/'2 - Le opzioni'!$B$63)</f>
        <v>900</v>
      </c>
      <c r="H277" s="21">
        <f>IF(A277=('2 - Le opzioni'!$B$42),'2 - Le opzioni'!$B$37,0)</f>
        <v>0</v>
      </c>
      <c r="L277" s="21">
        <f t="shared" si="16"/>
        <v>2732.9664000000002</v>
      </c>
      <c r="M277" s="33">
        <f>1/(1+'1 - Il tuo profilo'!$B$13)^A277</f>
        <v>0.76641673234362695</v>
      </c>
    </row>
    <row r="278" spans="1:18">
      <c r="A278" s="26">
        <v>10</v>
      </c>
      <c r="B278" s="26">
        <f>10</f>
        <v>10</v>
      </c>
      <c r="C278" s="21">
        <f>'1 - Il tuo profilo'!$B$9/100*'2 - Le opzioni'!$B$8*'1 - Il tuo profilo'!$B$25</f>
        <v>1243.1664000000001</v>
      </c>
      <c r="D278" s="21">
        <f>'1 - Il tuo profilo'!$B$29+IF($B278&lt;='2 - Le opzioni'!$B$64,'1 - Il tuo profilo'!$B$32,0)</f>
        <v>409.2</v>
      </c>
      <c r="E278" s="21">
        <f>'2 - Le opzioni'!$B$7*'1 - Il tuo profilo'!$B$30+IF(AND($B278&gt;=4,MOD($B278,2)=0),'1 - Il tuo profilo'!$B$31,0)</f>
        <v>259.62</v>
      </c>
      <c r="F278" s="21">
        <f>IF($B278&lt;=3,'2 - Le opzioni'!$B$56,IF($B278&lt;=7,'2 - Le opzioni'!$B$57,IF($B278&lt;=12,'2 - Le opzioni'!$B$58,'2 - Le opzioni'!$B$59+'2 - Le opzioni'!$B$60*($B278-13))))*1*(0.5+0.5*'1 - Il tuo profilo'!$B$9/'2 - Le opzioni'!$B$63)</f>
        <v>900</v>
      </c>
      <c r="G278" s="21">
        <f>-('2 - Le opzioni'!$B$6*IF(10&gt;=MAX('2 - Le opzioni'!$B$67:$K$67),0,INDEX('2 - Le opzioni'!$B$68:$K$68,MATCH(10,'2 - Le opzioni'!$B$67:$K$67,1))+(INDEX('2 - Le opzioni'!$B$68:$K$68,MATCH(10,'2 - Le opzioni'!$B$67:$K$67,1)+1)-INDEX('2 - Le opzioni'!$B$68:$K$68,MATCH(10,'2 - Le opzioni'!$B$67:$K$67,1)))*(10-INDEX('2 - Le opzioni'!$B$67:$K$67,MATCH(10,'2 - Le opzioni'!$B$67:$K$67,1)))/(INDEX('2 - Le opzioni'!$B$67:$K$67,MATCH(10,'2 - Le opzioni'!$B$67:$K$67,1)+1)-INDEX('2 - Le opzioni'!$B$67:$K$67,MATCH(10,'2 - Le opzioni'!$B$67:$K$67,1)))))</f>
        <v>-4560</v>
      </c>
      <c r="H278" s="21">
        <f>IF(A278=('2 - Le opzioni'!$B$42),'2 - Le opzioni'!$B$37,0)</f>
        <v>0</v>
      </c>
      <c r="L278" s="21">
        <f t="shared" si="16"/>
        <v>-1748.0135999999998</v>
      </c>
      <c r="M278" s="33">
        <f>1/(1+'1 - Il tuo profilo'!$B$13)^A278</f>
        <v>0.74409391489672516</v>
      </c>
    </row>
    <row r="279" spans="1:18">
      <c r="A279" s="6" t="s">
        <v>319</v>
      </c>
      <c r="B279" s="18">
        <f>-PMT('2 - Le opzioni'!$B$36/12,'2 - Le opzioni'!$B$39,('2 - Le opzioni'!$B$6-'1 - Il tuo profilo'!$B$33),-('2 - Le opzioni'!$B$41))</f>
        <v>256.21864450167612</v>
      </c>
      <c r="D279" s="6" t="s">
        <v>323</v>
      </c>
      <c r="E279" s="18">
        <f>-PMT('2 - Le opzioni'!$B$36/12,'2 - Le opzioni'!$B$43,'2 - Le opzioni'!$B$41,-(0))</f>
        <v>260.64454275842439</v>
      </c>
    </row>
    <row r="280" spans="1:18" ht="32.1" customHeight="1">
      <c r="A280" s="30" t="s">
        <v>285</v>
      </c>
      <c r="B280" s="30" t="s">
        <v>286</v>
      </c>
      <c r="C280" s="30" t="s">
        <v>287</v>
      </c>
      <c r="D280" s="30" t="s">
        <v>288</v>
      </c>
      <c r="E280" s="30" t="s">
        <v>289</v>
      </c>
      <c r="F280" s="30" t="s">
        <v>290</v>
      </c>
      <c r="G280" s="30" t="s">
        <v>291</v>
      </c>
      <c r="H280" s="30" t="s">
        <v>292</v>
      </c>
      <c r="I280" s="30" t="s">
        <v>225</v>
      </c>
      <c r="J280" s="30" t="s">
        <v>293</v>
      </c>
      <c r="K280" s="30" t="s">
        <v>294</v>
      </c>
      <c r="L280" s="30" t="s">
        <v>295</v>
      </c>
      <c r="M280" s="30" t="s">
        <v>227</v>
      </c>
    </row>
    <row r="281" spans="1:18">
      <c r="A281" s="21">
        <f>L268+NPV('1 - Il tuo profilo'!$B$13,L269:L278)+E281+G281</f>
        <v>37646.729733479311</v>
      </c>
      <c r="B281" s="21">
        <f>SUM(L268:L278)+F281+H281</f>
        <v>42358.743907421427</v>
      </c>
      <c r="C281" s="26">
        <f>10</f>
        <v>10</v>
      </c>
      <c r="D281" s="33">
        <f>PV('1 - Il tuo profilo'!$B$13,C281,-1)</f>
        <v>8.5302028367758282</v>
      </c>
      <c r="E281" s="21">
        <f>B279*PV('2 - Le opzioni'!$B$110,'2 - Le opzioni'!$B$39,-1)*(1+'2 - Le opzioni'!$B$110)^-(0)+E279*PV('2 - Le opzioni'!$B$110,'2 - Le opzioni'!$B$43,-1)*(1+'2 - Le opzioni'!$B$110)^-('2 - Le opzioni'!$B$39)</f>
        <v>18326.245006660836</v>
      </c>
      <c r="F281" s="21">
        <f>B279*PV('2 - Le opzioni'!$B$111,'2 - Le opzioni'!$B$39,-1)*(1+'2 - Le opzioni'!$B$111)^-(0)+E279*PV('2 - Le opzioni'!$B$111,'2 - Le opzioni'!$B$43,-1)*(1+'2 - Le opzioni'!$B$111)^-('2 - Le opzioni'!$B$39)</f>
        <v>20272.999907421421</v>
      </c>
      <c r="G281" s="21">
        <f>0</f>
        <v>0</v>
      </c>
      <c r="H281" s="21">
        <f>0</f>
        <v>0</v>
      </c>
      <c r="I281" s="21">
        <f>IF(C281&gt;=10,A281,A281/D281*'2 - Le opzioni'!$B$112-'1 - Il tuo profilo'!$B$33)</f>
        <v>37646.729733479311</v>
      </c>
      <c r="J281" s="21">
        <f>IF(C281&gt;=10,B281,B281*10/C281-'1 - Il tuo profilo'!$B$33)</f>
        <v>42358.743907421427</v>
      </c>
      <c r="K281" s="18">
        <f>I281/'2 - Le opzioni'!$B$112</f>
        <v>4413.3451986833052</v>
      </c>
      <c r="L281" s="18">
        <f>K281/12</f>
        <v>367.77876655694212</v>
      </c>
      <c r="M281" s="31">
        <f>K281/'1 - Il tuo profilo'!$B$9</f>
        <v>0.36777876655694208</v>
      </c>
    </row>
    <row r="282" spans="1:18" ht="32.1" customHeight="1">
      <c r="A282" s="30" t="s">
        <v>296</v>
      </c>
      <c r="B282" s="30" t="s">
        <v>297</v>
      </c>
      <c r="C282" s="30" t="s">
        <v>298</v>
      </c>
      <c r="D282" s="30" t="s">
        <v>299</v>
      </c>
      <c r="E282" s="30" t="s">
        <v>300</v>
      </c>
      <c r="F282" s="30" t="s">
        <v>301</v>
      </c>
      <c r="G282" s="30" t="s">
        <v>302</v>
      </c>
      <c r="H282" s="30" t="s">
        <v>303</v>
      </c>
      <c r="I282" s="30" t="s">
        <v>304</v>
      </c>
      <c r="J282" s="30" t="s">
        <v>305</v>
      </c>
      <c r="K282" s="30" t="s">
        <v>306</v>
      </c>
      <c r="L282" s="30" t="s">
        <v>307</v>
      </c>
      <c r="M282" s="30" t="s">
        <v>308</v>
      </c>
      <c r="N282" s="30" t="s">
        <v>309</v>
      </c>
      <c r="O282" s="30" t="s">
        <v>310</v>
      </c>
      <c r="P282" s="30" t="s">
        <v>311</v>
      </c>
      <c r="Q282" s="30" t="s">
        <v>312</v>
      </c>
      <c r="R282" s="30" t="s">
        <v>313</v>
      </c>
    </row>
    <row r="283" spans="1:18">
      <c r="A283" s="21">
        <f>SUMPRODUCT(G268:G278,M268:M278)</f>
        <v>12606.931748070932</v>
      </c>
      <c r="B283" s="21">
        <f>SUMPRODUCT(H268:H278,M268:M278)+E281</f>
        <v>2900.7875044667835</v>
      </c>
      <c r="C283" s="21">
        <f>SUMPRODUCT(I268:I278,M268:M278)+G281</f>
        <v>0</v>
      </c>
      <c r="D283" s="21">
        <f>SUMPRODUCT(C268:C278,M268:M278)</f>
        <v>10604.461551864397</v>
      </c>
      <c r="E283" s="21">
        <f>SUMPRODUCT(D268:D278,M268:M278)</f>
        <v>4635.4857976073035</v>
      </c>
      <c r="F283" s="21">
        <f>SUMPRODUCT(E268:E278,M268:M278)</f>
        <v>1798.1183036617813</v>
      </c>
      <c r="G283" s="21">
        <f>SUMPRODUCT(F268:F278,M268:M278)</f>
        <v>5100.9448278081145</v>
      </c>
      <c r="H283" s="21">
        <f>SUMPRODUCT(J268:J278,M268:M278)</f>
        <v>0</v>
      </c>
      <c r="I283" s="21">
        <f>SUMPRODUCT(K268:K278,M268:M278)</f>
        <v>0</v>
      </c>
      <c r="J283" s="18">
        <f t="shared" ref="J283:R283" si="17">A283/$D281/12</f>
        <v>123.15974963025216</v>
      </c>
      <c r="K283" s="18">
        <f t="shared" si="17"/>
        <v>28.338399058546475</v>
      </c>
      <c r="L283" s="18">
        <f t="shared" si="17"/>
        <v>0</v>
      </c>
      <c r="M283" s="18">
        <f t="shared" si="17"/>
        <v>103.59720000000003</v>
      </c>
      <c r="N283" s="18">
        <f t="shared" si="17"/>
        <v>45.285029034543875</v>
      </c>
      <c r="O283" s="18">
        <f t="shared" si="17"/>
        <v>17.566193306190069</v>
      </c>
      <c r="P283" s="18">
        <f t="shared" si="17"/>
        <v>49.832195527409489</v>
      </c>
      <c r="Q283" s="18">
        <f t="shared" si="17"/>
        <v>0</v>
      </c>
      <c r="R283" s="18">
        <f t="shared" si="17"/>
        <v>0</v>
      </c>
    </row>
    <row r="285" spans="1:18">
      <c r="A285" s="2" t="s">
        <v>324</v>
      </c>
    </row>
    <row r="286" spans="1:18" ht="32.1" customHeight="1">
      <c r="A286" s="30" t="s">
        <v>272</v>
      </c>
      <c r="B286" s="30" t="s">
        <v>273</v>
      </c>
      <c r="C286" s="30" t="s">
        <v>274</v>
      </c>
      <c r="D286" s="30" t="s">
        <v>275</v>
      </c>
      <c r="E286" s="30" t="s">
        <v>276</v>
      </c>
      <c r="F286" s="30" t="s">
        <v>277</v>
      </c>
      <c r="G286" s="30" t="s">
        <v>278</v>
      </c>
      <c r="H286" s="30" t="s">
        <v>279</v>
      </c>
      <c r="I286" s="30" t="s">
        <v>280</v>
      </c>
      <c r="J286" s="30" t="s">
        <v>281</v>
      </c>
      <c r="K286" s="30" t="s">
        <v>282</v>
      </c>
      <c r="L286" s="30" t="s">
        <v>283</v>
      </c>
      <c r="M286" s="30" t="s">
        <v>284</v>
      </c>
    </row>
    <row r="287" spans="1:18">
      <c r="A287" s="26">
        <v>0</v>
      </c>
      <c r="I287" s="21">
        <f>'1 - Il tuo profilo'!$B$33+'2 - Le opzioni'!$B$37</f>
        <v>3300</v>
      </c>
      <c r="J287" s="21">
        <f>IF(A287=('2 - Le opzioni'!$B$42),'2 - Le opzioni'!$B$44,0)</f>
        <v>0</v>
      </c>
      <c r="L287" s="21">
        <f t="shared" ref="L287:L297" si="18">SUM(C287:K287)</f>
        <v>3300</v>
      </c>
      <c r="M287" s="33">
        <f>1/(1+'1 - Il tuo profilo'!$B$13)^A287</f>
        <v>1</v>
      </c>
    </row>
    <row r="288" spans="1:18">
      <c r="A288" s="26">
        <v>1</v>
      </c>
      <c r="B288" s="26">
        <f t="shared" ref="B288:B297" si="19">A288</f>
        <v>1</v>
      </c>
      <c r="C288" s="21">
        <f>IF(A288&lt;=('2 - Le opzioni'!$B$42),'1 - Il tuo profilo'!$B$9/100*'2 - Le opzioni'!$B$8*'1 - Il tuo profilo'!$B$25,0)</f>
        <v>1243.1664000000001</v>
      </c>
      <c r="D288" s="21">
        <f>IF(A288&lt;=('2 - Le opzioni'!$B$42),'1 - Il tuo profilo'!$B$29+IF($B288&lt;='2 - Le opzioni'!$B$64,'1 - Il tuo profilo'!$B$32,0),0)</f>
        <v>659.2</v>
      </c>
      <c r="E288" s="21">
        <f>IF(A288&lt;=('2 - Le opzioni'!$B$42),'2 - Le opzioni'!$B$7*'1 - Il tuo profilo'!$B$30+IF(AND($B288&gt;=4,MOD($B288,2)=0),'1 - Il tuo profilo'!$B$31,0),0)</f>
        <v>180.6</v>
      </c>
      <c r="F288" s="21">
        <f>IF(A288&lt;=('2 - Le opzioni'!$B$42),IF($B288&lt;=3,'2 - Le opzioni'!$B$56,IF($B288&lt;=7,'2 - Le opzioni'!$B$57,IF($B288&lt;=12,'2 - Le opzioni'!$B$58,'2 - Le opzioni'!$B$59+'2 - Le opzioni'!$B$60*($B288-13))))*1*(0.5+0.5*'1 - Il tuo profilo'!$B$9/'2 - Le opzioni'!$B$63),0)</f>
        <v>350</v>
      </c>
      <c r="J288" s="21">
        <f>IF(A288=('2 - Le opzioni'!$B$42),'2 - Le opzioni'!$B$44,0)</f>
        <v>0</v>
      </c>
      <c r="L288" s="21">
        <f t="shared" si="18"/>
        <v>2432.9664000000002</v>
      </c>
      <c r="M288" s="33">
        <f>1/(1+'1 - Il tuo profilo'!$B$13)^A288</f>
        <v>0.970873786407767</v>
      </c>
    </row>
    <row r="289" spans="1:18">
      <c r="A289" s="26">
        <v>2</v>
      </c>
      <c r="B289" s="26">
        <f t="shared" si="19"/>
        <v>2</v>
      </c>
      <c r="C289" s="21">
        <f>IF(A289&lt;=('2 - Le opzioni'!$B$42),'1 - Il tuo profilo'!$B$9/100*'2 - Le opzioni'!$B$8*'1 - Il tuo profilo'!$B$25,0)</f>
        <v>1243.1664000000001</v>
      </c>
      <c r="D289" s="21">
        <f>IF(A289&lt;=('2 - Le opzioni'!$B$42),'1 - Il tuo profilo'!$B$29+IF($B289&lt;='2 - Le opzioni'!$B$64,'1 - Il tuo profilo'!$B$32,0),0)</f>
        <v>659.2</v>
      </c>
      <c r="E289" s="21">
        <f>IF(A289&lt;=('2 - Le opzioni'!$B$42),'2 - Le opzioni'!$B$7*'1 - Il tuo profilo'!$B$30+IF(AND($B289&gt;=4,MOD($B289,2)=0),'1 - Il tuo profilo'!$B$31,0),0)</f>
        <v>180.6</v>
      </c>
      <c r="F289" s="21">
        <f>IF(A289&lt;=('2 - Le opzioni'!$B$42),IF($B289&lt;=3,'2 - Le opzioni'!$B$56,IF($B289&lt;=7,'2 - Le opzioni'!$B$57,IF($B289&lt;=12,'2 - Le opzioni'!$B$58,'2 - Le opzioni'!$B$59+'2 - Le opzioni'!$B$60*($B289-13))))*1*(0.5+0.5*'1 - Il tuo profilo'!$B$9/'2 - Le opzioni'!$B$63),0)</f>
        <v>350</v>
      </c>
      <c r="J289" s="21">
        <f>IF(A289=('2 - Le opzioni'!$B$42),'2 - Le opzioni'!$B$44,0)</f>
        <v>0</v>
      </c>
      <c r="L289" s="21">
        <f t="shared" si="18"/>
        <v>2432.9664000000002</v>
      </c>
      <c r="M289" s="33">
        <f>1/(1+'1 - Il tuo profilo'!$B$13)^A289</f>
        <v>0.94259590913375435</v>
      </c>
    </row>
    <row r="290" spans="1:18">
      <c r="A290" s="26">
        <v>3</v>
      </c>
      <c r="B290" s="26">
        <f t="shared" si="19"/>
        <v>3</v>
      </c>
      <c r="C290" s="21">
        <f>IF(A290&lt;=('2 - Le opzioni'!$B$42),'1 - Il tuo profilo'!$B$9/100*'2 - Le opzioni'!$B$8*'1 - Il tuo profilo'!$B$25,0)</f>
        <v>1243.1664000000001</v>
      </c>
      <c r="D290" s="21">
        <f>IF(A290&lt;=('2 - Le opzioni'!$B$42),'1 - Il tuo profilo'!$B$29+IF($B290&lt;='2 - Le opzioni'!$B$64,'1 - Il tuo profilo'!$B$32,0),0)</f>
        <v>659.2</v>
      </c>
      <c r="E290" s="21">
        <f>IF(A290&lt;=('2 - Le opzioni'!$B$42),'2 - Le opzioni'!$B$7*'1 - Il tuo profilo'!$B$30+IF(AND($B290&gt;=4,MOD($B290,2)=0),'1 - Il tuo profilo'!$B$31,0),0)</f>
        <v>180.6</v>
      </c>
      <c r="F290" s="21">
        <f>IF(A290&lt;=('2 - Le opzioni'!$B$42),IF($B290&lt;=3,'2 - Le opzioni'!$B$56,IF($B290&lt;=7,'2 - Le opzioni'!$B$57,IF($B290&lt;=12,'2 - Le opzioni'!$B$58,'2 - Le opzioni'!$B$59+'2 - Le opzioni'!$B$60*($B290-13))))*1*(0.5+0.5*'1 - Il tuo profilo'!$B$9/'2 - Le opzioni'!$B$63),0)</f>
        <v>350</v>
      </c>
      <c r="J290" s="21">
        <f>IF(A290=('2 - Le opzioni'!$B$42),'2 - Le opzioni'!$B$44,0)</f>
        <v>400</v>
      </c>
      <c r="L290" s="21">
        <f t="shared" si="18"/>
        <v>2832.9664000000002</v>
      </c>
      <c r="M290" s="33">
        <f>1/(1+'1 - Il tuo profilo'!$B$13)^A290</f>
        <v>0.91514165935315961</v>
      </c>
    </row>
    <row r="291" spans="1:18">
      <c r="A291" s="26">
        <v>4</v>
      </c>
      <c r="B291" s="26">
        <f t="shared" si="19"/>
        <v>4</v>
      </c>
      <c r="C291" s="21">
        <f>IF(A291&lt;=('2 - Le opzioni'!$B$42),'1 - Il tuo profilo'!$B$9/100*'2 - Le opzioni'!$B$8*'1 - Il tuo profilo'!$B$25,0)</f>
        <v>0</v>
      </c>
      <c r="D291" s="21">
        <f>IF(A291&lt;=('2 - Le opzioni'!$B$42),'1 - Il tuo profilo'!$B$29+IF($B291&lt;='2 - Le opzioni'!$B$64,'1 - Il tuo profilo'!$B$32,0),0)</f>
        <v>0</v>
      </c>
      <c r="E291" s="21">
        <f>IF(A291&lt;=('2 - Le opzioni'!$B$42),'2 - Le opzioni'!$B$7*'1 - Il tuo profilo'!$B$30+IF(AND($B291&gt;=4,MOD($B291,2)=0),'1 - Il tuo profilo'!$B$31,0),0)</f>
        <v>0</v>
      </c>
      <c r="F291" s="21">
        <f>IF(A291&lt;=('2 - Le opzioni'!$B$42),IF($B291&lt;=3,'2 - Le opzioni'!$B$56,IF($B291&lt;=7,'2 - Le opzioni'!$B$57,IF($B291&lt;=12,'2 - Le opzioni'!$B$58,'2 - Le opzioni'!$B$59+'2 - Le opzioni'!$B$60*($B291-13))))*1*(0.5+0.5*'1 - Il tuo profilo'!$B$9/'2 - Le opzioni'!$B$63),0)</f>
        <v>0</v>
      </c>
      <c r="J291" s="21">
        <f>IF(A291=('2 - Le opzioni'!$B$42),'2 - Le opzioni'!$B$44,0)</f>
        <v>0</v>
      </c>
      <c r="L291" s="21">
        <f t="shared" si="18"/>
        <v>0</v>
      </c>
      <c r="M291" s="33">
        <f>1/(1+'1 - Il tuo profilo'!$B$13)^A291</f>
        <v>0.888487047915689</v>
      </c>
    </row>
    <row r="292" spans="1:18">
      <c r="A292" s="26">
        <v>5</v>
      </c>
      <c r="B292" s="26">
        <f t="shared" si="19"/>
        <v>5</v>
      </c>
      <c r="C292" s="21">
        <f>IF(A292&lt;=('2 - Le opzioni'!$B$42),'1 - Il tuo profilo'!$B$9/100*'2 - Le opzioni'!$B$8*'1 - Il tuo profilo'!$B$25,0)</f>
        <v>0</v>
      </c>
      <c r="D292" s="21">
        <f>IF(A292&lt;=('2 - Le opzioni'!$B$42),'1 - Il tuo profilo'!$B$29+IF($B292&lt;='2 - Le opzioni'!$B$64,'1 - Il tuo profilo'!$B$32,0),0)</f>
        <v>0</v>
      </c>
      <c r="E292" s="21">
        <f>IF(A292&lt;=('2 - Le opzioni'!$B$42),'2 - Le opzioni'!$B$7*'1 - Il tuo profilo'!$B$30+IF(AND($B292&gt;=4,MOD($B292,2)=0),'1 - Il tuo profilo'!$B$31,0),0)</f>
        <v>0</v>
      </c>
      <c r="F292" s="21">
        <f>IF(A292&lt;=('2 - Le opzioni'!$B$42),IF($B292&lt;=3,'2 - Le opzioni'!$B$56,IF($B292&lt;=7,'2 - Le opzioni'!$B$57,IF($B292&lt;=12,'2 - Le opzioni'!$B$58,'2 - Le opzioni'!$B$59+'2 - Le opzioni'!$B$60*($B292-13))))*1*(0.5+0.5*'1 - Il tuo profilo'!$B$9/'2 - Le opzioni'!$B$63),0)</f>
        <v>0</v>
      </c>
      <c r="J292" s="21">
        <f>IF(A292=('2 - Le opzioni'!$B$42),'2 - Le opzioni'!$B$44,0)</f>
        <v>0</v>
      </c>
      <c r="L292" s="21">
        <f t="shared" si="18"/>
        <v>0</v>
      </c>
      <c r="M292" s="33">
        <f>1/(1+'1 - Il tuo profilo'!$B$13)^A292</f>
        <v>0.86260878438416411</v>
      </c>
    </row>
    <row r="293" spans="1:18">
      <c r="A293" s="26">
        <v>6</v>
      </c>
      <c r="B293" s="26">
        <f t="shared" si="19"/>
        <v>6</v>
      </c>
      <c r="C293" s="21">
        <f>IF(A293&lt;=('2 - Le opzioni'!$B$42),'1 - Il tuo profilo'!$B$9/100*'2 - Le opzioni'!$B$8*'1 - Il tuo profilo'!$B$25,0)</f>
        <v>0</v>
      </c>
      <c r="D293" s="21">
        <f>IF(A293&lt;=('2 - Le opzioni'!$B$42),'1 - Il tuo profilo'!$B$29+IF($B293&lt;='2 - Le opzioni'!$B$64,'1 - Il tuo profilo'!$B$32,0),0)</f>
        <v>0</v>
      </c>
      <c r="E293" s="21">
        <f>IF(A293&lt;=('2 - Le opzioni'!$B$42),'2 - Le opzioni'!$B$7*'1 - Il tuo profilo'!$B$30+IF(AND($B293&gt;=4,MOD($B293,2)=0),'1 - Il tuo profilo'!$B$31,0),0)</f>
        <v>0</v>
      </c>
      <c r="F293" s="21">
        <f>IF(A293&lt;=('2 - Le opzioni'!$B$42),IF($B293&lt;=3,'2 - Le opzioni'!$B$56,IF($B293&lt;=7,'2 - Le opzioni'!$B$57,IF($B293&lt;=12,'2 - Le opzioni'!$B$58,'2 - Le opzioni'!$B$59+'2 - Le opzioni'!$B$60*($B293-13))))*1*(0.5+0.5*'1 - Il tuo profilo'!$B$9/'2 - Le opzioni'!$B$63),0)</f>
        <v>0</v>
      </c>
      <c r="J293" s="21">
        <f>IF(A293=('2 - Le opzioni'!$B$42),'2 - Le opzioni'!$B$44,0)</f>
        <v>0</v>
      </c>
      <c r="L293" s="21">
        <f t="shared" si="18"/>
        <v>0</v>
      </c>
      <c r="M293" s="33">
        <f>1/(1+'1 - Il tuo profilo'!$B$13)^A293</f>
        <v>0.83748425668365445</v>
      </c>
    </row>
    <row r="294" spans="1:18">
      <c r="A294" s="26">
        <v>7</v>
      </c>
      <c r="B294" s="26">
        <f t="shared" si="19"/>
        <v>7</v>
      </c>
      <c r="C294" s="21">
        <f>IF(A294&lt;=('2 - Le opzioni'!$B$42),'1 - Il tuo profilo'!$B$9/100*'2 - Le opzioni'!$B$8*'1 - Il tuo profilo'!$B$25,0)</f>
        <v>0</v>
      </c>
      <c r="D294" s="21">
        <f>IF(A294&lt;=('2 - Le opzioni'!$B$42),'1 - Il tuo profilo'!$B$29+IF($B294&lt;='2 - Le opzioni'!$B$64,'1 - Il tuo profilo'!$B$32,0),0)</f>
        <v>0</v>
      </c>
      <c r="E294" s="21">
        <f>IF(A294&lt;=('2 - Le opzioni'!$B$42),'2 - Le opzioni'!$B$7*'1 - Il tuo profilo'!$B$30+IF(AND($B294&gt;=4,MOD($B294,2)=0),'1 - Il tuo profilo'!$B$31,0),0)</f>
        <v>0</v>
      </c>
      <c r="F294" s="21">
        <f>IF(A294&lt;=('2 - Le opzioni'!$B$42),IF($B294&lt;=3,'2 - Le opzioni'!$B$56,IF($B294&lt;=7,'2 - Le opzioni'!$B$57,IF($B294&lt;=12,'2 - Le opzioni'!$B$58,'2 - Le opzioni'!$B$59+'2 - Le opzioni'!$B$60*($B294-13))))*1*(0.5+0.5*'1 - Il tuo profilo'!$B$9/'2 - Le opzioni'!$B$63),0)</f>
        <v>0</v>
      </c>
      <c r="J294" s="21">
        <f>IF(A294=('2 - Le opzioni'!$B$42),'2 - Le opzioni'!$B$44,0)</f>
        <v>0</v>
      </c>
      <c r="L294" s="21">
        <f t="shared" si="18"/>
        <v>0</v>
      </c>
      <c r="M294" s="33">
        <f>1/(1+'1 - Il tuo profilo'!$B$13)^A294</f>
        <v>0.81309151134335378</v>
      </c>
    </row>
    <row r="295" spans="1:18">
      <c r="A295" s="26">
        <v>8</v>
      </c>
      <c r="B295" s="26">
        <f t="shared" si="19"/>
        <v>8</v>
      </c>
      <c r="C295" s="21">
        <f>IF(A295&lt;=('2 - Le opzioni'!$B$42),'1 - Il tuo profilo'!$B$9/100*'2 - Le opzioni'!$B$8*'1 - Il tuo profilo'!$B$25,0)</f>
        <v>0</v>
      </c>
      <c r="D295" s="21">
        <f>IF(A295&lt;=('2 - Le opzioni'!$B$42),'1 - Il tuo profilo'!$B$29+IF($B295&lt;='2 - Le opzioni'!$B$64,'1 - Il tuo profilo'!$B$32,0),0)</f>
        <v>0</v>
      </c>
      <c r="E295" s="21">
        <f>IF(A295&lt;=('2 - Le opzioni'!$B$42),'2 - Le opzioni'!$B$7*'1 - Il tuo profilo'!$B$30+IF(AND($B295&gt;=4,MOD($B295,2)=0),'1 - Il tuo profilo'!$B$31,0),0)</f>
        <v>0</v>
      </c>
      <c r="F295" s="21">
        <f>IF(A295&lt;=('2 - Le opzioni'!$B$42),IF($B295&lt;=3,'2 - Le opzioni'!$B$56,IF($B295&lt;=7,'2 - Le opzioni'!$B$57,IF($B295&lt;=12,'2 - Le opzioni'!$B$58,'2 - Le opzioni'!$B$59+'2 - Le opzioni'!$B$60*($B295-13))))*1*(0.5+0.5*'1 - Il tuo profilo'!$B$9/'2 - Le opzioni'!$B$63),0)</f>
        <v>0</v>
      </c>
      <c r="J295" s="21">
        <f>IF(A295=('2 - Le opzioni'!$B$42),'2 - Le opzioni'!$B$44,0)</f>
        <v>0</v>
      </c>
      <c r="L295" s="21">
        <f t="shared" si="18"/>
        <v>0</v>
      </c>
      <c r="M295" s="33">
        <f>1/(1+'1 - Il tuo profilo'!$B$13)^A295</f>
        <v>0.78940923431393573</v>
      </c>
    </row>
    <row r="296" spans="1:18">
      <c r="A296" s="26">
        <v>9</v>
      </c>
      <c r="B296" s="26">
        <f t="shared" si="19"/>
        <v>9</v>
      </c>
      <c r="C296" s="21">
        <f>IF(A296&lt;=('2 - Le opzioni'!$B$42),'1 - Il tuo profilo'!$B$9/100*'2 - Le opzioni'!$B$8*'1 - Il tuo profilo'!$B$25,0)</f>
        <v>0</v>
      </c>
      <c r="D296" s="21">
        <f>IF(A296&lt;=('2 - Le opzioni'!$B$42),'1 - Il tuo profilo'!$B$29+IF($B296&lt;='2 - Le opzioni'!$B$64,'1 - Il tuo profilo'!$B$32,0),0)</f>
        <v>0</v>
      </c>
      <c r="E296" s="21">
        <f>IF(A296&lt;=('2 - Le opzioni'!$B$42),'2 - Le opzioni'!$B$7*'1 - Il tuo profilo'!$B$30+IF(AND($B296&gt;=4,MOD($B296,2)=0),'1 - Il tuo profilo'!$B$31,0),0)</f>
        <v>0</v>
      </c>
      <c r="F296" s="21">
        <f>IF(A296&lt;=('2 - Le opzioni'!$B$42),IF($B296&lt;=3,'2 - Le opzioni'!$B$56,IF($B296&lt;=7,'2 - Le opzioni'!$B$57,IF($B296&lt;=12,'2 - Le opzioni'!$B$58,'2 - Le opzioni'!$B$59+'2 - Le opzioni'!$B$60*($B296-13))))*1*(0.5+0.5*'1 - Il tuo profilo'!$B$9/'2 - Le opzioni'!$B$63),0)</f>
        <v>0</v>
      </c>
      <c r="J296" s="21">
        <f>IF(A296=('2 - Le opzioni'!$B$42),'2 - Le opzioni'!$B$44,0)</f>
        <v>0</v>
      </c>
      <c r="L296" s="21">
        <f t="shared" si="18"/>
        <v>0</v>
      </c>
      <c r="M296" s="33">
        <f>1/(1+'1 - Il tuo profilo'!$B$13)^A296</f>
        <v>0.76641673234362695</v>
      </c>
    </row>
    <row r="297" spans="1:18">
      <c r="A297" s="26">
        <v>10</v>
      </c>
      <c r="B297" s="26">
        <f t="shared" si="19"/>
        <v>10</v>
      </c>
      <c r="C297" s="21">
        <f>IF(A297&lt;=('2 - Le opzioni'!$B$42),'1 - Il tuo profilo'!$B$9/100*'2 - Le opzioni'!$B$8*'1 - Il tuo profilo'!$B$25,0)</f>
        <v>0</v>
      </c>
      <c r="D297" s="21">
        <f>IF(A297&lt;=('2 - Le opzioni'!$B$42),'1 - Il tuo profilo'!$B$29+IF($B297&lt;='2 - Le opzioni'!$B$64,'1 - Il tuo profilo'!$B$32,0),0)</f>
        <v>0</v>
      </c>
      <c r="E297" s="21">
        <f>IF(A297&lt;=('2 - Le opzioni'!$B$42),'2 - Le opzioni'!$B$7*'1 - Il tuo profilo'!$B$30+IF(AND($B297&gt;=4,MOD($B297,2)=0),'1 - Il tuo profilo'!$B$31,0),0)</f>
        <v>0</v>
      </c>
      <c r="F297" s="21">
        <f>IF(A297&lt;=('2 - Le opzioni'!$B$42),IF($B297&lt;=3,'2 - Le opzioni'!$B$56,IF($B297&lt;=7,'2 - Le opzioni'!$B$57,IF($B297&lt;=12,'2 - Le opzioni'!$B$58,'2 - Le opzioni'!$B$59+'2 - Le opzioni'!$B$60*($B297-13))))*1*(0.5+0.5*'1 - Il tuo profilo'!$B$9/'2 - Le opzioni'!$B$63),0)</f>
        <v>0</v>
      </c>
      <c r="J297" s="21">
        <f>IF(A297=('2 - Le opzioni'!$B$42),'2 - Le opzioni'!$B$44,0)</f>
        <v>0</v>
      </c>
      <c r="L297" s="21">
        <f t="shared" si="18"/>
        <v>0</v>
      </c>
      <c r="M297" s="33">
        <f>1/(1+'1 - Il tuo profilo'!$B$13)^A297</f>
        <v>0.74409391489672516</v>
      </c>
    </row>
    <row r="298" spans="1:18">
      <c r="A298" s="6" t="s">
        <v>319</v>
      </c>
      <c r="B298" s="18">
        <f>-PMT('2 - Le opzioni'!$B$36/12,'2 - Le opzioni'!$B$39,('2 - Le opzioni'!$B$6-'1 - Il tuo profilo'!$B$33),-('2 - Le opzioni'!$B$41))</f>
        <v>256.21864450167612</v>
      </c>
    </row>
    <row r="299" spans="1:18" ht="32.1" customHeight="1">
      <c r="A299" s="30" t="s">
        <v>285</v>
      </c>
      <c r="B299" s="30" t="s">
        <v>286</v>
      </c>
      <c r="C299" s="30" t="s">
        <v>287</v>
      </c>
      <c r="D299" s="30" t="s">
        <v>288</v>
      </c>
      <c r="E299" s="30" t="s">
        <v>289</v>
      </c>
      <c r="F299" s="30" t="s">
        <v>290</v>
      </c>
      <c r="G299" s="30" t="s">
        <v>291</v>
      </c>
      <c r="H299" s="30" t="s">
        <v>292</v>
      </c>
      <c r="I299" s="30" t="s">
        <v>225</v>
      </c>
      <c r="J299" s="30" t="s">
        <v>293</v>
      </c>
      <c r="K299" s="30" t="s">
        <v>294</v>
      </c>
      <c r="L299" s="30" t="s">
        <v>295</v>
      </c>
      <c r="M299" s="30" t="s">
        <v>227</v>
      </c>
    </row>
    <row r="300" spans="1:18">
      <c r="A300" s="21">
        <f>L287+NPV('1 - Il tuo profilo'!$B$13,L288:L297)+E300+G300</f>
        <v>19103.76764187009</v>
      </c>
      <c r="B300" s="21">
        <f>SUM(L287:L297)+F300+H300</f>
        <v>19946.744058255437</v>
      </c>
      <c r="C300" s="26">
        <f>'2 - Le opzioni'!$B$42</f>
        <v>3</v>
      </c>
      <c r="D300" s="33">
        <f>PV('1 - Il tuo profilo'!$B$13,C300,-1)</f>
        <v>2.8286113548946812</v>
      </c>
      <c r="E300" s="21">
        <f>B298*PV('2 - Le opzioni'!$B$110,'2 - Le opzioni'!$B$39,-1)*(1+'2 - Le opzioni'!$B$110)^-(0)</f>
        <v>8555.7945930115911</v>
      </c>
      <c r="F300" s="21">
        <f>B298*PV('2 - Le opzioni'!$B$111,'2 - Le opzioni'!$B$39,-1)*(1+'2 - Le opzioni'!$B$111)^-(0)</f>
        <v>8947.8448582554374</v>
      </c>
      <c r="G300" s="21">
        <f>0</f>
        <v>0</v>
      </c>
      <c r="H300" s="21">
        <f>0</f>
        <v>0</v>
      </c>
      <c r="I300" s="21">
        <f>IF(C300&gt;=10,A300,A300/D300*'2 - Le opzioni'!$B$112-'1 - Il tuo profilo'!$B$33)</f>
        <v>54610.959048792349</v>
      </c>
      <c r="J300" s="21">
        <f>IF(C300&gt;=10,B300,B300*10/C300-'1 - Il tuo profilo'!$B$33)</f>
        <v>63489.146860851455</v>
      </c>
      <c r="K300" s="18">
        <f>I300/'2 - Le opzioni'!$B$112</f>
        <v>6402.0703954835526</v>
      </c>
      <c r="L300" s="18">
        <f>K300/12</f>
        <v>533.50586629029601</v>
      </c>
      <c r="M300" s="31">
        <f>K300/'1 - Il tuo profilo'!$B$9</f>
        <v>0.53350586629029606</v>
      </c>
    </row>
    <row r="301" spans="1:18" ht="32.1" customHeight="1">
      <c r="A301" s="30" t="s">
        <v>296</v>
      </c>
      <c r="B301" s="30" t="s">
        <v>297</v>
      </c>
      <c r="C301" s="30" t="s">
        <v>298</v>
      </c>
      <c r="D301" s="30" t="s">
        <v>299</v>
      </c>
      <c r="E301" s="30" t="s">
        <v>300</v>
      </c>
      <c r="F301" s="30" t="s">
        <v>301</v>
      </c>
      <c r="G301" s="30" t="s">
        <v>302</v>
      </c>
      <c r="H301" s="30" t="s">
        <v>303</v>
      </c>
      <c r="I301" s="30" t="s">
        <v>304</v>
      </c>
      <c r="J301" s="30" t="s">
        <v>305</v>
      </c>
      <c r="K301" s="30" t="s">
        <v>306</v>
      </c>
      <c r="L301" s="30" t="s">
        <v>307</v>
      </c>
      <c r="M301" s="30" t="s">
        <v>308</v>
      </c>
      <c r="N301" s="30" t="s">
        <v>309</v>
      </c>
      <c r="O301" s="30" t="s">
        <v>310</v>
      </c>
      <c r="P301" s="30" t="s">
        <v>311</v>
      </c>
      <c r="Q301" s="30" t="s">
        <v>312</v>
      </c>
      <c r="R301" s="30" t="s">
        <v>313</v>
      </c>
    </row>
    <row r="302" spans="1:18">
      <c r="A302" s="21">
        <f>SUMPRODUCT(G287:G297,M287:M297)</f>
        <v>0</v>
      </c>
      <c r="B302" s="21">
        <f>SUMPRODUCT(H287:H297,M287:M297)</f>
        <v>0</v>
      </c>
      <c r="C302" s="21">
        <f>SUMPRODUCT(I287:I297,M287:M297)+E300+G300</f>
        <v>11855.794593011591</v>
      </c>
      <c r="D302" s="21">
        <f>SUMPRODUCT(C287:C297,M287:M297)</f>
        <v>3516.4345950635434</v>
      </c>
      <c r="E302" s="21">
        <f>SUMPRODUCT(D287:D297,M287:M297)</f>
        <v>1864.6206051465738</v>
      </c>
      <c r="F302" s="21">
        <f>SUMPRODUCT(E287:E297,M287:M297)</f>
        <v>510.84721069397938</v>
      </c>
      <c r="G302" s="21">
        <f>SUMPRODUCT(F287:F297,M287:M297)</f>
        <v>990.01397421313834</v>
      </c>
      <c r="H302" s="21">
        <f>SUMPRODUCT(J287:J297,M287:M297)</f>
        <v>366.05666374126383</v>
      </c>
      <c r="I302" s="21">
        <f>SUMPRODUCT(K287:K297,M287:M297)</f>
        <v>0</v>
      </c>
      <c r="J302" s="18">
        <f t="shared" ref="J302:R302" si="20">A302/$D300/12</f>
        <v>0</v>
      </c>
      <c r="K302" s="18">
        <f t="shared" si="20"/>
        <v>0</v>
      </c>
      <c r="L302" s="18">
        <f t="shared" si="20"/>
        <v>349.28194749743267</v>
      </c>
      <c r="M302" s="18">
        <f t="shared" si="20"/>
        <v>103.5972</v>
      </c>
      <c r="N302" s="18">
        <f t="shared" si="20"/>
        <v>54.93333333333333</v>
      </c>
      <c r="O302" s="18">
        <f t="shared" si="20"/>
        <v>15.049999999999999</v>
      </c>
      <c r="P302" s="18">
        <f t="shared" si="20"/>
        <v>29.166666666666668</v>
      </c>
      <c r="Q302" s="18">
        <f t="shared" si="20"/>
        <v>10.784345444153267</v>
      </c>
      <c r="R302" s="18">
        <f t="shared" si="20"/>
        <v>0</v>
      </c>
    </row>
    <row r="304" spans="1:18">
      <c r="A304" s="2" t="s">
        <v>325</v>
      </c>
    </row>
    <row r="305" spans="1:18" ht="32.1" customHeight="1">
      <c r="A305" s="30" t="s">
        <v>272</v>
      </c>
      <c r="B305" s="30" t="s">
        <v>273</v>
      </c>
      <c r="C305" s="30" t="s">
        <v>274</v>
      </c>
      <c r="D305" s="30" t="s">
        <v>275</v>
      </c>
      <c r="E305" s="30" t="s">
        <v>276</v>
      </c>
      <c r="F305" s="30" t="s">
        <v>277</v>
      </c>
      <c r="G305" s="30" t="s">
        <v>278</v>
      </c>
      <c r="H305" s="30" t="s">
        <v>279</v>
      </c>
      <c r="I305" s="30" t="s">
        <v>280</v>
      </c>
      <c r="J305" s="30" t="s">
        <v>281</v>
      </c>
      <c r="K305" s="30" t="s">
        <v>282</v>
      </c>
      <c r="L305" s="30" t="s">
        <v>283</v>
      </c>
      <c r="M305" s="30" t="s">
        <v>284</v>
      </c>
    </row>
    <row r="306" spans="1:18">
      <c r="A306" s="26">
        <v>0</v>
      </c>
      <c r="G306" s="21">
        <f>IF(A306=('2 - Le opzioni'!$B$42),-MAX(0,'2 - Le opzioni'!$B$6*IF('2 - Le opzioni'!$B$42&gt;=MAX('2 - Le opzioni'!$B$67:$K$67),0,INDEX('2 - Le opzioni'!$B$68:$K$68,MATCH('2 - Le opzioni'!$B$42,'2 - Le opzioni'!$B$67:$K$67,1))+(INDEX('2 - Le opzioni'!$B$68:$K$68,MATCH('2 - Le opzioni'!$B$42,'2 - Le opzioni'!$B$67:$K$67,1)+1)-INDEX('2 - Le opzioni'!$B$68:$K$68,MATCH('2 - Le opzioni'!$B$42,'2 - Le opzioni'!$B$67:$K$67,1)))*('2 - Le opzioni'!$B$42-INDEX('2 - Le opzioni'!$B$67:$K$67,MATCH('2 - Le opzioni'!$B$42,'2 - Le opzioni'!$B$67:$K$67,1)))/(INDEX('2 - Le opzioni'!$B$67:$K$67,MATCH('2 - Le opzioni'!$B$42,'2 - Le opzioni'!$B$67:$K$67,1)+1)-INDEX('2 - Le opzioni'!$B$67:$K$67,MATCH('2 - Le opzioni'!$B$42,'2 - Le opzioni'!$B$67:$K$67,1))))-'2 - Le opzioni'!$B$41/(1+'1 - Il tuo profilo'!$B$14)^('2 - Le opzioni'!$B$42)),0)</f>
        <v>0</v>
      </c>
      <c r="I306" s="21">
        <f>'1 - Il tuo profilo'!$B$33+'2 - Le opzioni'!$B$37</f>
        <v>3300</v>
      </c>
      <c r="J306" s="21">
        <f>IF(A306=('2 - Le opzioni'!$B$42),'2 - Le opzioni'!$B$44,0)</f>
        <v>0</v>
      </c>
      <c r="L306" s="21">
        <f t="shared" ref="L306:L316" si="21">SUM(C306:K306)</f>
        <v>3300</v>
      </c>
      <c r="M306" s="33">
        <f>1/(1+'1 - Il tuo profilo'!$B$13)^A306</f>
        <v>1</v>
      </c>
    </row>
    <row r="307" spans="1:18">
      <c r="A307" s="26">
        <v>1</v>
      </c>
      <c r="B307" s="26">
        <f t="shared" ref="B307:B316" si="22">A307</f>
        <v>1</v>
      </c>
      <c r="C307" s="21">
        <f>IF(A307&lt;=('2 - Le opzioni'!$B$42),'1 - Il tuo profilo'!$B$9/100*'2 - Le opzioni'!$B$8*'1 - Il tuo profilo'!$B$25,0)</f>
        <v>1243.1664000000001</v>
      </c>
      <c r="D307" s="21">
        <f>IF(A307&lt;=('2 - Le opzioni'!$B$42),'1 - Il tuo profilo'!$B$29+IF($B307&lt;='2 - Le opzioni'!$B$64,'1 - Il tuo profilo'!$B$32,0),0)</f>
        <v>659.2</v>
      </c>
      <c r="E307" s="21">
        <f>IF(A307&lt;=('2 - Le opzioni'!$B$42),'2 - Le opzioni'!$B$7*'1 - Il tuo profilo'!$B$30+IF(AND($B307&gt;=4,MOD($B307,2)=0),'1 - Il tuo profilo'!$B$31,0),0)</f>
        <v>180.6</v>
      </c>
      <c r="F307" s="21">
        <f>IF(A307&lt;=('2 - Le opzioni'!$B$42),IF($B307&lt;=3,'2 - Le opzioni'!$B$56,IF($B307&lt;=7,'2 - Le opzioni'!$B$57,IF($B307&lt;=12,'2 - Le opzioni'!$B$58,'2 - Le opzioni'!$B$59+'2 - Le opzioni'!$B$60*($B307-13))))*1*(0.5+0.5*'1 - Il tuo profilo'!$B$9/'2 - Le opzioni'!$B$63),0)</f>
        <v>350</v>
      </c>
      <c r="G307" s="21">
        <f>IF(A307=('2 - Le opzioni'!$B$42),-MAX(0,'2 - Le opzioni'!$B$6*IF('2 - Le opzioni'!$B$42&gt;=MAX('2 - Le opzioni'!$B$67:$K$67),0,INDEX('2 - Le opzioni'!$B$68:$K$68,MATCH('2 - Le opzioni'!$B$42,'2 - Le opzioni'!$B$67:$K$67,1))+(INDEX('2 - Le opzioni'!$B$68:$K$68,MATCH('2 - Le opzioni'!$B$42,'2 - Le opzioni'!$B$67:$K$67,1)+1)-INDEX('2 - Le opzioni'!$B$68:$K$68,MATCH('2 - Le opzioni'!$B$42,'2 - Le opzioni'!$B$67:$K$67,1)))*('2 - Le opzioni'!$B$42-INDEX('2 - Le opzioni'!$B$67:$K$67,MATCH('2 - Le opzioni'!$B$42,'2 - Le opzioni'!$B$67:$K$67,1)))/(INDEX('2 - Le opzioni'!$B$67:$K$67,MATCH('2 - Le opzioni'!$B$42,'2 - Le opzioni'!$B$67:$K$67,1)+1)-INDEX('2 - Le opzioni'!$B$67:$K$67,MATCH('2 - Le opzioni'!$B$42,'2 - Le opzioni'!$B$67:$K$67,1))))-'2 - Le opzioni'!$B$41/(1+'1 - Il tuo profilo'!$B$14)^('2 - Le opzioni'!$B$42)),0)</f>
        <v>0</v>
      </c>
      <c r="J307" s="21">
        <f>IF(A307=('2 - Le opzioni'!$B$42),'2 - Le opzioni'!$B$44,0)</f>
        <v>0</v>
      </c>
      <c r="L307" s="21">
        <f t="shared" si="21"/>
        <v>2432.9664000000002</v>
      </c>
      <c r="M307" s="33">
        <f>1/(1+'1 - Il tuo profilo'!$B$13)^A307</f>
        <v>0.970873786407767</v>
      </c>
    </row>
    <row r="308" spans="1:18">
      <c r="A308" s="26">
        <v>2</v>
      </c>
      <c r="B308" s="26">
        <f t="shared" si="22"/>
        <v>2</v>
      </c>
      <c r="C308" s="21">
        <f>IF(A308&lt;=('2 - Le opzioni'!$B$42),'1 - Il tuo profilo'!$B$9/100*'2 - Le opzioni'!$B$8*'1 - Il tuo profilo'!$B$25,0)</f>
        <v>1243.1664000000001</v>
      </c>
      <c r="D308" s="21">
        <f>IF(A308&lt;=('2 - Le opzioni'!$B$42),'1 - Il tuo profilo'!$B$29+IF($B308&lt;='2 - Le opzioni'!$B$64,'1 - Il tuo profilo'!$B$32,0),0)</f>
        <v>659.2</v>
      </c>
      <c r="E308" s="21">
        <f>IF(A308&lt;=('2 - Le opzioni'!$B$42),'2 - Le opzioni'!$B$7*'1 - Il tuo profilo'!$B$30+IF(AND($B308&gt;=4,MOD($B308,2)=0),'1 - Il tuo profilo'!$B$31,0),0)</f>
        <v>180.6</v>
      </c>
      <c r="F308" s="21">
        <f>IF(A308&lt;=('2 - Le opzioni'!$B$42),IF($B308&lt;=3,'2 - Le opzioni'!$B$56,IF($B308&lt;=7,'2 - Le opzioni'!$B$57,IF($B308&lt;=12,'2 - Le opzioni'!$B$58,'2 - Le opzioni'!$B$59+'2 - Le opzioni'!$B$60*($B308-13))))*1*(0.5+0.5*'1 - Il tuo profilo'!$B$9/'2 - Le opzioni'!$B$63),0)</f>
        <v>350</v>
      </c>
      <c r="G308" s="21">
        <f>IF(A308=('2 - Le opzioni'!$B$42),-MAX(0,'2 - Le opzioni'!$B$6*IF('2 - Le opzioni'!$B$42&gt;=MAX('2 - Le opzioni'!$B$67:$K$67),0,INDEX('2 - Le opzioni'!$B$68:$K$68,MATCH('2 - Le opzioni'!$B$42,'2 - Le opzioni'!$B$67:$K$67,1))+(INDEX('2 - Le opzioni'!$B$68:$K$68,MATCH('2 - Le opzioni'!$B$42,'2 - Le opzioni'!$B$67:$K$67,1)+1)-INDEX('2 - Le opzioni'!$B$68:$K$68,MATCH('2 - Le opzioni'!$B$42,'2 - Le opzioni'!$B$67:$K$67,1)))*('2 - Le opzioni'!$B$42-INDEX('2 - Le opzioni'!$B$67:$K$67,MATCH('2 - Le opzioni'!$B$42,'2 - Le opzioni'!$B$67:$K$67,1)))/(INDEX('2 - Le opzioni'!$B$67:$K$67,MATCH('2 - Le opzioni'!$B$42,'2 - Le opzioni'!$B$67:$K$67,1)+1)-INDEX('2 - Le opzioni'!$B$67:$K$67,MATCH('2 - Le opzioni'!$B$42,'2 - Le opzioni'!$B$67:$K$67,1))))-'2 - Le opzioni'!$B$41/(1+'1 - Il tuo profilo'!$B$14)^('2 - Le opzioni'!$B$42)),0)</f>
        <v>0</v>
      </c>
      <c r="J308" s="21">
        <f>IF(A308=('2 - Le opzioni'!$B$42),'2 - Le opzioni'!$B$44,0)</f>
        <v>0</v>
      </c>
      <c r="L308" s="21">
        <f t="shared" si="21"/>
        <v>2432.9664000000002</v>
      </c>
      <c r="M308" s="33">
        <f>1/(1+'1 - Il tuo profilo'!$B$13)^A308</f>
        <v>0.94259590913375435</v>
      </c>
    </row>
    <row r="309" spans="1:18">
      <c r="A309" s="26">
        <v>3</v>
      </c>
      <c r="B309" s="26">
        <f t="shared" si="22"/>
        <v>3</v>
      </c>
      <c r="C309" s="21">
        <f>IF(A309&lt;=('2 - Le opzioni'!$B$42),'1 - Il tuo profilo'!$B$9/100*'2 - Le opzioni'!$B$8*'1 - Il tuo profilo'!$B$25,0)</f>
        <v>1243.1664000000001</v>
      </c>
      <c r="D309" s="21">
        <f>IF(A309&lt;=('2 - Le opzioni'!$B$42),'1 - Il tuo profilo'!$B$29+IF($B309&lt;='2 - Le opzioni'!$B$64,'1 - Il tuo profilo'!$B$32,0),0)</f>
        <v>659.2</v>
      </c>
      <c r="E309" s="21">
        <f>IF(A309&lt;=('2 - Le opzioni'!$B$42),'2 - Le opzioni'!$B$7*'1 - Il tuo profilo'!$B$30+IF(AND($B309&gt;=4,MOD($B309,2)=0),'1 - Il tuo profilo'!$B$31,0),0)</f>
        <v>180.6</v>
      </c>
      <c r="F309" s="21">
        <f>IF(A309&lt;=('2 - Le opzioni'!$B$42),IF($B309&lt;=3,'2 - Le opzioni'!$B$56,IF($B309&lt;=7,'2 - Le opzioni'!$B$57,IF($B309&lt;=12,'2 - Le opzioni'!$B$58,'2 - Le opzioni'!$B$59+'2 - Le opzioni'!$B$60*($B309-13))))*1*(0.5+0.5*'1 - Il tuo profilo'!$B$9/'2 - Le opzioni'!$B$63),0)</f>
        <v>350</v>
      </c>
      <c r="G309" s="21">
        <f>IF(A309=('2 - Le opzioni'!$B$42),-MAX(0,'2 - Le opzioni'!$B$6*IF('2 - Le opzioni'!$B$42&gt;=MAX('2 - Le opzioni'!$B$67:$K$67),0,INDEX('2 - Le opzioni'!$B$68:$K$68,MATCH('2 - Le opzioni'!$B$42,'2 - Le opzioni'!$B$67:$K$67,1))+(INDEX('2 - Le opzioni'!$B$68:$K$68,MATCH('2 - Le opzioni'!$B$42,'2 - Le opzioni'!$B$67:$K$67,1)+1)-INDEX('2 - Le opzioni'!$B$68:$K$68,MATCH('2 - Le opzioni'!$B$42,'2 - Le opzioni'!$B$67:$K$67,1)))*('2 - Le opzioni'!$B$42-INDEX('2 - Le opzioni'!$B$67:$K$67,MATCH('2 - Le opzioni'!$B$42,'2 - Le opzioni'!$B$67:$K$67,1)))/(INDEX('2 - Le opzioni'!$B$67:$K$67,MATCH('2 - Le opzioni'!$B$42,'2 - Le opzioni'!$B$67:$K$67,1)+1)-INDEX('2 - Le opzioni'!$B$67:$K$67,MATCH('2 - Le opzioni'!$B$42,'2 - Le opzioni'!$B$67:$K$67,1))))-'2 - Le opzioni'!$B$41/(1+'1 - Il tuo profilo'!$B$14)^('2 - Le opzioni'!$B$42)),0)</f>
        <v>-1932.731603983384</v>
      </c>
      <c r="J309" s="21">
        <f>IF(A309=('2 - Le opzioni'!$B$42),'2 - Le opzioni'!$B$44,0)</f>
        <v>400</v>
      </c>
      <c r="L309" s="21">
        <f t="shared" si="21"/>
        <v>900.2347960166162</v>
      </c>
      <c r="M309" s="33">
        <f>1/(1+'1 - Il tuo profilo'!$B$13)^A309</f>
        <v>0.91514165935315961</v>
      </c>
    </row>
    <row r="310" spans="1:18">
      <c r="A310" s="26">
        <v>4</v>
      </c>
      <c r="B310" s="26">
        <f t="shared" si="22"/>
        <v>4</v>
      </c>
      <c r="C310" s="21">
        <f>IF(A310&lt;=('2 - Le opzioni'!$B$42),'1 - Il tuo profilo'!$B$9/100*'2 - Le opzioni'!$B$8*'1 - Il tuo profilo'!$B$25,0)</f>
        <v>0</v>
      </c>
      <c r="D310" s="21">
        <f>IF(A310&lt;=('2 - Le opzioni'!$B$42),'1 - Il tuo profilo'!$B$29+IF($B310&lt;='2 - Le opzioni'!$B$64,'1 - Il tuo profilo'!$B$32,0),0)</f>
        <v>0</v>
      </c>
      <c r="E310" s="21">
        <f>IF(A310&lt;=('2 - Le opzioni'!$B$42),'2 - Le opzioni'!$B$7*'1 - Il tuo profilo'!$B$30+IF(AND($B310&gt;=4,MOD($B310,2)=0),'1 - Il tuo profilo'!$B$31,0),0)</f>
        <v>0</v>
      </c>
      <c r="F310" s="21">
        <f>IF(A310&lt;=('2 - Le opzioni'!$B$42),IF($B310&lt;=3,'2 - Le opzioni'!$B$56,IF($B310&lt;=7,'2 - Le opzioni'!$B$57,IF($B310&lt;=12,'2 - Le opzioni'!$B$58,'2 - Le opzioni'!$B$59+'2 - Le opzioni'!$B$60*($B310-13))))*1*(0.5+0.5*'1 - Il tuo profilo'!$B$9/'2 - Le opzioni'!$B$63),0)</f>
        <v>0</v>
      </c>
      <c r="G310" s="21">
        <f>IF(A310=('2 - Le opzioni'!$B$42),-MAX(0,'2 - Le opzioni'!$B$6*IF('2 - Le opzioni'!$B$42&gt;=MAX('2 - Le opzioni'!$B$67:$K$67),0,INDEX('2 - Le opzioni'!$B$68:$K$68,MATCH('2 - Le opzioni'!$B$42,'2 - Le opzioni'!$B$67:$K$67,1))+(INDEX('2 - Le opzioni'!$B$68:$K$68,MATCH('2 - Le opzioni'!$B$42,'2 - Le opzioni'!$B$67:$K$67,1)+1)-INDEX('2 - Le opzioni'!$B$68:$K$68,MATCH('2 - Le opzioni'!$B$42,'2 - Le opzioni'!$B$67:$K$67,1)))*('2 - Le opzioni'!$B$42-INDEX('2 - Le opzioni'!$B$67:$K$67,MATCH('2 - Le opzioni'!$B$42,'2 - Le opzioni'!$B$67:$K$67,1)))/(INDEX('2 - Le opzioni'!$B$67:$K$67,MATCH('2 - Le opzioni'!$B$42,'2 - Le opzioni'!$B$67:$K$67,1)+1)-INDEX('2 - Le opzioni'!$B$67:$K$67,MATCH('2 - Le opzioni'!$B$42,'2 - Le opzioni'!$B$67:$K$67,1))))-'2 - Le opzioni'!$B$41/(1+'1 - Il tuo profilo'!$B$14)^('2 - Le opzioni'!$B$42)),0)</f>
        <v>0</v>
      </c>
      <c r="J310" s="21">
        <f>IF(A310=('2 - Le opzioni'!$B$42),'2 - Le opzioni'!$B$44,0)</f>
        <v>0</v>
      </c>
      <c r="L310" s="21">
        <f t="shared" si="21"/>
        <v>0</v>
      </c>
      <c r="M310" s="33">
        <f>1/(1+'1 - Il tuo profilo'!$B$13)^A310</f>
        <v>0.888487047915689</v>
      </c>
    </row>
    <row r="311" spans="1:18">
      <c r="A311" s="26">
        <v>5</v>
      </c>
      <c r="B311" s="26">
        <f t="shared" si="22"/>
        <v>5</v>
      </c>
      <c r="C311" s="21">
        <f>IF(A311&lt;=('2 - Le opzioni'!$B$42),'1 - Il tuo profilo'!$B$9/100*'2 - Le opzioni'!$B$8*'1 - Il tuo profilo'!$B$25,0)</f>
        <v>0</v>
      </c>
      <c r="D311" s="21">
        <f>IF(A311&lt;=('2 - Le opzioni'!$B$42),'1 - Il tuo profilo'!$B$29+IF($B311&lt;='2 - Le opzioni'!$B$64,'1 - Il tuo profilo'!$B$32,0),0)</f>
        <v>0</v>
      </c>
      <c r="E311" s="21">
        <f>IF(A311&lt;=('2 - Le opzioni'!$B$42),'2 - Le opzioni'!$B$7*'1 - Il tuo profilo'!$B$30+IF(AND($B311&gt;=4,MOD($B311,2)=0),'1 - Il tuo profilo'!$B$31,0),0)</f>
        <v>0</v>
      </c>
      <c r="F311" s="21">
        <f>IF(A311&lt;=('2 - Le opzioni'!$B$42),IF($B311&lt;=3,'2 - Le opzioni'!$B$56,IF($B311&lt;=7,'2 - Le opzioni'!$B$57,IF($B311&lt;=12,'2 - Le opzioni'!$B$58,'2 - Le opzioni'!$B$59+'2 - Le opzioni'!$B$60*($B311-13))))*1*(0.5+0.5*'1 - Il tuo profilo'!$B$9/'2 - Le opzioni'!$B$63),0)</f>
        <v>0</v>
      </c>
      <c r="G311" s="21">
        <f>IF(A311=('2 - Le opzioni'!$B$42),-MAX(0,'2 - Le opzioni'!$B$6*IF('2 - Le opzioni'!$B$42&gt;=MAX('2 - Le opzioni'!$B$67:$K$67),0,INDEX('2 - Le opzioni'!$B$68:$K$68,MATCH('2 - Le opzioni'!$B$42,'2 - Le opzioni'!$B$67:$K$67,1))+(INDEX('2 - Le opzioni'!$B$68:$K$68,MATCH('2 - Le opzioni'!$B$42,'2 - Le opzioni'!$B$67:$K$67,1)+1)-INDEX('2 - Le opzioni'!$B$68:$K$68,MATCH('2 - Le opzioni'!$B$42,'2 - Le opzioni'!$B$67:$K$67,1)))*('2 - Le opzioni'!$B$42-INDEX('2 - Le opzioni'!$B$67:$K$67,MATCH('2 - Le opzioni'!$B$42,'2 - Le opzioni'!$B$67:$K$67,1)))/(INDEX('2 - Le opzioni'!$B$67:$K$67,MATCH('2 - Le opzioni'!$B$42,'2 - Le opzioni'!$B$67:$K$67,1)+1)-INDEX('2 - Le opzioni'!$B$67:$K$67,MATCH('2 - Le opzioni'!$B$42,'2 - Le opzioni'!$B$67:$K$67,1))))-'2 - Le opzioni'!$B$41/(1+'1 - Il tuo profilo'!$B$14)^('2 - Le opzioni'!$B$42)),0)</f>
        <v>0</v>
      </c>
      <c r="J311" s="21">
        <f>IF(A311=('2 - Le opzioni'!$B$42),'2 - Le opzioni'!$B$44,0)</f>
        <v>0</v>
      </c>
      <c r="L311" s="21">
        <f t="shared" si="21"/>
        <v>0</v>
      </c>
      <c r="M311" s="33">
        <f>1/(1+'1 - Il tuo profilo'!$B$13)^A311</f>
        <v>0.86260878438416411</v>
      </c>
    </row>
    <row r="312" spans="1:18">
      <c r="A312" s="26">
        <v>6</v>
      </c>
      <c r="B312" s="26">
        <f t="shared" si="22"/>
        <v>6</v>
      </c>
      <c r="C312" s="21">
        <f>IF(A312&lt;=('2 - Le opzioni'!$B$42),'1 - Il tuo profilo'!$B$9/100*'2 - Le opzioni'!$B$8*'1 - Il tuo profilo'!$B$25,0)</f>
        <v>0</v>
      </c>
      <c r="D312" s="21">
        <f>IF(A312&lt;=('2 - Le opzioni'!$B$42),'1 - Il tuo profilo'!$B$29+IF($B312&lt;='2 - Le opzioni'!$B$64,'1 - Il tuo profilo'!$B$32,0),0)</f>
        <v>0</v>
      </c>
      <c r="E312" s="21">
        <f>IF(A312&lt;=('2 - Le opzioni'!$B$42),'2 - Le opzioni'!$B$7*'1 - Il tuo profilo'!$B$30+IF(AND($B312&gt;=4,MOD($B312,2)=0),'1 - Il tuo profilo'!$B$31,0),0)</f>
        <v>0</v>
      </c>
      <c r="F312" s="21">
        <f>IF(A312&lt;=('2 - Le opzioni'!$B$42),IF($B312&lt;=3,'2 - Le opzioni'!$B$56,IF($B312&lt;=7,'2 - Le opzioni'!$B$57,IF($B312&lt;=12,'2 - Le opzioni'!$B$58,'2 - Le opzioni'!$B$59+'2 - Le opzioni'!$B$60*($B312-13))))*1*(0.5+0.5*'1 - Il tuo profilo'!$B$9/'2 - Le opzioni'!$B$63),0)</f>
        <v>0</v>
      </c>
      <c r="G312" s="21">
        <f>IF(A312=('2 - Le opzioni'!$B$42),-MAX(0,'2 - Le opzioni'!$B$6*IF('2 - Le opzioni'!$B$42&gt;=MAX('2 - Le opzioni'!$B$67:$K$67),0,INDEX('2 - Le opzioni'!$B$68:$K$68,MATCH('2 - Le opzioni'!$B$42,'2 - Le opzioni'!$B$67:$K$67,1))+(INDEX('2 - Le opzioni'!$B$68:$K$68,MATCH('2 - Le opzioni'!$B$42,'2 - Le opzioni'!$B$67:$K$67,1)+1)-INDEX('2 - Le opzioni'!$B$68:$K$68,MATCH('2 - Le opzioni'!$B$42,'2 - Le opzioni'!$B$67:$K$67,1)))*('2 - Le opzioni'!$B$42-INDEX('2 - Le opzioni'!$B$67:$K$67,MATCH('2 - Le opzioni'!$B$42,'2 - Le opzioni'!$B$67:$K$67,1)))/(INDEX('2 - Le opzioni'!$B$67:$K$67,MATCH('2 - Le opzioni'!$B$42,'2 - Le opzioni'!$B$67:$K$67,1)+1)-INDEX('2 - Le opzioni'!$B$67:$K$67,MATCH('2 - Le opzioni'!$B$42,'2 - Le opzioni'!$B$67:$K$67,1))))-'2 - Le opzioni'!$B$41/(1+'1 - Il tuo profilo'!$B$14)^('2 - Le opzioni'!$B$42)),0)</f>
        <v>0</v>
      </c>
      <c r="J312" s="21">
        <f>IF(A312=('2 - Le opzioni'!$B$42),'2 - Le opzioni'!$B$44,0)</f>
        <v>0</v>
      </c>
      <c r="L312" s="21">
        <f t="shared" si="21"/>
        <v>0</v>
      </c>
      <c r="M312" s="33">
        <f>1/(1+'1 - Il tuo profilo'!$B$13)^A312</f>
        <v>0.83748425668365445</v>
      </c>
    </row>
    <row r="313" spans="1:18">
      <c r="A313" s="26">
        <v>7</v>
      </c>
      <c r="B313" s="26">
        <f t="shared" si="22"/>
        <v>7</v>
      </c>
      <c r="C313" s="21">
        <f>IF(A313&lt;=('2 - Le opzioni'!$B$42),'1 - Il tuo profilo'!$B$9/100*'2 - Le opzioni'!$B$8*'1 - Il tuo profilo'!$B$25,0)</f>
        <v>0</v>
      </c>
      <c r="D313" s="21">
        <f>IF(A313&lt;=('2 - Le opzioni'!$B$42),'1 - Il tuo profilo'!$B$29+IF($B313&lt;='2 - Le opzioni'!$B$64,'1 - Il tuo profilo'!$B$32,0),0)</f>
        <v>0</v>
      </c>
      <c r="E313" s="21">
        <f>IF(A313&lt;=('2 - Le opzioni'!$B$42),'2 - Le opzioni'!$B$7*'1 - Il tuo profilo'!$B$30+IF(AND($B313&gt;=4,MOD($B313,2)=0),'1 - Il tuo profilo'!$B$31,0),0)</f>
        <v>0</v>
      </c>
      <c r="F313" s="21">
        <f>IF(A313&lt;=('2 - Le opzioni'!$B$42),IF($B313&lt;=3,'2 - Le opzioni'!$B$56,IF($B313&lt;=7,'2 - Le opzioni'!$B$57,IF($B313&lt;=12,'2 - Le opzioni'!$B$58,'2 - Le opzioni'!$B$59+'2 - Le opzioni'!$B$60*($B313-13))))*1*(0.5+0.5*'1 - Il tuo profilo'!$B$9/'2 - Le opzioni'!$B$63),0)</f>
        <v>0</v>
      </c>
      <c r="G313" s="21">
        <f>IF(A313=('2 - Le opzioni'!$B$42),-MAX(0,'2 - Le opzioni'!$B$6*IF('2 - Le opzioni'!$B$42&gt;=MAX('2 - Le opzioni'!$B$67:$K$67),0,INDEX('2 - Le opzioni'!$B$68:$K$68,MATCH('2 - Le opzioni'!$B$42,'2 - Le opzioni'!$B$67:$K$67,1))+(INDEX('2 - Le opzioni'!$B$68:$K$68,MATCH('2 - Le opzioni'!$B$42,'2 - Le opzioni'!$B$67:$K$67,1)+1)-INDEX('2 - Le opzioni'!$B$68:$K$68,MATCH('2 - Le opzioni'!$B$42,'2 - Le opzioni'!$B$67:$K$67,1)))*('2 - Le opzioni'!$B$42-INDEX('2 - Le opzioni'!$B$67:$K$67,MATCH('2 - Le opzioni'!$B$42,'2 - Le opzioni'!$B$67:$K$67,1)))/(INDEX('2 - Le opzioni'!$B$67:$K$67,MATCH('2 - Le opzioni'!$B$42,'2 - Le opzioni'!$B$67:$K$67,1)+1)-INDEX('2 - Le opzioni'!$B$67:$K$67,MATCH('2 - Le opzioni'!$B$42,'2 - Le opzioni'!$B$67:$K$67,1))))-'2 - Le opzioni'!$B$41/(1+'1 - Il tuo profilo'!$B$14)^('2 - Le opzioni'!$B$42)),0)</f>
        <v>0</v>
      </c>
      <c r="J313" s="21">
        <f>IF(A313=('2 - Le opzioni'!$B$42),'2 - Le opzioni'!$B$44,0)</f>
        <v>0</v>
      </c>
      <c r="L313" s="21">
        <f t="shared" si="21"/>
        <v>0</v>
      </c>
      <c r="M313" s="33">
        <f>1/(1+'1 - Il tuo profilo'!$B$13)^A313</f>
        <v>0.81309151134335378</v>
      </c>
    </row>
    <row r="314" spans="1:18">
      <c r="A314" s="26">
        <v>8</v>
      </c>
      <c r="B314" s="26">
        <f t="shared" si="22"/>
        <v>8</v>
      </c>
      <c r="C314" s="21">
        <f>IF(A314&lt;=('2 - Le opzioni'!$B$42),'1 - Il tuo profilo'!$B$9/100*'2 - Le opzioni'!$B$8*'1 - Il tuo profilo'!$B$25,0)</f>
        <v>0</v>
      </c>
      <c r="D314" s="21">
        <f>IF(A314&lt;=('2 - Le opzioni'!$B$42),'1 - Il tuo profilo'!$B$29+IF($B314&lt;='2 - Le opzioni'!$B$64,'1 - Il tuo profilo'!$B$32,0),0)</f>
        <v>0</v>
      </c>
      <c r="E314" s="21">
        <f>IF(A314&lt;=('2 - Le opzioni'!$B$42),'2 - Le opzioni'!$B$7*'1 - Il tuo profilo'!$B$30+IF(AND($B314&gt;=4,MOD($B314,2)=0),'1 - Il tuo profilo'!$B$31,0),0)</f>
        <v>0</v>
      </c>
      <c r="F314" s="21">
        <f>IF(A314&lt;=('2 - Le opzioni'!$B$42),IF($B314&lt;=3,'2 - Le opzioni'!$B$56,IF($B314&lt;=7,'2 - Le opzioni'!$B$57,IF($B314&lt;=12,'2 - Le opzioni'!$B$58,'2 - Le opzioni'!$B$59+'2 - Le opzioni'!$B$60*($B314-13))))*1*(0.5+0.5*'1 - Il tuo profilo'!$B$9/'2 - Le opzioni'!$B$63),0)</f>
        <v>0</v>
      </c>
      <c r="G314" s="21">
        <f>IF(A314=('2 - Le opzioni'!$B$42),-MAX(0,'2 - Le opzioni'!$B$6*IF('2 - Le opzioni'!$B$42&gt;=MAX('2 - Le opzioni'!$B$67:$K$67),0,INDEX('2 - Le opzioni'!$B$68:$K$68,MATCH('2 - Le opzioni'!$B$42,'2 - Le opzioni'!$B$67:$K$67,1))+(INDEX('2 - Le opzioni'!$B$68:$K$68,MATCH('2 - Le opzioni'!$B$42,'2 - Le opzioni'!$B$67:$K$67,1)+1)-INDEX('2 - Le opzioni'!$B$68:$K$68,MATCH('2 - Le opzioni'!$B$42,'2 - Le opzioni'!$B$67:$K$67,1)))*('2 - Le opzioni'!$B$42-INDEX('2 - Le opzioni'!$B$67:$K$67,MATCH('2 - Le opzioni'!$B$42,'2 - Le opzioni'!$B$67:$K$67,1)))/(INDEX('2 - Le opzioni'!$B$67:$K$67,MATCH('2 - Le opzioni'!$B$42,'2 - Le opzioni'!$B$67:$K$67,1)+1)-INDEX('2 - Le opzioni'!$B$67:$K$67,MATCH('2 - Le opzioni'!$B$42,'2 - Le opzioni'!$B$67:$K$67,1))))-'2 - Le opzioni'!$B$41/(1+'1 - Il tuo profilo'!$B$14)^('2 - Le opzioni'!$B$42)),0)</f>
        <v>0</v>
      </c>
      <c r="J314" s="21">
        <f>IF(A314=('2 - Le opzioni'!$B$42),'2 - Le opzioni'!$B$44,0)</f>
        <v>0</v>
      </c>
      <c r="L314" s="21">
        <f t="shared" si="21"/>
        <v>0</v>
      </c>
      <c r="M314" s="33">
        <f>1/(1+'1 - Il tuo profilo'!$B$13)^A314</f>
        <v>0.78940923431393573</v>
      </c>
    </row>
    <row r="315" spans="1:18">
      <c r="A315" s="26">
        <v>9</v>
      </c>
      <c r="B315" s="26">
        <f t="shared" si="22"/>
        <v>9</v>
      </c>
      <c r="C315" s="21">
        <f>IF(A315&lt;=('2 - Le opzioni'!$B$42),'1 - Il tuo profilo'!$B$9/100*'2 - Le opzioni'!$B$8*'1 - Il tuo profilo'!$B$25,0)</f>
        <v>0</v>
      </c>
      <c r="D315" s="21">
        <f>IF(A315&lt;=('2 - Le opzioni'!$B$42),'1 - Il tuo profilo'!$B$29+IF($B315&lt;='2 - Le opzioni'!$B$64,'1 - Il tuo profilo'!$B$32,0),0)</f>
        <v>0</v>
      </c>
      <c r="E315" s="21">
        <f>IF(A315&lt;=('2 - Le opzioni'!$B$42),'2 - Le opzioni'!$B$7*'1 - Il tuo profilo'!$B$30+IF(AND($B315&gt;=4,MOD($B315,2)=0),'1 - Il tuo profilo'!$B$31,0),0)</f>
        <v>0</v>
      </c>
      <c r="F315" s="21">
        <f>IF(A315&lt;=('2 - Le opzioni'!$B$42),IF($B315&lt;=3,'2 - Le opzioni'!$B$56,IF($B315&lt;=7,'2 - Le opzioni'!$B$57,IF($B315&lt;=12,'2 - Le opzioni'!$B$58,'2 - Le opzioni'!$B$59+'2 - Le opzioni'!$B$60*($B315-13))))*1*(0.5+0.5*'1 - Il tuo profilo'!$B$9/'2 - Le opzioni'!$B$63),0)</f>
        <v>0</v>
      </c>
      <c r="G315" s="21">
        <f>IF(A315=('2 - Le opzioni'!$B$42),-MAX(0,'2 - Le opzioni'!$B$6*IF('2 - Le opzioni'!$B$42&gt;=MAX('2 - Le opzioni'!$B$67:$K$67),0,INDEX('2 - Le opzioni'!$B$68:$K$68,MATCH('2 - Le opzioni'!$B$42,'2 - Le opzioni'!$B$67:$K$67,1))+(INDEX('2 - Le opzioni'!$B$68:$K$68,MATCH('2 - Le opzioni'!$B$42,'2 - Le opzioni'!$B$67:$K$67,1)+1)-INDEX('2 - Le opzioni'!$B$68:$K$68,MATCH('2 - Le opzioni'!$B$42,'2 - Le opzioni'!$B$67:$K$67,1)))*('2 - Le opzioni'!$B$42-INDEX('2 - Le opzioni'!$B$67:$K$67,MATCH('2 - Le opzioni'!$B$42,'2 - Le opzioni'!$B$67:$K$67,1)))/(INDEX('2 - Le opzioni'!$B$67:$K$67,MATCH('2 - Le opzioni'!$B$42,'2 - Le opzioni'!$B$67:$K$67,1)+1)-INDEX('2 - Le opzioni'!$B$67:$K$67,MATCH('2 - Le opzioni'!$B$42,'2 - Le opzioni'!$B$67:$K$67,1))))-'2 - Le opzioni'!$B$41/(1+'1 - Il tuo profilo'!$B$14)^('2 - Le opzioni'!$B$42)),0)</f>
        <v>0</v>
      </c>
      <c r="J315" s="21">
        <f>IF(A315=('2 - Le opzioni'!$B$42),'2 - Le opzioni'!$B$44,0)</f>
        <v>0</v>
      </c>
      <c r="L315" s="21">
        <f t="shared" si="21"/>
        <v>0</v>
      </c>
      <c r="M315" s="33">
        <f>1/(1+'1 - Il tuo profilo'!$B$13)^A315</f>
        <v>0.76641673234362695</v>
      </c>
    </row>
    <row r="316" spans="1:18">
      <c r="A316" s="26">
        <v>10</v>
      </c>
      <c r="B316" s="26">
        <f t="shared" si="22"/>
        <v>10</v>
      </c>
      <c r="C316" s="21">
        <f>IF(A316&lt;=('2 - Le opzioni'!$B$42),'1 - Il tuo profilo'!$B$9/100*'2 - Le opzioni'!$B$8*'1 - Il tuo profilo'!$B$25,0)</f>
        <v>0</v>
      </c>
      <c r="D316" s="21">
        <f>IF(A316&lt;=('2 - Le opzioni'!$B$42),'1 - Il tuo profilo'!$B$29+IF($B316&lt;='2 - Le opzioni'!$B$64,'1 - Il tuo profilo'!$B$32,0),0)</f>
        <v>0</v>
      </c>
      <c r="E316" s="21">
        <f>IF(A316&lt;=('2 - Le opzioni'!$B$42),'2 - Le opzioni'!$B$7*'1 - Il tuo profilo'!$B$30+IF(AND($B316&gt;=4,MOD($B316,2)=0),'1 - Il tuo profilo'!$B$31,0),0)</f>
        <v>0</v>
      </c>
      <c r="F316" s="21">
        <f>IF(A316&lt;=('2 - Le opzioni'!$B$42),IF($B316&lt;=3,'2 - Le opzioni'!$B$56,IF($B316&lt;=7,'2 - Le opzioni'!$B$57,IF($B316&lt;=12,'2 - Le opzioni'!$B$58,'2 - Le opzioni'!$B$59+'2 - Le opzioni'!$B$60*($B316-13))))*1*(0.5+0.5*'1 - Il tuo profilo'!$B$9/'2 - Le opzioni'!$B$63),0)</f>
        <v>0</v>
      </c>
      <c r="G316" s="21">
        <f>IF(A316=('2 - Le opzioni'!$B$42),-MAX(0,'2 - Le opzioni'!$B$6*IF('2 - Le opzioni'!$B$42&gt;=MAX('2 - Le opzioni'!$B$67:$K$67),0,INDEX('2 - Le opzioni'!$B$68:$K$68,MATCH('2 - Le opzioni'!$B$42,'2 - Le opzioni'!$B$67:$K$67,1))+(INDEX('2 - Le opzioni'!$B$68:$K$68,MATCH('2 - Le opzioni'!$B$42,'2 - Le opzioni'!$B$67:$K$67,1)+1)-INDEX('2 - Le opzioni'!$B$68:$K$68,MATCH('2 - Le opzioni'!$B$42,'2 - Le opzioni'!$B$67:$K$67,1)))*('2 - Le opzioni'!$B$42-INDEX('2 - Le opzioni'!$B$67:$K$67,MATCH('2 - Le opzioni'!$B$42,'2 - Le opzioni'!$B$67:$K$67,1)))/(INDEX('2 - Le opzioni'!$B$67:$K$67,MATCH('2 - Le opzioni'!$B$42,'2 - Le opzioni'!$B$67:$K$67,1)+1)-INDEX('2 - Le opzioni'!$B$67:$K$67,MATCH('2 - Le opzioni'!$B$42,'2 - Le opzioni'!$B$67:$K$67,1))))-'2 - Le opzioni'!$B$41/(1+'1 - Il tuo profilo'!$B$14)^('2 - Le opzioni'!$B$42)),0)</f>
        <v>0</v>
      </c>
      <c r="J316" s="21">
        <f>IF(A316=('2 - Le opzioni'!$B$42),'2 - Le opzioni'!$B$44,0)</f>
        <v>0</v>
      </c>
      <c r="L316" s="21">
        <f t="shared" si="21"/>
        <v>0</v>
      </c>
      <c r="M316" s="33">
        <f>1/(1+'1 - Il tuo profilo'!$B$13)^A316</f>
        <v>0.74409391489672516</v>
      </c>
    </row>
    <row r="317" spans="1:18">
      <c r="A317" s="6" t="s">
        <v>319</v>
      </c>
      <c r="B317" s="18">
        <f>-PMT('2 - Le opzioni'!$B$36/12,'2 - Le opzioni'!$B$39,('2 - Le opzioni'!$B$6-'1 - Il tuo profilo'!$B$33),-('2 - Le opzioni'!$B$41))</f>
        <v>256.21864450167612</v>
      </c>
    </row>
    <row r="318" spans="1:18" ht="32.1" customHeight="1">
      <c r="A318" s="30" t="s">
        <v>285</v>
      </c>
      <c r="B318" s="30" t="s">
        <v>286</v>
      </c>
      <c r="C318" s="30" t="s">
        <v>287</v>
      </c>
      <c r="D318" s="30" t="s">
        <v>288</v>
      </c>
      <c r="E318" s="30" t="s">
        <v>289</v>
      </c>
      <c r="F318" s="30" t="s">
        <v>290</v>
      </c>
      <c r="G318" s="30" t="s">
        <v>291</v>
      </c>
      <c r="H318" s="30" t="s">
        <v>292</v>
      </c>
      <c r="I318" s="30" t="s">
        <v>225</v>
      </c>
      <c r="J318" s="30" t="s">
        <v>293</v>
      </c>
      <c r="K318" s="30" t="s">
        <v>294</v>
      </c>
      <c r="L318" s="30" t="s">
        <v>295</v>
      </c>
      <c r="M318" s="30" t="s">
        <v>227</v>
      </c>
    </row>
    <row r="319" spans="1:18">
      <c r="A319" s="21">
        <f>L306+NPV('1 - Il tuo profilo'!$B$13,L307:L316)+E319+G319</f>
        <v>17335.044434716445</v>
      </c>
      <c r="B319" s="21">
        <f>SUM(L306:L316)+F319+H319</f>
        <v>18014.012454272055</v>
      </c>
      <c r="C319" s="26">
        <f>'2 - Le opzioni'!$B$42</f>
        <v>3</v>
      </c>
      <c r="D319" s="33">
        <f>PV('1 - Il tuo profilo'!$B$13,C319,-1)</f>
        <v>2.8286113548946812</v>
      </c>
      <c r="E319" s="21">
        <f>B317*PV('2 - Le opzioni'!$B$110,'2 - Le opzioni'!$B$39,-1)*(1+'2 - Le opzioni'!$B$110)^-(0)</f>
        <v>8555.7945930115911</v>
      </c>
      <c r="F319" s="21">
        <f>B317*PV('2 - Le opzioni'!$B$111,'2 - Le opzioni'!$B$39,-1)*(1+'2 - Le opzioni'!$B$111)^-(0)</f>
        <v>8947.8448582554374</v>
      </c>
      <c r="G319" s="21">
        <f>0</f>
        <v>0</v>
      </c>
      <c r="H319" s="21">
        <f>0</f>
        <v>0</v>
      </c>
      <c r="I319" s="21">
        <f>IF(C319&gt;=10,A319,A319/D319*'2 - Le opzioni'!$B$112-'1 - Il tuo profilo'!$B$33)</f>
        <v>49277.045751362682</v>
      </c>
      <c r="J319" s="21">
        <f>IF(C319&gt;=10,B319,B319*10/C319-'1 - Il tuo profilo'!$B$33)</f>
        <v>57046.708180906855</v>
      </c>
      <c r="K319" s="18">
        <f>I319/'2 - Le opzioni'!$B$112</f>
        <v>5776.7730374378752</v>
      </c>
      <c r="L319" s="18">
        <f>K319/12</f>
        <v>481.39775311982294</v>
      </c>
      <c r="M319" s="31">
        <f>K319/'1 - Il tuo profilo'!$B$9</f>
        <v>0.48139775311982291</v>
      </c>
    </row>
    <row r="320" spans="1:18" ht="32.1" customHeight="1">
      <c r="A320" s="30" t="s">
        <v>296</v>
      </c>
      <c r="B320" s="30" t="s">
        <v>297</v>
      </c>
      <c r="C320" s="30" t="s">
        <v>298</v>
      </c>
      <c r="D320" s="30" t="s">
        <v>299</v>
      </c>
      <c r="E320" s="30" t="s">
        <v>300</v>
      </c>
      <c r="F320" s="30" t="s">
        <v>301</v>
      </c>
      <c r="G320" s="30" t="s">
        <v>302</v>
      </c>
      <c r="H320" s="30" t="s">
        <v>303</v>
      </c>
      <c r="I320" s="30" t="s">
        <v>304</v>
      </c>
      <c r="J320" s="30" t="s">
        <v>305</v>
      </c>
      <c r="K320" s="30" t="s">
        <v>306</v>
      </c>
      <c r="L320" s="30" t="s">
        <v>307</v>
      </c>
      <c r="M320" s="30" t="s">
        <v>308</v>
      </c>
      <c r="N320" s="30" t="s">
        <v>309</v>
      </c>
      <c r="O320" s="30" t="s">
        <v>310</v>
      </c>
      <c r="P320" s="30" t="s">
        <v>311</v>
      </c>
      <c r="Q320" s="30" t="s">
        <v>312</v>
      </c>
      <c r="R320" s="30" t="s">
        <v>313</v>
      </c>
    </row>
    <row r="321" spans="1:18">
      <c r="A321" s="21">
        <f>SUMPRODUCT(G306:G316,M306:M316)</f>
        <v>-1768.7232071536478</v>
      </c>
      <c r="B321" s="21">
        <f>SUMPRODUCT(H306:H316,M306:M316)</f>
        <v>0</v>
      </c>
      <c r="C321" s="21">
        <f>SUMPRODUCT(I306:I316,M306:M316)+E319+G319</f>
        <v>11855.794593011591</v>
      </c>
      <c r="D321" s="21">
        <f>SUMPRODUCT(C306:C316,M306:M316)</f>
        <v>3516.4345950635434</v>
      </c>
      <c r="E321" s="21">
        <f>SUMPRODUCT(D306:D316,M306:M316)</f>
        <v>1864.6206051465738</v>
      </c>
      <c r="F321" s="21">
        <f>SUMPRODUCT(E306:E316,M306:M316)</f>
        <v>510.84721069397938</v>
      </c>
      <c r="G321" s="21">
        <f>SUMPRODUCT(F306:F316,M306:M316)</f>
        <v>990.01397421313834</v>
      </c>
      <c r="H321" s="21">
        <f>SUMPRODUCT(J306:J316,M306:M316)</f>
        <v>366.05666374126383</v>
      </c>
      <c r="I321" s="21">
        <f>SUMPRODUCT(K306:K316,M306:M316)</f>
        <v>0</v>
      </c>
      <c r="J321" s="18">
        <f t="shared" ref="J321:R321" si="23">A321/$D319/12</f>
        <v>-52.108113170473104</v>
      </c>
      <c r="K321" s="18">
        <f t="shared" si="23"/>
        <v>0</v>
      </c>
      <c r="L321" s="18">
        <f t="shared" si="23"/>
        <v>349.28194749743267</v>
      </c>
      <c r="M321" s="18">
        <f t="shared" si="23"/>
        <v>103.5972</v>
      </c>
      <c r="N321" s="18">
        <f t="shared" si="23"/>
        <v>54.93333333333333</v>
      </c>
      <c r="O321" s="18">
        <f t="shared" si="23"/>
        <v>15.049999999999999</v>
      </c>
      <c r="P321" s="18">
        <f t="shared" si="23"/>
        <v>29.166666666666668</v>
      </c>
      <c r="Q321" s="18">
        <f t="shared" si="23"/>
        <v>10.784345444153267</v>
      </c>
      <c r="R321" s="18">
        <f t="shared" si="23"/>
        <v>0</v>
      </c>
    </row>
    <row r="323" spans="1:18">
      <c r="A323" s="2" t="s">
        <v>326</v>
      </c>
    </row>
    <row r="324" spans="1:18" ht="32.1" customHeight="1">
      <c r="A324" s="30" t="s">
        <v>272</v>
      </c>
      <c r="B324" s="30" t="s">
        <v>273</v>
      </c>
      <c r="C324" s="30" t="s">
        <v>274</v>
      </c>
      <c r="D324" s="30" t="s">
        <v>275</v>
      </c>
      <c r="E324" s="30" t="s">
        <v>276</v>
      </c>
      <c r="F324" s="30" t="s">
        <v>277</v>
      </c>
      <c r="G324" s="30" t="s">
        <v>278</v>
      </c>
      <c r="H324" s="30" t="s">
        <v>279</v>
      </c>
      <c r="I324" s="30" t="s">
        <v>280</v>
      </c>
      <c r="J324" s="30" t="s">
        <v>281</v>
      </c>
      <c r="K324" s="30" t="s">
        <v>282</v>
      </c>
      <c r="L324" s="30" t="s">
        <v>283</v>
      </c>
      <c r="M324" s="30" t="s">
        <v>284</v>
      </c>
    </row>
    <row r="325" spans="1:18">
      <c r="A325" s="26">
        <v>0</v>
      </c>
      <c r="I325" s="21">
        <f>'1 - Il tuo profilo'!$B$33</f>
        <v>3000</v>
      </c>
      <c r="J325" s="21">
        <f>IF(A325=('2 - Le opzioni'!$B$50),'2 - Le opzioni'!$B$44,0)</f>
        <v>0</v>
      </c>
      <c r="L325" s="21">
        <f t="shared" ref="L325:L335" si="24">SUM(C325:K325)</f>
        <v>3000</v>
      </c>
      <c r="M325" s="33">
        <f>1/(1+'1 - Il tuo profilo'!$B$13)^A325</f>
        <v>1</v>
      </c>
    </row>
    <row r="326" spans="1:18">
      <c r="A326" s="26">
        <v>1</v>
      </c>
      <c r="B326" s="26">
        <f t="shared" ref="B326:B335" si="25">A326</f>
        <v>1</v>
      </c>
      <c r="C326" s="21">
        <f>IF(A326&lt;=('2 - Le opzioni'!$B$50),'1 - Il tuo profilo'!$B$9/100*'2 - Le opzioni'!$B$8*'1 - Il tuo profilo'!$B$25,0)</f>
        <v>1243.1664000000001</v>
      </c>
      <c r="J326" s="21">
        <f>IF(A326&lt;=('2 - Le opzioni'!$B$50),MAX(0,'1 - Il tuo profilo'!$B$9-'2 - Le opzioni'!$B$51)*'2 - Le opzioni'!$B$52,0)+IF(A326=('2 - Le opzioni'!$B$50),'2 - Le opzioni'!$B$44,0)</f>
        <v>0</v>
      </c>
      <c r="L326" s="21">
        <f t="shared" si="24"/>
        <v>1243.1664000000001</v>
      </c>
      <c r="M326" s="33">
        <f>1/(1+'1 - Il tuo profilo'!$B$13)^A326</f>
        <v>0.970873786407767</v>
      </c>
    </row>
    <row r="327" spans="1:18">
      <c r="A327" s="26">
        <v>2</v>
      </c>
      <c r="B327" s="26">
        <f t="shared" si="25"/>
        <v>2</v>
      </c>
      <c r="C327" s="21">
        <f>IF(A327&lt;=('2 - Le opzioni'!$B$50),'1 - Il tuo profilo'!$B$9/100*'2 - Le opzioni'!$B$8*'1 - Il tuo profilo'!$B$25,0)</f>
        <v>1243.1664000000001</v>
      </c>
      <c r="J327" s="21">
        <f>IF(A327&lt;=('2 - Le opzioni'!$B$50),MAX(0,'1 - Il tuo profilo'!$B$9-'2 - Le opzioni'!$B$51)*'2 - Le opzioni'!$B$52,0)+IF(A327=('2 - Le opzioni'!$B$50),'2 - Le opzioni'!$B$44,0)</f>
        <v>0</v>
      </c>
      <c r="L327" s="21">
        <f t="shared" si="24"/>
        <v>1243.1664000000001</v>
      </c>
      <c r="M327" s="33">
        <f>1/(1+'1 - Il tuo profilo'!$B$13)^A327</f>
        <v>0.94259590913375435</v>
      </c>
    </row>
    <row r="328" spans="1:18">
      <c r="A328" s="26">
        <v>3</v>
      </c>
      <c r="B328" s="26">
        <f t="shared" si="25"/>
        <v>3</v>
      </c>
      <c r="C328" s="21">
        <f>IF(A328&lt;=('2 - Le opzioni'!$B$50),'1 - Il tuo profilo'!$B$9/100*'2 - Le opzioni'!$B$8*'1 - Il tuo profilo'!$B$25,0)</f>
        <v>1243.1664000000001</v>
      </c>
      <c r="J328" s="21">
        <f>IF(A328&lt;=('2 - Le opzioni'!$B$50),MAX(0,'1 - Il tuo profilo'!$B$9-'2 - Le opzioni'!$B$51)*'2 - Le opzioni'!$B$52,0)+IF(A328=('2 - Le opzioni'!$B$50),'2 - Le opzioni'!$B$44,0)</f>
        <v>0</v>
      </c>
      <c r="L328" s="21">
        <f t="shared" si="24"/>
        <v>1243.1664000000001</v>
      </c>
      <c r="M328" s="33">
        <f>1/(1+'1 - Il tuo profilo'!$B$13)^A328</f>
        <v>0.91514165935315961</v>
      </c>
    </row>
    <row r="329" spans="1:18">
      <c r="A329" s="26">
        <v>4</v>
      </c>
      <c r="B329" s="26">
        <f t="shared" si="25"/>
        <v>4</v>
      </c>
      <c r="C329" s="21">
        <f>IF(A329&lt;=('2 - Le opzioni'!$B$50),'1 - Il tuo profilo'!$B$9/100*'2 - Le opzioni'!$B$8*'1 - Il tuo profilo'!$B$25,0)</f>
        <v>1243.1664000000001</v>
      </c>
      <c r="J329" s="21">
        <f>IF(A329&lt;=('2 - Le opzioni'!$B$50),MAX(0,'1 - Il tuo profilo'!$B$9-'2 - Le opzioni'!$B$51)*'2 - Le opzioni'!$B$52,0)+IF(A329=('2 - Le opzioni'!$B$50),'2 - Le opzioni'!$B$44,0)</f>
        <v>400</v>
      </c>
      <c r="L329" s="21">
        <f t="shared" si="24"/>
        <v>1643.1664000000001</v>
      </c>
      <c r="M329" s="33">
        <f>1/(1+'1 - Il tuo profilo'!$B$13)^A329</f>
        <v>0.888487047915689</v>
      </c>
    </row>
    <row r="330" spans="1:18">
      <c r="A330" s="26">
        <v>5</v>
      </c>
      <c r="B330" s="26">
        <f t="shared" si="25"/>
        <v>5</v>
      </c>
      <c r="C330" s="21">
        <f>IF(A330&lt;=('2 - Le opzioni'!$B$50),'1 - Il tuo profilo'!$B$9/100*'2 - Le opzioni'!$B$8*'1 - Il tuo profilo'!$B$25,0)</f>
        <v>0</v>
      </c>
      <c r="J330" s="21">
        <f>IF(A330&lt;=('2 - Le opzioni'!$B$50),MAX(0,'1 - Il tuo profilo'!$B$9-'2 - Le opzioni'!$B$51)*'2 - Le opzioni'!$B$52,0)+IF(A330=('2 - Le opzioni'!$B$50),'2 - Le opzioni'!$B$44,0)</f>
        <v>0</v>
      </c>
      <c r="L330" s="21">
        <f t="shared" si="24"/>
        <v>0</v>
      </c>
      <c r="M330" s="33">
        <f>1/(1+'1 - Il tuo profilo'!$B$13)^A330</f>
        <v>0.86260878438416411</v>
      </c>
    </row>
    <row r="331" spans="1:18">
      <c r="A331" s="26">
        <v>6</v>
      </c>
      <c r="B331" s="26">
        <f t="shared" si="25"/>
        <v>6</v>
      </c>
      <c r="C331" s="21">
        <f>IF(A331&lt;=('2 - Le opzioni'!$B$50),'1 - Il tuo profilo'!$B$9/100*'2 - Le opzioni'!$B$8*'1 - Il tuo profilo'!$B$25,0)</f>
        <v>0</v>
      </c>
      <c r="J331" s="21">
        <f>IF(A331&lt;=('2 - Le opzioni'!$B$50),MAX(0,'1 - Il tuo profilo'!$B$9-'2 - Le opzioni'!$B$51)*'2 - Le opzioni'!$B$52,0)+IF(A331=('2 - Le opzioni'!$B$50),'2 - Le opzioni'!$B$44,0)</f>
        <v>0</v>
      </c>
      <c r="L331" s="21">
        <f t="shared" si="24"/>
        <v>0</v>
      </c>
      <c r="M331" s="33">
        <f>1/(1+'1 - Il tuo profilo'!$B$13)^A331</f>
        <v>0.83748425668365445</v>
      </c>
    </row>
    <row r="332" spans="1:18">
      <c r="A332" s="26">
        <v>7</v>
      </c>
      <c r="B332" s="26">
        <f t="shared" si="25"/>
        <v>7</v>
      </c>
      <c r="C332" s="21">
        <f>IF(A332&lt;=('2 - Le opzioni'!$B$50),'1 - Il tuo profilo'!$B$9/100*'2 - Le opzioni'!$B$8*'1 - Il tuo profilo'!$B$25,0)</f>
        <v>0</v>
      </c>
      <c r="J332" s="21">
        <f>IF(A332&lt;=('2 - Le opzioni'!$B$50),MAX(0,'1 - Il tuo profilo'!$B$9-'2 - Le opzioni'!$B$51)*'2 - Le opzioni'!$B$52,0)+IF(A332=('2 - Le opzioni'!$B$50),'2 - Le opzioni'!$B$44,0)</f>
        <v>0</v>
      </c>
      <c r="L332" s="21">
        <f t="shared" si="24"/>
        <v>0</v>
      </c>
      <c r="M332" s="33">
        <f>1/(1+'1 - Il tuo profilo'!$B$13)^A332</f>
        <v>0.81309151134335378</v>
      </c>
    </row>
    <row r="333" spans="1:18">
      <c r="A333" s="26">
        <v>8</v>
      </c>
      <c r="B333" s="26">
        <f t="shared" si="25"/>
        <v>8</v>
      </c>
      <c r="C333" s="21">
        <f>IF(A333&lt;=('2 - Le opzioni'!$B$50),'1 - Il tuo profilo'!$B$9/100*'2 - Le opzioni'!$B$8*'1 - Il tuo profilo'!$B$25,0)</f>
        <v>0</v>
      </c>
      <c r="J333" s="21">
        <f>IF(A333&lt;=('2 - Le opzioni'!$B$50),MAX(0,'1 - Il tuo profilo'!$B$9-'2 - Le opzioni'!$B$51)*'2 - Le opzioni'!$B$52,0)+IF(A333=('2 - Le opzioni'!$B$50),'2 - Le opzioni'!$B$44,0)</f>
        <v>0</v>
      </c>
      <c r="L333" s="21">
        <f t="shared" si="24"/>
        <v>0</v>
      </c>
      <c r="M333" s="33">
        <f>1/(1+'1 - Il tuo profilo'!$B$13)^A333</f>
        <v>0.78940923431393573</v>
      </c>
    </row>
    <row r="334" spans="1:18">
      <c r="A334" s="26">
        <v>9</v>
      </c>
      <c r="B334" s="26">
        <f t="shared" si="25"/>
        <v>9</v>
      </c>
      <c r="C334" s="21">
        <f>IF(A334&lt;=('2 - Le opzioni'!$B$50),'1 - Il tuo profilo'!$B$9/100*'2 - Le opzioni'!$B$8*'1 - Il tuo profilo'!$B$25,0)</f>
        <v>0</v>
      </c>
      <c r="J334" s="21">
        <f>IF(A334&lt;=('2 - Le opzioni'!$B$50),MAX(0,'1 - Il tuo profilo'!$B$9-'2 - Le opzioni'!$B$51)*'2 - Le opzioni'!$B$52,0)+IF(A334=('2 - Le opzioni'!$B$50),'2 - Le opzioni'!$B$44,0)</f>
        <v>0</v>
      </c>
      <c r="L334" s="21">
        <f t="shared" si="24"/>
        <v>0</v>
      </c>
      <c r="M334" s="33">
        <f>1/(1+'1 - Il tuo profilo'!$B$13)^A334</f>
        <v>0.76641673234362695</v>
      </c>
    </row>
    <row r="335" spans="1:18">
      <c r="A335" s="26">
        <v>10</v>
      </c>
      <c r="B335" s="26">
        <f t="shared" si="25"/>
        <v>10</v>
      </c>
      <c r="C335" s="21">
        <f>IF(A335&lt;=('2 - Le opzioni'!$B$50),'1 - Il tuo profilo'!$B$9/100*'2 - Le opzioni'!$B$8*'1 - Il tuo profilo'!$B$25,0)</f>
        <v>0</v>
      </c>
      <c r="J335" s="21">
        <f>IF(A335&lt;=('2 - Le opzioni'!$B$50),MAX(0,'1 - Il tuo profilo'!$B$9-'2 - Le opzioni'!$B$51)*'2 - Le opzioni'!$B$52,0)+IF(A335=('2 - Le opzioni'!$B$50),'2 - Le opzioni'!$B$44,0)</f>
        <v>0</v>
      </c>
      <c r="L335" s="21">
        <f t="shared" si="24"/>
        <v>0</v>
      </c>
      <c r="M335" s="33">
        <f>1/(1+'1 - Il tuo profilo'!$B$13)^A335</f>
        <v>0.74409391489672516</v>
      </c>
    </row>
    <row r="336" spans="1:18">
      <c r="G336" s="6" t="s">
        <v>327</v>
      </c>
      <c r="H336" s="18">
        <f>'2 - Le opzioni'!$B$47</f>
        <v>300</v>
      </c>
    </row>
    <row r="337" spans="1:18" ht="32.1" customHeight="1">
      <c r="A337" s="30" t="s">
        <v>285</v>
      </c>
      <c r="B337" s="30" t="s">
        <v>286</v>
      </c>
      <c r="C337" s="30" t="s">
        <v>287</v>
      </c>
      <c r="D337" s="30" t="s">
        <v>288</v>
      </c>
      <c r="E337" s="30" t="s">
        <v>289</v>
      </c>
      <c r="F337" s="30" t="s">
        <v>290</v>
      </c>
      <c r="G337" s="30" t="s">
        <v>291</v>
      </c>
      <c r="H337" s="30" t="s">
        <v>292</v>
      </c>
      <c r="I337" s="30" t="s">
        <v>225</v>
      </c>
      <c r="J337" s="30" t="s">
        <v>293</v>
      </c>
      <c r="K337" s="30" t="s">
        <v>294</v>
      </c>
      <c r="L337" s="30" t="s">
        <v>295</v>
      </c>
      <c r="M337" s="30" t="s">
        <v>227</v>
      </c>
    </row>
    <row r="338" spans="1:18">
      <c r="A338" s="21">
        <f>L325+NPV('1 - Il tuo profilo'!$B$13,L326:L335)+E338+G338</f>
        <v>21070.773868616914</v>
      </c>
      <c r="B338" s="21">
        <f>SUM(L325:L335)+F338+H338</f>
        <v>22228.541061031734</v>
      </c>
      <c r="C338" s="26">
        <f>'2 - Le opzioni'!$B$50</f>
        <v>4</v>
      </c>
      <c r="D338" s="33">
        <f>PV('1 - Il tuo profilo'!$B$13,C338,-1)</f>
        <v>3.7170984028103682</v>
      </c>
      <c r="E338" s="21">
        <f>0</f>
        <v>0</v>
      </c>
      <c r="F338" s="21">
        <f>0</f>
        <v>0</v>
      </c>
      <c r="G338" s="21">
        <f>H336*PV('2 - Le opzioni'!$B$110,'2 - Le opzioni'!$B$49,-1,0,1)</f>
        <v>13094.407209583122</v>
      </c>
      <c r="H338" s="21">
        <f>H336*PV('2 - Le opzioni'!$B$111,'2 - Le opzioni'!$B$49,-1,0,1)</f>
        <v>13855.875461031734</v>
      </c>
      <c r="I338" s="21">
        <f>IF(C338&gt;=10,A338,A338/D338*'2 - Le opzioni'!$B$112-'1 - Il tuo profilo'!$B$33)</f>
        <v>45354.376330539002</v>
      </c>
      <c r="J338" s="21">
        <f>IF(C338&gt;=10,B338,B338*10/C338-'1 - Il tuo profilo'!$B$33)</f>
        <v>52571.352652579335</v>
      </c>
      <c r="K338" s="18">
        <f>I338/'2 - Le opzioni'!$B$112</f>
        <v>5316.916513990147</v>
      </c>
      <c r="L338" s="18">
        <f>K338/12</f>
        <v>443.0763761658456</v>
      </c>
      <c r="M338" s="31">
        <f>K338/'1 - Il tuo profilo'!$B$9</f>
        <v>0.44307637616584561</v>
      </c>
    </row>
    <row r="339" spans="1:18" ht="32.1" customHeight="1">
      <c r="A339" s="30" t="s">
        <v>296</v>
      </c>
      <c r="B339" s="30" t="s">
        <v>297</v>
      </c>
      <c r="C339" s="30" t="s">
        <v>298</v>
      </c>
      <c r="D339" s="30" t="s">
        <v>299</v>
      </c>
      <c r="E339" s="30" t="s">
        <v>300</v>
      </c>
      <c r="F339" s="30" t="s">
        <v>301</v>
      </c>
      <c r="G339" s="30" t="s">
        <v>302</v>
      </c>
      <c r="H339" s="30" t="s">
        <v>303</v>
      </c>
      <c r="I339" s="30" t="s">
        <v>304</v>
      </c>
      <c r="J339" s="30" t="s">
        <v>305</v>
      </c>
      <c r="K339" s="30" t="s">
        <v>306</v>
      </c>
      <c r="L339" s="30" t="s">
        <v>307</v>
      </c>
      <c r="M339" s="30" t="s">
        <v>308</v>
      </c>
      <c r="N339" s="30" t="s">
        <v>309</v>
      </c>
      <c r="O339" s="30" t="s">
        <v>310</v>
      </c>
      <c r="P339" s="30" t="s">
        <v>311</v>
      </c>
      <c r="Q339" s="30" t="s">
        <v>312</v>
      </c>
      <c r="R339" s="30" t="s">
        <v>313</v>
      </c>
    </row>
    <row r="340" spans="1:18">
      <c r="A340" s="21">
        <f>SUMPRODUCT(G325:G335,M325:M335)</f>
        <v>0</v>
      </c>
      <c r="B340" s="21">
        <f>SUMPRODUCT(H325:H335,M325:M335)</f>
        <v>0</v>
      </c>
      <c r="C340" s="21">
        <f>SUMPRODUCT(I325:I335,M325:M335)+G338</f>
        <v>16094.407209583122</v>
      </c>
      <c r="D340" s="21">
        <f>SUMPRODUCT(C325:C335,M325:M335)</f>
        <v>4620.9718398675177</v>
      </c>
      <c r="E340" s="21">
        <f>SUMPRODUCT(D325:D335,M325:M335)</f>
        <v>0</v>
      </c>
      <c r="F340" s="21">
        <f>SUMPRODUCT(E325:E335,M325:M335)</f>
        <v>0</v>
      </c>
      <c r="G340" s="21">
        <f>SUMPRODUCT(F325:F335,M325:M335)</f>
        <v>0</v>
      </c>
      <c r="H340" s="21">
        <f>SUMPRODUCT(J325:J335,M325:M335)</f>
        <v>355.39481916627562</v>
      </c>
      <c r="I340" s="21">
        <f>SUMPRODUCT(K325:K335,M325:M335)</f>
        <v>0</v>
      </c>
      <c r="J340" s="18">
        <f t="shared" ref="J340:R340" si="26">A340/$D338/12</f>
        <v>0</v>
      </c>
      <c r="K340" s="18">
        <f t="shared" si="26"/>
        <v>0</v>
      </c>
      <c r="L340" s="18">
        <f t="shared" si="26"/>
        <v>360.81923464403275</v>
      </c>
      <c r="M340" s="18">
        <f t="shared" si="26"/>
        <v>103.59720000000006</v>
      </c>
      <c r="N340" s="18">
        <f t="shared" si="26"/>
        <v>0</v>
      </c>
      <c r="O340" s="18">
        <f t="shared" si="26"/>
        <v>0</v>
      </c>
      <c r="P340" s="18">
        <f t="shared" si="26"/>
        <v>0</v>
      </c>
      <c r="Q340" s="18">
        <f t="shared" si="26"/>
        <v>7.9675681731027543</v>
      </c>
      <c r="R340" s="18">
        <f t="shared" si="26"/>
        <v>0</v>
      </c>
    </row>
    <row r="342" spans="1:18">
      <c r="A342" s="2" t="s">
        <v>328</v>
      </c>
    </row>
    <row r="343" spans="1:18" ht="32.1" customHeight="1">
      <c r="A343" s="30" t="s">
        <v>272</v>
      </c>
      <c r="B343" s="30" t="s">
        <v>273</v>
      </c>
      <c r="C343" s="30" t="s">
        <v>274</v>
      </c>
      <c r="D343" s="30" t="s">
        <v>275</v>
      </c>
      <c r="E343" s="30" t="s">
        <v>276</v>
      </c>
      <c r="F343" s="30" t="s">
        <v>277</v>
      </c>
      <c r="G343" s="30" t="s">
        <v>278</v>
      </c>
      <c r="H343" s="30" t="s">
        <v>279</v>
      </c>
      <c r="I343" s="30" t="s">
        <v>280</v>
      </c>
      <c r="J343" s="30" t="s">
        <v>281</v>
      </c>
      <c r="K343" s="30" t="s">
        <v>282</v>
      </c>
      <c r="L343" s="30" t="s">
        <v>283</v>
      </c>
      <c r="M343" s="30" t="s">
        <v>284</v>
      </c>
    </row>
    <row r="344" spans="1:18">
      <c r="A344" s="26">
        <v>0</v>
      </c>
      <c r="I344" s="21">
        <f>'1 - Il tuo profilo'!$B$33</f>
        <v>3000</v>
      </c>
      <c r="J344" s="21">
        <f>IF(A344=('2 - Le opzioni'!$B$50),'2 - Le opzioni'!$B$44,0)</f>
        <v>0</v>
      </c>
      <c r="L344" s="21">
        <f t="shared" ref="L344:L354" si="27">SUM(C344:K344)</f>
        <v>3000</v>
      </c>
      <c r="M344" s="33">
        <f>1/(1+'1 - Il tuo profilo'!$B$13)^A344</f>
        <v>1</v>
      </c>
    </row>
    <row r="345" spans="1:18">
      <c r="A345" s="26">
        <v>1</v>
      </c>
      <c r="B345" s="26">
        <f t="shared" ref="B345:B354" si="28">A345</f>
        <v>1</v>
      </c>
      <c r="C345" s="21">
        <f>IF(A345&lt;=('2 - Le opzioni'!$B$50),'1 - Il tuo profilo'!$B$9/100*'2 - Le opzioni'!$B$30*((1-'1 - Il tuo profilo'!$B$28)*'1 - Il tuo profilo'!$B$26+'1 - Il tuo profilo'!$B$28*'1 - Il tuo profilo'!$B$27),0)</f>
        <v>666.95760000000007</v>
      </c>
      <c r="J345" s="21">
        <f>IF(A345&lt;=('2 - Le opzioni'!$B$50),MAX(0,'1 - Il tuo profilo'!$B$9-'2 - Le opzioni'!$B$51)*'2 - Le opzioni'!$B$52,0)+IF(A345=('2 - Le opzioni'!$B$50),'2 - Le opzioni'!$B$44,0)</f>
        <v>0</v>
      </c>
      <c r="L345" s="21">
        <f t="shared" si="27"/>
        <v>666.95760000000007</v>
      </c>
      <c r="M345" s="33">
        <f>1/(1+'1 - Il tuo profilo'!$B$13)^A345</f>
        <v>0.970873786407767</v>
      </c>
    </row>
    <row r="346" spans="1:18">
      <c r="A346" s="26">
        <v>2</v>
      </c>
      <c r="B346" s="26">
        <f t="shared" si="28"/>
        <v>2</v>
      </c>
      <c r="C346" s="21">
        <f>IF(A346&lt;=('2 - Le opzioni'!$B$50),'1 - Il tuo profilo'!$B$9/100*'2 - Le opzioni'!$B$30*((1-'1 - Il tuo profilo'!$B$28)*'1 - Il tuo profilo'!$B$26+'1 - Il tuo profilo'!$B$28*'1 - Il tuo profilo'!$B$27),0)</f>
        <v>666.95760000000007</v>
      </c>
      <c r="J346" s="21">
        <f>IF(A346&lt;=('2 - Le opzioni'!$B$50),MAX(0,'1 - Il tuo profilo'!$B$9-'2 - Le opzioni'!$B$51)*'2 - Le opzioni'!$B$52,0)+IF(A346=('2 - Le opzioni'!$B$50),'2 - Le opzioni'!$B$44,0)</f>
        <v>0</v>
      </c>
      <c r="L346" s="21">
        <f t="shared" si="27"/>
        <v>666.95760000000007</v>
      </c>
      <c r="M346" s="33">
        <f>1/(1+'1 - Il tuo profilo'!$B$13)^A346</f>
        <v>0.94259590913375435</v>
      </c>
    </row>
    <row r="347" spans="1:18">
      <c r="A347" s="26">
        <v>3</v>
      </c>
      <c r="B347" s="26">
        <f t="shared" si="28"/>
        <v>3</v>
      </c>
      <c r="C347" s="21">
        <f>IF(A347&lt;=('2 - Le opzioni'!$B$50),'1 - Il tuo profilo'!$B$9/100*'2 - Le opzioni'!$B$30*((1-'1 - Il tuo profilo'!$B$28)*'1 - Il tuo profilo'!$B$26+'1 - Il tuo profilo'!$B$28*'1 - Il tuo profilo'!$B$27),0)</f>
        <v>666.95760000000007</v>
      </c>
      <c r="J347" s="21">
        <f>IF(A347&lt;=('2 - Le opzioni'!$B$50),MAX(0,'1 - Il tuo profilo'!$B$9-'2 - Le opzioni'!$B$51)*'2 - Le opzioni'!$B$52,0)+IF(A347=('2 - Le opzioni'!$B$50),'2 - Le opzioni'!$B$44,0)</f>
        <v>0</v>
      </c>
      <c r="L347" s="21">
        <f t="shared" si="27"/>
        <v>666.95760000000007</v>
      </c>
      <c r="M347" s="33">
        <f>1/(1+'1 - Il tuo profilo'!$B$13)^A347</f>
        <v>0.91514165935315961</v>
      </c>
    </row>
    <row r="348" spans="1:18">
      <c r="A348" s="26">
        <v>4</v>
      </c>
      <c r="B348" s="26">
        <f t="shared" si="28"/>
        <v>4</v>
      </c>
      <c r="C348" s="21">
        <f>IF(A348&lt;=('2 - Le opzioni'!$B$50),'1 - Il tuo profilo'!$B$9/100*'2 - Le opzioni'!$B$30*((1-'1 - Il tuo profilo'!$B$28)*'1 - Il tuo profilo'!$B$26+'1 - Il tuo profilo'!$B$28*'1 - Il tuo profilo'!$B$27),0)</f>
        <v>666.95760000000007</v>
      </c>
      <c r="J348" s="21">
        <f>IF(A348&lt;=('2 - Le opzioni'!$B$50),MAX(0,'1 - Il tuo profilo'!$B$9-'2 - Le opzioni'!$B$51)*'2 - Le opzioni'!$B$52,0)+IF(A348=('2 - Le opzioni'!$B$50),'2 - Le opzioni'!$B$44,0)</f>
        <v>400</v>
      </c>
      <c r="L348" s="21">
        <f t="shared" si="27"/>
        <v>1066.9576000000002</v>
      </c>
      <c r="M348" s="33">
        <f>1/(1+'1 - Il tuo profilo'!$B$13)^A348</f>
        <v>0.888487047915689</v>
      </c>
    </row>
    <row r="349" spans="1:18">
      <c r="A349" s="26">
        <v>5</v>
      </c>
      <c r="B349" s="26">
        <f t="shared" si="28"/>
        <v>5</v>
      </c>
      <c r="C349" s="21">
        <f>IF(A349&lt;=('2 - Le opzioni'!$B$50),'1 - Il tuo profilo'!$B$9/100*'2 - Le opzioni'!$B$30*((1-'1 - Il tuo profilo'!$B$28)*'1 - Il tuo profilo'!$B$26+'1 - Il tuo profilo'!$B$28*'1 - Il tuo profilo'!$B$27),0)</f>
        <v>0</v>
      </c>
      <c r="J349" s="21">
        <f>IF(A349&lt;=('2 - Le opzioni'!$B$50),MAX(0,'1 - Il tuo profilo'!$B$9-'2 - Le opzioni'!$B$51)*'2 - Le opzioni'!$B$52,0)+IF(A349=('2 - Le opzioni'!$B$50),'2 - Le opzioni'!$B$44,0)</f>
        <v>0</v>
      </c>
      <c r="L349" s="21">
        <f t="shared" si="27"/>
        <v>0</v>
      </c>
      <c r="M349" s="33">
        <f>1/(1+'1 - Il tuo profilo'!$B$13)^A349</f>
        <v>0.86260878438416411</v>
      </c>
    </row>
    <row r="350" spans="1:18">
      <c r="A350" s="26">
        <v>6</v>
      </c>
      <c r="B350" s="26">
        <f t="shared" si="28"/>
        <v>6</v>
      </c>
      <c r="C350" s="21">
        <f>IF(A350&lt;=('2 - Le opzioni'!$B$50),'1 - Il tuo profilo'!$B$9/100*'2 - Le opzioni'!$B$30*((1-'1 - Il tuo profilo'!$B$28)*'1 - Il tuo profilo'!$B$26+'1 - Il tuo profilo'!$B$28*'1 - Il tuo profilo'!$B$27),0)</f>
        <v>0</v>
      </c>
      <c r="J350" s="21">
        <f>IF(A350&lt;=('2 - Le opzioni'!$B$50),MAX(0,'1 - Il tuo profilo'!$B$9-'2 - Le opzioni'!$B$51)*'2 - Le opzioni'!$B$52,0)+IF(A350=('2 - Le opzioni'!$B$50),'2 - Le opzioni'!$B$44,0)</f>
        <v>0</v>
      </c>
      <c r="L350" s="21">
        <f t="shared" si="27"/>
        <v>0</v>
      </c>
      <c r="M350" s="33">
        <f>1/(1+'1 - Il tuo profilo'!$B$13)^A350</f>
        <v>0.83748425668365445</v>
      </c>
    </row>
    <row r="351" spans="1:18">
      <c r="A351" s="26">
        <v>7</v>
      </c>
      <c r="B351" s="26">
        <f t="shared" si="28"/>
        <v>7</v>
      </c>
      <c r="C351" s="21">
        <f>IF(A351&lt;=('2 - Le opzioni'!$B$50),'1 - Il tuo profilo'!$B$9/100*'2 - Le opzioni'!$B$30*((1-'1 - Il tuo profilo'!$B$28)*'1 - Il tuo profilo'!$B$26+'1 - Il tuo profilo'!$B$28*'1 - Il tuo profilo'!$B$27),0)</f>
        <v>0</v>
      </c>
      <c r="J351" s="21">
        <f>IF(A351&lt;=('2 - Le opzioni'!$B$50),MAX(0,'1 - Il tuo profilo'!$B$9-'2 - Le opzioni'!$B$51)*'2 - Le opzioni'!$B$52,0)+IF(A351=('2 - Le opzioni'!$B$50),'2 - Le opzioni'!$B$44,0)</f>
        <v>0</v>
      </c>
      <c r="L351" s="21">
        <f t="shared" si="27"/>
        <v>0</v>
      </c>
      <c r="M351" s="33">
        <f>1/(1+'1 - Il tuo profilo'!$B$13)^A351</f>
        <v>0.81309151134335378</v>
      </c>
    </row>
    <row r="352" spans="1:18">
      <c r="A352" s="26">
        <v>8</v>
      </c>
      <c r="B352" s="26">
        <f t="shared" si="28"/>
        <v>8</v>
      </c>
      <c r="C352" s="21">
        <f>IF(A352&lt;=('2 - Le opzioni'!$B$50),'1 - Il tuo profilo'!$B$9/100*'2 - Le opzioni'!$B$30*((1-'1 - Il tuo profilo'!$B$28)*'1 - Il tuo profilo'!$B$26+'1 - Il tuo profilo'!$B$28*'1 - Il tuo profilo'!$B$27),0)</f>
        <v>0</v>
      </c>
      <c r="J352" s="21">
        <f>IF(A352&lt;=('2 - Le opzioni'!$B$50),MAX(0,'1 - Il tuo profilo'!$B$9-'2 - Le opzioni'!$B$51)*'2 - Le opzioni'!$B$52,0)+IF(A352=('2 - Le opzioni'!$B$50),'2 - Le opzioni'!$B$44,0)</f>
        <v>0</v>
      </c>
      <c r="L352" s="21">
        <f t="shared" si="27"/>
        <v>0</v>
      </c>
      <c r="M352" s="33">
        <f>1/(1+'1 - Il tuo profilo'!$B$13)^A352</f>
        <v>0.78940923431393573</v>
      </c>
    </row>
    <row r="353" spans="1:18">
      <c r="A353" s="26">
        <v>9</v>
      </c>
      <c r="B353" s="26">
        <f t="shared" si="28"/>
        <v>9</v>
      </c>
      <c r="C353" s="21">
        <f>IF(A353&lt;=('2 - Le opzioni'!$B$50),'1 - Il tuo profilo'!$B$9/100*'2 - Le opzioni'!$B$30*((1-'1 - Il tuo profilo'!$B$28)*'1 - Il tuo profilo'!$B$26+'1 - Il tuo profilo'!$B$28*'1 - Il tuo profilo'!$B$27),0)</f>
        <v>0</v>
      </c>
      <c r="J353" s="21">
        <f>IF(A353&lt;=('2 - Le opzioni'!$B$50),MAX(0,'1 - Il tuo profilo'!$B$9-'2 - Le opzioni'!$B$51)*'2 - Le opzioni'!$B$52,0)+IF(A353=('2 - Le opzioni'!$B$50),'2 - Le opzioni'!$B$44,0)</f>
        <v>0</v>
      </c>
      <c r="L353" s="21">
        <f t="shared" si="27"/>
        <v>0</v>
      </c>
      <c r="M353" s="33">
        <f>1/(1+'1 - Il tuo profilo'!$B$13)^A353</f>
        <v>0.76641673234362695</v>
      </c>
    </row>
    <row r="354" spans="1:18">
      <c r="A354" s="26">
        <v>10</v>
      </c>
      <c r="B354" s="26">
        <f t="shared" si="28"/>
        <v>10</v>
      </c>
      <c r="C354" s="21">
        <f>IF(A354&lt;=('2 - Le opzioni'!$B$50),'1 - Il tuo profilo'!$B$9/100*'2 - Le opzioni'!$B$30*((1-'1 - Il tuo profilo'!$B$28)*'1 - Il tuo profilo'!$B$26+'1 - Il tuo profilo'!$B$28*'1 - Il tuo profilo'!$B$27),0)</f>
        <v>0</v>
      </c>
      <c r="J354" s="21">
        <f>IF(A354&lt;=('2 - Le opzioni'!$B$50),MAX(0,'1 - Il tuo profilo'!$B$9-'2 - Le opzioni'!$B$51)*'2 - Le opzioni'!$B$52,0)+IF(A354=('2 - Le opzioni'!$B$50),'2 - Le opzioni'!$B$44,0)</f>
        <v>0</v>
      </c>
      <c r="L354" s="21">
        <f t="shared" si="27"/>
        <v>0</v>
      </c>
      <c r="M354" s="33">
        <f>1/(1+'1 - Il tuo profilo'!$B$13)^A354</f>
        <v>0.74409391489672516</v>
      </c>
    </row>
    <row r="355" spans="1:18">
      <c r="G355" s="6" t="s">
        <v>327</v>
      </c>
      <c r="H355" s="18">
        <f>'2 - Le opzioni'!$B$48</f>
        <v>340</v>
      </c>
    </row>
    <row r="356" spans="1:18" ht="32.1" customHeight="1">
      <c r="A356" s="30" t="s">
        <v>285</v>
      </c>
      <c r="B356" s="30" t="s">
        <v>286</v>
      </c>
      <c r="C356" s="30" t="s">
        <v>287</v>
      </c>
      <c r="D356" s="30" t="s">
        <v>288</v>
      </c>
      <c r="E356" s="30" t="s">
        <v>289</v>
      </c>
      <c r="F356" s="30" t="s">
        <v>290</v>
      </c>
      <c r="G356" s="30" t="s">
        <v>291</v>
      </c>
      <c r="H356" s="30" t="s">
        <v>292</v>
      </c>
      <c r="I356" s="30" t="s">
        <v>225</v>
      </c>
      <c r="J356" s="30" t="s">
        <v>293</v>
      </c>
      <c r="K356" s="30" t="s">
        <v>294</v>
      </c>
      <c r="L356" s="30" t="s">
        <v>295</v>
      </c>
      <c r="M356" s="30" t="s">
        <v>227</v>
      </c>
    </row>
    <row r="357" spans="1:18">
      <c r="A357" s="21">
        <f>L344+NPV('1 - Il tuo profilo'!$B$13,L345:L354)+E357+G357</f>
        <v>20674.870019729387</v>
      </c>
      <c r="B357" s="21">
        <f>SUM(L344:L354)+F357+H357</f>
        <v>21771.155922502632</v>
      </c>
      <c r="C357" s="26">
        <f>'2 - Le opzioni'!$B$50</f>
        <v>4</v>
      </c>
      <c r="D357" s="33">
        <f>PV('1 - Il tuo profilo'!$B$13,C357,-1)</f>
        <v>3.7170984028103682</v>
      </c>
      <c r="E357" s="21">
        <f>0</f>
        <v>0</v>
      </c>
      <c r="F357" s="21">
        <f>0</f>
        <v>0</v>
      </c>
      <c r="G357" s="21">
        <f>H355*PV('2 - Le opzioni'!$B$110,'2 - Le opzioni'!$B$49,-1,0,1)</f>
        <v>14840.328170860872</v>
      </c>
      <c r="H357" s="21">
        <f>H355*PV('2 - Le opzioni'!$B$111,'2 - Le opzioni'!$B$49,-1,0,1)</f>
        <v>15703.325522502631</v>
      </c>
      <c r="I357" s="21">
        <f>IF(C357&gt;=10,A357,A357/D357*'2 - Le opzioni'!$B$112-'1 - Il tuo profilo'!$B$33)</f>
        <v>44445.834298851732</v>
      </c>
      <c r="J357" s="21">
        <f>IF(C357&gt;=10,B357,B357*10/C357-'1 - Il tuo profilo'!$B$33)</f>
        <v>51427.889806256579</v>
      </c>
      <c r="K357" s="18">
        <f>I357/'2 - Le opzioni'!$B$112</f>
        <v>5210.4076713433678</v>
      </c>
      <c r="L357" s="18">
        <f>K357/12</f>
        <v>434.20063927861401</v>
      </c>
      <c r="M357" s="31">
        <f>K357/'1 - Il tuo profilo'!$B$9</f>
        <v>0.43420063927861396</v>
      </c>
    </row>
    <row r="358" spans="1:18" ht="32.1" customHeight="1">
      <c r="A358" s="30" t="s">
        <v>296</v>
      </c>
      <c r="B358" s="30" t="s">
        <v>297</v>
      </c>
      <c r="C358" s="30" t="s">
        <v>298</v>
      </c>
      <c r="D358" s="30" t="s">
        <v>299</v>
      </c>
      <c r="E358" s="30" t="s">
        <v>300</v>
      </c>
      <c r="F358" s="30" t="s">
        <v>301</v>
      </c>
      <c r="G358" s="30" t="s">
        <v>302</v>
      </c>
      <c r="H358" s="30" t="s">
        <v>303</v>
      </c>
      <c r="I358" s="30" t="s">
        <v>304</v>
      </c>
      <c r="J358" s="30" t="s">
        <v>305</v>
      </c>
      <c r="K358" s="30" t="s">
        <v>306</v>
      </c>
      <c r="L358" s="30" t="s">
        <v>307</v>
      </c>
      <c r="M358" s="30" t="s">
        <v>308</v>
      </c>
      <c r="N358" s="30" t="s">
        <v>309</v>
      </c>
      <c r="O358" s="30" t="s">
        <v>310</v>
      </c>
      <c r="P358" s="30" t="s">
        <v>311</v>
      </c>
      <c r="Q358" s="30" t="s">
        <v>312</v>
      </c>
      <c r="R358" s="30" t="s">
        <v>313</v>
      </c>
    </row>
    <row r="359" spans="1:18">
      <c r="A359" s="21">
        <f>SUMPRODUCT(G344:G354,M344:M354)</f>
        <v>0</v>
      </c>
      <c r="B359" s="21">
        <f>SUMPRODUCT(H344:H354,M344:M354)</f>
        <v>0</v>
      </c>
      <c r="C359" s="21">
        <f>SUMPRODUCT(I344:I354,M344:M354)+G357</f>
        <v>17840.32817086087</v>
      </c>
      <c r="D359" s="21">
        <f>SUMPRODUCT(C344:C354,M344:M354)</f>
        <v>2479.1470297022379</v>
      </c>
      <c r="E359" s="21">
        <f>SUMPRODUCT(D344:D354,M344:M354)</f>
        <v>0</v>
      </c>
      <c r="F359" s="21">
        <f>SUMPRODUCT(E344:E354,M344:M354)</f>
        <v>0</v>
      </c>
      <c r="G359" s="21">
        <f>SUMPRODUCT(F344:F354,M344:M354)</f>
        <v>0</v>
      </c>
      <c r="H359" s="21">
        <f>SUMPRODUCT(J344:J354,M344:M354)</f>
        <v>355.39481916627562</v>
      </c>
      <c r="I359" s="21">
        <f>SUMPRODUCT(K344:K354,M344:M354)</f>
        <v>0</v>
      </c>
      <c r="J359" s="18">
        <f t="shared" ref="J359:R359" si="29">A359/$D357/12</f>
        <v>0</v>
      </c>
      <c r="K359" s="18">
        <f t="shared" si="29"/>
        <v>0</v>
      </c>
      <c r="L359" s="18">
        <f t="shared" si="29"/>
        <v>399.96089775680093</v>
      </c>
      <c r="M359" s="18">
        <f t="shared" si="29"/>
        <v>55.579800000000034</v>
      </c>
      <c r="N359" s="18">
        <f t="shared" si="29"/>
        <v>0</v>
      </c>
      <c r="O359" s="18">
        <f t="shared" si="29"/>
        <v>0</v>
      </c>
      <c r="P359" s="18">
        <f t="shared" si="29"/>
        <v>0</v>
      </c>
      <c r="Q359" s="18">
        <f t="shared" si="29"/>
        <v>7.9675681731027543</v>
      </c>
      <c r="R359" s="18">
        <f t="shared" si="29"/>
        <v>0</v>
      </c>
    </row>
    <row r="361" spans="1:18">
      <c r="A361" s="2" t="s">
        <v>329</v>
      </c>
    </row>
    <row r="362" spans="1:18" ht="32.1" customHeight="1">
      <c r="A362" s="30" t="s">
        <v>272</v>
      </c>
      <c r="B362" s="30" t="s">
        <v>273</v>
      </c>
      <c r="C362" s="30" t="s">
        <v>274</v>
      </c>
      <c r="D362" s="30" t="s">
        <v>275</v>
      </c>
      <c r="E362" s="30" t="s">
        <v>276</v>
      </c>
      <c r="F362" s="30" t="s">
        <v>277</v>
      </c>
      <c r="G362" s="30" t="s">
        <v>278</v>
      </c>
      <c r="H362" s="30" t="s">
        <v>279</v>
      </c>
      <c r="I362" s="30" t="s">
        <v>280</v>
      </c>
      <c r="J362" s="30" t="s">
        <v>281</v>
      </c>
      <c r="K362" s="30" t="s">
        <v>282</v>
      </c>
      <c r="L362" s="30" t="s">
        <v>283</v>
      </c>
      <c r="M362" s="30" t="s">
        <v>284</v>
      </c>
    </row>
    <row r="363" spans="1:18">
      <c r="A363" s="26">
        <v>0</v>
      </c>
      <c r="L363" s="21">
        <f t="shared" ref="L363:L373" si="30">SUM(C363:K363)</f>
        <v>0</v>
      </c>
      <c r="M363" s="33">
        <f>1/(1+'1 - Il tuo profilo'!$B$13)^A363</f>
        <v>1</v>
      </c>
    </row>
    <row r="364" spans="1:18">
      <c r="A364" s="26">
        <v>1</v>
      </c>
      <c r="B364" s="26">
        <f>'2 - Le opzioni'!$B$17+1</f>
        <v>14</v>
      </c>
      <c r="C364" s="21">
        <f>'1 - Il tuo profilo'!$B$9/100*'2 - Le opzioni'!$B$19*'1 - Il tuo profilo'!$B$25</f>
        <v>1442.961</v>
      </c>
      <c r="D364" s="21">
        <f>'1 - Il tuo profilo'!$B$29</f>
        <v>409.2</v>
      </c>
      <c r="E364" s="21">
        <f>'2 - Le opzioni'!$B$18*'1 - Il tuo profilo'!$B$30+IF(AND($B364&gt;=4,MOD($B364,2)=0),'1 - Il tuo profilo'!$B$31,0)</f>
        <v>210.60000000000002</v>
      </c>
      <c r="F364" s="21">
        <f>IF($B364&lt;=3,'2 - Le opzioni'!$B$56,IF($B364&lt;=7,'2 - Le opzioni'!$B$57,IF($B364&lt;=12,'2 - Le opzioni'!$B$58,'2 - Le opzioni'!$B$59+'2 - Le opzioni'!$B$60*($B364-13))))*1*(0.5+0.5*'1 - Il tuo profilo'!$B$9/'2 - Le opzioni'!$B$63)</f>
        <v>1400</v>
      </c>
      <c r="L364" s="21">
        <f t="shared" si="30"/>
        <v>3462.761</v>
      </c>
      <c r="M364" s="33">
        <f>1/(1+'1 - Il tuo profilo'!$B$13)^A364</f>
        <v>0.970873786407767</v>
      </c>
    </row>
    <row r="365" spans="1:18">
      <c r="A365" s="26">
        <v>2</v>
      </c>
      <c r="B365" s="26">
        <f>'2 - Le opzioni'!$B$17+2</f>
        <v>15</v>
      </c>
      <c r="C365" s="21">
        <f>'1 - Il tuo profilo'!$B$9/100*'2 - Le opzioni'!$B$19*'1 - Il tuo profilo'!$B$25</f>
        <v>1442.961</v>
      </c>
      <c r="D365" s="21">
        <f>'1 - Il tuo profilo'!$B$29</f>
        <v>409.2</v>
      </c>
      <c r="E365" s="21">
        <f>'2 - Le opzioni'!$B$18*'1 - Il tuo profilo'!$B$30+IF(AND($B365&gt;=4,MOD($B365,2)=0),'1 - Il tuo profilo'!$B$31,0)</f>
        <v>131.58000000000001</v>
      </c>
      <c r="F365" s="21">
        <f>IF($B365&lt;=3,'2 - Le opzioni'!$B$56,IF($B365&lt;=7,'2 - Le opzioni'!$B$57,IF($B365&lt;=12,'2 - Le opzioni'!$B$58,'2 - Le opzioni'!$B$59+'2 - Le opzioni'!$B$60*($B365-13))))*1*(0.5+0.5*'1 - Il tuo profilo'!$B$9/'2 - Le opzioni'!$B$63)</f>
        <v>1500</v>
      </c>
      <c r="L365" s="21">
        <f t="shared" si="30"/>
        <v>3483.741</v>
      </c>
      <c r="M365" s="33">
        <f>1/(1+'1 - Il tuo profilo'!$B$13)^A365</f>
        <v>0.94259590913375435</v>
      </c>
    </row>
    <row r="366" spans="1:18">
      <c r="A366" s="26">
        <v>3</v>
      </c>
      <c r="B366" s="26">
        <f>'2 - Le opzioni'!$B$17+3</f>
        <v>16</v>
      </c>
      <c r="C366" s="21">
        <f>'1 - Il tuo profilo'!$B$9/100*'2 - Le opzioni'!$B$19*'1 - Il tuo profilo'!$B$25</f>
        <v>1442.961</v>
      </c>
      <c r="D366" s="21">
        <f>'1 - Il tuo profilo'!$B$29</f>
        <v>409.2</v>
      </c>
      <c r="E366" s="21">
        <f>'2 - Le opzioni'!$B$18*'1 - Il tuo profilo'!$B$30+IF(AND($B366&gt;=4,MOD($B366,2)=0),'1 - Il tuo profilo'!$B$31,0)</f>
        <v>210.60000000000002</v>
      </c>
      <c r="F366" s="21">
        <f>IF($B366&lt;=3,'2 - Le opzioni'!$B$56,IF($B366&lt;=7,'2 - Le opzioni'!$B$57,IF($B366&lt;=12,'2 - Le opzioni'!$B$58,'2 - Le opzioni'!$B$59+'2 - Le opzioni'!$B$60*($B366-13))))*1*(0.5+0.5*'1 - Il tuo profilo'!$B$9/'2 - Le opzioni'!$B$63)</f>
        <v>1600</v>
      </c>
      <c r="L366" s="21">
        <f t="shared" si="30"/>
        <v>3662.761</v>
      </c>
      <c r="M366" s="33">
        <f>1/(1+'1 - Il tuo profilo'!$B$13)^A366</f>
        <v>0.91514165935315961</v>
      </c>
    </row>
    <row r="367" spans="1:18">
      <c r="A367" s="26">
        <v>4</v>
      </c>
      <c r="B367" s="26">
        <f>'2 - Le opzioni'!$B$17+4</f>
        <v>17</v>
      </c>
      <c r="C367" s="21">
        <f>'1 - Il tuo profilo'!$B$9/100*'2 - Le opzioni'!$B$19*'1 - Il tuo profilo'!$B$25</f>
        <v>1442.961</v>
      </c>
      <c r="D367" s="21">
        <f>'1 - Il tuo profilo'!$B$29</f>
        <v>409.2</v>
      </c>
      <c r="E367" s="21">
        <f>'2 - Le opzioni'!$B$18*'1 - Il tuo profilo'!$B$30+IF(AND($B367&gt;=4,MOD($B367,2)=0),'1 - Il tuo profilo'!$B$31,0)</f>
        <v>131.58000000000001</v>
      </c>
      <c r="F367" s="21">
        <f>IF($B367&lt;=3,'2 - Le opzioni'!$B$56,IF($B367&lt;=7,'2 - Le opzioni'!$B$57,IF($B367&lt;=12,'2 - Le opzioni'!$B$58,'2 - Le opzioni'!$B$59+'2 - Le opzioni'!$B$60*($B367-13))))*1*(0.5+0.5*'1 - Il tuo profilo'!$B$9/'2 - Le opzioni'!$B$63)</f>
        <v>1700</v>
      </c>
      <c r="L367" s="21">
        <f t="shared" si="30"/>
        <v>3683.741</v>
      </c>
      <c r="M367" s="33">
        <f>1/(1+'1 - Il tuo profilo'!$B$13)^A367</f>
        <v>0.888487047915689</v>
      </c>
    </row>
    <row r="368" spans="1:18">
      <c r="A368" s="26">
        <v>5</v>
      </c>
      <c r="B368" s="26">
        <f>'2 - Le opzioni'!$B$17+5</f>
        <v>18</v>
      </c>
      <c r="C368" s="21">
        <f>'1 - Il tuo profilo'!$B$9/100*'2 - Le opzioni'!$B$19*'1 - Il tuo profilo'!$B$25</f>
        <v>1442.961</v>
      </c>
      <c r="D368" s="21">
        <f>'1 - Il tuo profilo'!$B$29</f>
        <v>409.2</v>
      </c>
      <c r="E368" s="21">
        <f>'2 - Le opzioni'!$B$18*'1 - Il tuo profilo'!$B$30+IF(AND($B368&gt;=4,MOD($B368,2)=0),'1 - Il tuo profilo'!$B$31,0)</f>
        <v>210.60000000000002</v>
      </c>
      <c r="F368" s="21">
        <f>IF($B368&lt;=3,'2 - Le opzioni'!$B$56,IF($B368&lt;=7,'2 - Le opzioni'!$B$57,IF($B368&lt;=12,'2 - Le opzioni'!$B$58,'2 - Le opzioni'!$B$59+'2 - Le opzioni'!$B$60*($B368-13))))*1*(0.5+0.5*'1 - Il tuo profilo'!$B$9/'2 - Le opzioni'!$B$63)</f>
        <v>1800</v>
      </c>
      <c r="L368" s="21">
        <f t="shared" si="30"/>
        <v>3862.761</v>
      </c>
      <c r="M368" s="33">
        <f>1/(1+'1 - Il tuo profilo'!$B$13)^A368</f>
        <v>0.86260878438416411</v>
      </c>
    </row>
    <row r="369" spans="1:18">
      <c r="A369" s="26">
        <v>6</v>
      </c>
      <c r="B369" s="26">
        <f>'2 - Le opzioni'!$B$17+6</f>
        <v>19</v>
      </c>
      <c r="C369" s="21">
        <f>'1 - Il tuo profilo'!$B$9/100*'2 - Le opzioni'!$B$19*'1 - Il tuo profilo'!$B$25</f>
        <v>1442.961</v>
      </c>
      <c r="D369" s="21">
        <f>'1 - Il tuo profilo'!$B$29</f>
        <v>409.2</v>
      </c>
      <c r="E369" s="21">
        <f>'2 - Le opzioni'!$B$18*'1 - Il tuo profilo'!$B$30+IF(AND($B369&gt;=4,MOD($B369,2)=0),'1 - Il tuo profilo'!$B$31,0)</f>
        <v>131.58000000000001</v>
      </c>
      <c r="F369" s="21">
        <f>IF($B369&lt;=3,'2 - Le opzioni'!$B$56,IF($B369&lt;=7,'2 - Le opzioni'!$B$57,IF($B369&lt;=12,'2 - Le opzioni'!$B$58,'2 - Le opzioni'!$B$59+'2 - Le opzioni'!$B$60*($B369-13))))*1*(0.5+0.5*'1 - Il tuo profilo'!$B$9/'2 - Le opzioni'!$B$63)</f>
        <v>1900</v>
      </c>
      <c r="L369" s="21">
        <f t="shared" si="30"/>
        <v>3883.741</v>
      </c>
      <c r="M369" s="33">
        <f>1/(1+'1 - Il tuo profilo'!$B$13)^A369</f>
        <v>0.83748425668365445</v>
      </c>
    </row>
    <row r="370" spans="1:18">
      <c r="A370" s="26">
        <v>7</v>
      </c>
      <c r="B370" s="26">
        <f>'2 - Le opzioni'!$B$17+7</f>
        <v>20</v>
      </c>
      <c r="C370" s="21">
        <f>'1 - Il tuo profilo'!$B$9/100*'2 - Le opzioni'!$B$19*'1 - Il tuo profilo'!$B$25</f>
        <v>1442.961</v>
      </c>
      <c r="D370" s="21">
        <f>'1 - Il tuo profilo'!$B$29</f>
        <v>409.2</v>
      </c>
      <c r="E370" s="21">
        <f>'2 - Le opzioni'!$B$18*'1 - Il tuo profilo'!$B$30+IF(AND($B370&gt;=4,MOD($B370,2)=0),'1 - Il tuo profilo'!$B$31,0)</f>
        <v>210.60000000000002</v>
      </c>
      <c r="F370" s="21">
        <f>IF($B370&lt;=3,'2 - Le opzioni'!$B$56,IF($B370&lt;=7,'2 - Le opzioni'!$B$57,IF($B370&lt;=12,'2 - Le opzioni'!$B$58,'2 - Le opzioni'!$B$59+'2 - Le opzioni'!$B$60*($B370-13))))*1*(0.5+0.5*'1 - Il tuo profilo'!$B$9/'2 - Le opzioni'!$B$63)</f>
        <v>2000</v>
      </c>
      <c r="L370" s="21">
        <f t="shared" si="30"/>
        <v>4062.761</v>
      </c>
      <c r="M370" s="33">
        <f>1/(1+'1 - Il tuo profilo'!$B$13)^A370</f>
        <v>0.81309151134335378</v>
      </c>
    </row>
    <row r="371" spans="1:18">
      <c r="A371" s="26">
        <v>8</v>
      </c>
      <c r="B371" s="26">
        <f>'2 - Le opzioni'!$B$17+8</f>
        <v>21</v>
      </c>
      <c r="C371" s="21">
        <f>'1 - Il tuo profilo'!$B$9/100*'2 - Le opzioni'!$B$19*'1 - Il tuo profilo'!$B$25</f>
        <v>1442.961</v>
      </c>
      <c r="D371" s="21">
        <f>'1 - Il tuo profilo'!$B$29</f>
        <v>409.2</v>
      </c>
      <c r="E371" s="21">
        <f>'2 - Le opzioni'!$B$18*'1 - Il tuo profilo'!$B$30+IF(AND($B371&gt;=4,MOD($B371,2)=0),'1 - Il tuo profilo'!$B$31,0)</f>
        <v>131.58000000000001</v>
      </c>
      <c r="F371" s="21">
        <f>IF($B371&lt;=3,'2 - Le opzioni'!$B$56,IF($B371&lt;=7,'2 - Le opzioni'!$B$57,IF($B371&lt;=12,'2 - Le opzioni'!$B$58,'2 - Le opzioni'!$B$59+'2 - Le opzioni'!$B$60*($B371-13))))*1*(0.5+0.5*'1 - Il tuo profilo'!$B$9/'2 - Le opzioni'!$B$63)</f>
        <v>2100</v>
      </c>
      <c r="L371" s="21">
        <f t="shared" si="30"/>
        <v>4083.741</v>
      </c>
      <c r="M371" s="33">
        <f>1/(1+'1 - Il tuo profilo'!$B$13)^A371</f>
        <v>0.78940923431393573</v>
      </c>
    </row>
    <row r="372" spans="1:18">
      <c r="A372" s="26">
        <v>9</v>
      </c>
      <c r="B372" s="26">
        <f>'2 - Le opzioni'!$B$17+9</f>
        <v>22</v>
      </c>
      <c r="C372" s="21">
        <f>'1 - Il tuo profilo'!$B$9/100*'2 - Le opzioni'!$B$19*'1 - Il tuo profilo'!$B$25</f>
        <v>1442.961</v>
      </c>
      <c r="D372" s="21">
        <f>'1 - Il tuo profilo'!$B$29</f>
        <v>409.2</v>
      </c>
      <c r="E372" s="21">
        <f>'2 - Le opzioni'!$B$18*'1 - Il tuo profilo'!$B$30+IF(AND($B372&gt;=4,MOD($B372,2)=0),'1 - Il tuo profilo'!$B$31,0)</f>
        <v>210.60000000000002</v>
      </c>
      <c r="F372" s="21">
        <f>IF($B372&lt;=3,'2 - Le opzioni'!$B$56,IF($B372&lt;=7,'2 - Le opzioni'!$B$57,IF($B372&lt;=12,'2 - Le opzioni'!$B$58,'2 - Le opzioni'!$B$59+'2 - Le opzioni'!$B$60*($B372-13))))*1*(0.5+0.5*'1 - Il tuo profilo'!$B$9/'2 - Le opzioni'!$B$63)</f>
        <v>2200</v>
      </c>
      <c r="L372" s="21">
        <f t="shared" si="30"/>
        <v>4262.7610000000004</v>
      </c>
      <c r="M372" s="33">
        <f>1/(1+'1 - Il tuo profilo'!$B$13)^A372</f>
        <v>0.76641673234362695</v>
      </c>
    </row>
    <row r="373" spans="1:18">
      <c r="A373" s="26">
        <v>10</v>
      </c>
      <c r="B373" s="26">
        <f>'2 - Le opzioni'!$B$17+10</f>
        <v>23</v>
      </c>
      <c r="C373" s="21">
        <f>'1 - Il tuo profilo'!$B$9/100*'2 - Le opzioni'!$B$19*'1 - Il tuo profilo'!$B$25</f>
        <v>1442.961</v>
      </c>
      <c r="D373" s="21">
        <f>'1 - Il tuo profilo'!$B$29</f>
        <v>409.2</v>
      </c>
      <c r="E373" s="21">
        <f>'2 - Le opzioni'!$B$18*'1 - Il tuo profilo'!$B$30+IF(AND($B373&gt;=4,MOD($B373,2)=0),'1 - Il tuo profilo'!$B$31,0)</f>
        <v>131.58000000000001</v>
      </c>
      <c r="F373" s="21">
        <f>IF($B373&lt;=3,'2 - Le opzioni'!$B$56,IF($B373&lt;=7,'2 - Le opzioni'!$B$57,IF($B373&lt;=12,'2 - Le opzioni'!$B$58,'2 - Le opzioni'!$B$59+'2 - Le opzioni'!$B$60*($B373-13))))*1*(0.5+0.5*'1 - Il tuo profilo'!$B$9/'2 - Le opzioni'!$B$63)</f>
        <v>2300</v>
      </c>
      <c r="G373" s="21">
        <f>-(IF(('2 - Le opzioni'!$B$17+10)&lt;18,'1 - Il tuo profilo'!$B$33*(1-(('2 - Le opzioni'!$B$17+10)-'2 - Le opzioni'!$B$17)/6),MAX(0,500*(23-('2 - Le opzioni'!$B$17+10))/5)))</f>
        <v>0</v>
      </c>
      <c r="L373" s="21">
        <f t="shared" si="30"/>
        <v>4283.741</v>
      </c>
      <c r="M373" s="33">
        <f>1/(1+'1 - Il tuo profilo'!$B$13)^A373</f>
        <v>0.74409391489672516</v>
      </c>
    </row>
    <row r="375" spans="1:18" ht="32.1" customHeight="1">
      <c r="A375" s="30" t="s">
        <v>285</v>
      </c>
      <c r="B375" s="30" t="s">
        <v>286</v>
      </c>
      <c r="C375" s="30" t="s">
        <v>287</v>
      </c>
      <c r="D375" s="30" t="s">
        <v>288</v>
      </c>
      <c r="E375" s="30" t="s">
        <v>289</v>
      </c>
      <c r="F375" s="30" t="s">
        <v>290</v>
      </c>
      <c r="G375" s="30" t="s">
        <v>291</v>
      </c>
      <c r="H375" s="30" t="s">
        <v>292</v>
      </c>
      <c r="I375" s="30" t="s">
        <v>225</v>
      </c>
      <c r="J375" s="30" t="s">
        <v>293</v>
      </c>
      <c r="K375" s="30" t="s">
        <v>294</v>
      </c>
      <c r="L375" s="30" t="s">
        <v>295</v>
      </c>
      <c r="M375" s="30" t="s">
        <v>227</v>
      </c>
    </row>
    <row r="376" spans="1:18">
      <c r="A376" s="21">
        <f>L363+NPV('1 - Il tuo profilo'!$B$13,L364:L373)+E376+G376</f>
        <v>32836.885064558817</v>
      </c>
      <c r="B376" s="21">
        <f>SUM(L363:L373)+F376+H376</f>
        <v>38732.51</v>
      </c>
      <c r="C376" s="26">
        <f>10</f>
        <v>10</v>
      </c>
      <c r="D376" s="33">
        <f>PV('1 - Il tuo profilo'!$B$13,C376,-1)</f>
        <v>8.5302028367758282</v>
      </c>
      <c r="E376" s="21">
        <f>0</f>
        <v>0</v>
      </c>
      <c r="F376" s="21">
        <f>0</f>
        <v>0</v>
      </c>
      <c r="G376" s="21">
        <f>0</f>
        <v>0</v>
      </c>
      <c r="H376" s="21">
        <f>0</f>
        <v>0</v>
      </c>
      <c r="I376" s="21">
        <f>IF(C376&gt;=10,A376,A376/D376*'2 - Le opzioni'!$B$112-'1 - Il tuo profilo'!$B$33)</f>
        <v>32836.885064558817</v>
      </c>
      <c r="J376" s="21">
        <f>IF(C376&gt;=10,B376,B376*10/C376-'1 - Il tuo profilo'!$B$33)</f>
        <v>38732.51</v>
      </c>
      <c r="K376" s="18">
        <f>I376/'2 - Le opzioni'!$B$112</f>
        <v>3849.4846714536293</v>
      </c>
      <c r="L376" s="18">
        <f>K376/12</f>
        <v>320.79038928780244</v>
      </c>
      <c r="M376" s="31">
        <f>K376/'1 - Il tuo profilo'!$B$9</f>
        <v>0.32079038928780246</v>
      </c>
    </row>
    <row r="377" spans="1:18" ht="32.1" customHeight="1">
      <c r="A377" s="30" t="s">
        <v>296</v>
      </c>
      <c r="B377" s="30" t="s">
        <v>297</v>
      </c>
      <c r="C377" s="30" t="s">
        <v>298</v>
      </c>
      <c r="D377" s="30" t="s">
        <v>299</v>
      </c>
      <c r="E377" s="30" t="s">
        <v>300</v>
      </c>
      <c r="F377" s="30" t="s">
        <v>301</v>
      </c>
      <c r="G377" s="30" t="s">
        <v>302</v>
      </c>
      <c r="H377" s="30" t="s">
        <v>303</v>
      </c>
      <c r="I377" s="30" t="s">
        <v>304</v>
      </c>
      <c r="J377" s="30" t="s">
        <v>305</v>
      </c>
      <c r="K377" s="30" t="s">
        <v>306</v>
      </c>
      <c r="L377" s="30" t="s">
        <v>307</v>
      </c>
      <c r="M377" s="30" t="s">
        <v>308</v>
      </c>
      <c r="N377" s="30" t="s">
        <v>309</v>
      </c>
      <c r="O377" s="30" t="s">
        <v>310</v>
      </c>
      <c r="P377" s="30" t="s">
        <v>311</v>
      </c>
      <c r="Q377" s="30" t="s">
        <v>312</v>
      </c>
      <c r="R377" s="30" t="s">
        <v>313</v>
      </c>
    </row>
    <row r="378" spans="1:18">
      <c r="A378" s="21">
        <f>SUMPRODUCT(G363:G373,M363:M373)</f>
        <v>0</v>
      </c>
      <c r="B378" s="21">
        <f>SUMPRODUCT(H363:H373,M363:M373)</f>
        <v>0</v>
      </c>
      <c r="C378" s="21">
        <f>SUMPRODUCT(I363:I373,M363:M373)+G376</f>
        <v>0</v>
      </c>
      <c r="D378" s="21">
        <f>SUMPRODUCT(C363:C373,M363:M373)</f>
        <v>12308.750015556889</v>
      </c>
      <c r="E378" s="21">
        <f>SUMPRODUCT(D363:D373,M363:M373)</f>
        <v>3490.5590008086697</v>
      </c>
      <c r="F378" s="21">
        <f>SUMPRODUCT(E363:E373,M363:M373)</f>
        <v>1464.413117345174</v>
      </c>
      <c r="G378" s="21">
        <f>SUMPRODUCT(F363:F373,M363:M373)</f>
        <v>15573.16293084809</v>
      </c>
      <c r="H378" s="21">
        <f>SUMPRODUCT(J363:J373,M363:M373)</f>
        <v>0</v>
      </c>
      <c r="I378" s="21">
        <f>SUMPRODUCT(K363:K373,M363:M373)</f>
        <v>0</v>
      </c>
      <c r="J378" s="18">
        <f t="shared" ref="J378:R378" si="31">A378/$D376/12</f>
        <v>0</v>
      </c>
      <c r="K378" s="18">
        <f t="shared" si="31"/>
        <v>0</v>
      </c>
      <c r="L378" s="18">
        <f t="shared" si="31"/>
        <v>0</v>
      </c>
      <c r="M378" s="18">
        <f t="shared" si="31"/>
        <v>120.24675000000002</v>
      </c>
      <c r="N378" s="18">
        <f t="shared" si="31"/>
        <v>34.100000000000009</v>
      </c>
      <c r="O378" s="18">
        <f t="shared" si="31"/>
        <v>14.306157635467983</v>
      </c>
      <c r="P378" s="18">
        <f t="shared" si="31"/>
        <v>152.13748165233449</v>
      </c>
      <c r="Q378" s="18">
        <f t="shared" si="31"/>
        <v>0</v>
      </c>
      <c r="R378" s="18">
        <f t="shared" si="31"/>
        <v>0</v>
      </c>
    </row>
    <row r="380" spans="1:18">
      <c r="A380" s="2" t="s">
        <v>330</v>
      </c>
    </row>
    <row r="381" spans="1:18" ht="32.1" customHeight="1">
      <c r="A381" s="30" t="s">
        <v>272</v>
      </c>
      <c r="B381" s="30" t="s">
        <v>273</v>
      </c>
      <c r="C381" s="30" t="s">
        <v>274</v>
      </c>
      <c r="D381" s="30" t="s">
        <v>275</v>
      </c>
      <c r="E381" s="30" t="s">
        <v>276</v>
      </c>
      <c r="F381" s="30" t="s">
        <v>277</v>
      </c>
      <c r="G381" s="30" t="s">
        <v>278</v>
      </c>
      <c r="H381" s="30" t="s">
        <v>279</v>
      </c>
      <c r="I381" s="30" t="s">
        <v>280</v>
      </c>
      <c r="J381" s="30" t="s">
        <v>281</v>
      </c>
      <c r="K381" s="30" t="s">
        <v>282</v>
      </c>
      <c r="L381" s="30" t="s">
        <v>283</v>
      </c>
      <c r="M381" s="30" t="s">
        <v>284</v>
      </c>
    </row>
    <row r="382" spans="1:18">
      <c r="A382" s="26">
        <v>0</v>
      </c>
      <c r="L382" s="21">
        <f t="shared" ref="L382:L392" si="32">SUM(C382:K382)</f>
        <v>0</v>
      </c>
      <c r="M382" s="33">
        <f>1/(1+'1 - Il tuo profilo'!$B$13)^A382</f>
        <v>1</v>
      </c>
    </row>
    <row r="383" spans="1:18">
      <c r="A383" s="26">
        <v>1</v>
      </c>
      <c r="B383" s="26">
        <f>'2 - Le opzioni'!$B$17+1</f>
        <v>14</v>
      </c>
      <c r="C383" s="21">
        <f>'1 - Il tuo profilo'!$B$9/100*'2 - Le opzioni'!$B$19*'1 - Il tuo profilo'!$B$25</f>
        <v>1442.961</v>
      </c>
      <c r="D383" s="21">
        <f>'1 - Il tuo profilo'!$B$29</f>
        <v>409.2</v>
      </c>
      <c r="E383" s="21">
        <f>'2 - Le opzioni'!$B$18*'1 - Il tuo profilo'!$B$30+IF(AND($B383&gt;=4,MOD($B383,2)=0),'1 - Il tuo profilo'!$B$31,0)</f>
        <v>210.60000000000002</v>
      </c>
      <c r="F383" s="21">
        <f>IF($B383&lt;=3,'2 - Le opzioni'!$B$56,IF($B383&lt;=7,'2 - Le opzioni'!$B$57,IF($B383&lt;=12,'2 - Le opzioni'!$B$58,'2 - Le opzioni'!$B$59+'2 - Le opzioni'!$B$60*($B383-13))))*1*(0.5+0.5*'1 - Il tuo profilo'!$B$9/'2 - Le opzioni'!$B$63)</f>
        <v>1400</v>
      </c>
      <c r="L383" s="21">
        <f t="shared" si="32"/>
        <v>3462.761</v>
      </c>
      <c r="M383" s="33">
        <f>1/(1+'1 - Il tuo profilo'!$B$13)^A383</f>
        <v>0.970873786407767</v>
      </c>
    </row>
    <row r="384" spans="1:18">
      <c r="A384" s="26">
        <v>2</v>
      </c>
      <c r="B384" s="26">
        <f>'2 - Le opzioni'!$B$17+2</f>
        <v>15</v>
      </c>
      <c r="C384" s="21">
        <f>'1 - Il tuo profilo'!$B$9/100*'2 - Le opzioni'!$B$19*'1 - Il tuo profilo'!$B$25</f>
        <v>1442.961</v>
      </c>
      <c r="D384" s="21">
        <f>'1 - Il tuo profilo'!$B$29</f>
        <v>409.2</v>
      </c>
      <c r="E384" s="21">
        <f>'2 - Le opzioni'!$B$18*'1 - Il tuo profilo'!$B$30+IF(AND($B384&gt;=4,MOD($B384,2)=0),'1 - Il tuo profilo'!$B$31,0)</f>
        <v>131.58000000000001</v>
      </c>
      <c r="F384" s="21">
        <f>IF($B384&lt;=3,'2 - Le opzioni'!$B$56,IF($B384&lt;=7,'2 - Le opzioni'!$B$57,IF($B384&lt;=12,'2 - Le opzioni'!$B$58,'2 - Le opzioni'!$B$59+'2 - Le opzioni'!$B$60*($B384-13))))*1*(0.5+0.5*'1 - Il tuo profilo'!$B$9/'2 - Le opzioni'!$B$63)</f>
        <v>1500</v>
      </c>
      <c r="L384" s="21">
        <f t="shared" si="32"/>
        <v>3483.741</v>
      </c>
      <c r="M384" s="33">
        <f>1/(1+'1 - Il tuo profilo'!$B$13)^A384</f>
        <v>0.94259590913375435</v>
      </c>
    </row>
    <row r="385" spans="1:18">
      <c r="A385" s="26">
        <v>3</v>
      </c>
      <c r="B385" s="26">
        <f>'2 - Le opzioni'!$B$17+3</f>
        <v>16</v>
      </c>
      <c r="C385" s="21">
        <f>'1 - Il tuo profilo'!$B$9/100*'2 - Le opzioni'!$B$19*'1 - Il tuo profilo'!$B$25</f>
        <v>1442.961</v>
      </c>
      <c r="D385" s="21">
        <f>'1 - Il tuo profilo'!$B$29</f>
        <v>409.2</v>
      </c>
      <c r="E385" s="21">
        <f>'2 - Le opzioni'!$B$18*'1 - Il tuo profilo'!$B$30+IF(AND($B385&gt;=4,MOD($B385,2)=0),'1 - Il tuo profilo'!$B$31,0)</f>
        <v>210.60000000000002</v>
      </c>
      <c r="F385" s="21">
        <f>IF($B385&lt;=3,'2 - Le opzioni'!$B$56,IF($B385&lt;=7,'2 - Le opzioni'!$B$57,IF($B385&lt;=12,'2 - Le opzioni'!$B$58,'2 - Le opzioni'!$B$59+'2 - Le opzioni'!$B$60*($B385-13))))*1*(0.5+0.5*'1 - Il tuo profilo'!$B$9/'2 - Le opzioni'!$B$63)</f>
        <v>1600</v>
      </c>
      <c r="L385" s="21">
        <f t="shared" si="32"/>
        <v>3662.761</v>
      </c>
      <c r="M385" s="33">
        <f>1/(1+'1 - Il tuo profilo'!$B$13)^A385</f>
        <v>0.91514165935315961</v>
      </c>
    </row>
    <row r="386" spans="1:18">
      <c r="A386" s="26">
        <v>4</v>
      </c>
      <c r="B386" s="26">
        <f>'2 - Le opzioni'!$B$17+4</f>
        <v>17</v>
      </c>
      <c r="C386" s="21">
        <f>'1 - Il tuo profilo'!$B$9/100*'2 - Le opzioni'!$B$19*'1 - Il tuo profilo'!$B$25</f>
        <v>1442.961</v>
      </c>
      <c r="D386" s="21">
        <f>'1 - Il tuo profilo'!$B$29</f>
        <v>409.2</v>
      </c>
      <c r="E386" s="21">
        <f>'2 - Le opzioni'!$B$18*'1 - Il tuo profilo'!$B$30+IF(AND($B386&gt;=4,MOD($B386,2)=0),'1 - Il tuo profilo'!$B$31,0)</f>
        <v>131.58000000000001</v>
      </c>
      <c r="F386" s="21">
        <f>IF($B386&lt;=3,'2 - Le opzioni'!$B$56,IF($B386&lt;=7,'2 - Le opzioni'!$B$57,IF($B386&lt;=12,'2 - Le opzioni'!$B$58,'2 - Le opzioni'!$B$59+'2 - Le opzioni'!$B$60*($B386-13))))*1*(0.5+0.5*'1 - Il tuo profilo'!$B$9/'2 - Le opzioni'!$B$63)</f>
        <v>1700</v>
      </c>
      <c r="L386" s="21">
        <f t="shared" si="32"/>
        <v>3683.741</v>
      </c>
      <c r="M386" s="33">
        <f>1/(1+'1 - Il tuo profilo'!$B$13)^A386</f>
        <v>0.888487047915689</v>
      </c>
    </row>
    <row r="387" spans="1:18">
      <c r="A387" s="26">
        <v>5</v>
      </c>
      <c r="B387" s="26">
        <f>'2 - Le opzioni'!$B$17+5</f>
        <v>18</v>
      </c>
      <c r="C387" s="21">
        <f>'1 - Il tuo profilo'!$B$9/100*'2 - Le opzioni'!$B$19*'1 - Il tuo profilo'!$B$25</f>
        <v>1442.961</v>
      </c>
      <c r="D387" s="21">
        <f>'1 - Il tuo profilo'!$B$29</f>
        <v>409.2</v>
      </c>
      <c r="E387" s="21">
        <f>'2 - Le opzioni'!$B$18*'1 - Il tuo profilo'!$B$30+IF(AND($B387&gt;=4,MOD($B387,2)=0),'1 - Il tuo profilo'!$B$31,0)</f>
        <v>210.60000000000002</v>
      </c>
      <c r="F387" s="21">
        <f>IF($B387&lt;=3,'2 - Le opzioni'!$B$56,IF($B387&lt;=7,'2 - Le opzioni'!$B$57,IF($B387&lt;=12,'2 - Le opzioni'!$B$58,'2 - Le opzioni'!$B$59+'2 - Le opzioni'!$B$60*($B387-13))))*1*(0.5+0.5*'1 - Il tuo profilo'!$B$9/'2 - Le opzioni'!$B$63)</f>
        <v>1800</v>
      </c>
      <c r="G387" s="21">
        <f>-(IF(('2 - Le opzioni'!$B$17+5)&lt;18,'1 - Il tuo profilo'!$B$33*(1-(('2 - Le opzioni'!$B$17+5)-'2 - Le opzioni'!$B$17)/6),MAX(0,500*(23-('2 - Le opzioni'!$B$17+5))/5)))+'2 - Le opzioni'!$B$13</f>
        <v>12040</v>
      </c>
      <c r="L387" s="21">
        <f t="shared" si="32"/>
        <v>15902.761</v>
      </c>
      <c r="M387" s="33">
        <f>1/(1+'1 - Il tuo profilo'!$B$13)^A387</f>
        <v>0.86260878438416411</v>
      </c>
    </row>
    <row r="388" spans="1:18">
      <c r="A388" s="26">
        <v>6</v>
      </c>
      <c r="B388" s="26">
        <f>'2 - Le opzioni'!$B$11+1</f>
        <v>5</v>
      </c>
      <c r="C388" s="21">
        <f>'1 - Il tuo profilo'!$B$9/100*'2 - Le opzioni'!$B$8*'1 - Il tuo profilo'!$B$25</f>
        <v>1243.1664000000001</v>
      </c>
      <c r="D388" s="21">
        <f>'1 - Il tuo profilo'!$B$29</f>
        <v>409.2</v>
      </c>
      <c r="E388" s="21">
        <f>'2 - Le opzioni'!$B$7*'1 - Il tuo profilo'!$B$30+IF(AND($B388&gt;=4,MOD($B388,2)=0),'1 - Il tuo profilo'!$B$31,0)</f>
        <v>180.6</v>
      </c>
      <c r="F388" s="21">
        <f>IF($B388&lt;=3,'2 - Le opzioni'!$B$56,IF($B388&lt;=7,'2 - Le opzioni'!$B$57,IF($B388&lt;=12,'2 - Le opzioni'!$B$58,'2 - Le opzioni'!$B$59+'2 - Le opzioni'!$B$60*($B388-13))))*1*(0.5+0.5*'1 - Il tuo profilo'!$B$9/'2 - Le opzioni'!$B$63)</f>
        <v>600</v>
      </c>
      <c r="L388" s="21">
        <f t="shared" si="32"/>
        <v>2432.9664000000002</v>
      </c>
      <c r="M388" s="33">
        <f>1/(1+'1 - Il tuo profilo'!$B$13)^A388</f>
        <v>0.83748425668365445</v>
      </c>
    </row>
    <row r="389" spans="1:18">
      <c r="A389" s="26">
        <v>7</v>
      </c>
      <c r="B389" s="26">
        <f>'2 - Le opzioni'!$B$11+2</f>
        <v>6</v>
      </c>
      <c r="C389" s="21">
        <f>'1 - Il tuo profilo'!$B$9/100*'2 - Le opzioni'!$B$8*'1 - Il tuo profilo'!$B$25</f>
        <v>1243.1664000000001</v>
      </c>
      <c r="D389" s="21">
        <f>'1 - Il tuo profilo'!$B$29</f>
        <v>409.2</v>
      </c>
      <c r="E389" s="21">
        <f>'2 - Le opzioni'!$B$7*'1 - Il tuo profilo'!$B$30+IF(AND($B389&gt;=4,MOD($B389,2)=0),'1 - Il tuo profilo'!$B$31,0)</f>
        <v>259.62</v>
      </c>
      <c r="F389" s="21">
        <f>IF($B389&lt;=3,'2 - Le opzioni'!$B$56,IF($B389&lt;=7,'2 - Le opzioni'!$B$57,IF($B389&lt;=12,'2 - Le opzioni'!$B$58,'2 - Le opzioni'!$B$59+'2 - Le opzioni'!$B$60*($B389-13))))*1*(0.5+0.5*'1 - Il tuo profilo'!$B$9/'2 - Le opzioni'!$B$63)</f>
        <v>600</v>
      </c>
      <c r="L389" s="21">
        <f t="shared" si="32"/>
        <v>2511.9864000000002</v>
      </c>
      <c r="M389" s="33">
        <f>1/(1+'1 - Il tuo profilo'!$B$13)^A389</f>
        <v>0.81309151134335378</v>
      </c>
    </row>
    <row r="390" spans="1:18">
      <c r="A390" s="26">
        <v>8</v>
      </c>
      <c r="B390" s="26">
        <f>'2 - Le opzioni'!$B$11+3</f>
        <v>7</v>
      </c>
      <c r="C390" s="21">
        <f>'1 - Il tuo profilo'!$B$9/100*'2 - Le opzioni'!$B$8*'1 - Il tuo profilo'!$B$25</f>
        <v>1243.1664000000001</v>
      </c>
      <c r="D390" s="21">
        <f>'1 - Il tuo profilo'!$B$29</f>
        <v>409.2</v>
      </c>
      <c r="E390" s="21">
        <f>'2 - Le opzioni'!$B$7*'1 - Il tuo profilo'!$B$30+IF(AND($B390&gt;=4,MOD($B390,2)=0),'1 - Il tuo profilo'!$B$31,0)</f>
        <v>180.6</v>
      </c>
      <c r="F390" s="21">
        <f>IF($B390&lt;=3,'2 - Le opzioni'!$B$56,IF($B390&lt;=7,'2 - Le opzioni'!$B$57,IF($B390&lt;=12,'2 - Le opzioni'!$B$58,'2 - Le opzioni'!$B$59+'2 - Le opzioni'!$B$60*($B390-13))))*1*(0.5+0.5*'1 - Il tuo profilo'!$B$9/'2 - Le opzioni'!$B$63)</f>
        <v>600</v>
      </c>
      <c r="L390" s="21">
        <f t="shared" si="32"/>
        <v>2432.9664000000002</v>
      </c>
      <c r="M390" s="33">
        <f>1/(1+'1 - Il tuo profilo'!$B$13)^A390</f>
        <v>0.78940923431393573</v>
      </c>
    </row>
    <row r="391" spans="1:18">
      <c r="A391" s="26">
        <v>9</v>
      </c>
      <c r="B391" s="26">
        <f>'2 - Le opzioni'!$B$11+4</f>
        <v>8</v>
      </c>
      <c r="C391" s="21">
        <f>'1 - Il tuo profilo'!$B$9/100*'2 - Le opzioni'!$B$8*'1 - Il tuo profilo'!$B$25</f>
        <v>1243.1664000000001</v>
      </c>
      <c r="D391" s="21">
        <f>'1 - Il tuo profilo'!$B$29</f>
        <v>409.2</v>
      </c>
      <c r="E391" s="21">
        <f>'2 - Le opzioni'!$B$7*'1 - Il tuo profilo'!$B$30+IF(AND($B391&gt;=4,MOD($B391,2)=0),'1 - Il tuo profilo'!$B$31,0)</f>
        <v>259.62</v>
      </c>
      <c r="F391" s="21">
        <f>IF($B391&lt;=3,'2 - Le opzioni'!$B$56,IF($B391&lt;=7,'2 - Le opzioni'!$B$57,IF($B391&lt;=12,'2 - Le opzioni'!$B$58,'2 - Le opzioni'!$B$59+'2 - Le opzioni'!$B$60*($B391-13))))*1*(0.5+0.5*'1 - Il tuo profilo'!$B$9/'2 - Le opzioni'!$B$63)</f>
        <v>900</v>
      </c>
      <c r="L391" s="21">
        <f t="shared" si="32"/>
        <v>2811.9864000000002</v>
      </c>
      <c r="M391" s="33">
        <f>1/(1+'1 - Il tuo profilo'!$B$13)^A391</f>
        <v>0.76641673234362695</v>
      </c>
    </row>
    <row r="392" spans="1:18">
      <c r="A392" s="26">
        <v>10</v>
      </c>
      <c r="B392" s="26">
        <f>'2 - Le opzioni'!$B$11+5</f>
        <v>9</v>
      </c>
      <c r="C392" s="21">
        <f>'1 - Il tuo profilo'!$B$9/100*'2 - Le opzioni'!$B$8*'1 - Il tuo profilo'!$B$25</f>
        <v>1243.1664000000001</v>
      </c>
      <c r="D392" s="21">
        <f>'1 - Il tuo profilo'!$B$29</f>
        <v>409.2</v>
      </c>
      <c r="E392" s="21">
        <f>'2 - Le opzioni'!$B$7*'1 - Il tuo profilo'!$B$30+IF(AND($B392&gt;=4,MOD($B392,2)=0),'1 - Il tuo profilo'!$B$31,0)</f>
        <v>180.6</v>
      </c>
      <c r="F392" s="21">
        <f>IF($B392&lt;=3,'2 - Le opzioni'!$B$56,IF($B392&lt;=7,'2 - Le opzioni'!$B$57,IF($B392&lt;=12,'2 - Le opzioni'!$B$58,'2 - Le opzioni'!$B$59+'2 - Le opzioni'!$B$60*($B392-13))))*1*(0.5+0.5*'1 - Il tuo profilo'!$B$9/'2 - Le opzioni'!$B$63)</f>
        <v>900</v>
      </c>
      <c r="G392" s="21">
        <f>-('2 - Le opzioni'!$B$6*IF('2 - Le opzioni'!$B$11+5&gt;=MAX('2 - Le opzioni'!$B$67:$K$67),0,INDEX('2 - Le opzioni'!$B$68:$K$68,MATCH('2 - Le opzioni'!$B$11+5,'2 - Le opzioni'!$B$67:$K$67,1))+(INDEX('2 - Le opzioni'!$B$68:$K$68,MATCH('2 - Le opzioni'!$B$11+5,'2 - Le opzioni'!$B$67:$K$67,1)+1)-INDEX('2 - Le opzioni'!$B$68:$K$68,MATCH('2 - Le opzioni'!$B$11+5,'2 - Le opzioni'!$B$67:$K$67,1)))*('2 - Le opzioni'!$B$11+5-INDEX('2 - Le opzioni'!$B$67:$K$67,MATCH('2 - Le opzioni'!$B$11+5,'2 - Le opzioni'!$B$67:$K$67,1)))/(INDEX('2 - Le opzioni'!$B$67:$K$67,MATCH('2 - Le opzioni'!$B$11+5,'2 - Le opzioni'!$B$67:$K$67,1)+1)-INDEX('2 - Le opzioni'!$B$67:$K$67,MATCH('2 - Le opzioni'!$B$11+5,'2 - Le opzioni'!$B$67:$K$67,1)))))</f>
        <v>-5415.0000000000009</v>
      </c>
      <c r="L392" s="21">
        <f t="shared" si="32"/>
        <v>-2682.0336000000007</v>
      </c>
      <c r="M392" s="33">
        <f>1/(1+'1 - Il tuo profilo'!$B$13)^A392</f>
        <v>0.74409391489672516</v>
      </c>
    </row>
    <row r="394" spans="1:18" ht="32.1" customHeight="1">
      <c r="A394" s="30" t="s">
        <v>285</v>
      </c>
      <c r="B394" s="30" t="s">
        <v>286</v>
      </c>
      <c r="C394" s="30" t="s">
        <v>287</v>
      </c>
      <c r="D394" s="30" t="s">
        <v>288</v>
      </c>
      <c r="E394" s="30" t="s">
        <v>289</v>
      </c>
      <c r="F394" s="30" t="s">
        <v>290</v>
      </c>
      <c r="G394" s="30" t="s">
        <v>291</v>
      </c>
      <c r="H394" s="30" t="s">
        <v>292</v>
      </c>
      <c r="I394" s="30" t="s">
        <v>225</v>
      </c>
      <c r="J394" s="30" t="s">
        <v>293</v>
      </c>
      <c r="K394" s="30" t="s">
        <v>294</v>
      </c>
      <c r="L394" s="30" t="s">
        <v>295</v>
      </c>
      <c r="M394" s="30" t="s">
        <v>227</v>
      </c>
    </row>
    <row r="395" spans="1:18">
      <c r="A395" s="21">
        <f>L382+NPV('1 - Il tuo profilo'!$B$13,L383:L392)+E395+G395</f>
        <v>33148.547144068551</v>
      </c>
      <c r="B395" s="21">
        <f>SUM(L382:L392)+F395+H395</f>
        <v>37703.636999999995</v>
      </c>
      <c r="C395" s="26">
        <f>10</f>
        <v>10</v>
      </c>
      <c r="D395" s="33">
        <f>PV('1 - Il tuo profilo'!$B$13,C395,-1)</f>
        <v>8.5302028367758282</v>
      </c>
      <c r="E395" s="21">
        <f>0</f>
        <v>0</v>
      </c>
      <c r="F395" s="21">
        <f>0</f>
        <v>0</v>
      </c>
      <c r="G395" s="21">
        <f>0</f>
        <v>0</v>
      </c>
      <c r="H395" s="21">
        <f>0</f>
        <v>0</v>
      </c>
      <c r="I395" s="21">
        <f>IF(C395&gt;=10,A395,A395/D395*'2 - Le opzioni'!$B$112-'1 - Il tuo profilo'!$B$33)</f>
        <v>33148.547144068551</v>
      </c>
      <c r="J395" s="21">
        <f>IF(C395&gt;=10,B395,B395*10/C395-'1 - Il tuo profilo'!$B$33)</f>
        <v>37703.636999999995</v>
      </c>
      <c r="K395" s="18">
        <f>I395/'2 - Le opzioni'!$B$112</f>
        <v>3886.0209749241731</v>
      </c>
      <c r="L395" s="18">
        <f>K395/12</f>
        <v>323.83508124368109</v>
      </c>
      <c r="M395" s="31">
        <f>K395/'1 - Il tuo profilo'!$B$9</f>
        <v>0.3238350812436811</v>
      </c>
    </row>
    <row r="396" spans="1:18" ht="32.1" customHeight="1">
      <c r="A396" s="30" t="s">
        <v>296</v>
      </c>
      <c r="B396" s="30" t="s">
        <v>297</v>
      </c>
      <c r="C396" s="30" t="s">
        <v>298</v>
      </c>
      <c r="D396" s="30" t="s">
        <v>299</v>
      </c>
      <c r="E396" s="30" t="s">
        <v>300</v>
      </c>
      <c r="F396" s="30" t="s">
        <v>301</v>
      </c>
      <c r="G396" s="30" t="s">
        <v>302</v>
      </c>
      <c r="H396" s="30" t="s">
        <v>303</v>
      </c>
      <c r="I396" s="30" t="s">
        <v>304</v>
      </c>
      <c r="J396" s="30" t="s">
        <v>305</v>
      </c>
      <c r="K396" s="30" t="s">
        <v>306</v>
      </c>
      <c r="L396" s="30" t="s">
        <v>307</v>
      </c>
      <c r="M396" s="30" t="s">
        <v>308</v>
      </c>
      <c r="N396" s="30" t="s">
        <v>309</v>
      </c>
      <c r="O396" s="30" t="s">
        <v>310</v>
      </c>
      <c r="P396" s="30" t="s">
        <v>311</v>
      </c>
      <c r="Q396" s="30" t="s">
        <v>312</v>
      </c>
      <c r="R396" s="30" t="s">
        <v>313</v>
      </c>
    </row>
    <row r="397" spans="1:18">
      <c r="A397" s="21">
        <f>SUMPRODUCT(G382:G392,M382:M392)</f>
        <v>6356.5412148195674</v>
      </c>
      <c r="B397" s="21">
        <f>SUMPRODUCT(H382:H392,M382:M392)</f>
        <v>0</v>
      </c>
      <c r="C397" s="21">
        <f>SUMPRODUCT(I382:I392,M382:M392)+G395</f>
        <v>0</v>
      </c>
      <c r="D397" s="21">
        <f>SUMPRODUCT(C382:C392,M382:M392)</f>
        <v>11519.462317447054</v>
      </c>
      <c r="E397" s="21">
        <f>SUMPRODUCT(D382:D392,M382:M392)</f>
        <v>3490.5590008086697</v>
      </c>
      <c r="F397" s="21">
        <f>SUMPRODUCT(E382:E392,M382:M392)</f>
        <v>1658.0664140876495</v>
      </c>
      <c r="G397" s="21">
        <f>SUMPRODUCT(F382:F392,M382:M392)</f>
        <v>10123.91819690561</v>
      </c>
      <c r="H397" s="21">
        <f>SUMPRODUCT(J382:J392,M382:M392)</f>
        <v>0</v>
      </c>
      <c r="I397" s="21">
        <f>SUMPRODUCT(K382:K392,M382:M392)</f>
        <v>0</v>
      </c>
      <c r="J397" s="18">
        <f t="shared" ref="J397:R397" si="33">A397/$D395/12</f>
        <v>62.098378905822877</v>
      </c>
      <c r="K397" s="18">
        <f t="shared" si="33"/>
        <v>0</v>
      </c>
      <c r="L397" s="18">
        <f t="shared" si="33"/>
        <v>0</v>
      </c>
      <c r="M397" s="18">
        <f t="shared" si="33"/>
        <v>112.53603360778034</v>
      </c>
      <c r="N397" s="18">
        <f t="shared" si="33"/>
        <v>34.100000000000009</v>
      </c>
      <c r="O397" s="18">
        <f t="shared" si="33"/>
        <v>16.197997142374625</v>
      </c>
      <c r="P397" s="18">
        <f t="shared" si="33"/>
        <v>98.902671587703239</v>
      </c>
      <c r="Q397" s="18">
        <f t="shared" si="33"/>
        <v>0</v>
      </c>
      <c r="R397" s="18">
        <f t="shared" si="33"/>
        <v>0</v>
      </c>
    </row>
    <row r="399" spans="1:18">
      <c r="A399" s="2" t="s">
        <v>331</v>
      </c>
    </row>
    <row r="400" spans="1:18" ht="32.1" customHeight="1">
      <c r="A400" s="30" t="s">
        <v>272</v>
      </c>
      <c r="B400" s="30" t="s">
        <v>273</v>
      </c>
      <c r="C400" s="30" t="s">
        <v>274</v>
      </c>
      <c r="D400" s="30" t="s">
        <v>275</v>
      </c>
      <c r="E400" s="30" t="s">
        <v>276</v>
      </c>
      <c r="F400" s="30" t="s">
        <v>277</v>
      </c>
      <c r="G400" s="30" t="s">
        <v>278</v>
      </c>
      <c r="H400" s="30" t="s">
        <v>279</v>
      </c>
      <c r="I400" s="30" t="s">
        <v>280</v>
      </c>
      <c r="J400" s="30" t="s">
        <v>281</v>
      </c>
      <c r="K400" s="30" t="s">
        <v>282</v>
      </c>
      <c r="L400" s="30" t="s">
        <v>283</v>
      </c>
      <c r="M400" s="30" t="s">
        <v>284</v>
      </c>
    </row>
    <row r="401" spans="1:18">
      <c r="A401" s="26">
        <v>0</v>
      </c>
      <c r="G401" s="21">
        <f>-'1 - Il tuo profilo'!$B$33</f>
        <v>-3000</v>
      </c>
      <c r="L401" s="21">
        <f t="shared" ref="L401:L411" si="34">SUM(C401:K401)</f>
        <v>-3000</v>
      </c>
      <c r="M401" s="33">
        <f>1/(1+'1 - Il tuo profilo'!$B$13)^A401</f>
        <v>1</v>
      </c>
    </row>
    <row r="402" spans="1:18">
      <c r="A402" s="26">
        <v>1</v>
      </c>
      <c r="K402" s="21">
        <f>IF(A402&lt;=(10),'5 - Senza auto'!$C$17+'5 - Senza auto'!$C$18*'5 - Senza auto'!$B$12+'5 - Senza auto'!$C$19*'5 - Senza auto'!$B$13+'5 - Senza auto'!$C$20,0)</f>
        <v>2406</v>
      </c>
      <c r="L402" s="21">
        <f t="shared" si="34"/>
        <v>2406</v>
      </c>
      <c r="M402" s="33">
        <f>1/(1+'1 - Il tuo profilo'!$B$13)^A402</f>
        <v>0.970873786407767</v>
      </c>
    </row>
    <row r="403" spans="1:18">
      <c r="A403" s="26">
        <v>2</v>
      </c>
      <c r="K403" s="21">
        <f>IF(A403&lt;=(10),'5 - Senza auto'!$C$17+'5 - Senza auto'!$C$18*'5 - Senza auto'!$B$12+'5 - Senza auto'!$C$19*'5 - Senza auto'!$B$13+'5 - Senza auto'!$C$20,0)</f>
        <v>2406</v>
      </c>
      <c r="L403" s="21">
        <f t="shared" si="34"/>
        <v>2406</v>
      </c>
      <c r="M403" s="33">
        <f>1/(1+'1 - Il tuo profilo'!$B$13)^A403</f>
        <v>0.94259590913375435</v>
      </c>
    </row>
    <row r="404" spans="1:18">
      <c r="A404" s="26">
        <v>3</v>
      </c>
      <c r="K404" s="21">
        <f>IF(A404&lt;=(10),'5 - Senza auto'!$C$17+'5 - Senza auto'!$C$18*'5 - Senza auto'!$B$12+'5 - Senza auto'!$C$19*'5 - Senza auto'!$B$13+'5 - Senza auto'!$C$20,0)</f>
        <v>2406</v>
      </c>
      <c r="L404" s="21">
        <f t="shared" si="34"/>
        <v>2406</v>
      </c>
      <c r="M404" s="33">
        <f>1/(1+'1 - Il tuo profilo'!$B$13)^A404</f>
        <v>0.91514165935315961</v>
      </c>
    </row>
    <row r="405" spans="1:18">
      <c r="A405" s="26">
        <v>4</v>
      </c>
      <c r="K405" s="21">
        <f>IF(A405&lt;=(10),'5 - Senza auto'!$C$17+'5 - Senza auto'!$C$18*'5 - Senza auto'!$B$12+'5 - Senza auto'!$C$19*'5 - Senza auto'!$B$13+'5 - Senza auto'!$C$20,0)</f>
        <v>2406</v>
      </c>
      <c r="L405" s="21">
        <f t="shared" si="34"/>
        <v>2406</v>
      </c>
      <c r="M405" s="33">
        <f>1/(1+'1 - Il tuo profilo'!$B$13)^A405</f>
        <v>0.888487047915689</v>
      </c>
    </row>
    <row r="406" spans="1:18">
      <c r="A406" s="26">
        <v>5</v>
      </c>
      <c r="K406" s="21">
        <f>IF(A406&lt;=(10),'5 - Senza auto'!$C$17+'5 - Senza auto'!$C$18*'5 - Senza auto'!$B$12+'5 - Senza auto'!$C$19*'5 - Senza auto'!$B$13+'5 - Senza auto'!$C$20,0)</f>
        <v>2406</v>
      </c>
      <c r="L406" s="21">
        <f t="shared" si="34"/>
        <v>2406</v>
      </c>
      <c r="M406" s="33">
        <f>1/(1+'1 - Il tuo profilo'!$B$13)^A406</f>
        <v>0.86260878438416411</v>
      </c>
    </row>
    <row r="407" spans="1:18">
      <c r="A407" s="26">
        <v>6</v>
      </c>
      <c r="K407" s="21">
        <f>IF(A407&lt;=(10),'5 - Senza auto'!$C$17+'5 - Senza auto'!$C$18*'5 - Senza auto'!$B$12+'5 - Senza auto'!$C$19*'5 - Senza auto'!$B$13+'5 - Senza auto'!$C$20,0)</f>
        <v>2406</v>
      </c>
      <c r="L407" s="21">
        <f t="shared" si="34"/>
        <v>2406</v>
      </c>
      <c r="M407" s="33">
        <f>1/(1+'1 - Il tuo profilo'!$B$13)^A407</f>
        <v>0.83748425668365445</v>
      </c>
    </row>
    <row r="408" spans="1:18">
      <c r="A408" s="26">
        <v>7</v>
      </c>
      <c r="K408" s="21">
        <f>IF(A408&lt;=(10),'5 - Senza auto'!$C$17+'5 - Senza auto'!$C$18*'5 - Senza auto'!$B$12+'5 - Senza auto'!$C$19*'5 - Senza auto'!$B$13+'5 - Senza auto'!$C$20,0)</f>
        <v>2406</v>
      </c>
      <c r="L408" s="21">
        <f t="shared" si="34"/>
        <v>2406</v>
      </c>
      <c r="M408" s="33">
        <f>1/(1+'1 - Il tuo profilo'!$B$13)^A408</f>
        <v>0.81309151134335378</v>
      </c>
    </row>
    <row r="409" spans="1:18">
      <c r="A409" s="26">
        <v>8</v>
      </c>
      <c r="K409" s="21">
        <f>IF(A409&lt;=(10),'5 - Senza auto'!$C$17+'5 - Senza auto'!$C$18*'5 - Senza auto'!$B$12+'5 - Senza auto'!$C$19*'5 - Senza auto'!$B$13+'5 - Senza auto'!$C$20,0)</f>
        <v>2406</v>
      </c>
      <c r="L409" s="21">
        <f t="shared" si="34"/>
        <v>2406</v>
      </c>
      <c r="M409" s="33">
        <f>1/(1+'1 - Il tuo profilo'!$B$13)^A409</f>
        <v>0.78940923431393573</v>
      </c>
    </row>
    <row r="410" spans="1:18">
      <c r="A410" s="26">
        <v>9</v>
      </c>
      <c r="K410" s="21">
        <f>IF(A410&lt;=(10),'5 - Senza auto'!$C$17+'5 - Senza auto'!$C$18*'5 - Senza auto'!$B$12+'5 - Senza auto'!$C$19*'5 - Senza auto'!$B$13+'5 - Senza auto'!$C$20,0)</f>
        <v>2406</v>
      </c>
      <c r="L410" s="21">
        <f t="shared" si="34"/>
        <v>2406</v>
      </c>
      <c r="M410" s="33">
        <f>1/(1+'1 - Il tuo profilo'!$B$13)^A410</f>
        <v>0.76641673234362695</v>
      </c>
    </row>
    <row r="411" spans="1:18">
      <c r="A411" s="26">
        <v>10</v>
      </c>
      <c r="K411" s="21">
        <f>IF(A411&lt;=(10),'5 - Senza auto'!$C$17+'5 - Senza auto'!$C$18*'5 - Senza auto'!$B$12+'5 - Senza auto'!$C$19*'5 - Senza auto'!$B$13+'5 - Senza auto'!$C$20,0)</f>
        <v>2406</v>
      </c>
      <c r="L411" s="21">
        <f t="shared" si="34"/>
        <v>2406</v>
      </c>
      <c r="M411" s="33">
        <f>1/(1+'1 - Il tuo profilo'!$B$13)^A411</f>
        <v>0.74409391489672516</v>
      </c>
    </row>
    <row r="413" spans="1:18" ht="32.1" customHeight="1">
      <c r="A413" s="30" t="s">
        <v>285</v>
      </c>
      <c r="B413" s="30" t="s">
        <v>286</v>
      </c>
      <c r="C413" s="30" t="s">
        <v>287</v>
      </c>
      <c r="D413" s="30" t="s">
        <v>288</v>
      </c>
      <c r="E413" s="30" t="s">
        <v>289</v>
      </c>
      <c r="F413" s="30" t="s">
        <v>290</v>
      </c>
      <c r="G413" s="30" t="s">
        <v>291</v>
      </c>
      <c r="H413" s="30" t="s">
        <v>292</v>
      </c>
      <c r="I413" s="30" t="s">
        <v>225</v>
      </c>
      <c r="J413" s="30" t="s">
        <v>293</v>
      </c>
      <c r="K413" s="30" t="s">
        <v>294</v>
      </c>
      <c r="L413" s="30" t="s">
        <v>295</v>
      </c>
      <c r="M413" s="30" t="s">
        <v>227</v>
      </c>
    </row>
    <row r="414" spans="1:18">
      <c r="A414" s="21">
        <f>L401+NPV('1 - Il tuo profilo'!$B$13,L402:L411)+E414+G414</f>
        <v>17523.668025282645</v>
      </c>
      <c r="B414" s="21">
        <f>SUM(L401:L411)+F414+H414</f>
        <v>21060</v>
      </c>
      <c r="C414" s="26">
        <f>10</f>
        <v>10</v>
      </c>
      <c r="D414" s="33">
        <f>PV('1 - Il tuo profilo'!$B$13,C414,-1)</f>
        <v>8.5302028367758282</v>
      </c>
      <c r="E414" s="21">
        <f>0</f>
        <v>0</v>
      </c>
      <c r="F414" s="21">
        <f>0</f>
        <v>0</v>
      </c>
      <c r="G414" s="21">
        <f>0</f>
        <v>0</v>
      </c>
      <c r="H414" s="21">
        <f>0</f>
        <v>0</v>
      </c>
      <c r="I414" s="21">
        <f>IF(C414&gt;=10,A414,A414/D414*'2 - Le opzioni'!$B$112-'1 - Il tuo profilo'!$B$33)</f>
        <v>17523.668025282645</v>
      </c>
      <c r="J414" s="21">
        <f>IF(C414&gt;=10,B414,B414*10/C414-'1 - Il tuo profilo'!$B$33)</f>
        <v>21060</v>
      </c>
      <c r="K414" s="18">
        <f>I414/'2 - Le opzioni'!$B$112</f>
        <v>2054.3084801845212</v>
      </c>
      <c r="L414" s="18">
        <f>K414/12</f>
        <v>171.19237334871011</v>
      </c>
      <c r="M414" s="31">
        <f>K414/'1 - Il tuo profilo'!$B$9</f>
        <v>0.1711923733487101</v>
      </c>
    </row>
    <row r="415" spans="1:18" ht="32.1" customHeight="1">
      <c r="A415" s="30" t="s">
        <v>296</v>
      </c>
      <c r="B415" s="30" t="s">
        <v>297</v>
      </c>
      <c r="C415" s="30" t="s">
        <v>298</v>
      </c>
      <c r="D415" s="30" t="s">
        <v>299</v>
      </c>
      <c r="E415" s="30" t="s">
        <v>300</v>
      </c>
      <c r="F415" s="30" t="s">
        <v>301</v>
      </c>
      <c r="G415" s="30" t="s">
        <v>302</v>
      </c>
      <c r="H415" s="30" t="s">
        <v>303</v>
      </c>
      <c r="I415" s="30" t="s">
        <v>304</v>
      </c>
      <c r="J415" s="30" t="s">
        <v>305</v>
      </c>
      <c r="K415" s="30" t="s">
        <v>306</v>
      </c>
      <c r="L415" s="30" t="s">
        <v>307</v>
      </c>
      <c r="M415" s="30" t="s">
        <v>308</v>
      </c>
      <c r="N415" s="30" t="s">
        <v>309</v>
      </c>
      <c r="O415" s="30" t="s">
        <v>310</v>
      </c>
      <c r="P415" s="30" t="s">
        <v>311</v>
      </c>
      <c r="Q415" s="30" t="s">
        <v>312</v>
      </c>
      <c r="R415" s="30" t="s">
        <v>313</v>
      </c>
    </row>
    <row r="416" spans="1:18">
      <c r="A416" s="21">
        <f>SUMPRODUCT(G401:G411,M401:M411)</f>
        <v>-3000</v>
      </c>
      <c r="B416" s="21">
        <f>SUMPRODUCT(H401:H411,M401:M411)</f>
        <v>0</v>
      </c>
      <c r="C416" s="21">
        <f>SUMPRODUCT(I401:I411,M401:M411)+G414</f>
        <v>0</v>
      </c>
      <c r="D416" s="21">
        <f>SUMPRODUCT(C401:C411,M401:M411)</f>
        <v>0</v>
      </c>
      <c r="E416" s="21">
        <f>SUMPRODUCT(D401:D411,M401:M411)</f>
        <v>0</v>
      </c>
      <c r="F416" s="21">
        <f>SUMPRODUCT(E401:E411,M401:M411)</f>
        <v>0</v>
      </c>
      <c r="G416" s="21">
        <f>SUMPRODUCT(F401:F411,M401:M411)</f>
        <v>0</v>
      </c>
      <c r="H416" s="21">
        <f>SUMPRODUCT(J401:J411,M401:M411)</f>
        <v>0</v>
      </c>
      <c r="I416" s="21">
        <f>SUMPRODUCT(K401:K411,M401:M411)</f>
        <v>20523.668025282645</v>
      </c>
      <c r="J416" s="18">
        <f t="shared" ref="J416:R416" si="35">A416/$D414/12</f>
        <v>-29.307626651289905</v>
      </c>
      <c r="K416" s="18">
        <f t="shared" si="35"/>
        <v>0</v>
      </c>
      <c r="L416" s="18">
        <f t="shared" si="35"/>
        <v>0</v>
      </c>
      <c r="M416" s="18">
        <f t="shared" si="35"/>
        <v>0</v>
      </c>
      <c r="N416" s="18">
        <f t="shared" si="35"/>
        <v>0</v>
      </c>
      <c r="O416" s="18">
        <f t="shared" si="35"/>
        <v>0</v>
      </c>
      <c r="P416" s="18">
        <f t="shared" si="35"/>
        <v>0</v>
      </c>
      <c r="Q416" s="18">
        <f t="shared" si="35"/>
        <v>0</v>
      </c>
      <c r="R416" s="18">
        <f t="shared" si="35"/>
        <v>200.5</v>
      </c>
    </row>
    <row r="418" spans="1:13">
      <c r="A418" s="2" t="s">
        <v>332</v>
      </c>
    </row>
    <row r="419" spans="1:13" ht="32.1" customHeight="1">
      <c r="A419" s="30" t="s">
        <v>272</v>
      </c>
      <c r="B419" s="30" t="s">
        <v>273</v>
      </c>
      <c r="C419" s="30" t="s">
        <v>274</v>
      </c>
      <c r="D419" s="30" t="s">
        <v>275</v>
      </c>
      <c r="E419" s="30" t="s">
        <v>276</v>
      </c>
      <c r="F419" s="30" t="s">
        <v>277</v>
      </c>
      <c r="G419" s="30" t="s">
        <v>278</v>
      </c>
      <c r="H419" s="30" t="s">
        <v>279</v>
      </c>
      <c r="I419" s="30" t="s">
        <v>280</v>
      </c>
      <c r="J419" s="30" t="s">
        <v>281</v>
      </c>
      <c r="K419" s="30" t="s">
        <v>282</v>
      </c>
      <c r="L419" s="30" t="s">
        <v>283</v>
      </c>
      <c r="M419" s="30" t="s">
        <v>284</v>
      </c>
    </row>
    <row r="420" spans="1:13">
      <c r="A420" s="26">
        <v>0</v>
      </c>
      <c r="G420" s="21">
        <f>-'1 - Il tuo profilo'!$B$33</f>
        <v>-3000</v>
      </c>
      <c r="L420" s="21">
        <f t="shared" ref="L420:L430" si="36">SUM(C420:K420)</f>
        <v>-3000</v>
      </c>
      <c r="M420" s="33">
        <f>1/(1+'1 - Il tuo profilo'!$B$13)^A420</f>
        <v>1</v>
      </c>
    </row>
    <row r="421" spans="1:13">
      <c r="A421" s="26">
        <v>1</v>
      </c>
      <c r="K421" s="21">
        <f>IF(A421&lt;=(10),'5 - Senza auto'!$B$17+'5 - Senza auto'!$B$18*'5 - Senza auto'!$B$12+'5 - Senza auto'!$B$19*'5 - Senza auto'!$B$13+'5 - Senza auto'!$B$20,0)</f>
        <v>1733</v>
      </c>
      <c r="L421" s="21">
        <f t="shared" si="36"/>
        <v>1733</v>
      </c>
      <c r="M421" s="33">
        <f>1/(1+'1 - Il tuo profilo'!$B$13)^A421</f>
        <v>0.970873786407767</v>
      </c>
    </row>
    <row r="422" spans="1:13">
      <c r="A422" s="26">
        <v>2</v>
      </c>
      <c r="K422" s="21">
        <f>IF(A422&lt;=(10),'5 - Senza auto'!$B$17+'5 - Senza auto'!$B$18*'5 - Senza auto'!$B$12+'5 - Senza auto'!$B$19*'5 - Senza auto'!$B$13+'5 - Senza auto'!$B$20,0)</f>
        <v>1733</v>
      </c>
      <c r="L422" s="21">
        <f t="shared" si="36"/>
        <v>1733</v>
      </c>
      <c r="M422" s="33">
        <f>1/(1+'1 - Il tuo profilo'!$B$13)^A422</f>
        <v>0.94259590913375435</v>
      </c>
    </row>
    <row r="423" spans="1:13">
      <c r="A423" s="26">
        <v>3</v>
      </c>
      <c r="K423" s="21">
        <f>IF(A423&lt;=(10),'5 - Senza auto'!$B$17+'5 - Senza auto'!$B$18*'5 - Senza auto'!$B$12+'5 - Senza auto'!$B$19*'5 - Senza auto'!$B$13+'5 - Senza auto'!$B$20,0)</f>
        <v>1733</v>
      </c>
      <c r="L423" s="21">
        <f t="shared" si="36"/>
        <v>1733</v>
      </c>
      <c r="M423" s="33">
        <f>1/(1+'1 - Il tuo profilo'!$B$13)^A423</f>
        <v>0.91514165935315961</v>
      </c>
    </row>
    <row r="424" spans="1:13">
      <c r="A424" s="26">
        <v>4</v>
      </c>
      <c r="K424" s="21">
        <f>IF(A424&lt;=(10),'5 - Senza auto'!$B$17+'5 - Senza auto'!$B$18*'5 - Senza auto'!$B$12+'5 - Senza auto'!$B$19*'5 - Senza auto'!$B$13+'5 - Senza auto'!$B$20,0)</f>
        <v>1733</v>
      </c>
      <c r="L424" s="21">
        <f t="shared" si="36"/>
        <v>1733</v>
      </c>
      <c r="M424" s="33">
        <f>1/(1+'1 - Il tuo profilo'!$B$13)^A424</f>
        <v>0.888487047915689</v>
      </c>
    </row>
    <row r="425" spans="1:13">
      <c r="A425" s="26">
        <v>5</v>
      </c>
      <c r="K425" s="21">
        <f>IF(A425&lt;=(10),'5 - Senza auto'!$B$17+'5 - Senza auto'!$B$18*'5 - Senza auto'!$B$12+'5 - Senza auto'!$B$19*'5 - Senza auto'!$B$13+'5 - Senza auto'!$B$20,0)</f>
        <v>1733</v>
      </c>
      <c r="L425" s="21">
        <f t="shared" si="36"/>
        <v>1733</v>
      </c>
      <c r="M425" s="33">
        <f>1/(1+'1 - Il tuo profilo'!$B$13)^A425</f>
        <v>0.86260878438416411</v>
      </c>
    </row>
    <row r="426" spans="1:13">
      <c r="A426" s="26">
        <v>6</v>
      </c>
      <c r="K426" s="21">
        <f>IF(A426&lt;=(10),'5 - Senza auto'!$B$17+'5 - Senza auto'!$B$18*'5 - Senza auto'!$B$12+'5 - Senza auto'!$B$19*'5 - Senza auto'!$B$13+'5 - Senza auto'!$B$20,0)</f>
        <v>1733</v>
      </c>
      <c r="L426" s="21">
        <f t="shared" si="36"/>
        <v>1733</v>
      </c>
      <c r="M426" s="33">
        <f>1/(1+'1 - Il tuo profilo'!$B$13)^A426</f>
        <v>0.83748425668365445</v>
      </c>
    </row>
    <row r="427" spans="1:13">
      <c r="A427" s="26">
        <v>7</v>
      </c>
      <c r="K427" s="21">
        <f>IF(A427&lt;=(10),'5 - Senza auto'!$B$17+'5 - Senza auto'!$B$18*'5 - Senza auto'!$B$12+'5 - Senza auto'!$B$19*'5 - Senza auto'!$B$13+'5 - Senza auto'!$B$20,0)</f>
        <v>1733</v>
      </c>
      <c r="L427" s="21">
        <f t="shared" si="36"/>
        <v>1733</v>
      </c>
      <c r="M427" s="33">
        <f>1/(1+'1 - Il tuo profilo'!$B$13)^A427</f>
        <v>0.81309151134335378</v>
      </c>
    </row>
    <row r="428" spans="1:13">
      <c r="A428" s="26">
        <v>8</v>
      </c>
      <c r="K428" s="21">
        <f>IF(A428&lt;=(10),'5 - Senza auto'!$B$17+'5 - Senza auto'!$B$18*'5 - Senza auto'!$B$12+'5 - Senza auto'!$B$19*'5 - Senza auto'!$B$13+'5 - Senza auto'!$B$20,0)</f>
        <v>1733</v>
      </c>
      <c r="L428" s="21">
        <f t="shared" si="36"/>
        <v>1733</v>
      </c>
      <c r="M428" s="33">
        <f>1/(1+'1 - Il tuo profilo'!$B$13)^A428</f>
        <v>0.78940923431393573</v>
      </c>
    </row>
    <row r="429" spans="1:13">
      <c r="A429" s="26">
        <v>9</v>
      </c>
      <c r="K429" s="21">
        <f>IF(A429&lt;=(10),'5 - Senza auto'!$B$17+'5 - Senza auto'!$B$18*'5 - Senza auto'!$B$12+'5 - Senza auto'!$B$19*'5 - Senza auto'!$B$13+'5 - Senza auto'!$B$20,0)</f>
        <v>1733</v>
      </c>
      <c r="L429" s="21">
        <f t="shared" si="36"/>
        <v>1733</v>
      </c>
      <c r="M429" s="33">
        <f>1/(1+'1 - Il tuo profilo'!$B$13)^A429</f>
        <v>0.76641673234362695</v>
      </c>
    </row>
    <row r="430" spans="1:13">
      <c r="A430" s="26">
        <v>10</v>
      </c>
      <c r="K430" s="21">
        <f>IF(A430&lt;=(10),'5 - Senza auto'!$B$17+'5 - Senza auto'!$B$18*'5 - Senza auto'!$B$12+'5 - Senza auto'!$B$19*'5 - Senza auto'!$B$13+'5 - Senza auto'!$B$20,0)</f>
        <v>1733</v>
      </c>
      <c r="L430" s="21">
        <f t="shared" si="36"/>
        <v>1733</v>
      </c>
      <c r="M430" s="33">
        <f>1/(1+'1 - Il tuo profilo'!$B$13)^A430</f>
        <v>0.74409391489672516</v>
      </c>
    </row>
    <row r="432" spans="1:13" ht="32.1" customHeight="1">
      <c r="A432" s="30" t="s">
        <v>285</v>
      </c>
      <c r="B432" s="30" t="s">
        <v>286</v>
      </c>
      <c r="C432" s="30" t="s">
        <v>287</v>
      </c>
      <c r="D432" s="30" t="s">
        <v>288</v>
      </c>
      <c r="E432" s="30" t="s">
        <v>289</v>
      </c>
      <c r="F432" s="30" t="s">
        <v>290</v>
      </c>
      <c r="G432" s="30" t="s">
        <v>291</v>
      </c>
      <c r="H432" s="30" t="s">
        <v>292</v>
      </c>
      <c r="I432" s="30" t="s">
        <v>225</v>
      </c>
      <c r="J432" s="30" t="s">
        <v>293</v>
      </c>
      <c r="K432" s="30" t="s">
        <v>294</v>
      </c>
      <c r="L432" s="30" t="s">
        <v>295</v>
      </c>
      <c r="M432" s="30" t="s">
        <v>227</v>
      </c>
    </row>
    <row r="433" spans="1:18">
      <c r="A433" s="21">
        <f>L420+NPV('1 - Il tuo profilo'!$B$13,L421:L430)+E433+G433</f>
        <v>11782.841516132508</v>
      </c>
      <c r="B433" s="21">
        <f>SUM(L420:L430)+F433+H433</f>
        <v>14330</v>
      </c>
      <c r="C433" s="26">
        <f>10</f>
        <v>10</v>
      </c>
      <c r="D433" s="33">
        <f>PV('1 - Il tuo profilo'!$B$13,C433,-1)</f>
        <v>8.5302028367758282</v>
      </c>
      <c r="E433" s="21">
        <f>0</f>
        <v>0</v>
      </c>
      <c r="F433" s="21">
        <f>0</f>
        <v>0</v>
      </c>
      <c r="G433" s="21">
        <f>0</f>
        <v>0</v>
      </c>
      <c r="H433" s="21">
        <f>0</f>
        <v>0</v>
      </c>
      <c r="I433" s="21">
        <f>IF(C433&gt;=10,A433,A433/D433*'2 - Le opzioni'!$B$112-'1 - Il tuo profilo'!$B$33)</f>
        <v>11782.841516132508</v>
      </c>
      <c r="J433" s="21">
        <f>IF(C433&gt;=10,B433,B433*10/C433-'1 - Il tuo profilo'!$B$33)</f>
        <v>14330</v>
      </c>
      <c r="K433" s="18">
        <f>I433/'2 - Le opzioni'!$B$112</f>
        <v>1381.3084801845209</v>
      </c>
      <c r="L433" s="18">
        <f>K433/12</f>
        <v>115.10904001537675</v>
      </c>
      <c r="M433" s="31">
        <f>K433/'1 - Il tuo profilo'!$B$9</f>
        <v>0.11510904001537674</v>
      </c>
    </row>
    <row r="434" spans="1:18" ht="32.1" customHeight="1">
      <c r="A434" s="30" t="s">
        <v>296</v>
      </c>
      <c r="B434" s="30" t="s">
        <v>297</v>
      </c>
      <c r="C434" s="30" t="s">
        <v>298</v>
      </c>
      <c r="D434" s="30" t="s">
        <v>299</v>
      </c>
      <c r="E434" s="30" t="s">
        <v>300</v>
      </c>
      <c r="F434" s="30" t="s">
        <v>301</v>
      </c>
      <c r="G434" s="30" t="s">
        <v>302</v>
      </c>
      <c r="H434" s="30" t="s">
        <v>303</v>
      </c>
      <c r="I434" s="30" t="s">
        <v>304</v>
      </c>
      <c r="J434" s="30" t="s">
        <v>305</v>
      </c>
      <c r="K434" s="30" t="s">
        <v>306</v>
      </c>
      <c r="L434" s="30" t="s">
        <v>307</v>
      </c>
      <c r="M434" s="30" t="s">
        <v>308</v>
      </c>
      <c r="N434" s="30" t="s">
        <v>309</v>
      </c>
      <c r="O434" s="30" t="s">
        <v>310</v>
      </c>
      <c r="P434" s="30" t="s">
        <v>311</v>
      </c>
      <c r="Q434" s="30" t="s">
        <v>312</v>
      </c>
      <c r="R434" s="30" t="s">
        <v>313</v>
      </c>
    </row>
    <row r="435" spans="1:18">
      <c r="A435" s="21">
        <f>SUMPRODUCT(G420:G430,M420:M430)</f>
        <v>-3000</v>
      </c>
      <c r="B435" s="21">
        <f>SUMPRODUCT(H420:H430,M420:M430)</f>
        <v>0</v>
      </c>
      <c r="C435" s="21">
        <f>SUMPRODUCT(I420:I430,M420:M430)+G433</f>
        <v>0</v>
      </c>
      <c r="D435" s="21">
        <f>SUMPRODUCT(C420:C430,M420:M430)</f>
        <v>0</v>
      </c>
      <c r="E435" s="21">
        <f>SUMPRODUCT(D420:D430,M420:M430)</f>
        <v>0</v>
      </c>
      <c r="F435" s="21">
        <f>SUMPRODUCT(E420:E430,M420:M430)</f>
        <v>0</v>
      </c>
      <c r="G435" s="21">
        <f>SUMPRODUCT(F420:F430,M420:M430)</f>
        <v>0</v>
      </c>
      <c r="H435" s="21">
        <f>SUMPRODUCT(J420:J430,M420:M430)</f>
        <v>0</v>
      </c>
      <c r="I435" s="21">
        <f>SUMPRODUCT(K420:K430,M420:M430)</f>
        <v>14782.841516132516</v>
      </c>
      <c r="J435" s="18">
        <f t="shared" ref="J435:R435" si="37">A435/$D433/12</f>
        <v>-29.307626651289905</v>
      </c>
      <c r="K435" s="18">
        <f t="shared" si="37"/>
        <v>0</v>
      </c>
      <c r="L435" s="18">
        <f t="shared" si="37"/>
        <v>0</v>
      </c>
      <c r="M435" s="18">
        <f t="shared" si="37"/>
        <v>0</v>
      </c>
      <c r="N435" s="18">
        <f t="shared" si="37"/>
        <v>0</v>
      </c>
      <c r="O435" s="18">
        <f t="shared" si="37"/>
        <v>0</v>
      </c>
      <c r="P435" s="18">
        <f t="shared" si="37"/>
        <v>0</v>
      </c>
      <c r="Q435" s="18">
        <f t="shared" si="37"/>
        <v>0</v>
      </c>
      <c r="R435" s="18">
        <f t="shared" si="37"/>
        <v>144.41666666666671</v>
      </c>
    </row>
    <row r="437" spans="1:18">
      <c r="A437" s="2" t="s">
        <v>333</v>
      </c>
    </row>
    <row r="438" spans="1:18" ht="32.1" customHeight="1">
      <c r="A438" s="30" t="s">
        <v>272</v>
      </c>
      <c r="B438" s="30" t="s">
        <v>273</v>
      </c>
      <c r="C438" s="30" t="s">
        <v>274</v>
      </c>
      <c r="D438" s="30" t="s">
        <v>275</v>
      </c>
      <c r="E438" s="30" t="s">
        <v>276</v>
      </c>
      <c r="F438" s="30" t="s">
        <v>277</v>
      </c>
      <c r="G438" s="30" t="s">
        <v>278</v>
      </c>
      <c r="H438" s="30" t="s">
        <v>279</v>
      </c>
      <c r="I438" s="30" t="s">
        <v>280</v>
      </c>
      <c r="J438" s="30" t="s">
        <v>281</v>
      </c>
      <c r="K438" s="30" t="s">
        <v>282</v>
      </c>
      <c r="L438" s="30" t="s">
        <v>283</v>
      </c>
      <c r="M438" s="30" t="s">
        <v>284</v>
      </c>
    </row>
    <row r="439" spans="1:18">
      <c r="A439" s="26">
        <v>0</v>
      </c>
      <c r="G439" s="21">
        <f>-'1 - Il tuo profilo'!$B$33</f>
        <v>-3000</v>
      </c>
      <c r="L439" s="21">
        <f t="shared" ref="L439:L449" si="38">SUM(C439:K439)</f>
        <v>-3000</v>
      </c>
      <c r="M439" s="33">
        <f>1/(1+'1 - Il tuo profilo'!$B$13)^A439</f>
        <v>1</v>
      </c>
    </row>
    <row r="440" spans="1:18">
      <c r="A440" s="26">
        <v>1</v>
      </c>
      <c r="K440" s="21">
        <f>IF(A440&lt;=(10),'5 - Senza auto'!$D$17+'5 - Senza auto'!$D$18*'5 - Senza auto'!$B$12+'5 - Senza auto'!$D$19*'5 - Senza auto'!$B$13+'5 - Senza auto'!$D$20,0)</f>
        <v>4200</v>
      </c>
      <c r="L440" s="21">
        <f t="shared" si="38"/>
        <v>4200</v>
      </c>
      <c r="M440" s="33">
        <f>1/(1+'1 - Il tuo profilo'!$B$13)^A440</f>
        <v>0.970873786407767</v>
      </c>
    </row>
    <row r="441" spans="1:18">
      <c r="A441" s="26">
        <v>2</v>
      </c>
      <c r="K441" s="21">
        <f>IF(A441&lt;=(10),'5 - Senza auto'!$D$17+'5 - Senza auto'!$D$18*'5 - Senza auto'!$B$12+'5 - Senza auto'!$D$19*'5 - Senza auto'!$B$13+'5 - Senza auto'!$D$20,0)</f>
        <v>4200</v>
      </c>
      <c r="L441" s="21">
        <f t="shared" si="38"/>
        <v>4200</v>
      </c>
      <c r="M441" s="33">
        <f>1/(1+'1 - Il tuo profilo'!$B$13)^A441</f>
        <v>0.94259590913375435</v>
      </c>
    </row>
    <row r="442" spans="1:18">
      <c r="A442" s="26">
        <v>3</v>
      </c>
      <c r="K442" s="21">
        <f>IF(A442&lt;=(10),'5 - Senza auto'!$D$17+'5 - Senza auto'!$D$18*'5 - Senza auto'!$B$12+'5 - Senza auto'!$D$19*'5 - Senza auto'!$B$13+'5 - Senza auto'!$D$20,0)</f>
        <v>4200</v>
      </c>
      <c r="L442" s="21">
        <f t="shared" si="38"/>
        <v>4200</v>
      </c>
      <c r="M442" s="33">
        <f>1/(1+'1 - Il tuo profilo'!$B$13)^A442</f>
        <v>0.91514165935315961</v>
      </c>
    </row>
    <row r="443" spans="1:18">
      <c r="A443" s="26">
        <v>4</v>
      </c>
      <c r="K443" s="21">
        <f>IF(A443&lt;=(10),'5 - Senza auto'!$D$17+'5 - Senza auto'!$D$18*'5 - Senza auto'!$B$12+'5 - Senza auto'!$D$19*'5 - Senza auto'!$B$13+'5 - Senza auto'!$D$20,0)</f>
        <v>4200</v>
      </c>
      <c r="L443" s="21">
        <f t="shared" si="38"/>
        <v>4200</v>
      </c>
      <c r="M443" s="33">
        <f>1/(1+'1 - Il tuo profilo'!$B$13)^A443</f>
        <v>0.888487047915689</v>
      </c>
    </row>
    <row r="444" spans="1:18">
      <c r="A444" s="26">
        <v>5</v>
      </c>
      <c r="K444" s="21">
        <f>IF(A444&lt;=(10),'5 - Senza auto'!$D$17+'5 - Senza auto'!$D$18*'5 - Senza auto'!$B$12+'5 - Senza auto'!$D$19*'5 - Senza auto'!$B$13+'5 - Senza auto'!$D$20,0)</f>
        <v>4200</v>
      </c>
      <c r="L444" s="21">
        <f t="shared" si="38"/>
        <v>4200</v>
      </c>
      <c r="M444" s="33">
        <f>1/(1+'1 - Il tuo profilo'!$B$13)^A444</f>
        <v>0.86260878438416411</v>
      </c>
    </row>
    <row r="445" spans="1:18">
      <c r="A445" s="26">
        <v>6</v>
      </c>
      <c r="K445" s="21">
        <f>IF(A445&lt;=(10),'5 - Senza auto'!$D$17+'5 - Senza auto'!$D$18*'5 - Senza auto'!$B$12+'5 - Senza auto'!$D$19*'5 - Senza auto'!$B$13+'5 - Senza auto'!$D$20,0)</f>
        <v>4200</v>
      </c>
      <c r="L445" s="21">
        <f t="shared" si="38"/>
        <v>4200</v>
      </c>
      <c r="M445" s="33">
        <f>1/(1+'1 - Il tuo profilo'!$B$13)^A445</f>
        <v>0.83748425668365445</v>
      </c>
    </row>
    <row r="446" spans="1:18">
      <c r="A446" s="26">
        <v>7</v>
      </c>
      <c r="K446" s="21">
        <f>IF(A446&lt;=(10),'5 - Senza auto'!$D$17+'5 - Senza auto'!$D$18*'5 - Senza auto'!$B$12+'5 - Senza auto'!$D$19*'5 - Senza auto'!$B$13+'5 - Senza auto'!$D$20,0)</f>
        <v>4200</v>
      </c>
      <c r="L446" s="21">
        <f t="shared" si="38"/>
        <v>4200</v>
      </c>
      <c r="M446" s="33">
        <f>1/(1+'1 - Il tuo profilo'!$B$13)^A446</f>
        <v>0.81309151134335378</v>
      </c>
    </row>
    <row r="447" spans="1:18">
      <c r="A447" s="26">
        <v>8</v>
      </c>
      <c r="K447" s="21">
        <f>IF(A447&lt;=(10),'5 - Senza auto'!$D$17+'5 - Senza auto'!$D$18*'5 - Senza auto'!$B$12+'5 - Senza auto'!$D$19*'5 - Senza auto'!$B$13+'5 - Senza auto'!$D$20,0)</f>
        <v>4200</v>
      </c>
      <c r="L447" s="21">
        <f t="shared" si="38"/>
        <v>4200</v>
      </c>
      <c r="M447" s="33">
        <f>1/(1+'1 - Il tuo profilo'!$B$13)^A447</f>
        <v>0.78940923431393573</v>
      </c>
    </row>
    <row r="448" spans="1:18">
      <c r="A448" s="26">
        <v>9</v>
      </c>
      <c r="K448" s="21">
        <f>IF(A448&lt;=(10),'5 - Senza auto'!$D$17+'5 - Senza auto'!$D$18*'5 - Senza auto'!$B$12+'5 - Senza auto'!$D$19*'5 - Senza auto'!$B$13+'5 - Senza auto'!$D$20,0)</f>
        <v>4200</v>
      </c>
      <c r="L448" s="21">
        <f t="shared" si="38"/>
        <v>4200</v>
      </c>
      <c r="M448" s="33">
        <f>1/(1+'1 - Il tuo profilo'!$B$13)^A448</f>
        <v>0.76641673234362695</v>
      </c>
    </row>
    <row r="449" spans="1:18">
      <c r="A449" s="26">
        <v>10</v>
      </c>
      <c r="K449" s="21">
        <f>IF(A449&lt;=(10),'5 - Senza auto'!$D$17+'5 - Senza auto'!$D$18*'5 - Senza auto'!$B$12+'5 - Senza auto'!$D$19*'5 - Senza auto'!$B$13+'5 - Senza auto'!$D$20,0)</f>
        <v>4200</v>
      </c>
      <c r="L449" s="21">
        <f t="shared" si="38"/>
        <v>4200</v>
      </c>
      <c r="M449" s="33">
        <f>1/(1+'1 - Il tuo profilo'!$B$13)^A449</f>
        <v>0.74409391489672516</v>
      </c>
    </row>
    <row r="451" spans="1:18" ht="32.1" customHeight="1">
      <c r="A451" s="30" t="s">
        <v>285</v>
      </c>
      <c r="B451" s="30" t="s">
        <v>286</v>
      </c>
      <c r="C451" s="30" t="s">
        <v>287</v>
      </c>
      <c r="D451" s="30" t="s">
        <v>288</v>
      </c>
      <c r="E451" s="30" t="s">
        <v>289</v>
      </c>
      <c r="F451" s="30" t="s">
        <v>290</v>
      </c>
      <c r="G451" s="30" t="s">
        <v>291</v>
      </c>
      <c r="H451" s="30" t="s">
        <v>292</v>
      </c>
      <c r="I451" s="30" t="s">
        <v>225</v>
      </c>
      <c r="J451" s="30" t="s">
        <v>293</v>
      </c>
      <c r="K451" s="30" t="s">
        <v>294</v>
      </c>
      <c r="L451" s="30" t="s">
        <v>295</v>
      </c>
      <c r="M451" s="30" t="s">
        <v>227</v>
      </c>
    </row>
    <row r="452" spans="1:18">
      <c r="A452" s="21">
        <f>L439+NPV('1 - Il tuo profilo'!$B$13,L440:L449)+E452+G452</f>
        <v>32826.851914458486</v>
      </c>
      <c r="B452" s="21">
        <f>SUM(L439:L449)+F452+H452</f>
        <v>39000</v>
      </c>
      <c r="C452" s="26">
        <f>10</f>
        <v>10</v>
      </c>
      <c r="D452" s="33">
        <f>PV('1 - Il tuo profilo'!$B$13,C452,-1)</f>
        <v>8.5302028367758282</v>
      </c>
      <c r="E452" s="21">
        <f>0</f>
        <v>0</v>
      </c>
      <c r="F452" s="21">
        <f>0</f>
        <v>0</v>
      </c>
      <c r="G452" s="21">
        <f>0</f>
        <v>0</v>
      </c>
      <c r="H452" s="21">
        <f>0</f>
        <v>0</v>
      </c>
      <c r="I452" s="21">
        <f>IF(C452&gt;=10,A452,A452/D452*'2 - Le opzioni'!$B$112-'1 - Il tuo profilo'!$B$33)</f>
        <v>32826.851914458486</v>
      </c>
      <c r="J452" s="21">
        <f>IF(C452&gt;=10,B452,B452*10/C452-'1 - Il tuo profilo'!$B$33)</f>
        <v>39000</v>
      </c>
      <c r="K452" s="18">
        <f>I452/'2 - Le opzioni'!$B$112</f>
        <v>3848.3084801845221</v>
      </c>
      <c r="L452" s="18">
        <f>K452/12</f>
        <v>320.69237334871019</v>
      </c>
      <c r="M452" s="31">
        <f>K452/'1 - Il tuo profilo'!$B$9</f>
        <v>0.32069237334871015</v>
      </c>
    </row>
    <row r="453" spans="1:18" ht="32.1" customHeight="1">
      <c r="A453" s="30" t="s">
        <v>296</v>
      </c>
      <c r="B453" s="30" t="s">
        <v>297</v>
      </c>
      <c r="C453" s="30" t="s">
        <v>298</v>
      </c>
      <c r="D453" s="30" t="s">
        <v>299</v>
      </c>
      <c r="E453" s="30" t="s">
        <v>300</v>
      </c>
      <c r="F453" s="30" t="s">
        <v>301</v>
      </c>
      <c r="G453" s="30" t="s">
        <v>302</v>
      </c>
      <c r="H453" s="30" t="s">
        <v>303</v>
      </c>
      <c r="I453" s="30" t="s">
        <v>304</v>
      </c>
      <c r="J453" s="30" t="s">
        <v>305</v>
      </c>
      <c r="K453" s="30" t="s">
        <v>306</v>
      </c>
      <c r="L453" s="30" t="s">
        <v>307</v>
      </c>
      <c r="M453" s="30" t="s">
        <v>308</v>
      </c>
      <c r="N453" s="30" t="s">
        <v>309</v>
      </c>
      <c r="O453" s="30" t="s">
        <v>310</v>
      </c>
      <c r="P453" s="30" t="s">
        <v>311</v>
      </c>
      <c r="Q453" s="30" t="s">
        <v>312</v>
      </c>
      <c r="R453" s="30" t="s">
        <v>313</v>
      </c>
    </row>
    <row r="454" spans="1:18">
      <c r="A454" s="21">
        <f>SUMPRODUCT(G439:G449,M439:M449)</f>
        <v>-3000</v>
      </c>
      <c r="B454" s="21">
        <f>SUMPRODUCT(H439:H449,M439:M449)</f>
        <v>0</v>
      </c>
      <c r="C454" s="21">
        <f>SUMPRODUCT(I439:I449,M439:M449)+G452</f>
        <v>0</v>
      </c>
      <c r="D454" s="21">
        <f>SUMPRODUCT(C439:C449,M439:M449)</f>
        <v>0</v>
      </c>
      <c r="E454" s="21">
        <f>SUMPRODUCT(D439:D449,M439:M449)</f>
        <v>0</v>
      </c>
      <c r="F454" s="21">
        <f>SUMPRODUCT(E439:E449,M439:M449)</f>
        <v>0</v>
      </c>
      <c r="G454" s="21">
        <f>SUMPRODUCT(F439:F449,M439:M449)</f>
        <v>0</v>
      </c>
      <c r="H454" s="21">
        <f>SUMPRODUCT(J439:J449,M439:M449)</f>
        <v>0</v>
      </c>
      <c r="I454" s="21">
        <f>SUMPRODUCT(K439:K449,M439:M449)</f>
        <v>35826.851914458486</v>
      </c>
      <c r="J454" s="18">
        <f t="shared" ref="J454:R454" si="39">A454/$D452/12</f>
        <v>-29.307626651289905</v>
      </c>
      <c r="K454" s="18">
        <f t="shared" si="39"/>
        <v>0</v>
      </c>
      <c r="L454" s="18">
        <f t="shared" si="39"/>
        <v>0</v>
      </c>
      <c r="M454" s="18">
        <f t="shared" si="39"/>
        <v>0</v>
      </c>
      <c r="N454" s="18">
        <f t="shared" si="39"/>
        <v>0</v>
      </c>
      <c r="O454" s="18">
        <f t="shared" si="39"/>
        <v>0</v>
      </c>
      <c r="P454" s="18">
        <f t="shared" si="39"/>
        <v>0</v>
      </c>
      <c r="Q454" s="18">
        <f t="shared" si="39"/>
        <v>0</v>
      </c>
      <c r="R454" s="18">
        <f t="shared" si="39"/>
        <v>350.00000000000006</v>
      </c>
    </row>
    <row r="456" spans="1:18">
      <c r="A456" s="2" t="s">
        <v>334</v>
      </c>
    </row>
    <row r="457" spans="1:18" ht="32.1" customHeight="1">
      <c r="A457" s="30" t="s">
        <v>272</v>
      </c>
      <c r="B457" s="30" t="s">
        <v>273</v>
      </c>
      <c r="C457" s="30" t="s">
        <v>274</v>
      </c>
      <c r="D457" s="30" t="s">
        <v>275</v>
      </c>
      <c r="E457" s="30" t="s">
        <v>276</v>
      </c>
      <c r="F457" s="30" t="s">
        <v>277</v>
      </c>
      <c r="G457" s="30" t="s">
        <v>278</v>
      </c>
      <c r="H457" s="30" t="s">
        <v>279</v>
      </c>
      <c r="I457" s="30" t="s">
        <v>280</v>
      </c>
      <c r="J457" s="30" t="s">
        <v>281</v>
      </c>
      <c r="K457" s="30" t="s">
        <v>282</v>
      </c>
      <c r="L457" s="30" t="s">
        <v>283</v>
      </c>
      <c r="M457" s="30" t="s">
        <v>284</v>
      </c>
    </row>
    <row r="458" spans="1:18">
      <c r="A458" s="26">
        <v>0</v>
      </c>
      <c r="G458" s="21">
        <f>'2 - Le opzioni'!$B$6</f>
        <v>19000</v>
      </c>
      <c r="L458" s="21">
        <f t="shared" ref="L458:L468" si="40">SUM(C458:K458)</f>
        <v>19000</v>
      </c>
      <c r="M458" s="33">
        <f>1/(1+'1 - Il tuo profilo'!$B$13)^A458</f>
        <v>1</v>
      </c>
    </row>
    <row r="459" spans="1:18">
      <c r="A459" s="26">
        <v>1</v>
      </c>
      <c r="B459" s="26">
        <f>1</f>
        <v>1</v>
      </c>
      <c r="C459" s="21">
        <f>'1 - Il tuo profilo'!$B$9/100*'2 - Le opzioni'!$B$8*'1 - Il tuo profilo'!$B$25</f>
        <v>1243.1664000000001</v>
      </c>
      <c r="D459" s="21">
        <f>'1 - Il tuo profilo'!$B$29+IF($B459&lt;='2 - Le opzioni'!$B$64,'1 - Il tuo profilo'!$B$32,0)</f>
        <v>659.2</v>
      </c>
      <c r="E459" s="21">
        <f>'2 - Le opzioni'!$B$7*'1 - Il tuo profilo'!$B$30+IF(AND($B459&gt;=4,MOD($B459,2)=0),'1 - Il tuo profilo'!$B$31,0)</f>
        <v>180.6</v>
      </c>
      <c r="F459" s="21">
        <f>IF($B459&lt;=3,'2 - Le opzioni'!$B$56,IF($B459&lt;=7,'2 - Le opzioni'!$B$57,IF($B459&lt;=12,'2 - Le opzioni'!$B$58,'2 - Le opzioni'!$B$59+'2 - Le opzioni'!$B$60*($B459-13))))*1*(0.5+0.5*'1 - Il tuo profilo'!$B$9/'2 - Le opzioni'!$B$63)</f>
        <v>350</v>
      </c>
      <c r="L459" s="21">
        <f t="shared" si="40"/>
        <v>2432.9664000000002</v>
      </c>
      <c r="M459" s="33">
        <f>1/(1+'1 - Il tuo profilo'!$B$13)^A459</f>
        <v>0.970873786407767</v>
      </c>
    </row>
    <row r="460" spans="1:18">
      <c r="A460" s="26">
        <v>2</v>
      </c>
      <c r="B460" s="26">
        <f>2</f>
        <v>2</v>
      </c>
      <c r="C460" s="21">
        <f>'1 - Il tuo profilo'!$B$9/100*'2 - Le opzioni'!$B$8*'1 - Il tuo profilo'!$B$25</f>
        <v>1243.1664000000001</v>
      </c>
      <c r="D460" s="21">
        <f>'1 - Il tuo profilo'!$B$29+IF($B460&lt;='2 - Le opzioni'!$B$64,'1 - Il tuo profilo'!$B$32,0)</f>
        <v>659.2</v>
      </c>
      <c r="E460" s="21">
        <f>'2 - Le opzioni'!$B$7*'1 - Il tuo profilo'!$B$30+IF(AND($B460&gt;=4,MOD($B460,2)=0),'1 - Il tuo profilo'!$B$31,0)</f>
        <v>180.6</v>
      </c>
      <c r="F460" s="21">
        <f>IF($B460&lt;=3,'2 - Le opzioni'!$B$56,IF($B460&lt;=7,'2 - Le opzioni'!$B$57,IF($B460&lt;=12,'2 - Le opzioni'!$B$58,'2 - Le opzioni'!$B$59+'2 - Le opzioni'!$B$60*($B460-13))))*1*(0.5+0.5*'1 - Il tuo profilo'!$B$9/'2 - Le opzioni'!$B$63)</f>
        <v>350</v>
      </c>
      <c r="L460" s="21">
        <f t="shared" si="40"/>
        <v>2432.9664000000002</v>
      </c>
      <c r="M460" s="33">
        <f>1/(1+'1 - Il tuo profilo'!$B$13)^A460</f>
        <v>0.94259590913375435</v>
      </c>
    </row>
    <row r="461" spans="1:18">
      <c r="A461" s="26">
        <v>3</v>
      </c>
      <c r="B461" s="26">
        <f>3</f>
        <v>3</v>
      </c>
      <c r="C461" s="21">
        <f>'1 - Il tuo profilo'!$B$9/100*'2 - Le opzioni'!$B$8*'1 - Il tuo profilo'!$B$25</f>
        <v>1243.1664000000001</v>
      </c>
      <c r="D461" s="21">
        <f>'1 - Il tuo profilo'!$B$29+IF($B461&lt;='2 - Le opzioni'!$B$64,'1 - Il tuo profilo'!$B$32,0)</f>
        <v>659.2</v>
      </c>
      <c r="E461" s="21">
        <f>'2 - Le opzioni'!$B$7*'1 - Il tuo profilo'!$B$30+IF(AND($B461&gt;=4,MOD($B461,2)=0),'1 - Il tuo profilo'!$B$31,0)</f>
        <v>180.6</v>
      </c>
      <c r="F461" s="21">
        <f>IF($B461&lt;=3,'2 - Le opzioni'!$B$56,IF($B461&lt;=7,'2 - Le opzioni'!$B$57,IF($B461&lt;=12,'2 - Le opzioni'!$B$58,'2 - Le opzioni'!$B$59+'2 - Le opzioni'!$B$60*($B461-13))))*1*(0.5+0.5*'1 - Il tuo profilo'!$B$9/'2 - Le opzioni'!$B$63)</f>
        <v>350</v>
      </c>
      <c r="G461" s="21">
        <f>-('2 - Le opzioni'!$B$6*IF(3&gt;=MAX('2 - Le opzioni'!$B$67:$K$67),0,INDEX('2 - Le opzioni'!$B$68:$K$68,MATCH(3,'2 - Le opzioni'!$B$67:$K$67,1))+(INDEX('2 - Le opzioni'!$B$68:$K$68,MATCH(3,'2 - Le opzioni'!$B$67:$K$67,1)+1)-INDEX('2 - Le opzioni'!$B$68:$K$68,MATCH(3,'2 - Le opzioni'!$B$67:$K$67,1)))*(3-INDEX('2 - Le opzioni'!$B$67:$K$67,MATCH(3,'2 - Le opzioni'!$B$67:$K$67,1)))/(INDEX('2 - Le opzioni'!$B$67:$K$67,MATCH(3,'2 - Le opzioni'!$B$67:$K$67,1)+1)-INDEX('2 - Le opzioni'!$B$67:$K$67,MATCH(3,'2 - Le opzioni'!$B$67:$K$67,1)))))</f>
        <v>-11780</v>
      </c>
      <c r="L461" s="21">
        <f t="shared" si="40"/>
        <v>-9347.0335999999988</v>
      </c>
      <c r="M461" s="33">
        <f>1/(1+'1 - Il tuo profilo'!$B$13)^A461</f>
        <v>0.91514165935315961</v>
      </c>
    </row>
    <row r="462" spans="1:18">
      <c r="A462" s="26">
        <v>4</v>
      </c>
      <c r="L462" s="21">
        <f t="shared" si="40"/>
        <v>0</v>
      </c>
      <c r="M462" s="33">
        <f>1/(1+'1 - Il tuo profilo'!$B$13)^A462</f>
        <v>0.888487047915689</v>
      </c>
    </row>
    <row r="463" spans="1:18">
      <c r="A463" s="26">
        <v>5</v>
      </c>
      <c r="L463" s="21">
        <f t="shared" si="40"/>
        <v>0</v>
      </c>
      <c r="M463" s="33">
        <f>1/(1+'1 - Il tuo profilo'!$B$13)^A463</f>
        <v>0.86260878438416411</v>
      </c>
    </row>
    <row r="464" spans="1:18">
      <c r="A464" s="26">
        <v>6</v>
      </c>
      <c r="L464" s="21">
        <f t="shared" si="40"/>
        <v>0</v>
      </c>
      <c r="M464" s="33">
        <f>1/(1+'1 - Il tuo profilo'!$B$13)^A464</f>
        <v>0.83748425668365445</v>
      </c>
    </row>
    <row r="465" spans="1:18">
      <c r="A465" s="26">
        <v>7</v>
      </c>
      <c r="L465" s="21">
        <f t="shared" si="40"/>
        <v>0</v>
      </c>
      <c r="M465" s="33">
        <f>1/(1+'1 - Il tuo profilo'!$B$13)^A465</f>
        <v>0.81309151134335378</v>
      </c>
    </row>
    <row r="466" spans="1:18">
      <c r="A466" s="26">
        <v>8</v>
      </c>
      <c r="L466" s="21">
        <f t="shared" si="40"/>
        <v>0</v>
      </c>
      <c r="M466" s="33">
        <f>1/(1+'1 - Il tuo profilo'!$B$13)^A466</f>
        <v>0.78940923431393573</v>
      </c>
    </row>
    <row r="467" spans="1:18">
      <c r="A467" s="26">
        <v>9</v>
      </c>
      <c r="L467" s="21">
        <f t="shared" si="40"/>
        <v>0</v>
      </c>
      <c r="M467" s="33">
        <f>1/(1+'1 - Il tuo profilo'!$B$13)^A467</f>
        <v>0.76641673234362695</v>
      </c>
    </row>
    <row r="468" spans="1:18">
      <c r="A468" s="26">
        <v>10</v>
      </c>
      <c r="L468" s="21">
        <f t="shared" si="40"/>
        <v>0</v>
      </c>
      <c r="M468" s="33">
        <f>1/(1+'1 - Il tuo profilo'!$B$13)^A468</f>
        <v>0.74409391489672516</v>
      </c>
    </row>
    <row r="470" spans="1:18" ht="32.1" customHeight="1">
      <c r="A470" s="30" t="s">
        <v>285</v>
      </c>
      <c r="B470" s="30" t="s">
        <v>286</v>
      </c>
      <c r="C470" s="30" t="s">
        <v>287</v>
      </c>
      <c r="D470" s="30" t="s">
        <v>288</v>
      </c>
      <c r="E470" s="30" t="s">
        <v>289</v>
      </c>
      <c r="F470" s="30" t="s">
        <v>290</v>
      </c>
      <c r="G470" s="30" t="s">
        <v>291</v>
      </c>
      <c r="H470" s="30" t="s">
        <v>292</v>
      </c>
      <c r="I470" s="30" t="s">
        <v>225</v>
      </c>
      <c r="J470" s="30" t="s">
        <v>293</v>
      </c>
      <c r="K470" s="30" t="s">
        <v>294</v>
      </c>
      <c r="L470" s="30" t="s">
        <v>295</v>
      </c>
      <c r="M470" s="30" t="s">
        <v>227</v>
      </c>
    </row>
    <row r="471" spans="1:18">
      <c r="A471" s="21">
        <f>L458+NPV('1 - Il tuo profilo'!$B$13,L459:L468)+E471+G471</f>
        <v>15101.547637937016</v>
      </c>
      <c r="B471" s="21">
        <f>SUM(L458:L468)+F471+H471</f>
        <v>14518.899200000003</v>
      </c>
      <c r="C471" s="26">
        <f>3</f>
        <v>3</v>
      </c>
      <c r="D471" s="33">
        <f>PV('1 - Il tuo profilo'!$B$13,C471,-1)</f>
        <v>2.8286113548946812</v>
      </c>
      <c r="E471" s="21">
        <f>0</f>
        <v>0</v>
      </c>
      <c r="F471" s="21">
        <f>0</f>
        <v>0</v>
      </c>
      <c r="G471" s="21">
        <f>0</f>
        <v>0</v>
      </c>
      <c r="H471" s="21">
        <f>0</f>
        <v>0</v>
      </c>
      <c r="I471" s="21">
        <f>IF(C471&gt;=10,A471,A471/D471*'2 - Le opzioni'!$B$112-'1 - Il tuo profilo'!$B$33)</f>
        <v>42541.521382187915</v>
      </c>
      <c r="J471" s="21">
        <f>IF(C471&gt;=10,B471,B471*10/C471-'1 - Il tuo profilo'!$B$33)</f>
        <v>45396.330666666676</v>
      </c>
      <c r="K471" s="18">
        <f>I471/'2 - Le opzioni'!$B$112</f>
        <v>4987.1641033881197</v>
      </c>
      <c r="L471" s="18">
        <f>K471/12</f>
        <v>415.59700861567666</v>
      </c>
      <c r="M471" s="31">
        <f>K471/'1 - Il tuo profilo'!$B$9</f>
        <v>0.41559700861567661</v>
      </c>
    </row>
    <row r="472" spans="1:18" ht="32.1" customHeight="1">
      <c r="A472" s="30" t="s">
        <v>296</v>
      </c>
      <c r="B472" s="30" t="s">
        <v>297</v>
      </c>
      <c r="C472" s="30" t="s">
        <v>298</v>
      </c>
      <c r="D472" s="30" t="s">
        <v>299</v>
      </c>
      <c r="E472" s="30" t="s">
        <v>300</v>
      </c>
      <c r="F472" s="30" t="s">
        <v>301</v>
      </c>
      <c r="G472" s="30" t="s">
        <v>302</v>
      </c>
      <c r="H472" s="30" t="s">
        <v>303</v>
      </c>
      <c r="I472" s="30" t="s">
        <v>304</v>
      </c>
      <c r="J472" s="30" t="s">
        <v>305</v>
      </c>
      <c r="K472" s="30" t="s">
        <v>306</v>
      </c>
      <c r="L472" s="30" t="s">
        <v>307</v>
      </c>
      <c r="M472" s="30" t="s">
        <v>308</v>
      </c>
      <c r="N472" s="30" t="s">
        <v>309</v>
      </c>
      <c r="O472" s="30" t="s">
        <v>310</v>
      </c>
      <c r="P472" s="30" t="s">
        <v>311</v>
      </c>
      <c r="Q472" s="30" t="s">
        <v>312</v>
      </c>
      <c r="R472" s="30" t="s">
        <v>313</v>
      </c>
    </row>
    <row r="473" spans="1:18">
      <c r="A473" s="21">
        <f>SUMPRODUCT(G458:G468,M458:M468)</f>
        <v>8219.6312528197795</v>
      </c>
      <c r="B473" s="21">
        <f>SUMPRODUCT(H458:H468,M458:M468)</f>
        <v>0</v>
      </c>
      <c r="C473" s="21">
        <f>SUMPRODUCT(I458:I468,M458:M468)+G471</f>
        <v>0</v>
      </c>
      <c r="D473" s="21">
        <f>SUMPRODUCT(C458:C468,M458:M468)</f>
        <v>3516.4345950635434</v>
      </c>
      <c r="E473" s="21">
        <f>SUMPRODUCT(D458:D468,M458:M468)</f>
        <v>1864.6206051465738</v>
      </c>
      <c r="F473" s="21">
        <f>SUMPRODUCT(E458:E468,M458:M468)</f>
        <v>510.84721069397938</v>
      </c>
      <c r="G473" s="21">
        <f>SUMPRODUCT(F458:F468,M458:M468)</f>
        <v>990.01397421313834</v>
      </c>
      <c r="H473" s="21">
        <f>SUMPRODUCT(J458:J468,M458:M468)</f>
        <v>0</v>
      </c>
      <c r="I473" s="21">
        <f>SUMPRODUCT(K458:K468,M458:M468)</f>
        <v>0</v>
      </c>
      <c r="J473" s="18">
        <f t="shared" ref="J473:R473" si="41">A473/$D471/12</f>
        <v>242.15743526696644</v>
      </c>
      <c r="K473" s="18">
        <f t="shared" si="41"/>
        <v>0</v>
      </c>
      <c r="L473" s="18">
        <f t="shared" si="41"/>
        <v>0</v>
      </c>
      <c r="M473" s="18">
        <f t="shared" si="41"/>
        <v>103.5972</v>
      </c>
      <c r="N473" s="18">
        <f t="shared" si="41"/>
        <v>54.93333333333333</v>
      </c>
      <c r="O473" s="18">
        <f t="shared" si="41"/>
        <v>15.049999999999999</v>
      </c>
      <c r="P473" s="18">
        <f t="shared" si="41"/>
        <v>29.166666666666668</v>
      </c>
      <c r="Q473" s="18">
        <f t="shared" si="41"/>
        <v>0</v>
      </c>
      <c r="R473" s="18">
        <f t="shared" si="41"/>
        <v>0</v>
      </c>
    </row>
    <row r="475" spans="1:18">
      <c r="A475" s="2" t="s">
        <v>335</v>
      </c>
    </row>
    <row r="476" spans="1:18" ht="32.1" customHeight="1">
      <c r="A476" s="30" t="s">
        <v>272</v>
      </c>
      <c r="B476" s="30" t="s">
        <v>273</v>
      </c>
      <c r="C476" s="30" t="s">
        <v>274</v>
      </c>
      <c r="D476" s="30" t="s">
        <v>275</v>
      </c>
      <c r="E476" s="30" t="s">
        <v>276</v>
      </c>
      <c r="F476" s="30" t="s">
        <v>277</v>
      </c>
      <c r="G476" s="30" t="s">
        <v>278</v>
      </c>
      <c r="H476" s="30" t="s">
        <v>279</v>
      </c>
      <c r="I476" s="30" t="s">
        <v>280</v>
      </c>
      <c r="J476" s="30" t="s">
        <v>281</v>
      </c>
      <c r="K476" s="30" t="s">
        <v>282</v>
      </c>
      <c r="L476" s="30" t="s">
        <v>283</v>
      </c>
      <c r="M476" s="30" t="s">
        <v>284</v>
      </c>
    </row>
    <row r="477" spans="1:18">
      <c r="A477" s="26">
        <v>0</v>
      </c>
      <c r="G477" s="21">
        <f>'2 - Le opzioni'!$B$6</f>
        <v>19000</v>
      </c>
      <c r="L477" s="21">
        <f t="shared" ref="L477:L487" si="42">SUM(C477:K477)</f>
        <v>19000</v>
      </c>
      <c r="M477" s="33">
        <f>1/(1+'1 - Il tuo profilo'!$B$13)^A477</f>
        <v>1</v>
      </c>
    </row>
    <row r="478" spans="1:18">
      <c r="A478" s="26">
        <v>1</v>
      </c>
      <c r="B478" s="26">
        <f>1</f>
        <v>1</v>
      </c>
      <c r="C478" s="21">
        <f>'1 - Il tuo profilo'!$B$9/100*'2 - Le opzioni'!$B$8*'1 - Il tuo profilo'!$B$25</f>
        <v>1243.1664000000001</v>
      </c>
      <c r="D478" s="21">
        <f>'1 - Il tuo profilo'!$B$29+IF($B478&lt;='2 - Le opzioni'!$B$64,'1 - Il tuo profilo'!$B$32,0)</f>
        <v>659.2</v>
      </c>
      <c r="E478" s="21">
        <f>'2 - Le opzioni'!$B$7*'1 - Il tuo profilo'!$B$30+IF(AND($B478&gt;=4,MOD($B478,2)=0),'1 - Il tuo profilo'!$B$31,0)</f>
        <v>180.6</v>
      </c>
      <c r="F478" s="21">
        <f>IF($B478&lt;=3,'2 - Le opzioni'!$B$56,IF($B478&lt;=7,'2 - Le opzioni'!$B$57,IF($B478&lt;=12,'2 - Le opzioni'!$B$58,'2 - Le opzioni'!$B$59+'2 - Le opzioni'!$B$60*($B478-13))))*1*(0.5+0.5*'1 - Il tuo profilo'!$B$9/'2 - Le opzioni'!$B$63)</f>
        <v>350</v>
      </c>
      <c r="L478" s="21">
        <f t="shared" si="42"/>
        <v>2432.9664000000002</v>
      </c>
      <c r="M478" s="33">
        <f>1/(1+'1 - Il tuo profilo'!$B$13)^A478</f>
        <v>0.970873786407767</v>
      </c>
    </row>
    <row r="479" spans="1:18">
      <c r="A479" s="26">
        <v>2</v>
      </c>
      <c r="B479" s="26">
        <f>2</f>
        <v>2</v>
      </c>
      <c r="C479" s="21">
        <f>'1 - Il tuo profilo'!$B$9/100*'2 - Le opzioni'!$B$8*'1 - Il tuo profilo'!$B$25</f>
        <v>1243.1664000000001</v>
      </c>
      <c r="D479" s="21">
        <f>'1 - Il tuo profilo'!$B$29+IF($B479&lt;='2 - Le opzioni'!$B$64,'1 - Il tuo profilo'!$B$32,0)</f>
        <v>659.2</v>
      </c>
      <c r="E479" s="21">
        <f>'2 - Le opzioni'!$B$7*'1 - Il tuo profilo'!$B$30+IF(AND($B479&gt;=4,MOD($B479,2)=0),'1 - Il tuo profilo'!$B$31,0)</f>
        <v>180.6</v>
      </c>
      <c r="F479" s="21">
        <f>IF($B479&lt;=3,'2 - Le opzioni'!$B$56,IF($B479&lt;=7,'2 - Le opzioni'!$B$57,IF($B479&lt;=12,'2 - Le opzioni'!$B$58,'2 - Le opzioni'!$B$59+'2 - Le opzioni'!$B$60*($B479-13))))*1*(0.5+0.5*'1 - Il tuo profilo'!$B$9/'2 - Le opzioni'!$B$63)</f>
        <v>350</v>
      </c>
      <c r="L479" s="21">
        <f t="shared" si="42"/>
        <v>2432.9664000000002</v>
      </c>
      <c r="M479" s="33">
        <f>1/(1+'1 - Il tuo profilo'!$B$13)^A479</f>
        <v>0.94259590913375435</v>
      </c>
    </row>
    <row r="480" spans="1:18">
      <c r="A480" s="26">
        <v>3</v>
      </c>
      <c r="B480" s="26">
        <f>3</f>
        <v>3</v>
      </c>
      <c r="C480" s="21">
        <f>'1 - Il tuo profilo'!$B$9/100*'2 - Le opzioni'!$B$8*'1 - Il tuo profilo'!$B$25</f>
        <v>1243.1664000000001</v>
      </c>
      <c r="D480" s="21">
        <f>'1 - Il tuo profilo'!$B$29+IF($B480&lt;='2 - Le opzioni'!$B$64,'1 - Il tuo profilo'!$B$32,0)</f>
        <v>659.2</v>
      </c>
      <c r="E480" s="21">
        <f>'2 - Le opzioni'!$B$7*'1 - Il tuo profilo'!$B$30+IF(AND($B480&gt;=4,MOD($B480,2)=0),'1 - Il tuo profilo'!$B$31,0)</f>
        <v>180.6</v>
      </c>
      <c r="F480" s="21">
        <f>IF($B480&lt;=3,'2 - Le opzioni'!$B$56,IF($B480&lt;=7,'2 - Le opzioni'!$B$57,IF($B480&lt;=12,'2 - Le opzioni'!$B$58,'2 - Le opzioni'!$B$59+'2 - Le opzioni'!$B$60*($B480-13))))*1*(0.5+0.5*'1 - Il tuo profilo'!$B$9/'2 - Le opzioni'!$B$63)</f>
        <v>350</v>
      </c>
      <c r="L480" s="21">
        <f t="shared" si="42"/>
        <v>2432.9664000000002</v>
      </c>
      <c r="M480" s="33">
        <f>1/(1+'1 - Il tuo profilo'!$B$13)^A480</f>
        <v>0.91514165935315961</v>
      </c>
    </row>
    <row r="481" spans="1:18">
      <c r="A481" s="26">
        <v>4</v>
      </c>
      <c r="B481" s="26">
        <f>4</f>
        <v>4</v>
      </c>
      <c r="C481" s="21">
        <f>'1 - Il tuo profilo'!$B$9/100*'2 - Le opzioni'!$B$8*'1 - Il tuo profilo'!$B$25</f>
        <v>1243.1664000000001</v>
      </c>
      <c r="D481" s="21">
        <f>'1 - Il tuo profilo'!$B$29+IF($B481&lt;='2 - Le opzioni'!$B$64,'1 - Il tuo profilo'!$B$32,0)</f>
        <v>659.2</v>
      </c>
      <c r="E481" s="21">
        <f>'2 - Le opzioni'!$B$7*'1 - Il tuo profilo'!$B$30+IF(AND($B481&gt;=4,MOD($B481,2)=0),'1 - Il tuo profilo'!$B$31,0)</f>
        <v>259.62</v>
      </c>
      <c r="F481" s="21">
        <f>IF($B481&lt;=3,'2 - Le opzioni'!$B$56,IF($B481&lt;=7,'2 - Le opzioni'!$B$57,IF($B481&lt;=12,'2 - Le opzioni'!$B$58,'2 - Le opzioni'!$B$59+'2 - Le opzioni'!$B$60*($B481-13))))*1*(0.5+0.5*'1 - Il tuo profilo'!$B$9/'2 - Le opzioni'!$B$63)</f>
        <v>600</v>
      </c>
      <c r="G481" s="21">
        <f>-('2 - Le opzioni'!$B$6*IF(4&gt;=MAX('2 - Le opzioni'!$B$67:$K$67),0,INDEX('2 - Le opzioni'!$B$68:$K$68,MATCH(4,'2 - Le opzioni'!$B$67:$K$67,1))+(INDEX('2 - Le opzioni'!$B$68:$K$68,MATCH(4,'2 - Le opzioni'!$B$67:$K$67,1)+1)-INDEX('2 - Le opzioni'!$B$68:$K$68,MATCH(4,'2 - Le opzioni'!$B$67:$K$67,1)))*(4-INDEX('2 - Le opzioni'!$B$67:$K$67,MATCH(4,'2 - Le opzioni'!$B$67:$K$67,1)))/(INDEX('2 - Le opzioni'!$B$67:$K$67,MATCH(4,'2 - Le opzioni'!$B$67:$K$67,1)+1)-INDEX('2 - Le opzioni'!$B$67:$K$67,MATCH(4,'2 - Le opzioni'!$B$67:$K$67,1)))))</f>
        <v>-10450</v>
      </c>
      <c r="L481" s="21">
        <f t="shared" si="42"/>
        <v>-7688.0136000000002</v>
      </c>
      <c r="M481" s="33">
        <f>1/(1+'1 - Il tuo profilo'!$B$13)^A481</f>
        <v>0.888487047915689</v>
      </c>
    </row>
    <row r="482" spans="1:18">
      <c r="A482" s="26">
        <v>5</v>
      </c>
      <c r="L482" s="21">
        <f t="shared" si="42"/>
        <v>0</v>
      </c>
      <c r="M482" s="33">
        <f>1/(1+'1 - Il tuo profilo'!$B$13)^A482</f>
        <v>0.86260878438416411</v>
      </c>
    </row>
    <row r="483" spans="1:18">
      <c r="A483" s="26">
        <v>6</v>
      </c>
      <c r="L483" s="21">
        <f t="shared" si="42"/>
        <v>0</v>
      </c>
      <c r="M483" s="33">
        <f>1/(1+'1 - Il tuo profilo'!$B$13)^A483</f>
        <v>0.83748425668365445</v>
      </c>
    </row>
    <row r="484" spans="1:18">
      <c r="A484" s="26">
        <v>7</v>
      </c>
      <c r="L484" s="21">
        <f t="shared" si="42"/>
        <v>0</v>
      </c>
      <c r="M484" s="33">
        <f>1/(1+'1 - Il tuo profilo'!$B$13)^A484</f>
        <v>0.81309151134335378</v>
      </c>
    </row>
    <row r="485" spans="1:18">
      <c r="A485" s="26">
        <v>8</v>
      </c>
      <c r="L485" s="21">
        <f t="shared" si="42"/>
        <v>0</v>
      </c>
      <c r="M485" s="33">
        <f>1/(1+'1 - Il tuo profilo'!$B$13)^A485</f>
        <v>0.78940923431393573</v>
      </c>
    </row>
    <row r="486" spans="1:18">
      <c r="A486" s="26">
        <v>9</v>
      </c>
      <c r="L486" s="21">
        <f t="shared" si="42"/>
        <v>0</v>
      </c>
      <c r="M486" s="33">
        <f>1/(1+'1 - Il tuo profilo'!$B$13)^A486</f>
        <v>0.76641673234362695</v>
      </c>
    </row>
    <row r="487" spans="1:18">
      <c r="A487" s="26">
        <v>10</v>
      </c>
      <c r="L487" s="21">
        <f t="shared" si="42"/>
        <v>0</v>
      </c>
      <c r="M487" s="33">
        <f>1/(1+'1 - Il tuo profilo'!$B$13)^A487</f>
        <v>0.74409391489672516</v>
      </c>
    </row>
    <row r="489" spans="1:18" ht="32.1" customHeight="1">
      <c r="A489" s="30" t="s">
        <v>285</v>
      </c>
      <c r="B489" s="30" t="s">
        <v>286</v>
      </c>
      <c r="C489" s="30" t="s">
        <v>287</v>
      </c>
      <c r="D489" s="30" t="s">
        <v>288</v>
      </c>
      <c r="E489" s="30" t="s">
        <v>289</v>
      </c>
      <c r="F489" s="30" t="s">
        <v>290</v>
      </c>
      <c r="G489" s="30" t="s">
        <v>291</v>
      </c>
      <c r="H489" s="30" t="s">
        <v>292</v>
      </c>
      <c r="I489" s="30" t="s">
        <v>225</v>
      </c>
      <c r="J489" s="30" t="s">
        <v>293</v>
      </c>
      <c r="K489" s="30" t="s">
        <v>294</v>
      </c>
      <c r="L489" s="30" t="s">
        <v>295</v>
      </c>
      <c r="M489" s="30" t="s">
        <v>227</v>
      </c>
    </row>
    <row r="490" spans="1:18">
      <c r="A490" s="21">
        <f>L477+NPV('1 - Il tuo profilo'!$B$13,L478:L487)+E490+G490</f>
        <v>19051.215877317565</v>
      </c>
      <c r="B490" s="21">
        <f>SUM(L477:L487)+F490+H490</f>
        <v>18610.885600000001</v>
      </c>
      <c r="C490" s="26">
        <f>4</f>
        <v>4</v>
      </c>
      <c r="D490" s="33">
        <f>PV('1 - Il tuo profilo'!$B$13,C490,-1)</f>
        <v>3.7170984028103682</v>
      </c>
      <c r="E490" s="21">
        <f>0</f>
        <v>0</v>
      </c>
      <c r="F490" s="21">
        <f>0</f>
        <v>0</v>
      </c>
      <c r="G490" s="21">
        <f>0</f>
        <v>0</v>
      </c>
      <c r="H490" s="21">
        <f>0</f>
        <v>0</v>
      </c>
      <c r="I490" s="21">
        <f>IF(C490&gt;=10,A490,A490/D490*'2 - Le opzioni'!$B$112-'1 - Il tuo profilo'!$B$33)</f>
        <v>40719.783043100048</v>
      </c>
      <c r="J490" s="21">
        <f>IF(C490&gt;=10,B490,B490*10/C490-'1 - Il tuo profilo'!$B$33)</f>
        <v>43527.214000000007</v>
      </c>
      <c r="K490" s="18">
        <f>I490/'2 - Le opzioni'!$B$112</f>
        <v>4773.6007949948062</v>
      </c>
      <c r="L490" s="18">
        <f>K490/12</f>
        <v>397.80006624956718</v>
      </c>
      <c r="M490" s="31">
        <f>K490/'1 - Il tuo profilo'!$B$9</f>
        <v>0.39780006624956721</v>
      </c>
    </row>
    <row r="491" spans="1:18" ht="32.1" customHeight="1">
      <c r="A491" s="30" t="s">
        <v>296</v>
      </c>
      <c r="B491" s="30" t="s">
        <v>297</v>
      </c>
      <c r="C491" s="30" t="s">
        <v>298</v>
      </c>
      <c r="D491" s="30" t="s">
        <v>299</v>
      </c>
      <c r="E491" s="30" t="s">
        <v>300</v>
      </c>
      <c r="F491" s="30" t="s">
        <v>301</v>
      </c>
      <c r="G491" s="30" t="s">
        <v>302</v>
      </c>
      <c r="H491" s="30" t="s">
        <v>303</v>
      </c>
      <c r="I491" s="30" t="s">
        <v>304</v>
      </c>
      <c r="J491" s="30" t="s">
        <v>305</v>
      </c>
      <c r="K491" s="30" t="s">
        <v>306</v>
      </c>
      <c r="L491" s="30" t="s">
        <v>307</v>
      </c>
      <c r="M491" s="30" t="s">
        <v>308</v>
      </c>
      <c r="N491" s="30" t="s">
        <v>309</v>
      </c>
      <c r="O491" s="30" t="s">
        <v>310</v>
      </c>
      <c r="P491" s="30" t="s">
        <v>311</v>
      </c>
      <c r="Q491" s="30" t="s">
        <v>312</v>
      </c>
      <c r="R491" s="30" t="s">
        <v>313</v>
      </c>
    </row>
    <row r="492" spans="1:18">
      <c r="A492" s="21">
        <f>SUMPRODUCT(G477:G487,M477:M487)</f>
        <v>9715.3103492810496</v>
      </c>
      <c r="B492" s="21">
        <f>SUMPRODUCT(H477:H487,M477:M487)</f>
        <v>0</v>
      </c>
      <c r="C492" s="21">
        <f>SUMPRODUCT(I477:I487,M477:M487)+G490</f>
        <v>0</v>
      </c>
      <c r="D492" s="21">
        <f>SUMPRODUCT(C477:C487,M477:M487)</f>
        <v>4620.9718398675177</v>
      </c>
      <c r="E492" s="21">
        <f>SUMPRODUCT(D477:D487,M477:M487)</f>
        <v>2450.3112671325962</v>
      </c>
      <c r="F492" s="21">
        <f>SUMPRODUCT(E477:E487,M477:M487)</f>
        <v>741.5162180738505</v>
      </c>
      <c r="G492" s="21">
        <f>SUMPRODUCT(F477:F487,M477:M487)</f>
        <v>1523.1062029625518</v>
      </c>
      <c r="H492" s="21">
        <f>SUMPRODUCT(J477:J487,M477:M487)</f>
        <v>0</v>
      </c>
      <c r="I492" s="21">
        <f>SUMPRODUCT(K477:K487,M477:M487)</f>
        <v>0</v>
      </c>
      <c r="J492" s="18">
        <f t="shared" ref="J492:R492" si="43">A492/$D490/12</f>
        <v>217.80676970007133</v>
      </c>
      <c r="K492" s="18">
        <f t="shared" si="43"/>
        <v>0</v>
      </c>
      <c r="L492" s="18">
        <f t="shared" si="43"/>
        <v>0</v>
      </c>
      <c r="M492" s="18">
        <f t="shared" si="43"/>
        <v>103.59720000000006</v>
      </c>
      <c r="N492" s="18">
        <f t="shared" si="43"/>
        <v>54.933333333333366</v>
      </c>
      <c r="O492" s="18">
        <f t="shared" si="43"/>
        <v>16.623993092596454</v>
      </c>
      <c r="P492" s="18">
        <f t="shared" si="43"/>
        <v>34.146396774855901</v>
      </c>
      <c r="Q492" s="18">
        <f t="shared" si="43"/>
        <v>0</v>
      </c>
      <c r="R492" s="18">
        <f t="shared" si="43"/>
        <v>0</v>
      </c>
    </row>
    <row r="494" spans="1:18">
      <c r="A494" s="2" t="s">
        <v>336</v>
      </c>
    </row>
    <row r="495" spans="1:18" ht="32.1" customHeight="1">
      <c r="A495" s="30" t="s">
        <v>272</v>
      </c>
      <c r="B495" s="30" t="s">
        <v>273</v>
      </c>
      <c r="C495" s="30" t="s">
        <v>274</v>
      </c>
      <c r="D495" s="30" t="s">
        <v>275</v>
      </c>
      <c r="E495" s="30" t="s">
        <v>276</v>
      </c>
      <c r="F495" s="30" t="s">
        <v>277</v>
      </c>
      <c r="G495" s="30" t="s">
        <v>278</v>
      </c>
      <c r="H495" s="30" t="s">
        <v>279</v>
      </c>
      <c r="I495" s="30" t="s">
        <v>280</v>
      </c>
      <c r="J495" s="30" t="s">
        <v>281</v>
      </c>
      <c r="K495" s="30" t="s">
        <v>282</v>
      </c>
      <c r="L495" s="30" t="s">
        <v>283</v>
      </c>
      <c r="M495" s="30" t="s">
        <v>284</v>
      </c>
    </row>
    <row r="496" spans="1:18">
      <c r="A496" s="26">
        <v>0</v>
      </c>
      <c r="G496" s="21">
        <f>'2 - Le opzioni'!$B$6</f>
        <v>19000</v>
      </c>
      <c r="L496" s="21">
        <f t="shared" ref="L496:L506" si="44">SUM(C496:K496)</f>
        <v>19000</v>
      </c>
      <c r="M496" s="33">
        <f>1/(1+'1 - Il tuo profilo'!$B$13)^A496</f>
        <v>1</v>
      </c>
    </row>
    <row r="497" spans="1:18">
      <c r="A497" s="26">
        <v>1</v>
      </c>
      <c r="B497" s="26">
        <f>1</f>
        <v>1</v>
      </c>
      <c r="C497" s="21">
        <f>'1 - Il tuo profilo'!$B$9/100*'2 - Le opzioni'!$B$8*'1 - Il tuo profilo'!$B$25</f>
        <v>1243.1664000000001</v>
      </c>
      <c r="D497" s="21">
        <f>'1 - Il tuo profilo'!$B$29+IF($B497&lt;='2 - Le opzioni'!$B$64,'1 - Il tuo profilo'!$B$32,0)</f>
        <v>659.2</v>
      </c>
      <c r="E497" s="21">
        <f>'2 - Le opzioni'!$B$7*'1 - Il tuo profilo'!$B$30+IF(AND($B497&gt;=4,MOD($B497,2)=0),'1 - Il tuo profilo'!$B$31,0)</f>
        <v>180.6</v>
      </c>
      <c r="F497" s="21">
        <f>IF($B497&lt;=3,'2 - Le opzioni'!$B$56,IF($B497&lt;=7,'2 - Le opzioni'!$B$57,IF($B497&lt;=12,'2 - Le opzioni'!$B$58,'2 - Le opzioni'!$B$59+'2 - Le opzioni'!$B$60*($B497-13))))*1*(0.5+0.5*'1 - Il tuo profilo'!$B$9/'2 - Le opzioni'!$B$63)</f>
        <v>350</v>
      </c>
      <c r="L497" s="21">
        <f t="shared" si="44"/>
        <v>2432.9664000000002</v>
      </c>
      <c r="M497" s="33">
        <f>1/(1+'1 - Il tuo profilo'!$B$13)^A497</f>
        <v>0.970873786407767</v>
      </c>
    </row>
    <row r="498" spans="1:18">
      <c r="A498" s="26">
        <v>2</v>
      </c>
      <c r="B498" s="26">
        <f>2</f>
        <v>2</v>
      </c>
      <c r="C498" s="21">
        <f>'1 - Il tuo profilo'!$B$9/100*'2 - Le opzioni'!$B$8*'1 - Il tuo profilo'!$B$25</f>
        <v>1243.1664000000001</v>
      </c>
      <c r="D498" s="21">
        <f>'1 - Il tuo profilo'!$B$29+IF($B498&lt;='2 - Le opzioni'!$B$64,'1 - Il tuo profilo'!$B$32,0)</f>
        <v>659.2</v>
      </c>
      <c r="E498" s="21">
        <f>'2 - Le opzioni'!$B$7*'1 - Il tuo profilo'!$B$30+IF(AND($B498&gt;=4,MOD($B498,2)=0),'1 - Il tuo profilo'!$B$31,0)</f>
        <v>180.6</v>
      </c>
      <c r="F498" s="21">
        <f>IF($B498&lt;=3,'2 - Le opzioni'!$B$56,IF($B498&lt;=7,'2 - Le opzioni'!$B$57,IF($B498&lt;=12,'2 - Le opzioni'!$B$58,'2 - Le opzioni'!$B$59+'2 - Le opzioni'!$B$60*($B498-13))))*1*(0.5+0.5*'1 - Il tuo profilo'!$B$9/'2 - Le opzioni'!$B$63)</f>
        <v>350</v>
      </c>
      <c r="L498" s="21">
        <f t="shared" si="44"/>
        <v>2432.9664000000002</v>
      </c>
      <c r="M498" s="33">
        <f>1/(1+'1 - Il tuo profilo'!$B$13)^A498</f>
        <v>0.94259590913375435</v>
      </c>
    </row>
    <row r="499" spans="1:18">
      <c r="A499" s="26">
        <v>3</v>
      </c>
      <c r="B499" s="26">
        <f>3</f>
        <v>3</v>
      </c>
      <c r="C499" s="21">
        <f>'1 - Il tuo profilo'!$B$9/100*'2 - Le opzioni'!$B$8*'1 - Il tuo profilo'!$B$25</f>
        <v>1243.1664000000001</v>
      </c>
      <c r="D499" s="21">
        <f>'1 - Il tuo profilo'!$B$29+IF($B499&lt;='2 - Le opzioni'!$B$64,'1 - Il tuo profilo'!$B$32,0)</f>
        <v>659.2</v>
      </c>
      <c r="E499" s="21">
        <f>'2 - Le opzioni'!$B$7*'1 - Il tuo profilo'!$B$30+IF(AND($B499&gt;=4,MOD($B499,2)=0),'1 - Il tuo profilo'!$B$31,0)</f>
        <v>180.6</v>
      </c>
      <c r="F499" s="21">
        <f>IF($B499&lt;=3,'2 - Le opzioni'!$B$56,IF($B499&lt;=7,'2 - Le opzioni'!$B$57,IF($B499&lt;=12,'2 - Le opzioni'!$B$58,'2 - Le opzioni'!$B$59+'2 - Le opzioni'!$B$60*($B499-13))))*1*(0.5+0.5*'1 - Il tuo profilo'!$B$9/'2 - Le opzioni'!$B$63)</f>
        <v>350</v>
      </c>
      <c r="L499" s="21">
        <f t="shared" si="44"/>
        <v>2432.9664000000002</v>
      </c>
      <c r="M499" s="33">
        <f>1/(1+'1 - Il tuo profilo'!$B$13)^A499</f>
        <v>0.91514165935315961</v>
      </c>
    </row>
    <row r="500" spans="1:18">
      <c r="A500" s="26">
        <v>4</v>
      </c>
      <c r="B500" s="26">
        <f>4</f>
        <v>4</v>
      </c>
      <c r="C500" s="21">
        <f>'1 - Il tuo profilo'!$B$9/100*'2 - Le opzioni'!$B$8*'1 - Il tuo profilo'!$B$25</f>
        <v>1243.1664000000001</v>
      </c>
      <c r="D500" s="21">
        <f>'1 - Il tuo profilo'!$B$29+IF($B500&lt;='2 - Le opzioni'!$B$64,'1 - Il tuo profilo'!$B$32,0)</f>
        <v>659.2</v>
      </c>
      <c r="E500" s="21">
        <f>'2 - Le opzioni'!$B$7*'1 - Il tuo profilo'!$B$30+IF(AND($B500&gt;=4,MOD($B500,2)=0),'1 - Il tuo profilo'!$B$31,0)</f>
        <v>259.62</v>
      </c>
      <c r="F500" s="21">
        <f>IF($B500&lt;=3,'2 - Le opzioni'!$B$56,IF($B500&lt;=7,'2 - Le opzioni'!$B$57,IF($B500&lt;=12,'2 - Le opzioni'!$B$58,'2 - Le opzioni'!$B$59+'2 - Le opzioni'!$B$60*($B500-13))))*1*(0.5+0.5*'1 - Il tuo profilo'!$B$9/'2 - Le opzioni'!$B$63)</f>
        <v>600</v>
      </c>
      <c r="L500" s="21">
        <f t="shared" si="44"/>
        <v>2761.9864000000002</v>
      </c>
      <c r="M500" s="33">
        <f>1/(1+'1 - Il tuo profilo'!$B$13)^A500</f>
        <v>0.888487047915689</v>
      </c>
    </row>
    <row r="501" spans="1:18">
      <c r="A501" s="26">
        <v>5</v>
      </c>
      <c r="B501" s="26">
        <f>5</f>
        <v>5</v>
      </c>
      <c r="C501" s="21">
        <f>'1 - Il tuo profilo'!$B$9/100*'2 - Le opzioni'!$B$8*'1 - Il tuo profilo'!$B$25</f>
        <v>1243.1664000000001</v>
      </c>
      <c r="D501" s="21">
        <f>'1 - Il tuo profilo'!$B$29+IF($B501&lt;='2 - Le opzioni'!$B$64,'1 - Il tuo profilo'!$B$32,0)</f>
        <v>659.2</v>
      </c>
      <c r="E501" s="21">
        <f>'2 - Le opzioni'!$B$7*'1 - Il tuo profilo'!$B$30+IF(AND($B501&gt;=4,MOD($B501,2)=0),'1 - Il tuo profilo'!$B$31,0)</f>
        <v>180.6</v>
      </c>
      <c r="F501" s="21">
        <f>IF($B501&lt;=3,'2 - Le opzioni'!$B$56,IF($B501&lt;=7,'2 - Le opzioni'!$B$57,IF($B501&lt;=12,'2 - Le opzioni'!$B$58,'2 - Le opzioni'!$B$59+'2 - Le opzioni'!$B$60*($B501-13))))*1*(0.5+0.5*'1 - Il tuo profilo'!$B$9/'2 - Le opzioni'!$B$63)</f>
        <v>600</v>
      </c>
      <c r="G501" s="21">
        <f>-('2 - Le opzioni'!$B$6*IF(5&gt;=MAX('2 - Le opzioni'!$B$67:$K$67),0,INDEX('2 - Le opzioni'!$B$68:$K$68,MATCH(5,'2 - Le opzioni'!$B$67:$K$67,1))+(INDEX('2 - Le opzioni'!$B$68:$K$68,MATCH(5,'2 - Le opzioni'!$B$67:$K$67,1)+1)-INDEX('2 - Le opzioni'!$B$68:$K$68,MATCH(5,'2 - Le opzioni'!$B$67:$K$67,1)))*(5-INDEX('2 - Le opzioni'!$B$67:$K$67,MATCH(5,'2 - Le opzioni'!$B$67:$K$67,1)))/(INDEX('2 - Le opzioni'!$B$67:$K$67,MATCH(5,'2 - Le opzioni'!$B$67:$K$67,1)+1)-INDEX('2 - Le opzioni'!$B$67:$K$67,MATCH(5,'2 - Le opzioni'!$B$67:$K$67,1)))))</f>
        <v>-9310</v>
      </c>
      <c r="L501" s="21">
        <f t="shared" si="44"/>
        <v>-6627.0335999999998</v>
      </c>
      <c r="M501" s="33">
        <f>1/(1+'1 - Il tuo profilo'!$B$13)^A501</f>
        <v>0.86260878438416411</v>
      </c>
    </row>
    <row r="502" spans="1:18">
      <c r="A502" s="26">
        <v>6</v>
      </c>
      <c r="L502" s="21">
        <f t="shared" si="44"/>
        <v>0</v>
      </c>
      <c r="M502" s="33">
        <f>1/(1+'1 - Il tuo profilo'!$B$13)^A502</f>
        <v>0.83748425668365445</v>
      </c>
    </row>
    <row r="503" spans="1:18">
      <c r="A503" s="26">
        <v>7</v>
      </c>
      <c r="L503" s="21">
        <f t="shared" si="44"/>
        <v>0</v>
      </c>
      <c r="M503" s="33">
        <f>1/(1+'1 - Il tuo profilo'!$B$13)^A503</f>
        <v>0.81309151134335378</v>
      </c>
    </row>
    <row r="504" spans="1:18">
      <c r="A504" s="26">
        <v>8</v>
      </c>
      <c r="L504" s="21">
        <f t="shared" si="44"/>
        <v>0</v>
      </c>
      <c r="M504" s="33">
        <f>1/(1+'1 - Il tuo profilo'!$B$13)^A504</f>
        <v>0.78940923431393573</v>
      </c>
    </row>
    <row r="505" spans="1:18">
      <c r="A505" s="26">
        <v>9</v>
      </c>
      <c r="L505" s="21">
        <f t="shared" si="44"/>
        <v>0</v>
      </c>
      <c r="M505" s="33">
        <f>1/(1+'1 - Il tuo profilo'!$B$13)^A505</f>
        <v>0.76641673234362695</v>
      </c>
    </row>
    <row r="506" spans="1:18">
      <c r="A506" s="26">
        <v>10</v>
      </c>
      <c r="L506" s="21">
        <f t="shared" si="44"/>
        <v>0</v>
      </c>
      <c r="M506" s="33">
        <f>1/(1+'1 - Il tuo profilo'!$B$13)^A506</f>
        <v>0.74409391489672516</v>
      </c>
    </row>
    <row r="508" spans="1:18" ht="32.1" customHeight="1">
      <c r="A508" s="30" t="s">
        <v>285</v>
      </c>
      <c r="B508" s="30" t="s">
        <v>286</v>
      </c>
      <c r="C508" s="30" t="s">
        <v>287</v>
      </c>
      <c r="D508" s="30" t="s">
        <v>288</v>
      </c>
      <c r="E508" s="30" t="s">
        <v>289</v>
      </c>
      <c r="F508" s="30" t="s">
        <v>290</v>
      </c>
      <c r="G508" s="30" t="s">
        <v>291</v>
      </c>
      <c r="H508" s="30" t="s">
        <v>292</v>
      </c>
      <c r="I508" s="30" t="s">
        <v>225</v>
      </c>
      <c r="J508" s="30" t="s">
        <v>293</v>
      </c>
      <c r="K508" s="30" t="s">
        <v>294</v>
      </c>
      <c r="L508" s="30" t="s">
        <v>295</v>
      </c>
      <c r="M508" s="30" t="s">
        <v>227</v>
      </c>
    </row>
    <row r="509" spans="1:18">
      <c r="A509" s="21">
        <f>L496+NPV('1 - Il tuo profilo'!$B$13,L497:L506)+E509+G509</f>
        <v>22619.368130267507</v>
      </c>
      <c r="B509" s="21">
        <f>SUM(L496:L506)+F509+H509</f>
        <v>22433.852000000006</v>
      </c>
      <c r="C509" s="26">
        <f>5</f>
        <v>5</v>
      </c>
      <c r="D509" s="33">
        <f>PV('1 - Il tuo profilo'!$B$13,C509,-1)</f>
        <v>4.5797071871945301</v>
      </c>
      <c r="E509" s="21">
        <f>0</f>
        <v>0</v>
      </c>
      <c r="F509" s="21">
        <f>0</f>
        <v>0</v>
      </c>
      <c r="G509" s="21">
        <f>0</f>
        <v>0</v>
      </c>
      <c r="H509" s="21">
        <f>0</f>
        <v>0</v>
      </c>
      <c r="I509" s="21">
        <f>IF(C509&gt;=10,A509,A509/D509*'2 - Le opzioni'!$B$112-'1 - Il tuo profilo'!$B$33)</f>
        <v>39131.033776655488</v>
      </c>
      <c r="J509" s="21">
        <f>IF(C509&gt;=10,B509,B509*10/C509-'1 - Il tuo profilo'!$B$33)</f>
        <v>41867.704000000012</v>
      </c>
      <c r="K509" s="18">
        <f>I509/'2 - Le opzioni'!$B$112</f>
        <v>4587.350913620935</v>
      </c>
      <c r="L509" s="18">
        <f>K509/12</f>
        <v>382.2792428017446</v>
      </c>
      <c r="M509" s="31">
        <f>K509/'1 - Il tuo profilo'!$B$9</f>
        <v>0.38227924280174458</v>
      </c>
    </row>
    <row r="510" spans="1:18" ht="32.1" customHeight="1">
      <c r="A510" s="30" t="s">
        <v>296</v>
      </c>
      <c r="B510" s="30" t="s">
        <v>297</v>
      </c>
      <c r="C510" s="30" t="s">
        <v>298</v>
      </c>
      <c r="D510" s="30" t="s">
        <v>299</v>
      </c>
      <c r="E510" s="30" t="s">
        <v>300</v>
      </c>
      <c r="F510" s="30" t="s">
        <v>301</v>
      </c>
      <c r="G510" s="30" t="s">
        <v>302</v>
      </c>
      <c r="H510" s="30" t="s">
        <v>303</v>
      </c>
      <c r="I510" s="30" t="s">
        <v>304</v>
      </c>
      <c r="J510" s="30" t="s">
        <v>305</v>
      </c>
      <c r="K510" s="30" t="s">
        <v>306</v>
      </c>
      <c r="L510" s="30" t="s">
        <v>307</v>
      </c>
      <c r="M510" s="30" t="s">
        <v>308</v>
      </c>
      <c r="N510" s="30" t="s">
        <v>309</v>
      </c>
      <c r="O510" s="30" t="s">
        <v>310</v>
      </c>
      <c r="P510" s="30" t="s">
        <v>311</v>
      </c>
      <c r="Q510" s="30" t="s">
        <v>312</v>
      </c>
      <c r="R510" s="30" t="s">
        <v>313</v>
      </c>
    </row>
    <row r="511" spans="1:18">
      <c r="A511" s="21">
        <f>SUMPRODUCT(G496:G506,M496:M506)</f>
        <v>10969.112217383432</v>
      </c>
      <c r="B511" s="21">
        <f>SUMPRODUCT(H496:H506,M496:M506)</f>
        <v>0</v>
      </c>
      <c r="C511" s="21">
        <f>SUMPRODUCT(I496:I506,M496:M506)+G509</f>
        <v>0</v>
      </c>
      <c r="D511" s="21">
        <f>SUMPRODUCT(C496:C506,M496:M506)</f>
        <v>5693.3380969587552</v>
      </c>
      <c r="E511" s="21">
        <f>SUMPRODUCT(D496:D506,M496:M506)</f>
        <v>3018.942977798637</v>
      </c>
      <c r="F511" s="21">
        <f>SUMPRODUCT(E496:E506,M496:M506)</f>
        <v>897.30336453363054</v>
      </c>
      <c r="G511" s="21">
        <f>SUMPRODUCT(F496:F506,M496:M506)</f>
        <v>2040.6714735930505</v>
      </c>
      <c r="H511" s="21">
        <f>SUMPRODUCT(J496:J506,M496:M506)</f>
        <v>0</v>
      </c>
      <c r="I511" s="21">
        <f>SUMPRODUCT(K496:K506,M496:M506)</f>
        <v>0</v>
      </c>
      <c r="J511" s="18">
        <f t="shared" ref="J511:R511" si="45">A511/$D509/12</f>
        <v>199.59631640596527</v>
      </c>
      <c r="K511" s="18">
        <f t="shared" si="45"/>
        <v>0</v>
      </c>
      <c r="L511" s="18">
        <f t="shared" si="45"/>
        <v>0</v>
      </c>
      <c r="M511" s="18">
        <f t="shared" si="45"/>
        <v>103.5972000000001</v>
      </c>
      <c r="N511" s="18">
        <f t="shared" si="45"/>
        <v>54.933333333333387</v>
      </c>
      <c r="O511" s="18">
        <f t="shared" si="45"/>
        <v>16.327524298252992</v>
      </c>
      <c r="P511" s="18">
        <f t="shared" si="45"/>
        <v>37.13249541548273</v>
      </c>
      <c r="Q511" s="18">
        <f t="shared" si="45"/>
        <v>0</v>
      </c>
      <c r="R511" s="18">
        <f t="shared" si="45"/>
        <v>0</v>
      </c>
    </row>
    <row r="513" spans="1:13">
      <c r="A513" s="2" t="s">
        <v>337</v>
      </c>
    </row>
    <row r="514" spans="1:13" ht="32.1" customHeight="1">
      <c r="A514" s="30" t="s">
        <v>272</v>
      </c>
      <c r="B514" s="30" t="s">
        <v>273</v>
      </c>
      <c r="C514" s="30" t="s">
        <v>274</v>
      </c>
      <c r="D514" s="30" t="s">
        <v>275</v>
      </c>
      <c r="E514" s="30" t="s">
        <v>276</v>
      </c>
      <c r="F514" s="30" t="s">
        <v>277</v>
      </c>
      <c r="G514" s="30" t="s">
        <v>278</v>
      </c>
      <c r="H514" s="30" t="s">
        <v>279</v>
      </c>
      <c r="I514" s="30" t="s">
        <v>280</v>
      </c>
      <c r="J514" s="30" t="s">
        <v>281</v>
      </c>
      <c r="K514" s="30" t="s">
        <v>282</v>
      </c>
      <c r="L514" s="30" t="s">
        <v>283</v>
      </c>
      <c r="M514" s="30" t="s">
        <v>284</v>
      </c>
    </row>
    <row r="515" spans="1:13">
      <c r="A515" s="26">
        <v>0</v>
      </c>
      <c r="G515" s="21">
        <f>'2 - Le opzioni'!$B$6+IF(A515=('4 - Abitudine o contratto'!$B$6),-('2 - Le opzioni'!$B$6*IF('4 - Abitudine o contratto'!$B$6&gt;=MAX('2 - Le opzioni'!$B$67:$K$67),0,INDEX('2 - Le opzioni'!$B$68:$K$68,MATCH('4 - Abitudine o contratto'!$B$6,'2 - Le opzioni'!$B$67:$K$67,1))+(INDEX('2 - Le opzioni'!$B$68:$K$68,MATCH('4 - Abitudine o contratto'!$B$6,'2 - Le opzioni'!$B$67:$K$67,1)+1)-INDEX('2 - Le opzioni'!$B$68:$K$68,MATCH('4 - Abitudine o contratto'!$B$6,'2 - Le opzioni'!$B$67:$K$67,1)))*('4 - Abitudine o contratto'!$B$6-INDEX('2 - Le opzioni'!$B$67:$K$67,MATCH('4 - Abitudine o contratto'!$B$6,'2 - Le opzioni'!$B$67:$K$67,1)))/(INDEX('2 - Le opzioni'!$B$67:$K$67,MATCH('4 - Abitudine o contratto'!$B$6,'2 - Le opzioni'!$B$67:$K$67,1)+1)-INDEX('2 - Le opzioni'!$B$67:$K$67,MATCH('4 - Abitudine o contratto'!$B$6,'2 - Le opzioni'!$B$67:$K$67,1))))),0)</f>
        <v>19000</v>
      </c>
      <c r="L515" s="21">
        <f t="shared" ref="L515:L525" si="46">SUM(C515:K515)</f>
        <v>19000</v>
      </c>
      <c r="M515" s="33">
        <f>1/(1+'1 - Il tuo profilo'!$B$13)^A515</f>
        <v>1</v>
      </c>
    </row>
    <row r="516" spans="1:13">
      <c r="A516" s="26">
        <v>1</v>
      </c>
      <c r="B516" s="26">
        <f t="shared" ref="B516:B525" si="47">A516</f>
        <v>1</v>
      </c>
      <c r="C516" s="21">
        <f>IF(A516&lt;=('4 - Abitudine o contratto'!$B$6),'1 - Il tuo profilo'!$B$9/100*'2 - Le opzioni'!$B$8*'1 - Il tuo profilo'!$B$25,0)</f>
        <v>1243.1664000000001</v>
      </c>
      <c r="D516" s="21">
        <f>IF(A516&lt;=('4 - Abitudine o contratto'!$B$6),'1 - Il tuo profilo'!$B$29+IF($B516&lt;='2 - Le opzioni'!$B$64,'1 - Il tuo profilo'!$B$32,0),0)</f>
        <v>659.2</v>
      </c>
      <c r="E516" s="21">
        <f>IF(A516&lt;=('4 - Abitudine o contratto'!$B$6),'2 - Le opzioni'!$B$7*'1 - Il tuo profilo'!$B$30+IF(AND($B516&gt;=4,MOD($B516,2)=0),'1 - Il tuo profilo'!$B$31,0),0)</f>
        <v>180.6</v>
      </c>
      <c r="F516" s="21">
        <f>IF(A516&lt;=('4 - Abitudine o contratto'!$B$6),IF($B516&lt;=3,'2 - Le opzioni'!$B$56,IF($B516&lt;=7,'2 - Le opzioni'!$B$57,IF($B516&lt;=12,'2 - Le opzioni'!$B$58,'2 - Le opzioni'!$B$59+'2 - Le opzioni'!$B$60*($B516-13))))*1*(0.5+0.5*'1 - Il tuo profilo'!$B$9/'2 - Le opzioni'!$B$63),0)</f>
        <v>350</v>
      </c>
      <c r="G516" s="21">
        <f>IF(A516=('4 - Abitudine o contratto'!$B$6),-('2 - Le opzioni'!$B$6*IF('4 - Abitudine o contratto'!$B$6&gt;=MAX('2 - Le opzioni'!$B$67:$K$67),0,INDEX('2 - Le opzioni'!$B$68:$K$68,MATCH('4 - Abitudine o contratto'!$B$6,'2 - Le opzioni'!$B$67:$K$67,1))+(INDEX('2 - Le opzioni'!$B$68:$K$68,MATCH('4 - Abitudine o contratto'!$B$6,'2 - Le opzioni'!$B$67:$K$67,1)+1)-INDEX('2 - Le opzioni'!$B$68:$K$68,MATCH('4 - Abitudine o contratto'!$B$6,'2 - Le opzioni'!$B$67:$K$67,1)))*('4 - Abitudine o contratto'!$B$6-INDEX('2 - Le opzioni'!$B$67:$K$67,MATCH('4 - Abitudine o contratto'!$B$6,'2 - Le opzioni'!$B$67:$K$67,1)))/(INDEX('2 - Le opzioni'!$B$67:$K$67,MATCH('4 - Abitudine o contratto'!$B$6,'2 - Le opzioni'!$B$67:$K$67,1)+1)-INDEX('2 - Le opzioni'!$B$67:$K$67,MATCH('4 - Abitudine o contratto'!$B$6,'2 - Le opzioni'!$B$67:$K$67,1))))),0)</f>
        <v>0</v>
      </c>
      <c r="L516" s="21">
        <f t="shared" si="46"/>
        <v>2432.9664000000002</v>
      </c>
      <c r="M516" s="33">
        <f>1/(1+'1 - Il tuo profilo'!$B$13)^A516</f>
        <v>0.970873786407767</v>
      </c>
    </row>
    <row r="517" spans="1:13">
      <c r="A517" s="26">
        <v>2</v>
      </c>
      <c r="B517" s="26">
        <f t="shared" si="47"/>
        <v>2</v>
      </c>
      <c r="C517" s="21">
        <f>IF(A517&lt;=('4 - Abitudine o contratto'!$B$6),'1 - Il tuo profilo'!$B$9/100*'2 - Le opzioni'!$B$8*'1 - Il tuo profilo'!$B$25,0)</f>
        <v>1243.1664000000001</v>
      </c>
      <c r="D517" s="21">
        <f>IF(A517&lt;=('4 - Abitudine o contratto'!$B$6),'1 - Il tuo profilo'!$B$29+IF($B517&lt;='2 - Le opzioni'!$B$64,'1 - Il tuo profilo'!$B$32,0),0)</f>
        <v>659.2</v>
      </c>
      <c r="E517" s="21">
        <f>IF(A517&lt;=('4 - Abitudine o contratto'!$B$6),'2 - Le opzioni'!$B$7*'1 - Il tuo profilo'!$B$30+IF(AND($B517&gt;=4,MOD($B517,2)=0),'1 - Il tuo profilo'!$B$31,0),0)</f>
        <v>180.6</v>
      </c>
      <c r="F517" s="21">
        <f>IF(A517&lt;=('4 - Abitudine o contratto'!$B$6),IF($B517&lt;=3,'2 - Le opzioni'!$B$56,IF($B517&lt;=7,'2 - Le opzioni'!$B$57,IF($B517&lt;=12,'2 - Le opzioni'!$B$58,'2 - Le opzioni'!$B$59+'2 - Le opzioni'!$B$60*($B517-13))))*1*(0.5+0.5*'1 - Il tuo profilo'!$B$9/'2 - Le opzioni'!$B$63),0)</f>
        <v>350</v>
      </c>
      <c r="G517" s="21">
        <f>IF(A517=('4 - Abitudine o contratto'!$B$6),-('2 - Le opzioni'!$B$6*IF('4 - Abitudine o contratto'!$B$6&gt;=MAX('2 - Le opzioni'!$B$67:$K$67),0,INDEX('2 - Le opzioni'!$B$68:$K$68,MATCH('4 - Abitudine o contratto'!$B$6,'2 - Le opzioni'!$B$67:$K$67,1))+(INDEX('2 - Le opzioni'!$B$68:$K$68,MATCH('4 - Abitudine o contratto'!$B$6,'2 - Le opzioni'!$B$67:$K$67,1)+1)-INDEX('2 - Le opzioni'!$B$68:$K$68,MATCH('4 - Abitudine o contratto'!$B$6,'2 - Le opzioni'!$B$67:$K$67,1)))*('4 - Abitudine o contratto'!$B$6-INDEX('2 - Le opzioni'!$B$67:$K$67,MATCH('4 - Abitudine o contratto'!$B$6,'2 - Le opzioni'!$B$67:$K$67,1)))/(INDEX('2 - Le opzioni'!$B$67:$K$67,MATCH('4 - Abitudine o contratto'!$B$6,'2 - Le opzioni'!$B$67:$K$67,1)+1)-INDEX('2 - Le opzioni'!$B$67:$K$67,MATCH('4 - Abitudine o contratto'!$B$6,'2 - Le opzioni'!$B$67:$K$67,1))))),0)</f>
        <v>0</v>
      </c>
      <c r="L517" s="21">
        <f t="shared" si="46"/>
        <v>2432.9664000000002</v>
      </c>
      <c r="M517" s="33">
        <f>1/(1+'1 - Il tuo profilo'!$B$13)^A517</f>
        <v>0.94259590913375435</v>
      </c>
    </row>
    <row r="518" spans="1:13">
      <c r="A518" s="26">
        <v>3</v>
      </c>
      <c r="B518" s="26">
        <f t="shared" si="47"/>
        <v>3</v>
      </c>
      <c r="C518" s="21">
        <f>IF(A518&lt;=('4 - Abitudine o contratto'!$B$6),'1 - Il tuo profilo'!$B$9/100*'2 - Le opzioni'!$B$8*'1 - Il tuo profilo'!$B$25,0)</f>
        <v>1243.1664000000001</v>
      </c>
      <c r="D518" s="21">
        <f>IF(A518&lt;=('4 - Abitudine o contratto'!$B$6),'1 - Il tuo profilo'!$B$29+IF($B518&lt;='2 - Le opzioni'!$B$64,'1 - Il tuo profilo'!$B$32,0),0)</f>
        <v>659.2</v>
      </c>
      <c r="E518" s="21">
        <f>IF(A518&lt;=('4 - Abitudine o contratto'!$B$6),'2 - Le opzioni'!$B$7*'1 - Il tuo profilo'!$B$30+IF(AND($B518&gt;=4,MOD($B518,2)=0),'1 - Il tuo profilo'!$B$31,0),0)</f>
        <v>180.6</v>
      </c>
      <c r="F518" s="21">
        <f>IF(A518&lt;=('4 - Abitudine o contratto'!$B$6),IF($B518&lt;=3,'2 - Le opzioni'!$B$56,IF($B518&lt;=7,'2 - Le opzioni'!$B$57,IF($B518&lt;=12,'2 - Le opzioni'!$B$58,'2 - Le opzioni'!$B$59+'2 - Le opzioni'!$B$60*($B518-13))))*1*(0.5+0.5*'1 - Il tuo profilo'!$B$9/'2 - Le opzioni'!$B$63),0)</f>
        <v>350</v>
      </c>
      <c r="G518" s="21">
        <f>IF(A518=('4 - Abitudine o contratto'!$B$6),-('2 - Le opzioni'!$B$6*IF('4 - Abitudine o contratto'!$B$6&gt;=MAX('2 - Le opzioni'!$B$67:$K$67),0,INDEX('2 - Le opzioni'!$B$68:$K$68,MATCH('4 - Abitudine o contratto'!$B$6,'2 - Le opzioni'!$B$67:$K$67,1))+(INDEX('2 - Le opzioni'!$B$68:$K$68,MATCH('4 - Abitudine o contratto'!$B$6,'2 - Le opzioni'!$B$67:$K$67,1)+1)-INDEX('2 - Le opzioni'!$B$68:$K$68,MATCH('4 - Abitudine o contratto'!$B$6,'2 - Le opzioni'!$B$67:$K$67,1)))*('4 - Abitudine o contratto'!$B$6-INDEX('2 - Le opzioni'!$B$67:$K$67,MATCH('4 - Abitudine o contratto'!$B$6,'2 - Le opzioni'!$B$67:$K$67,1)))/(INDEX('2 - Le opzioni'!$B$67:$K$67,MATCH('4 - Abitudine o contratto'!$B$6,'2 - Le opzioni'!$B$67:$K$67,1)+1)-INDEX('2 - Le opzioni'!$B$67:$K$67,MATCH('4 - Abitudine o contratto'!$B$6,'2 - Le opzioni'!$B$67:$K$67,1))))),0)</f>
        <v>-11780</v>
      </c>
      <c r="L518" s="21">
        <f t="shared" si="46"/>
        <v>-9347.0335999999988</v>
      </c>
      <c r="M518" s="33">
        <f>1/(1+'1 - Il tuo profilo'!$B$13)^A518</f>
        <v>0.91514165935315961</v>
      </c>
    </row>
    <row r="519" spans="1:13">
      <c r="A519" s="26">
        <v>4</v>
      </c>
      <c r="B519" s="26">
        <f t="shared" si="47"/>
        <v>4</v>
      </c>
      <c r="C519" s="21">
        <f>IF(A519&lt;=('4 - Abitudine o contratto'!$B$6),'1 - Il tuo profilo'!$B$9/100*'2 - Le opzioni'!$B$8*'1 - Il tuo profilo'!$B$25,0)</f>
        <v>0</v>
      </c>
      <c r="D519" s="21">
        <f>IF(A519&lt;=('4 - Abitudine o contratto'!$B$6),'1 - Il tuo profilo'!$B$29+IF($B519&lt;='2 - Le opzioni'!$B$64,'1 - Il tuo profilo'!$B$32,0),0)</f>
        <v>0</v>
      </c>
      <c r="E519" s="21">
        <f>IF(A519&lt;=('4 - Abitudine o contratto'!$B$6),'2 - Le opzioni'!$B$7*'1 - Il tuo profilo'!$B$30+IF(AND($B519&gt;=4,MOD($B519,2)=0),'1 - Il tuo profilo'!$B$31,0),0)</f>
        <v>0</v>
      </c>
      <c r="F519" s="21">
        <f>IF(A519&lt;=('4 - Abitudine o contratto'!$B$6),IF($B519&lt;=3,'2 - Le opzioni'!$B$56,IF($B519&lt;=7,'2 - Le opzioni'!$B$57,IF($B519&lt;=12,'2 - Le opzioni'!$B$58,'2 - Le opzioni'!$B$59+'2 - Le opzioni'!$B$60*($B519-13))))*1*(0.5+0.5*'1 - Il tuo profilo'!$B$9/'2 - Le opzioni'!$B$63),0)</f>
        <v>0</v>
      </c>
      <c r="G519" s="21">
        <f>IF(A519=('4 - Abitudine o contratto'!$B$6),-('2 - Le opzioni'!$B$6*IF('4 - Abitudine o contratto'!$B$6&gt;=MAX('2 - Le opzioni'!$B$67:$K$67),0,INDEX('2 - Le opzioni'!$B$68:$K$68,MATCH('4 - Abitudine o contratto'!$B$6,'2 - Le opzioni'!$B$67:$K$67,1))+(INDEX('2 - Le opzioni'!$B$68:$K$68,MATCH('4 - Abitudine o contratto'!$B$6,'2 - Le opzioni'!$B$67:$K$67,1)+1)-INDEX('2 - Le opzioni'!$B$68:$K$68,MATCH('4 - Abitudine o contratto'!$B$6,'2 - Le opzioni'!$B$67:$K$67,1)))*('4 - Abitudine o contratto'!$B$6-INDEX('2 - Le opzioni'!$B$67:$K$67,MATCH('4 - Abitudine o contratto'!$B$6,'2 - Le opzioni'!$B$67:$K$67,1)))/(INDEX('2 - Le opzioni'!$B$67:$K$67,MATCH('4 - Abitudine o contratto'!$B$6,'2 - Le opzioni'!$B$67:$K$67,1)+1)-INDEX('2 - Le opzioni'!$B$67:$K$67,MATCH('4 - Abitudine o contratto'!$B$6,'2 - Le opzioni'!$B$67:$K$67,1))))),0)</f>
        <v>0</v>
      </c>
      <c r="L519" s="21">
        <f t="shared" si="46"/>
        <v>0</v>
      </c>
      <c r="M519" s="33">
        <f>1/(1+'1 - Il tuo profilo'!$B$13)^A519</f>
        <v>0.888487047915689</v>
      </c>
    </row>
    <row r="520" spans="1:13">
      <c r="A520" s="26">
        <v>5</v>
      </c>
      <c r="B520" s="26">
        <f t="shared" si="47"/>
        <v>5</v>
      </c>
      <c r="C520" s="21">
        <f>IF(A520&lt;=('4 - Abitudine o contratto'!$B$6),'1 - Il tuo profilo'!$B$9/100*'2 - Le opzioni'!$B$8*'1 - Il tuo profilo'!$B$25,0)</f>
        <v>0</v>
      </c>
      <c r="D520" s="21">
        <f>IF(A520&lt;=('4 - Abitudine o contratto'!$B$6),'1 - Il tuo profilo'!$B$29+IF($B520&lt;='2 - Le opzioni'!$B$64,'1 - Il tuo profilo'!$B$32,0),0)</f>
        <v>0</v>
      </c>
      <c r="E520" s="21">
        <f>IF(A520&lt;=('4 - Abitudine o contratto'!$B$6),'2 - Le opzioni'!$B$7*'1 - Il tuo profilo'!$B$30+IF(AND($B520&gt;=4,MOD($B520,2)=0),'1 - Il tuo profilo'!$B$31,0),0)</f>
        <v>0</v>
      </c>
      <c r="F520" s="21">
        <f>IF(A520&lt;=('4 - Abitudine o contratto'!$B$6),IF($B520&lt;=3,'2 - Le opzioni'!$B$56,IF($B520&lt;=7,'2 - Le opzioni'!$B$57,IF($B520&lt;=12,'2 - Le opzioni'!$B$58,'2 - Le opzioni'!$B$59+'2 - Le opzioni'!$B$60*($B520-13))))*1*(0.5+0.5*'1 - Il tuo profilo'!$B$9/'2 - Le opzioni'!$B$63),0)</f>
        <v>0</v>
      </c>
      <c r="G520" s="21">
        <f>IF(A520=('4 - Abitudine o contratto'!$B$6),-('2 - Le opzioni'!$B$6*IF('4 - Abitudine o contratto'!$B$6&gt;=MAX('2 - Le opzioni'!$B$67:$K$67),0,INDEX('2 - Le opzioni'!$B$68:$K$68,MATCH('4 - Abitudine o contratto'!$B$6,'2 - Le opzioni'!$B$67:$K$67,1))+(INDEX('2 - Le opzioni'!$B$68:$K$68,MATCH('4 - Abitudine o contratto'!$B$6,'2 - Le opzioni'!$B$67:$K$67,1)+1)-INDEX('2 - Le opzioni'!$B$68:$K$68,MATCH('4 - Abitudine o contratto'!$B$6,'2 - Le opzioni'!$B$67:$K$67,1)))*('4 - Abitudine o contratto'!$B$6-INDEX('2 - Le opzioni'!$B$67:$K$67,MATCH('4 - Abitudine o contratto'!$B$6,'2 - Le opzioni'!$B$67:$K$67,1)))/(INDEX('2 - Le opzioni'!$B$67:$K$67,MATCH('4 - Abitudine o contratto'!$B$6,'2 - Le opzioni'!$B$67:$K$67,1)+1)-INDEX('2 - Le opzioni'!$B$67:$K$67,MATCH('4 - Abitudine o contratto'!$B$6,'2 - Le opzioni'!$B$67:$K$67,1))))),0)</f>
        <v>0</v>
      </c>
      <c r="L520" s="21">
        <f t="shared" si="46"/>
        <v>0</v>
      </c>
      <c r="M520" s="33">
        <f>1/(1+'1 - Il tuo profilo'!$B$13)^A520</f>
        <v>0.86260878438416411</v>
      </c>
    </row>
    <row r="521" spans="1:13">
      <c r="A521" s="26">
        <v>6</v>
      </c>
      <c r="B521" s="26">
        <f t="shared" si="47"/>
        <v>6</v>
      </c>
      <c r="C521" s="21">
        <f>IF(A521&lt;=('4 - Abitudine o contratto'!$B$6),'1 - Il tuo profilo'!$B$9/100*'2 - Le opzioni'!$B$8*'1 - Il tuo profilo'!$B$25,0)</f>
        <v>0</v>
      </c>
      <c r="D521" s="21">
        <f>IF(A521&lt;=('4 - Abitudine o contratto'!$B$6),'1 - Il tuo profilo'!$B$29+IF($B521&lt;='2 - Le opzioni'!$B$64,'1 - Il tuo profilo'!$B$32,0),0)</f>
        <v>0</v>
      </c>
      <c r="E521" s="21">
        <f>IF(A521&lt;=('4 - Abitudine o contratto'!$B$6),'2 - Le opzioni'!$B$7*'1 - Il tuo profilo'!$B$30+IF(AND($B521&gt;=4,MOD($B521,2)=0),'1 - Il tuo profilo'!$B$31,0),0)</f>
        <v>0</v>
      </c>
      <c r="F521" s="21">
        <f>IF(A521&lt;=('4 - Abitudine o contratto'!$B$6),IF($B521&lt;=3,'2 - Le opzioni'!$B$56,IF($B521&lt;=7,'2 - Le opzioni'!$B$57,IF($B521&lt;=12,'2 - Le opzioni'!$B$58,'2 - Le opzioni'!$B$59+'2 - Le opzioni'!$B$60*($B521-13))))*1*(0.5+0.5*'1 - Il tuo profilo'!$B$9/'2 - Le opzioni'!$B$63),0)</f>
        <v>0</v>
      </c>
      <c r="G521" s="21">
        <f>IF(A521=('4 - Abitudine o contratto'!$B$6),-('2 - Le opzioni'!$B$6*IF('4 - Abitudine o contratto'!$B$6&gt;=MAX('2 - Le opzioni'!$B$67:$K$67),0,INDEX('2 - Le opzioni'!$B$68:$K$68,MATCH('4 - Abitudine o contratto'!$B$6,'2 - Le opzioni'!$B$67:$K$67,1))+(INDEX('2 - Le opzioni'!$B$68:$K$68,MATCH('4 - Abitudine o contratto'!$B$6,'2 - Le opzioni'!$B$67:$K$67,1)+1)-INDEX('2 - Le opzioni'!$B$68:$K$68,MATCH('4 - Abitudine o contratto'!$B$6,'2 - Le opzioni'!$B$67:$K$67,1)))*('4 - Abitudine o contratto'!$B$6-INDEX('2 - Le opzioni'!$B$67:$K$67,MATCH('4 - Abitudine o contratto'!$B$6,'2 - Le opzioni'!$B$67:$K$67,1)))/(INDEX('2 - Le opzioni'!$B$67:$K$67,MATCH('4 - Abitudine o contratto'!$B$6,'2 - Le opzioni'!$B$67:$K$67,1)+1)-INDEX('2 - Le opzioni'!$B$67:$K$67,MATCH('4 - Abitudine o contratto'!$B$6,'2 - Le opzioni'!$B$67:$K$67,1))))),0)</f>
        <v>0</v>
      </c>
      <c r="L521" s="21">
        <f t="shared" si="46"/>
        <v>0</v>
      </c>
      <c r="M521" s="33">
        <f>1/(1+'1 - Il tuo profilo'!$B$13)^A521</f>
        <v>0.83748425668365445</v>
      </c>
    </row>
    <row r="522" spans="1:13">
      <c r="A522" s="26">
        <v>7</v>
      </c>
      <c r="B522" s="26">
        <f t="shared" si="47"/>
        <v>7</v>
      </c>
      <c r="C522" s="21">
        <f>IF(A522&lt;=('4 - Abitudine o contratto'!$B$6),'1 - Il tuo profilo'!$B$9/100*'2 - Le opzioni'!$B$8*'1 - Il tuo profilo'!$B$25,0)</f>
        <v>0</v>
      </c>
      <c r="D522" s="21">
        <f>IF(A522&lt;=('4 - Abitudine o contratto'!$B$6),'1 - Il tuo profilo'!$B$29+IF($B522&lt;='2 - Le opzioni'!$B$64,'1 - Il tuo profilo'!$B$32,0),0)</f>
        <v>0</v>
      </c>
      <c r="E522" s="21">
        <f>IF(A522&lt;=('4 - Abitudine o contratto'!$B$6),'2 - Le opzioni'!$B$7*'1 - Il tuo profilo'!$B$30+IF(AND($B522&gt;=4,MOD($B522,2)=0),'1 - Il tuo profilo'!$B$31,0),0)</f>
        <v>0</v>
      </c>
      <c r="F522" s="21">
        <f>IF(A522&lt;=('4 - Abitudine o contratto'!$B$6),IF($B522&lt;=3,'2 - Le opzioni'!$B$56,IF($B522&lt;=7,'2 - Le opzioni'!$B$57,IF($B522&lt;=12,'2 - Le opzioni'!$B$58,'2 - Le opzioni'!$B$59+'2 - Le opzioni'!$B$60*($B522-13))))*1*(0.5+0.5*'1 - Il tuo profilo'!$B$9/'2 - Le opzioni'!$B$63),0)</f>
        <v>0</v>
      </c>
      <c r="G522" s="21">
        <f>IF(A522=('4 - Abitudine o contratto'!$B$6),-('2 - Le opzioni'!$B$6*IF('4 - Abitudine o contratto'!$B$6&gt;=MAX('2 - Le opzioni'!$B$67:$K$67),0,INDEX('2 - Le opzioni'!$B$68:$K$68,MATCH('4 - Abitudine o contratto'!$B$6,'2 - Le opzioni'!$B$67:$K$67,1))+(INDEX('2 - Le opzioni'!$B$68:$K$68,MATCH('4 - Abitudine o contratto'!$B$6,'2 - Le opzioni'!$B$67:$K$67,1)+1)-INDEX('2 - Le opzioni'!$B$68:$K$68,MATCH('4 - Abitudine o contratto'!$B$6,'2 - Le opzioni'!$B$67:$K$67,1)))*('4 - Abitudine o contratto'!$B$6-INDEX('2 - Le opzioni'!$B$67:$K$67,MATCH('4 - Abitudine o contratto'!$B$6,'2 - Le opzioni'!$B$67:$K$67,1)))/(INDEX('2 - Le opzioni'!$B$67:$K$67,MATCH('4 - Abitudine o contratto'!$B$6,'2 - Le opzioni'!$B$67:$K$67,1)+1)-INDEX('2 - Le opzioni'!$B$67:$K$67,MATCH('4 - Abitudine o contratto'!$B$6,'2 - Le opzioni'!$B$67:$K$67,1))))),0)</f>
        <v>0</v>
      </c>
      <c r="L522" s="21">
        <f t="shared" si="46"/>
        <v>0</v>
      </c>
      <c r="M522" s="33">
        <f>1/(1+'1 - Il tuo profilo'!$B$13)^A522</f>
        <v>0.81309151134335378</v>
      </c>
    </row>
    <row r="523" spans="1:13">
      <c r="A523" s="26">
        <v>8</v>
      </c>
      <c r="B523" s="26">
        <f t="shared" si="47"/>
        <v>8</v>
      </c>
      <c r="C523" s="21">
        <f>IF(A523&lt;=('4 - Abitudine o contratto'!$B$6),'1 - Il tuo profilo'!$B$9/100*'2 - Le opzioni'!$B$8*'1 - Il tuo profilo'!$B$25,0)</f>
        <v>0</v>
      </c>
      <c r="D523" s="21">
        <f>IF(A523&lt;=('4 - Abitudine o contratto'!$B$6),'1 - Il tuo profilo'!$B$29+IF($B523&lt;='2 - Le opzioni'!$B$64,'1 - Il tuo profilo'!$B$32,0),0)</f>
        <v>0</v>
      </c>
      <c r="E523" s="21">
        <f>IF(A523&lt;=('4 - Abitudine o contratto'!$B$6),'2 - Le opzioni'!$B$7*'1 - Il tuo profilo'!$B$30+IF(AND($B523&gt;=4,MOD($B523,2)=0),'1 - Il tuo profilo'!$B$31,0),0)</f>
        <v>0</v>
      </c>
      <c r="F523" s="21">
        <f>IF(A523&lt;=('4 - Abitudine o contratto'!$B$6),IF($B523&lt;=3,'2 - Le opzioni'!$B$56,IF($B523&lt;=7,'2 - Le opzioni'!$B$57,IF($B523&lt;=12,'2 - Le opzioni'!$B$58,'2 - Le opzioni'!$B$59+'2 - Le opzioni'!$B$60*($B523-13))))*1*(0.5+0.5*'1 - Il tuo profilo'!$B$9/'2 - Le opzioni'!$B$63),0)</f>
        <v>0</v>
      </c>
      <c r="G523" s="21">
        <f>IF(A523=('4 - Abitudine o contratto'!$B$6),-('2 - Le opzioni'!$B$6*IF('4 - Abitudine o contratto'!$B$6&gt;=MAX('2 - Le opzioni'!$B$67:$K$67),0,INDEX('2 - Le opzioni'!$B$68:$K$68,MATCH('4 - Abitudine o contratto'!$B$6,'2 - Le opzioni'!$B$67:$K$67,1))+(INDEX('2 - Le opzioni'!$B$68:$K$68,MATCH('4 - Abitudine o contratto'!$B$6,'2 - Le opzioni'!$B$67:$K$67,1)+1)-INDEX('2 - Le opzioni'!$B$68:$K$68,MATCH('4 - Abitudine o contratto'!$B$6,'2 - Le opzioni'!$B$67:$K$67,1)))*('4 - Abitudine o contratto'!$B$6-INDEX('2 - Le opzioni'!$B$67:$K$67,MATCH('4 - Abitudine o contratto'!$B$6,'2 - Le opzioni'!$B$67:$K$67,1)))/(INDEX('2 - Le opzioni'!$B$67:$K$67,MATCH('4 - Abitudine o contratto'!$B$6,'2 - Le opzioni'!$B$67:$K$67,1)+1)-INDEX('2 - Le opzioni'!$B$67:$K$67,MATCH('4 - Abitudine o contratto'!$B$6,'2 - Le opzioni'!$B$67:$K$67,1))))),0)</f>
        <v>0</v>
      </c>
      <c r="L523" s="21">
        <f t="shared" si="46"/>
        <v>0</v>
      </c>
      <c r="M523" s="33">
        <f>1/(1+'1 - Il tuo profilo'!$B$13)^A523</f>
        <v>0.78940923431393573</v>
      </c>
    </row>
    <row r="524" spans="1:13">
      <c r="A524" s="26">
        <v>9</v>
      </c>
      <c r="B524" s="26">
        <f t="shared" si="47"/>
        <v>9</v>
      </c>
      <c r="C524" s="21">
        <f>IF(A524&lt;=('4 - Abitudine o contratto'!$B$6),'1 - Il tuo profilo'!$B$9/100*'2 - Le opzioni'!$B$8*'1 - Il tuo profilo'!$B$25,0)</f>
        <v>0</v>
      </c>
      <c r="D524" s="21">
        <f>IF(A524&lt;=('4 - Abitudine o contratto'!$B$6),'1 - Il tuo profilo'!$B$29+IF($B524&lt;='2 - Le opzioni'!$B$64,'1 - Il tuo profilo'!$B$32,0),0)</f>
        <v>0</v>
      </c>
      <c r="E524" s="21">
        <f>IF(A524&lt;=('4 - Abitudine o contratto'!$B$6),'2 - Le opzioni'!$B$7*'1 - Il tuo profilo'!$B$30+IF(AND($B524&gt;=4,MOD($B524,2)=0),'1 - Il tuo profilo'!$B$31,0),0)</f>
        <v>0</v>
      </c>
      <c r="F524" s="21">
        <f>IF(A524&lt;=('4 - Abitudine o contratto'!$B$6),IF($B524&lt;=3,'2 - Le opzioni'!$B$56,IF($B524&lt;=7,'2 - Le opzioni'!$B$57,IF($B524&lt;=12,'2 - Le opzioni'!$B$58,'2 - Le opzioni'!$B$59+'2 - Le opzioni'!$B$60*($B524-13))))*1*(0.5+0.5*'1 - Il tuo profilo'!$B$9/'2 - Le opzioni'!$B$63),0)</f>
        <v>0</v>
      </c>
      <c r="G524" s="21">
        <f>IF(A524=('4 - Abitudine o contratto'!$B$6),-('2 - Le opzioni'!$B$6*IF('4 - Abitudine o contratto'!$B$6&gt;=MAX('2 - Le opzioni'!$B$67:$K$67),0,INDEX('2 - Le opzioni'!$B$68:$K$68,MATCH('4 - Abitudine o contratto'!$B$6,'2 - Le opzioni'!$B$67:$K$67,1))+(INDEX('2 - Le opzioni'!$B$68:$K$68,MATCH('4 - Abitudine o contratto'!$B$6,'2 - Le opzioni'!$B$67:$K$67,1)+1)-INDEX('2 - Le opzioni'!$B$68:$K$68,MATCH('4 - Abitudine o contratto'!$B$6,'2 - Le opzioni'!$B$67:$K$67,1)))*('4 - Abitudine o contratto'!$B$6-INDEX('2 - Le opzioni'!$B$67:$K$67,MATCH('4 - Abitudine o contratto'!$B$6,'2 - Le opzioni'!$B$67:$K$67,1)))/(INDEX('2 - Le opzioni'!$B$67:$K$67,MATCH('4 - Abitudine o contratto'!$B$6,'2 - Le opzioni'!$B$67:$K$67,1)+1)-INDEX('2 - Le opzioni'!$B$67:$K$67,MATCH('4 - Abitudine o contratto'!$B$6,'2 - Le opzioni'!$B$67:$K$67,1))))),0)</f>
        <v>0</v>
      </c>
      <c r="L524" s="21">
        <f t="shared" si="46"/>
        <v>0</v>
      </c>
      <c r="M524" s="33">
        <f>1/(1+'1 - Il tuo profilo'!$B$13)^A524</f>
        <v>0.76641673234362695</v>
      </c>
    </row>
    <row r="525" spans="1:13">
      <c r="A525" s="26">
        <v>10</v>
      </c>
      <c r="B525" s="26">
        <f t="shared" si="47"/>
        <v>10</v>
      </c>
      <c r="C525" s="21">
        <f>IF(A525&lt;=('4 - Abitudine o contratto'!$B$6),'1 - Il tuo profilo'!$B$9/100*'2 - Le opzioni'!$B$8*'1 - Il tuo profilo'!$B$25,0)</f>
        <v>0</v>
      </c>
      <c r="D525" s="21">
        <f>IF(A525&lt;=('4 - Abitudine o contratto'!$B$6),'1 - Il tuo profilo'!$B$29+IF($B525&lt;='2 - Le opzioni'!$B$64,'1 - Il tuo profilo'!$B$32,0),0)</f>
        <v>0</v>
      </c>
      <c r="E525" s="21">
        <f>IF(A525&lt;=('4 - Abitudine o contratto'!$B$6),'2 - Le opzioni'!$B$7*'1 - Il tuo profilo'!$B$30+IF(AND($B525&gt;=4,MOD($B525,2)=0),'1 - Il tuo profilo'!$B$31,0),0)</f>
        <v>0</v>
      </c>
      <c r="F525" s="21">
        <f>IF(A525&lt;=('4 - Abitudine o contratto'!$B$6),IF($B525&lt;=3,'2 - Le opzioni'!$B$56,IF($B525&lt;=7,'2 - Le opzioni'!$B$57,IF($B525&lt;=12,'2 - Le opzioni'!$B$58,'2 - Le opzioni'!$B$59+'2 - Le opzioni'!$B$60*($B525-13))))*1*(0.5+0.5*'1 - Il tuo profilo'!$B$9/'2 - Le opzioni'!$B$63),0)</f>
        <v>0</v>
      </c>
      <c r="G525" s="21">
        <f>IF(A525=('4 - Abitudine o contratto'!$B$6),-('2 - Le opzioni'!$B$6*IF('4 - Abitudine o contratto'!$B$6&gt;=MAX('2 - Le opzioni'!$B$67:$K$67),0,INDEX('2 - Le opzioni'!$B$68:$K$68,MATCH('4 - Abitudine o contratto'!$B$6,'2 - Le opzioni'!$B$67:$K$67,1))+(INDEX('2 - Le opzioni'!$B$68:$K$68,MATCH('4 - Abitudine o contratto'!$B$6,'2 - Le opzioni'!$B$67:$K$67,1)+1)-INDEX('2 - Le opzioni'!$B$68:$K$68,MATCH('4 - Abitudine o contratto'!$B$6,'2 - Le opzioni'!$B$67:$K$67,1)))*('4 - Abitudine o contratto'!$B$6-INDEX('2 - Le opzioni'!$B$67:$K$67,MATCH('4 - Abitudine o contratto'!$B$6,'2 - Le opzioni'!$B$67:$K$67,1)))/(INDEX('2 - Le opzioni'!$B$67:$K$67,MATCH('4 - Abitudine o contratto'!$B$6,'2 - Le opzioni'!$B$67:$K$67,1)+1)-INDEX('2 - Le opzioni'!$B$67:$K$67,MATCH('4 - Abitudine o contratto'!$B$6,'2 - Le opzioni'!$B$67:$K$67,1))))),0)</f>
        <v>0</v>
      </c>
      <c r="L525" s="21">
        <f t="shared" si="46"/>
        <v>0</v>
      </c>
      <c r="M525" s="33">
        <f>1/(1+'1 - Il tuo profilo'!$B$13)^A525</f>
        <v>0.74409391489672516</v>
      </c>
    </row>
    <row r="527" spans="1:13" ht="32.1" customHeight="1">
      <c r="A527" s="30" t="s">
        <v>285</v>
      </c>
      <c r="B527" s="30" t="s">
        <v>286</v>
      </c>
      <c r="C527" s="30" t="s">
        <v>287</v>
      </c>
      <c r="D527" s="30" t="s">
        <v>288</v>
      </c>
      <c r="E527" s="30" t="s">
        <v>289</v>
      </c>
      <c r="F527" s="30" t="s">
        <v>290</v>
      </c>
      <c r="G527" s="30" t="s">
        <v>291</v>
      </c>
      <c r="H527" s="30" t="s">
        <v>292</v>
      </c>
      <c r="I527" s="30" t="s">
        <v>225</v>
      </c>
      <c r="J527" s="30" t="s">
        <v>293</v>
      </c>
      <c r="K527" s="30" t="s">
        <v>294</v>
      </c>
      <c r="L527" s="30" t="s">
        <v>295</v>
      </c>
      <c r="M527" s="30" t="s">
        <v>227</v>
      </c>
    </row>
    <row r="528" spans="1:13">
      <c r="A528" s="21">
        <f>L515+NPV('1 - Il tuo profilo'!$B$13,L516:L525)+E528+G528</f>
        <v>15101.547637937016</v>
      </c>
      <c r="B528" s="21">
        <f>SUM(L515:L525)+F528+H528</f>
        <v>14518.899200000003</v>
      </c>
      <c r="C528" s="26">
        <f>'4 - Abitudine o contratto'!$B$6</f>
        <v>3</v>
      </c>
      <c r="D528" s="33">
        <f>PV('1 - Il tuo profilo'!$B$13,C528,-1)</f>
        <v>2.8286113548946812</v>
      </c>
      <c r="E528" s="21">
        <f>0</f>
        <v>0</v>
      </c>
      <c r="F528" s="21">
        <f>0</f>
        <v>0</v>
      </c>
      <c r="G528" s="21">
        <f>0</f>
        <v>0</v>
      </c>
      <c r="H528" s="21">
        <f>0</f>
        <v>0</v>
      </c>
      <c r="I528" s="21">
        <f>IF(C528&gt;=10,A528,A528/D528*'2 - Le opzioni'!$B$112-'1 - Il tuo profilo'!$B$33)</f>
        <v>42541.521382187915</v>
      </c>
      <c r="J528" s="21">
        <f>IF(C528&gt;=10,B528,B528*10/C528-'1 - Il tuo profilo'!$B$33)</f>
        <v>45396.330666666676</v>
      </c>
      <c r="K528" s="18">
        <f>I528/'2 - Le opzioni'!$B$112</f>
        <v>4987.1641033881197</v>
      </c>
      <c r="L528" s="18">
        <f>K528/12</f>
        <v>415.59700861567666</v>
      </c>
      <c r="M528" s="31">
        <f>K528/'1 - Il tuo profilo'!$B$9</f>
        <v>0.41559700861567661</v>
      </c>
    </row>
    <row r="529" spans="1:18" ht="32.1" customHeight="1">
      <c r="A529" s="30" t="s">
        <v>296</v>
      </c>
      <c r="B529" s="30" t="s">
        <v>297</v>
      </c>
      <c r="C529" s="30" t="s">
        <v>298</v>
      </c>
      <c r="D529" s="30" t="s">
        <v>299</v>
      </c>
      <c r="E529" s="30" t="s">
        <v>300</v>
      </c>
      <c r="F529" s="30" t="s">
        <v>301</v>
      </c>
      <c r="G529" s="30" t="s">
        <v>302</v>
      </c>
      <c r="H529" s="30" t="s">
        <v>303</v>
      </c>
      <c r="I529" s="30" t="s">
        <v>304</v>
      </c>
      <c r="J529" s="30" t="s">
        <v>305</v>
      </c>
      <c r="K529" s="30" t="s">
        <v>306</v>
      </c>
      <c r="L529" s="30" t="s">
        <v>307</v>
      </c>
      <c r="M529" s="30" t="s">
        <v>308</v>
      </c>
      <c r="N529" s="30" t="s">
        <v>309</v>
      </c>
      <c r="O529" s="30" t="s">
        <v>310</v>
      </c>
      <c r="P529" s="30" t="s">
        <v>311</v>
      </c>
      <c r="Q529" s="30" t="s">
        <v>312</v>
      </c>
      <c r="R529" s="30" t="s">
        <v>313</v>
      </c>
    </row>
    <row r="530" spans="1:18">
      <c r="A530" s="21">
        <f>SUMPRODUCT(G515:G525,M515:M525)</f>
        <v>8219.6312528197795</v>
      </c>
      <c r="B530" s="21">
        <f>SUMPRODUCT(H515:H525,M515:M525)</f>
        <v>0</v>
      </c>
      <c r="C530" s="21">
        <f>SUMPRODUCT(I515:I525,M515:M525)+G528</f>
        <v>0</v>
      </c>
      <c r="D530" s="21">
        <f>SUMPRODUCT(C515:C525,M515:M525)</f>
        <v>3516.4345950635434</v>
      </c>
      <c r="E530" s="21">
        <f>SUMPRODUCT(D515:D525,M515:M525)</f>
        <v>1864.6206051465738</v>
      </c>
      <c r="F530" s="21">
        <f>SUMPRODUCT(E515:E525,M515:M525)</f>
        <v>510.84721069397938</v>
      </c>
      <c r="G530" s="21">
        <f>SUMPRODUCT(F515:F525,M515:M525)</f>
        <v>990.01397421313834</v>
      </c>
      <c r="H530" s="21">
        <f>SUMPRODUCT(J515:J525,M515:M525)</f>
        <v>0</v>
      </c>
      <c r="I530" s="21">
        <f>SUMPRODUCT(K515:K525,M515:M525)</f>
        <v>0</v>
      </c>
      <c r="J530" s="18">
        <f t="shared" ref="J530:R530" si="48">A530/$D528/12</f>
        <v>242.15743526696644</v>
      </c>
      <c r="K530" s="18">
        <f t="shared" si="48"/>
        <v>0</v>
      </c>
      <c r="L530" s="18">
        <f t="shared" si="48"/>
        <v>0</v>
      </c>
      <c r="M530" s="18">
        <f t="shared" si="48"/>
        <v>103.5972</v>
      </c>
      <c r="N530" s="18">
        <f t="shared" si="48"/>
        <v>54.93333333333333</v>
      </c>
      <c r="O530" s="18">
        <f t="shared" si="48"/>
        <v>15.049999999999999</v>
      </c>
      <c r="P530" s="18">
        <f t="shared" si="48"/>
        <v>29.166666666666668</v>
      </c>
      <c r="Q530" s="18">
        <f t="shared" si="48"/>
        <v>0</v>
      </c>
      <c r="R530" s="18">
        <f t="shared" si="48"/>
        <v>0</v>
      </c>
    </row>
    <row r="532" spans="1:18">
      <c r="A532" s="2" t="s">
        <v>338</v>
      </c>
    </row>
    <row r="533" spans="1:18" ht="32.1" customHeight="1">
      <c r="A533" s="30" t="s">
        <v>272</v>
      </c>
      <c r="B533" s="30" t="s">
        <v>273</v>
      </c>
      <c r="C533" s="30" t="s">
        <v>274</v>
      </c>
      <c r="D533" s="30" t="s">
        <v>275</v>
      </c>
      <c r="E533" s="30" t="s">
        <v>276</v>
      </c>
      <c r="F533" s="30" t="s">
        <v>277</v>
      </c>
      <c r="G533" s="30" t="s">
        <v>278</v>
      </c>
      <c r="H533" s="30" t="s">
        <v>279</v>
      </c>
      <c r="I533" s="30" t="s">
        <v>280</v>
      </c>
      <c r="J533" s="30" t="s">
        <v>281</v>
      </c>
      <c r="K533" s="30" t="s">
        <v>282</v>
      </c>
      <c r="L533" s="30" t="s">
        <v>283</v>
      </c>
      <c r="M533" s="30" t="s">
        <v>284</v>
      </c>
    </row>
    <row r="534" spans="1:18">
      <c r="A534" s="26">
        <v>0</v>
      </c>
      <c r="G534" s="21">
        <f>'2 - Le opzioni'!$B$6+IF(A534=('2 - Le opzioni'!$B$42),-('2 - Le opzioni'!$B$6*IF('2 - Le opzioni'!$B$42&gt;=MAX('2 - Le opzioni'!$B$67:$K$67),0,INDEX('2 - Le opzioni'!$B$68:$K$68,MATCH('2 - Le opzioni'!$B$42,'2 - Le opzioni'!$B$67:$K$67,1))+(INDEX('2 - Le opzioni'!$B$68:$K$68,MATCH('2 - Le opzioni'!$B$42,'2 - Le opzioni'!$B$67:$K$67,1)+1)-INDEX('2 - Le opzioni'!$B$68:$K$68,MATCH('2 - Le opzioni'!$B$42,'2 - Le opzioni'!$B$67:$K$67,1)))*('2 - Le opzioni'!$B$42-INDEX('2 - Le opzioni'!$B$67:$K$67,MATCH('2 - Le opzioni'!$B$42,'2 - Le opzioni'!$B$67:$K$67,1)))/(INDEX('2 - Le opzioni'!$B$67:$K$67,MATCH('2 - Le opzioni'!$B$42,'2 - Le opzioni'!$B$67:$K$67,1)+1)-INDEX('2 - Le opzioni'!$B$67:$K$67,MATCH('2 - Le opzioni'!$B$42,'2 - Le opzioni'!$B$67:$K$67,1))))),0)</f>
        <v>19000</v>
      </c>
      <c r="L534" s="21">
        <f t="shared" ref="L534:L544" si="49">SUM(C534:K534)</f>
        <v>19000</v>
      </c>
      <c r="M534" s="33">
        <f>1/(1+'1 - Il tuo profilo'!$B$13)^A534</f>
        <v>1</v>
      </c>
    </row>
    <row r="535" spans="1:18">
      <c r="A535" s="26">
        <v>1</v>
      </c>
      <c r="B535" s="26">
        <f t="shared" ref="B535:B544" si="50">A535</f>
        <v>1</v>
      </c>
      <c r="C535" s="21">
        <f>IF(A535&lt;=('2 - Le opzioni'!$B$42),'1 - Il tuo profilo'!$B$9/100*'2 - Le opzioni'!$B$8*'1 - Il tuo profilo'!$B$25,0)</f>
        <v>1243.1664000000001</v>
      </c>
      <c r="D535" s="21">
        <f>IF(A535&lt;=('2 - Le opzioni'!$B$42),'1 - Il tuo profilo'!$B$29+IF($B535&lt;='2 - Le opzioni'!$B$64,'1 - Il tuo profilo'!$B$32,0),0)</f>
        <v>659.2</v>
      </c>
      <c r="E535" s="21">
        <f>IF(A535&lt;=('2 - Le opzioni'!$B$42),'2 - Le opzioni'!$B$7*'1 - Il tuo profilo'!$B$30+IF(AND($B535&gt;=4,MOD($B535,2)=0),'1 - Il tuo profilo'!$B$31,0),0)</f>
        <v>180.6</v>
      </c>
      <c r="F535" s="21">
        <f>IF(A535&lt;=('2 - Le opzioni'!$B$42),IF($B535&lt;=3,'2 - Le opzioni'!$B$56,IF($B535&lt;=7,'2 - Le opzioni'!$B$57,IF($B535&lt;=12,'2 - Le opzioni'!$B$58,'2 - Le opzioni'!$B$59+'2 - Le opzioni'!$B$60*($B535-13))))*1*(0.5+0.5*'1 - Il tuo profilo'!$B$9/'2 - Le opzioni'!$B$63),0)</f>
        <v>350</v>
      </c>
      <c r="G535" s="21">
        <f>IF(A535=('2 - Le opzioni'!$B$42),-('2 - Le opzioni'!$B$6*IF('2 - Le opzioni'!$B$42&gt;=MAX('2 - Le opzioni'!$B$67:$K$67),0,INDEX('2 - Le opzioni'!$B$68:$K$68,MATCH('2 - Le opzioni'!$B$42,'2 - Le opzioni'!$B$67:$K$67,1))+(INDEX('2 - Le opzioni'!$B$68:$K$68,MATCH('2 - Le opzioni'!$B$42,'2 - Le opzioni'!$B$67:$K$67,1)+1)-INDEX('2 - Le opzioni'!$B$68:$K$68,MATCH('2 - Le opzioni'!$B$42,'2 - Le opzioni'!$B$67:$K$67,1)))*('2 - Le opzioni'!$B$42-INDEX('2 - Le opzioni'!$B$67:$K$67,MATCH('2 - Le opzioni'!$B$42,'2 - Le opzioni'!$B$67:$K$67,1)))/(INDEX('2 - Le opzioni'!$B$67:$K$67,MATCH('2 - Le opzioni'!$B$42,'2 - Le opzioni'!$B$67:$K$67,1)+1)-INDEX('2 - Le opzioni'!$B$67:$K$67,MATCH('2 - Le opzioni'!$B$42,'2 - Le opzioni'!$B$67:$K$67,1))))),0)</f>
        <v>0</v>
      </c>
      <c r="L535" s="21">
        <f t="shared" si="49"/>
        <v>2432.9664000000002</v>
      </c>
      <c r="M535" s="33">
        <f>1/(1+'1 - Il tuo profilo'!$B$13)^A535</f>
        <v>0.970873786407767</v>
      </c>
    </row>
    <row r="536" spans="1:18">
      <c r="A536" s="26">
        <v>2</v>
      </c>
      <c r="B536" s="26">
        <f t="shared" si="50"/>
        <v>2</v>
      </c>
      <c r="C536" s="21">
        <f>IF(A536&lt;=('2 - Le opzioni'!$B$42),'1 - Il tuo profilo'!$B$9/100*'2 - Le opzioni'!$B$8*'1 - Il tuo profilo'!$B$25,0)</f>
        <v>1243.1664000000001</v>
      </c>
      <c r="D536" s="21">
        <f>IF(A536&lt;=('2 - Le opzioni'!$B$42),'1 - Il tuo profilo'!$B$29+IF($B536&lt;='2 - Le opzioni'!$B$64,'1 - Il tuo profilo'!$B$32,0),0)</f>
        <v>659.2</v>
      </c>
      <c r="E536" s="21">
        <f>IF(A536&lt;=('2 - Le opzioni'!$B$42),'2 - Le opzioni'!$B$7*'1 - Il tuo profilo'!$B$30+IF(AND($B536&gt;=4,MOD($B536,2)=0),'1 - Il tuo profilo'!$B$31,0),0)</f>
        <v>180.6</v>
      </c>
      <c r="F536" s="21">
        <f>IF(A536&lt;=('2 - Le opzioni'!$B$42),IF($B536&lt;=3,'2 - Le opzioni'!$B$56,IF($B536&lt;=7,'2 - Le opzioni'!$B$57,IF($B536&lt;=12,'2 - Le opzioni'!$B$58,'2 - Le opzioni'!$B$59+'2 - Le opzioni'!$B$60*($B536-13))))*1*(0.5+0.5*'1 - Il tuo profilo'!$B$9/'2 - Le opzioni'!$B$63),0)</f>
        <v>350</v>
      </c>
      <c r="G536" s="21">
        <f>IF(A536=('2 - Le opzioni'!$B$42),-('2 - Le opzioni'!$B$6*IF('2 - Le opzioni'!$B$42&gt;=MAX('2 - Le opzioni'!$B$67:$K$67),0,INDEX('2 - Le opzioni'!$B$68:$K$68,MATCH('2 - Le opzioni'!$B$42,'2 - Le opzioni'!$B$67:$K$67,1))+(INDEX('2 - Le opzioni'!$B$68:$K$68,MATCH('2 - Le opzioni'!$B$42,'2 - Le opzioni'!$B$67:$K$67,1)+1)-INDEX('2 - Le opzioni'!$B$68:$K$68,MATCH('2 - Le opzioni'!$B$42,'2 - Le opzioni'!$B$67:$K$67,1)))*('2 - Le opzioni'!$B$42-INDEX('2 - Le opzioni'!$B$67:$K$67,MATCH('2 - Le opzioni'!$B$42,'2 - Le opzioni'!$B$67:$K$67,1)))/(INDEX('2 - Le opzioni'!$B$67:$K$67,MATCH('2 - Le opzioni'!$B$42,'2 - Le opzioni'!$B$67:$K$67,1)+1)-INDEX('2 - Le opzioni'!$B$67:$K$67,MATCH('2 - Le opzioni'!$B$42,'2 - Le opzioni'!$B$67:$K$67,1))))),0)</f>
        <v>0</v>
      </c>
      <c r="L536" s="21">
        <f t="shared" si="49"/>
        <v>2432.9664000000002</v>
      </c>
      <c r="M536" s="33">
        <f>1/(1+'1 - Il tuo profilo'!$B$13)^A536</f>
        <v>0.94259590913375435</v>
      </c>
    </row>
    <row r="537" spans="1:18">
      <c r="A537" s="26">
        <v>3</v>
      </c>
      <c r="B537" s="26">
        <f t="shared" si="50"/>
        <v>3</v>
      </c>
      <c r="C537" s="21">
        <f>IF(A537&lt;=('2 - Le opzioni'!$B$42),'1 - Il tuo profilo'!$B$9/100*'2 - Le opzioni'!$B$8*'1 - Il tuo profilo'!$B$25,0)</f>
        <v>1243.1664000000001</v>
      </c>
      <c r="D537" s="21">
        <f>IF(A537&lt;=('2 - Le opzioni'!$B$42),'1 - Il tuo profilo'!$B$29+IF($B537&lt;='2 - Le opzioni'!$B$64,'1 - Il tuo profilo'!$B$32,0),0)</f>
        <v>659.2</v>
      </c>
      <c r="E537" s="21">
        <f>IF(A537&lt;=('2 - Le opzioni'!$B$42),'2 - Le opzioni'!$B$7*'1 - Il tuo profilo'!$B$30+IF(AND($B537&gt;=4,MOD($B537,2)=0),'1 - Il tuo profilo'!$B$31,0),0)</f>
        <v>180.6</v>
      </c>
      <c r="F537" s="21">
        <f>IF(A537&lt;=('2 - Le opzioni'!$B$42),IF($B537&lt;=3,'2 - Le opzioni'!$B$56,IF($B537&lt;=7,'2 - Le opzioni'!$B$57,IF($B537&lt;=12,'2 - Le opzioni'!$B$58,'2 - Le opzioni'!$B$59+'2 - Le opzioni'!$B$60*($B537-13))))*1*(0.5+0.5*'1 - Il tuo profilo'!$B$9/'2 - Le opzioni'!$B$63),0)</f>
        <v>350</v>
      </c>
      <c r="G537" s="21">
        <f>IF(A537=('2 - Le opzioni'!$B$42),-('2 - Le opzioni'!$B$6*IF('2 - Le opzioni'!$B$42&gt;=MAX('2 - Le opzioni'!$B$67:$K$67),0,INDEX('2 - Le opzioni'!$B$68:$K$68,MATCH('2 - Le opzioni'!$B$42,'2 - Le opzioni'!$B$67:$K$67,1))+(INDEX('2 - Le opzioni'!$B$68:$K$68,MATCH('2 - Le opzioni'!$B$42,'2 - Le opzioni'!$B$67:$K$67,1)+1)-INDEX('2 - Le opzioni'!$B$68:$K$68,MATCH('2 - Le opzioni'!$B$42,'2 - Le opzioni'!$B$67:$K$67,1)))*('2 - Le opzioni'!$B$42-INDEX('2 - Le opzioni'!$B$67:$K$67,MATCH('2 - Le opzioni'!$B$42,'2 - Le opzioni'!$B$67:$K$67,1)))/(INDEX('2 - Le opzioni'!$B$67:$K$67,MATCH('2 - Le opzioni'!$B$42,'2 - Le opzioni'!$B$67:$K$67,1)+1)-INDEX('2 - Le opzioni'!$B$67:$K$67,MATCH('2 - Le opzioni'!$B$42,'2 - Le opzioni'!$B$67:$K$67,1))))),0)</f>
        <v>-11780</v>
      </c>
      <c r="L537" s="21">
        <f t="shared" si="49"/>
        <v>-9347.0335999999988</v>
      </c>
      <c r="M537" s="33">
        <f>1/(1+'1 - Il tuo profilo'!$B$13)^A537</f>
        <v>0.91514165935315961</v>
      </c>
    </row>
    <row r="538" spans="1:18">
      <c r="A538" s="26">
        <v>4</v>
      </c>
      <c r="B538" s="26">
        <f t="shared" si="50"/>
        <v>4</v>
      </c>
      <c r="C538" s="21">
        <f>IF(A538&lt;=('2 - Le opzioni'!$B$42),'1 - Il tuo profilo'!$B$9/100*'2 - Le opzioni'!$B$8*'1 - Il tuo profilo'!$B$25,0)</f>
        <v>0</v>
      </c>
      <c r="D538" s="21">
        <f>IF(A538&lt;=('2 - Le opzioni'!$B$42),'1 - Il tuo profilo'!$B$29+IF($B538&lt;='2 - Le opzioni'!$B$64,'1 - Il tuo profilo'!$B$32,0),0)</f>
        <v>0</v>
      </c>
      <c r="E538" s="21">
        <f>IF(A538&lt;=('2 - Le opzioni'!$B$42),'2 - Le opzioni'!$B$7*'1 - Il tuo profilo'!$B$30+IF(AND($B538&gt;=4,MOD($B538,2)=0),'1 - Il tuo profilo'!$B$31,0),0)</f>
        <v>0</v>
      </c>
      <c r="F538" s="21">
        <f>IF(A538&lt;=('2 - Le opzioni'!$B$42),IF($B538&lt;=3,'2 - Le opzioni'!$B$56,IF($B538&lt;=7,'2 - Le opzioni'!$B$57,IF($B538&lt;=12,'2 - Le opzioni'!$B$58,'2 - Le opzioni'!$B$59+'2 - Le opzioni'!$B$60*($B538-13))))*1*(0.5+0.5*'1 - Il tuo profilo'!$B$9/'2 - Le opzioni'!$B$63),0)</f>
        <v>0</v>
      </c>
      <c r="G538" s="21">
        <f>IF(A538=('2 - Le opzioni'!$B$42),-('2 - Le opzioni'!$B$6*IF('2 - Le opzioni'!$B$42&gt;=MAX('2 - Le opzioni'!$B$67:$K$67),0,INDEX('2 - Le opzioni'!$B$68:$K$68,MATCH('2 - Le opzioni'!$B$42,'2 - Le opzioni'!$B$67:$K$67,1))+(INDEX('2 - Le opzioni'!$B$68:$K$68,MATCH('2 - Le opzioni'!$B$42,'2 - Le opzioni'!$B$67:$K$67,1)+1)-INDEX('2 - Le opzioni'!$B$68:$K$68,MATCH('2 - Le opzioni'!$B$42,'2 - Le opzioni'!$B$67:$K$67,1)))*('2 - Le opzioni'!$B$42-INDEX('2 - Le opzioni'!$B$67:$K$67,MATCH('2 - Le opzioni'!$B$42,'2 - Le opzioni'!$B$67:$K$67,1)))/(INDEX('2 - Le opzioni'!$B$67:$K$67,MATCH('2 - Le opzioni'!$B$42,'2 - Le opzioni'!$B$67:$K$67,1)+1)-INDEX('2 - Le opzioni'!$B$67:$K$67,MATCH('2 - Le opzioni'!$B$42,'2 - Le opzioni'!$B$67:$K$67,1))))),0)</f>
        <v>0</v>
      </c>
      <c r="L538" s="21">
        <f t="shared" si="49"/>
        <v>0</v>
      </c>
      <c r="M538" s="33">
        <f>1/(1+'1 - Il tuo profilo'!$B$13)^A538</f>
        <v>0.888487047915689</v>
      </c>
    </row>
    <row r="539" spans="1:18">
      <c r="A539" s="26">
        <v>5</v>
      </c>
      <c r="B539" s="26">
        <f t="shared" si="50"/>
        <v>5</v>
      </c>
      <c r="C539" s="21">
        <f>IF(A539&lt;=('2 - Le opzioni'!$B$42),'1 - Il tuo profilo'!$B$9/100*'2 - Le opzioni'!$B$8*'1 - Il tuo profilo'!$B$25,0)</f>
        <v>0</v>
      </c>
      <c r="D539" s="21">
        <f>IF(A539&lt;=('2 - Le opzioni'!$B$42),'1 - Il tuo profilo'!$B$29+IF($B539&lt;='2 - Le opzioni'!$B$64,'1 - Il tuo profilo'!$B$32,0),0)</f>
        <v>0</v>
      </c>
      <c r="E539" s="21">
        <f>IF(A539&lt;=('2 - Le opzioni'!$B$42),'2 - Le opzioni'!$B$7*'1 - Il tuo profilo'!$B$30+IF(AND($B539&gt;=4,MOD($B539,2)=0),'1 - Il tuo profilo'!$B$31,0),0)</f>
        <v>0</v>
      </c>
      <c r="F539" s="21">
        <f>IF(A539&lt;=('2 - Le opzioni'!$B$42),IF($B539&lt;=3,'2 - Le opzioni'!$B$56,IF($B539&lt;=7,'2 - Le opzioni'!$B$57,IF($B539&lt;=12,'2 - Le opzioni'!$B$58,'2 - Le opzioni'!$B$59+'2 - Le opzioni'!$B$60*($B539-13))))*1*(0.5+0.5*'1 - Il tuo profilo'!$B$9/'2 - Le opzioni'!$B$63),0)</f>
        <v>0</v>
      </c>
      <c r="G539" s="21">
        <f>IF(A539=('2 - Le opzioni'!$B$42),-('2 - Le opzioni'!$B$6*IF('2 - Le opzioni'!$B$42&gt;=MAX('2 - Le opzioni'!$B$67:$K$67),0,INDEX('2 - Le opzioni'!$B$68:$K$68,MATCH('2 - Le opzioni'!$B$42,'2 - Le opzioni'!$B$67:$K$67,1))+(INDEX('2 - Le opzioni'!$B$68:$K$68,MATCH('2 - Le opzioni'!$B$42,'2 - Le opzioni'!$B$67:$K$67,1)+1)-INDEX('2 - Le opzioni'!$B$68:$K$68,MATCH('2 - Le opzioni'!$B$42,'2 - Le opzioni'!$B$67:$K$67,1)))*('2 - Le opzioni'!$B$42-INDEX('2 - Le opzioni'!$B$67:$K$67,MATCH('2 - Le opzioni'!$B$42,'2 - Le opzioni'!$B$67:$K$67,1)))/(INDEX('2 - Le opzioni'!$B$67:$K$67,MATCH('2 - Le opzioni'!$B$42,'2 - Le opzioni'!$B$67:$K$67,1)+1)-INDEX('2 - Le opzioni'!$B$67:$K$67,MATCH('2 - Le opzioni'!$B$42,'2 - Le opzioni'!$B$67:$K$67,1))))),0)</f>
        <v>0</v>
      </c>
      <c r="L539" s="21">
        <f t="shared" si="49"/>
        <v>0</v>
      </c>
      <c r="M539" s="33">
        <f>1/(1+'1 - Il tuo profilo'!$B$13)^A539</f>
        <v>0.86260878438416411</v>
      </c>
    </row>
    <row r="540" spans="1:18">
      <c r="A540" s="26">
        <v>6</v>
      </c>
      <c r="B540" s="26">
        <f t="shared" si="50"/>
        <v>6</v>
      </c>
      <c r="C540" s="21">
        <f>IF(A540&lt;=('2 - Le opzioni'!$B$42),'1 - Il tuo profilo'!$B$9/100*'2 - Le opzioni'!$B$8*'1 - Il tuo profilo'!$B$25,0)</f>
        <v>0</v>
      </c>
      <c r="D540" s="21">
        <f>IF(A540&lt;=('2 - Le opzioni'!$B$42),'1 - Il tuo profilo'!$B$29+IF($B540&lt;='2 - Le opzioni'!$B$64,'1 - Il tuo profilo'!$B$32,0),0)</f>
        <v>0</v>
      </c>
      <c r="E540" s="21">
        <f>IF(A540&lt;=('2 - Le opzioni'!$B$42),'2 - Le opzioni'!$B$7*'1 - Il tuo profilo'!$B$30+IF(AND($B540&gt;=4,MOD($B540,2)=0),'1 - Il tuo profilo'!$B$31,0),0)</f>
        <v>0</v>
      </c>
      <c r="F540" s="21">
        <f>IF(A540&lt;=('2 - Le opzioni'!$B$42),IF($B540&lt;=3,'2 - Le opzioni'!$B$56,IF($B540&lt;=7,'2 - Le opzioni'!$B$57,IF($B540&lt;=12,'2 - Le opzioni'!$B$58,'2 - Le opzioni'!$B$59+'2 - Le opzioni'!$B$60*($B540-13))))*1*(0.5+0.5*'1 - Il tuo profilo'!$B$9/'2 - Le opzioni'!$B$63),0)</f>
        <v>0</v>
      </c>
      <c r="G540" s="21">
        <f>IF(A540=('2 - Le opzioni'!$B$42),-('2 - Le opzioni'!$B$6*IF('2 - Le opzioni'!$B$42&gt;=MAX('2 - Le opzioni'!$B$67:$K$67),0,INDEX('2 - Le opzioni'!$B$68:$K$68,MATCH('2 - Le opzioni'!$B$42,'2 - Le opzioni'!$B$67:$K$67,1))+(INDEX('2 - Le opzioni'!$B$68:$K$68,MATCH('2 - Le opzioni'!$B$42,'2 - Le opzioni'!$B$67:$K$67,1)+1)-INDEX('2 - Le opzioni'!$B$68:$K$68,MATCH('2 - Le opzioni'!$B$42,'2 - Le opzioni'!$B$67:$K$67,1)))*('2 - Le opzioni'!$B$42-INDEX('2 - Le opzioni'!$B$67:$K$67,MATCH('2 - Le opzioni'!$B$42,'2 - Le opzioni'!$B$67:$K$67,1)))/(INDEX('2 - Le opzioni'!$B$67:$K$67,MATCH('2 - Le opzioni'!$B$42,'2 - Le opzioni'!$B$67:$K$67,1)+1)-INDEX('2 - Le opzioni'!$B$67:$K$67,MATCH('2 - Le opzioni'!$B$42,'2 - Le opzioni'!$B$67:$K$67,1))))),0)</f>
        <v>0</v>
      </c>
      <c r="L540" s="21">
        <f t="shared" si="49"/>
        <v>0</v>
      </c>
      <c r="M540" s="33">
        <f>1/(1+'1 - Il tuo profilo'!$B$13)^A540</f>
        <v>0.83748425668365445</v>
      </c>
    </row>
    <row r="541" spans="1:18">
      <c r="A541" s="26">
        <v>7</v>
      </c>
      <c r="B541" s="26">
        <f t="shared" si="50"/>
        <v>7</v>
      </c>
      <c r="C541" s="21">
        <f>IF(A541&lt;=('2 - Le opzioni'!$B$42),'1 - Il tuo profilo'!$B$9/100*'2 - Le opzioni'!$B$8*'1 - Il tuo profilo'!$B$25,0)</f>
        <v>0</v>
      </c>
      <c r="D541" s="21">
        <f>IF(A541&lt;=('2 - Le opzioni'!$B$42),'1 - Il tuo profilo'!$B$29+IF($B541&lt;='2 - Le opzioni'!$B$64,'1 - Il tuo profilo'!$B$32,0),0)</f>
        <v>0</v>
      </c>
      <c r="E541" s="21">
        <f>IF(A541&lt;=('2 - Le opzioni'!$B$42),'2 - Le opzioni'!$B$7*'1 - Il tuo profilo'!$B$30+IF(AND($B541&gt;=4,MOD($B541,2)=0),'1 - Il tuo profilo'!$B$31,0),0)</f>
        <v>0</v>
      </c>
      <c r="F541" s="21">
        <f>IF(A541&lt;=('2 - Le opzioni'!$B$42),IF($B541&lt;=3,'2 - Le opzioni'!$B$56,IF($B541&lt;=7,'2 - Le opzioni'!$B$57,IF($B541&lt;=12,'2 - Le opzioni'!$B$58,'2 - Le opzioni'!$B$59+'2 - Le opzioni'!$B$60*($B541-13))))*1*(0.5+0.5*'1 - Il tuo profilo'!$B$9/'2 - Le opzioni'!$B$63),0)</f>
        <v>0</v>
      </c>
      <c r="G541" s="21">
        <f>IF(A541=('2 - Le opzioni'!$B$42),-('2 - Le opzioni'!$B$6*IF('2 - Le opzioni'!$B$42&gt;=MAX('2 - Le opzioni'!$B$67:$K$67),0,INDEX('2 - Le opzioni'!$B$68:$K$68,MATCH('2 - Le opzioni'!$B$42,'2 - Le opzioni'!$B$67:$K$67,1))+(INDEX('2 - Le opzioni'!$B$68:$K$68,MATCH('2 - Le opzioni'!$B$42,'2 - Le opzioni'!$B$67:$K$67,1)+1)-INDEX('2 - Le opzioni'!$B$68:$K$68,MATCH('2 - Le opzioni'!$B$42,'2 - Le opzioni'!$B$67:$K$67,1)))*('2 - Le opzioni'!$B$42-INDEX('2 - Le opzioni'!$B$67:$K$67,MATCH('2 - Le opzioni'!$B$42,'2 - Le opzioni'!$B$67:$K$67,1)))/(INDEX('2 - Le opzioni'!$B$67:$K$67,MATCH('2 - Le opzioni'!$B$42,'2 - Le opzioni'!$B$67:$K$67,1)+1)-INDEX('2 - Le opzioni'!$B$67:$K$67,MATCH('2 - Le opzioni'!$B$42,'2 - Le opzioni'!$B$67:$K$67,1))))),0)</f>
        <v>0</v>
      </c>
      <c r="L541" s="21">
        <f t="shared" si="49"/>
        <v>0</v>
      </c>
      <c r="M541" s="33">
        <f>1/(1+'1 - Il tuo profilo'!$B$13)^A541</f>
        <v>0.81309151134335378</v>
      </c>
    </row>
    <row r="542" spans="1:18">
      <c r="A542" s="26">
        <v>8</v>
      </c>
      <c r="B542" s="26">
        <f t="shared" si="50"/>
        <v>8</v>
      </c>
      <c r="C542" s="21">
        <f>IF(A542&lt;=('2 - Le opzioni'!$B$42),'1 - Il tuo profilo'!$B$9/100*'2 - Le opzioni'!$B$8*'1 - Il tuo profilo'!$B$25,0)</f>
        <v>0</v>
      </c>
      <c r="D542" s="21">
        <f>IF(A542&lt;=('2 - Le opzioni'!$B$42),'1 - Il tuo profilo'!$B$29+IF($B542&lt;='2 - Le opzioni'!$B$64,'1 - Il tuo profilo'!$B$32,0),0)</f>
        <v>0</v>
      </c>
      <c r="E542" s="21">
        <f>IF(A542&lt;=('2 - Le opzioni'!$B$42),'2 - Le opzioni'!$B$7*'1 - Il tuo profilo'!$B$30+IF(AND($B542&gt;=4,MOD($B542,2)=0),'1 - Il tuo profilo'!$B$31,0),0)</f>
        <v>0</v>
      </c>
      <c r="F542" s="21">
        <f>IF(A542&lt;=('2 - Le opzioni'!$B$42),IF($B542&lt;=3,'2 - Le opzioni'!$B$56,IF($B542&lt;=7,'2 - Le opzioni'!$B$57,IF($B542&lt;=12,'2 - Le opzioni'!$B$58,'2 - Le opzioni'!$B$59+'2 - Le opzioni'!$B$60*($B542-13))))*1*(0.5+0.5*'1 - Il tuo profilo'!$B$9/'2 - Le opzioni'!$B$63),0)</f>
        <v>0</v>
      </c>
      <c r="G542" s="21">
        <f>IF(A542=('2 - Le opzioni'!$B$42),-('2 - Le opzioni'!$B$6*IF('2 - Le opzioni'!$B$42&gt;=MAX('2 - Le opzioni'!$B$67:$K$67),0,INDEX('2 - Le opzioni'!$B$68:$K$68,MATCH('2 - Le opzioni'!$B$42,'2 - Le opzioni'!$B$67:$K$67,1))+(INDEX('2 - Le opzioni'!$B$68:$K$68,MATCH('2 - Le opzioni'!$B$42,'2 - Le opzioni'!$B$67:$K$67,1)+1)-INDEX('2 - Le opzioni'!$B$68:$K$68,MATCH('2 - Le opzioni'!$B$42,'2 - Le opzioni'!$B$67:$K$67,1)))*('2 - Le opzioni'!$B$42-INDEX('2 - Le opzioni'!$B$67:$K$67,MATCH('2 - Le opzioni'!$B$42,'2 - Le opzioni'!$B$67:$K$67,1)))/(INDEX('2 - Le opzioni'!$B$67:$K$67,MATCH('2 - Le opzioni'!$B$42,'2 - Le opzioni'!$B$67:$K$67,1)+1)-INDEX('2 - Le opzioni'!$B$67:$K$67,MATCH('2 - Le opzioni'!$B$42,'2 - Le opzioni'!$B$67:$K$67,1))))),0)</f>
        <v>0</v>
      </c>
      <c r="L542" s="21">
        <f t="shared" si="49"/>
        <v>0</v>
      </c>
      <c r="M542" s="33">
        <f>1/(1+'1 - Il tuo profilo'!$B$13)^A542</f>
        <v>0.78940923431393573</v>
      </c>
    </row>
    <row r="543" spans="1:18">
      <c r="A543" s="26">
        <v>9</v>
      </c>
      <c r="B543" s="26">
        <f t="shared" si="50"/>
        <v>9</v>
      </c>
      <c r="C543" s="21">
        <f>IF(A543&lt;=('2 - Le opzioni'!$B$42),'1 - Il tuo profilo'!$B$9/100*'2 - Le opzioni'!$B$8*'1 - Il tuo profilo'!$B$25,0)</f>
        <v>0</v>
      </c>
      <c r="D543" s="21">
        <f>IF(A543&lt;=('2 - Le opzioni'!$B$42),'1 - Il tuo profilo'!$B$29+IF($B543&lt;='2 - Le opzioni'!$B$64,'1 - Il tuo profilo'!$B$32,0),0)</f>
        <v>0</v>
      </c>
      <c r="E543" s="21">
        <f>IF(A543&lt;=('2 - Le opzioni'!$B$42),'2 - Le opzioni'!$B$7*'1 - Il tuo profilo'!$B$30+IF(AND($B543&gt;=4,MOD($B543,2)=0),'1 - Il tuo profilo'!$B$31,0),0)</f>
        <v>0</v>
      </c>
      <c r="F543" s="21">
        <f>IF(A543&lt;=('2 - Le opzioni'!$B$42),IF($B543&lt;=3,'2 - Le opzioni'!$B$56,IF($B543&lt;=7,'2 - Le opzioni'!$B$57,IF($B543&lt;=12,'2 - Le opzioni'!$B$58,'2 - Le opzioni'!$B$59+'2 - Le opzioni'!$B$60*($B543-13))))*1*(0.5+0.5*'1 - Il tuo profilo'!$B$9/'2 - Le opzioni'!$B$63),0)</f>
        <v>0</v>
      </c>
      <c r="G543" s="21">
        <f>IF(A543=('2 - Le opzioni'!$B$42),-('2 - Le opzioni'!$B$6*IF('2 - Le opzioni'!$B$42&gt;=MAX('2 - Le opzioni'!$B$67:$K$67),0,INDEX('2 - Le opzioni'!$B$68:$K$68,MATCH('2 - Le opzioni'!$B$42,'2 - Le opzioni'!$B$67:$K$67,1))+(INDEX('2 - Le opzioni'!$B$68:$K$68,MATCH('2 - Le opzioni'!$B$42,'2 - Le opzioni'!$B$67:$K$67,1)+1)-INDEX('2 - Le opzioni'!$B$68:$K$68,MATCH('2 - Le opzioni'!$B$42,'2 - Le opzioni'!$B$67:$K$67,1)))*('2 - Le opzioni'!$B$42-INDEX('2 - Le opzioni'!$B$67:$K$67,MATCH('2 - Le opzioni'!$B$42,'2 - Le opzioni'!$B$67:$K$67,1)))/(INDEX('2 - Le opzioni'!$B$67:$K$67,MATCH('2 - Le opzioni'!$B$42,'2 - Le opzioni'!$B$67:$K$67,1)+1)-INDEX('2 - Le opzioni'!$B$67:$K$67,MATCH('2 - Le opzioni'!$B$42,'2 - Le opzioni'!$B$67:$K$67,1))))),0)</f>
        <v>0</v>
      </c>
      <c r="L543" s="21">
        <f t="shared" si="49"/>
        <v>0</v>
      </c>
      <c r="M543" s="33">
        <f>1/(1+'1 - Il tuo profilo'!$B$13)^A543</f>
        <v>0.76641673234362695</v>
      </c>
    </row>
    <row r="544" spans="1:18">
      <c r="A544" s="26">
        <v>10</v>
      </c>
      <c r="B544" s="26">
        <f t="shared" si="50"/>
        <v>10</v>
      </c>
      <c r="C544" s="21">
        <f>IF(A544&lt;=('2 - Le opzioni'!$B$42),'1 - Il tuo profilo'!$B$9/100*'2 - Le opzioni'!$B$8*'1 - Il tuo profilo'!$B$25,0)</f>
        <v>0</v>
      </c>
      <c r="D544" s="21">
        <f>IF(A544&lt;=('2 - Le opzioni'!$B$42),'1 - Il tuo profilo'!$B$29+IF($B544&lt;='2 - Le opzioni'!$B$64,'1 - Il tuo profilo'!$B$32,0),0)</f>
        <v>0</v>
      </c>
      <c r="E544" s="21">
        <f>IF(A544&lt;=('2 - Le opzioni'!$B$42),'2 - Le opzioni'!$B$7*'1 - Il tuo profilo'!$B$30+IF(AND($B544&gt;=4,MOD($B544,2)=0),'1 - Il tuo profilo'!$B$31,0),0)</f>
        <v>0</v>
      </c>
      <c r="F544" s="21">
        <f>IF(A544&lt;=('2 - Le opzioni'!$B$42),IF($B544&lt;=3,'2 - Le opzioni'!$B$56,IF($B544&lt;=7,'2 - Le opzioni'!$B$57,IF($B544&lt;=12,'2 - Le opzioni'!$B$58,'2 - Le opzioni'!$B$59+'2 - Le opzioni'!$B$60*($B544-13))))*1*(0.5+0.5*'1 - Il tuo profilo'!$B$9/'2 - Le opzioni'!$B$63),0)</f>
        <v>0</v>
      </c>
      <c r="G544" s="21">
        <f>IF(A544=('2 - Le opzioni'!$B$42),-('2 - Le opzioni'!$B$6*IF('2 - Le opzioni'!$B$42&gt;=MAX('2 - Le opzioni'!$B$67:$K$67),0,INDEX('2 - Le opzioni'!$B$68:$K$68,MATCH('2 - Le opzioni'!$B$42,'2 - Le opzioni'!$B$67:$K$67,1))+(INDEX('2 - Le opzioni'!$B$68:$K$68,MATCH('2 - Le opzioni'!$B$42,'2 - Le opzioni'!$B$67:$K$67,1)+1)-INDEX('2 - Le opzioni'!$B$68:$K$68,MATCH('2 - Le opzioni'!$B$42,'2 - Le opzioni'!$B$67:$K$67,1)))*('2 - Le opzioni'!$B$42-INDEX('2 - Le opzioni'!$B$67:$K$67,MATCH('2 - Le opzioni'!$B$42,'2 - Le opzioni'!$B$67:$K$67,1)))/(INDEX('2 - Le opzioni'!$B$67:$K$67,MATCH('2 - Le opzioni'!$B$42,'2 - Le opzioni'!$B$67:$K$67,1)+1)-INDEX('2 - Le opzioni'!$B$67:$K$67,MATCH('2 - Le opzioni'!$B$42,'2 - Le opzioni'!$B$67:$K$67,1))))),0)</f>
        <v>0</v>
      </c>
      <c r="L544" s="21">
        <f t="shared" si="49"/>
        <v>0</v>
      </c>
      <c r="M544" s="33">
        <f>1/(1+'1 - Il tuo profilo'!$B$13)^A544</f>
        <v>0.74409391489672516</v>
      </c>
    </row>
    <row r="546" spans="1:18" ht="32.1" customHeight="1">
      <c r="A546" s="30" t="s">
        <v>285</v>
      </c>
      <c r="B546" s="30" t="s">
        <v>286</v>
      </c>
      <c r="C546" s="30" t="s">
        <v>287</v>
      </c>
      <c r="D546" s="30" t="s">
        <v>288</v>
      </c>
      <c r="E546" s="30" t="s">
        <v>289</v>
      </c>
      <c r="F546" s="30" t="s">
        <v>290</v>
      </c>
      <c r="G546" s="30" t="s">
        <v>291</v>
      </c>
      <c r="H546" s="30" t="s">
        <v>292</v>
      </c>
      <c r="I546" s="30" t="s">
        <v>225</v>
      </c>
      <c r="J546" s="30" t="s">
        <v>293</v>
      </c>
      <c r="K546" s="30" t="s">
        <v>294</v>
      </c>
      <c r="L546" s="30" t="s">
        <v>295</v>
      </c>
      <c r="M546" s="30" t="s">
        <v>227</v>
      </c>
    </row>
    <row r="547" spans="1:18">
      <c r="A547" s="21">
        <f>L534+NPV('1 - Il tuo profilo'!$B$13,L535:L544)+E547+G547</f>
        <v>15101.547637937016</v>
      </c>
      <c r="B547" s="21">
        <f>SUM(L534:L544)+F547+H547</f>
        <v>14518.899200000003</v>
      </c>
      <c r="C547" s="26">
        <f>'2 - Le opzioni'!$B$42</f>
        <v>3</v>
      </c>
      <c r="D547" s="33">
        <f>PV('1 - Il tuo profilo'!$B$13,C547,-1)</f>
        <v>2.8286113548946812</v>
      </c>
      <c r="E547" s="21">
        <f>0</f>
        <v>0</v>
      </c>
      <c r="F547" s="21">
        <f>0</f>
        <v>0</v>
      </c>
      <c r="G547" s="21">
        <f>0</f>
        <v>0</v>
      </c>
      <c r="H547" s="21">
        <f>0</f>
        <v>0</v>
      </c>
      <c r="I547" s="21">
        <f>IF(C547&gt;=10,A547,A547/D547*'2 - Le opzioni'!$B$112-'1 - Il tuo profilo'!$B$33)</f>
        <v>42541.521382187915</v>
      </c>
      <c r="J547" s="21">
        <f>IF(C547&gt;=10,B547,B547*10/C547-'1 - Il tuo profilo'!$B$33)</f>
        <v>45396.330666666676</v>
      </c>
      <c r="K547" s="18">
        <f>I547/'2 - Le opzioni'!$B$112</f>
        <v>4987.1641033881197</v>
      </c>
      <c r="L547" s="18">
        <f>K547/12</f>
        <v>415.59700861567666</v>
      </c>
      <c r="M547" s="31">
        <f>K547/'1 - Il tuo profilo'!$B$9</f>
        <v>0.41559700861567661</v>
      </c>
    </row>
    <row r="548" spans="1:18" ht="32.1" customHeight="1">
      <c r="A548" s="30" t="s">
        <v>296</v>
      </c>
      <c r="B548" s="30" t="s">
        <v>297</v>
      </c>
      <c r="C548" s="30" t="s">
        <v>298</v>
      </c>
      <c r="D548" s="30" t="s">
        <v>299</v>
      </c>
      <c r="E548" s="30" t="s">
        <v>300</v>
      </c>
      <c r="F548" s="30" t="s">
        <v>301</v>
      </c>
      <c r="G548" s="30" t="s">
        <v>302</v>
      </c>
      <c r="H548" s="30" t="s">
        <v>303</v>
      </c>
      <c r="I548" s="30" t="s">
        <v>304</v>
      </c>
      <c r="J548" s="30" t="s">
        <v>305</v>
      </c>
      <c r="K548" s="30" t="s">
        <v>306</v>
      </c>
      <c r="L548" s="30" t="s">
        <v>307</v>
      </c>
      <c r="M548" s="30" t="s">
        <v>308</v>
      </c>
      <c r="N548" s="30" t="s">
        <v>309</v>
      </c>
      <c r="O548" s="30" t="s">
        <v>310</v>
      </c>
      <c r="P548" s="30" t="s">
        <v>311</v>
      </c>
      <c r="Q548" s="30" t="s">
        <v>312</v>
      </c>
      <c r="R548" s="30" t="s">
        <v>313</v>
      </c>
    </row>
    <row r="549" spans="1:18">
      <c r="A549" s="21">
        <f>SUMPRODUCT(G534:G544,M534:M544)</f>
        <v>8219.6312528197795</v>
      </c>
      <c r="B549" s="21">
        <f>SUMPRODUCT(H534:H544,M534:M544)</f>
        <v>0</v>
      </c>
      <c r="C549" s="21">
        <f>SUMPRODUCT(I534:I544,M534:M544)+G547</f>
        <v>0</v>
      </c>
      <c r="D549" s="21">
        <f>SUMPRODUCT(C534:C544,M534:M544)</f>
        <v>3516.4345950635434</v>
      </c>
      <c r="E549" s="21">
        <f>SUMPRODUCT(D534:D544,M534:M544)</f>
        <v>1864.6206051465738</v>
      </c>
      <c r="F549" s="21">
        <f>SUMPRODUCT(E534:E544,M534:M544)</f>
        <v>510.84721069397938</v>
      </c>
      <c r="G549" s="21">
        <f>SUMPRODUCT(F534:F544,M534:M544)</f>
        <v>990.01397421313834</v>
      </c>
      <c r="H549" s="21">
        <f>SUMPRODUCT(J534:J544,M534:M544)</f>
        <v>0</v>
      </c>
      <c r="I549" s="21">
        <f>SUMPRODUCT(K534:K544,M534:M544)</f>
        <v>0</v>
      </c>
      <c r="J549" s="18">
        <f t="shared" ref="J549:R549" si="51">A549/$D547/12</f>
        <v>242.15743526696644</v>
      </c>
      <c r="K549" s="18">
        <f t="shared" si="51"/>
        <v>0</v>
      </c>
      <c r="L549" s="18">
        <f t="shared" si="51"/>
        <v>0</v>
      </c>
      <c r="M549" s="18">
        <f t="shared" si="51"/>
        <v>103.5972</v>
      </c>
      <c r="N549" s="18">
        <f t="shared" si="51"/>
        <v>54.93333333333333</v>
      </c>
      <c r="O549" s="18">
        <f t="shared" si="51"/>
        <v>15.049999999999999</v>
      </c>
      <c r="P549" s="18">
        <f t="shared" si="51"/>
        <v>29.166666666666668</v>
      </c>
      <c r="Q549" s="18">
        <f t="shared" si="51"/>
        <v>0</v>
      </c>
      <c r="R549" s="18">
        <f t="shared" si="51"/>
        <v>0</v>
      </c>
    </row>
  </sheetData>
  <mergeCells count="36">
    <mergeCell ref="A108:S108"/>
    <mergeCell ref="C31:F31"/>
    <mergeCell ref="A53:H53"/>
    <mergeCell ref="A35:H35"/>
    <mergeCell ref="A20:H20"/>
    <mergeCell ref="C43:F43"/>
    <mergeCell ref="A72:H72"/>
    <mergeCell ref="A70:L70"/>
    <mergeCell ref="A102:H102"/>
    <mergeCell ref="C36:F36"/>
    <mergeCell ref="A76:H76"/>
    <mergeCell ref="A14:H14"/>
    <mergeCell ref="C63:F63"/>
    <mergeCell ref="A5:H5"/>
    <mergeCell ref="C47:F47"/>
    <mergeCell ref="A22:H22"/>
    <mergeCell ref="C44:F44"/>
    <mergeCell ref="C40:F40"/>
    <mergeCell ref="C12:F12"/>
    <mergeCell ref="A10:H10"/>
    <mergeCell ref="C39:F39"/>
    <mergeCell ref="A66:L66"/>
    <mergeCell ref="A109:S109"/>
    <mergeCell ref="A1:H1"/>
    <mergeCell ref="C37:F37"/>
    <mergeCell ref="A16:H16"/>
    <mergeCell ref="C6:F6"/>
    <mergeCell ref="C33:F33"/>
    <mergeCell ref="A46:H46"/>
    <mergeCell ref="C74:F74"/>
    <mergeCell ref="C81:H81"/>
    <mergeCell ref="A3:H3"/>
    <mergeCell ref="A101:H101"/>
    <mergeCell ref="A55:H55"/>
    <mergeCell ref="A2:H2"/>
    <mergeCell ref="C26:F26"/>
  </mergeCells>
  <dataValidations count="5">
    <dataValidation type="whole" errorTitle="Valore non valido" error="Valore fuori dal campo del simulatore (1 - 8)" sqref="B11">
      <formula1>1</formula1>
      <formula2>8</formula2>
    </dataValidation>
    <dataValidation type="whole" errorTitle="Valore non valido" error="Valore fuori dal campo del simulatore (12 - 96)" sqref="B38">
      <formula1>12</formula1>
      <formula2>96</formula2>
    </dataValidation>
    <dataValidation type="list" errorTitle="Valore non valido" error="Scegli un valore dall'elenco" sqref="B39">
      <formula1>"36,48,60"</formula1>
    </dataValidation>
    <dataValidation type="list" errorTitle="Valore non valido" error="Scegli un valore dall'elenco" sqref="B49">
      <formula1>"24,36,48,60"</formula1>
    </dataValidation>
    <dataValidation type="list" errorTitle="Valore non valido" error="Scegli un valore dall'elenco" sqref="B81">
      <formula1>"sì,no"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4"/>
  <sheetViews>
    <sheetView zoomScale="90" workbookViewId="0"/>
  </sheetViews>
  <sheetFormatPr defaultRowHeight="15"/>
  <cols>
    <col min="1" max="1" width="70" customWidth="1"/>
    <col min="2" max="2" width="66" customWidth="1"/>
    <col min="3" max="3" width="30" customWidth="1"/>
    <col min="4" max="4" width="23.28515625" customWidth="1"/>
    <col min="5" max="5" width="22.140625" customWidth="1"/>
    <col min="6" max="6" width="24.42578125" customWidth="1"/>
    <col min="7" max="7" width="19.85546875" customWidth="1"/>
    <col min="8" max="10" width="16" customWidth="1"/>
    <col min="11" max="11" width="21" customWidth="1"/>
    <col min="12" max="12" width="16.5703125" customWidth="1"/>
    <col min="14" max="14" width="24.42578125" hidden="1" customWidth="1"/>
    <col min="15" max="15" width="27.7109375" hidden="1" customWidth="1"/>
    <col min="16" max="16" width="18.85546875" hidden="1" customWidth="1"/>
    <col min="17" max="17" width="26.5703125" hidden="1" customWidth="1"/>
    <col min="18" max="18" width="17.7109375" hidden="1" customWidth="1"/>
  </cols>
  <sheetData>
    <row r="1" spans="1:12" ht="24.95" customHeight="1">
      <c r="A1" s="41" t="s">
        <v>339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ht="32.1" customHeight="1">
      <c r="A2" s="39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2" ht="30" customHeight="1">
      <c r="A3" s="42" t="s">
        <v>340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5" spans="1:12">
      <c r="A5" s="43" t="s">
        <v>341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2" ht="15" customHeight="1">
      <c r="A6" s="6" t="s">
        <v>342</v>
      </c>
      <c r="B6" s="29" t="s">
        <v>240</v>
      </c>
      <c r="C6" s="42" t="s">
        <v>343</v>
      </c>
      <c r="D6" s="40"/>
      <c r="E6" s="40"/>
      <c r="F6" s="40"/>
      <c r="G6" s="40"/>
      <c r="H6" s="40"/>
    </row>
    <row r="7" spans="1:12" ht="15" customHeight="1">
      <c r="A7" s="6" t="s">
        <v>344</v>
      </c>
      <c r="B7" s="11">
        <v>2E-3</v>
      </c>
      <c r="C7" s="42" t="s">
        <v>345</v>
      </c>
      <c r="D7" s="40"/>
      <c r="E7" s="40"/>
      <c r="F7" s="40"/>
      <c r="G7" s="40"/>
      <c r="H7" s="40"/>
    </row>
    <row r="8" spans="1:12" ht="30" customHeight="1">
      <c r="A8" s="6" t="s">
        <v>346</v>
      </c>
      <c r="B8" s="17">
        <v>0.20599999999999999</v>
      </c>
      <c r="C8" s="42" t="s">
        <v>347</v>
      </c>
      <c r="D8" s="40"/>
      <c r="E8" s="40"/>
      <c r="F8" s="40"/>
      <c r="G8" s="40"/>
      <c r="H8" s="40"/>
    </row>
    <row r="9" spans="1:12">
      <c r="A9" s="6" t="s">
        <v>348</v>
      </c>
      <c r="B9" s="8">
        <f>'1 - Il tuo profilo'!$B$8</f>
        <v>30</v>
      </c>
    </row>
    <row r="10" spans="1:12">
      <c r="A10" s="6" t="s">
        <v>349</v>
      </c>
      <c r="B10" s="19">
        <f>'1 - Il tuo profilo'!$B$15</f>
        <v>0.03</v>
      </c>
    </row>
    <row r="12" spans="1:12">
      <c r="A12" s="43" t="s">
        <v>350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</row>
    <row r="13" spans="1:12">
      <c r="A13" s="6" t="s">
        <v>351</v>
      </c>
      <c r="B13" s="11">
        <v>0.04</v>
      </c>
      <c r="C13" s="6" t="s">
        <v>352</v>
      </c>
      <c r="D13" s="18">
        <f>12/'3 - Il costo opportunità'!$B$13</f>
        <v>300</v>
      </c>
    </row>
    <row r="14" spans="1:12">
      <c r="A14" s="6" t="s">
        <v>351</v>
      </c>
      <c r="B14" s="11">
        <v>0.03</v>
      </c>
      <c r="C14" s="6" t="s">
        <v>352</v>
      </c>
      <c r="D14" s="18">
        <f>12/'3 - Il costo opportunità'!$B$14</f>
        <v>400</v>
      </c>
    </row>
    <row r="15" spans="1:12">
      <c r="A15" s="6" t="s">
        <v>351</v>
      </c>
      <c r="B15" s="11">
        <v>2.3099999999999999E-2</v>
      </c>
      <c r="C15" s="6" t="s">
        <v>352</v>
      </c>
      <c r="D15" s="18">
        <f>12/'3 - Il costo opportunità'!$B$15</f>
        <v>519.48051948051955</v>
      </c>
    </row>
    <row r="16" spans="1:12" ht="30" customHeight="1">
      <c r="A16" s="42" t="s">
        <v>353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</row>
    <row r="18" spans="1:18">
      <c r="A18" s="43" t="s">
        <v>354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</row>
    <row r="19" spans="1:18">
      <c r="A19" s="6" t="s">
        <v>355</v>
      </c>
      <c r="B19" s="13">
        <v>100</v>
      </c>
    </row>
    <row r="20" spans="1:18">
      <c r="A20" s="6" t="s">
        <v>356</v>
      </c>
      <c r="B20" s="21">
        <f>SIGN('3 - Il costo opportunità'!$B$19*12)*((((0)*INDEX('3 - Il costo opportunità'!$B$74:$B$134,('3 - Il costo opportunità'!$B$9)+1)+(ABS('3 - Il costo opportunità'!$B$19*12))*INDEX('3 - Il costo opportunità'!$C$74:$C$134,('3 - Il costo opportunità'!$B$9)+1))-'3 - Il costo opportunità'!$B$8*MAX(0,((0)*INDEX('3 - Il costo opportunità'!$B$74:$B$134,('3 - Il costo opportunità'!$B$9)+1)+(ABS('3 - Il costo opportunità'!$B$19*12))*INDEX('3 - Il costo opportunità'!$C$74:$C$134,('3 - Il costo opportunità'!$B$9)+1))-((0)+(ABS('3 - Il costo opportunità'!$B$19*12))*INDEX('3 - Il costo opportunità'!$D$74:$D$134,('3 - Il costo opportunità'!$B$9)+1))))/(1+'1 - Il tuo profilo'!$B$14)^('3 - Il costo opportunità'!$B$9))</f>
        <v>49953.939697884212</v>
      </c>
      <c r="N20" s="21">
        <f>FV('1 - Il tuo profilo'!$B$13,'3 - Il costo opportunità'!$B$9,-('3 - Il costo opportunità'!$B$19*12),-(0))</f>
        <v>57090.498847586365</v>
      </c>
    </row>
    <row r="21" spans="1:18">
      <c r="A21" s="6" t="s">
        <v>357</v>
      </c>
      <c r="B21" s="21">
        <f>'3 - Il costo opportunità'!$B$20*'3 - Il costo opportunità'!$B$10/12</f>
        <v>124.88484924471054</v>
      </c>
    </row>
    <row r="22" spans="1:18">
      <c r="A22" s="6" t="s">
        <v>358</v>
      </c>
      <c r="B22" s="21">
        <f>'3 - Il costo opportunità'!$B$19*12/'3 - Il costo opportunità'!$B$10</f>
        <v>40000</v>
      </c>
    </row>
    <row r="24" spans="1:18">
      <c r="A24" s="43" t="s">
        <v>359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</row>
    <row r="25" spans="1:18" ht="32.1" customHeight="1">
      <c r="A25" s="30" t="s">
        <v>221</v>
      </c>
      <c r="B25" s="30" t="s">
        <v>222</v>
      </c>
      <c r="C25" s="30" t="s">
        <v>226</v>
      </c>
      <c r="D25" s="30" t="s">
        <v>360</v>
      </c>
      <c r="E25" s="30" t="s">
        <v>361</v>
      </c>
      <c r="F25" s="30" t="s">
        <v>362</v>
      </c>
      <c r="G25" s="30" t="s">
        <v>363</v>
      </c>
      <c r="H25" s="30" t="s">
        <v>364</v>
      </c>
      <c r="I25" s="30" t="s">
        <v>100</v>
      </c>
      <c r="J25" s="30" t="s">
        <v>101</v>
      </c>
      <c r="K25" s="30" t="s">
        <v>365</v>
      </c>
      <c r="L25" s="30" t="s">
        <v>366</v>
      </c>
      <c r="N25" s="30" t="s">
        <v>367</v>
      </c>
      <c r="O25" s="30" t="s">
        <v>368</v>
      </c>
      <c r="P25" s="30" t="s">
        <v>369</v>
      </c>
      <c r="Q25" s="30" t="s">
        <v>370</v>
      </c>
      <c r="R25" s="30" t="s">
        <v>371</v>
      </c>
    </row>
    <row r="26" spans="1:18">
      <c r="A26" s="10" t="s">
        <v>229</v>
      </c>
      <c r="B26" s="10" t="s">
        <v>230</v>
      </c>
      <c r="C26" s="18">
        <f>'2 - Le opzioni'!$L$224</f>
        <v>358.70959000902144</v>
      </c>
      <c r="D26" s="34">
        <f>C26-INDEX('3 - Il costo opportunità'!$C$26:$C$44,MATCH('3 - Il costo opportunità'!$B$6,'3 - Il costo opportunità'!$A$26:$A$44,0))</f>
        <v>52.754561199460966</v>
      </c>
      <c r="E26" s="21">
        <f>SIGN(D26*12)*((((0)*INDEX('3 - Il costo opportunità'!$B$74:$B$134,(10)+1)+(ABS(D26*12))*INDEX('3 - Il costo opportunità'!$C$74:$C$134,(10)+1))-'3 - Il costo opportunità'!$B$8*MAX(0,((0)*INDEX('3 - Il costo opportunità'!$B$74:$B$134,(10)+1)+(ABS(D26*12))*INDEX('3 - Il costo opportunità'!$C$74:$C$134,(10)+1))-((0)+(ABS(D26*12))*INDEX('3 - Il costo opportunità'!$D$74:$D$134,(10)+1))))/(1+'1 - Il tuo profilo'!$B$14)^(10))</f>
        <v>6958.4555959338131</v>
      </c>
      <c r="F26" s="21">
        <f>SIGN(D26*12)*((((0)*INDEX('3 - Il costo opportunità'!$B$74:$B$134,('3 - Il costo opportunità'!$B$9)+1)+(ABS(D26*12))*INDEX('3 - Il costo opportunità'!$C$74:$C$134,('3 - Il costo opportunità'!$B$9)+1))-'3 - Il costo opportunità'!$B$8*MAX(0,((0)*INDEX('3 - Il costo opportunità'!$B$74:$B$134,('3 - Il costo opportunità'!$B$9)+1)+(ABS(D26*12))*INDEX('3 - Il costo opportunità'!$C$74:$C$134,('3 - Il costo opportunità'!$B$9)+1))-((0)+(ABS(D26*12))*INDEX('3 - Il costo opportunità'!$D$74:$D$134,('3 - Il costo opportunità'!$B$9)+1))))/(1+'1 - Il tuo profilo'!$B$14)^('3 - Il costo opportunità'!$B$9))</f>
        <v>26352.981689462154</v>
      </c>
      <c r="G26" s="21">
        <f>F26*'3 - Il costo opportunità'!$B$10/12</f>
        <v>65.882454223655387</v>
      </c>
      <c r="H26" s="21">
        <f>('1 - Il tuo profilo'!$B$19+'1 - Il tuo profilo'!$B$20+'1 - Il tuo profilo'!$B$21)+C26*12</f>
        <v>24053.385080108259</v>
      </c>
      <c r="I26" s="21">
        <f>'1 - Il tuo profilo'!$B$18-H26</f>
        <v>3273.2149198917396</v>
      </c>
      <c r="J26" s="35">
        <f>I26/'1 - Il tuo profilo'!$B$18</f>
        <v>0.11978127245583936</v>
      </c>
      <c r="K26" s="21">
        <f>(((('1 - Il tuo profilo'!$B$22)*INDEX('3 - Il costo opportunità'!$B$74:$B$134,('3 - Il costo opportunità'!$B$9)+1)+(I26)*INDEX('3 - Il costo opportunità'!$C$74:$C$134,('3 - Il costo opportunità'!$B$9)+1))-'3 - Il costo opportunità'!$B$8*MAX(0,(('1 - Il tuo profilo'!$B$22)*INDEX('3 - Il costo opportunità'!$B$74:$B$134,('3 - Il costo opportunità'!$B$9)+1)+(I26)*INDEX('3 - Il costo opportunità'!$C$74:$C$134,('3 - Il costo opportunità'!$B$9)+1))-(('1 - Il tuo profilo'!$B$22)+(I26)*INDEX('3 - Il costo opportunità'!$D$74:$D$134,('3 - Il costo opportunità'!$B$9)+1))))/(1+'1 - Il tuo profilo'!$B$14)^('3 - Il costo opportunità'!$B$9))</f>
        <v>251976.10942686908</v>
      </c>
      <c r="L26" s="21">
        <f>K26*'3 - Il costo opportunità'!$B$10/12</f>
        <v>629.94027356717265</v>
      </c>
      <c r="N26" s="21">
        <f>FV('1 - Il tuo profilo'!$B$13,10,-D26*12)</f>
        <v>7257.2630726426032</v>
      </c>
      <c r="O26" s="21">
        <f>FV('1 - Il tuo profilo'!$B$13,'3 - Il costo opportunità'!$B$9,-D26*12)</f>
        <v>30117.842153627505</v>
      </c>
      <c r="P26" s="21">
        <f>O26*'3 - Il costo opportunità'!$B$10/12</f>
        <v>75.29460538406876</v>
      </c>
      <c r="Q26" s="21">
        <f>FV('1 - Il tuo profilo'!$B$13,'3 - Il costo opportunità'!$B$9,-(I26),-('1 - Il tuo profilo'!$B$22))</f>
        <v>301360.30878136441</v>
      </c>
      <c r="R26" s="21">
        <f>Q26*'3 - Il costo opportunità'!$B$10/12</f>
        <v>753.40077195341098</v>
      </c>
    </row>
    <row r="27" spans="1:18">
      <c r="A27" s="10" t="s">
        <v>231</v>
      </c>
      <c r="B27" s="10" t="s">
        <v>232</v>
      </c>
      <c r="C27" s="18">
        <f>'2 - Le opzioni'!$L$262</f>
        <v>357.68378023596824</v>
      </c>
      <c r="D27" s="34">
        <f>C27-INDEX('3 - Il costo opportunità'!$C$26:$C$44,MATCH('3 - Il costo opportunità'!$B$6,'3 - Il costo opportunità'!$A$26:$A$44,0))</f>
        <v>51.728751426407769</v>
      </c>
      <c r="E27" s="21">
        <f>SIGN(D27*12)*((((0)*INDEX('3 - Il costo opportunità'!$B$74:$B$134,(10)+1)+(ABS(D27*12))*INDEX('3 - Il costo opportunità'!$C$74:$C$134,(10)+1))-'3 - Il costo opportunità'!$B$8*MAX(0,((0)*INDEX('3 - Il costo opportunità'!$B$74:$B$134,(10)+1)+(ABS(D27*12))*INDEX('3 - Il costo opportunità'!$C$74:$C$134,(10)+1))-((0)+(ABS(D27*12))*INDEX('3 - Il costo opportunità'!$D$74:$D$134,(10)+1))))/(1+'1 - Il tuo profilo'!$B$14)^(10))</f>
        <v>6823.1487789805406</v>
      </c>
      <c r="F27" s="21">
        <f>SIGN(D27*12)*((((0)*INDEX('3 - Il costo opportunità'!$B$74:$B$134,('3 - Il costo opportunità'!$B$9)+1)+(ABS(D27*12))*INDEX('3 - Il costo opportunità'!$C$74:$C$134,('3 - Il costo opportunità'!$B$9)+1))-'3 - Il costo opportunità'!$B$8*MAX(0,((0)*INDEX('3 - Il costo opportunità'!$B$74:$B$134,('3 - Il costo opportunità'!$B$9)+1)+(ABS(D27*12))*INDEX('3 - Il costo opportunità'!$C$74:$C$134,('3 - Il costo opportunità'!$B$9)+1))-((0)+(ABS(D27*12))*INDEX('3 - Il costo opportunità'!$D$74:$D$134,('3 - Il costo opportunità'!$B$9)+1))))/(1+'1 - Il tuo profilo'!$B$14)^('3 - Il costo opportunità'!$B$9))</f>
        <v>25840.549294016157</v>
      </c>
      <c r="G27" s="21">
        <f>F27*'3 - Il costo opportunità'!$B$10/12</f>
        <v>64.601373235040384</v>
      </c>
      <c r="H27" s="21">
        <f>('1 - Il tuo profilo'!$B$19+'1 - Il tuo profilo'!$B$20+'1 - Il tuo profilo'!$B$21)+C27*12</f>
        <v>24041.075362831623</v>
      </c>
      <c r="I27" s="21">
        <f>'1 - Il tuo profilo'!$B$18-H27</f>
        <v>3285.5246371683752</v>
      </c>
      <c r="J27" s="35">
        <f>I27/'1 - Il tuo profilo'!$B$18</f>
        <v>0.12023173893453175</v>
      </c>
      <c r="K27" s="21">
        <f>(((('1 - Il tuo profilo'!$B$22)*INDEX('3 - Il costo opportunità'!$B$74:$B$134,('3 - Il costo opportunità'!$B$9)+1)+(I27)*INDEX('3 - Il costo opportunità'!$C$74:$C$134,('3 - Il costo opportunità'!$B$9)+1))-'3 - Il costo opportunità'!$B$8*MAX(0,(('1 - Il tuo profilo'!$B$22)*INDEX('3 - Il costo opportunità'!$B$74:$B$134,('3 - Il costo opportunità'!$B$9)+1)+(I27)*INDEX('3 - Il costo opportunità'!$C$74:$C$134,('3 - Il costo opportunità'!$B$9)+1))-(('1 - Il tuo profilo'!$B$22)+(I27)*INDEX('3 - Il costo opportunità'!$D$74:$D$134,('3 - Il costo opportunità'!$B$9)+1))))/(1+'1 - Il tuo profilo'!$B$14)^('3 - Il costo opportunità'!$B$9))</f>
        <v>252488.54182231499</v>
      </c>
      <c r="L27" s="21">
        <f>K27*'3 - Il costo opportunità'!$B$10/12</f>
        <v>631.22135455578746</v>
      </c>
      <c r="N27" s="21">
        <f>FV('1 - Il tuo profilo'!$B$13,10,-D27*12)</f>
        <v>7116.1459594248945</v>
      </c>
      <c r="O27" s="21">
        <f>FV('1 - Il tuo profilo'!$B$13,'3 - Il costo opportunità'!$B$9,-D27*12)</f>
        <v>29532.202236964142</v>
      </c>
      <c r="P27" s="21">
        <f>O27*'3 - Il costo opportunità'!$B$10/12</f>
        <v>73.830505592410347</v>
      </c>
      <c r="Q27" s="21">
        <f>FV('1 - Il tuo profilo'!$B$13,'3 - Il costo opportunità'!$B$9,-(I27),-('1 - Il tuo profilo'!$B$22))</f>
        <v>301945.94869802764</v>
      </c>
      <c r="R27" s="21">
        <f>Q27*'3 - Il costo opportunità'!$B$10/12</f>
        <v>754.86487174506908</v>
      </c>
    </row>
    <row r="28" spans="1:18">
      <c r="A28" s="10" t="s">
        <v>233</v>
      </c>
      <c r="B28" s="10" t="s">
        <v>234</v>
      </c>
      <c r="C28" s="18">
        <f>'2 - Le opzioni'!$L$281</f>
        <v>367.77876655694212</v>
      </c>
      <c r="D28" s="34">
        <f>C28-INDEX('3 - Il costo opportunità'!$C$26:$C$44,MATCH('3 - Il costo opportunità'!$B$6,'3 - Il costo opportunità'!$A$26:$A$44,0))</f>
        <v>61.823737747381642</v>
      </c>
      <c r="E28" s="21">
        <f>SIGN(D28*12)*((((0)*INDEX('3 - Il costo opportunità'!$B$74:$B$134,(10)+1)+(ABS(D28*12))*INDEX('3 - Il costo opportunità'!$C$74:$C$134,(10)+1))-'3 - Il costo opportunità'!$B$8*MAX(0,((0)*INDEX('3 - Il costo opportunità'!$B$74:$B$134,(10)+1)+(ABS(D28*12))*INDEX('3 - Il costo opportunità'!$C$74:$C$134,(10)+1))-((0)+(ABS(D28*12))*INDEX('3 - Il costo opportunità'!$D$74:$D$134,(10)+1))))/(1+'1 - Il tuo profilo'!$B$14)^(10))</f>
        <v>8154.7021548197017</v>
      </c>
      <c r="F28" s="21">
        <f>SIGN(D28*12)*((((0)*INDEX('3 - Il costo opportunità'!$B$74:$B$134,('3 - Il costo opportunità'!$B$9)+1)+(ABS(D28*12))*INDEX('3 - Il costo opportunità'!$C$74:$C$134,('3 - Il costo opportunità'!$B$9)+1))-'3 - Il costo opportunità'!$B$8*MAX(0,((0)*INDEX('3 - Il costo opportunità'!$B$74:$B$134,('3 - Il costo opportunità'!$B$9)+1)+(ABS(D28*12))*INDEX('3 - Il costo opportunità'!$C$74:$C$134,('3 - Il costo opportunità'!$B$9)+1))-((0)+(ABS(D28*12))*INDEX('3 - Il costo opportunità'!$D$74:$D$134,('3 - Il costo opportunità'!$B$9)+1))))/(1+'1 - Il tuo profilo'!$B$14)^('3 - Il costo opportunità'!$B$9))</f>
        <v>30883.392673305105</v>
      </c>
      <c r="G28" s="21">
        <f>F28*'3 - Il costo opportunità'!$B$10/12</f>
        <v>77.208481683262761</v>
      </c>
      <c r="H28" s="21">
        <f>('1 - Il tuo profilo'!$B$19+'1 - Il tuo profilo'!$B$20+'1 - Il tuo profilo'!$B$21)+C28*12</f>
        <v>24162.215198683309</v>
      </c>
      <c r="I28" s="21">
        <f>'1 - Il tuo profilo'!$B$18-H28</f>
        <v>3164.3848013166898</v>
      </c>
      <c r="J28" s="35">
        <f>I28/'1 - Il tuo profilo'!$B$18</f>
        <v>0.11579870167956094</v>
      </c>
      <c r="K28" s="21">
        <f>(((('1 - Il tuo profilo'!$B$22)*INDEX('3 - Il costo opportunità'!$B$74:$B$134,('3 - Il costo opportunità'!$B$9)+1)+(I28)*INDEX('3 - Il costo opportunità'!$C$74:$C$134,('3 - Il costo opportunità'!$B$9)+1))-'3 - Il costo opportunità'!$B$8*MAX(0,(('1 - Il tuo profilo'!$B$22)*INDEX('3 - Il costo opportunità'!$B$74:$B$134,('3 - Il costo opportunità'!$B$9)+1)+(I28)*INDEX('3 - Il costo opportunità'!$C$74:$C$134,('3 - Il costo opportunità'!$B$9)+1))-(('1 - Il tuo profilo'!$B$22)+(I28)*INDEX('3 - Il costo opportunità'!$D$74:$D$134,('3 - Il costo opportunità'!$B$9)+1))))/(1+'1 - Il tuo profilo'!$B$14)^('3 - Il costo opportunità'!$B$9))</f>
        <v>247445.69844302608</v>
      </c>
      <c r="L28" s="21">
        <f>K28*'3 - Il costo opportunità'!$B$10/12</f>
        <v>618.61424610756524</v>
      </c>
      <c r="N28" s="21">
        <f>FV('1 - Il tuo profilo'!$B$13,10,-D28*12)</f>
        <v>8504.8784174400025</v>
      </c>
      <c r="O28" s="21">
        <f>FV('1 - Il tuo profilo'!$B$13,'3 - Il costo opportunità'!$B$9,-D28*12)</f>
        <v>35295.480286203732</v>
      </c>
      <c r="P28" s="21">
        <f>O28*'3 - Il costo opportunità'!$B$10/12</f>
        <v>88.238700715509324</v>
      </c>
      <c r="Q28" s="21">
        <f>FV('1 - Il tuo profilo'!$B$13,'3 - Il costo opportunità'!$B$9,-(I28),-('1 - Il tuo profilo'!$B$22))</f>
        <v>296182.6706487881</v>
      </c>
      <c r="R28" s="21">
        <f>Q28*'3 - Il costo opportunità'!$B$10/12</f>
        <v>740.45667662197013</v>
      </c>
    </row>
    <row r="29" spans="1:18">
      <c r="A29" s="10" t="s">
        <v>372</v>
      </c>
      <c r="B29" s="10" t="s">
        <v>373</v>
      </c>
      <c r="C29" s="18">
        <f>'2 - Le opzioni'!$L$300</f>
        <v>533.50586629029601</v>
      </c>
      <c r="D29" s="34">
        <f>C29-INDEX('3 - Il costo opportunità'!$C$26:$C$44,MATCH('3 - Il costo opportunità'!$B$6,'3 - Il costo opportunità'!$A$26:$A$44,0))</f>
        <v>227.55083748073554</v>
      </c>
      <c r="E29" s="21">
        <f>SIGN(D29*12)*((((0)*INDEX('3 - Il costo opportunità'!$B$74:$B$134,(10)+1)+(ABS(D29*12))*INDEX('3 - Il costo opportunità'!$C$74:$C$134,(10)+1))-'3 - Il costo opportunità'!$B$8*MAX(0,((0)*INDEX('3 - Il costo opportunità'!$B$74:$B$134,(10)+1)+(ABS(D29*12))*INDEX('3 - Il costo opportunità'!$C$74:$C$134,(10)+1))-((0)+(ABS(D29*12))*INDEX('3 - Il costo opportunità'!$D$74:$D$134,(10)+1))))/(1+'1 - Il tuo profilo'!$B$14)^(10))</f>
        <v>30014.511777294978</v>
      </c>
      <c r="F29" s="21">
        <f>SIGN(D29*12)*((((0)*INDEX('3 - Il costo opportunità'!$B$74:$B$134,('3 - Il costo opportunità'!$B$9)+1)+(ABS(D29*12))*INDEX('3 - Il costo opportunità'!$C$74:$C$134,('3 - Il costo opportunità'!$B$9)+1))-'3 - Il costo opportunità'!$B$8*MAX(0,((0)*INDEX('3 - Il costo opportunità'!$B$74:$B$134,('3 - Il costo opportunità'!$B$9)+1)+(ABS(D29*12))*INDEX('3 - Il costo opportunità'!$C$74:$C$134,('3 - Il costo opportunità'!$B$9)+1))-((0)+(ABS(D29*12))*INDEX('3 - Il costo opportunità'!$D$74:$D$134,('3 - Il costo opportunità'!$B$9)+1))))/(1+'1 - Il tuo profilo'!$B$14)^('3 - Il costo opportunità'!$B$9))</f>
        <v>113670.60813715713</v>
      </c>
      <c r="G29" s="21">
        <f>F29*'3 - Il costo opportunità'!$B$10/12</f>
        <v>284.17652034289284</v>
      </c>
      <c r="H29" s="21">
        <f>('1 - Il tuo profilo'!$B$19+'1 - Il tuo profilo'!$B$20+'1 - Il tuo profilo'!$B$21)+C29*12</f>
        <v>26150.940395483554</v>
      </c>
      <c r="I29" s="21">
        <f>'1 - Il tuo profilo'!$B$18-H29</f>
        <v>1175.6596045164442</v>
      </c>
      <c r="J29" s="35">
        <f>I29/'1 - Il tuo profilo'!$B$18</f>
        <v>4.3022534984829594E-2</v>
      </c>
      <c r="K29" s="21">
        <f>(((('1 - Il tuo profilo'!$B$22)*INDEX('3 - Il costo opportunità'!$B$74:$B$134,('3 - Il costo opportunità'!$B$9)+1)+(I29)*INDEX('3 - Il costo opportunità'!$C$74:$C$134,('3 - Il costo opportunità'!$B$9)+1))-'3 - Il costo opportunità'!$B$8*MAX(0,(('1 - Il tuo profilo'!$B$22)*INDEX('3 - Il costo opportunità'!$B$74:$B$134,('3 - Il costo opportunità'!$B$9)+1)+(I29)*INDEX('3 - Il costo opportunità'!$C$74:$C$134,('3 - Il costo opportunità'!$B$9)+1))-(('1 - Il tuo profilo'!$B$22)+(I29)*INDEX('3 - Il costo opportunità'!$D$74:$D$134,('3 - Il costo opportunità'!$B$9)+1))))/(1+'1 - Il tuo profilo'!$B$14)^('3 - Il costo opportunità'!$B$9))</f>
        <v>164658.48297917409</v>
      </c>
      <c r="L29" s="21">
        <f>K29*'3 - Il costo opportunità'!$B$10/12</f>
        <v>411.64620744793524</v>
      </c>
      <c r="N29" s="21">
        <f>FV('1 - Il tuo profilo'!$B$13,10,-D29*12)</f>
        <v>31303.384057238905</v>
      </c>
      <c r="O29" s="21">
        <f>FV('1 - Il tuo profilo'!$B$13,'3 - Il costo opportunità'!$B$9,-D29*12)</f>
        <v>129909.90824961245</v>
      </c>
      <c r="P29" s="21">
        <f>O29*'3 - Il costo opportunità'!$B$10/12</f>
        <v>324.77477062403108</v>
      </c>
      <c r="Q29" s="21">
        <f>FV('1 - Il tuo profilo'!$B$13,'3 - Il costo opportunità'!$B$9,-(I29),-('1 - Il tuo profilo'!$B$22))</f>
        <v>201568.24268537946</v>
      </c>
      <c r="R29" s="21">
        <f>Q29*'3 - Il costo opportunità'!$B$10/12</f>
        <v>503.92060671344865</v>
      </c>
    </row>
    <row r="30" spans="1:18">
      <c r="A30" s="10" t="s">
        <v>374</v>
      </c>
      <c r="B30" s="10" t="s">
        <v>375</v>
      </c>
      <c r="C30" s="18">
        <f>'2 - Le opzioni'!$L$319</f>
        <v>481.39775311982294</v>
      </c>
      <c r="D30" s="34">
        <f>C30-INDEX('3 - Il costo opportunità'!$C$26:$C$44,MATCH('3 - Il costo opportunità'!$B$6,'3 - Il costo opportunità'!$A$26:$A$44,0))</f>
        <v>175.44272431026246</v>
      </c>
      <c r="E30" s="21">
        <f>SIGN(D30*12)*((((0)*INDEX('3 - Il costo opportunità'!$B$74:$B$134,(10)+1)+(ABS(D30*12))*INDEX('3 - Il costo opportunità'!$C$74:$C$134,(10)+1))-'3 - Il costo opportunità'!$B$8*MAX(0,((0)*INDEX('3 - Il costo opportunità'!$B$74:$B$134,(10)+1)+(ABS(D30*12))*INDEX('3 - Il costo opportunità'!$C$74:$C$134,(10)+1))-((0)+(ABS(D30*12))*INDEX('3 - Il costo opportunità'!$D$74:$D$134,(10)+1))))/(1+'1 - Il tuo profilo'!$B$14)^(10))</f>
        <v>23141.324256813128</v>
      </c>
      <c r="F30" s="21">
        <f>SIGN(D30*12)*((((0)*INDEX('3 - Il costo opportunità'!$B$74:$B$134,('3 - Il costo opportunità'!$B$9)+1)+(ABS(D30*12))*INDEX('3 - Il costo opportunità'!$C$74:$C$134,('3 - Il costo opportunità'!$B$9)+1))-'3 - Il costo opportunità'!$B$8*MAX(0,((0)*INDEX('3 - Il costo opportunità'!$B$74:$B$134,('3 - Il costo opportunità'!$B$9)+1)+(ABS(D30*12))*INDEX('3 - Il costo opportunità'!$C$74:$C$134,('3 - Il costo opportunità'!$B$9)+1))-((0)+(ABS(D30*12))*INDEX('3 - Il costo opportunità'!$D$74:$D$134,('3 - Il costo opportunità'!$B$9)+1))))/(1+'1 - Il tuo profilo'!$B$14)^('3 - Il costo opportunità'!$B$9))</f>
        <v>87640.552706273753</v>
      </c>
      <c r="G30" s="21">
        <f>F30*'3 - Il costo opportunità'!$B$10/12</f>
        <v>219.10138176568435</v>
      </c>
      <c r="H30" s="21">
        <f>('1 - Il tuo profilo'!$B$19+'1 - Il tuo profilo'!$B$20+'1 - Il tuo profilo'!$B$21)+C30*12</f>
        <v>25525.643037437876</v>
      </c>
      <c r="I30" s="21">
        <f>'1 - Il tuo profilo'!$B$18-H30</f>
        <v>1800.9569625621225</v>
      </c>
      <c r="J30" s="35">
        <f>I30/'1 - Il tuo profilo'!$B$18</f>
        <v>6.590490447264287E-2</v>
      </c>
      <c r="K30" s="21">
        <f>(((('1 - Il tuo profilo'!$B$22)*INDEX('3 - Il costo opportunità'!$B$74:$B$134,('3 - Il costo opportunità'!$B$9)+1)+(I30)*INDEX('3 - Il costo opportunità'!$C$74:$C$134,('3 - Il costo opportunità'!$B$9)+1))-'3 - Il costo opportunità'!$B$8*MAX(0,(('1 - Il tuo profilo'!$B$22)*INDEX('3 - Il costo opportunità'!$B$74:$B$134,('3 - Il costo opportunità'!$B$9)+1)+(I30)*INDEX('3 - Il costo opportunità'!$C$74:$C$134,('3 - Il costo opportunità'!$B$9)+1))-(('1 - Il tuo profilo'!$B$22)+(I30)*INDEX('3 - Il costo opportunità'!$D$74:$D$134,('3 - Il costo opportunità'!$B$9)+1))))/(1+'1 - Il tuo profilo'!$B$14)^('3 - Il costo opportunità'!$B$9))</f>
        <v>190688.53841005755</v>
      </c>
      <c r="L30" s="21">
        <f>K30*'3 - Il costo opportunità'!$B$10/12</f>
        <v>476.72134602514387</v>
      </c>
      <c r="N30" s="21">
        <f>FV('1 - Il tuo profilo'!$B$13,10,-D30*12)</f>
        <v>24135.05061082176</v>
      </c>
      <c r="O30" s="21">
        <f>FV('1 - Il tuo profilo'!$B$13,'3 - Il costo opportunità'!$B$9,-D30*12)</f>
        <v>100161.12650052451</v>
      </c>
      <c r="P30" s="21">
        <f>O30*'3 - Il costo opportunità'!$B$10/12</f>
        <v>250.40281625131126</v>
      </c>
      <c r="Q30" s="21">
        <f>FV('1 - Il tuo profilo'!$B$13,'3 - Il costo opportunità'!$B$9,-(I30),-('1 - Il tuo profilo'!$B$22))</f>
        <v>231317.02443446743</v>
      </c>
      <c r="R30" s="21">
        <f>Q30*'3 - Il costo opportunità'!$B$10/12</f>
        <v>578.29256108616858</v>
      </c>
    </row>
    <row r="31" spans="1:18">
      <c r="A31" s="10" t="s">
        <v>237</v>
      </c>
      <c r="B31" s="10" t="s">
        <v>238</v>
      </c>
      <c r="C31" s="18">
        <f>'2 - Le opzioni'!$L$129</f>
        <v>339.44036749839563</v>
      </c>
      <c r="D31" s="34">
        <f>C31-INDEX('3 - Il costo opportunità'!$C$26:$C$44,MATCH('3 - Il costo opportunità'!$B$6,'3 - Il costo opportunità'!$A$26:$A$44,0))</f>
        <v>33.485338688835157</v>
      </c>
      <c r="E31" s="21">
        <f>SIGN(D31*12)*((((0)*INDEX('3 - Il costo opportunità'!$B$74:$B$134,(10)+1)+(ABS(D31*12))*INDEX('3 - Il costo opportunità'!$C$74:$C$134,(10)+1))-'3 - Il costo opportunità'!$B$8*MAX(0,((0)*INDEX('3 - Il costo opportunità'!$B$74:$B$134,(10)+1)+(ABS(D31*12))*INDEX('3 - Il costo opportunità'!$C$74:$C$134,(10)+1))-((0)+(ABS(D31*12))*INDEX('3 - Il costo opportunità'!$D$74:$D$134,(10)+1))))/(1+'1 - Il tuo profilo'!$B$14)^(10))</f>
        <v>4416.7980376158412</v>
      </c>
      <c r="F31" s="21">
        <f>SIGN(D31*12)*((((0)*INDEX('3 - Il costo opportunità'!$B$74:$B$134,('3 - Il costo opportunità'!$B$9)+1)+(ABS(D31*12))*INDEX('3 - Il costo opportunità'!$C$74:$C$134,('3 - Il costo opportunità'!$B$9)+1))-'3 - Il costo opportunità'!$B$8*MAX(0,((0)*INDEX('3 - Il costo opportunità'!$B$74:$B$134,('3 - Il costo opportunità'!$B$9)+1)+(ABS(D31*12))*INDEX('3 - Il costo opportunità'!$C$74:$C$134,('3 - Il costo opportunità'!$B$9)+1))-((0)+(ABS(D31*12))*INDEX('3 - Il costo opportunità'!$D$74:$D$134,('3 - Il costo opportunità'!$B$9)+1))))/(1+'1 - Il tuo profilo'!$B$14)^('3 - Il costo opportunità'!$B$9))</f>
        <v>16727.245896253007</v>
      </c>
      <c r="G31" s="21">
        <f>F31*'3 - Il costo opportunità'!$B$10/12</f>
        <v>41.818114740632517</v>
      </c>
      <c r="H31" s="21">
        <f>('1 - Il tuo profilo'!$B$19+'1 - Il tuo profilo'!$B$20+'1 - Il tuo profilo'!$B$21)+C31*12</f>
        <v>23822.154409980751</v>
      </c>
      <c r="I31" s="21">
        <f>'1 - Il tuo profilo'!$B$18-H31</f>
        <v>3504.4455900192479</v>
      </c>
      <c r="J31" s="35">
        <f>I31/'1 - Il tuo profilo'!$B$18</f>
        <v>0.12824301559722937</v>
      </c>
      <c r="K31" s="21">
        <f>(((('1 - Il tuo profilo'!$B$22)*INDEX('3 - Il costo opportunità'!$B$74:$B$134,('3 - Il costo opportunità'!$B$9)+1)+(I31)*INDEX('3 - Il costo opportunità'!$C$74:$C$134,('3 - Il costo opportunità'!$B$9)+1))-'3 - Il costo opportunità'!$B$8*MAX(0,(('1 - Il tuo profilo'!$B$22)*INDEX('3 - Il costo opportunità'!$B$74:$B$134,('3 - Il costo opportunità'!$B$9)+1)+(I31)*INDEX('3 - Il costo opportunità'!$C$74:$C$134,('3 - Il costo opportunità'!$B$9)+1))-(('1 - Il tuo profilo'!$B$22)+(I31)*INDEX('3 - Il costo opportunità'!$D$74:$D$134,('3 - Il costo opportunità'!$B$9)+1))))/(1+'1 - Il tuo profilo'!$B$14)^('3 - Il costo opportunità'!$B$9))</f>
        <v>261601.84522007819</v>
      </c>
      <c r="L31" s="21">
        <f>K31*'3 - Il costo opportunità'!$B$10/12</f>
        <v>654.00461305019542</v>
      </c>
      <c r="N31" s="21">
        <f>FV('1 - Il tuo profilo'!$B$13,10,-D31*12)</f>
        <v>4606.462577190332</v>
      </c>
      <c r="O31" s="21">
        <f>FV('1 - Il tuo profilo'!$B$13,'3 - Il costo opportunità'!$B$9,-D31*12)</f>
        <v>19116.946898259826</v>
      </c>
      <c r="P31" s="21">
        <f>O31*'3 - Il costo opportunità'!$B$10/12</f>
        <v>47.792367245649565</v>
      </c>
      <c r="Q31" s="21">
        <f>FV('1 - Il tuo profilo'!$B$13,'3 - Il costo opportunità'!$B$9,-(I31),-('1 - Il tuo profilo'!$B$22))</f>
        <v>312361.20403673203</v>
      </c>
      <c r="R31" s="21">
        <f>Q31*'3 - Il costo opportunità'!$B$10/12</f>
        <v>780.90301009182997</v>
      </c>
    </row>
    <row r="32" spans="1:18">
      <c r="A32" s="10" t="s">
        <v>240</v>
      </c>
      <c r="B32" s="10" t="s">
        <v>241</v>
      </c>
      <c r="C32" s="18">
        <f>'2 - Le opzioni'!$L$148</f>
        <v>305.95502880956047</v>
      </c>
      <c r="D32" s="34">
        <f>C32-INDEX('3 - Il costo opportunità'!$C$26:$C$44,MATCH('3 - Il costo opportunità'!$B$6,'3 - Il costo opportunità'!$A$26:$A$44,0))</f>
        <v>0</v>
      </c>
      <c r="E32" s="21">
        <f>SIGN(D32*12)*((((0)*INDEX('3 - Il costo opportunità'!$B$74:$B$134,(10)+1)+(ABS(D32*12))*INDEX('3 - Il costo opportunità'!$C$74:$C$134,(10)+1))-'3 - Il costo opportunità'!$B$8*MAX(0,((0)*INDEX('3 - Il costo opportunità'!$B$74:$B$134,(10)+1)+(ABS(D32*12))*INDEX('3 - Il costo opportunità'!$C$74:$C$134,(10)+1))-((0)+(ABS(D32*12))*INDEX('3 - Il costo opportunità'!$D$74:$D$134,(10)+1))))/(1+'1 - Il tuo profilo'!$B$14)^(10))</f>
        <v>0</v>
      </c>
      <c r="F32" s="21">
        <f>SIGN(D32*12)*((((0)*INDEX('3 - Il costo opportunità'!$B$74:$B$134,('3 - Il costo opportunità'!$B$9)+1)+(ABS(D32*12))*INDEX('3 - Il costo opportunità'!$C$74:$C$134,('3 - Il costo opportunità'!$B$9)+1))-'3 - Il costo opportunità'!$B$8*MAX(0,((0)*INDEX('3 - Il costo opportunità'!$B$74:$B$134,('3 - Il costo opportunità'!$B$9)+1)+(ABS(D32*12))*INDEX('3 - Il costo opportunità'!$C$74:$C$134,('3 - Il costo opportunità'!$B$9)+1))-((0)+(ABS(D32*12))*INDEX('3 - Il costo opportunità'!$D$74:$D$134,('3 - Il costo opportunità'!$B$9)+1))))/(1+'1 - Il tuo profilo'!$B$14)^('3 - Il costo opportunità'!$B$9))</f>
        <v>0</v>
      </c>
      <c r="G32" s="21">
        <f>F32*'3 - Il costo opportunità'!$B$10/12</f>
        <v>0</v>
      </c>
      <c r="H32" s="21">
        <f>('1 - Il tuo profilo'!$B$19+'1 - Il tuo profilo'!$B$20+'1 - Il tuo profilo'!$B$21)+C32*12</f>
        <v>23420.330345714727</v>
      </c>
      <c r="I32" s="21">
        <f>'1 - Il tuo profilo'!$B$18-H32</f>
        <v>3906.2696542852718</v>
      </c>
      <c r="J32" s="35">
        <f>I32/'1 - Il tuo profilo'!$B$18</f>
        <v>0.14294751832592684</v>
      </c>
      <c r="K32" s="21">
        <f>(((('1 - Il tuo profilo'!$B$22)*INDEX('3 - Il costo opportunità'!$B$74:$B$134,('3 - Il costo opportunità'!$B$9)+1)+(I32)*INDEX('3 - Il costo opportunità'!$C$74:$C$134,('3 - Il costo opportunità'!$B$9)+1))-'3 - Il costo opportunità'!$B$8*MAX(0,(('1 - Il tuo profilo'!$B$22)*INDEX('3 - Il costo opportunità'!$B$74:$B$134,('3 - Il costo opportunità'!$B$9)+1)+(I32)*INDEX('3 - Il costo opportunità'!$C$74:$C$134,('3 - Il costo opportunità'!$B$9)+1))-(('1 - Il tuo profilo'!$B$22)+(I32)*INDEX('3 - Il costo opportunità'!$D$74:$D$134,('3 - Il costo opportunità'!$B$9)+1))))/(1+'1 - Il tuo profilo'!$B$14)^('3 - Il costo opportunità'!$B$9))</f>
        <v>278329.09111633134</v>
      </c>
      <c r="L32" s="21">
        <f>K32*'3 - Il costo opportunità'!$B$10/12</f>
        <v>695.82272779082825</v>
      </c>
      <c r="N32" s="21">
        <f>FV('1 - Il tuo profilo'!$B$13,10,-D32*12)</f>
        <v>0</v>
      </c>
      <c r="O32" s="21">
        <f>FV('1 - Il tuo profilo'!$B$13,'3 - Il costo opportunità'!$B$9,-D32*12)</f>
        <v>0</v>
      </c>
      <c r="P32" s="21">
        <f>O32*'3 - Il costo opportunità'!$B$10/12</f>
        <v>0</v>
      </c>
      <c r="Q32" s="21">
        <f>FV('1 - Il tuo profilo'!$B$13,'3 - Il costo opportunità'!$B$9,-(I32),-('1 - Il tuo profilo'!$B$22))</f>
        <v>331478.15093499195</v>
      </c>
      <c r="R32" s="21">
        <f>Q32*'3 - Il costo opportunità'!$B$10/12</f>
        <v>828.69537733747984</v>
      </c>
    </row>
    <row r="33" spans="1:18">
      <c r="A33" s="10" t="s">
        <v>242</v>
      </c>
      <c r="B33" s="10" t="s">
        <v>243</v>
      </c>
      <c r="C33" s="18">
        <f>'2 - Le opzioni'!$L$338</f>
        <v>443.0763761658456</v>
      </c>
      <c r="D33" s="34">
        <f>C33-INDEX('3 - Il costo opportunità'!$C$26:$C$44,MATCH('3 - Il costo opportunità'!$B$6,'3 - Il costo opportunità'!$A$26:$A$44,0))</f>
        <v>137.12134735628513</v>
      </c>
      <c r="E33" s="21">
        <f>SIGN(D33*12)*((((0)*INDEX('3 - Il costo opportunità'!$B$74:$B$134,(10)+1)+(ABS(D33*12))*INDEX('3 - Il costo opportunità'!$C$74:$C$134,(10)+1))-'3 - Il costo opportunità'!$B$8*MAX(0,((0)*INDEX('3 - Il costo opportunità'!$B$74:$B$134,(10)+1)+(ABS(D33*12))*INDEX('3 - Il costo opportunità'!$C$74:$C$134,(10)+1))-((0)+(ABS(D33*12))*INDEX('3 - Il costo opportunità'!$D$74:$D$134,(10)+1))))/(1+'1 - Il tuo profilo'!$B$14)^(10))</f>
        <v>18086.640948936099</v>
      </c>
      <c r="F33" s="21">
        <f>SIGN(D33*12)*((((0)*INDEX('3 - Il costo opportunità'!$B$74:$B$134,('3 - Il costo opportunità'!$B$9)+1)+(ABS(D33*12))*INDEX('3 - Il costo opportunità'!$C$74:$C$134,('3 - Il costo opportunità'!$B$9)+1))-'3 - Il costo opportunità'!$B$8*MAX(0,((0)*INDEX('3 - Il costo opportunità'!$B$74:$B$134,('3 - Il costo opportunità'!$B$9)+1)+(ABS(D33*12))*INDEX('3 - Il costo opportunità'!$C$74:$C$134,('3 - Il costo opportunità'!$B$9)+1))-((0)+(ABS(D33*12))*INDEX('3 - Il costo opportunità'!$D$74:$D$134,('3 - Il costo opportunità'!$B$9)+1))))/(1+'1 - Il tuo profilo'!$B$14)^('3 - Il costo opportunità'!$B$9))</f>
        <v>68497.51517128502</v>
      </c>
      <c r="G33" s="21">
        <f>F33*'3 - Il costo opportunità'!$B$10/12</f>
        <v>171.24378792821256</v>
      </c>
      <c r="H33" s="21">
        <f>('1 - Il tuo profilo'!$B$19+'1 - Il tuo profilo'!$B$20+'1 - Il tuo profilo'!$B$21)+C33*12</f>
        <v>25065.786513990148</v>
      </c>
      <c r="I33" s="21">
        <f>'1 - Il tuo profilo'!$B$18-H33</f>
        <v>2260.8134860098507</v>
      </c>
      <c r="J33" s="35">
        <f>I33/'1 - Il tuo profilo'!$B$18</f>
        <v>8.2733069097869871E-2</v>
      </c>
      <c r="K33" s="21">
        <f>(((('1 - Il tuo profilo'!$B$22)*INDEX('3 - Il costo opportunità'!$B$74:$B$134,('3 - Il costo opportunità'!$B$9)+1)+(I33)*INDEX('3 - Il costo opportunità'!$C$74:$C$134,('3 - Il costo opportunità'!$B$9)+1))-'3 - Il costo opportunità'!$B$8*MAX(0,(('1 - Il tuo profilo'!$B$22)*INDEX('3 - Il costo opportunità'!$B$74:$B$134,('3 - Il costo opportunità'!$B$9)+1)+(I33)*INDEX('3 - Il costo opportunità'!$C$74:$C$134,('3 - Il costo opportunità'!$B$9)+1))-(('1 - Il tuo profilo'!$B$22)+(I33)*INDEX('3 - Il costo opportunità'!$D$74:$D$134,('3 - Il costo opportunità'!$B$9)+1))))/(1+'1 - Il tuo profilo'!$B$14)^('3 - Il costo opportunità'!$B$9))</f>
        <v>209831.57594504626</v>
      </c>
      <c r="L33" s="21">
        <f>K33*'3 - Il costo opportunità'!$B$10/12</f>
        <v>524.57893986261558</v>
      </c>
      <c r="N33" s="21">
        <f>FV('1 - Il tuo profilo'!$B$13,10,-D33*12)</f>
        <v>18863.310925424499</v>
      </c>
      <c r="O33" s="21">
        <f>FV('1 - Il tuo profilo'!$B$13,'3 - Il costo opportunità'!$B$9,-D33*12)</f>
        <v>78283.261232234858</v>
      </c>
      <c r="P33" s="21">
        <f>O33*'3 - Il costo opportunità'!$B$10/12</f>
        <v>195.70815308058715</v>
      </c>
      <c r="Q33" s="21">
        <f>FV('1 - Il tuo profilo'!$B$13,'3 - Il costo opportunità'!$B$9,-(I33),-('1 - Il tuo profilo'!$B$22))</f>
        <v>253194.88970275712</v>
      </c>
      <c r="R33" s="21">
        <f>Q33*'3 - Il costo opportunità'!$B$10/12</f>
        <v>632.98722425689277</v>
      </c>
    </row>
    <row r="34" spans="1:18">
      <c r="A34" s="10" t="s">
        <v>244</v>
      </c>
      <c r="B34" s="10" t="s">
        <v>245</v>
      </c>
      <c r="C34" s="18">
        <f>'2 - Le opzioni'!$L$395</f>
        <v>323.83508124368109</v>
      </c>
      <c r="D34" s="34">
        <f>C34-INDEX('3 - Il costo opportunità'!$C$26:$C$44,MATCH('3 - Il costo opportunità'!$B$6,'3 - Il costo opportunità'!$A$26:$A$44,0))</f>
        <v>17.880052434120614</v>
      </c>
      <c r="E34" s="21">
        <f>SIGN(D34*12)*((((0)*INDEX('3 - Il costo opportunità'!$B$74:$B$134,(10)+1)+(ABS(D34*12))*INDEX('3 - Il costo opportunità'!$C$74:$C$134,(10)+1))-'3 - Il costo opportunità'!$B$8*MAX(0,((0)*INDEX('3 - Il costo opportunità'!$B$74:$B$134,(10)+1)+(ABS(D34*12))*INDEX('3 - Il costo opportunità'!$C$74:$C$134,(10)+1))-((0)+(ABS(D34*12))*INDEX('3 - Il costo opportunità'!$D$74:$D$134,(10)+1))))/(1+'1 - Il tuo profilo'!$B$14)^(10))</f>
        <v>2358.4226290004249</v>
      </c>
      <c r="F34" s="21">
        <f>SIGN(D34*12)*((((0)*INDEX('3 - Il costo opportunità'!$B$74:$B$134,('3 - Il costo opportunità'!$B$9)+1)+(ABS(D34*12))*INDEX('3 - Il costo opportunità'!$C$74:$C$134,('3 - Il costo opportunità'!$B$9)+1))-'3 - Il costo opportunità'!$B$8*MAX(0,((0)*INDEX('3 - Il costo opportunità'!$B$74:$B$134,('3 - Il costo opportunità'!$B$9)+1)+(ABS(D34*12))*INDEX('3 - Il costo opportunità'!$C$74:$C$134,('3 - Il costo opportunità'!$B$9)+1))-((0)+(ABS(D34*12))*INDEX('3 - Il costo opportunità'!$D$74:$D$134,('3 - Il costo opportunità'!$B$9)+1))))/(1+'1 - Il tuo profilo'!$B$14)^('3 - Il costo opportunità'!$B$9))</f>
        <v>8931.79061089069</v>
      </c>
      <c r="G34" s="21">
        <f>F34*'3 - Il costo opportunità'!$B$10/12</f>
        <v>22.329476527226728</v>
      </c>
      <c r="H34" s="21">
        <f>('1 - Il tuo profilo'!$B$19+'1 - Il tuo profilo'!$B$20+'1 - Il tuo profilo'!$B$21)+C34*12</f>
        <v>23634.890974924176</v>
      </c>
      <c r="I34" s="21">
        <f>'1 - Il tuo profilo'!$B$18-H34</f>
        <v>3691.7090250758229</v>
      </c>
      <c r="J34" s="35">
        <f>I34/'1 - Il tuo profilo'!$B$18</f>
        <v>0.13509580500595841</v>
      </c>
      <c r="K34" s="21">
        <f>(((('1 - Il tuo profilo'!$B$22)*INDEX('3 - Il costo opportunità'!$B$74:$B$134,('3 - Il costo opportunità'!$B$9)+1)+(I34)*INDEX('3 - Il costo opportunità'!$C$74:$C$134,('3 - Il costo opportunità'!$B$9)+1))-'3 - Il costo opportunità'!$B$8*MAX(0,(('1 - Il tuo profilo'!$B$22)*INDEX('3 - Il costo opportunità'!$B$74:$B$134,('3 - Il costo opportunità'!$B$9)+1)+(I34)*INDEX('3 - Il costo opportunità'!$C$74:$C$134,('3 - Il costo opportunità'!$B$9)+1))-(('1 - Il tuo profilo'!$B$22)+(I34)*INDEX('3 - Il costo opportunità'!$D$74:$D$134,('3 - Il costo opportunità'!$B$9)+1))))/(1+'1 - Il tuo profilo'!$B$14)^('3 - Il costo opportunità'!$B$9))</f>
        <v>269397.30050544057</v>
      </c>
      <c r="L34" s="21">
        <f>K34*'3 - Il costo opportunità'!$B$10/12</f>
        <v>673.49325126360134</v>
      </c>
      <c r="N34" s="21">
        <f>FV('1 - Il tuo profilo'!$B$13,10,-D34*12)</f>
        <v>2459.6971582503256</v>
      </c>
      <c r="O34" s="21">
        <f>FV('1 - Il tuo profilo'!$B$13,'3 - Il costo opportunità'!$B$9,-D34*12)</f>
        <v>10207.811128849467</v>
      </c>
      <c r="P34" s="21">
        <f>O34*'3 - Il costo opportunità'!$B$10/12</f>
        <v>25.519527822123667</v>
      </c>
      <c r="Q34" s="21">
        <f>FV('1 - Il tuo profilo'!$B$13,'3 - Il costo opportunità'!$B$9,-(I34),-('1 - Il tuo profilo'!$B$22))</f>
        <v>321270.33980614238</v>
      </c>
      <c r="R34" s="21">
        <f>Q34*'3 - Il costo opportunità'!$B$10/12</f>
        <v>803.17584951535594</v>
      </c>
    </row>
    <row r="35" spans="1:18">
      <c r="A35" s="10" t="s">
        <v>246</v>
      </c>
      <c r="B35" s="10" t="s">
        <v>247</v>
      </c>
      <c r="C35" s="18">
        <f>'2 - Le opzioni'!$L$376</f>
        <v>320.79038928780244</v>
      </c>
      <c r="D35" s="34">
        <f>C35-INDEX('3 - Il costo opportunità'!$C$26:$C$44,MATCH('3 - Il costo opportunità'!$B$6,'3 - Il costo opportunità'!$A$26:$A$44,0))</f>
        <v>14.835360478241967</v>
      </c>
      <c r="E35" s="21">
        <f>SIGN(D35*12)*((((0)*INDEX('3 - Il costo opportunità'!$B$74:$B$134,(10)+1)+(ABS(D35*12))*INDEX('3 - Il costo opportunità'!$C$74:$C$134,(10)+1))-'3 - Il costo opportunità'!$B$8*MAX(0,((0)*INDEX('3 - Il costo opportunità'!$B$74:$B$134,(10)+1)+(ABS(D35*12))*INDEX('3 - Il costo opportunità'!$C$74:$C$134,(10)+1))-((0)+(ABS(D35*12))*INDEX('3 - Il costo opportunità'!$D$74:$D$134,(10)+1))))/(1+'1 - Il tuo profilo'!$B$14)^(10))</f>
        <v>1956.8203163932849</v>
      </c>
      <c r="F35" s="21">
        <f>SIGN(D35*12)*((((0)*INDEX('3 - Il costo opportunità'!$B$74:$B$134,('3 - Il costo opportunità'!$B$9)+1)+(ABS(D35*12))*INDEX('3 - Il costo opportunità'!$C$74:$C$134,('3 - Il costo opportunità'!$B$9)+1))-'3 - Il costo opportunità'!$B$8*MAX(0,((0)*INDEX('3 - Il costo opportunità'!$B$74:$B$134,('3 - Il costo opportunità'!$B$9)+1)+(ABS(D35*12))*INDEX('3 - Il costo opportunità'!$C$74:$C$134,('3 - Il costo opportunità'!$B$9)+1))-((0)+(ABS(D35*12))*INDEX('3 - Il costo opportunità'!$D$74:$D$134,('3 - Il costo opportunità'!$B$9)+1))))/(1+'1 - Il tuo profilo'!$B$14)^('3 - Il costo opportunità'!$B$9))</f>
        <v>7410.8470272647382</v>
      </c>
      <c r="G35" s="21">
        <f>F35*'3 - Il costo opportunità'!$B$10/12</f>
        <v>18.527117568161845</v>
      </c>
      <c r="H35" s="21">
        <f>('1 - Il tuo profilo'!$B$19+'1 - Il tuo profilo'!$B$20+'1 - Il tuo profilo'!$B$21)+C35*12</f>
        <v>23598.354671453631</v>
      </c>
      <c r="I35" s="21">
        <f>'1 - Il tuo profilo'!$B$18-H35</f>
        <v>3728.2453285463671</v>
      </c>
      <c r="J35" s="35">
        <f>I35/'1 - Il tuo profilo'!$B$18</f>
        <v>0.136432828399668</v>
      </c>
      <c r="K35" s="21">
        <f>(((('1 - Il tuo profilo'!$B$22)*INDEX('3 - Il costo opportunità'!$B$74:$B$134,('3 - Il costo opportunità'!$B$9)+1)+(I35)*INDEX('3 - Il costo opportunità'!$C$74:$C$134,('3 - Il costo opportunità'!$B$9)+1))-'3 - Il costo opportunità'!$B$8*MAX(0,(('1 - Il tuo profilo'!$B$22)*INDEX('3 - Il costo opportunità'!$B$74:$B$134,('3 - Il costo opportunità'!$B$9)+1)+(I35)*INDEX('3 - Il costo opportunità'!$C$74:$C$134,('3 - Il costo opportunità'!$B$9)+1))-(('1 - Il tuo profilo'!$B$22)+(I35)*INDEX('3 - Il costo opportunità'!$D$74:$D$134,('3 - Il costo opportunità'!$B$9)+1))))/(1+'1 - Il tuo profilo'!$B$14)^('3 - Il costo opportunità'!$B$9))</f>
        <v>270918.24408906652</v>
      </c>
      <c r="L35" s="21">
        <f>K35*'3 - Il costo opportunità'!$B$10/12</f>
        <v>677.29561022266626</v>
      </c>
      <c r="N35" s="21">
        <f>FV('1 - Il tuo profilo'!$B$13,10,-D35*12)</f>
        <v>2040.8493847767427</v>
      </c>
      <c r="O35" s="21">
        <f>FV('1 - Il tuo profilo'!$B$13,'3 - Il costo opportunità'!$B$9,-D35*12)</f>
        <v>8469.5813028660123</v>
      </c>
      <c r="P35" s="21">
        <f>O35*'3 - Il costo opportunità'!$B$10/12</f>
        <v>21.173953257165028</v>
      </c>
      <c r="Q35" s="21">
        <f>FV('1 - Il tuo profilo'!$B$13,'3 - Il costo opportunità'!$B$9,-(I35),-('1 - Il tuo profilo'!$B$22))</f>
        <v>323008.5696321259</v>
      </c>
      <c r="R35" s="21">
        <f>Q35*'3 - Il costo opportunità'!$B$10/12</f>
        <v>807.52142408031477</v>
      </c>
    </row>
    <row r="36" spans="1:18">
      <c r="A36" s="10" t="s">
        <v>248</v>
      </c>
      <c r="B36" s="10" t="s">
        <v>249</v>
      </c>
      <c r="C36" s="18">
        <f>'2 - Le opzioni'!$L$414</f>
        <v>171.19237334871011</v>
      </c>
      <c r="D36" s="34">
        <f>C36-INDEX('3 - Il costo opportunità'!$C$26:$C$44,MATCH('3 - Il costo opportunità'!$B$6,'3 - Il costo opportunità'!$A$26:$A$44,0))</f>
        <v>-134.76265546085037</v>
      </c>
      <c r="E36" s="21">
        <f>SIGN(D36*12)*((((0)*INDEX('3 - Il costo opportunità'!$B$74:$B$134,(10)+1)+(ABS(D36*12))*INDEX('3 - Il costo opportunità'!$C$74:$C$134,(10)+1))-'3 - Il costo opportunità'!$B$8*MAX(0,((0)*INDEX('3 - Il costo opportunità'!$B$74:$B$134,(10)+1)+(ABS(D36*12))*INDEX('3 - Il costo opportunità'!$C$74:$C$134,(10)+1))-((0)+(ABS(D36*12))*INDEX('3 - Il costo opportunità'!$D$74:$D$134,(10)+1))))/(1+'1 - Il tuo profilo'!$B$14)^(10))</f>
        <v>-17775.523721426311</v>
      </c>
      <c r="F36" s="21">
        <f>SIGN(D36*12)*((((0)*INDEX('3 - Il costo opportunità'!$B$74:$B$134,('3 - Il costo opportunità'!$B$9)+1)+(ABS(D36*12))*INDEX('3 - Il costo opportunità'!$C$74:$C$134,('3 - Il costo opportunità'!$B$9)+1))-'3 - Il costo opportunità'!$B$8*MAX(0,((0)*INDEX('3 - Il costo opportunità'!$B$74:$B$134,('3 - Il costo opportunità'!$B$9)+1)+(ABS(D36*12))*INDEX('3 - Il costo opportunità'!$C$74:$C$134,('3 - Il costo opportunità'!$B$9)+1))-((0)+(ABS(D36*12))*INDEX('3 - Il costo opportunità'!$D$74:$D$134,('3 - Il costo opportunità'!$B$9)+1))))/(1+'1 - Il tuo profilo'!$B$14)^('3 - Il costo opportunità'!$B$9))</f>
        <v>-67319.255644180652</v>
      </c>
      <c r="G36" s="21">
        <f>F36*'3 - Il costo opportunità'!$B$10/12</f>
        <v>-168.29813911045161</v>
      </c>
      <c r="H36" s="21">
        <f>('1 - Il tuo profilo'!$B$19+'1 - Il tuo profilo'!$B$20+'1 - Il tuo profilo'!$B$21)+C36*12</f>
        <v>21803.178480184524</v>
      </c>
      <c r="I36" s="21">
        <f>'1 - Il tuo profilo'!$B$18-H36</f>
        <v>5523.4215198154743</v>
      </c>
      <c r="J36" s="35">
        <f>I36/'1 - Il tuo profilo'!$B$18</f>
        <v>0.20212618912764393</v>
      </c>
      <c r="K36" s="21">
        <f>(((('1 - Il tuo profilo'!$B$22)*INDEX('3 - Il costo opportunità'!$B$74:$B$134,('3 - Il costo opportunità'!$B$9)+1)+(I36)*INDEX('3 - Il costo opportunità'!$C$74:$C$134,('3 - Il costo opportunità'!$B$9)+1))-'3 - Il costo opportunità'!$B$8*MAX(0,(('1 - Il tuo profilo'!$B$22)*INDEX('3 - Il costo opportunità'!$B$74:$B$134,('3 - Il costo opportunità'!$B$9)+1)+(I36)*INDEX('3 - Il costo opportunità'!$C$74:$C$134,('3 - Il costo opportunità'!$B$9)+1))-(('1 - Il tuo profilo'!$B$22)+(I36)*INDEX('3 - Il costo opportunità'!$D$74:$D$134,('3 - Il costo opportunità'!$B$9)+1))))/(1+'1 - Il tuo profilo'!$B$14)^('3 - Il costo opportunità'!$B$9))</f>
        <v>345648.34676051186</v>
      </c>
      <c r="L36" s="21">
        <f>K36*'3 - Il costo opportunità'!$B$10/12</f>
        <v>864.12086690127956</v>
      </c>
      <c r="N36" s="21">
        <f>FV('1 - Il tuo profilo'!$B$13,10,-D36*12)</f>
        <v>-18538.833814758</v>
      </c>
      <c r="O36" s="21">
        <f>FV('1 - Il tuo profilo'!$B$13,'3 - Il costo opportunità'!$B$9,-D36*12)</f>
        <v>-76936.67226285355</v>
      </c>
      <c r="P36" s="21">
        <f>O36*'3 - Il costo opportunità'!$B$10/12</f>
        <v>-192.34168065713388</v>
      </c>
      <c r="Q36" s="21">
        <f>FV('1 - Il tuo profilo'!$B$13,'3 - Il costo opportunità'!$B$9,-(I36),-('1 - Il tuo profilo'!$B$22))</f>
        <v>408414.82319784537</v>
      </c>
      <c r="R36" s="21">
        <f>Q36*'3 - Il costo opportunità'!$B$10/12</f>
        <v>1021.0370579946134</v>
      </c>
    </row>
    <row r="37" spans="1:18">
      <c r="A37" s="10" t="s">
        <v>250</v>
      </c>
      <c r="B37" s="10" t="s">
        <v>251</v>
      </c>
      <c r="C37" s="18">
        <f>'2 - Le opzioni'!$L$167</f>
        <v>344.01601046501781</v>
      </c>
      <c r="D37" s="34">
        <f>C37-INDEX('3 - Il costo opportunità'!$C$26:$C$44,MATCH('3 - Il costo opportunità'!$B$6,'3 - Il costo opportunità'!$A$26:$A$44,0))</f>
        <v>38.06098165545734</v>
      </c>
      <c r="E37" s="21">
        <f>SIGN(D37*12)*((((0)*INDEX('3 - Il costo opportunità'!$B$74:$B$134,(10)+1)+(ABS(D37*12))*INDEX('3 - Il costo opportunità'!$C$74:$C$134,(10)+1))-'3 - Il costo opportunità'!$B$8*MAX(0,((0)*INDEX('3 - Il costo opportunità'!$B$74:$B$134,(10)+1)+(ABS(D37*12))*INDEX('3 - Il costo opportunità'!$C$74:$C$134,(10)+1))-((0)+(ABS(D37*12))*INDEX('3 - Il costo opportunità'!$D$74:$D$134,(10)+1))))/(1+'1 - Il tuo profilo'!$B$14)^(10))</f>
        <v>5020.3365313909089</v>
      </c>
      <c r="F37" s="21">
        <f>SIGN(D37*12)*((((0)*INDEX('3 - Il costo opportunità'!$B$74:$B$134,('3 - Il costo opportunità'!$B$9)+1)+(ABS(D37*12))*INDEX('3 - Il costo opportunità'!$C$74:$C$134,('3 - Il costo opportunità'!$B$9)+1))-'3 - Il costo opportunità'!$B$8*MAX(0,((0)*INDEX('3 - Il costo opportunità'!$B$74:$B$134,('3 - Il costo opportunità'!$B$9)+1)+(ABS(D37*12))*INDEX('3 - Il costo opportunità'!$C$74:$C$134,('3 - Il costo opportunità'!$B$9)+1))-((0)+(ABS(D37*12))*INDEX('3 - Il costo opportunità'!$D$74:$D$134,('3 - Il costo opportunità'!$B$9)+1))))/(1+'1 - Il tuo profilo'!$B$14)^('3 - Il costo opportunità'!$B$9))</f>
        <v>19012.959824589932</v>
      </c>
      <c r="G37" s="21">
        <f>F37*'3 - Il costo opportunità'!$B$10/12</f>
        <v>47.532399561474826</v>
      </c>
      <c r="H37" s="21">
        <f>('1 - Il tuo profilo'!$B$19+'1 - Il tuo profilo'!$B$20+'1 - Il tuo profilo'!$B$21)+C37*12</f>
        <v>23877.062125580218</v>
      </c>
      <c r="I37" s="21">
        <f>'1 - Il tuo profilo'!$B$18-H37</f>
        <v>3449.5378744197806</v>
      </c>
      <c r="J37" s="35">
        <f>I37/'1 - Il tuo profilo'!$B$18</f>
        <v>0.12623370175652224</v>
      </c>
      <c r="K37" s="21">
        <f>(((('1 - Il tuo profilo'!$B$22)*INDEX('3 - Il costo opportunità'!$B$74:$B$134,('3 - Il costo opportunità'!$B$9)+1)+(I37)*INDEX('3 - Il costo opportunità'!$C$74:$C$134,('3 - Il costo opportunità'!$B$9)+1))-'3 - Il costo opportunità'!$B$8*MAX(0,(('1 - Il tuo profilo'!$B$22)*INDEX('3 - Il costo opportunità'!$B$74:$B$134,('3 - Il costo opportunità'!$B$9)+1)+(I37)*INDEX('3 - Il costo opportunità'!$C$74:$C$134,('3 - Il costo opportunità'!$B$9)+1))-(('1 - Il tuo profilo'!$B$22)+(I37)*INDEX('3 - Il costo opportunità'!$D$74:$D$134,('3 - Il costo opportunità'!$B$9)+1))))/(1+'1 - Il tuo profilo'!$B$14)^('3 - Il costo opportunità'!$B$9))</f>
        <v>259316.13129174124</v>
      </c>
      <c r="L37" s="21">
        <f>K37*'3 - Il costo opportunità'!$B$10/12</f>
        <v>648.29032822935312</v>
      </c>
      <c r="N37" s="21">
        <f>FV('1 - Il tuo profilo'!$B$13,10,-D37*12)</f>
        <v>5235.9180020911708</v>
      </c>
      <c r="O37" s="21">
        <f>FV('1 - Il tuo profilo'!$B$13,'3 - Il costo opportunità'!$B$9,-D37*12)</f>
        <v>21729.204293388932</v>
      </c>
      <c r="P37" s="21">
        <f>O37*'3 - Il costo opportunità'!$B$10/12</f>
        <v>54.32301073347233</v>
      </c>
      <c r="Q37" s="21">
        <f>FV('1 - Il tuo profilo'!$B$13,'3 - Il costo opportunità'!$B$9,-(I37),-('1 - Il tuo profilo'!$B$22))</f>
        <v>309748.9466416029</v>
      </c>
      <c r="R37" s="21">
        <f>Q37*'3 - Il costo opportunità'!$B$10/12</f>
        <v>774.3723666040072</v>
      </c>
    </row>
    <row r="38" spans="1:18">
      <c r="A38" s="10" t="s">
        <v>252</v>
      </c>
      <c r="B38" s="10" t="s">
        <v>253</v>
      </c>
      <c r="C38" s="18">
        <f>'2 - Le opzioni'!$L$186</f>
        <v>332.94133340296725</v>
      </c>
      <c r="D38" s="34">
        <f>C38-INDEX('3 - Il costo opportunità'!$C$26:$C$44,MATCH('3 - Il costo opportunità'!$B$6,'3 - Il costo opportunità'!$A$26:$A$44,0))</f>
        <v>26.986304593406771</v>
      </c>
      <c r="E38" s="21">
        <f>SIGN(D38*12)*((((0)*INDEX('3 - Il costo opportunità'!$B$74:$B$134,(10)+1)+(ABS(D38*12))*INDEX('3 - Il costo opportunità'!$C$74:$C$134,(10)+1))-'3 - Il costo opportunità'!$B$8*MAX(0,((0)*INDEX('3 - Il costo opportunità'!$B$74:$B$134,(10)+1)+(ABS(D38*12))*INDEX('3 - Il costo opportunità'!$C$74:$C$134,(10)+1))-((0)+(ABS(D38*12))*INDEX('3 - Il costo opportunità'!$D$74:$D$134,(10)+1))))/(1+'1 - Il tuo profilo'!$B$14)^(10))</f>
        <v>3559.559551667438</v>
      </c>
      <c r="F38" s="21">
        <f>SIGN(D38*12)*((((0)*INDEX('3 - Il costo opportunità'!$B$74:$B$134,('3 - Il costo opportunità'!$B$9)+1)+(ABS(D38*12))*INDEX('3 - Il costo opportunità'!$C$74:$C$134,('3 - Il costo opportunità'!$B$9)+1))-'3 - Il costo opportunità'!$B$8*MAX(0,((0)*INDEX('3 - Il costo opportunità'!$B$74:$B$134,('3 - Il costo opportunità'!$B$9)+1)+(ABS(D38*12))*INDEX('3 - Il costo opportunità'!$C$74:$C$134,('3 - Il costo opportunità'!$B$9)+1))-((0)+(ABS(D38*12))*INDEX('3 - Il costo opportunità'!$D$74:$D$134,('3 - Il costo opportunità'!$B$9)+1))))/(1+'1 - Il tuo profilo'!$B$14)^('3 - Il costo opportunità'!$B$9))</f>
        <v>13480.722323277776</v>
      </c>
      <c r="G38" s="21">
        <f>F38*'3 - Il costo opportunità'!$B$10/12</f>
        <v>33.701805808194443</v>
      </c>
      <c r="H38" s="21">
        <f>('1 - Il tuo profilo'!$B$19+'1 - Il tuo profilo'!$B$20+'1 - Il tuo profilo'!$B$21)+C38*12</f>
        <v>23744.166000835608</v>
      </c>
      <c r="I38" s="21">
        <f>'1 - Il tuo profilo'!$B$18-H38</f>
        <v>3582.4339991643901</v>
      </c>
      <c r="J38" s="35">
        <f>I38/'1 - Il tuo profilo'!$B$18</f>
        <v>0.13109695312129538</v>
      </c>
      <c r="K38" s="21">
        <f>(((('1 - Il tuo profilo'!$B$22)*INDEX('3 - Il costo opportunità'!$B$74:$B$134,('3 - Il costo opportunità'!$B$9)+1)+(I38)*INDEX('3 - Il costo opportunità'!$C$74:$C$134,('3 - Il costo opportunità'!$B$9)+1))-'3 - Il costo opportunità'!$B$8*MAX(0,(('1 - Il tuo profilo'!$B$22)*INDEX('3 - Il costo opportunità'!$B$74:$B$134,('3 - Il costo opportunità'!$B$9)+1)+(I38)*INDEX('3 - Il costo opportunità'!$C$74:$C$134,('3 - Il costo opportunità'!$B$9)+1))-(('1 - Il tuo profilo'!$B$22)+(I38)*INDEX('3 - Il costo opportunità'!$D$74:$D$134,('3 - Il costo opportunità'!$B$9)+1))))/(1+'1 - Il tuo profilo'!$B$14)^('3 - Il costo opportunità'!$B$9))</f>
        <v>264848.36879305349</v>
      </c>
      <c r="L38" s="21">
        <f>K38*'3 - Il costo opportunità'!$B$10/12</f>
        <v>662.12092198263372</v>
      </c>
      <c r="N38" s="21">
        <f>FV('1 - Il tuo profilo'!$B$13,10,-D38*12)</f>
        <v>3712.4128670568398</v>
      </c>
      <c r="O38" s="21">
        <f>FV('1 - Il tuo profilo'!$B$13,'3 - Il costo opportunità'!$B$9,-D38*12)</f>
        <v>15406.615912905039</v>
      </c>
      <c r="P38" s="21">
        <f>O38*'3 - Il costo opportunità'!$B$10/12</f>
        <v>38.516539782262598</v>
      </c>
      <c r="Q38" s="21">
        <f>FV('1 - Il tuo profilo'!$B$13,'3 - Il costo opportunità'!$B$9,-(I38),-('1 - Il tuo profilo'!$B$22))</f>
        <v>316071.53502208687</v>
      </c>
      <c r="R38" s="21">
        <f>Q38*'3 - Il costo opportunità'!$B$10/12</f>
        <v>790.17883755521723</v>
      </c>
    </row>
    <row r="39" spans="1:18">
      <c r="A39" s="10" t="s">
        <v>254</v>
      </c>
      <c r="B39" s="10" t="s">
        <v>255</v>
      </c>
      <c r="C39" s="18">
        <f>'2 - Le opzioni'!$L$205</f>
        <v>369.04593340296725</v>
      </c>
      <c r="D39" s="34">
        <f>C39-INDEX('3 - Il costo opportunità'!$C$26:$C$44,MATCH('3 - Il costo opportunità'!$B$6,'3 - Il costo opportunità'!$A$26:$A$44,0))</f>
        <v>63.090904593406776</v>
      </c>
      <c r="E39" s="21">
        <f>SIGN(D39*12)*((((0)*INDEX('3 - Il costo opportunità'!$B$74:$B$134,(10)+1)+(ABS(D39*12))*INDEX('3 - Il costo opportunità'!$C$74:$C$134,(10)+1))-'3 - Il costo opportunità'!$B$8*MAX(0,((0)*INDEX('3 - Il costo opportunità'!$B$74:$B$134,(10)+1)+(ABS(D39*12))*INDEX('3 - Il costo opportunità'!$C$74:$C$134,(10)+1))-((0)+(ABS(D39*12))*INDEX('3 - Il costo opportunità'!$D$74:$D$134,(10)+1))))/(1+'1 - Il tuo profilo'!$B$14)^(10))</f>
        <v>8321.8445597648788</v>
      </c>
      <c r="F39" s="21">
        <f>SIGN(D39*12)*((((0)*INDEX('3 - Il costo opportunità'!$B$74:$B$134,('3 - Il costo opportunità'!$B$9)+1)+(ABS(D39*12))*INDEX('3 - Il costo opportunità'!$C$74:$C$134,('3 - Il costo opportunità'!$B$9)+1))-'3 - Il costo opportunità'!$B$8*MAX(0,((0)*INDEX('3 - Il costo opportunità'!$B$74:$B$134,('3 - Il costo opportunità'!$B$9)+1)+(ABS(D39*12))*INDEX('3 - Il costo opportunità'!$C$74:$C$134,('3 - Il costo opportunità'!$B$9)+1))-((0)+(ABS(D39*12))*INDEX('3 - Il costo opportunità'!$D$74:$D$134,('3 - Il costo opportunità'!$B$9)+1))))/(1+'1 - Il tuo profilo'!$B$14)^('3 - Il costo opportunità'!$B$9))</f>
        <v>31516.392435440077</v>
      </c>
      <c r="G39" s="21">
        <f>F39*'3 - Il costo opportunità'!$B$10/12</f>
        <v>78.790981088600191</v>
      </c>
      <c r="H39" s="21">
        <f>('1 - Il tuo profilo'!$B$19+'1 - Il tuo profilo'!$B$20+'1 - Il tuo profilo'!$B$21)+C39*12</f>
        <v>24177.421200835612</v>
      </c>
      <c r="I39" s="21">
        <f>'1 - Il tuo profilo'!$B$18-H39</f>
        <v>3149.1787991643869</v>
      </c>
      <c r="J39" s="35">
        <f>I39/'1 - Il tuo profilo'!$B$18</f>
        <v>0.11524224744989815</v>
      </c>
      <c r="K39" s="21">
        <f>(((('1 - Il tuo profilo'!$B$22)*INDEX('3 - Il costo opportunità'!$B$74:$B$134,('3 - Il costo opportunità'!$B$9)+1)+(I39)*INDEX('3 - Il costo opportunità'!$C$74:$C$134,('3 - Il costo opportunità'!$B$9)+1))-'3 - Il costo opportunità'!$B$8*MAX(0,(('1 - Il tuo profilo'!$B$22)*INDEX('3 - Il costo opportunità'!$B$74:$B$134,('3 - Il costo opportunità'!$B$9)+1)+(I39)*INDEX('3 - Il costo opportunità'!$C$74:$C$134,('3 - Il costo opportunità'!$B$9)+1))-(('1 - Il tuo profilo'!$B$22)+(I39)*INDEX('3 - Il costo opportunità'!$D$74:$D$134,('3 - Il costo opportunità'!$B$9)+1))))/(1+'1 - Il tuo profilo'!$B$14)^('3 - Il costo opportunità'!$B$9))</f>
        <v>246812.69868089107</v>
      </c>
      <c r="L39" s="21">
        <f>K39*'3 - Il costo opportunità'!$B$10/12</f>
        <v>617.03174670222768</v>
      </c>
      <c r="N39" s="21">
        <f>FV('1 - Il tuo profilo'!$B$13,10,-D39*12)</f>
        <v>8679.198190923953</v>
      </c>
      <c r="O39" s="21">
        <f>FV('1 - Il tuo profilo'!$B$13,'3 - Il costo opportunità'!$B$9,-D39*12)</f>
        <v>36018.91215983071</v>
      </c>
      <c r="P39" s="21">
        <f>O39*'3 - Il costo opportunità'!$B$10/12</f>
        <v>90.047280399576778</v>
      </c>
      <c r="Q39" s="21">
        <f>FV('1 - Il tuo profilo'!$B$13,'3 - Il costo opportunità'!$B$9,-(I39),-('1 - Il tuo profilo'!$B$22))</f>
        <v>295459.23877516109</v>
      </c>
      <c r="R39" s="21">
        <f>Q39*'3 - Il costo opportunità'!$B$10/12</f>
        <v>738.64809693790266</v>
      </c>
    </row>
    <row r="40" spans="1:18">
      <c r="A40" s="10" t="s">
        <v>256</v>
      </c>
      <c r="B40" s="10" t="s">
        <v>257</v>
      </c>
      <c r="C40" s="18">
        <f>'2 - Le opzioni'!$L$243</f>
        <v>359.35863209599796</v>
      </c>
      <c r="D40" s="34">
        <f>C40-INDEX('3 - Il costo opportunità'!$C$26:$C$44,MATCH('3 - Il costo opportunità'!$B$6,'3 - Il costo opportunità'!$A$26:$A$44,0))</f>
        <v>53.403603286437487</v>
      </c>
      <c r="E40" s="21">
        <f>SIGN(D40*12)*((((0)*INDEX('3 - Il costo opportunità'!$B$74:$B$134,(10)+1)+(ABS(D40*12))*INDEX('3 - Il costo opportunità'!$C$74:$C$134,(10)+1))-'3 - Il costo opportunità'!$B$8*MAX(0,((0)*INDEX('3 - Il costo opportunità'!$B$74:$B$134,(10)+1)+(ABS(D40*12))*INDEX('3 - Il costo opportunità'!$C$74:$C$134,(10)+1))-((0)+(ABS(D40*12))*INDEX('3 - Il costo opportunità'!$D$74:$D$134,(10)+1))))/(1+'1 - Il tuo profilo'!$B$14)^(10))</f>
        <v>7044.0658339764032</v>
      </c>
      <c r="F40" s="21">
        <f>SIGN(D40*12)*((((0)*INDEX('3 - Il costo opportunità'!$B$74:$B$134,('3 - Il costo opportunità'!$B$9)+1)+(ABS(D40*12))*INDEX('3 - Il costo opportunità'!$C$74:$C$134,('3 - Il costo opportunità'!$B$9)+1))-'3 - Il costo opportunità'!$B$8*MAX(0,((0)*INDEX('3 - Il costo opportunità'!$B$74:$B$134,('3 - Il costo opportunità'!$B$9)+1)+(ABS(D40*12))*INDEX('3 - Il costo opportunità'!$C$74:$C$134,('3 - Il costo opportunità'!$B$9)+1))-((0)+(ABS(D40*12))*INDEX('3 - Il costo opportunità'!$D$74:$D$134,('3 - Il costo opportunità'!$B$9)+1))))/(1+'1 - Il tuo profilo'!$B$14)^('3 - Il costo opportunità'!$B$9))</f>
        <v>26677.203782204291</v>
      </c>
      <c r="G40" s="21">
        <f>F40*'3 - Il costo opportunità'!$B$10/12</f>
        <v>66.693009455510733</v>
      </c>
      <c r="H40" s="21">
        <f>('1 - Il tuo profilo'!$B$19+'1 - Il tuo profilo'!$B$20+'1 - Il tuo profilo'!$B$21)+C40*12</f>
        <v>24061.173585151977</v>
      </c>
      <c r="I40" s="21">
        <f>'1 - Il tuo profilo'!$B$18-H40</f>
        <v>3265.4264148480215</v>
      </c>
      <c r="J40" s="35">
        <f>I40/'1 - Il tuo profilo'!$B$18</f>
        <v>0.11949625693822216</v>
      </c>
      <c r="K40" s="21">
        <f>(((('1 - Il tuo profilo'!$B$22)*INDEX('3 - Il costo opportunità'!$B$74:$B$134,('3 - Il costo opportunità'!$B$9)+1)+(I40)*INDEX('3 - Il costo opportunità'!$C$74:$C$134,('3 - Il costo opportunità'!$B$9)+1))-'3 - Il costo opportunità'!$B$8*MAX(0,(('1 - Il tuo profilo'!$B$22)*INDEX('3 - Il costo opportunità'!$B$74:$B$134,('3 - Il costo opportunità'!$B$9)+1)+(I40)*INDEX('3 - Il costo opportunità'!$C$74:$C$134,('3 - Il costo opportunità'!$B$9)+1))-(('1 - Il tuo profilo'!$B$22)+(I40)*INDEX('3 - Il costo opportunità'!$D$74:$D$134,('3 - Il costo opportunità'!$B$9)+1))))/(1+'1 - Il tuo profilo'!$B$14)^('3 - Il costo opportunità'!$B$9))</f>
        <v>251651.88733412695</v>
      </c>
      <c r="L40" s="21">
        <f>K40*'3 - Il costo opportunità'!$B$10/12</f>
        <v>629.12971833531731</v>
      </c>
      <c r="N40" s="21">
        <f>FV('1 - Il tuo profilo'!$B$13,10,-D40*12)</f>
        <v>7346.5495544805699</v>
      </c>
      <c r="O40" s="21">
        <f>FV('1 - Il tuo profilo'!$B$13,'3 - Il costo opportunità'!$B$9,-D40*12)</f>
        <v>30488.383518813185</v>
      </c>
      <c r="P40" s="21">
        <f>O40*'3 - Il costo opportunità'!$B$10/12</f>
        <v>76.220958797032964</v>
      </c>
      <c r="Q40" s="21">
        <f>FV('1 - Il tuo profilo'!$B$13,'3 - Il costo opportunità'!$B$9,-(I40),-('1 - Il tuo profilo'!$B$22))</f>
        <v>300989.76741617871</v>
      </c>
      <c r="R40" s="21">
        <f>Q40*'3 - Il costo opportunità'!$B$10/12</f>
        <v>752.47441854044666</v>
      </c>
    </row>
    <row r="41" spans="1:18">
      <c r="A41" s="10" t="s">
        <v>258</v>
      </c>
      <c r="B41" s="10" t="s">
        <v>259</v>
      </c>
      <c r="C41" s="18">
        <f>'2 - Le opzioni'!$L$357</f>
        <v>434.20063927861401</v>
      </c>
      <c r="D41" s="34">
        <f>C41-INDEX('3 - Il costo opportunità'!$C$26:$C$44,MATCH('3 - Il costo opportunità'!$B$6,'3 - Il costo opportunità'!$A$26:$A$44,0))</f>
        <v>128.24561046905353</v>
      </c>
      <c r="E41" s="21">
        <f>SIGN(D41*12)*((((0)*INDEX('3 - Il costo opportunità'!$B$74:$B$134,(10)+1)+(ABS(D41*12))*INDEX('3 - Il costo opportunità'!$C$74:$C$134,(10)+1))-'3 - Il costo opportunità'!$B$8*MAX(0,((0)*INDEX('3 - Il costo opportunità'!$B$74:$B$134,(10)+1)+(ABS(D41*12))*INDEX('3 - Il costo opportunità'!$C$74:$C$134,(10)+1))-((0)+(ABS(D41*12))*INDEX('3 - Il costo opportunità'!$D$74:$D$134,(10)+1))))/(1+'1 - Il tuo profilo'!$B$14)^(10))</f>
        <v>16915.909554214086</v>
      </c>
      <c r="F41" s="21">
        <f>SIGN(D41*12)*((((0)*INDEX('3 - Il costo opportunità'!$B$74:$B$134,('3 - Il costo opportunità'!$B$9)+1)+(ABS(D41*12))*INDEX('3 - Il costo opportunità'!$C$74:$C$134,('3 - Il costo opportunità'!$B$9)+1))-'3 - Il costo opportunità'!$B$8*MAX(0,((0)*INDEX('3 - Il costo opportunità'!$B$74:$B$134,('3 - Il costo opportunità'!$B$9)+1)+(ABS(D41*12))*INDEX('3 - Il costo opportunità'!$C$74:$C$134,('3 - Il costo opportunità'!$B$9)+1))-((0)+(ABS(D41*12))*INDEX('3 - Il costo opportunità'!$D$74:$D$134,('3 - Il costo opportunità'!$B$9)+1))))/(1+'1 - Il tuo profilo'!$B$14)^('3 - Il costo opportunità'!$B$9))</f>
        <v>64063.734918894486</v>
      </c>
      <c r="G41" s="21">
        <f>F41*'3 - Il costo opportunità'!$B$10/12</f>
        <v>160.15933729723619</v>
      </c>
      <c r="H41" s="21">
        <f>('1 - Il tuo profilo'!$B$19+'1 - Il tuo profilo'!$B$20+'1 - Il tuo profilo'!$B$21)+C41*12</f>
        <v>24959.27767134337</v>
      </c>
      <c r="I41" s="21">
        <f>'1 - Il tuo profilo'!$B$18-H41</f>
        <v>2367.3223286566281</v>
      </c>
      <c r="J41" s="35">
        <f>I41/'1 - Il tuo profilo'!$B$18</f>
        <v>8.6630694219428261E-2</v>
      </c>
      <c r="K41" s="21">
        <f>(((('1 - Il tuo profilo'!$B$22)*INDEX('3 - Il costo opportunità'!$B$74:$B$134,('3 - Il costo opportunità'!$B$9)+1)+(I41)*INDEX('3 - Il costo opportunità'!$C$74:$C$134,('3 - Il costo opportunità'!$B$9)+1))-'3 - Il costo opportunità'!$B$8*MAX(0,(('1 - Il tuo profilo'!$B$22)*INDEX('3 - Il costo opportunità'!$B$74:$B$134,('3 - Il costo opportunità'!$B$9)+1)+(I41)*INDEX('3 - Il costo opportunità'!$C$74:$C$134,('3 - Il costo opportunità'!$B$9)+1))-(('1 - Il tuo profilo'!$B$22)+(I41)*INDEX('3 - Il costo opportunità'!$D$74:$D$134,('3 - Il costo opportunità'!$B$9)+1))))/(1+'1 - Il tuo profilo'!$B$14)^('3 - Il costo opportunità'!$B$9))</f>
        <v>214265.35619743675</v>
      </c>
      <c r="L41" s="21">
        <f>K41*'3 - Il costo opportunità'!$B$10/12</f>
        <v>535.66339049359192</v>
      </c>
      <c r="N41" s="21">
        <f>FV('1 - Il tuo profilo'!$B$13,10,-D41*12)</f>
        <v>17642.306407717399</v>
      </c>
      <c r="O41" s="21">
        <f>FV('1 - Il tuo profilo'!$B$13,'3 - Il costo opportunità'!$B$9,-D41*12)</f>
        <v>73216.058766915099</v>
      </c>
      <c r="P41" s="21">
        <f>O41*'3 - Il costo opportunità'!$B$10/12</f>
        <v>183.04014691728776</v>
      </c>
      <c r="Q41" s="21">
        <f>FV('1 - Il tuo profilo'!$B$13,'3 - Il costo opportunità'!$B$9,-(I41),-('1 - Il tuo profilo'!$B$22))</f>
        <v>258262.09216807678</v>
      </c>
      <c r="R41" s="21">
        <f>Q41*'3 - Il costo opportunità'!$B$10/12</f>
        <v>645.65523042019197</v>
      </c>
    </row>
    <row r="42" spans="1:18">
      <c r="A42" s="10" t="s">
        <v>260</v>
      </c>
      <c r="B42" s="10" t="s">
        <v>261</v>
      </c>
      <c r="C42" s="18">
        <f>'2 - Le opzioni'!$L$433</f>
        <v>115.10904001537675</v>
      </c>
      <c r="D42" s="34">
        <f>C42-INDEX('3 - Il costo opportunità'!$C$26:$C$44,MATCH('3 - Il costo opportunità'!$B$6,'3 - Il costo opportunità'!$A$26:$A$44,0))</f>
        <v>-190.84598879418371</v>
      </c>
      <c r="E42" s="21">
        <f>SIGN(D42*12)*((((0)*INDEX('3 - Il costo opportunità'!$B$74:$B$134,(10)+1)+(ABS(D42*12))*INDEX('3 - Il costo opportunità'!$C$74:$C$134,(10)+1))-'3 - Il costo opportunità'!$B$8*MAX(0,((0)*INDEX('3 - Il costo opportunità'!$B$74:$B$134,(10)+1)+(ABS(D42*12))*INDEX('3 - Il costo opportunità'!$C$74:$C$134,(10)+1))-((0)+(ABS(D42*12))*INDEX('3 - Il costo opportunità'!$D$74:$D$134,(10)+1))))/(1+'1 - Il tuo profilo'!$B$14)^(10))</f>
        <v>-25173.052499960482</v>
      </c>
      <c r="F42" s="21">
        <f>SIGN(D42*12)*((((0)*INDEX('3 - Il costo opportunità'!$B$74:$B$134,('3 - Il costo opportunità'!$B$9)+1)+(ABS(D42*12))*INDEX('3 - Il costo opportunità'!$C$74:$C$134,('3 - Il costo opportunità'!$B$9)+1))-'3 - Il costo opportunità'!$B$8*MAX(0,((0)*INDEX('3 - Il costo opportunità'!$B$74:$B$134,('3 - Il costo opportunità'!$B$9)+1)+(ABS(D42*12))*INDEX('3 - Il costo opportunità'!$C$74:$C$134,('3 - Il costo opportunità'!$B$9)+1))-((0)+(ABS(D42*12))*INDEX('3 - Il costo opportunità'!$D$74:$D$134,('3 - Il costo opportunità'!$B$9)+1))))/(1+'1 - Il tuo profilo'!$B$14)^('3 - Il costo opportunità'!$B$9))</f>
        <v>-95335.090158077379</v>
      </c>
      <c r="G42" s="21">
        <f>F42*'3 - Il costo opportunità'!$B$10/12</f>
        <v>-238.33772539519342</v>
      </c>
      <c r="H42" s="21">
        <f>('1 - Il tuo profilo'!$B$19+'1 - Il tuo profilo'!$B$20+'1 - Il tuo profilo'!$B$21)+C42*12</f>
        <v>21130.178480184524</v>
      </c>
      <c r="I42" s="21">
        <f>'1 - Il tuo profilo'!$B$18-H42</f>
        <v>6196.4215198154743</v>
      </c>
      <c r="J42" s="35">
        <f>I42/'1 - Il tuo profilo'!$B$18</f>
        <v>0.22675420724918119</v>
      </c>
      <c r="K42" s="21">
        <f>(((('1 - Il tuo profilo'!$B$22)*INDEX('3 - Il costo opportunità'!$B$74:$B$134,('3 - Il costo opportunità'!$B$9)+1)+(I42)*INDEX('3 - Il costo opportunità'!$C$74:$C$134,('3 - Il costo opportunità'!$B$9)+1))-'3 - Il costo opportunità'!$B$8*MAX(0,(('1 - Il tuo profilo'!$B$22)*INDEX('3 - Il costo opportunità'!$B$74:$B$134,('3 - Il costo opportunità'!$B$9)+1)+(I42)*INDEX('3 - Il costo opportunità'!$C$74:$C$134,('3 - Il costo opportunità'!$B$9)+1))-(('1 - Il tuo profilo'!$B$22)+(I42)*INDEX('3 - Il costo opportunità'!$D$74:$D$134,('3 - Il costo opportunità'!$B$9)+1))))/(1+'1 - Il tuo profilo'!$B$14)^('3 - Il costo opportunità'!$B$9))</f>
        <v>373664.18127440853</v>
      </c>
      <c r="L42" s="21">
        <f>K42*'3 - Il costo opportunità'!$B$10/12</f>
        <v>934.1604531860213</v>
      </c>
      <c r="N42" s="21">
        <f>FV('1 - Il tuo profilo'!$B$13,10,-D42*12)</f>
        <v>-26254.024591377798</v>
      </c>
      <c r="O42" s="21">
        <f>FV('1 - Il tuo profilo'!$B$13,'3 - Il costo opportunità'!$B$9,-D42*12)</f>
        <v>-108954.92703320824</v>
      </c>
      <c r="P42" s="21">
        <f>O42*'3 - Il costo opportunità'!$B$10/12</f>
        <v>-272.38731758302055</v>
      </c>
      <c r="Q42" s="21">
        <f>FV('1 - Il tuo profilo'!$B$13,'3 - Il costo opportunità'!$B$9,-(I42),-('1 - Il tuo profilo'!$B$22))</f>
        <v>440433.07796820009</v>
      </c>
      <c r="R42" s="21">
        <f>Q42*'3 - Il costo opportunità'!$B$10/12</f>
        <v>1101.0826949205002</v>
      </c>
    </row>
    <row r="43" spans="1:18">
      <c r="A43" s="10" t="s">
        <v>262</v>
      </c>
      <c r="B43" s="10" t="s">
        <v>263</v>
      </c>
      <c r="C43" s="18">
        <f>'2 - Le opzioni'!$L$452</f>
        <v>320.69237334871019</v>
      </c>
      <c r="D43" s="34">
        <f>C43-INDEX('3 - Il costo opportunità'!$C$26:$C$44,MATCH('3 - Il costo opportunità'!$B$6,'3 - Il costo opportunità'!$A$26:$A$44,0))</f>
        <v>14.737344539149717</v>
      </c>
      <c r="E43" s="21">
        <f>SIGN(D43*12)*((((0)*INDEX('3 - Il costo opportunità'!$B$74:$B$134,(10)+1)+(ABS(D43*12))*INDEX('3 - Il costo opportunità'!$C$74:$C$134,(10)+1))-'3 - Il costo opportunità'!$B$8*MAX(0,((0)*INDEX('3 - Il costo opportunità'!$B$74:$B$134,(10)+1)+(ABS(D43*12))*INDEX('3 - Il costo opportunità'!$C$74:$C$134,(10)+1))-((0)+(ABS(D43*12))*INDEX('3 - Il costo opportunità'!$D$74:$D$134,(10)+1))))/(1+'1 - Il tuo profilo'!$B$14)^(10))</f>
        <v>1943.8917743988129</v>
      </c>
      <c r="F43" s="21">
        <f>SIGN(D43*12)*((((0)*INDEX('3 - Il costo opportunità'!$B$74:$B$134,('3 - Il costo opportunità'!$B$9)+1)+(ABS(D43*12))*INDEX('3 - Il costo opportunità'!$C$74:$C$134,('3 - Il costo opportunità'!$B$9)+1))-'3 - Il costo opportunità'!$B$8*MAX(0,((0)*INDEX('3 - Il costo opportunità'!$B$74:$B$134,('3 - Il costo opportunità'!$B$9)+1)+(ABS(D43*12))*INDEX('3 - Il costo opportunità'!$C$74:$C$134,('3 - Il costo opportunità'!$B$9)+1))-((0)+(ABS(D43*12))*INDEX('3 - Il costo opportunità'!$D$74:$D$134,('3 - Il costo opportunità'!$B$9)+1))))/(1+'1 - Il tuo profilo'!$B$14)^('3 - Il costo opportunità'!$B$9))</f>
        <v>7361.8842041562812</v>
      </c>
      <c r="G43" s="21">
        <f>F43*'3 - Il costo opportunità'!$B$10/12</f>
        <v>18.404710510390704</v>
      </c>
      <c r="H43" s="21">
        <f>('1 - Il tuo profilo'!$B$19+'1 - Il tuo profilo'!$B$20+'1 - Il tuo profilo'!$B$21)+C43*12</f>
        <v>23597.178480184524</v>
      </c>
      <c r="I43" s="21">
        <f>'1 - Il tuo profilo'!$B$18-H43</f>
        <v>3729.4215198154743</v>
      </c>
      <c r="J43" s="35">
        <f>I43/'1 - Il tuo profilo'!$B$18</f>
        <v>0.1364758703905892</v>
      </c>
      <c r="K43" s="21">
        <f>(((('1 - Il tuo profilo'!$B$22)*INDEX('3 - Il costo opportunità'!$B$74:$B$134,('3 - Il costo opportunità'!$B$9)+1)+(I43)*INDEX('3 - Il costo opportunità'!$C$74:$C$134,('3 - Il costo opportunità'!$B$9)+1))-'3 - Il costo opportunità'!$B$8*MAX(0,(('1 - Il tuo profilo'!$B$22)*INDEX('3 - Il costo opportunità'!$B$74:$B$134,('3 - Il costo opportunità'!$B$9)+1)+(I43)*INDEX('3 - Il costo opportunità'!$C$74:$C$134,('3 - Il costo opportunità'!$B$9)+1))-(('1 - Il tuo profilo'!$B$22)+(I43)*INDEX('3 - Il costo opportunità'!$D$74:$D$134,('3 - Il costo opportunità'!$B$9)+1))))/(1+'1 - Il tuo profilo'!$B$14)^('3 - Il costo opportunità'!$B$9))</f>
        <v>270967.206912175</v>
      </c>
      <c r="L43" s="21">
        <f>K43*'3 - Il costo opportunità'!$B$10/12</f>
        <v>677.41801728043754</v>
      </c>
      <c r="N43" s="21">
        <f>FV('1 - Il tuo profilo'!$B$13,10,-D43*12)</f>
        <v>2027.3656700204945</v>
      </c>
      <c r="O43" s="21">
        <f>FV('1 - Il tuo profilo'!$B$13,'3 - Il costo opportunità'!$B$9,-D43*12)</f>
        <v>8413.6235142881014</v>
      </c>
      <c r="P43" s="21">
        <f>O43*'3 - Il costo opportunità'!$B$10/12</f>
        <v>21.034058785720251</v>
      </c>
      <c r="Q43" s="21">
        <f>FV('1 - Il tuo profilo'!$B$13,'3 - Il costo opportunità'!$B$9,-(I43),-('1 - Il tuo profilo'!$B$22))</f>
        <v>323064.52742070379</v>
      </c>
      <c r="R43" s="21">
        <f>Q43*'3 - Il costo opportunità'!$B$10/12</f>
        <v>807.66131855175945</v>
      </c>
    </row>
    <row r="44" spans="1:18">
      <c r="A44" s="10" t="s">
        <v>376</v>
      </c>
      <c r="B44" s="10" t="s">
        <v>377</v>
      </c>
      <c r="C44" s="18">
        <f>'2 - Le opzioni'!$L$471</f>
        <v>415.59700861567666</v>
      </c>
      <c r="D44" s="34">
        <f>C44-INDEX('3 - Il costo opportunità'!$C$26:$C$44,MATCH('3 - Il costo opportunità'!$B$6,'3 - Il costo opportunità'!$A$26:$A$44,0))</f>
        <v>109.64197980611618</v>
      </c>
      <c r="E44" s="21">
        <f>SIGN(D44*12)*((((0)*INDEX('3 - Il costo opportunità'!$B$74:$B$134,(10)+1)+(ABS(D44*12))*INDEX('3 - Il costo opportunità'!$C$74:$C$134,(10)+1))-'3 - Il costo opportunità'!$B$8*MAX(0,((0)*INDEX('3 - Il costo opportunità'!$B$74:$B$134,(10)+1)+(ABS(D44*12))*INDEX('3 - Il costo opportunità'!$C$74:$C$134,(10)+1))-((0)+(ABS(D44*12))*INDEX('3 - Il costo opportunità'!$D$74:$D$134,(10)+1))))/(1+'1 - Il tuo profilo'!$B$14)^(10))</f>
        <v>14462.045187837268</v>
      </c>
      <c r="F44" s="21">
        <f>SIGN(D44*12)*((((0)*INDEX('3 - Il costo opportunità'!$B$74:$B$134,('3 - Il costo opportunità'!$B$9)+1)+(ABS(D44*12))*INDEX('3 - Il costo opportunità'!$C$74:$C$134,('3 - Il costo opportunità'!$B$9)+1))-'3 - Il costo opportunità'!$B$8*MAX(0,((0)*INDEX('3 - Il costo opportunità'!$B$74:$B$134,('3 - Il costo opportunità'!$B$9)+1)+(ABS(D44*12))*INDEX('3 - Il costo opportunità'!$C$74:$C$134,('3 - Il costo opportunità'!$B$9)+1))-((0)+(ABS(D44*12))*INDEX('3 - Il costo opportunità'!$D$74:$D$134,('3 - Il costo opportunità'!$B$9)+1))))/(1+'1 - Il tuo profilo'!$B$14)^('3 - Il costo opportunità'!$B$9))</f>
        <v>54770.488475913662</v>
      </c>
      <c r="G44" s="21">
        <f>F44*'3 - Il costo opportunità'!$B$10/12</f>
        <v>136.92622118978414</v>
      </c>
      <c r="H44" s="21">
        <f>('1 - Il tuo profilo'!$B$19+'1 - Il tuo profilo'!$B$20+'1 - Il tuo profilo'!$B$21)+C44*12</f>
        <v>24736.034103388123</v>
      </c>
      <c r="I44" s="21">
        <f>'1 - Il tuo profilo'!$B$18-H44</f>
        <v>2590.5658966118754</v>
      </c>
      <c r="J44" s="35">
        <f>I44/'1 - Il tuo profilo'!$B$18</f>
        <v>9.480015430429968E-2</v>
      </c>
      <c r="K44" s="21">
        <f>(((('1 - Il tuo profilo'!$B$22)*INDEX('3 - Il costo opportunità'!$B$74:$B$134,('3 - Il costo opportunità'!$B$9)+1)+(I44)*INDEX('3 - Il costo opportunità'!$C$74:$C$134,('3 - Il costo opportunità'!$B$9)+1))-'3 - Il costo opportunità'!$B$8*MAX(0,(('1 - Il tuo profilo'!$B$22)*INDEX('3 - Il costo opportunità'!$B$74:$B$134,('3 - Il costo opportunità'!$B$9)+1)+(I44)*INDEX('3 - Il costo opportunità'!$C$74:$C$134,('3 - Il costo opportunità'!$B$9)+1))-(('1 - Il tuo profilo'!$B$22)+(I44)*INDEX('3 - Il costo opportunità'!$D$74:$D$134,('3 - Il costo opportunità'!$B$9)+1))))/(1+'1 - Il tuo profilo'!$B$14)^('3 - Il costo opportunità'!$B$9))</f>
        <v>223558.60264041755</v>
      </c>
      <c r="L44" s="21">
        <f>K44*'3 - Il costo opportunità'!$B$10/12</f>
        <v>558.89650660104382</v>
      </c>
      <c r="N44" s="21">
        <f>FV('1 - Il tuo profilo'!$B$13,10,-D44*12)</f>
        <v>15083.069087616319</v>
      </c>
      <c r="O44" s="21">
        <f>FV('1 - Il tuo profilo'!$B$13,'3 - Il costo opportunità'!$B$9,-D44*12)</f>
        <v>62595.153217681633</v>
      </c>
      <c r="P44" s="21">
        <f>O44*'3 - Il costo opportunità'!$B$10/12</f>
        <v>156.48788304420407</v>
      </c>
      <c r="Q44" s="21">
        <f>FV('1 - Il tuo profilo'!$B$13,'3 - Il costo opportunità'!$B$9,-(I44),-('1 - Il tuo profilo'!$B$22))</f>
        <v>268882.99771731021</v>
      </c>
      <c r="R44" s="21">
        <f>Q44*'3 - Il costo opportunità'!$B$10/12</f>
        <v>672.20749429327554</v>
      </c>
    </row>
    <row r="45" spans="1:18" ht="30" customHeight="1">
      <c r="A45" s="42" t="s">
        <v>378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7" spans="1:18">
      <c r="A47" s="43" t="s">
        <v>379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</row>
    <row r="48" spans="1:18">
      <c r="A48" s="6" t="s">
        <v>380</v>
      </c>
      <c r="B48" s="22" t="str">
        <f>TEXT(D30,"0")&amp;" - "&amp;TEXT(D29,"0")&amp;" €/mese"</f>
        <v>175 - 228 €/mese</v>
      </c>
    </row>
    <row r="49" spans="1:12">
      <c r="A49" s="6" t="s">
        <v>381</v>
      </c>
      <c r="B49" s="21">
        <f>F30-F32</f>
        <v>87640.552706273753</v>
      </c>
    </row>
    <row r="50" spans="1:12">
      <c r="A50" s="6" t="s">
        <v>382</v>
      </c>
      <c r="B50" s="21">
        <f>F29-F32</f>
        <v>113670.60813715713</v>
      </c>
    </row>
    <row r="51" spans="1:12">
      <c r="A51" s="6" t="s">
        <v>383</v>
      </c>
      <c r="B51" s="21">
        <f>'3 - Il costo opportunità'!$B$49*'3 - Il costo opportunità'!$B$10/12</f>
        <v>219.10138176568435</v>
      </c>
    </row>
    <row r="52" spans="1:12">
      <c r="A52" s="6" t="s">
        <v>384</v>
      </c>
      <c r="B52" s="21">
        <f>'3 - Il costo opportunità'!$B$50*'3 - Il costo opportunità'!$B$10/12</f>
        <v>284.17652034289284</v>
      </c>
    </row>
    <row r="62" spans="1:12">
      <c r="A62" s="43" t="s">
        <v>266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spans="1:12" ht="15" customHeight="1">
      <c r="A63" s="42" t="s">
        <v>267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spans="1:12">
      <c r="A64" s="6" t="s">
        <v>385</v>
      </c>
      <c r="B64" s="19">
        <f>(1+'1 - Il tuo profilo'!$B$13)*(1+'1 - Il tuo profilo'!$B$14)-1</f>
        <v>5.0599999999999978E-2</v>
      </c>
    </row>
    <row r="65" spans="1:12">
      <c r="A65" s="6" t="s">
        <v>386</v>
      </c>
      <c r="B65" s="32">
        <f>(1+'3 - Il costo opportunità'!$B$64)^(1/12)</f>
        <v>1.0041219243192652</v>
      </c>
    </row>
    <row r="66" spans="1:12">
      <c r="A66" s="6" t="s">
        <v>387</v>
      </c>
      <c r="B66" s="32">
        <f>(1+'1 - Il tuo profilo'!$B$14)^(1/12)</f>
        <v>1.0016515813019202</v>
      </c>
    </row>
    <row r="67" spans="1:12">
      <c r="A67" s="6" t="s">
        <v>388</v>
      </c>
      <c r="B67" s="32">
        <f>'3 - Il costo opportunità'!$B$65^12*('3 - Il costo opportunità'!$B$66/'3 - Il costo opportunità'!$B$65)*(1-('3 - Il costo opportunità'!$B$66/'3 - Il costo opportunità'!$B$65)^12)/(1-'3 - Il costo opportunità'!$B$66/'3 - Il costo opportunità'!$B$65)/12</f>
        <v>1.0339501495889425</v>
      </c>
    </row>
    <row r="68" spans="1:12">
      <c r="A68" s="6" t="s">
        <v>389</v>
      </c>
      <c r="B68" s="32">
        <f>'3 - Il costo opportunità'!$B$66*('3 - Il costo opportunità'!$B$66^12-1)/('3 - Il costo opportunità'!$B$66-1)/12</f>
        <v>1.0108005583672701</v>
      </c>
    </row>
    <row r="69" spans="1:12" ht="30" customHeight="1">
      <c r="A69" s="42" t="s">
        <v>390</v>
      </c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3" spans="1:12" ht="32.1" customHeight="1">
      <c r="A73" s="30" t="s">
        <v>391</v>
      </c>
      <c r="B73" s="30" t="s">
        <v>392</v>
      </c>
      <c r="C73" s="30" t="s">
        <v>393</v>
      </c>
      <c r="D73" s="30" t="s">
        <v>394</v>
      </c>
    </row>
    <row r="74" spans="1:12">
      <c r="A74" s="26">
        <v>0</v>
      </c>
      <c r="B74" s="33">
        <v>1</v>
      </c>
      <c r="C74" s="33">
        <v>0</v>
      </c>
      <c r="D74" s="33">
        <v>0</v>
      </c>
    </row>
    <row r="75" spans="1:12">
      <c r="A75" s="26">
        <v>1</v>
      </c>
      <c r="B75" s="33">
        <f>B74*'3 - Il costo opportunità'!$B$65^12*(1-'3 - Il costo opportunità'!$B$7)</f>
        <v>1.0484987999999991</v>
      </c>
      <c r="C75" s="33">
        <f>(C74*'3 - Il costo opportunità'!$B$65^12+(1+'1 - Il tuo profilo'!$B$14)^(A75-1)*'3 - Il costo opportunità'!$B$67)*(1-'3 - Il costo opportunità'!$B$7)</f>
        <v>1.0318822492897646</v>
      </c>
      <c r="D75" s="33">
        <f>D74+(1+'1 - Il tuo profilo'!$B$14)^(A75-1)*'3 - Il costo opportunità'!$B$68</f>
        <v>1.0108005583672701</v>
      </c>
    </row>
    <row r="76" spans="1:12">
      <c r="A76" s="26">
        <v>2</v>
      </c>
      <c r="B76" s="33">
        <f>B75*'3 - Il costo opportunità'!$B$65^12*(1-'3 - Il costo opportunità'!$B$7)</f>
        <v>1.099349733601438</v>
      </c>
      <c r="C76" s="33">
        <f>(C75*'3 - Il costo opportunità'!$B$65^12+(1+'1 - Il tuo profilo'!$B$14)^(A76-1)*'3 - Il costo opportunità'!$B$67)*(1-'3 - Il costo opportunità'!$B$7)</f>
        <v>2.1344471943971781</v>
      </c>
      <c r="D76" s="33">
        <f>D75+(1+'1 - Il tuo profilo'!$B$14)^(A76-1)*'3 - Il costo opportunità'!$B$68</f>
        <v>2.0418171279018855</v>
      </c>
    </row>
    <row r="77" spans="1:12">
      <c r="A77" s="26">
        <v>3</v>
      </c>
      <c r="B77" s="33">
        <f>B76*'3 - Il costo opportunità'!$B$65^12*(1-'3 - Il costo opportunità'!$B$7)</f>
        <v>1.1526668764614263</v>
      </c>
      <c r="C77" s="33">
        <f>(C76*'3 - Il costo opportunità'!$B$65^12+(1+'1 - Il tuo profilo'!$B$14)^(A77-1)*'3 - Il costo opportunità'!$B$67)*(1-'3 - Il costo opportunità'!$B$7)</f>
        <v>3.3115356141498773</v>
      </c>
      <c r="D77" s="33">
        <f>D76+(1+'1 - Il tuo profilo'!$B$14)^(A77-1)*'3 - Il costo opportunità'!$B$68</f>
        <v>3.0934540288271934</v>
      </c>
    </row>
    <row r="78" spans="1:12">
      <c r="A78" s="26">
        <v>4</v>
      </c>
      <c r="B78" s="33">
        <f>B77*'3 - Il costo opportunità'!$B$65^12*(1-'3 - Il costo opportunità'!$B$7)</f>
        <v>1.2085698367695525</v>
      </c>
      <c r="C78" s="33">
        <f>(C77*'3 - Il costo opportunità'!$B$65^12+(1+'1 - Il tuo profilo'!$B$14)^(A78-1)*'3 - Il costo opportunità'!$B$67)*(1-'3 - Il costo opportunità'!$B$7)</f>
        <v>4.5671828155976995</v>
      </c>
      <c r="D78" s="33">
        <f>D77+(1+'1 - Il tuo profilo'!$B$14)^(A78-1)*'3 - Il costo opportunità'!$B$68</f>
        <v>4.1661236677710072</v>
      </c>
    </row>
    <row r="79" spans="1:12">
      <c r="A79" s="26">
        <v>5</v>
      </c>
      <c r="B79" s="33">
        <f>B78*'3 - Il costo opportunità'!$B$65^12*(1-'3 - Il costo opportunità'!$B$7)</f>
        <v>1.2671840235690706</v>
      </c>
      <c r="C79" s="33">
        <f>(C78*'3 - Il costo opportunità'!$B$65^12+(1+'1 - Il tuo profilo'!$B$14)^(A79-1)*'3 - Il costo opportunità'!$B$67)*(1-'3 - Il costo opportunità'!$B$7)</f>
        <v>5.9056282334991836</v>
      </c>
      <c r="D79" s="33">
        <f>D78+(1+'1 - Il tuo profilo'!$B$14)^(A79-1)*'3 - Il costo opportunità'!$B$68</f>
        <v>5.2602466994936972</v>
      </c>
    </row>
    <row r="80" spans="1:12">
      <c r="A80" s="26">
        <v>6</v>
      </c>
      <c r="B80" s="33">
        <f>B79*'3 - Il costo opportunità'!$B$65^12*(1-'3 - Il costo opportunità'!$B$7)</f>
        <v>1.3286409280913412</v>
      </c>
      <c r="C80" s="33">
        <f>(C79*'3 - Il costo opportunità'!$B$65^12+(1+'1 - Il tuo profilo'!$B$14)^(A80-1)*'3 - Il costo opportunità'!$B$67)*(1-'3 - Il costo opportunità'!$B$7)</f>
        <v>7.3313254986736736</v>
      </c>
      <c r="D80" s="33">
        <f>D79+(1+'1 - Il tuo profilo'!$B$14)^(A80-1)*'3 - Il costo opportunità'!$B$68</f>
        <v>6.376252191850841</v>
      </c>
    </row>
    <row r="81" spans="1:4">
      <c r="A81" s="26">
        <v>7</v>
      </c>
      <c r="B81" s="33">
        <f>B80*'3 - Il costo opportunità'!$B$65^12*(1-'3 - Il costo opportunità'!$B$7)</f>
        <v>1.3930784187346563</v>
      </c>
      <c r="C81" s="33">
        <f>(C80*'3 - Il costo opportunità'!$B$65^12+(1+'1 - Il tuo profilo'!$B$14)^(A81-1)*'3 - Il costo opportunità'!$B$67)*(1-'3 - Il costo opportunità'!$B$7)</f>
        <v>8.8489529980244814</v>
      </c>
      <c r="D81" s="33">
        <f>D80+(1+'1 - Il tuo profilo'!$B$14)^(A81-1)*'3 - Il costo opportunità'!$B$68</f>
        <v>7.5145777940551284</v>
      </c>
    </row>
    <row r="82" spans="1:4">
      <c r="A82" s="26">
        <v>8</v>
      </c>
      <c r="B82" s="33">
        <f>B81*'3 - Il costo opportunità'!$B$65^12*(1-'3 - Il costo opportunità'!$B$7)</f>
        <v>1.4606410503491833</v>
      </c>
      <c r="C82" s="33">
        <f>(C81*'3 - Il costo opportunità'!$B$65^12+(1+'1 - Il tuo profilo'!$B$14)^(A82-1)*'3 - Il costo opportunità'!$B$67)*(1-'3 - Il costo opportunità'!$B$7)</f>
        <v>10.463424950145917</v>
      </c>
      <c r="D82" s="33">
        <f>D81+(1+'1 - Il tuo profilo'!$B$14)^(A82-1)*'3 - Il costo opportunità'!$B$68</f>
        <v>8.6756699083035009</v>
      </c>
    </row>
    <row r="83" spans="1:4">
      <c r="A83" s="26">
        <v>9</v>
      </c>
      <c r="B83" s="33">
        <f>B82*'3 - Il costo opportunità'!$B$65^12*(1-'3 - Il costo opportunità'!$B$7)</f>
        <v>1.5314803885218569</v>
      </c>
      <c r="C83" s="33">
        <f>(C82*'3 - Il costo opportunità'!$B$65^12+(1+'1 - Il tuo profilo'!$B$14)^(A83-1)*'3 - Il costo opportunità'!$B$67)*(1-'3 - Il costo opportunità'!$B$7)</f>
        <v>12.179903021588117</v>
      </c>
      <c r="D83" s="33">
        <f>D82+(1+'1 - Il tuo profilo'!$B$14)^(A83-1)*'3 - Il costo opportunità'!$B$68</f>
        <v>9.8599838648368419</v>
      </c>
    </row>
    <row r="84" spans="1:4">
      <c r="A84" s="26">
        <v>10</v>
      </c>
      <c r="B84" s="33">
        <f>B83*'3 - Il costo opportunità'!$B$65^12*(1-'3 - Il costo opportunità'!$B$7)</f>
        <v>1.6057553495886994</v>
      </c>
      <c r="C84" s="33">
        <f>(C83*'3 - Il costo opportunità'!$B$65^12+(1+'1 - Il tuo profilo'!$B$14)^(A84-1)*'3 - Il costo opportunità'!$B$67)*(1-'3 - Il costo opportunità'!$B$7)</f>
        <v>14.003808510070979</v>
      </c>
      <c r="D84" s="33">
        <f>D83+(1+'1 - Il tuo profilo'!$B$14)^(A84-1)*'3 - Il costo opportunità'!$B$68</f>
        <v>11.067984100500849</v>
      </c>
    </row>
    <row r="85" spans="1:4">
      <c r="A85" s="26">
        <v>11</v>
      </c>
      <c r="B85" s="33">
        <f>B84*'3 - Il costo opportunità'!$B$65^12*(1-'3 - Il costo opportunità'!$B$7)</f>
        <v>1.6836325571373303</v>
      </c>
      <c r="C85" s="33">
        <f>(C84*'3 - Il costo opportunità'!$B$65^12+(1+'1 - Il tuo profilo'!$B$14)^(A85-1)*'3 - Il costo opportunità'!$B$67)*(1-'3 - Il costo opportunità'!$B$7)</f>
        <v>15.940835122215059</v>
      </c>
      <c r="D85" s="33">
        <f>D84+(1+'1 - Il tuo profilo'!$B$14)^(A85-1)*'3 - Il costo opportunità'!$B$68</f>
        <v>12.300144340878136</v>
      </c>
    </row>
    <row r="86" spans="1:4">
      <c r="A86" s="26">
        <v>12</v>
      </c>
      <c r="B86" s="33">
        <f>B85*'3 - Il costo opportunità'!$B$65^12*(1-'3 - Il costo opportunità'!$B$7)</f>
        <v>1.7652867157994205</v>
      </c>
      <c r="C86" s="33">
        <f>(C85*'3 - Il costo opportunità'!$B$65^12+(1+'1 - Il tuo profilo'!$B$14)^(A86-1)*'3 - Il costo opportunità'!$B$67)*(1-'3 - Il costo opportunità'!$B$7)</f>
        <v>17.996962374695709</v>
      </c>
      <c r="D86" s="33">
        <f>D85+(1+'1 - Il tuo profilo'!$B$14)^(A86-1)*'3 - Il costo opportunità'!$B$68</f>
        <v>13.556947786062969</v>
      </c>
    </row>
    <row r="87" spans="1:4">
      <c r="A87" s="26">
        <v>13</v>
      </c>
      <c r="B87" s="33">
        <f>B86*'3 - Il costo opportunità'!$B$65^12*(1-'3 - Il costo opportunità'!$B$7)</f>
        <v>1.8509010031716318</v>
      </c>
      <c r="C87" s="33">
        <f>(C86*'3 - Il costo opportunità'!$B$65^12+(1+'1 - Il tuo profilo'!$B$14)^(A87-1)*'3 - Il costo opportunità'!$B$67)*(1-'3 - Il costo opportunità'!$B$7)</f>
        <v>20.178469649130076</v>
      </c>
      <c r="D87" s="33">
        <f>D86+(1+'1 - Il tuo profilo'!$B$14)^(A87-1)*'3 - Il costo opportunità'!$B$68</f>
        <v>14.838887300151498</v>
      </c>
    </row>
    <row r="88" spans="1:4">
      <c r="A88" s="26">
        <v>14</v>
      </c>
      <c r="B88" s="33">
        <f>B87*'3 - Il costo opportunità'!$B$65^12*(1-'3 - Il costo opportunità'!$B$7)</f>
        <v>1.9406674807442503</v>
      </c>
      <c r="C88" s="33">
        <f>(C87*'3 - Il costo opportunità'!$B$65^12+(1+'1 - Il tuo profilo'!$B$14)^(A88-1)*'3 - Il costo opportunità'!$B$67)*(1-'3 - Il costo opportunità'!$B$7)</f>
        <v>22.491950932478105</v>
      </c>
      <c r="D88" s="33">
        <f>D87+(1+'1 - Il tuo profilo'!$B$14)^(A88-1)*'3 - Il costo opportunità'!$B$68</f>
        <v>16.146465604521797</v>
      </c>
    </row>
    <row r="89" spans="1:4">
      <c r="A89" s="26">
        <v>15</v>
      </c>
      <c r="B89" s="33">
        <f>B88*'3 - Il costo opportunità'!$B$65^12*(1-'3 - Il costo opportunità'!$B$7)</f>
        <v>2.0347875247593681</v>
      </c>
      <c r="C89" s="33">
        <f>(C88*'3 - Il costo opportunità'!$B$65^12+(1+'1 - Il tuo profilo'!$B$14)^(A89-1)*'3 - Il costo opportunità'!$B$67)*(1-'3 - Il costo opportunità'!$B$7)</f>
        <v>24.944330276281544</v>
      </c>
      <c r="D89" s="33">
        <f>D88+(1+'1 - Il tuo profilo'!$B$14)^(A89-1)*'3 - Il costo opportunità'!$B$68</f>
        <v>17.480195474979503</v>
      </c>
    </row>
    <row r="90" spans="1:4">
      <c r="A90" s="26">
        <v>16</v>
      </c>
      <c r="B90" s="33">
        <f>B89*'3 - Il costo opportunità'!$B$65^12*(1-'3 - Il costo opportunità'!$B$7)</f>
        <v>2.1334722779651658</v>
      </c>
      <c r="C90" s="33">
        <f>(C89*'3 - Il costo opportunità'!$B$65^12+(1+'1 - Il tuo profilo'!$B$14)^(A90-1)*'3 - Il costo opportunità'!$B$67)*(1-'3 - Il costo opportunità'!$B$7)</f>
        <v>27.542878009682624</v>
      </c>
      <c r="D90" s="33">
        <f>D89+(1+'1 - Il tuo profilo'!$B$14)^(A90-1)*'3 - Il costo opportunità'!$B$68</f>
        <v>18.840599942846364</v>
      </c>
    </row>
    <row r="91" spans="1:4">
      <c r="A91" s="26">
        <v>17</v>
      </c>
      <c r="B91" s="33">
        <f>B90*'3 - Il costo opportunità'!$B$65^12*(1-'3 - Il costo opportunità'!$B$7)</f>
        <v>2.2369431232797408</v>
      </c>
      <c r="C91" s="33">
        <f>(C90*'3 - Il costo opportunità'!$B$65^12+(1+'1 - Il tuo profilo'!$B$14)^(A91-1)*'3 - Il costo opportunità'!$B$67)*(1-'3 - Il costo opportunità'!$B$7)</f>
        <v>30.295227742860334</v>
      </c>
      <c r="D91" s="33">
        <f>D90+(1+'1 - Il tuo profilo'!$B$14)^(A91-1)*'3 - Il costo opportunità'!$B$68</f>
        <v>20.228212500070562</v>
      </c>
    </row>
    <row r="92" spans="1:4">
      <c r="A92" s="26">
        <v>18</v>
      </c>
      <c r="B92" s="33">
        <f>B91*'3 - Il costo opportunità'!$B$65^12*(1-'3 - Il costo opportunità'!$B$7)</f>
        <v>2.3454321804270584</v>
      </c>
      <c r="C92" s="33">
        <f>(C91*'3 - Il costo opportunità'!$B$65^12+(1+'1 - Il tuo profilo'!$B$14)^(A92-1)*'3 - Il costo opportunità'!$B$67)*(1-'3 - Il costo opportunità'!$B$7)</f>
        <v>33.209394199300711</v>
      </c>
      <c r="D92" s="33">
        <f>D91+(1+'1 - Il tuo profilo'!$B$14)^(A92-1)*'3 - Il costo opportunità'!$B$68</f>
        <v>21.643577308439244</v>
      </c>
    </row>
    <row r="93" spans="1:4">
      <c r="A93" s="26">
        <v>19</v>
      </c>
      <c r="B93" s="33">
        <f>B92*'3 - Il costo opportunità'!$B$65^12*(1-'3 - Il costo opportunità'!$B$7)</f>
        <v>2.459182826659152</v>
      </c>
      <c r="C93" s="33">
        <f>(C92*'3 - Il costo opportunità'!$B$65^12+(1+'1 - Il tuo profilo'!$B$14)^(A93-1)*'3 - Il costo opportunità'!$B$67)*(1-'3 - Il costo opportunità'!$B$7)</f>
        <v>36.293791917182396</v>
      </c>
      <c r="D93" s="33">
        <f>D92+(1+'1 - Il tuo profilo'!$B$14)^(A93-1)*'3 - Il costo opportunità'!$B$68</f>
        <v>23.0872494129753</v>
      </c>
    </row>
    <row r="94" spans="1:4">
      <c r="A94" s="26">
        <v>20</v>
      </c>
      <c r="B94" s="33">
        <f>B93*'3 - Il costo opportunità'!$B$65^12*(1-'3 - Il costo opportunità'!$B$7)</f>
        <v>2.5784502427327265</v>
      </c>
      <c r="C94" s="33">
        <f>(C93*'3 - Il costo opportunità'!$B$65^12+(1+'1 - Il tuo profilo'!$B$14)^(A94-1)*'3 - Il costo opportunità'!$B$67)*(1-'3 - Il costo opportunità'!$B$7)</f>
        <v>39.557254862113851</v>
      </c>
      <c r="D94" s="33">
        <f>D93+(1+'1 - Il tuo profilo'!$B$14)^(A94-1)*'3 - Il costo opportunità'!$B$68</f>
        <v>24.559794959602076</v>
      </c>
    </row>
    <row r="95" spans="1:4">
      <c r="A95" s="26">
        <v>21</v>
      </c>
      <c r="B95" s="33">
        <f>B94*'3 - Il costo opportunità'!$B$65^12*(1-'3 - Il costo opportunità'!$B$7)</f>
        <v>2.7035019853649702</v>
      </c>
      <c r="C95" s="33">
        <f>(C94*'3 - Il costo opportunità'!$B$65^12+(1+'1 - Il tuo profilo'!$B$14)^(A95-1)*'3 - Il costo opportunità'!$B$67)*(1-'3 - Il costo opportunità'!$B$7)</f>
        <v>43.009056995508914</v>
      </c>
      <c r="D95" s="33">
        <f>D94+(1+'1 - Il tuo profilo'!$B$14)^(A95-1)*'3 - Il costo opportunità'!$B$68</f>
        <v>26.061791417161388</v>
      </c>
    </row>
    <row r="96" spans="1:4">
      <c r="A96" s="26">
        <v>22</v>
      </c>
      <c r="B96" s="33">
        <f>B95*'3 - Il costo opportunità'!$B$65^12*(1-'3 - Il costo opportunità'!$B$7)</f>
        <v>2.8346185874527863</v>
      </c>
      <c r="C96" s="33">
        <f>(C95*'3 - Il costo opportunità'!$B$65^12+(1+'1 - Il tuo profilo'!$B$14)^(A96-1)*'3 - Il costo opportunità'!$B$67)*(1-'3 - Il costo opportunità'!$B$7)</f>
        <v>46.658933845036849</v>
      </c>
      <c r="D96" s="33">
        <f>D95+(1+'1 - Il tuo profilo'!$B$14)^(A96-1)*'3 - Il costo opportunità'!$B$68</f>
        <v>27.593827803871886</v>
      </c>
    </row>
    <row r="97" spans="1:4">
      <c r="A97" s="26">
        <v>23</v>
      </c>
      <c r="B97" s="33">
        <f>B96*'3 - Il costo opportunità'!$B$65^12*(1-'3 - Il costo opportunità'!$B$7)</f>
        <v>2.9720941874019386</v>
      </c>
      <c r="C97" s="33">
        <f>(C96*'3 - Il costo opportunità'!$B$65^12+(1+'1 - Il tuo profilo'!$B$14)^(A97-1)*'3 - Il costo opportunità'!$B$67)*(1-'3 - Il costo opportunità'!$B$7)</f>
        <v>50.517105125836942</v>
      </c>
      <c r="D97" s="33">
        <f>D96+(1+'1 - Il tuo profilo'!$B$14)^(A97-1)*'3 - Il costo opportunità'!$B$68</f>
        <v>29.156504918316593</v>
      </c>
    </row>
    <row r="98" spans="1:4">
      <c r="A98" s="26">
        <v>24</v>
      </c>
      <c r="B98" s="33">
        <f>B97*'3 - Il costo opportunità'!$B$65^12*(1-'3 - Il costo opportunità'!$B$7)</f>
        <v>3.1162371889779052</v>
      </c>
      <c r="C98" s="33">
        <f>(C97*'3 - Il costo opportunità'!$B$65^12+(1+'1 - Il tuo profilo'!$B$14)^(A98-1)*'3 - Il costo opportunità'!$B$67)*(1-'3 - Il costo opportunità'!$B$7)</f>
        <v>54.594298463551034</v>
      </c>
      <c r="D98" s="33">
        <f>D97+(1+'1 - Il tuo profilo'!$B$14)^(A98-1)*'3 - Il costo opportunità'!$B$68</f>
        <v>30.750435575050194</v>
      </c>
    </row>
    <row r="99" spans="1:4">
      <c r="A99" s="26">
        <v>25</v>
      </c>
      <c r="B99" s="33">
        <f>B98*'3 - Il costo opportunità'!$B$65^12*(1-'3 - Il costo opportunità'!$B$7)</f>
        <v>3.2673709531587041</v>
      </c>
      <c r="C99" s="33">
        <f>(C98*'3 - Il costo opportunità'!$B$65^12+(1+'1 - Il tuo profilo'!$B$14)^(A99-1)*'3 - Il costo opportunità'!$B$67)*(1-'3 - Il costo opportunità'!$B$7)</f>
        <v>58.901774272704998</v>
      </c>
      <c r="D99" s="33">
        <f>D98+(1+'1 - Il tuo profilo'!$B$14)^(A99-1)*'3 - Il costo opportunità'!$B$68</f>
        <v>32.376244844918467</v>
      </c>
    </row>
    <row r="100" spans="1:4">
      <c r="A100" s="26">
        <v>26</v>
      </c>
      <c r="B100" s="33">
        <f>B99*'3 - Il costo opportunità'!$B$65^12*(1-'3 - Il costo opportunità'!$B$7)</f>
        <v>3.4258345235417544</v>
      </c>
      <c r="C100" s="33">
        <f>(C99*'3 - Il costo opportunità'!$B$65^12+(1+'1 - Il tuo profilo'!$B$14)^(A100-1)*'3 - Il costo opportunità'!$B$67)*(1-'3 - Il costo opportunità'!$B$7)</f>
        <v>63.451351846568549</v>
      </c>
      <c r="D100" s="33">
        <f>D99+(1+'1 - Il tuo profilo'!$B$14)^(A100-1)*'3 - Il costo opportunità'!$B$68</f>
        <v>34.034570300184107</v>
      </c>
    </row>
    <row r="101" spans="1:4">
      <c r="A101" s="26">
        <v>27</v>
      </c>
      <c r="B101" s="33">
        <f>B100*'3 - Il costo opportunità'!$B$65^12*(1-'3 - Il costo opportunità'!$B$7)</f>
        <v>3.5919833869320978</v>
      </c>
      <c r="C101" s="33">
        <f>(C100*'3 - Il costo opportunità'!$B$65^12+(1+'1 - Il tuo profilo'!$B$14)^(A101-1)*'3 - Il costo opportunità'!$B$67)*(1-'3 - Il costo opportunità'!$B$7)</f>
        <v>68.255436717346711</v>
      </c>
      <c r="D101" s="33">
        <f>D100+(1+'1 - Il tuo profilo'!$B$14)^(A101-1)*'3 - Il costo opportunità'!$B$68</f>
        <v>35.726062264555061</v>
      </c>
    </row>
    <row r="102" spans="1:4">
      <c r="A102" s="26">
        <v>28</v>
      </c>
      <c r="B102" s="33">
        <f>B101*'3 - Il costo opportunità'!$B$65^12*(1-'3 - Il costo opportunità'!$B$7)</f>
        <v>3.7661902708182367</v>
      </c>
      <c r="C102" s="33">
        <f>(C101*'3 - Il costo opportunità'!$B$65^12+(1+'1 - Il tuo profilo'!$B$14)^(A102-1)*'3 - Il costo opportunità'!$B$67)*(1-'3 - Il costo opportunità'!$B$7)</f>
        <v>73.327049348412615</v>
      </c>
      <c r="D102" s="33">
        <f>D101+(1+'1 - Il tuo profilo'!$B$14)^(A102-1)*'3 - Il costo opportunità'!$B$68</f>
        <v>37.451384068213429</v>
      </c>
    </row>
    <row r="103" spans="1:4">
      <c r="A103" s="26">
        <v>29</v>
      </c>
      <c r="B103" s="33">
        <f>B102*'3 - Il costo opportunità'!$B$65^12*(1-'3 - Il costo opportunità'!$B$7)</f>
        <v>3.9488459795245925</v>
      </c>
      <c r="C103" s="33">
        <f>(C102*'3 - Il costo opportunità'!$B$65^12+(1+'1 - Il tuo profilo'!$B$14)^(A103-1)*'3 - Il costo opportunità'!$B$67)*(1-'3 - Il costo opportunità'!$B$7)</f>
        <v>78.679855223286026</v>
      </c>
      <c r="D103" s="33">
        <f>D102+(1+'1 - Il tuo profilo'!$B$14)^(A103-1)*'3 - Il costo opportunità'!$B$68</f>
        <v>39.211212307944969</v>
      </c>
    </row>
    <row r="104" spans="1:4">
      <c r="A104" s="26">
        <v>30</v>
      </c>
      <c r="B104" s="33">
        <f>B103*'3 - Il costo opportunità'!$B$65^12*(1-'3 - Il costo opportunità'!$B$7)</f>
        <v>4.1403602709163563</v>
      </c>
      <c r="C104" s="33">
        <f>(C103*'3 - Il costo opportunità'!$B$65^12+(1+'1 - Il tuo profilo'!$B$14)^(A104-1)*'3 - Il costo opportunità'!$B$67)*(1-'3 - Il costo opportunità'!$B$7)</f>
        <v>84.328196399202426</v>
      </c>
      <c r="D104" s="33">
        <f>D103+(1+'1 - Il tuo profilo'!$B$14)^(A104-1)*'3 - Il costo opportunità'!$B$68</f>
        <v>41.00623711247114</v>
      </c>
    </row>
    <row r="105" spans="1:4">
      <c r="A105" s="26">
        <v>31</v>
      </c>
      <c r="B105" s="33">
        <f>B104*'3 - Il costo opportunità'!$B$65^12*(1-'3 - Il costo opportunità'!$B$7)</f>
        <v>4.341162775623471</v>
      </c>
      <c r="C105" s="33">
        <f>(C104*'3 - Il costo opportunità'!$B$65^12+(1+'1 - Il tuo profilo'!$B$14)^(A105-1)*'3 - Il costo opportunità'!$B$67)*(1-'3 - Il costo opportunità'!$B$7)</f>
        <v>90.287124596409626</v>
      </c>
      <c r="D105" s="33">
        <f>D104+(1+'1 - Il tuo profilo'!$B$14)^(A105-1)*'3 - Il costo opportunità'!$B$68</f>
        <v>42.837162413087832</v>
      </c>
    </row>
    <row r="106" spans="1:4">
      <c r="A106" s="26">
        <v>32</v>
      </c>
      <c r="B106" s="33">
        <f>B105*'3 - Il costo opportunità'!$B$65^12*(1-'3 - Il costo opportunità'!$B$7)</f>
        <v>4.5517039608458747</v>
      </c>
      <c r="C106" s="33">
        <f>(C105*'3 - Il costo opportunità'!$B$65^12+(1+'1 - Il tuo profilo'!$B$14)^(A106-1)*'3 - Il costo opportunità'!$B$67)*(1-'3 - Il costo opportunità'!$B$7)</f>
        <v>96.572435897781162</v>
      </c>
      <c r="D106" s="33">
        <f>D105+(1+'1 - Il tuo profilo'!$B$14)^(A106-1)*'3 - Il costo opportunità'!$B$68</f>
        <v>44.704706219716854</v>
      </c>
    </row>
    <row r="107" spans="1:4">
      <c r="A107" s="26">
        <v>33</v>
      </c>
      <c r="B107" s="33">
        <f>B106*'3 - Il costo opportunità'!$B$65^12*(1-'3 - Il costo opportunità'!$B$7)</f>
        <v>4.7724561409021424</v>
      </c>
      <c r="C107" s="33">
        <f>(C106*'3 - Il costo opportunità'!$B$65^12+(1+'1 - Il tuo profilo'!$B$14)^(A107-1)*'3 - Il costo opportunità'!$B$67)*(1-'3 - Il costo opportunità'!$B$7)</f>
        <v>103.20070713695556</v>
      </c>
      <c r="D107" s="33">
        <f>D106+(1+'1 - Il tuo profilo'!$B$14)^(A107-1)*'3 - Il costo opportunità'!$B$68</f>
        <v>46.609600902478462</v>
      </c>
    </row>
    <row r="108" spans="1:4">
      <c r="A108" s="26">
        <v>34</v>
      </c>
      <c r="B108" s="33">
        <f>B107*'3 - Il costo opportunità'!$B$65^12*(1-'3 - Il costo opportunità'!$B$7)</f>
        <v>5.0039145367885229</v>
      </c>
      <c r="C108" s="33">
        <f>(C107*'3 - Il costo opportunità'!$B$65^12+(1+'1 - Il tuo profilo'!$B$14)^(A108-1)*'3 - Il costo opportunità'!$B$67)*(1-'3 - Il costo opportunità'!$B$7)</f>
        <v>110.18933405700552</v>
      </c>
      <c r="D108" s="33">
        <f>D107+(1+'1 - Il tuo profilo'!$B$14)^(A108-1)*'3 - Il costo opportunità'!$B$68</f>
        <v>48.552593478895304</v>
      </c>
    </row>
    <row r="109" spans="1:4">
      <c r="A109" s="26">
        <v>35</v>
      </c>
      <c r="B109" s="33">
        <f>B108*'3 - Il costo opportunità'!$B$65^12*(1-'3 - Il costo opportunità'!$B$7)</f>
        <v>5.2465983871253181</v>
      </c>
      <c r="C109" s="33">
        <f>(C108*'3 - Il costo opportunità'!$B$65^12+(1+'1 - Il tuo profilo'!$B$14)^(A109-1)*'3 - Il costo opportunità'!$B$67)*(1-'3 - Il costo opportunità'!$B$7)</f>
        <v>117.55657132562074</v>
      </c>
      <c r="D109" s="33">
        <f>D108+(1+'1 - Il tuo profilo'!$B$14)^(A109-1)*'3 - Il costo opportunità'!$B$68</f>
        <v>50.534445906840482</v>
      </c>
    </row>
    <row r="110" spans="1:4">
      <c r="A110" s="26">
        <v>36</v>
      </c>
      <c r="B110" s="33">
        <f>B109*'3 - Il costo opportunità'!$B$65^12*(1-'3 - Il costo opportunità'!$B$7)</f>
        <v>5.5010521129828271</v>
      </c>
      <c r="C110" s="33">
        <f>(C109*'3 - Il costo opportunità'!$B$65^12+(1+'1 - Il tuo profilo'!$B$14)^(A110-1)*'3 - Il costo opportunità'!$B$67)*(1-'3 - Il costo opportunità'!$B$7)</f>
        <v>125.32157449696008</v>
      </c>
      <c r="D110" s="33">
        <f>D109+(1+'1 - Il tuo profilo'!$B$14)^(A110-1)*'3 - Il costo opportunità'!$B$68</f>
        <v>52.555935383344561</v>
      </c>
    </row>
    <row r="111" spans="1:4">
      <c r="A111" s="26">
        <v>37</v>
      </c>
      <c r="B111" s="33">
        <f>B110*'3 - Il costo opportunità'!$B$65^12*(1-'3 - Il costo opportunità'!$B$7)</f>
        <v>5.7678465391999536</v>
      </c>
      <c r="C111" s="33">
        <f>(C110*'3 - Il costo opportunità'!$B$65^12+(1+'1 - Il tuo profilo'!$B$14)^(A111-1)*'3 - Il costo opportunità'!$B$67)*(1-'3 - Il costo opportunità'!$B$7)</f>
        <v>133.50444401470421</v>
      </c>
      <c r="D111" s="33">
        <f>D110+(1+'1 - Il tuo profilo'!$B$14)^(A111-1)*'3 - Il costo opportunità'!$B$68</f>
        <v>54.617854649378721</v>
      </c>
    </row>
    <row r="112" spans="1:4">
      <c r="A112" s="26">
        <v>38</v>
      </c>
      <c r="B112" s="33">
        <f>B111*'3 - Il costo opportunità'!$B$65^12*(1-'3 - Il costo opportunità'!$B$7)</f>
        <v>6.0475801749352991</v>
      </c>
      <c r="C112" s="33">
        <f>(C111*'3 - Il costo opportunità'!$B$65^12+(1+'1 - Il tuo profilo'!$B$14)^(A112-1)*'3 - Il costo opportunità'!$B$67)*(1-'3 - Il costo opportunità'!$B$7)</f>
        <v>142.12627135542613</v>
      </c>
      <c r="D112" s="33">
        <f>D111+(1+'1 - Il tuo profilo'!$B$14)^(A112-1)*'3 - Il costo opportunità'!$B$68</f>
        <v>56.721012300733562</v>
      </c>
    </row>
    <row r="113" spans="1:4">
      <c r="A113" s="26">
        <v>39</v>
      </c>
      <c r="B113" s="33">
        <f>B112*'3 - Il costo opportunità'!$B$65^12*(1-'3 - Il costo opportunità'!$B$7)</f>
        <v>6.3408805563234454</v>
      </c>
      <c r="C113" s="33">
        <f>(C112*'3 - Il costo opportunità'!$B$65^12+(1+'1 - Il tuo profilo'!$B$14)^(A113-1)*'3 - Il costo opportunità'!$B$67)*(1-'3 - Il costo opportunità'!$B$7)</f>
        <v>151.20918741620707</v>
      </c>
      <c r="D113" s="33">
        <f>D112+(1+'1 - Il tuo profilo'!$B$14)^(A113-1)*'3 - Il costo opportunità'!$B$68</f>
        <v>58.866233105115505</v>
      </c>
    </row>
    <row r="114" spans="1:4">
      <c r="A114" s="26">
        <v>40</v>
      </c>
      <c r="B114" s="33">
        <f>B113*'3 - Il costo opportunità'!$B$65^12*(1-'3 - Il costo opportunità'!$B$7)</f>
        <v>6.6484056542484593</v>
      </c>
      <c r="C114" s="33">
        <f>(C113*'3 - Il costo opportunità'!$B$65^12+(1+'1 - Il tuo profilo'!$B$14)^(A114-1)*'3 - Il costo opportunità'!$B$67)*(1-'3 - Il costo opportunità'!$B$7)</f>
        <v>160.77641325546799</v>
      </c>
      <c r="D114" s="33">
        <f>D113+(1+'1 - Il tuo profilo'!$B$14)^(A114-1)*'3 - Il costo opportunità'!$B$68</f>
        <v>61.054358325585085</v>
      </c>
    </row>
    <row r="115" spans="1:4">
      <c r="A115" s="26">
        <v>41</v>
      </c>
      <c r="B115" s="33">
        <f>B114*'3 - Il costo opportunità'!$B$65^12*(1-'3 - Il costo opportunità'!$B$7)</f>
        <v>6.9708453503927181</v>
      </c>
      <c r="C115" s="33">
        <f>(C114*'3 - Il costo opportunità'!$B$65^12+(1+'1 - Il tuo profilo'!$B$14)^(A115-1)*'3 - Il costo opportunità'!$B$67)*(1-'3 - Il costo opportunità'!$B$7)</f>
        <v>170.85231330127405</v>
      </c>
      <c r="D115" s="33">
        <f>D114+(1+'1 - Il tuo profilo'!$B$14)^(A115-1)*'3 - Il costo opportunità'!$B$68</f>
        <v>63.286246050464058</v>
      </c>
    </row>
    <row r="116" spans="1:4">
      <c r="A116" s="26">
        <v>42</v>
      </c>
      <c r="B116" s="33">
        <f>B115*'3 - Il costo opportunità'!$B$65^12*(1-'3 - Il costo opportunità'!$B$7)</f>
        <v>7.3089229848723383</v>
      </c>
      <c r="C116" s="33">
        <f>(C115*'3 - Il costo opportunità'!$B$65^12+(1+'1 - Il tuo profilo'!$B$14)^(A116-1)*'3 - Il costo opportunità'!$B$67)*(1-'3 - Il costo opportunità'!$B$7)</f>
        <v>181.46245114691391</v>
      </c>
      <c r="D116" s="33">
        <f>D115+(1+'1 - Il tuo profilo'!$B$14)^(A116-1)*'3 - Il costo opportunità'!$B$68</f>
        <v>65.562771529840603</v>
      </c>
    </row>
    <row r="117" spans="1:4">
      <c r="A117" s="26">
        <v>43</v>
      </c>
      <c r="B117" s="33">
        <f>B116*'3 - Il costo opportunità'!$B$65^12*(1-'3 - Il costo opportunità'!$B$7)</f>
        <v>7.6633969789310585</v>
      </c>
      <c r="C117" s="33">
        <f>(C116*'3 - Il costo opportunità'!$B$65^12+(1+'1 - Il tuo profilo'!$B$14)^(A117-1)*'3 - Il costo opportunità'!$B$67)*(1-'3 - Il costo opportunità'!$B$7)</f>
        <v>192.63364805936794</v>
      </c>
      <c r="D117" s="33">
        <f>D116+(1+'1 - Il tuo profilo'!$B$14)^(A117-1)*'3 - Il costo opportunità'!$B$68</f>
        <v>67.884827518804684</v>
      </c>
    </row>
    <row r="118" spans="1:4">
      <c r="A118" s="26">
        <v>44</v>
      </c>
      <c r="B118" s="33">
        <f>B117*'3 - Il costo opportunità'!$B$65^12*(1-'3 - Il costo opportunità'!$B$7)</f>
        <v>8.0350625363328341</v>
      </c>
      <c r="C118" s="33">
        <f>(C117*'3 - Il costo opportunità'!$B$65^12+(1+'1 - Il tuo profilo'!$B$14)^(A118-1)*'3 - Il costo opportunità'!$B$67)*(1-'3 - Il costo opportunità'!$B$7)</f>
        <v>204.39404433237507</v>
      </c>
      <c r="D118" s="33">
        <f>D117+(1+'1 - Il tuo profilo'!$B$14)^(A118-1)*'3 - Il costo opportunità'!$B$68</f>
        <v>70.253324627548054</v>
      </c>
    </row>
    <row r="119" spans="1:4">
      <c r="A119" s="26">
        <v>45</v>
      </c>
      <c r="B119" s="33">
        <f>B118*'3 - Il costo opportunità'!$B$65^12*(1-'3 - Il costo opportunità'!$B$7)</f>
        <v>8.4247534272699252</v>
      </c>
      <c r="C119" s="33">
        <f>(C118*'3 - Il costo opportunità'!$B$65^12+(1+'1 - Il tuo profilo'!$B$14)^(A119-1)*'3 - Il costo opportunità'!$B$67)*(1-'3 - Il costo opportunità'!$B$7)</f>
        <v>216.77316362219761</v>
      </c>
      <c r="D119" s="33">
        <f>D118+(1+'1 - Il tuo profilo'!$B$14)^(A119-1)*'3 - Il costo opportunità'!$B$68</f>
        <v>72.669191678466291</v>
      </c>
    </row>
    <row r="120" spans="1:4">
      <c r="A120" s="26">
        <v>46</v>
      </c>
      <c r="B120" s="33">
        <f>B119*'3 - Il costo opportunità'!$B$65^12*(1-'3 - Il costo opportunità'!$B$7)</f>
        <v>8.8333438587883961</v>
      </c>
      <c r="C120" s="33">
        <f>(C119*'3 - Il costo opportunità'!$B$65^12+(1+'1 - Il tuo profilo'!$B$14)^(A120-1)*'3 - Il costo opportunità'!$B$67)*(1-'3 - Il costo opportunità'!$B$7)</f>
        <v>229.80198041088451</v>
      </c>
      <c r="D120" s="33">
        <f>D119+(1+'1 - Il tuo profilo'!$B$14)^(A120-1)*'3 - Il costo opportunità'!$B$68</f>
        <v>75.133376070402889</v>
      </c>
    </row>
    <row r="121" spans="1:4">
      <c r="A121" s="26">
        <v>47</v>
      </c>
      <c r="B121" s="33">
        <f>B120*'3 - Il costo opportunità'!$B$65^12*(1-'3 - Il costo opportunità'!$B$7)</f>
        <v>9.2617504359269951</v>
      </c>
      <c r="C121" s="33">
        <f>(C120*'3 - Il costo opportunità'!$B$65^12+(1+'1 - Il tuo profilo'!$B$14)^(A121-1)*'3 - Il costo opportunità'!$B$67)*(1-'3 - Il costo opportunità'!$B$7)</f>
        <v>243.5129907488587</v>
      </c>
      <c r="D121" s="33">
        <f>D120+(1+'1 - Il tuo profilo'!$B$14)^(A121-1)*'3 - Il costo opportunità'!$B$68</f>
        <v>77.646844150178211</v>
      </c>
    </row>
    <row r="122" spans="1:4">
      <c r="A122" s="26">
        <v>48</v>
      </c>
      <c r="B122" s="33">
        <f>B121*'3 - Il costo opportunità'!$B$65^12*(1-'3 - Il costo opportunità'!$B$7)</f>
        <v>9.7109342179689229</v>
      </c>
      <c r="C122" s="33">
        <f>(C121*'3 - Il costo opportunità'!$B$65^12+(1+'1 - Il tuo profilo'!$B$14)^(A122-1)*'3 - Il costo opportunità'!$B$67)*(1-'3 - Il costo opportunità'!$B$7)</f>
        <v>257.9402864360207</v>
      </c>
      <c r="D122" s="33">
        <f>D121+(1+'1 - Il tuo profilo'!$B$14)^(A122-1)*'3 - Il costo opportunità'!$B$68</f>
        <v>80.210581591549044</v>
      </c>
    </row>
    <row r="123" spans="1:4">
      <c r="A123" s="26">
        <v>49</v>
      </c>
      <c r="B123" s="33">
        <f>B122*'3 - Il costo opportunità'!$B$65^12*(1-'3 - Il costo opportunità'!$B$7)</f>
        <v>10.181902874419345</v>
      </c>
      <c r="C123" s="33">
        <f>(C122*'3 - Il costo opportunità'!$B$65^12+(1+'1 - Il tuo profilo'!$B$14)^(A123-1)*'3 - Il costo opportunità'!$B$67)*(1-'3 - Il costo opportunità'!$B$7)</f>
        <v>273.11963280828388</v>
      </c>
      <c r="D123" s="33">
        <f>D122+(1+'1 - Il tuo profilo'!$B$14)^(A123-1)*'3 - Il costo opportunità'!$B$68</f>
        <v>82.825593781747301</v>
      </c>
    </row>
    <row r="124" spans="1:4">
      <c r="A124" s="26">
        <v>50</v>
      </c>
      <c r="B124" s="33">
        <f>B123*'3 - Il costo opportunità'!$B$65^12*(1-'3 - Il costo opportunità'!$B$7)</f>
        <v>10.675712945545223</v>
      </c>
      <c r="C124" s="33">
        <f>(C123*'3 - Il costo opportunità'!$B$65^12+(1+'1 - Il tuo profilo'!$B$14)^(A124-1)*'3 - Il costo opportunità'!$B$67)*(1-'3 - Il costo opportunità'!$B$7)</f>
        <v>289.08855030455533</v>
      </c>
      <c r="D124" s="33">
        <f>D123+(1+'1 - Il tuo profilo'!$B$14)^(A124-1)*'3 - Il costo opportunità'!$B$68</f>
        <v>85.492906215749514</v>
      </c>
    </row>
    <row r="125" spans="1:4">
      <c r="A125" s="26">
        <v>51</v>
      </c>
      <c r="B125" s="33">
        <f>B124*'3 - Il costo opportunità'!$B$65^12*(1-'3 - Il costo opportunità'!$B$7)</f>
        <v>11.193472212548622</v>
      </c>
      <c r="C125" s="33">
        <f>(C124*'3 - Il costo opportunità'!$B$65^12+(1+'1 - Il tuo profilo'!$B$14)^(A125-1)*'3 - Il costo opportunità'!$B$67)*(1-'3 - Il costo opportunità'!$B$7)</f>
        <v>305.88639999766747</v>
      </c>
      <c r="D125" s="33">
        <f>D124+(1+'1 - Il tuo profilo'!$B$14)^(A125-1)*'3 - Il costo opportunità'!$B$68</f>
        <v>88.21356489843177</v>
      </c>
    </row>
    <row r="126" spans="1:4">
      <c r="A126" s="26">
        <v>52</v>
      </c>
      <c r="B126" s="33">
        <f>B125*'3 - Il costo opportunità'!$B$65^12*(1-'3 - Il costo opportunità'!$B$7)</f>
        <v>11.736342182690564</v>
      </c>
      <c r="C126" s="33">
        <f>(C125*'3 - Il costo opportunità'!$B$65^12+(1+'1 - Il tuo profilo'!$B$14)^(A126-1)*'3 - Il costo opportunità'!$B$67)*(1-'3 - Il costo opportunità'!$B$7)</f>
        <v>323.55447328166798</v>
      </c>
      <c r="D126" s="33">
        <f>D125+(1+'1 - Il tuo profilo'!$B$14)^(A126-1)*'3 - Il costo opportunità'!$B$68</f>
        <v>90.988636754767668</v>
      </c>
    </row>
    <row r="127" spans="1:4">
      <c r="A127" s="26">
        <v>53</v>
      </c>
      <c r="B127" s="33">
        <f>B126*'3 - Il costo opportunità'!$B$65^12*(1-'3 - Il costo opportunità'!$B$7)</f>
        <v>12.305540694940426</v>
      </c>
      <c r="C127" s="33">
        <f>(C126*'3 - Il costo opportunità'!$B$65^12+(1+'1 - Il tuo profilo'!$B$14)^(A127-1)*'3 - Il costo opportunità'!$B$67)*(1-'3 - Il costo opportunità'!$B$7)</f>
        <v>342.13608591721044</v>
      </c>
      <c r="D127" s="33">
        <f>D126+(1+'1 - Il tuo profilo'!$B$14)^(A127-1)*'3 - Il costo opportunità'!$B$68</f>
        <v>93.819210048230289</v>
      </c>
    </row>
    <row r="128" spans="1:4">
      <c r="A128" s="26">
        <v>54</v>
      </c>
      <c r="B128" s="33">
        <f>B127*'3 - Il costo opportunità'!$B$65^12*(1-'3 - Il costo opportunità'!$B$7)</f>
        <v>12.902344651996192</v>
      </c>
      <c r="C128" s="33">
        <f>(C127*'3 - Il costo opportunità'!$B$65^12+(1+'1 - Il tuo profilo'!$B$14)^(A128-1)*'3 - Il costo opportunità'!$B$67)*(1-'3 - Il costo opportunità'!$B$7)</f>
        <v>361.67667664657654</v>
      </c>
      <c r="D128" s="33">
        <f>D127+(1+'1 - Il tuo profilo'!$B$14)^(A128-1)*'3 - Il costo opportunità'!$B$68</f>
        <v>96.706394807562162</v>
      </c>
    </row>
    <row r="129" spans="1:4">
      <c r="A129" s="26">
        <v>55</v>
      </c>
      <c r="B129" s="33">
        <f>B128*'3 - Il costo opportunità'!$B$65^12*(1-'3 - Il costo opportunità'!$B$7)</f>
        <v>13.528092884804412</v>
      </c>
      <c r="C129" s="33">
        <f>(C128*'3 - Il costo opportunità'!$B$65^12+(1+'1 - Il tuo profilo'!$B$14)^(A129-1)*'3 - Il costo opportunità'!$B$67)*(1-'3 - Il costo opportunità'!$B$7)</f>
        <v>382.22391060012166</v>
      </c>
      <c r="D129" s="33">
        <f>D128+(1+'1 - Il tuo profilo'!$B$14)^(A129-1)*'3 - Il costo opportunità'!$B$68</f>
        <v>99.65132326208068</v>
      </c>
    </row>
    <row r="130" spans="1:4">
      <c r="A130" s="26">
        <v>56</v>
      </c>
      <c r="B130" s="33">
        <f>B129*'3 - Il costo opportunità'!$B$65^12*(1-'3 - Il costo opportunità'!$B$7)</f>
        <v>14.184189156005951</v>
      </c>
      <c r="C130" s="33">
        <f>(C129*'3 - Il costo opportunità'!$B$65^12+(1+'1 - Il tuo profilo'!$B$14)^(A130-1)*'3 - Il costo opportunità'!$B$67)*(1-'3 - Il costo opportunità'!$B$7)</f>
        <v>403.82778772669695</v>
      </c>
      <c r="D130" s="33">
        <f>D129+(1+'1 - Il tuo profilo'!$B$14)^(A130-1)*'3 - Il costo opportunità'!$B$68</f>
        <v>102.65515028568956</v>
      </c>
    </row>
    <row r="131" spans="1:4">
      <c r="A131" s="26">
        <v>57</v>
      </c>
      <c r="B131" s="33">
        <f>B130*'3 - Il costo opportunità'!$B$65^12*(1-'3 - Il costo opportunità'!$B$7)</f>
        <v>14.87210530904524</v>
      </c>
      <c r="C131" s="33">
        <f>(C130*'3 - Il costo opportunità'!$B$65^12+(1+'1 - Il tuo profilo'!$B$14)^(A131-1)*'3 - Il costo opportunità'!$B$67)*(1-'3 - Il costo opportunità'!$B$7)</f>
        <v>426.54075649188184</v>
      </c>
      <c r="D131" s="33">
        <f>D130+(1+'1 - Il tuo profilo'!$B$14)^(A131-1)*'3 - Il costo opportunità'!$B$68</f>
        <v>105.71905384977062</v>
      </c>
    </row>
    <row r="132" spans="1:4">
      <c r="A132" s="26">
        <v>58</v>
      </c>
      <c r="B132" s="33">
        <f>B131*'3 - Il costo opportunità'!$B$65^12*(1-'3 - Il costo opportunità'!$B$7)</f>
        <v>15.593384570007551</v>
      </c>
      <c r="C132" s="33">
        <f>(C131*'3 - Il costo opportunità'!$B$65^12+(1+'1 - Il tuo profilo'!$B$14)^(A132-1)*'3 - Il costo opportunità'!$B$67)*(1-'3 - Il costo opportunità'!$B$7)</f>
        <v>450.41783309969134</v>
      </c>
      <c r="D132" s="33">
        <f>D131+(1+'1 - Il tuo profilo'!$B$14)^(A132-1)*'3 - Il costo opportunità'!$B$68</f>
        <v>108.8442354851333</v>
      </c>
    </row>
    <row r="133" spans="1:4">
      <c r="A133" s="26">
        <v>59</v>
      </c>
      <c r="B133" s="33">
        <f>B132*'3 - Il costo opportunità'!$B$65^12*(1-'3 - Il costo opportunità'!$B$7)</f>
        <v>16.34964500959142</v>
      </c>
      <c r="C133" s="33">
        <f>(C132*'3 - Il costo opportunità'!$B$65^12+(1+'1 - Il tuo profilo'!$B$14)^(A133-1)*'3 - Il costo opportunità'!$B$67)*(1-'3 - Il costo opportunità'!$B$7)</f>
        <v>475.51672650582492</v>
      </c>
      <c r="D133" s="33">
        <f>D132+(1+'1 - Il tuo profilo'!$B$14)^(A133-1)*'3 - Il costo opportunità'!$B$68</f>
        <v>112.03192075320324</v>
      </c>
    </row>
    <row r="134" spans="1:4">
      <c r="A134" s="26">
        <v>60</v>
      </c>
      <c r="B134" s="33">
        <f>B133*'3 - Il costo opportunità'!$B$65^12*(1-'3 - Il costo opportunità'!$B$7)</f>
        <v>17.142583172982576</v>
      </c>
      <c r="C134" s="33">
        <f>(C133*'3 - Il costo opportunità'!$B$65^12+(1+'1 - Il tuo profilo'!$B$14)^(A134-1)*'3 - Il costo opportunità'!$B$67)*(1-'3 - Il costo opportunità'!$B$7)</f>
        <v>501.8979695035278</v>
      </c>
      <c r="D134" s="33">
        <f>D133+(1+'1 - Il tuo profilo'!$B$14)^(A134-1)*'3 - Il costo opportunità'!$B$68</f>
        <v>115.28335972663457</v>
      </c>
    </row>
  </sheetData>
  <mergeCells count="16">
    <mergeCell ref="A1:L1"/>
    <mergeCell ref="A5:L5"/>
    <mergeCell ref="A45:L45"/>
    <mergeCell ref="A69:L69"/>
    <mergeCell ref="C8:H8"/>
    <mergeCell ref="A18:L18"/>
    <mergeCell ref="A3:L3"/>
    <mergeCell ref="C7:H7"/>
    <mergeCell ref="A12:L12"/>
    <mergeCell ref="A62:L62"/>
    <mergeCell ref="A24:L24"/>
    <mergeCell ref="A2:L2"/>
    <mergeCell ref="C6:H6"/>
    <mergeCell ref="A16:L16"/>
    <mergeCell ref="A63:L63"/>
    <mergeCell ref="A47:L47"/>
  </mergeCells>
  <dataValidations count="2">
    <dataValidation type="decimal" errorTitle="Valore non valido" error="Valore fuori dal campo del simulatore (0 - 0.5)" sqref="B8">
      <formula1>0</formula1>
      <formula2>0.5</formula2>
    </dataValidation>
    <dataValidation type="list" errorTitle="Valore non valido" error="Scegli un valore dall'elenco" sqref="B6">
      <formula1>$A$26:$A$44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zoomScale="90" workbookViewId="0"/>
  </sheetViews>
  <sheetFormatPr defaultRowHeight="15"/>
  <cols>
    <col min="1" max="1" width="70" customWidth="1"/>
    <col min="2" max="2" width="16" customWidth="1"/>
  </cols>
  <sheetData>
    <row r="1" spans="1:8" ht="24.95" customHeight="1">
      <c r="A1" s="41" t="s">
        <v>395</v>
      </c>
      <c r="B1" s="40"/>
      <c r="C1" s="40"/>
      <c r="D1" s="40"/>
      <c r="E1" s="40"/>
      <c r="F1" s="40"/>
      <c r="G1" s="40"/>
      <c r="H1" s="40"/>
    </row>
    <row r="2" spans="1:8" ht="32.1" customHeight="1">
      <c r="A2" s="39" t="s">
        <v>1</v>
      </c>
      <c r="B2" s="40"/>
      <c r="C2" s="40"/>
      <c r="D2" s="40"/>
      <c r="E2" s="40"/>
      <c r="F2" s="40"/>
      <c r="G2" s="40"/>
      <c r="H2" s="40"/>
    </row>
    <row r="3" spans="1:8" ht="45" customHeight="1">
      <c r="A3" s="42" t="s">
        <v>396</v>
      </c>
      <c r="B3" s="40"/>
      <c r="C3" s="40"/>
      <c r="D3" s="40"/>
      <c r="E3" s="40"/>
      <c r="F3" s="40"/>
      <c r="G3" s="40"/>
      <c r="H3" s="40"/>
    </row>
    <row r="5" spans="1:8">
      <c r="A5" s="43" t="s">
        <v>397</v>
      </c>
      <c r="B5" s="40"/>
      <c r="C5" s="40"/>
      <c r="D5" s="40"/>
      <c r="E5" s="40"/>
      <c r="F5" s="40"/>
      <c r="G5" s="40"/>
      <c r="H5" s="40"/>
    </row>
    <row r="6" spans="1:8">
      <c r="A6" s="6" t="s">
        <v>398</v>
      </c>
      <c r="B6" s="7">
        <v>3</v>
      </c>
    </row>
    <row r="7" spans="1:8">
      <c r="A7" s="6" t="s">
        <v>399</v>
      </c>
      <c r="B7" s="18">
        <f>'2 - Le opzioni'!$L$528</f>
        <v>415.59700861567666</v>
      </c>
    </row>
    <row r="8" spans="1:8">
      <c r="A8" s="6" t="s">
        <v>400</v>
      </c>
      <c r="B8" s="18">
        <f>'2 - Le opzioni'!$L$471</f>
        <v>415.59700861567666</v>
      </c>
    </row>
    <row r="9" spans="1:8">
      <c r="A9" s="6" t="s">
        <v>401</v>
      </c>
      <c r="B9" s="18">
        <f>'2 - Le opzioni'!$L$490</f>
        <v>397.80006624956718</v>
      </c>
    </row>
    <row r="10" spans="1:8">
      <c r="A10" s="6" t="s">
        <v>402</v>
      </c>
      <c r="B10" s="18">
        <f>'2 - Le opzioni'!$L$509</f>
        <v>382.2792428017446</v>
      </c>
    </row>
    <row r="11" spans="1:8">
      <c r="A11" s="6" t="s">
        <v>403</v>
      </c>
      <c r="B11" s="18">
        <f>'2 - Le opzioni'!$L$129</f>
        <v>339.44036749839563</v>
      </c>
    </row>
    <row r="12" spans="1:8">
      <c r="A12" s="6" t="s">
        <v>404</v>
      </c>
      <c r="B12" s="18">
        <f>'2 - Le opzioni'!$L$148</f>
        <v>305.95502880956047</v>
      </c>
    </row>
    <row r="14" spans="1:8">
      <c r="A14" s="43" t="s">
        <v>405</v>
      </c>
      <c r="B14" s="40"/>
      <c r="C14" s="40"/>
      <c r="D14" s="40"/>
      <c r="E14" s="40"/>
      <c r="F14" s="40"/>
      <c r="G14" s="40"/>
      <c r="H14" s="40"/>
    </row>
    <row r="15" spans="1:8">
      <c r="A15" s="6" t="s">
        <v>373</v>
      </c>
      <c r="B15" s="18">
        <f>'2 - Le opzioni'!$L$300</f>
        <v>533.50586629029601</v>
      </c>
    </row>
    <row r="16" spans="1:8">
      <c r="A16" s="6" t="s">
        <v>375</v>
      </c>
      <c r="B16" s="18">
        <f>'2 - Le opzioni'!$L$319</f>
        <v>481.39775311982294</v>
      </c>
    </row>
    <row r="17" spans="1:8">
      <c r="A17" s="6" t="s">
        <v>406</v>
      </c>
      <c r="B17" s="18">
        <f>'2 - Le opzioni'!$L$547</f>
        <v>415.59700861567666</v>
      </c>
    </row>
    <row r="18" spans="1:8">
      <c r="A18" s="6" t="s">
        <v>407</v>
      </c>
      <c r="B18" s="34">
        <f>'4 - Abitudine o contratto'!$B$15-'4 - Abitudine o contratto'!$B$12</f>
        <v>227.55083748073554</v>
      </c>
    </row>
    <row r="19" spans="1:8">
      <c r="A19" s="6" t="s">
        <v>408</v>
      </c>
      <c r="B19" s="34">
        <f>'4 - Abitudine o contratto'!$B$17-'4 - Abitudine o contratto'!$B$12</f>
        <v>109.64197980611618</v>
      </c>
    </row>
    <row r="20" spans="1:8">
      <c r="A20" s="6" t="s">
        <v>409</v>
      </c>
      <c r="B20" s="34">
        <f>'4 - Abitudine o contratto'!$B$16-'4 - Abitudine o contratto'!$B$17</f>
        <v>65.80074450414628</v>
      </c>
    </row>
    <row r="21" spans="1:8">
      <c r="A21" s="6" t="s">
        <v>410</v>
      </c>
      <c r="B21" s="34">
        <f>'4 - Abitudine o contratto'!$B$15-'4 - Abitudine o contratto'!$B$16</f>
        <v>52.108113170473075</v>
      </c>
    </row>
    <row r="22" spans="1:8">
      <c r="A22" s="6" t="s">
        <v>411</v>
      </c>
      <c r="B22" s="34">
        <f>'4 - Abitudine o contratto'!$B$16-'4 - Abitudine o contratto'!$B$12</f>
        <v>175.44272431026246</v>
      </c>
    </row>
    <row r="23" spans="1:8">
      <c r="A23" s="6" t="s">
        <v>412</v>
      </c>
      <c r="B23" s="21">
        <f>'2 - Le opzioni'!$B$6*IF('2 - Le opzioni'!$B$42&gt;=MAX('2 - Le opzioni'!$B$67:$K$67),0,INDEX('2 - Le opzioni'!$B$68:$K$68,MATCH('2 - Le opzioni'!$B$42,'2 - Le opzioni'!$B$67:$K$67,1))+(INDEX('2 - Le opzioni'!$B$68:$K$68,MATCH('2 - Le opzioni'!$B$42,'2 - Le opzioni'!$B$67:$K$67,1)+1)-INDEX('2 - Le opzioni'!$B$68:$K$68,MATCH('2 - Le opzioni'!$B$42,'2 - Le opzioni'!$B$67:$K$67,1)))*('2 - Le opzioni'!$B$42-INDEX('2 - Le opzioni'!$B$67:$K$67,MATCH('2 - Le opzioni'!$B$42,'2 - Le opzioni'!$B$67:$K$67,1)))/(INDEX('2 - Le opzioni'!$B$67:$K$67,MATCH('2 - Le opzioni'!$B$42,'2 - Le opzioni'!$B$67:$K$67,1)+1)-INDEX('2 - Le opzioni'!$B$67:$K$67,MATCH('2 - Le opzioni'!$B$42,'2 - Le opzioni'!$B$67:$K$67,1))))</f>
        <v>11780</v>
      </c>
    </row>
    <row r="24" spans="1:8">
      <c r="A24" s="6" t="s">
        <v>413</v>
      </c>
      <c r="B24" s="21">
        <f>'4 - Abitudine o contratto'!$B$23-'2 - Le opzioni'!$B$41/(1+'1 - Il tuo profilo'!$B$14)^'2 - Le opzioni'!$B$42</f>
        <v>1932.731603983384</v>
      </c>
    </row>
    <row r="26" spans="1:8">
      <c r="A26" s="43" t="s">
        <v>414</v>
      </c>
      <c r="B26" s="40"/>
      <c r="C26" s="40"/>
      <c r="D26" s="40"/>
      <c r="E26" s="40"/>
      <c r="F26" s="40"/>
      <c r="G26" s="40"/>
      <c r="H26" s="40"/>
    </row>
    <row r="27" spans="1:8">
      <c r="A27" s="6" t="s">
        <v>415</v>
      </c>
      <c r="B27" s="13">
        <v>19000</v>
      </c>
    </row>
    <row r="28" spans="1:8">
      <c r="A28" s="6" t="s">
        <v>416</v>
      </c>
      <c r="B28" s="13">
        <v>4000</v>
      </c>
    </row>
    <row r="29" spans="1:8">
      <c r="A29" s="6" t="s">
        <v>417</v>
      </c>
      <c r="B29" s="25">
        <v>36</v>
      </c>
    </row>
    <row r="30" spans="1:8">
      <c r="A30" s="6" t="s">
        <v>418</v>
      </c>
      <c r="B30" s="17">
        <v>0.55000000000000004</v>
      </c>
    </row>
    <row r="31" spans="1:8">
      <c r="A31" s="6" t="s">
        <v>419</v>
      </c>
      <c r="B31" s="11">
        <v>5.9900000000000002E-2</v>
      </c>
    </row>
    <row r="32" spans="1:8">
      <c r="A32" s="6" t="s">
        <v>171</v>
      </c>
      <c r="B32" s="13">
        <v>300</v>
      </c>
    </row>
    <row r="33" spans="1:8">
      <c r="A33" s="6" t="s">
        <v>420</v>
      </c>
      <c r="B33" s="12">
        <v>9</v>
      </c>
    </row>
    <row r="34" spans="1:8">
      <c r="A34" s="6" t="s">
        <v>421</v>
      </c>
      <c r="B34" s="21">
        <f>'4 - Abitudine o contratto'!$B$27*'4 - Abitudine o contratto'!$B$30</f>
        <v>10450</v>
      </c>
    </row>
    <row r="35" spans="1:8">
      <c r="A35" s="6" t="s">
        <v>422</v>
      </c>
      <c r="B35" s="18">
        <f>-PMT('4 - Abitudine o contratto'!$B$31/12,'4 - Abitudine o contratto'!$B$29,'4 - Abitudine o contratto'!$B$27-'4 - Abitudine o contratto'!$B$28,-'4 - Abitudine o contratto'!$B$34)</f>
        <v>190.56211689148861</v>
      </c>
    </row>
    <row r="36" spans="1:8">
      <c r="A36" s="6" t="s">
        <v>423</v>
      </c>
      <c r="B36" s="18">
        <f>'4 - Abitudine o contratto'!$B$35+'4 - Abitudine o contratto'!$B$33</f>
        <v>199.56211689148861</v>
      </c>
    </row>
    <row r="37" spans="1:8">
      <c r="A37" s="6" t="s">
        <v>424</v>
      </c>
      <c r="B37" s="19">
        <f>(1+RATE('4 - Abitudine o contratto'!$B$29,-'4 - Abitudine o contratto'!$B$35,'4 - Abitudine o contratto'!$B$27-'4 - Abitudine o contratto'!$B$28-'4 - Abitudine o contratto'!$B$32,-'4 - Abitudine o contratto'!$B$34))^12-1</f>
        <v>7.0665723816345727E-2</v>
      </c>
    </row>
    <row r="38" spans="1:8">
      <c r="A38" s="6" t="s">
        <v>425</v>
      </c>
      <c r="B38" s="19">
        <f>(1+RATE('4 - Abitudine o contratto'!$B$29,-'4 - Abitudine o contratto'!$B$36,'4 - Abitudine o contratto'!$B$27-'4 - Abitudine o contratto'!$B$28-'4 - Abitudine o contratto'!$B$32,-'4 - Abitudine o contratto'!$B$34))^12-1</f>
        <v>7.9691712771732703E-2</v>
      </c>
    </row>
    <row r="39" spans="1:8">
      <c r="A39" s="6" t="s">
        <v>426</v>
      </c>
      <c r="B39" s="21">
        <f>'4 - Abitudine o contratto'!$B$28+'4 - Abitudine o contratto'!$B$32+'4 - Abitudine o contratto'!$B$29*'4 - Abitudine o contratto'!$B$36</f>
        <v>11484.236208093589</v>
      </c>
    </row>
    <row r="40" spans="1:8">
      <c r="A40" s="6" t="s">
        <v>427</v>
      </c>
      <c r="B40" s="21">
        <f>'4 - Abitudine o contratto'!$B$39/'4 - Abitudine o contratto'!$B$29</f>
        <v>319.00656133593304</v>
      </c>
    </row>
    <row r="41" spans="1:8">
      <c r="A41" s="6" t="s">
        <v>428</v>
      </c>
      <c r="B41" s="21">
        <f>'4 - Abitudine o contratto'!$B$39+'4 - Abitudine o contratto'!$B$34-'4 - Abitudine o contratto'!$B$27</f>
        <v>2934.2362080935891</v>
      </c>
    </row>
    <row r="42" spans="1:8">
      <c r="A42" s="6" t="s">
        <v>429</v>
      </c>
      <c r="B42" s="21">
        <f>'4 - Abitudine o contratto'!$B$29*'4 - Abitudine o contratto'!$B$35+'4 - Abitudine o contratto'!$B$34-('4 - Abitudine o contratto'!$B$27-'4 - Abitudine o contratto'!$B$28)</f>
        <v>2310.2362080935891</v>
      </c>
    </row>
    <row r="44" spans="1:8">
      <c r="A44" s="43" t="s">
        <v>430</v>
      </c>
      <c r="B44" s="40"/>
      <c r="C44" s="40"/>
      <c r="D44" s="40"/>
      <c r="E44" s="40"/>
      <c r="F44" s="40"/>
      <c r="G44" s="40"/>
      <c r="H44" s="40"/>
    </row>
    <row r="45" spans="1:8">
      <c r="A45" s="6" t="s">
        <v>223</v>
      </c>
      <c r="B45" s="18">
        <f>'2 - Le opzioni'!$B$77</f>
        <v>333.0662952236093</v>
      </c>
    </row>
    <row r="46" spans="1:8">
      <c r="A46" s="6" t="s">
        <v>431</v>
      </c>
      <c r="B46" s="18">
        <f>'2 - Le opzioni'!$B$77*'2 - Le opzioni'!$B$38-('2 - Le opzioni'!$B$6-'1 - Il tuo profilo'!$B$33)</f>
        <v>3983.9777134165597</v>
      </c>
    </row>
    <row r="47" spans="1:8">
      <c r="A47" s="6" t="s">
        <v>432</v>
      </c>
      <c r="B47" s="21">
        <f>'2 - Le opzioni'!$B$77*PV('2 - Le opzioni'!$B$111,12,-1)+'2 - Le opzioni'!$L$212</f>
        <v>6387.1838905094446</v>
      </c>
    </row>
    <row r="48" spans="1:8">
      <c r="A48" s="6" t="s">
        <v>433</v>
      </c>
      <c r="B48" s="21">
        <f>'4 - Abitudine o contratto'!$B$47/12</f>
        <v>532.26532420912042</v>
      </c>
    </row>
    <row r="49" spans="1:8">
      <c r="A49" s="6" t="s">
        <v>434</v>
      </c>
      <c r="B49" s="18">
        <f>'2 - Le opzioni'!$L$224</f>
        <v>358.70959000902144</v>
      </c>
    </row>
    <row r="51" spans="1:8">
      <c r="A51" s="43" t="s">
        <v>435</v>
      </c>
      <c r="B51" s="40"/>
      <c r="C51" s="40"/>
      <c r="D51" s="40"/>
      <c r="E51" s="40"/>
      <c r="F51" s="40"/>
      <c r="G51" s="40"/>
      <c r="H51" s="40"/>
    </row>
    <row r="52" spans="1:8" ht="45" customHeight="1">
      <c r="A52" s="6" t="s">
        <v>436</v>
      </c>
      <c r="B52" s="21">
        <f>'2 - Le opzioni'!$K$148-('2 - Le opzioni'!$I$376-'2 - Le opzioni'!$G$378)/'2 - Le opzioni'!$B$112</f>
        <v>1647.62545408911</v>
      </c>
      <c r="C52" s="42" t="s">
        <v>437</v>
      </c>
      <c r="D52" s="40"/>
      <c r="E52" s="40"/>
      <c r="F52" s="40"/>
    </row>
    <row r="53" spans="1:8">
      <c r="A53" s="6" t="s">
        <v>438</v>
      </c>
      <c r="B53" s="21">
        <f>SUM('2 - Le opzioni'!F364:F373)/10</f>
        <v>1850</v>
      </c>
    </row>
    <row r="54" spans="1:8" ht="15" customHeight="1">
      <c r="A54" s="6" t="s">
        <v>439</v>
      </c>
      <c r="B54" s="21">
        <f>2000/(1+'1 - Il tuo profilo'!$B$13)^5/'2 - Le opzioni'!$B$112/12</f>
        <v>16.854010799236075</v>
      </c>
      <c r="C54" s="42" t="s">
        <v>440</v>
      </c>
      <c r="D54" s="40"/>
      <c r="E54" s="40"/>
      <c r="F54" s="40"/>
    </row>
  </sheetData>
  <mergeCells count="10">
    <mergeCell ref="C54:F54"/>
    <mergeCell ref="A14:H14"/>
    <mergeCell ref="A44:H44"/>
    <mergeCell ref="A5:H5"/>
    <mergeCell ref="A1:H1"/>
    <mergeCell ref="C52:F52"/>
    <mergeCell ref="A3:H3"/>
    <mergeCell ref="A26:H26"/>
    <mergeCell ref="A2:H2"/>
    <mergeCell ref="A51:H51"/>
  </mergeCells>
  <dataValidations count="1">
    <dataValidation type="list" errorTitle="Valore non valido" error="Scegli un valore dall'elenco" sqref="B6">
      <formula1>"3,4,5"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zoomScale="90" workbookViewId="0"/>
  </sheetViews>
  <sheetFormatPr defaultRowHeight="15"/>
  <cols>
    <col min="1" max="1" width="65.85546875" customWidth="1"/>
    <col min="2" max="4" width="16" customWidth="1"/>
  </cols>
  <sheetData>
    <row r="1" spans="1:6" ht="24.95" customHeight="1">
      <c r="A1" s="41" t="s">
        <v>441</v>
      </c>
      <c r="B1" s="40"/>
      <c r="C1" s="40"/>
      <c r="D1" s="40"/>
      <c r="E1" s="40"/>
      <c r="F1" s="40"/>
    </row>
    <row r="2" spans="1:6" ht="32.1" customHeight="1">
      <c r="A2" s="39" t="s">
        <v>1</v>
      </c>
      <c r="B2" s="40"/>
      <c r="C2" s="40"/>
      <c r="D2" s="40"/>
      <c r="E2" s="40"/>
      <c r="F2" s="40"/>
    </row>
    <row r="3" spans="1:6" ht="45" customHeight="1">
      <c r="A3" s="42" t="s">
        <v>442</v>
      </c>
      <c r="B3" s="40"/>
      <c r="C3" s="40"/>
      <c r="D3" s="40"/>
      <c r="E3" s="40"/>
      <c r="F3" s="40"/>
    </row>
    <row r="5" spans="1:6">
      <c r="A5" s="43" t="s">
        <v>443</v>
      </c>
      <c r="B5" s="40"/>
      <c r="C5" s="40"/>
      <c r="D5" s="40"/>
      <c r="E5" s="40"/>
      <c r="F5" s="40"/>
    </row>
    <row r="6" spans="1:6" ht="30" customHeight="1">
      <c r="A6" s="6" t="s">
        <v>444</v>
      </c>
      <c r="B6" s="12">
        <v>45</v>
      </c>
      <c r="C6" s="42" t="s">
        <v>445</v>
      </c>
      <c r="D6" s="40"/>
      <c r="E6" s="40"/>
      <c r="F6" s="40"/>
    </row>
    <row r="7" spans="1:6">
      <c r="A7" s="6" t="s">
        <v>446</v>
      </c>
      <c r="B7" s="9">
        <v>30</v>
      </c>
    </row>
    <row r="8" spans="1:6">
      <c r="A8" s="6" t="s">
        <v>447</v>
      </c>
      <c r="B8" s="12">
        <v>0.25</v>
      </c>
    </row>
    <row r="9" spans="1:6">
      <c r="A9" s="6" t="s">
        <v>448</v>
      </c>
      <c r="B9" s="9">
        <v>150</v>
      </c>
    </row>
    <row r="10" spans="1:6" ht="15" customHeight="1">
      <c r="A10" s="6" t="s">
        <v>449</v>
      </c>
      <c r="B10" s="12">
        <v>9</v>
      </c>
      <c r="C10" s="42" t="s">
        <v>450</v>
      </c>
      <c r="D10" s="40"/>
      <c r="E10" s="40"/>
      <c r="F10" s="40"/>
    </row>
    <row r="11" spans="1:6">
      <c r="A11" s="6" t="s">
        <v>451</v>
      </c>
      <c r="B11" s="9">
        <v>15</v>
      </c>
    </row>
    <row r="12" spans="1:6">
      <c r="A12" s="6" t="s">
        <v>452</v>
      </c>
      <c r="B12" s="18">
        <f>'5 - Senza auto'!$B$6+'5 - Senza auto'!$B$8*MAX(0,'5 - Senza auto'!$B$9-'5 - Senza auto'!$B$7)</f>
        <v>75</v>
      </c>
    </row>
    <row r="13" spans="1:6">
      <c r="A13" s="6" t="s">
        <v>453</v>
      </c>
      <c r="B13" s="18">
        <f>'5 - Senza auto'!$B$10+'5 - Senza auto'!$B$8*'5 - Senza auto'!$B$11</f>
        <v>12.75</v>
      </c>
    </row>
    <row r="15" spans="1:6">
      <c r="A15" s="43" t="s">
        <v>454</v>
      </c>
      <c r="B15" s="40"/>
      <c r="C15" s="40"/>
      <c r="D15" s="40"/>
      <c r="E15" s="40"/>
      <c r="F15" s="40"/>
    </row>
    <row r="16" spans="1:6" ht="32.1" customHeight="1">
      <c r="A16" s="30" t="s">
        <v>455</v>
      </c>
      <c r="B16" s="30" t="s">
        <v>456</v>
      </c>
      <c r="C16" s="30" t="s">
        <v>457</v>
      </c>
      <c r="D16" s="30" t="s">
        <v>458</v>
      </c>
    </row>
    <row r="17" spans="1:6">
      <c r="A17" s="6" t="s">
        <v>459</v>
      </c>
      <c r="B17" s="13">
        <v>330</v>
      </c>
      <c r="C17" s="13">
        <v>600</v>
      </c>
      <c r="D17" s="13">
        <v>900</v>
      </c>
    </row>
    <row r="18" spans="1:6">
      <c r="A18" s="6" t="s">
        <v>460</v>
      </c>
      <c r="B18" s="23">
        <v>10</v>
      </c>
      <c r="C18" s="23">
        <v>12</v>
      </c>
      <c r="D18" s="23">
        <v>24</v>
      </c>
    </row>
    <row r="19" spans="1:6">
      <c r="A19" s="6" t="s">
        <v>461</v>
      </c>
      <c r="B19" s="23">
        <v>12</v>
      </c>
      <c r="C19" s="23">
        <v>24</v>
      </c>
      <c r="D19" s="23">
        <v>0</v>
      </c>
    </row>
    <row r="20" spans="1:6">
      <c r="A20" s="6" t="s">
        <v>462</v>
      </c>
      <c r="B20" s="13">
        <v>500</v>
      </c>
      <c r="C20" s="13">
        <v>600</v>
      </c>
      <c r="D20" s="13">
        <v>1500</v>
      </c>
    </row>
    <row r="21" spans="1:6" ht="45" customHeight="1">
      <c r="A21" s="42" t="s">
        <v>463</v>
      </c>
      <c r="B21" s="40"/>
      <c r="C21" s="40"/>
      <c r="D21" s="40"/>
      <c r="E21" s="40"/>
      <c r="F21" s="40"/>
    </row>
    <row r="23" spans="1:6">
      <c r="A23" s="43" t="s">
        <v>464</v>
      </c>
      <c r="B23" s="40"/>
      <c r="C23" s="40"/>
      <c r="D23" s="40"/>
      <c r="E23" s="40"/>
      <c r="F23" s="40"/>
    </row>
    <row r="24" spans="1:6">
      <c r="A24" s="6" t="s">
        <v>465</v>
      </c>
      <c r="B24" s="29" t="s">
        <v>240</v>
      </c>
    </row>
    <row r="25" spans="1:6" ht="32.1" customHeight="1">
      <c r="A25" s="30" t="s">
        <v>466</v>
      </c>
      <c r="B25" s="30" t="s">
        <v>456</v>
      </c>
      <c r="C25" s="30" t="s">
        <v>457</v>
      </c>
      <c r="D25" s="30" t="s">
        <v>458</v>
      </c>
    </row>
    <row r="26" spans="1:6">
      <c r="A26" s="6" t="s">
        <v>467</v>
      </c>
      <c r="B26" s="21">
        <f>'5 - Senza auto'!$B$17+'5 - Senza auto'!$B$18*'5 - Senza auto'!$B$12+'5 - Senza auto'!$B$19*'5 - Senza auto'!$B$13+'5 - Senza auto'!$B$20</f>
        <v>1733</v>
      </c>
      <c r="C26" s="21">
        <f>'5 - Senza auto'!$C$17+'5 - Senza auto'!$C$18*'5 - Senza auto'!$B$12+'5 - Senza auto'!$C$19*'5 - Senza auto'!$B$13+'5 - Senza auto'!$C$20</f>
        <v>2406</v>
      </c>
      <c r="D26" s="21">
        <f>'5 - Senza auto'!$D$17+'5 - Senza auto'!$D$18*'5 - Senza auto'!$B$12+'5 - Senza auto'!$D$19*'5 - Senza auto'!$B$13+'5 - Senza auto'!$D$20</f>
        <v>4200</v>
      </c>
    </row>
    <row r="27" spans="1:6">
      <c r="A27" s="6" t="s">
        <v>468</v>
      </c>
      <c r="B27" s="21">
        <f>B26/12</f>
        <v>144.41666666666666</v>
      </c>
      <c r="C27" s="21">
        <f>C26/12</f>
        <v>200.5</v>
      </c>
      <c r="D27" s="21">
        <f>D26/12</f>
        <v>350</v>
      </c>
    </row>
    <row r="28" spans="1:6">
      <c r="A28" s="6" t="s">
        <v>469</v>
      </c>
      <c r="B28" s="18">
        <f>'2 - Le opzioni'!$L$433</f>
        <v>115.10904001537675</v>
      </c>
      <c r="C28" s="18">
        <f>'2 - Le opzioni'!$L$414</f>
        <v>171.19237334871011</v>
      </c>
      <c r="D28" s="18">
        <f>'2 - Le opzioni'!$L$452</f>
        <v>320.69237334871019</v>
      </c>
    </row>
    <row r="29" spans="1:6">
      <c r="A29" s="6" t="s">
        <v>470</v>
      </c>
      <c r="B29" s="34">
        <f>INDEX('2 - Le opzioni'!$F$84:$F$100,MATCH('5 - Senza auto'!$B$24,'2 - Le opzioni'!$A$84:$A$100,0))-B28</f>
        <v>190.84598879418371</v>
      </c>
      <c r="C29" s="34">
        <f>INDEX('2 - Le opzioni'!$F$84:$F$100,MATCH('5 - Senza auto'!$B$24,'2 - Le opzioni'!$A$84:$A$100,0))-C28</f>
        <v>134.76265546085037</v>
      </c>
      <c r="D29" s="34">
        <f>INDEX('2 - Le opzioni'!$F$84:$F$100,MATCH('5 - Senza auto'!$B$24,'2 - Le opzioni'!$A$84:$A$100,0))-D28</f>
        <v>-14.737344539149717</v>
      </c>
    </row>
    <row r="30" spans="1:6">
      <c r="A30" s="6" t="s">
        <v>471</v>
      </c>
      <c r="B30" s="36">
        <f>B29*12/'5 - Senza auto'!$B$12</f>
        <v>30.53535820706939</v>
      </c>
      <c r="C30" s="36">
        <f>C29*12/'5 - Senza auto'!$B$12</f>
        <v>21.562024873736057</v>
      </c>
      <c r="D30" s="36">
        <f>D29*12/'5 - Senza auto'!$B$12</f>
        <v>-2.3579751262639546</v>
      </c>
    </row>
    <row r="31" spans="1:6" ht="45" customHeight="1">
      <c r="A31" s="42" t="s">
        <v>472</v>
      </c>
      <c r="B31" s="40"/>
      <c r="C31" s="40"/>
      <c r="D31" s="40"/>
      <c r="E31" s="40"/>
      <c r="F31" s="40"/>
    </row>
  </sheetData>
  <mergeCells count="10">
    <mergeCell ref="A31:F31"/>
    <mergeCell ref="A3:F3"/>
    <mergeCell ref="A21:F21"/>
    <mergeCell ref="C10:F10"/>
    <mergeCell ref="A15:F15"/>
    <mergeCell ref="A2:F2"/>
    <mergeCell ref="A1:F1"/>
    <mergeCell ref="A5:F5"/>
    <mergeCell ref="A23:F23"/>
    <mergeCell ref="C6:F6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Title="Valore non valido" error="Scegli un valore dall'elenco">
          <x14:formula1>
            <xm:f>'2 - Le opzioni'!$A$84:$A$100</xm:f>
          </x14:formula1>
          <xm:sqref>B24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"/>
  <sheetViews>
    <sheetView zoomScale="90" workbookViewId="0"/>
  </sheetViews>
  <sheetFormatPr defaultRowHeight="15"/>
  <cols>
    <col min="1" max="1" width="70" customWidth="1"/>
    <col min="2" max="7" width="16" customWidth="1"/>
    <col min="9" max="9" width="11" customWidth="1"/>
    <col min="10" max="11" width="16" customWidth="1"/>
  </cols>
  <sheetData>
    <row r="1" spans="1:8" ht="24.95" customHeight="1">
      <c r="A1" s="41" t="s">
        <v>473</v>
      </c>
      <c r="B1" s="40"/>
      <c r="C1" s="40"/>
      <c r="D1" s="40"/>
      <c r="E1" s="40"/>
      <c r="F1" s="40"/>
      <c r="G1" s="40"/>
      <c r="H1" s="40"/>
    </row>
    <row r="2" spans="1:8" ht="32.1" customHeight="1">
      <c r="A2" s="39" t="s">
        <v>1</v>
      </c>
      <c r="B2" s="40"/>
      <c r="C2" s="40"/>
      <c r="D2" s="40"/>
      <c r="E2" s="40"/>
      <c r="F2" s="40"/>
      <c r="G2" s="40"/>
      <c r="H2" s="40"/>
    </row>
    <row r="3" spans="1:8" ht="45" customHeight="1">
      <c r="A3" s="42" t="s">
        <v>474</v>
      </c>
      <c r="B3" s="40"/>
      <c r="C3" s="40"/>
      <c r="D3" s="40"/>
      <c r="E3" s="40"/>
      <c r="F3" s="40"/>
      <c r="G3" s="40"/>
      <c r="H3" s="40"/>
    </row>
    <row r="5" spans="1:8">
      <c r="A5" s="43" t="s">
        <v>475</v>
      </c>
      <c r="B5" s="40"/>
      <c r="C5" s="40"/>
      <c r="D5" s="40"/>
      <c r="E5" s="40"/>
      <c r="F5" s="40"/>
      <c r="G5" s="40"/>
      <c r="H5" s="40"/>
    </row>
    <row r="6" spans="1:8">
      <c r="A6" s="6" t="s">
        <v>476</v>
      </c>
      <c r="B6" s="13">
        <v>19000</v>
      </c>
    </row>
    <row r="7" spans="1:8">
      <c r="A7" s="6" t="s">
        <v>477</v>
      </c>
      <c r="B7" s="24">
        <v>5.6</v>
      </c>
    </row>
    <row r="8" spans="1:8">
      <c r="A8" s="6" t="s">
        <v>478</v>
      </c>
      <c r="B8" s="23">
        <v>70</v>
      </c>
    </row>
    <row r="9" spans="1:8">
      <c r="A9" s="6" t="s">
        <v>479</v>
      </c>
      <c r="B9" s="13">
        <v>26000</v>
      </c>
    </row>
    <row r="10" spans="1:8" ht="45" customHeight="1">
      <c r="A10" s="6" t="s">
        <v>480</v>
      </c>
      <c r="B10" s="13">
        <v>0</v>
      </c>
      <c r="C10" s="42" t="s">
        <v>481</v>
      </c>
      <c r="D10" s="40"/>
      <c r="E10" s="40"/>
      <c r="F10" s="40"/>
    </row>
    <row r="11" spans="1:8">
      <c r="A11" s="6" t="s">
        <v>162</v>
      </c>
      <c r="B11" s="24">
        <v>17</v>
      </c>
    </row>
    <row r="12" spans="1:8">
      <c r="A12" s="6" t="s">
        <v>161</v>
      </c>
      <c r="B12" s="23">
        <v>85</v>
      </c>
    </row>
    <row r="14" spans="1:8">
      <c r="A14" s="43" t="s">
        <v>274</v>
      </c>
      <c r="B14" s="40"/>
      <c r="C14" s="40"/>
      <c r="D14" s="40"/>
      <c r="E14" s="40"/>
      <c r="F14" s="40"/>
      <c r="G14" s="40"/>
      <c r="H14" s="40"/>
    </row>
    <row r="15" spans="1:8" ht="15" customHeight="1">
      <c r="A15" s="6" t="s">
        <v>77</v>
      </c>
      <c r="B15" s="14">
        <v>1.84995</v>
      </c>
      <c r="C15" s="42" t="s">
        <v>482</v>
      </c>
      <c r="D15" s="40"/>
      <c r="E15" s="40"/>
      <c r="F15" s="40"/>
    </row>
    <row r="16" spans="1:8" ht="15" customHeight="1">
      <c r="A16" s="6" t="s">
        <v>79</v>
      </c>
      <c r="B16" s="15">
        <v>0.29659999999999997</v>
      </c>
      <c r="C16" s="42" t="s">
        <v>483</v>
      </c>
      <c r="D16" s="40"/>
      <c r="E16" s="40"/>
      <c r="F16" s="40"/>
    </row>
    <row r="17" spans="1:11" ht="15" customHeight="1">
      <c r="A17" s="6" t="s">
        <v>81</v>
      </c>
      <c r="B17" s="16">
        <v>0.6</v>
      </c>
      <c r="C17" s="42" t="s">
        <v>484</v>
      </c>
      <c r="D17" s="40"/>
      <c r="E17" s="40"/>
      <c r="F17" s="40"/>
    </row>
    <row r="18" spans="1:11">
      <c r="A18" s="6" t="s">
        <v>485</v>
      </c>
      <c r="B18" s="17">
        <v>0.1</v>
      </c>
    </row>
    <row r="20" spans="1:11">
      <c r="A20" s="43" t="s">
        <v>466</v>
      </c>
      <c r="B20" s="40"/>
      <c r="C20" s="40"/>
      <c r="D20" s="40"/>
      <c r="E20" s="40"/>
      <c r="F20" s="40"/>
      <c r="G20" s="40"/>
      <c r="H20" s="40"/>
    </row>
    <row r="21" spans="1:11" ht="15" customHeight="1">
      <c r="A21" s="6" t="s">
        <v>486</v>
      </c>
      <c r="B21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termico'!$B$75)*'1 - Il tuo profilo'!$B$9</f>
        <v>-665.25694892550655</v>
      </c>
      <c r="C21" s="42" t="s">
        <v>487</v>
      </c>
      <c r="D21" s="40"/>
      <c r="E21" s="40"/>
      <c r="F21" s="40"/>
    </row>
    <row r="22" spans="1:11" ht="15" customHeight="1">
      <c r="A22" s="6" t="s">
        <v>488</v>
      </c>
      <c r="B22" s="37">
        <f>IF(AND('6 - Elettrico o termico'!$B$74&gt;0,('2 -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termico'!$B$75)&lt;0),-'6 - Elettrico o termico'!$B$74/('2 -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termico'!$B$75),IF(AND('6 - Elettrico o termico'!$B$74&lt;=0,('2 -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termico'!$B$75)&lt;=0),"sempre",IF(AND('6 - Elettrico o termico'!$B$74&gt;0,('2 -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termico'!$B$75)&gt;=0),"mai","sotto "&amp;ROUND(-'6 - Elettrico o termico'!$B$74/('2 -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termico'!$B$75),0)&amp;" km")))</f>
        <v>10594.606666771144</v>
      </c>
      <c r="C22" s="42" t="s">
        <v>489</v>
      </c>
      <c r="D22" s="40"/>
      <c r="E22" s="40"/>
      <c r="F22" s="40"/>
    </row>
    <row r="24" spans="1:11">
      <c r="A24" s="43" t="s">
        <v>490</v>
      </c>
      <c r="B24" s="40"/>
      <c r="C24" s="40"/>
      <c r="D24" s="40"/>
      <c r="E24" s="40"/>
      <c r="F24" s="40"/>
      <c r="G24" s="40"/>
      <c r="H24" s="40"/>
    </row>
    <row r="25" spans="1:11" ht="32.1" customHeight="1">
      <c r="A25" s="30" t="s">
        <v>491</v>
      </c>
      <c r="B25" s="38">
        <v>0.45</v>
      </c>
      <c r="C25" s="38">
        <v>0.6</v>
      </c>
      <c r="D25" s="38">
        <v>0.8</v>
      </c>
    </row>
    <row r="26" spans="1:11">
      <c r="A26" s="28">
        <v>0.1</v>
      </c>
      <c r="B26" s="37">
        <f>IF(AND('6 - Elettrico o termico'!$B$74&gt;0,('2 - Le opzioni'!$B$112*('6 - Elettrico o termico'!$B$11/100*((1-($A26))*'6 - Elettrico o termico'!$B$16+($A26)*(B$25))-'6 - Elettrico o termico'!$B$7/100*'6 - Elettrico o termico'!$B$15)+'6 - Elettrico o termico'!$B$75)&lt;0),-'6 - Elettrico o termico'!$B$74/('2 - Le opzioni'!$B$112*('6 - Elettrico o termico'!$B$11/100*((1-($A26))*'6 - Elettrico o termico'!$B$16+($A26)*(B$25))-'6 - Elettrico o termico'!$B$7/100*'6 - Elettrico o termico'!$B$15)+'6 - Elettrico o termico'!$B$75),IF(AND('6 - Elettrico o termico'!$B$74&lt;=0,('2 - Le opzioni'!$B$112*('6 - Elettrico o termico'!$B$11/100*((1-($A26))*'6 - Elettrico o termico'!$B$16+($A26)*(B$25))-'6 - Elettrico o termico'!$B$7/100*'6 - Elettrico o termico'!$B$15)+'6 - Elettrico o termico'!$B$75)&lt;=0),"sempre",IF(AND('6 - Elettrico o termico'!$B$74&gt;0,('2 - Le opzioni'!$B$112*('6 - Elettrico o termico'!$B$11/100*((1-($A26))*'6 - Elettrico o termico'!$B$16+($A26)*(B$25))-'6 - Elettrico o termico'!$B$7/100*'6 - Elettrico o termico'!$B$15)+'6 - Elettrico o termico'!$B$75)&gt;=0),"mai","sotto "&amp;ROUND(-'6 - Elettrico o termico'!$B$74/('2 - Le opzioni'!$B$112*('6 - Elettrico o termico'!$B$11/100*((1-($A26))*'6 - Elettrico o termico'!$B$16+($A26)*(B$25))-'6 - Elettrico o termico'!$B$7/100*'6 - Elettrico o termico'!$B$15)+'6 - Elettrico o termico'!$B$75),0)&amp;" km")))</f>
        <v>10129.148201227397</v>
      </c>
      <c r="C26" s="37">
        <f>IF(AND('6 - Elettrico o termico'!$B$74&gt;0,('2 - Le opzioni'!$B$112*('6 - Elettrico o termico'!$B$11/100*((1-($A26))*'6 - Elettrico o termico'!$B$16+($A26)*(C$25))-'6 - Elettrico o termico'!$B$7/100*'6 - Elettrico o termico'!$B$15)+'6 - Elettrico o termico'!$B$75)&lt;0),-'6 - Elettrico o termico'!$B$74/('2 - Le opzioni'!$B$112*('6 - Elettrico o termico'!$B$11/100*((1-($A26))*'6 - Elettrico o termico'!$B$16+($A26)*(C$25))-'6 - Elettrico o termico'!$B$7/100*'6 - Elettrico o termico'!$B$15)+'6 - Elettrico o termico'!$B$75),IF(AND('6 - Elettrico o termico'!$B$74&lt;=0,('2 - Le opzioni'!$B$112*('6 - Elettrico o termico'!$B$11/100*((1-($A26))*'6 - Elettrico o termico'!$B$16+($A26)*(C$25))-'6 - Elettrico o termico'!$B$7/100*'6 - Elettrico o termico'!$B$15)+'6 - Elettrico o termico'!$B$75)&lt;=0),"sempre",IF(AND('6 - Elettrico o termico'!$B$74&gt;0,('2 - Le opzioni'!$B$112*('6 - Elettrico o termico'!$B$11/100*((1-($A26))*'6 - Elettrico o termico'!$B$16+($A26)*(C$25))-'6 - Elettrico o termico'!$B$7/100*'6 - Elettrico o termico'!$B$15)+'6 - Elettrico o termico'!$B$75)&gt;=0),"mai","sotto "&amp;ROUND(-'6 - Elettrico o termico'!$B$74/('2 - Le opzioni'!$B$112*('6 - Elettrico o termico'!$B$11/100*((1-($A26))*'6 - Elettrico o termico'!$B$16+($A26)*(C$25))-'6 - Elettrico o termico'!$B$7/100*'6 - Elettrico o termico'!$B$15)+'6 - Elettrico o termico'!$B$75),0)&amp;" km")))</f>
        <v>10594.606666771144</v>
      </c>
      <c r="D26" s="37">
        <f>IF(AND('6 - Elettrico o termico'!$B$74&gt;0,('2 - Le opzioni'!$B$112*('6 - Elettrico o termico'!$B$11/100*((1-($A26))*'6 - Elettrico o termico'!$B$16+($A26)*(D$25))-'6 - Elettrico o termico'!$B$7/100*'6 - Elettrico o termico'!$B$15)+'6 - Elettrico o termico'!$B$75)&lt;0),-'6 - Elettrico o termico'!$B$74/('2 - Le opzioni'!$B$112*('6 - Elettrico o termico'!$B$11/100*((1-($A26))*'6 - Elettrico o termico'!$B$16+($A26)*(D$25))-'6 - Elettrico o termico'!$B$7/100*'6 - Elettrico o termico'!$B$15)+'6 - Elettrico o termico'!$B$75),IF(AND('6 - Elettrico o termico'!$B$74&lt;=0,('2 - Le opzioni'!$B$112*('6 - Elettrico o termico'!$B$11/100*((1-($A26))*'6 - Elettrico o termico'!$B$16+($A26)*(D$25))-'6 - Elettrico o termico'!$B$7/100*'6 - Elettrico o termico'!$B$15)+'6 - Elettrico o termico'!$B$75)&lt;=0),"sempre",IF(AND('6 - Elettrico o termico'!$B$74&gt;0,('2 - Le opzioni'!$B$112*('6 - Elettrico o termico'!$B$11/100*((1-($A26))*'6 - Elettrico o termico'!$B$16+($A26)*(D$25))-'6 - Elettrico o termico'!$B$7/100*'6 - Elettrico o termico'!$B$15)+'6 - Elettrico o termico'!$B$75)&gt;=0),"mai","sotto "&amp;ROUND(-'6 - Elettrico o termico'!$B$74/('2 - Le opzioni'!$B$112*('6 - Elettrico o termico'!$B$11/100*((1-($A26))*'6 - Elettrico o termico'!$B$16+($A26)*(D$25))-'6 - Elettrico o termico'!$B$7/100*'6 - Elettrico o termico'!$B$15)+'6 - Elettrico o termico'!$B$75),0)&amp;" km")))</f>
        <v>11286.104479994727</v>
      </c>
    </row>
    <row r="27" spans="1:11">
      <c r="A27" s="28">
        <v>0.5</v>
      </c>
      <c r="B27" s="37">
        <f>IF(AND('6 - Elettrico o termico'!$B$74&gt;0,('2 - Le opzioni'!$B$112*('6 - Elettrico o termico'!$B$11/100*((1-($A27))*'6 - Elettrico o termico'!$B$16+($A27)*(B$25))-'6 - Elettrico o termico'!$B$7/100*'6 - Elettrico o termico'!$B$15)+'6 - Elettrico o termico'!$B$75)&lt;0),-'6 - Elettrico o termico'!$B$74/('2 - Le opzioni'!$B$112*('6 - Elettrico o termico'!$B$11/100*((1-($A27))*'6 - Elettrico o termico'!$B$16+($A27)*(B$25))-'6 - Elettrico o termico'!$B$7/100*'6 - Elettrico o termico'!$B$15)+'6 - Elettrico o termico'!$B$75),IF(AND('6 - Elettrico o termico'!$B$74&lt;=0,('2 - Le opzioni'!$B$112*('6 - Elettrico o termico'!$B$11/100*((1-($A27))*'6 - Elettrico o termico'!$B$16+($A27)*(B$25))-'6 - Elettrico o termico'!$B$7/100*'6 - Elettrico o termico'!$B$15)+'6 - Elettrico o termico'!$B$75)&lt;=0),"sempre",IF(AND('6 - Elettrico o termico'!$B$74&gt;0,('2 - Le opzioni'!$B$112*('6 - Elettrico o termico'!$B$11/100*((1-($A27))*'6 - Elettrico o termico'!$B$16+($A27)*(B$25))-'6 - Elettrico o termico'!$B$7/100*'6 - Elettrico o termico'!$B$15)+'6 - Elettrico o termico'!$B$75)&gt;=0),"mai","sotto "&amp;ROUND(-'6 - Elettrico o termico'!$B$74/('2 - Le opzioni'!$B$112*('6 - Elettrico o termico'!$B$11/100*((1-($A27))*'6 - Elettrico o termico'!$B$16+($A27)*(B$25))-'6 - Elettrico o termico'!$B$7/100*'6 - Elettrico o termico'!$B$15)+'6 - Elettrico o termico'!$B$75),0)&amp;" km")))</f>
        <v>12348.364466985355</v>
      </c>
      <c r="C27" s="37">
        <f>IF(AND('6 - Elettrico o termico'!$B$74&gt;0,('2 - Le opzioni'!$B$112*('6 - Elettrico o termico'!$B$11/100*((1-($A27))*'6 - Elettrico o termico'!$B$16+($A27)*(C$25))-'6 - Elettrico o termico'!$B$7/100*'6 - Elettrico o termico'!$B$15)+'6 - Elettrico o termico'!$B$75)&lt;0),-'6 - Elettrico o termico'!$B$74/('2 - Le opzioni'!$B$112*('6 - Elettrico o termico'!$B$11/100*((1-($A27))*'6 - Elettrico o termico'!$B$16+($A27)*(C$25))-'6 - Elettrico o termico'!$B$7/100*'6 - Elettrico o termico'!$B$15)+'6 - Elettrico o termico'!$B$75),IF(AND('6 - Elettrico o termico'!$B$74&lt;=0,('2 - Le opzioni'!$B$112*('6 - Elettrico o termico'!$B$11/100*((1-($A27))*'6 - Elettrico o termico'!$B$16+($A27)*(C$25))-'6 - Elettrico o termico'!$B$7/100*'6 - Elettrico o termico'!$B$15)+'6 - Elettrico o termico'!$B$75)&lt;=0),"sempre",IF(AND('6 - Elettrico o termico'!$B$74&gt;0,('2 - Le opzioni'!$B$112*('6 - Elettrico o termico'!$B$11/100*((1-($A27))*'6 - Elettrico o termico'!$B$16+($A27)*(C$25))-'6 - Elettrico o termico'!$B$7/100*'6 - Elettrico o termico'!$B$15)+'6 - Elettrico o termico'!$B$75)&gt;=0),"mai","sotto "&amp;ROUND(-'6 - Elettrico o termico'!$B$74/('2 - Le opzioni'!$B$112*('6 - Elettrico o termico'!$B$11/100*((1-($A27))*'6 - Elettrico o termico'!$B$16+($A27)*(C$25))-'6 - Elettrico o termico'!$B$7/100*'6 - Elettrico o termico'!$B$15)+'6 - Elettrico o termico'!$B$75),0)&amp;" km")))</f>
        <v>16864.629476480881</v>
      </c>
      <c r="D27" s="37">
        <f>IF(AND('6 - Elettrico o termico'!$B$74&gt;0,('2 - Le opzioni'!$B$112*('6 - Elettrico o termico'!$B$11/100*((1-($A27))*'6 - Elettrico o termico'!$B$16+($A27)*(D$25))-'6 - Elettrico o termico'!$B$7/100*'6 - Elettrico o termico'!$B$15)+'6 - Elettrico o termico'!$B$75)&lt;0),-'6 - Elettrico o termico'!$B$74/('2 - Le opzioni'!$B$112*('6 - Elettrico o termico'!$B$11/100*((1-($A27))*'6 - Elettrico o termico'!$B$16+($A27)*(D$25))-'6 - Elettrico o termico'!$B$7/100*'6 - Elettrico o termico'!$B$15)+'6 - Elettrico o termico'!$B$75),IF(AND('6 - Elettrico o termico'!$B$74&lt;=0,('2 - Le opzioni'!$B$112*('6 - Elettrico o termico'!$B$11/100*((1-($A27))*'6 - Elettrico o termico'!$B$16+($A27)*(D$25))-'6 - Elettrico o termico'!$B$7/100*'6 - Elettrico o termico'!$B$15)+'6 - Elettrico o termico'!$B$75)&lt;=0),"sempre",IF(AND('6 - Elettrico o termico'!$B$74&gt;0,('2 - Le opzioni'!$B$112*('6 - Elettrico o termico'!$B$11/100*((1-($A27))*'6 - Elettrico o termico'!$B$16+($A27)*(D$25))-'6 - Elettrico o termico'!$B$7/100*'6 - Elettrico o termico'!$B$15)+'6 - Elettrico o termico'!$B$75)&gt;=0),"mai","sotto "&amp;ROUND(-'6 - Elettrico o termico'!$B$74/('2 - Le opzioni'!$B$112*('6 - Elettrico o termico'!$B$11/100*((1-($A27))*'6 - Elettrico o termico'!$B$16+($A27)*(D$25))-'6 - Elettrico o termico'!$B$7/100*'6 - Elettrico o termico'!$B$15)+'6 - Elettrico o termico'!$B$75),0)&amp;" km")))</f>
        <v>32916.263221513116</v>
      </c>
    </row>
    <row r="28" spans="1:11">
      <c r="A28" s="28">
        <v>0.8</v>
      </c>
      <c r="B28" s="37">
        <f>IF(AND('6 - Elettrico o termico'!$B$74&gt;0,('2 - Le opzioni'!$B$112*('6 - Elettrico o termico'!$B$11/100*((1-($A28))*'6 - Elettrico o termico'!$B$16+($A28)*(B$25))-'6 - Elettrico o termico'!$B$7/100*'6 - Elettrico o termico'!$B$15)+'6 - Elettrico o termico'!$B$75)&lt;0),-'6 - Elettrico o termico'!$B$74/('2 - Le opzioni'!$B$112*('6 - Elettrico o termico'!$B$11/100*((1-($A28))*'6 - Elettrico o termico'!$B$16+($A28)*(B$25))-'6 - Elettrico o termico'!$B$7/100*'6 - Elettrico o termico'!$B$15)+'6 - Elettrico o termico'!$B$75),IF(AND('6 - Elettrico o termico'!$B$74&lt;=0,('2 - Le opzioni'!$B$112*('6 - Elettrico o termico'!$B$11/100*((1-($A28))*'6 - Elettrico o termico'!$B$16+($A28)*(B$25))-'6 - Elettrico o termico'!$B$7/100*'6 - Elettrico o termico'!$B$15)+'6 - Elettrico o termico'!$B$75)&lt;=0),"sempre",IF(AND('6 - Elettrico o termico'!$B$74&gt;0,('2 - Le opzioni'!$B$112*('6 - Elettrico o termico'!$B$11/100*((1-($A28))*'6 - Elettrico o termico'!$B$16+($A28)*(B$25))-'6 - Elettrico o termico'!$B$7/100*'6 - Elettrico o termico'!$B$15)+'6 - Elettrico o termico'!$B$75)&gt;=0),"mai","sotto "&amp;ROUND(-'6 - Elettrico o termico'!$B$74/('2 - Le opzioni'!$B$112*('6 - Elettrico o termico'!$B$11/100*((1-($A28))*'6 - Elettrico o termico'!$B$16+($A28)*(B$25))-'6 - Elettrico o termico'!$B$7/100*'6 - Elettrico o termico'!$B$15)+'6 - Elettrico o termico'!$B$75),0)&amp;" km")))</f>
        <v>14776.410475253795</v>
      </c>
      <c r="C28" s="37">
        <f>IF(AND('6 - Elettrico o termico'!$B$74&gt;0,('2 - Le opzioni'!$B$112*('6 - Elettrico o termico'!$B$11/100*((1-($A28))*'6 - Elettrico o termico'!$B$16+($A28)*(C$25))-'6 - Elettrico o termico'!$B$7/100*'6 - Elettrico o termico'!$B$15)+'6 - Elettrico o termico'!$B$75)&lt;0),-'6 - Elettrico o termico'!$B$74/('2 - Le opzioni'!$B$112*('6 - Elettrico o termico'!$B$11/100*((1-($A28))*'6 - Elettrico o termico'!$B$16+($A28)*(C$25))-'6 - Elettrico o termico'!$B$7/100*'6 - Elettrico o termico'!$B$15)+'6 - Elettrico o termico'!$B$75),IF(AND('6 - Elettrico o termico'!$B$74&lt;=0,('2 - Le opzioni'!$B$112*('6 - Elettrico o termico'!$B$11/100*((1-($A28))*'6 - Elettrico o termico'!$B$16+($A28)*(C$25))-'6 - Elettrico o termico'!$B$7/100*'6 - Elettrico o termico'!$B$15)+'6 - Elettrico o termico'!$B$75)&lt;=0),"sempre",IF(AND('6 - Elettrico o termico'!$B$74&gt;0,('2 - Le opzioni'!$B$112*('6 - Elettrico o termico'!$B$11/100*((1-($A28))*'6 - Elettrico o termico'!$B$16+($A28)*(C$25))-'6 - Elettrico o termico'!$B$7/100*'6 - Elettrico o termico'!$B$15)+'6 - Elettrico o termico'!$B$75)&gt;=0),"mai","sotto "&amp;ROUND(-'6 - Elettrico o termico'!$B$74/('2 - Le opzioni'!$B$112*('6 - Elettrico o termico'!$B$11/100*((1-($A28))*'6 - Elettrico o termico'!$B$16+($A28)*(C$25))-'6 - Elettrico o termico'!$B$7/100*'6 - Elettrico o termico'!$B$15)+'6 - Elettrico o termico'!$B$75),0)&amp;" km")))</f>
        <v>30324.405981984142</v>
      </c>
      <c r="D28" s="37" t="str">
        <f>IF(AND('6 - Elettrico o termico'!$B$74&gt;0,('2 - Le opzioni'!$B$112*('6 - Elettrico o termico'!$B$11/100*((1-($A28))*'6 - Elettrico o termico'!$B$16+($A28)*(D$25))-'6 - Elettrico o termico'!$B$7/100*'6 - Elettrico o termico'!$B$15)+'6 - Elettrico o termico'!$B$75)&lt;0),-'6 - Elettrico o termico'!$B$74/('2 - Le opzioni'!$B$112*('6 - Elettrico o termico'!$B$11/100*((1-($A28))*'6 - Elettrico o termico'!$B$16+($A28)*(D$25))-'6 - Elettrico o termico'!$B$7/100*'6 - Elettrico o termico'!$B$15)+'6 - Elettrico o termico'!$B$75),IF(AND('6 - Elettrico o termico'!$B$74&lt;=0,('2 - Le opzioni'!$B$112*('6 - Elettrico o termico'!$B$11/100*((1-($A28))*'6 - Elettrico o termico'!$B$16+($A28)*(D$25))-'6 - Elettrico o termico'!$B$7/100*'6 - Elettrico o termico'!$B$15)+'6 - Elettrico o termico'!$B$75)&lt;=0),"sempre",IF(AND('6 - Elettrico o termico'!$B$74&gt;0,('2 - Le opzioni'!$B$112*('6 - Elettrico o termico'!$B$11/100*((1-($A28))*'6 - Elettrico o termico'!$B$16+($A28)*(D$25))-'6 - Elettrico o termico'!$B$7/100*'6 - Elettrico o termico'!$B$15)+'6 - Elettrico o termico'!$B$75)&gt;=0),"mai","sotto "&amp;ROUND(-'6 - Elettrico o termico'!$B$74/('2 - Le opzioni'!$B$112*('6 - Elettrico o termico'!$B$11/100*((1-($A28))*'6 - Elettrico o termico'!$B$16+($A28)*(D$25))-'6 - Elettrico o termico'!$B$7/100*'6 - Elettrico o termico'!$B$15)+'6 - Elettrico o termico'!$B$75),0)&amp;" km")))</f>
        <v>mai</v>
      </c>
    </row>
    <row r="29" spans="1:11" ht="30" customHeight="1">
      <c r="A29" s="42" t="s">
        <v>492</v>
      </c>
      <c r="B29" s="40"/>
      <c r="C29" s="40"/>
      <c r="D29" s="40"/>
      <c r="E29" s="40"/>
      <c r="F29" s="40"/>
      <c r="G29" s="40"/>
      <c r="H29" s="40"/>
    </row>
    <row r="31" spans="1:11">
      <c r="A31" s="43" t="s">
        <v>493</v>
      </c>
      <c r="B31" s="40"/>
      <c r="C31" s="40"/>
      <c r="D31" s="40"/>
      <c r="E31" s="40"/>
      <c r="F31" s="40"/>
      <c r="G31" s="40"/>
      <c r="H31" s="40"/>
    </row>
    <row r="32" spans="1:11" ht="32.1" customHeight="1">
      <c r="A32" s="30" t="s">
        <v>54</v>
      </c>
      <c r="B32" s="30" t="s">
        <v>494</v>
      </c>
      <c r="C32" s="30" t="s">
        <v>495</v>
      </c>
      <c r="E32" s="30" t="s">
        <v>54</v>
      </c>
      <c r="F32" s="30" t="s">
        <v>494</v>
      </c>
      <c r="G32" s="30" t="s">
        <v>495</v>
      </c>
      <c r="I32" s="30" t="s">
        <v>54</v>
      </c>
      <c r="J32" s="30" t="s">
        <v>494</v>
      </c>
      <c r="K32" s="30" t="s">
        <v>495</v>
      </c>
    </row>
    <row r="33" spans="1:11">
      <c r="A33" s="37">
        <v>1000</v>
      </c>
      <c r="B33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termico'!$B$75)*A33</f>
        <v>4541.7027435387035</v>
      </c>
      <c r="C33" s="22" t="str">
        <f t="shared" ref="C33:C52" si="0">IF(B33&lt;0,"elettrica","benzina")</f>
        <v>benzina</v>
      </c>
      <c r="E33" s="37">
        <v>21000</v>
      </c>
      <c r="F33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termico'!$B$75)*E33</f>
        <v>-4925.4966973053151</v>
      </c>
      <c r="G33" s="22" t="str">
        <f t="shared" ref="G33:G52" si="1">IF(F33&lt;0,"elettrica","benzina")</f>
        <v>elettrica</v>
      </c>
      <c r="I33" s="37">
        <v>41000</v>
      </c>
      <c r="J33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termico'!$B$75)*I33</f>
        <v>-14392.696138149331</v>
      </c>
      <c r="K33" s="22" t="str">
        <f t="shared" ref="K33:K52" si="2">IF(J33&lt;0,"elettrica","benzina")</f>
        <v>elettrica</v>
      </c>
    </row>
    <row r="34" spans="1:11">
      <c r="A34" s="37">
        <v>2000</v>
      </c>
      <c r="B34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termico'!$B$75)*A34</f>
        <v>4068.3427714965023</v>
      </c>
      <c r="C34" s="22" t="str">
        <f t="shared" si="0"/>
        <v>benzina</v>
      </c>
      <c r="E34" s="37">
        <v>22000</v>
      </c>
      <c r="F34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termico'!$B$75)*E34</f>
        <v>-5398.8566693475159</v>
      </c>
      <c r="G34" s="22" t="str">
        <f t="shared" si="1"/>
        <v>elettrica</v>
      </c>
      <c r="I34" s="37">
        <v>42000</v>
      </c>
      <c r="J34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termico'!$B$75)*I34</f>
        <v>-14866.056110191534</v>
      </c>
      <c r="K34" s="22" t="str">
        <f t="shared" si="2"/>
        <v>elettrica</v>
      </c>
    </row>
    <row r="35" spans="1:11">
      <c r="A35" s="37">
        <v>3000</v>
      </c>
      <c r="B35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termico'!$B$75)*A35</f>
        <v>3594.9827994543016</v>
      </c>
      <c r="C35" s="22" t="str">
        <f t="shared" si="0"/>
        <v>benzina</v>
      </c>
      <c r="E35" s="37">
        <v>23000</v>
      </c>
      <c r="F35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termico'!$B$75)*E35</f>
        <v>-5872.2166413897166</v>
      </c>
      <c r="G35" s="22" t="str">
        <f t="shared" si="1"/>
        <v>elettrica</v>
      </c>
      <c r="I35" s="37">
        <v>43000</v>
      </c>
      <c r="J35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termico'!$B$75)*I35</f>
        <v>-15339.416082233736</v>
      </c>
      <c r="K35" s="22" t="str">
        <f t="shared" si="2"/>
        <v>elettrica</v>
      </c>
    </row>
    <row r="36" spans="1:11">
      <c r="A36" s="37">
        <v>4000</v>
      </c>
      <c r="B36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termico'!$B$75)*A36</f>
        <v>3121.6228274121004</v>
      </c>
      <c r="C36" s="22" t="str">
        <f t="shared" si="0"/>
        <v>benzina</v>
      </c>
      <c r="E36" s="37">
        <v>24000</v>
      </c>
      <c r="F36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termico'!$B$75)*E36</f>
        <v>-6345.5766134319174</v>
      </c>
      <c r="G36" s="22" t="str">
        <f t="shared" si="1"/>
        <v>elettrica</v>
      </c>
      <c r="I36" s="37">
        <v>44000</v>
      </c>
      <c r="J36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termico'!$B$75)*I36</f>
        <v>-15812.776054275935</v>
      </c>
      <c r="K36" s="22" t="str">
        <f t="shared" si="2"/>
        <v>elettrica</v>
      </c>
    </row>
    <row r="37" spans="1:11">
      <c r="A37" s="37">
        <v>5000</v>
      </c>
      <c r="B37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termico'!$B$75)*A37</f>
        <v>2648.2628553698996</v>
      </c>
      <c r="C37" s="22" t="str">
        <f t="shared" si="0"/>
        <v>benzina</v>
      </c>
      <c r="E37" s="37">
        <v>25000</v>
      </c>
      <c r="F37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termico'!$B$75)*E37</f>
        <v>-6818.9365854741181</v>
      </c>
      <c r="G37" s="22" t="str">
        <f t="shared" si="1"/>
        <v>elettrica</v>
      </c>
      <c r="I37" s="37">
        <v>45000</v>
      </c>
      <c r="J37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termico'!$B$75)*I37</f>
        <v>-16286.136026318138</v>
      </c>
      <c r="K37" s="22" t="str">
        <f t="shared" si="2"/>
        <v>elettrica</v>
      </c>
    </row>
    <row r="38" spans="1:11">
      <c r="A38" s="37">
        <v>6000</v>
      </c>
      <c r="B38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termico'!$B$75)*A38</f>
        <v>2174.9028833276989</v>
      </c>
      <c r="C38" s="22" t="str">
        <f t="shared" si="0"/>
        <v>benzina</v>
      </c>
      <c r="E38" s="37">
        <v>26000</v>
      </c>
      <c r="F38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termico'!$B$75)*E38</f>
        <v>-7292.2965575163207</v>
      </c>
      <c r="G38" s="22" t="str">
        <f t="shared" si="1"/>
        <v>elettrica</v>
      </c>
      <c r="I38" s="37">
        <v>46000</v>
      </c>
      <c r="J38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termico'!$B$75)*I38</f>
        <v>-16759.495998360337</v>
      </c>
      <c r="K38" s="22" t="str">
        <f t="shared" si="2"/>
        <v>elettrica</v>
      </c>
    </row>
    <row r="39" spans="1:11">
      <c r="A39" s="37">
        <v>7000</v>
      </c>
      <c r="B39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termico'!$B$75)*A39</f>
        <v>1701.5429112854977</v>
      </c>
      <c r="C39" s="22" t="str">
        <f t="shared" si="0"/>
        <v>benzina</v>
      </c>
      <c r="E39" s="37">
        <v>27000</v>
      </c>
      <c r="F39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termico'!$B$75)*E39</f>
        <v>-7765.6565295585215</v>
      </c>
      <c r="G39" s="22" t="str">
        <f t="shared" si="1"/>
        <v>elettrica</v>
      </c>
      <c r="I39" s="37">
        <v>47000</v>
      </c>
      <c r="J39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termico'!$B$75)*I39</f>
        <v>-17232.855970402539</v>
      </c>
      <c r="K39" s="22" t="str">
        <f t="shared" si="2"/>
        <v>elettrica</v>
      </c>
    </row>
    <row r="40" spans="1:11">
      <c r="A40" s="37">
        <v>8000</v>
      </c>
      <c r="B40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termico'!$B$75)*A40</f>
        <v>1228.1829392432969</v>
      </c>
      <c r="C40" s="22" t="str">
        <f t="shared" si="0"/>
        <v>benzina</v>
      </c>
      <c r="E40" s="37">
        <v>28000</v>
      </c>
      <c r="F40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termico'!$B$75)*E40</f>
        <v>-8239.0165016007231</v>
      </c>
      <c r="G40" s="22" t="str">
        <f t="shared" si="1"/>
        <v>elettrica</v>
      </c>
      <c r="I40" s="37">
        <v>48000</v>
      </c>
      <c r="J40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termico'!$B$75)*I40</f>
        <v>-17706.215942444738</v>
      </c>
      <c r="K40" s="22" t="str">
        <f t="shared" si="2"/>
        <v>elettrica</v>
      </c>
    </row>
    <row r="41" spans="1:11">
      <c r="A41" s="37">
        <v>9000</v>
      </c>
      <c r="B41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termico'!$B$75)*A41</f>
        <v>754.82296720109571</v>
      </c>
      <c r="C41" s="22" t="str">
        <f t="shared" si="0"/>
        <v>benzina</v>
      </c>
      <c r="E41" s="37">
        <v>29000</v>
      </c>
      <c r="F41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termico'!$B$75)*E41</f>
        <v>-8712.3764736429221</v>
      </c>
      <c r="G41" s="22" t="str">
        <f t="shared" si="1"/>
        <v>elettrica</v>
      </c>
      <c r="I41" s="37">
        <v>49000</v>
      </c>
      <c r="J41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termico'!$B$75)*I41</f>
        <v>-18179.575914486941</v>
      </c>
      <c r="K41" s="22" t="str">
        <f t="shared" si="2"/>
        <v>elettrica</v>
      </c>
    </row>
    <row r="42" spans="1:11">
      <c r="A42" s="37">
        <v>10000</v>
      </c>
      <c r="B42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termico'!$B$75)*A42</f>
        <v>281.46299515889496</v>
      </c>
      <c r="C42" s="22" t="str">
        <f t="shared" si="0"/>
        <v>benzina</v>
      </c>
      <c r="E42" s="37">
        <v>30000</v>
      </c>
      <c r="F42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termico'!$B$75)*E42</f>
        <v>-9185.7364456851246</v>
      </c>
      <c r="G42" s="22" t="str">
        <f t="shared" si="1"/>
        <v>elettrica</v>
      </c>
      <c r="I42" s="37">
        <v>50000</v>
      </c>
      <c r="J42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termico'!$B$75)*I42</f>
        <v>-18652.93588652914</v>
      </c>
      <c r="K42" s="22" t="str">
        <f t="shared" si="2"/>
        <v>elettrica</v>
      </c>
    </row>
    <row r="43" spans="1:11">
      <c r="A43" s="37">
        <v>11000</v>
      </c>
      <c r="B43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termico'!$B$75)*A43</f>
        <v>-191.8969768833058</v>
      </c>
      <c r="C43" s="22" t="str">
        <f t="shared" si="0"/>
        <v>elettrica</v>
      </c>
      <c r="E43" s="37">
        <v>31000</v>
      </c>
      <c r="F43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termico'!$B$75)*E43</f>
        <v>-9659.0964177273236</v>
      </c>
      <c r="G43" s="22" t="str">
        <f t="shared" si="1"/>
        <v>elettrica</v>
      </c>
      <c r="I43" s="37">
        <v>51000</v>
      </c>
      <c r="J43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termico'!$B$75)*I43</f>
        <v>-19126.295858571342</v>
      </c>
      <c r="K43" s="22" t="str">
        <f t="shared" si="2"/>
        <v>elettrica</v>
      </c>
    </row>
    <row r="44" spans="1:11">
      <c r="A44" s="37">
        <v>12000</v>
      </c>
      <c r="B44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termico'!$B$75)*A44</f>
        <v>-665.25694892550655</v>
      </c>
      <c r="C44" s="22" t="str">
        <f t="shared" si="0"/>
        <v>elettrica</v>
      </c>
      <c r="E44" s="37">
        <v>32000</v>
      </c>
      <c r="F44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termico'!$B$75)*E44</f>
        <v>-10132.456389769526</v>
      </c>
      <c r="G44" s="22" t="str">
        <f t="shared" si="1"/>
        <v>elettrica</v>
      </c>
      <c r="I44" s="37">
        <v>52000</v>
      </c>
      <c r="J44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termico'!$B$75)*I44</f>
        <v>-19599.655830613545</v>
      </c>
      <c r="K44" s="22" t="str">
        <f t="shared" si="2"/>
        <v>elettrica</v>
      </c>
    </row>
    <row r="45" spans="1:11">
      <c r="A45" s="37">
        <v>13000</v>
      </c>
      <c r="B45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termico'!$B$75)*A45</f>
        <v>-1138.6169209677082</v>
      </c>
      <c r="C45" s="22" t="str">
        <f t="shared" si="0"/>
        <v>elettrica</v>
      </c>
      <c r="E45" s="37">
        <v>33000</v>
      </c>
      <c r="F45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termico'!$B$75)*E45</f>
        <v>-10605.816361811725</v>
      </c>
      <c r="G45" s="22" t="str">
        <f t="shared" si="1"/>
        <v>elettrica</v>
      </c>
      <c r="I45" s="37">
        <v>53000</v>
      </c>
      <c r="J45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termico'!$B$75)*I45</f>
        <v>-20073.015802655744</v>
      </c>
      <c r="K45" s="22" t="str">
        <f t="shared" si="2"/>
        <v>elettrica</v>
      </c>
    </row>
    <row r="46" spans="1:11">
      <c r="A46" s="37">
        <v>14000</v>
      </c>
      <c r="B46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termico'!$B$75)*A46</f>
        <v>-1611.976893009909</v>
      </c>
      <c r="C46" s="22" t="str">
        <f t="shared" si="0"/>
        <v>elettrica</v>
      </c>
      <c r="E46" s="37">
        <v>34000</v>
      </c>
      <c r="F46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termico'!$B$75)*E46</f>
        <v>-11079.176333853928</v>
      </c>
      <c r="G46" s="22" t="str">
        <f t="shared" si="1"/>
        <v>elettrica</v>
      </c>
      <c r="I46" s="37">
        <v>54000</v>
      </c>
      <c r="J46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termico'!$B$75)*I46</f>
        <v>-20546.375774697946</v>
      </c>
      <c r="K46" s="22" t="str">
        <f t="shared" si="2"/>
        <v>elettrica</v>
      </c>
    </row>
    <row r="47" spans="1:11">
      <c r="A47" s="37">
        <v>15000</v>
      </c>
      <c r="B47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termico'!$B$75)*A47</f>
        <v>-2085.3368650521097</v>
      </c>
      <c r="C47" s="22" t="str">
        <f t="shared" si="0"/>
        <v>elettrica</v>
      </c>
      <c r="E47" s="37">
        <v>35000</v>
      </c>
      <c r="F47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termico'!$B$75)*E47</f>
        <v>-11552.536305896127</v>
      </c>
      <c r="G47" s="22" t="str">
        <f t="shared" si="1"/>
        <v>elettrica</v>
      </c>
      <c r="I47" s="37">
        <v>55000</v>
      </c>
      <c r="J47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termico'!$B$75)*I47</f>
        <v>-21019.735746740145</v>
      </c>
      <c r="K47" s="22" t="str">
        <f t="shared" si="2"/>
        <v>elettrica</v>
      </c>
    </row>
    <row r="48" spans="1:11">
      <c r="A48" s="37">
        <v>16000</v>
      </c>
      <c r="B48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termico'!$B$75)*A48</f>
        <v>-2558.6968370943105</v>
      </c>
      <c r="C48" s="22" t="str">
        <f t="shared" si="0"/>
        <v>elettrica</v>
      </c>
      <c r="E48" s="37">
        <v>36000</v>
      </c>
      <c r="F48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termico'!$B$75)*E48</f>
        <v>-12025.896277938329</v>
      </c>
      <c r="G48" s="22" t="str">
        <f t="shared" si="1"/>
        <v>elettrica</v>
      </c>
      <c r="I48" s="37">
        <v>56000</v>
      </c>
      <c r="J48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termico'!$B$75)*I48</f>
        <v>-21493.095718782348</v>
      </c>
      <c r="K48" s="22" t="str">
        <f t="shared" si="2"/>
        <v>elettrica</v>
      </c>
    </row>
    <row r="49" spans="1:11">
      <c r="A49" s="37">
        <v>17000</v>
      </c>
      <c r="B49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termico'!$B$75)*A49</f>
        <v>-3032.0568091365112</v>
      </c>
      <c r="C49" s="22" t="str">
        <f t="shared" si="0"/>
        <v>elettrica</v>
      </c>
      <c r="E49" s="37">
        <v>37000</v>
      </c>
      <c r="F49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termico'!$B$75)*E49</f>
        <v>-12499.256249980528</v>
      </c>
      <c r="G49" s="22" t="str">
        <f t="shared" si="1"/>
        <v>elettrica</v>
      </c>
      <c r="I49" s="37">
        <v>57000</v>
      </c>
      <c r="J49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termico'!$B$75)*I49</f>
        <v>-21966.455690824547</v>
      </c>
      <c r="K49" s="22" t="str">
        <f t="shared" si="2"/>
        <v>elettrica</v>
      </c>
    </row>
    <row r="50" spans="1:11">
      <c r="A50" s="37">
        <v>18000</v>
      </c>
      <c r="B50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termico'!$B$75)*A50</f>
        <v>-3505.4167811787129</v>
      </c>
      <c r="C50" s="22" t="str">
        <f t="shared" si="0"/>
        <v>elettrica</v>
      </c>
      <c r="E50" s="37">
        <v>38000</v>
      </c>
      <c r="F50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termico'!$B$75)*E50</f>
        <v>-12972.616222022731</v>
      </c>
      <c r="G50" s="22" t="str">
        <f t="shared" si="1"/>
        <v>elettrica</v>
      </c>
      <c r="I50" s="37">
        <v>58000</v>
      </c>
      <c r="J50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termico'!$B$75)*I50</f>
        <v>-22439.815662866749</v>
      </c>
      <c r="K50" s="22" t="str">
        <f t="shared" si="2"/>
        <v>elettrica</v>
      </c>
    </row>
    <row r="51" spans="1:11">
      <c r="A51" s="37">
        <v>19000</v>
      </c>
      <c r="B51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termico'!$B$75)*A51</f>
        <v>-3978.7767532209136</v>
      </c>
      <c r="C51" s="22" t="str">
        <f t="shared" si="0"/>
        <v>elettrica</v>
      </c>
      <c r="E51" s="37">
        <v>39000</v>
      </c>
      <c r="F51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termico'!$B$75)*E51</f>
        <v>-13445.97619406493</v>
      </c>
      <c r="G51" s="22" t="str">
        <f t="shared" si="1"/>
        <v>elettrica</v>
      </c>
      <c r="I51" s="37">
        <v>59000</v>
      </c>
      <c r="J51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termico'!$B$75)*I51</f>
        <v>-22913.175634908948</v>
      </c>
      <c r="K51" s="22" t="str">
        <f t="shared" si="2"/>
        <v>elettrica</v>
      </c>
    </row>
    <row r="52" spans="1:11">
      <c r="A52" s="37">
        <v>20000</v>
      </c>
      <c r="B52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termico'!$B$75)*A52</f>
        <v>-4452.1367252631144</v>
      </c>
      <c r="C52" s="22" t="str">
        <f t="shared" si="0"/>
        <v>elettrica</v>
      </c>
      <c r="E52" s="37">
        <v>40000</v>
      </c>
      <c r="F52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termico'!$B$75)*E52</f>
        <v>-13919.336166107132</v>
      </c>
      <c r="G52" s="22" t="str">
        <f t="shared" si="1"/>
        <v>elettrica</v>
      </c>
      <c r="I52" s="37">
        <v>60000</v>
      </c>
      <c r="J52" s="34">
        <f>'6 - Elettrico o termico'!$B$74+('2 - Le opzioni'!$B$112*('6 - Elettrico o termico'!$B$11/100*((1-('6 - Elettrico o termico'!$B$18))*'6 - Elettrico o termico'!$B$16+('6 - Elettrico o termico'!$B$18)*('6 - Elettrico o termico'!$B$17))-'6 - Elettrico o termico'!$B$7/100*'6 - Elettrico o termico'!$B$15)+'6 - Elettrico o termico'!$B$75)*I52</f>
        <v>-23386.535606951151</v>
      </c>
      <c r="K52" s="22" t="str">
        <f t="shared" si="2"/>
        <v>elettrica</v>
      </c>
    </row>
    <row r="60" spans="1:11">
      <c r="A60" s="43" t="s">
        <v>266</v>
      </c>
      <c r="B60" s="40"/>
      <c r="C60" s="40"/>
      <c r="D60" s="40"/>
      <c r="E60" s="40"/>
      <c r="F60" s="40"/>
      <c r="G60" s="40"/>
      <c r="H60" s="40"/>
    </row>
    <row r="61" spans="1:11" ht="30" customHeight="1">
      <c r="A61" s="42" t="s">
        <v>267</v>
      </c>
      <c r="B61" s="40"/>
      <c r="C61" s="40"/>
      <c r="D61" s="40"/>
      <c r="E61" s="40"/>
      <c r="F61" s="40"/>
      <c r="G61" s="40"/>
      <c r="H61" s="40"/>
    </row>
    <row r="62" spans="1:11" ht="32.1" customHeight="1">
      <c r="A62" s="30" t="s">
        <v>391</v>
      </c>
      <c r="B62" s="30" t="s">
        <v>284</v>
      </c>
      <c r="C62" s="30" t="s">
        <v>496</v>
      </c>
      <c r="D62" s="30" t="s">
        <v>497</v>
      </c>
      <c r="E62" s="30" t="s">
        <v>498</v>
      </c>
    </row>
    <row r="63" spans="1:11">
      <c r="A63" s="26">
        <v>1</v>
      </c>
      <c r="B63" s="33">
        <f>1/(1+'1 - Il tuo profilo'!$B$13)^A63</f>
        <v>0.970873786407767</v>
      </c>
      <c r="C63" s="21">
        <f>IF(A63&lt;=3,'2 - Le opzioni'!$B$56,IF(A63&lt;=7,'2 - Le opzioni'!$B$57,IF(A63&lt;=12,'2 - Le opzioni'!$B$58,'2 - Le opzioni'!$B$59+'2 - Le opzioni'!$B$60*(A63-13))))</f>
        <v>350</v>
      </c>
      <c r="D63" s="18">
        <f>'6 - Elettrico o termico'!$B$8*'1 - Il tuo profilo'!$B$30</f>
        <v>180.6</v>
      </c>
      <c r="E63" s="18">
        <f>IF(A63&lt;='2 - Le opzioni'!$B$31,0,'2 - Le opzioni'!$B$32)*'6 - Elettrico o termico'!$B$12*'1 - Il tuo profilo'!$B$30</f>
        <v>0</v>
      </c>
    </row>
    <row r="64" spans="1:11">
      <c r="A64" s="26">
        <v>2</v>
      </c>
      <c r="B64" s="33">
        <f>1/(1+'1 - Il tuo profilo'!$B$13)^A64</f>
        <v>0.94259590913375435</v>
      </c>
      <c r="C64" s="21">
        <f>IF(A64&lt;=3,'2 - Le opzioni'!$B$56,IF(A64&lt;=7,'2 - Le opzioni'!$B$57,IF(A64&lt;=12,'2 - Le opzioni'!$B$58,'2 - Le opzioni'!$B$59+'2 - Le opzioni'!$B$60*(A64-13))))</f>
        <v>350</v>
      </c>
      <c r="D64" s="18">
        <f>'6 - Elettrico o termico'!$B$8*'1 - Il tuo profilo'!$B$30</f>
        <v>180.6</v>
      </c>
      <c r="E64" s="18">
        <f>IF(A64&lt;='2 - Le opzioni'!$B$31,0,'2 - Le opzioni'!$B$32)*'6 - Elettrico o termico'!$B$12*'1 - Il tuo profilo'!$B$30</f>
        <v>0</v>
      </c>
    </row>
    <row r="65" spans="1:5">
      <c r="A65" s="26">
        <v>3</v>
      </c>
      <c r="B65" s="33">
        <f>1/(1+'1 - Il tuo profilo'!$B$13)^A65</f>
        <v>0.91514165935315961</v>
      </c>
      <c r="C65" s="21">
        <f>IF(A65&lt;=3,'2 - Le opzioni'!$B$56,IF(A65&lt;=7,'2 - Le opzioni'!$B$57,IF(A65&lt;=12,'2 - Le opzioni'!$B$58,'2 - Le opzioni'!$B$59+'2 - Le opzioni'!$B$60*(A65-13))))</f>
        <v>350</v>
      </c>
      <c r="D65" s="18">
        <f>'6 - Elettrico o termico'!$B$8*'1 - Il tuo profilo'!$B$30</f>
        <v>180.6</v>
      </c>
      <c r="E65" s="18">
        <f>IF(A65&lt;='2 - Le opzioni'!$B$31,0,'2 - Le opzioni'!$B$32)*'6 - Elettrico o termico'!$B$12*'1 - Il tuo profilo'!$B$30</f>
        <v>0</v>
      </c>
    </row>
    <row r="66" spans="1:5">
      <c r="A66" s="26">
        <v>4</v>
      </c>
      <c r="B66" s="33">
        <f>1/(1+'1 - Il tuo profilo'!$B$13)^A66</f>
        <v>0.888487047915689</v>
      </c>
      <c r="C66" s="21">
        <f>IF(A66&lt;=3,'2 - Le opzioni'!$B$56,IF(A66&lt;=7,'2 - Le opzioni'!$B$57,IF(A66&lt;=12,'2 - Le opzioni'!$B$58,'2 - Le opzioni'!$B$59+'2 - Le opzioni'!$B$60*(A66-13))))</f>
        <v>600</v>
      </c>
      <c r="D66" s="18">
        <f>'6 - Elettrico o termico'!$B$8*'1 - Il tuo profilo'!$B$30</f>
        <v>180.6</v>
      </c>
      <c r="E66" s="18">
        <f>IF(A66&lt;='2 - Le opzioni'!$B$31,0,'2 - Le opzioni'!$B$32)*'6 - Elettrico o termico'!$B$12*'1 - Il tuo profilo'!$B$30</f>
        <v>0</v>
      </c>
    </row>
    <row r="67" spans="1:5">
      <c r="A67" s="26">
        <v>5</v>
      </c>
      <c r="B67" s="33">
        <f>1/(1+'1 - Il tuo profilo'!$B$13)^A67</f>
        <v>0.86260878438416411</v>
      </c>
      <c r="C67" s="21">
        <f>IF(A67&lt;=3,'2 - Le opzioni'!$B$56,IF(A67&lt;=7,'2 - Le opzioni'!$B$57,IF(A67&lt;=12,'2 - Le opzioni'!$B$58,'2 - Le opzioni'!$B$59+'2 - Le opzioni'!$B$60*(A67-13))))</f>
        <v>600</v>
      </c>
      <c r="D67" s="18">
        <f>'6 - Elettrico o termico'!$B$8*'1 - Il tuo profilo'!$B$30</f>
        <v>180.6</v>
      </c>
      <c r="E67" s="18">
        <f>IF(A67&lt;='2 - Le opzioni'!$B$31,0,'2 - Le opzioni'!$B$32)*'6 - Elettrico o termico'!$B$12*'1 - Il tuo profilo'!$B$30</f>
        <v>0</v>
      </c>
    </row>
    <row r="68" spans="1:5">
      <c r="A68" s="26">
        <v>6</v>
      </c>
      <c r="B68" s="33">
        <f>1/(1+'1 - Il tuo profilo'!$B$13)^A68</f>
        <v>0.83748425668365445</v>
      </c>
      <c r="C68" s="21">
        <f>IF(A68&lt;=3,'2 - Le opzioni'!$B$56,IF(A68&lt;=7,'2 - Le opzioni'!$B$57,IF(A68&lt;=12,'2 - Le opzioni'!$B$58,'2 - Le opzioni'!$B$59+'2 - Le opzioni'!$B$60*(A68-13))))</f>
        <v>600</v>
      </c>
      <c r="D68" s="18">
        <f>'6 - Elettrico o termico'!$B$8*'1 - Il tuo profilo'!$B$30</f>
        <v>180.6</v>
      </c>
      <c r="E68" s="18">
        <f>IF(A68&lt;='2 - Le opzioni'!$B$31,0,'2 - Le opzioni'!$B$32)*'6 - Elettrico o termico'!$B$12*'1 - Il tuo profilo'!$B$30</f>
        <v>54.825000000000003</v>
      </c>
    </row>
    <row r="69" spans="1:5">
      <c r="A69" s="26">
        <v>7</v>
      </c>
      <c r="B69" s="33">
        <f>1/(1+'1 - Il tuo profilo'!$B$13)^A69</f>
        <v>0.81309151134335378</v>
      </c>
      <c r="C69" s="21">
        <f>IF(A69&lt;=3,'2 - Le opzioni'!$B$56,IF(A69&lt;=7,'2 - Le opzioni'!$B$57,IF(A69&lt;=12,'2 - Le opzioni'!$B$58,'2 - Le opzioni'!$B$59+'2 - Le opzioni'!$B$60*(A69-13))))</f>
        <v>600</v>
      </c>
      <c r="D69" s="18">
        <f>'6 - Elettrico o termico'!$B$8*'1 - Il tuo profilo'!$B$30</f>
        <v>180.6</v>
      </c>
      <c r="E69" s="18">
        <f>IF(A69&lt;='2 - Le opzioni'!$B$31,0,'2 - Le opzioni'!$B$32)*'6 - Elettrico o termico'!$B$12*'1 - Il tuo profilo'!$B$30</f>
        <v>54.825000000000003</v>
      </c>
    </row>
    <row r="70" spans="1:5">
      <c r="A70" s="26">
        <v>8</v>
      </c>
      <c r="B70" s="33">
        <f>1/(1+'1 - Il tuo profilo'!$B$13)^A70</f>
        <v>0.78940923431393573</v>
      </c>
      <c r="C70" s="21">
        <f>IF(A70&lt;=3,'2 - Le opzioni'!$B$56,IF(A70&lt;=7,'2 - Le opzioni'!$B$57,IF(A70&lt;=12,'2 - Le opzioni'!$B$58,'2 - Le opzioni'!$B$59+'2 - Le opzioni'!$B$60*(A70-13))))</f>
        <v>900</v>
      </c>
      <c r="D70" s="18">
        <f>'6 - Elettrico o termico'!$B$8*'1 - Il tuo profilo'!$B$30</f>
        <v>180.6</v>
      </c>
      <c r="E70" s="18">
        <f>IF(A70&lt;='2 - Le opzioni'!$B$31,0,'2 - Le opzioni'!$B$32)*'6 - Elettrico o termico'!$B$12*'1 - Il tuo profilo'!$B$30</f>
        <v>54.825000000000003</v>
      </c>
    </row>
    <row r="71" spans="1:5">
      <c r="A71" s="26">
        <v>9</v>
      </c>
      <c r="B71" s="33">
        <f>1/(1+'1 - Il tuo profilo'!$B$13)^A71</f>
        <v>0.76641673234362695</v>
      </c>
      <c r="C71" s="21">
        <f>IF(A71&lt;=3,'2 - Le opzioni'!$B$56,IF(A71&lt;=7,'2 - Le opzioni'!$B$57,IF(A71&lt;=12,'2 - Le opzioni'!$B$58,'2 - Le opzioni'!$B$59+'2 - Le opzioni'!$B$60*(A71-13))))</f>
        <v>900</v>
      </c>
      <c r="D71" s="18">
        <f>'6 - Elettrico o termico'!$B$8*'1 - Il tuo profilo'!$B$30</f>
        <v>180.6</v>
      </c>
      <c r="E71" s="18">
        <f>IF(A71&lt;='2 - Le opzioni'!$B$31,0,'2 - Le opzioni'!$B$32)*'6 - Elettrico o termico'!$B$12*'1 - Il tuo profilo'!$B$30</f>
        <v>54.825000000000003</v>
      </c>
    </row>
    <row r="72" spans="1:5">
      <c r="A72" s="26">
        <v>10</v>
      </c>
      <c r="B72" s="33">
        <f>1/(1+'1 - Il tuo profilo'!$B$13)^A72</f>
        <v>0.74409391489672516</v>
      </c>
      <c r="C72" s="21">
        <f>IF(A72&lt;=3,'2 - Le opzioni'!$B$56,IF(A72&lt;=7,'2 - Le opzioni'!$B$57,IF(A72&lt;=12,'2 - Le opzioni'!$B$58,'2 - Le opzioni'!$B$59+'2 - Le opzioni'!$B$60*(A72-13))))</f>
        <v>900</v>
      </c>
      <c r="D72" s="18">
        <f>'6 - Elettrico o termico'!$B$8*'1 - Il tuo profilo'!$B$30</f>
        <v>180.6</v>
      </c>
      <c r="E72" s="18">
        <f>IF(A72&lt;='2 - Le opzioni'!$B$31,0,'2 - Le opzioni'!$B$32)*'6 - Elettrico o termico'!$B$12*'1 - Il tuo profilo'!$B$30</f>
        <v>54.825000000000003</v>
      </c>
    </row>
    <row r="74" spans="1:5">
      <c r="A74" s="6" t="s">
        <v>499</v>
      </c>
      <c r="B74" s="18">
        <f>('6 - Elettrico o termico'!$B$9-'6 - Elettrico o termico'!$B$10-'6 - Elettrico o termico'!$B$6)-('6 - Elettrico o termico'!$B$9*IF(10&gt;=MAX('2 - Le opzioni'!$B$67:$K$67),0,INDEX('2 - Le opzioni'!$B$69:$K$69,MATCH(10,'2 - Le opzioni'!$B$67:$K$67,1))+(INDEX('2 - Le opzioni'!$B$69:$K$69,MATCH(10,'2 - Le opzioni'!$B$67:$K$67,1)+1)-INDEX('2 - Le opzioni'!$B$69:$K$69,MATCH(10,'2 - Le opzioni'!$B$67:$K$67,1)))*(10-INDEX('2 - Le opzioni'!$B$67:$K$67,MATCH(10,'2 - Le opzioni'!$B$67:$K$67,1)))/(INDEX('2 - Le opzioni'!$B$67:$K$67,MATCH(10,'2 - Le opzioni'!$B$67:$K$67,1)+1)-INDEX('2 - Le opzioni'!$B$67:$K$67,MATCH(10,'2 - Le opzioni'!$B$67:$K$67,1))))-'6 - Elettrico o termico'!$B$6*IF(10&gt;=MAX('2 - Le opzioni'!$B$67:$K$67),0,INDEX('2 - Le opzioni'!$B$68:$K$68,MATCH(10,'2 - Le opzioni'!$B$67:$K$67,1))+(INDEX('2 - Le opzioni'!$B$68:$K$68,MATCH(10,'2 - Le opzioni'!$B$67:$K$67,1)+1)-INDEX('2 - Le opzioni'!$B$68:$K$68,MATCH(10,'2 - Le opzioni'!$B$67:$K$67,1)))*(10-INDEX('2 - Le opzioni'!$B$67:$K$67,MATCH(10,'2 - Le opzioni'!$B$67:$K$67,1)))/(INDEX('2 - Le opzioni'!$B$67:$K$67,MATCH(10,'2 - Le opzioni'!$B$67:$K$67,1)+1)-INDEX('2 - Le opzioni'!$B$67:$K$67,MATCH(10,'2 - Le opzioni'!$B$67:$K$67,1)))))/(1+'1 - Il tuo profilo'!$B$13)^10+SUMPRODUCT('6 - Elettrico o termico'!$B$63:$B$72,'6 - Elettrico o termico'!$E$63:$E$72)-SUMPRODUCT('6 - Elettrico o termico'!$B$63:$B$72,'6 - Elettrico o termico'!$D$63:$D$72)+SUMPRODUCT('6 - Elettrico o termico'!$B$63:$B$72,'6 - Elettrico o termico'!$C$63:$C$72)*0.5*('2 - Le opzioni'!$B$62-1)</f>
        <v>5015.0627155809043</v>
      </c>
    </row>
    <row r="75" spans="1:5">
      <c r="A75" s="6" t="s">
        <v>500</v>
      </c>
      <c r="B75" s="33">
        <f>SUMPRODUCT('6 - Elettrico o termico'!$B$63:$B$72,'6 - Elettrico o termico'!$C$63:$C$72)*0.5*('2 - Le opzioni'!$B$62-1)/'2 - Le opzioni'!$B$63</f>
        <v>-6.376181034760145E-2</v>
      </c>
    </row>
  </sheetData>
  <mergeCells count="17">
    <mergeCell ref="A61:H61"/>
    <mergeCell ref="A60:H60"/>
    <mergeCell ref="A14:H14"/>
    <mergeCell ref="C15:F15"/>
    <mergeCell ref="A5:H5"/>
    <mergeCell ref="C10:F10"/>
    <mergeCell ref="A31:H31"/>
    <mergeCell ref="A1:H1"/>
    <mergeCell ref="C22:F22"/>
    <mergeCell ref="A3:H3"/>
    <mergeCell ref="C17:F17"/>
    <mergeCell ref="A29:H29"/>
    <mergeCell ref="A20:H20"/>
    <mergeCell ref="A24:H24"/>
    <mergeCell ref="A2:H2"/>
    <mergeCell ref="C21:F21"/>
    <mergeCell ref="C16:F16"/>
  </mergeCells>
  <dataValidations count="1">
    <dataValidation type="decimal" errorTitle="Valore non valido" error="Valore fuori dal campo del simulatore (0 - 1)" sqref="B18">
      <formula1>0</formula1>
      <formula2>1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0 - Indice</vt:lpstr>
      <vt:lpstr>1 - Il tuo profilo</vt:lpstr>
      <vt:lpstr>2 - Le opzioni</vt:lpstr>
      <vt:lpstr>3 - Il costo opportunità</vt:lpstr>
      <vt:lpstr>4 - Abitudine o contratto</vt:lpstr>
      <vt:lpstr>5 - Senza auto</vt:lpstr>
      <vt:lpstr>6 - Elettrico o termico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2026-10-08T15:11:17Z</dcterms:created>
  <dcterms:modified xsi:type="dcterms:W3CDTF">2026-10-08T15:11:18Z</dcterms:modified>
</cp:coreProperties>
</file>