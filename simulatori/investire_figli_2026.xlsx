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PIANO" sheetId="2" state="visible" r:id="rId2"/>
    <sheet name="2 - STRUMENTI" sheetId="3" state="visible" r:id="rId3"/>
    <sheet name="3 - RITARDO" sheetId="4" state="visible" r:id="rId4"/>
    <sheet name="4 - FISCO E INTESTAZIO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0.0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Investire per i Figli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PIANO</t>
        </is>
      </c>
      <c r="B5" s="5" t="inlineStr">
        <is>
          <t>Quanto avrà tuo figlio ai 18 anni, coi tuoi numeri</t>
        </is>
      </c>
    </row>
    <row r="6" ht="22" customHeight="1">
      <c r="A6" s="4" t="inlineStr">
        <is>
          <t>2 - STRUMENTI</t>
        </is>
      </c>
      <c r="B6" s="5" t="inlineStr">
        <is>
          <t>Buoni postali per minori, ETF e fondo pensione</t>
        </is>
      </c>
    </row>
    <row r="7" ht="22" customHeight="1">
      <c r="A7" s="4" t="inlineStr">
        <is>
          <t>3 - RITARDO</t>
        </is>
      </c>
      <c r="B7" s="5" t="inlineStr">
        <is>
          <t>Quanto costa rimandare la partenza</t>
        </is>
      </c>
    </row>
    <row r="8" ht="22" customHeight="1">
      <c r="A8" s="4" t="inlineStr">
        <is>
          <t>4 - FISCO E INTESTAZIONE</t>
        </is>
      </c>
      <c r="B8" s="5" t="inlineStr">
        <is>
          <t>A chi intestare, aliquote, donazioni</t>
        </is>
      </c>
    </row>
    <row r="10">
      <c r="A10" s="3" t="inlineStr">
        <is>
          <t>Come usare</t>
        </is>
      </c>
    </row>
    <row r="11">
      <c r="A11" s="5" t="inlineStr">
        <is>
          <t>1. Le celle GIALLE sono input — modificale coi tuoi numeri.</t>
        </is>
      </c>
    </row>
    <row r="12">
      <c r="A12" s="5" t="inlineStr">
        <is>
          <t>2. Le celle VERDI sono output — si aggiornano automaticamente.</t>
        </is>
      </c>
    </row>
    <row r="13">
      <c r="A13" s="5" t="inlineStr">
        <is>
          <t>3. Tutti i numeri di default sono al 2026 da fonti pubbliche.</t>
        </is>
      </c>
    </row>
    <row r="14">
      <c r="A14" s="5" t="inlineStr">
        <is>
          <t>4. Niente codice nascosto: l'Excel è solo formule modificabili.</t>
        </is>
      </c>
    </row>
    <row r="16">
      <c r="A16" s="3" t="inlineStr">
        <is>
          <t>Fonti dati</t>
        </is>
      </c>
    </row>
    <row r="17">
      <c r="A17" s="5" t="inlineStr">
        <is>
          <t>• Poste Italiane — Buono fruttifero postale dedicato ai minori, emissione in vigore dal 6 maggio 2026 (fino al 5% lordo a scadenza; imposta 12,5%; esente da imposta di successione)</t>
        </is>
      </c>
    </row>
    <row r="18">
      <c r="A18" s="5" t="inlineStr">
        <is>
          <t>• Codice Civile art. 372 — autorizzazione del Giudice Tutelare per gli investimenti «non tipici» intestati a minori</t>
        </is>
      </c>
    </row>
    <row r="19">
      <c r="A19" s="5" t="inlineStr">
        <is>
          <t>• D.Lgs. 252/2005 art. 8 — deducibilità dei contributi anche per familiari fiscalmente a carico, entro 5.300 € annui complessivi (2026)</t>
        </is>
      </c>
    </row>
    <row r="20">
      <c r="A20" s="5" t="inlineStr">
        <is>
          <t>• D.P.R. 917/1986 (TUIR) — 26% sulle plusvalenze finanziarie; 12,5% su titoli di Stato e buoni postali</t>
        </is>
      </c>
    </row>
    <row r="21">
      <c r="A21" s="5" t="inlineStr">
        <is>
          <t>• D.Lgs. 346/1990 e D.Lgs. 139/2024 — imposta su successioni e donazioni: 4% oltre 1.000.000 € per figlio, franchigie separate</t>
        </is>
      </c>
    </row>
    <row r="22">
      <c r="A22" s="5" t="inlineStr">
        <is>
          <t>• INPS — Carta per i nuovi nati 2026: 1.000 € una tantum, ISEE fino a 40.000 €, domanda entro 120 giorni</t>
        </is>
      </c>
    </row>
    <row r="24">
      <c r="A24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5" customHeight="1">
      <c r="A1" s="1" t="inlineStr">
        <is>
          <t>Quanto avrà tuo figlio ai 18 anni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 — cambia solo le celle gialle</t>
        </is>
      </c>
    </row>
    <row r="5">
      <c r="A5" s="8" t="inlineStr">
        <is>
          <t>Età attuale del figlio (anni)</t>
        </is>
      </c>
      <c r="B5" s="9" t="n">
        <v>0</v>
      </c>
    </row>
    <row r="6">
      <c r="A6" s="8" t="inlineStr">
        <is>
          <t>Versamento mensile (€)</t>
        </is>
      </c>
      <c r="B6" s="10" t="n">
        <v>100</v>
      </c>
    </row>
    <row r="7">
      <c r="A7" s="8" t="inlineStr">
        <is>
          <t>Capitale già disponibile oggi (€)</t>
        </is>
      </c>
      <c r="B7" s="10" t="n">
        <v>0</v>
      </c>
    </row>
    <row r="8">
      <c r="A8" s="8" t="inlineStr">
        <is>
          <t>Rendimento medio annuo ipotizzato (%)</t>
        </is>
      </c>
      <c r="B8" s="11" t="n">
        <v>0.06</v>
      </c>
    </row>
    <row r="9">
      <c r="A9" s="8" t="inlineStr">
        <is>
          <t>Aliquota sulle plusvalenze (%)</t>
        </is>
      </c>
      <c r="B9" s="11" t="n">
        <v>0.26</v>
      </c>
    </row>
    <row r="10">
      <c r="A10" s="8" t="inlineStr">
        <is>
          <t>Età obiettivo (di norma 18)</t>
        </is>
      </c>
      <c r="B10" s="9" t="n">
        <v>18</v>
      </c>
    </row>
    <row r="11" ht="45" customHeight="1">
      <c r="A11" s="12" t="inlineStr">
        <is>
          <t>Il rendimento è un'IPOTESI, non una promessa. Riferimenti storici di lungo periodo: azionario globale 6-7% nominale, bilanciato 4%, obbligazionario/liquidità 2%. Aliquota 26% per ETF e azioni, 12,5% per titoli di Stato e buoni postali.</t>
        </is>
      </c>
    </row>
    <row r="13">
      <c r="A13" s="7" t="inlineStr">
        <is>
          <t>OUTPUT</t>
        </is>
      </c>
    </row>
    <row r="14">
      <c r="A14" s="8" t="inlineStr">
        <is>
          <t>Anni di accumulo residui</t>
        </is>
      </c>
      <c r="B14" s="13">
        <f>MAX(0,B10-B5)</f>
        <v/>
      </c>
    </row>
    <row r="15">
      <c r="A15" s="8" t="inlineStr">
        <is>
          <t>Mesi di accumulo</t>
        </is>
      </c>
      <c r="B15" s="13">
        <f>B14*12</f>
        <v/>
      </c>
    </row>
    <row r="16">
      <c r="A16" s="8" t="inlineStr">
        <is>
          <t>Tasso mensile equivalente</t>
        </is>
      </c>
      <c r="B16" s="14">
        <f>(1+B8)^(1/12)-1</f>
        <v/>
      </c>
    </row>
    <row r="17">
      <c r="A17" s="8" t="inlineStr">
        <is>
          <t>Totale versato da te</t>
        </is>
      </c>
      <c r="B17" s="15">
        <f>B6*B15+B7</f>
        <v/>
      </c>
    </row>
    <row r="18">
      <c r="A18" s="8" t="inlineStr">
        <is>
          <t>Montante LORDO a scadenza</t>
        </is>
      </c>
      <c r="B18" s="15">
        <f>IF(B16=0,B6*B15+B7,B6*(((1+B16)^B15-1)/B16)*(1+B16)+B7*(1+B8)^B14)</f>
        <v/>
      </c>
    </row>
    <row r="19">
      <c r="A19" s="8" t="inlineStr">
        <is>
          <t>Plusvalenza</t>
        </is>
      </c>
      <c r="B19" s="15">
        <f>MAX(0,B18-B17)</f>
        <v/>
      </c>
    </row>
    <row r="20">
      <c r="A20" s="8" t="inlineStr">
        <is>
          <t>NETTO che troverà ai 18 anni</t>
        </is>
      </c>
      <c r="B20" s="15">
        <f>B17+B19*(1-B9)</f>
        <v/>
      </c>
    </row>
    <row r="21">
      <c r="A21" s="8" t="inlineStr">
        <is>
          <t>Quota prodotta dal TEMPO (non da te)</t>
        </is>
      </c>
      <c r="B21" s="15">
        <f>B20-B17</f>
        <v/>
      </c>
    </row>
    <row r="22">
      <c r="A22" s="8" t="inlineStr">
        <is>
          <t>Peso del tempo sul risultato</t>
        </is>
      </c>
      <c r="B22" s="16">
        <f>IFERROR(B21/B20,0)</f>
        <v/>
      </c>
    </row>
    <row r="24">
      <c r="A24" s="7" t="inlineStr">
        <is>
          <t>CONFRONTO — stessa rata, scenari diversi</t>
        </is>
      </c>
    </row>
    <row r="25">
      <c r="A25" s="17" t="inlineStr">
        <is>
          <t>Scenario</t>
        </is>
      </c>
      <c r="B25" s="17" t="inlineStr">
        <is>
          <t>Netto a scadenza</t>
        </is>
      </c>
    </row>
    <row r="26">
      <c r="A26" s="8" t="inlineStr">
        <is>
          <t>Conto deposito / liquidità 2%</t>
        </is>
      </c>
      <c r="B26" s="15">
        <f>($B$6*$B$15+$B$7)+MAX(0,$B$6*((((1+(0.02)^(1/12)))^$B$15-1)/(((1+(0.02))^(1/12))-1))*((1+(0.02))^(1/12))+$B$7*(1+0.02)^$B$14-($B$6*$B$15+$B$7))*(1-$B$9)</f>
        <v/>
      </c>
    </row>
    <row r="27">
      <c r="A27" s="8" t="inlineStr">
        <is>
          <t>Bilanciato 4%</t>
        </is>
      </c>
      <c r="B27" s="15">
        <f>($B$6*$B$15+$B$7)+MAX(0,$B$6*((((1+(0.04)^(1/12)))^$B$15-1)/(((1+(0.04))^(1/12))-1))*((1+(0.04))^(1/12))+$B$7*(1+0.04)^$B$14-($B$6*$B$15+$B$7))*(1-$B$9)</f>
        <v/>
      </c>
    </row>
    <row r="28">
      <c r="A28" s="8" t="inlineStr">
        <is>
          <t>Azionario globale 6%</t>
        </is>
      </c>
      <c r="B28" s="15">
        <f>($B$6*$B$15+$B$7)+MAX(0,$B$6*((((1+(0.06)^(1/12)))^$B$15-1)/(((1+(0.06))^(1/12))-1))*((1+(0.06))^(1/12))+$B$7*(1+0.06)^$B$14-($B$6*$B$15+$B$7))*(1-$B$9)</f>
        <v/>
      </c>
    </row>
    <row r="29">
      <c r="A29" s="8" t="inlineStr">
        <is>
          <t>Azionario globale 7%</t>
        </is>
      </c>
      <c r="B29" s="15">
        <f>($B$6*$B$15+$B$7)+MAX(0,$B$6*((((1+(0.07)^(1/12)))^$B$15-1)/(((1+(0.07))^(1/12))-1))*((1+(0.07))^(1/12))+$B$7*(1+0.07)^$B$14-($B$6*$B$15+$B$7))*(1-$B$9)</f>
        <v/>
      </c>
    </row>
  </sheetData>
  <mergeCells count="6">
    <mergeCell ref="A1:D1"/>
    <mergeCell ref="A4:D4"/>
    <mergeCell ref="A11:B11"/>
    <mergeCell ref="A24:D24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38" customWidth="1" min="4" max="4"/>
  </cols>
  <sheetData>
    <row r="1" ht="25" customHeight="1">
      <c r="A1" s="1" t="inlineStr">
        <is>
          <t>Le tre strade a confronto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BUONI POSTALI DEDICATI AI MINORI</t>
        </is>
      </c>
    </row>
    <row r="5">
      <c r="A5" s="8" t="inlineStr">
        <is>
          <t>Somma versata in un'unica soluzione (€)</t>
        </is>
      </c>
      <c r="B5" s="10" t="n">
        <v>5000</v>
      </c>
    </row>
    <row r="6">
      <c r="A6" s="8" t="inlineStr">
        <is>
          <t>Età del figlio alla sottoscrizione</t>
        </is>
      </c>
      <c r="B6" s="9" t="n">
        <v>0</v>
      </c>
    </row>
    <row r="7">
      <c r="A7" s="8" t="inlineStr">
        <is>
          <t>Anni residui alla maggiore età</t>
        </is>
      </c>
      <c r="B7" s="13">
        <f>MAX(0,18-B6)</f>
        <v/>
      </c>
    </row>
    <row r="8">
      <c r="A8" s="8" t="inlineStr">
        <is>
          <t>Tasso lordo applicabile (da tabella sotto)</t>
        </is>
      </c>
      <c r="B8" s="18">
        <f>IF(B7&gt;=17,0.04,IF(B7&gt;=16,0.035,IF(B7&gt;=13,0.0325,IF(B7&gt;=10,0.03,IF(B7&gt;=8,0.0275,IF(B7&gt;=6,0.025,IF(B7&gt;=4,0.0225,0.02)))))))</f>
        <v/>
      </c>
    </row>
    <row r="9">
      <c r="A9" s="8" t="inlineStr">
        <is>
          <t>Valore LORDO a scadenza</t>
        </is>
      </c>
      <c r="B9" s="15">
        <f>B5*(1+B8)^B7</f>
        <v/>
      </c>
    </row>
    <row r="10">
      <c r="A10" s="8" t="inlineStr">
        <is>
          <t>Valore NETTO (imposta 12,5%)</t>
        </is>
      </c>
      <c r="B10" s="15">
        <f>B5+(B9-B5)*0.875</f>
        <v/>
      </c>
    </row>
    <row r="11">
      <c r="A11" s="8" t="inlineStr">
        <is>
          <t>Rendimento netto annuo effettivo</t>
        </is>
      </c>
      <c r="B11" s="18">
        <f>IFERROR((B10/B5)^(1/B7)-1,0)</f>
        <v/>
      </c>
    </row>
    <row r="13">
      <c r="A13" s="7" t="inlineStr">
        <is>
          <t>Tabella tassi per anni di detenzione (serie dal 24/07/2026)</t>
        </is>
      </c>
    </row>
    <row r="14">
      <c r="A14" s="17" t="inlineStr">
        <is>
          <t>Anni residui alla maggiore età</t>
        </is>
      </c>
      <c r="B14" s="17" t="inlineStr">
        <is>
          <t>Tasso lordo</t>
        </is>
      </c>
    </row>
    <row r="15">
      <c r="A15" s="8" t="inlineStr">
        <is>
          <t>da 1 anno e 6 mesi a 3 anni</t>
        </is>
      </c>
      <c r="B15" t="inlineStr">
        <is>
          <t>2,00%</t>
        </is>
      </c>
    </row>
    <row r="16">
      <c r="A16" s="8" t="inlineStr">
        <is>
          <t>4-5 anni</t>
        </is>
      </c>
      <c r="B16" t="inlineStr">
        <is>
          <t>2,25%</t>
        </is>
      </c>
    </row>
    <row r="17">
      <c r="A17" s="8" t="inlineStr">
        <is>
          <t>6-7 anni</t>
        </is>
      </c>
      <c r="B17" t="inlineStr">
        <is>
          <t>2,50%</t>
        </is>
      </c>
    </row>
    <row r="18">
      <c r="A18" s="8" t="inlineStr">
        <is>
          <t>8-9 anni</t>
        </is>
      </c>
      <c r="B18" t="inlineStr">
        <is>
          <t>2,75%</t>
        </is>
      </c>
    </row>
    <row r="19">
      <c r="A19" s="8" t="inlineStr">
        <is>
          <t>10-12 anni</t>
        </is>
      </c>
      <c r="B19" t="inlineStr">
        <is>
          <t>3,00%</t>
        </is>
      </c>
    </row>
    <row r="20">
      <c r="A20" s="8" t="inlineStr">
        <is>
          <t>13-15 anni</t>
        </is>
      </c>
      <c r="B20" t="inlineStr">
        <is>
          <t>3,25%</t>
        </is>
      </c>
    </row>
    <row r="21">
      <c r="A21" s="8" t="inlineStr">
        <is>
          <t>16 anni</t>
        </is>
      </c>
      <c r="B21" t="inlineStr">
        <is>
          <t>3,50%</t>
        </is>
      </c>
    </row>
    <row r="22">
      <c r="A22" s="8" t="inlineStr">
        <is>
          <t>17-18 anni</t>
        </is>
      </c>
      <c r="B22" t="inlineStr">
        <is>
          <t>4,00%</t>
        </is>
      </c>
    </row>
    <row r="24" ht="60" customHeight="1">
      <c r="A24" s="12" t="inlineStr">
        <is>
          <t>IL PUNTO CHE QUASI TUTTI SBAGLIANO: il 4% si ottiene SOLO sottoscrivendo alla nascita e tenendo il buono fino ai 18 anni. Sottoscrivendo a 10 anni il tasso scende al 2,50% e il risultato crolla. I tassi cambiano a ogni nuova emissione: verifica sempre sul sito di Poste Italiane.</t>
        </is>
      </c>
    </row>
    <row r="26">
      <c r="A26" s="7" t="inlineStr">
        <is>
          <t>FONDO PENSIONE INTESTATO AL FIGLIO</t>
        </is>
      </c>
    </row>
    <row r="27">
      <c r="A27" s="8" t="inlineStr">
        <is>
          <t>Versamento annuo (€)</t>
        </is>
      </c>
      <c r="B27" s="10" t="n">
        <v>1200</v>
      </c>
    </row>
    <row r="28">
      <c r="A28" s="8" t="inlineStr">
        <is>
          <t>Aliquota marginale del genitore (%)</t>
        </is>
      </c>
      <c r="B28" s="11" t="n">
        <v>0.33</v>
      </c>
    </row>
    <row r="29">
      <c r="A29" s="8" t="inlineStr">
        <is>
          <t>Tetto annuo di deducibilità 2026 (€)</t>
        </is>
      </c>
      <c r="B29" s="10" t="n">
        <v>5300</v>
      </c>
    </row>
    <row r="30">
      <c r="A30" s="8" t="inlineStr">
        <is>
          <t>Importo effettivamente deducibile</t>
        </is>
      </c>
      <c r="B30" s="15">
        <f>MIN(B27,B29)</f>
        <v/>
      </c>
    </row>
    <row r="31">
      <c r="A31" s="8" t="inlineStr">
        <is>
          <t>Risparmio fiscale annuo del genitore</t>
        </is>
      </c>
      <c r="B31" s="15">
        <f>B30*B28</f>
        <v/>
      </c>
    </row>
    <row r="32">
      <c r="A32" s="8" t="inlineStr">
        <is>
          <t>Costo reale annuo</t>
        </is>
      </c>
      <c r="B32" s="15">
        <f>B27-B31</f>
        <v/>
      </c>
    </row>
    <row r="33">
      <c r="A33" s="8" t="inlineStr">
        <is>
          <t>Anni di versamento</t>
        </is>
      </c>
      <c r="B33" s="9" t="n">
        <v>18</v>
      </c>
    </row>
    <row r="34">
      <c r="A34" s="8" t="inlineStr">
        <is>
          <t>Rendimento ipotizzato del fondo (%)</t>
        </is>
      </c>
      <c r="B34" s="11" t="n">
        <v>0.035</v>
      </c>
    </row>
    <row r="35">
      <c r="A35" s="8" t="inlineStr">
        <is>
          <t>Montante a fine versamenti</t>
        </is>
      </c>
      <c r="B35" s="15">
        <f>B27*(((1+B34)^B33-1)/B34)</f>
        <v/>
      </c>
    </row>
    <row r="36">
      <c r="A36" s="8" t="inlineStr">
        <is>
          <t>Anni di sola capitalizzazione dopo (fino ai 67)</t>
        </is>
      </c>
      <c r="B36" s="13">
        <f>67-B33</f>
        <v/>
      </c>
    </row>
    <row r="37">
      <c r="A37" s="8" t="inlineStr">
        <is>
          <t>Montante ai 67 anni del figlio</t>
        </is>
      </c>
      <c r="B37" s="15">
        <f>B35*(1+B34)^B36</f>
        <v/>
      </c>
    </row>
    <row r="39" ht="60" customHeight="1">
      <c r="A39" s="12" t="inlineStr">
        <is>
          <t>Il tetto di 5.300 € è COMPLESSIVO: comprende anche i versamenti che il genitore fa per la propria posizione. Il vincolo è totale: quei soldi il figlio li vedrà solo al pensionamento, non per l'università. È un obiettivo diverso, da finanziare separatamente dal piano del foglio 1.</t>
        </is>
      </c>
    </row>
  </sheetData>
  <mergeCells count="7">
    <mergeCell ref="A1:D1"/>
    <mergeCell ref="A4:D4"/>
    <mergeCell ref="A26:D26"/>
    <mergeCell ref="A39:D39"/>
    <mergeCell ref="A24:D24"/>
    <mergeCell ref="A2:D2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Quanto costa rimandare (a parità di rata)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Parametri (ereditati dal foglio 1)</t>
        </is>
      </c>
    </row>
    <row r="5">
      <c r="A5" s="8" t="inlineStr">
        <is>
          <t>Rata mensile</t>
        </is>
      </c>
      <c r="B5" s="15">
        <f>'1 - PIANO'!B6</f>
        <v/>
      </c>
    </row>
    <row r="6">
      <c r="A6" s="8" t="inlineStr">
        <is>
          <t>Rendimento ipotizzato</t>
        </is>
      </c>
      <c r="B6" s="18">
        <f>'1 - PIANO'!B8</f>
        <v/>
      </c>
    </row>
    <row r="7">
      <c r="A7" s="8" t="inlineStr">
        <is>
          <t>Aliquota plusvalenze</t>
        </is>
      </c>
      <c r="B7" s="18">
        <f>'1 - PIANO'!B9</f>
        <v/>
      </c>
    </row>
    <row r="9">
      <c r="A9" s="7" t="inlineStr">
        <is>
          <t>Risultato netto ai 18 anni, per età di partenza</t>
        </is>
      </c>
    </row>
    <row r="10">
      <c r="A10" s="17" t="inlineStr">
        <is>
          <t>Parti quando il figlio ha</t>
        </is>
      </c>
      <c r="B10" s="17" t="inlineStr">
        <is>
          <t>Anni residui</t>
        </is>
      </c>
      <c r="C10" s="17" t="inlineStr">
        <is>
          <t>Versato</t>
        </is>
      </c>
      <c r="D10" s="17" t="inlineStr">
        <is>
          <t>Netto a 18</t>
        </is>
      </c>
      <c r="E10" s="17" t="inlineStr">
        <is>
          <t>Perdi vs partire subito</t>
        </is>
      </c>
    </row>
    <row r="11">
      <c r="A11" s="8" t="inlineStr">
        <is>
          <t>0 anni</t>
        </is>
      </c>
      <c r="B11" s="13">
        <f>18-0</f>
        <v/>
      </c>
      <c r="C11" s="15">
        <f>$B$5*(18-0)*12</f>
        <v/>
      </c>
      <c r="D11" s="15">
        <f>$B$5*(18-0)*12+($B$5*((((1+$B$6)^(1/12))^((18-0)*12)-1)/(((1+$B$6)^(1/12))-1))*((1+$B$6)^(1/12))-$B$5*(18-0)*12)*(1-$B$7)</f>
        <v/>
      </c>
      <c r="E11" s="15">
        <f>D11-$D$11</f>
        <v/>
      </c>
    </row>
    <row r="12">
      <c r="A12" s="8" t="inlineStr">
        <is>
          <t>1 anni</t>
        </is>
      </c>
      <c r="B12" s="13">
        <f>18-1</f>
        <v/>
      </c>
      <c r="C12" s="15">
        <f>$B$5*(18-1)*12</f>
        <v/>
      </c>
      <c r="D12" s="15">
        <f>$B$5*(18-1)*12+($B$5*((((1+$B$6)^(1/12))^((18-1)*12)-1)/(((1+$B$6)^(1/12))-1))*((1+$B$6)^(1/12))-$B$5*(18-1)*12)*(1-$B$7)</f>
        <v/>
      </c>
      <c r="E12" s="15">
        <f>D12-$D$11</f>
        <v/>
      </c>
    </row>
    <row r="13">
      <c r="A13" s="8" t="inlineStr">
        <is>
          <t>2 anni</t>
        </is>
      </c>
      <c r="B13" s="13">
        <f>18-2</f>
        <v/>
      </c>
      <c r="C13" s="15">
        <f>$B$5*(18-2)*12</f>
        <v/>
      </c>
      <c r="D13" s="15">
        <f>$B$5*(18-2)*12+($B$5*((((1+$B$6)^(1/12))^((18-2)*12)-1)/(((1+$B$6)^(1/12))-1))*((1+$B$6)^(1/12))-$B$5*(18-2)*12)*(1-$B$7)</f>
        <v/>
      </c>
      <c r="E13" s="15">
        <f>D13-$D$11</f>
        <v/>
      </c>
    </row>
    <row r="14">
      <c r="A14" s="8" t="inlineStr">
        <is>
          <t>3 anni</t>
        </is>
      </c>
      <c r="B14" s="13">
        <f>18-3</f>
        <v/>
      </c>
      <c r="C14" s="15">
        <f>$B$5*(18-3)*12</f>
        <v/>
      </c>
      <c r="D14" s="15">
        <f>$B$5*(18-3)*12+($B$5*((((1+$B$6)^(1/12))^((18-3)*12)-1)/(((1+$B$6)^(1/12))-1))*((1+$B$6)^(1/12))-$B$5*(18-3)*12)*(1-$B$7)</f>
        <v/>
      </c>
      <c r="E14" s="15">
        <f>D14-$D$11</f>
        <v/>
      </c>
    </row>
    <row r="15">
      <c r="A15" s="8" t="inlineStr">
        <is>
          <t>5 anni</t>
        </is>
      </c>
      <c r="B15" s="13">
        <f>18-5</f>
        <v/>
      </c>
      <c r="C15" s="15">
        <f>$B$5*(18-5)*12</f>
        <v/>
      </c>
      <c r="D15" s="15">
        <f>$B$5*(18-5)*12+($B$5*((((1+$B$6)^(1/12))^((18-5)*12)-1)/(((1+$B$6)^(1/12))-1))*((1+$B$6)^(1/12))-$B$5*(18-5)*12)*(1-$B$7)</f>
        <v/>
      </c>
      <c r="E15" s="15">
        <f>D15-$D$11</f>
        <v/>
      </c>
    </row>
    <row r="16">
      <c r="A16" s="8" t="inlineStr">
        <is>
          <t>8 anni</t>
        </is>
      </c>
      <c r="B16" s="13">
        <f>18-8</f>
        <v/>
      </c>
      <c r="C16" s="15">
        <f>$B$5*(18-8)*12</f>
        <v/>
      </c>
      <c r="D16" s="15">
        <f>$B$5*(18-8)*12+($B$5*((((1+$B$6)^(1/12))^((18-8)*12)-1)/(((1+$B$6)^(1/12))-1))*((1+$B$6)^(1/12))-$B$5*(18-8)*12)*(1-$B$7)</f>
        <v/>
      </c>
      <c r="E16" s="15">
        <f>D16-$D$11</f>
        <v/>
      </c>
    </row>
    <row r="17">
      <c r="A17" s="8" t="inlineStr">
        <is>
          <t>10 anni</t>
        </is>
      </c>
      <c r="B17" s="13">
        <f>18-10</f>
        <v/>
      </c>
      <c r="C17" s="15">
        <f>$B$5*(18-10)*12</f>
        <v/>
      </c>
      <c r="D17" s="15">
        <f>$B$5*(18-10)*12+($B$5*((((1+$B$6)^(1/12))^((18-10)*12)-1)/(((1+$B$6)^(1/12))-1))*((1+$B$6)^(1/12))-$B$5*(18-10)*12)*(1-$B$7)</f>
        <v/>
      </c>
      <c r="E17" s="15">
        <f>D17-$D$11</f>
        <v/>
      </c>
    </row>
    <row r="18">
      <c r="A18" s="8" t="inlineStr">
        <is>
          <t>12 anni</t>
        </is>
      </c>
      <c r="B18" s="13">
        <f>18-12</f>
        <v/>
      </c>
      <c r="C18" s="15">
        <f>$B$5*(18-12)*12</f>
        <v/>
      </c>
      <c r="D18" s="15">
        <f>$B$5*(18-12)*12+($B$5*((((1+$B$6)^(1/12))^((18-12)*12)-1)/(((1+$B$6)^(1/12))-1))*((1+$B$6)^(1/12))-$B$5*(18-12)*12)*(1-$B$7)</f>
        <v/>
      </c>
      <c r="E18" s="15">
        <f>D18-$D$11</f>
        <v/>
      </c>
    </row>
    <row r="20" ht="45" customHeight="1">
      <c r="A20" s="12" t="inlineStr">
        <is>
          <t>Su un orizzonte di 18 anni il fattore che pesa di più non è QUALE strumento scegli, ma QUANDO cominci: rimandare di 3 anni costa tipicamente più di quanto risparmieresti scegliendo lo strumento perfetto invece di uno semplicemente buono.</t>
        </is>
      </c>
    </row>
  </sheetData>
  <mergeCells count="5">
    <mergeCell ref="A4:E4"/>
    <mergeCell ref="A20:E20"/>
    <mergeCell ref="A2:E2"/>
    <mergeCell ref="A1:E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" customWidth="1" min="3" max="3"/>
    <col width="44" customWidth="1" min="4" max="4"/>
  </cols>
  <sheetData>
    <row r="1" ht="25" customHeight="1">
      <c r="A1" s="1" t="inlineStr">
        <is>
          <t>Fisco, intestazione e passaggio ai figli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A chi intestare l'investimento</t>
        </is>
      </c>
    </row>
    <row r="5">
      <c r="A5" s="17" t="inlineStr">
        <is>
          <t>Aspetto</t>
        </is>
      </c>
      <c r="B5" s="17" t="inlineStr">
        <is>
          <t>Intestato al MINORE</t>
        </is>
      </c>
      <c r="D5" s="17" t="inlineStr">
        <is>
          <t>Intestato al GENITORE</t>
        </is>
      </c>
    </row>
    <row r="6" ht="20" customHeight="1">
      <c r="A6" s="8" t="inlineStr">
        <is>
          <t>Operatività</t>
        </is>
      </c>
      <c r="B6" t="inlineStr">
        <is>
          <t>Serve il Giudice Tutelare (art. 372 c.c.)</t>
        </is>
      </c>
      <c r="D6" t="inlineStr">
        <is>
          <t>Libera</t>
        </is>
      </c>
    </row>
    <row r="7" ht="20" customHeight="1">
      <c r="A7" s="8" t="inlineStr">
        <is>
          <t>Strumenti ammessi senza permesso</t>
        </is>
      </c>
      <c r="B7" t="inlineStr">
        <is>
          <t>Solo «tipici»: titoli di Stato, depositi</t>
        </is>
      </c>
      <c r="D7" t="inlineStr">
        <is>
          <t>Tutti, ETF compresi</t>
        </is>
      </c>
    </row>
    <row r="8" ht="20" customHeight="1">
      <c r="A8" s="8" t="inlineStr">
        <is>
          <t>Al compimento dei 18 anni</t>
        </is>
      </c>
      <c r="B8" t="inlineStr">
        <is>
          <t>Diventa suo automaticamente</t>
        </is>
      </c>
      <c r="D8" t="inlineStr">
        <is>
          <t>Devi trasferirlo tu</t>
        </is>
      </c>
    </row>
    <row r="9" ht="20" customHeight="1">
      <c r="A9" s="8" t="inlineStr">
        <is>
          <t>Aggredibile dai creditori del genitore</t>
        </is>
      </c>
      <c r="B9" t="inlineStr">
        <is>
          <t>No</t>
        </is>
      </c>
      <c r="D9" t="inlineStr">
        <is>
          <t>Sì</t>
        </is>
      </c>
    </row>
    <row r="10" ht="20" customHeight="1">
      <c r="A10" s="8" t="inlineStr">
        <is>
          <t>In caso di decesso del genitore</t>
        </is>
      </c>
      <c r="B10" t="inlineStr">
        <is>
          <t>Già del figlio</t>
        </is>
      </c>
      <c r="D10" t="inlineStr">
        <is>
          <t>Rientra nell'asse ereditario</t>
        </is>
      </c>
    </row>
    <row r="12">
      <c r="A12" s="7" t="inlineStr">
        <is>
          <t>Tassazione delle plusvalenze</t>
        </is>
      </c>
    </row>
    <row r="13">
      <c r="A13" s="17" t="inlineStr">
        <is>
          <t>Strumento</t>
        </is>
      </c>
      <c r="B13" s="17" t="inlineStr">
        <is>
          <t>Aliquota</t>
        </is>
      </c>
    </row>
    <row r="14">
      <c r="A14" s="8" t="inlineStr">
        <is>
          <t>ETF, azioni, fondi</t>
        </is>
      </c>
      <c r="B14" t="inlineStr">
        <is>
          <t>26,0%</t>
        </is>
      </c>
    </row>
    <row r="15">
      <c r="A15" s="8" t="inlineStr">
        <is>
          <t>Titoli di Stato (white list)</t>
        </is>
      </c>
      <c r="B15" t="inlineStr">
        <is>
          <t>12,5%</t>
        </is>
      </c>
    </row>
    <row r="16">
      <c r="A16" s="8" t="inlineStr">
        <is>
          <t>Buoni fruttiferi postali</t>
        </is>
      </c>
      <c r="B16" t="inlineStr">
        <is>
          <t>12,5%</t>
        </is>
      </c>
    </row>
    <row r="17">
      <c r="A17" s="8" t="inlineStr">
        <is>
          <t>Fondo pensione (prestazione finale)</t>
        </is>
      </c>
      <c r="B17" t="inlineStr">
        <is>
          <t>da 15% a 9%</t>
        </is>
      </c>
    </row>
    <row r="19">
      <c r="A19" s="7" t="inlineStr">
        <is>
          <t>Quanto pesa la differenza di aliquota</t>
        </is>
      </c>
    </row>
    <row r="20">
      <c r="A20" s="8" t="inlineStr">
        <is>
          <t>Plusvalenza lorda ipotizzata (€)</t>
        </is>
      </c>
      <c r="B20" s="10" t="n">
        <v>20000</v>
      </c>
    </row>
    <row r="21">
      <c r="A21" s="8" t="inlineStr">
        <is>
          <t>Netto con aliquota 26%</t>
        </is>
      </c>
      <c r="B21" s="15">
        <f>B20*0.74</f>
        <v/>
      </c>
    </row>
    <row r="22">
      <c r="A22" s="8" t="inlineStr">
        <is>
          <t>Netto con aliquota 12,5%</t>
        </is>
      </c>
      <c r="B22" s="15">
        <f>B20*0.875</f>
        <v/>
      </c>
    </row>
    <row r="23">
      <c r="A23" s="8" t="inlineStr">
        <is>
          <t>Differenza</t>
        </is>
      </c>
      <c r="B23" s="15">
        <f>B22-B21</f>
        <v/>
      </c>
    </row>
    <row r="25">
      <c r="A25" s="7" t="inlineStr">
        <is>
          <t>Passaggio ai figli (donazione o successione)</t>
        </is>
      </c>
    </row>
    <row r="26">
      <c r="A26" s="8" t="inlineStr">
        <is>
          <t>Valore trasferito al figlio (€)</t>
        </is>
      </c>
      <c r="B26" s="10" t="n">
        <v>200000</v>
      </c>
    </row>
    <row r="27">
      <c r="A27" s="8" t="inlineStr">
        <is>
          <t>Franchigia per ciascun figlio (€)</t>
        </is>
      </c>
      <c r="B27" s="10" t="n">
        <v>1000000</v>
      </c>
    </row>
    <row r="28">
      <c r="A28" s="8" t="inlineStr">
        <is>
          <t>Aliquota oltre franchigia</t>
        </is>
      </c>
      <c r="B28" s="11" t="n">
        <v>0.04</v>
      </c>
    </row>
    <row r="29">
      <c r="A29" s="8" t="inlineStr">
        <is>
          <t>Imposta dovuta</t>
        </is>
      </c>
      <c r="B29" s="15">
        <f>MAX(0,B26-B27)*B28</f>
        <v/>
      </c>
    </row>
    <row r="31" ht="60" customHeight="1">
      <c r="A31" s="12" t="inlineStr">
        <is>
          <t>Dal D.Lgs. 139/2024 le franchigie sono separate: 1.000.000 € per le donazioni in vita e 1.000.000 € per la successione, per ciascun figlio. Per la stragrande maggioranza delle famiglie l'imposta è quindi zero. I buoni fruttiferi postali sono inoltre esenti dall'imposta di successione.</t>
        </is>
      </c>
    </row>
  </sheetData>
  <mergeCells count="7">
    <mergeCell ref="A1:D1"/>
    <mergeCell ref="A31:D31"/>
    <mergeCell ref="A12:D12"/>
    <mergeCell ref="A4:D4"/>
    <mergeCell ref="A25:D25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2026-07-31T09:55:16Z</dcterms:created>
  <dcterms:modified xsi:type="dcterms:W3CDTF">2026-07-31T09:55:16Z</dcterms:modified>
</cp:coreProperties>
</file>