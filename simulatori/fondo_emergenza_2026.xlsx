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Indice" sheetId="1" state="visible" r:id="rId1"/>
    <sheet name="1 - Quanto serve" sheetId="2" state="visible" r:id="rId2"/>
    <sheet name="2 - Confronto strumenti" sheetId="3" state="visible" r:id="rId3"/>
    <sheet name="3 - Tier 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€&quot;"/>
    <numFmt numFmtId="165" formatCode="#,##0.00&quot; € fisso&quot;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FAFAFA"/>
      </patternFill>
    </fill>
    <fill>
      <patternFill patternType="solid">
        <fgColor rgb="00C8E6C9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Fondo Emergenza 2026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Quanto serve</t>
        </is>
      </c>
      <c r="B5" s="5" t="inlineStr">
        <is>
          <t>Calcolatore mensilità per profilo</t>
        </is>
      </c>
    </row>
    <row r="6" ht="22" customHeight="1">
      <c r="A6" s="4" t="inlineStr">
        <is>
          <t>2 - Confronto strumenti</t>
        </is>
      </c>
      <c r="B6" s="5" t="inlineStr">
        <is>
          <t>CD libero vs ETF monetari vs BFP vs BOT</t>
        </is>
      </c>
    </row>
    <row r="7" ht="22" customHeight="1">
      <c r="A7" s="4" t="inlineStr">
        <is>
          <t>3 - Tier system</t>
        </is>
      </c>
      <c r="B7" s="5" t="inlineStr">
        <is>
          <t>Allocazione ottimale 3 livelli</t>
        </is>
      </c>
    </row>
    <row r="9">
      <c r="A9" s="3" t="inlineStr">
        <is>
          <t>Come usare</t>
        </is>
      </c>
    </row>
    <row r="10">
      <c r="A10" s="5" t="inlineStr">
        <is>
          <t>1. Le celle GIALLE sono input — modificale coi tuoi numeri.</t>
        </is>
      </c>
    </row>
    <row r="11">
      <c r="A11" s="5" t="inlineStr">
        <is>
          <t>2. Le celle VERDI sono output — si aggiornano automaticamente.</t>
        </is>
      </c>
    </row>
    <row r="12">
      <c r="A12" s="5" t="inlineStr">
        <is>
          <t>3. Tutti i numeri di default sono al 2026 da fonti pubbliche.</t>
        </is>
      </c>
    </row>
    <row r="13">
      <c r="A13" s="5" t="inlineStr">
        <is>
          <t>4. Niente codice nascosto: l'Excel è solo formule modificabili.</t>
        </is>
      </c>
    </row>
    <row r="15">
      <c r="A15" s="3" t="inlineStr">
        <is>
          <t>Fonti dati</t>
        </is>
      </c>
    </row>
    <row r="16">
      <c r="A16" s="5" t="inlineStr">
        <is>
          <t>• BCE depo 2026 ~2,0% → €STR ~1,93% (ETF monetari)</t>
        </is>
      </c>
    </row>
    <row r="17">
      <c r="A17" s="5" t="inlineStr">
        <is>
          <t>• Conti deposito vincolati 5y 2026: ~3,5% lordo</t>
        </is>
      </c>
    </row>
    <row r="18">
      <c r="A18" s="5" t="inlineStr">
        <is>
          <t>• BFP 4y Plus aprile 2026: 2,00% lordo (tassazione 12,5%)</t>
        </is>
      </c>
    </row>
    <row r="19">
      <c r="A19" s="5" t="inlineStr">
        <is>
          <t>• Bollo 0,2% annuo strumenti finanziari + 34,20 € fisso conto corrente</t>
        </is>
      </c>
    </row>
    <row r="21">
      <c r="A21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Calcolatore mensilità per profilo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Spese mensili medie (€)</t>
        </is>
      </c>
      <c r="B5" s="9" t="n">
        <v>1800</v>
      </c>
    </row>
    <row r="6">
      <c r="A6" s="8" t="inlineStr">
        <is>
          <t>Mensilità target (3-12)</t>
        </is>
      </c>
      <c r="B6" s="10" t="n">
        <v>4</v>
      </c>
    </row>
    <row r="7" ht="32" customHeight="1">
      <c r="A7" s="11" t="inlineStr">
        <is>
          <t>Mensilità consigliate: 3 (dip. stabile), 4-6 (dip. standard), 6-9 (autonomo), 6-12 (con figli/persone a carico).</t>
        </is>
      </c>
    </row>
    <row r="9">
      <c r="A9" s="7" t="inlineStr">
        <is>
          <t>OUTPUT</t>
        </is>
      </c>
    </row>
    <row r="10">
      <c r="A10" s="8" t="inlineStr">
        <is>
          <t>Fondo emergenza target totale</t>
        </is>
      </c>
      <c r="B10" s="12">
        <f>B5*B6</f>
        <v/>
      </c>
    </row>
  </sheetData>
  <mergeCells count="5">
    <mergeCell ref="A1:D1"/>
    <mergeCell ref="A9:D9"/>
    <mergeCell ref="A7:B7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25" customHeight="1">
      <c r="A1" s="1" t="inlineStr">
        <is>
          <t>Confronto strumenti parking liquidità (2026)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Capitale (€)</t>
        </is>
      </c>
      <c r="B5" s="9" t="n">
        <v>10000</v>
      </c>
    </row>
    <row r="7">
      <c r="A7" s="7" t="inlineStr">
        <is>
          <t>Tabella</t>
        </is>
      </c>
    </row>
    <row r="8">
      <c r="A8" s="13" t="inlineStr">
        <is>
          <t>Strumento</t>
        </is>
      </c>
      <c r="B8" s="13" t="inlineStr">
        <is>
          <t>Lordo</t>
        </is>
      </c>
      <c r="C8" s="13" t="inlineStr">
        <is>
          <t>Aliquota</t>
        </is>
      </c>
      <c r="D8" s="13" t="inlineStr">
        <is>
          <t>Bollo</t>
        </is>
      </c>
      <c r="E8" s="13" t="inlineStr">
        <is>
          <t>Netto reale (€/y)</t>
        </is>
      </c>
    </row>
    <row r="9">
      <c r="A9" s="8" t="inlineStr">
        <is>
          <t>Conto corrente</t>
        </is>
      </c>
      <c r="B9" s="14">
        <f>0.0</f>
        <v/>
      </c>
      <c r="C9" s="14">
        <f>0.0</f>
        <v/>
      </c>
      <c r="D9" s="15">
        <f>34.2</f>
        <v/>
      </c>
      <c r="E9" s="12">
        <f>B5*B9*(1-C9)-34.2</f>
        <v/>
      </c>
    </row>
    <row r="10">
      <c r="A10" s="8" t="inlineStr">
        <is>
          <t>Conto deposito libero</t>
        </is>
      </c>
      <c r="B10" s="14">
        <f>0.025</f>
        <v/>
      </c>
      <c r="C10" s="14">
        <f>0.26</f>
        <v/>
      </c>
      <c r="D10" s="14">
        <f>0.002</f>
        <v/>
      </c>
      <c r="E10" s="12">
        <f>B5*B10*(1-C10)-B5*D10</f>
        <v/>
      </c>
    </row>
    <row r="11">
      <c r="A11" s="8" t="inlineStr">
        <is>
          <t>ETF monetario €STR</t>
        </is>
      </c>
      <c r="B11" s="14">
        <f>0.02</f>
        <v/>
      </c>
      <c r="C11" s="14">
        <f>0.26</f>
        <v/>
      </c>
      <c r="D11" s="14">
        <f>0.002</f>
        <v/>
      </c>
      <c r="E11" s="12">
        <f>B5*B11*(1-C11)-B5*D11</f>
        <v/>
      </c>
    </row>
    <row r="12">
      <c r="A12" s="8" t="inlineStr">
        <is>
          <t>ETF Govt area euro 1-3y</t>
        </is>
      </c>
      <c r="B12" s="14">
        <f>0.025</f>
        <v/>
      </c>
      <c r="C12" s="14">
        <f>0.125</f>
        <v/>
      </c>
      <c r="D12" s="14">
        <f>0.002</f>
        <v/>
      </c>
      <c r="E12" s="12">
        <f>B5*B12*(1-C12)-B5*D12</f>
        <v/>
      </c>
    </row>
    <row r="13">
      <c r="A13" s="8" t="inlineStr">
        <is>
          <t>Buoni Postali brevi (BFP)</t>
        </is>
      </c>
      <c r="B13" s="14">
        <f>0.02</f>
        <v/>
      </c>
      <c r="C13" s="14">
        <f>0.125</f>
        <v/>
      </c>
      <c r="D13" s="14">
        <f>0.0</f>
        <v/>
      </c>
      <c r="E13" s="12">
        <f>B5*B13*(1-C13)-B5*D13</f>
        <v/>
      </c>
    </row>
    <row r="14">
      <c r="A14" s="8" t="inlineStr">
        <is>
          <t>Conto deposito vincolato 12m</t>
        </is>
      </c>
      <c r="B14" s="14">
        <f>0.03</f>
        <v/>
      </c>
      <c r="C14" s="14">
        <f>0.26</f>
        <v/>
      </c>
      <c r="D14" s="14">
        <f>0.002</f>
        <v/>
      </c>
      <c r="E14" s="12">
        <f>B5*B14*(1-C14)-B5*D14</f>
        <v/>
      </c>
    </row>
    <row r="15">
      <c r="A15" s="8" t="inlineStr">
        <is>
          <t>BOT 12m</t>
        </is>
      </c>
      <c r="B15" s="14">
        <f>0.022</f>
        <v/>
      </c>
      <c r="C15" s="14">
        <f>0.125</f>
        <v/>
      </c>
      <c r="D15" s="14">
        <f>0.002</f>
        <v/>
      </c>
      <c r="E15" s="12">
        <f>B5*B15*(1-C15)-B5*D15</f>
        <v/>
      </c>
    </row>
  </sheetData>
  <mergeCells count="4">
    <mergeCell ref="A1:D1"/>
    <mergeCell ref="A7:D7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 ht="25" customHeight="1">
      <c r="A1" s="1" t="inlineStr">
        <is>
          <t>Tier system fondo emergenza (Bogleheads-style)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Allocazione 3 livelli</t>
        </is>
      </c>
    </row>
    <row r="5">
      <c r="A5" s="13" t="inlineStr">
        <is>
          <t>Tier</t>
        </is>
      </c>
      <c r="B5" s="13" t="inlineStr">
        <is>
          <t>Quota %</t>
        </is>
      </c>
      <c r="C5" s="13" t="inlineStr">
        <is>
          <t>Importo (su fondo 10k €)</t>
        </is>
      </c>
    </row>
    <row r="6">
      <c r="A6" s="8" t="inlineStr">
        <is>
          <t>Tier 1 — Conto corrente (1 mens.)</t>
        </is>
      </c>
      <c r="B6" s="14">
        <f>0.15</f>
        <v/>
      </c>
      <c r="C6" s="12">
        <f>B6*10000</f>
        <v/>
      </c>
    </row>
    <row r="7">
      <c r="A7" s="8" t="inlineStr">
        <is>
          <t>Tier 2 — Deposito libero / ETF monetario</t>
        </is>
      </c>
      <c r="B7" s="14">
        <f>0.5</f>
        <v/>
      </c>
      <c r="C7" s="12">
        <f>B7*10000</f>
        <v/>
      </c>
    </row>
    <row r="8">
      <c r="A8" s="8" t="inlineStr">
        <is>
          <t>Tier 3 — BFP brevi / ETF Govt 1-3y</t>
        </is>
      </c>
      <c r="B8" s="14">
        <f>0.35</f>
        <v/>
      </c>
      <c r="C8" s="12">
        <f>B8*10000</f>
        <v/>
      </c>
    </row>
    <row r="10" ht="45" customHeight="1">
      <c r="A10" s="11" t="inlineStr">
        <is>
          <t>Tier 1: liquidità immediata (bonifico, bancomat). Tier 2: 1-3 giorni di liquidazione. Tier 3: rendimento + tassazione agevolata 12,5% per quote oltre 1 anno.</t>
        </is>
      </c>
    </row>
  </sheetData>
  <mergeCells count="4">
    <mergeCell ref="A10:C10"/>
    <mergeCell ref="A1:D1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2026-05-22T20:01:38Z</dcterms:created>
  <dcterms:modified xsi:type="dcterms:W3CDTF">2026-05-22T20:01:38Z</dcterms:modified>
</cp:coreProperties>
</file>