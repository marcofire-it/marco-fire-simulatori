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- Indice" sheetId="1" state="visible" r:id="rId1"/>
    <sheet xmlns:r="http://schemas.openxmlformats.org/officeDocument/2006/relationships" name="1 - Trinity SWR" sheetId="2" state="visible" r:id="rId2"/>
    <sheet xmlns:r="http://schemas.openxmlformats.org/officeDocument/2006/relationships" name="2 - Bucket strategy" sheetId="3" state="visible" r:id="rId3"/>
    <sheet xmlns:r="http://schemas.openxmlformats.org/officeDocument/2006/relationships" name="3 - Guyton-Klinger" sheetId="4" state="visible" r:id="rId4"/>
    <sheet xmlns:r="http://schemas.openxmlformats.org/officeDocument/2006/relationships" name="4 - Bond ladder BTP" sheetId="5" state="visible" r:id="rId5"/>
    <sheet xmlns:r="http://schemas.openxmlformats.org/officeDocument/2006/relationships" name="5 - Tax-aware Ital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EUR&quot;"/>
  </numFmts>
  <fonts count="8">
    <font>
      <name val="Calibri"/>
      <family val="2"/>
      <color theme="1"/>
      <sz val="11"/>
      <scheme val="minor"/>
    </font>
    <font>
      <name val="Calibri"/>
      <b val="1"/>
      <color rgb="001E40AF"/>
      <sz val="16"/>
    </font>
    <font>
      <name val="Calibri"/>
      <i val="1"/>
      <color rgb="00991B1B"/>
      <sz val="10"/>
    </font>
    <font>
      <name val="Calibri"/>
      <b val="1"/>
      <sz val="14"/>
    </font>
    <font>
      <name val="Calibri"/>
      <b val="1"/>
      <sz val="11"/>
    </font>
    <font>
      <name val="Calibri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FEE2E2"/>
      </patternFill>
    </fill>
    <fill>
      <patternFill patternType="solid">
        <fgColor rgb="001E40AF"/>
      </patternFill>
    </fill>
    <fill>
      <patternFill patternType="solid">
        <fgColor rgb="00FFF59D"/>
      </patternFill>
    </fill>
    <fill>
      <patternFill patternType="solid">
        <fgColor rgb="00FAFAFA"/>
      </patternFill>
    </fill>
    <fill>
      <patternFill patternType="solid">
        <fgColor rgb="00C8E6C9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10" fontId="5" fillId="6" borderId="1" applyAlignment="1" pivotButton="0" quotePrefix="0" xfId="0">
      <alignment horizontal="right" vertical="center"/>
    </xf>
    <xf numFmtId="1" fontId="5" fillId="4" borderId="1" applyAlignment="1" pivotButton="0" quotePrefix="0" xfId="0">
      <alignment horizontal="right" vertical="center"/>
    </xf>
    <xf numFmtId="10" fontId="5" fillId="4" borderId="1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 wrapText="1"/>
    </xf>
    <xf numFmtId="1" fontId="0" fillId="0" borderId="0" pivotButton="0" quotePrefix="0" xfId="0"/>
    <xf numFmtId="164" fontId="5" fillId="6" borderId="1" applyAlignment="1" pivotButton="0" quotePrefix="0" xfId="0">
      <alignment horizontal="right" vertical="center"/>
    </xf>
    <xf numFmtId="1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</cols>
  <sheetData>
    <row r="1" ht="32" customHeight="1">
      <c r="A1" s="1" t="inlineStr">
        <is>
          <t>Decumulo FIRE 2026 - Simulatori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3" t="inlineStr">
        <is>
          <t>Indice</t>
        </is>
      </c>
    </row>
    <row r="5" ht="22" customHeight="1">
      <c r="A5" s="4" t="inlineStr">
        <is>
          <t>1 - Trinity SWR</t>
        </is>
      </c>
      <c r="B5" s="5" t="inlineStr">
        <is>
          <t>Calcola il TUO SWR e confrontalo con Bengen, Trinity, Morningstar.</t>
        </is>
      </c>
    </row>
    <row r="6" ht="22" customHeight="1">
      <c r="A6" s="4" t="inlineStr">
        <is>
          <t>2 - Bucket strategy</t>
        </is>
      </c>
      <c r="B6" s="5" t="inlineStr">
        <is>
          <t>3 bucket (liquidita' / bond / equity) per gestire il SORR.</t>
        </is>
      </c>
    </row>
    <row r="7" ht="22" customHeight="1">
      <c r="A7" s="4" t="inlineStr">
        <is>
          <t>3 - Guyton-Klinger</t>
        </is>
      </c>
      <c r="B7" s="5" t="inlineStr">
        <is>
          <t>Guardrails dinamici: alzi/abbassi il prelievo in base al mercato.</t>
        </is>
      </c>
    </row>
    <row r="8" ht="22" customHeight="1">
      <c r="A8" s="4" t="inlineStr">
        <is>
          <t>4 - Bond ladder BTP</t>
        </is>
      </c>
      <c r="B8" s="5" t="inlineStr">
        <is>
          <t>Scaletta BTP a 5 scadenze per coprire le spese fisse.</t>
        </is>
      </c>
    </row>
    <row r="9" ht="22" customHeight="1">
      <c r="A9" s="4" t="inlineStr">
        <is>
          <t>5 - Tax-aware Italia</t>
        </is>
      </c>
      <c r="B9" s="5" t="inlineStr">
        <is>
          <t>Quale strumento prelevare prima? Confronto aliquote ETF/FP/BTP.</t>
        </is>
      </c>
    </row>
    <row r="11">
      <c r="A11" s="3" t="inlineStr">
        <is>
          <t>Come usare</t>
        </is>
      </c>
    </row>
    <row r="12">
      <c r="A12" s="5" t="inlineStr">
        <is>
          <t>1. Le celle GIALLE sono input — modificale coi tuoi numeri.</t>
        </is>
      </c>
    </row>
    <row r="13">
      <c r="A13" s="5" t="inlineStr">
        <is>
          <t>2. Le celle VERDI sono output — si aggiornano automaticamente.</t>
        </is>
      </c>
    </row>
    <row r="14">
      <c r="A14" s="5" t="inlineStr">
        <is>
          <t>3. Tutti i numeri di default sono al 2026 da fonti pubbliche.</t>
        </is>
      </c>
    </row>
    <row r="15">
      <c r="A15" s="5" t="inlineStr">
        <is>
          <t>4. Niente codice nascosto: l'Excel è solo formule modificabili.</t>
        </is>
      </c>
    </row>
    <row r="17">
      <c r="A17" s="3" t="inlineStr">
        <is>
          <t>Fonti dati</t>
        </is>
      </c>
    </row>
    <row r="18">
      <c r="A18" s="5" t="inlineStr">
        <is>
          <t>• Bengen W. (1994), 'Determining Withdrawal Rates Using Historical Data', Journal of Financial Planning - SAFEMAX originale 4,15%</t>
        </is>
      </c>
    </row>
    <row r="19">
      <c r="A19" s="5" t="inlineStr">
        <is>
          <t>• Cooley/Hubbard/Walz Trinity Study (1998) - 4% WR su 30y, 95% success rate (US 1926-1995)</t>
        </is>
      </c>
    </row>
    <row r="20">
      <c r="A20" s="5" t="inlineStr">
        <is>
          <t>• Bengen W. (2025), 'A Richer Retirement' - SWR aggiornato 4,7%</t>
        </is>
      </c>
    </row>
    <row r="21">
      <c r="A21" s="5" t="inlineStr">
        <is>
          <t>• Guyton J. &amp; Klinger W. (2006), 'Decision Rules and Maximum Initial Withdrawal Rates', FPA Journal - guardrails 5,2-5,6% iniziale</t>
        </is>
      </c>
    </row>
    <row r="22">
      <c r="A22" s="5" t="inlineStr">
        <is>
          <t>• Morningstar, 'State of Retirement Income 2026' - base case 3,9%, guardrails 5,7%</t>
        </is>
      </c>
    </row>
    <row r="23">
      <c r="A23" s="5" t="inlineStr">
        <is>
          <t>• Legge di Bilancio 2026 (L. 199/2025) - IRPEF 23/33/43%</t>
        </is>
      </c>
    </row>
    <row r="24">
      <c r="A24" s="5" t="inlineStr">
        <is>
          <t>• D.Lgs. 252/2005 - tassazione fondo pensione (15-9%)</t>
        </is>
      </c>
    </row>
    <row r="25">
      <c r="A25" s="5" t="inlineStr">
        <is>
          <t>• COVIP - prestazioni in rendita/capitale fondi pensione</t>
        </is>
      </c>
    </row>
    <row r="27">
      <c r="A27" s="6" t="inlineStr">
        <is>
          <t>Aggiornamenti: github.com/marcofire-it/marco-fire-simulatori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4" customWidth="1" min="6" max="6"/>
    <col width="22" customWidth="1" min="7" max="7"/>
    <col width="16" customWidth="1" min="8" max="8"/>
  </cols>
  <sheetData>
    <row r="1" ht="25" customHeight="1">
      <c r="A1" s="1" t="inlineStr">
        <is>
          <t>Trinity Study / SWR — Confronto storico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BENCHMARK SWR (letteratura)</t>
        </is>
      </c>
    </row>
    <row r="5">
      <c r="A5" s="8" t="inlineStr">
        <is>
          <t>Capitale a inizio pensione (EUR)</t>
        </is>
      </c>
      <c r="B5" s="9" t="n">
        <v>1000000</v>
      </c>
      <c r="G5" s="10" t="inlineStr">
        <is>
          <t>Studio / fonte</t>
        </is>
      </c>
      <c r="H5" s="10" t="inlineStr">
        <is>
          <t>SWR</t>
        </is>
      </c>
    </row>
    <row r="6">
      <c r="A6" s="8" t="inlineStr">
        <is>
          <t>Spese annue desiderate (EUR, lordi)</t>
        </is>
      </c>
      <c r="B6" s="9" t="n">
        <v>40000</v>
      </c>
      <c r="G6" s="8" t="inlineStr">
        <is>
          <t>Bengen 1994 (SAFEMAX originale)</t>
        </is>
      </c>
      <c r="H6" s="11" t="n">
        <v>0.0415</v>
      </c>
    </row>
    <row r="7">
      <c r="A7" s="8" t="inlineStr">
        <is>
          <t>Orizzonte (anni di pensione)</t>
        </is>
      </c>
      <c r="B7" s="12" t="n">
        <v>30</v>
      </c>
      <c r="G7" s="8" t="inlineStr">
        <is>
          <t>Trinity Study 1998 (4% rule)</t>
        </is>
      </c>
      <c r="H7" s="11" t="n">
        <v>0.04</v>
      </c>
    </row>
    <row r="8">
      <c r="A8" s="8" t="inlineStr">
        <is>
          <t>Rendimento medio annuo portafoglio</t>
        </is>
      </c>
      <c r="B8" s="13" t="n">
        <v>0.05</v>
      </c>
      <c r="G8" s="8" t="inlineStr">
        <is>
          <t>Bengen 2025 (nuovo SAFEMAX)</t>
        </is>
      </c>
      <c r="H8" s="11" t="n">
        <v>0.047</v>
      </c>
    </row>
    <row r="9">
      <c r="A9" s="8" t="inlineStr">
        <is>
          <t>Inflazione attesa annua</t>
        </is>
      </c>
      <c r="B9" s="13" t="n">
        <v>0.02</v>
      </c>
      <c r="G9" s="8" t="inlineStr">
        <is>
          <t>Morningstar 2026 base case</t>
        </is>
      </c>
      <c r="H9" s="11" t="n">
        <v>0.039</v>
      </c>
    </row>
    <row r="10" ht="32" customHeight="1">
      <c r="A10" s="14" t="inlineStr">
        <is>
          <t>Rendimento netto medio annuo: storicamente 4-6% reale per portafoglio 60/40, 3-4% reale per portafoglio piu' difensivo (Morningstar 2026).</t>
        </is>
      </c>
      <c r="G10" s="8" t="inlineStr">
        <is>
          <t>Morningstar 2026 guardrails</t>
        </is>
      </c>
      <c r="H10" s="11" t="n">
        <v>0.057</v>
      </c>
    </row>
    <row r="11">
      <c r="G11" s="8" t="inlineStr">
        <is>
          <t>Guyton-Klinger 2006 iniziale</t>
        </is>
      </c>
      <c r="H11" s="11" t="n">
        <v>0.054</v>
      </c>
    </row>
    <row r="12">
      <c r="A12" s="7" t="inlineStr">
        <is>
          <t>OUTPUT — il TUO Safe Withdrawal Rate (SWR)</t>
        </is>
      </c>
    </row>
    <row r="13" ht="45" customHeight="1">
      <c r="A13" s="8" t="inlineStr">
        <is>
          <t>SWR implicito (spese / capitale)</t>
        </is>
      </c>
      <c r="B13" s="11">
        <f>B6/B5</f>
        <v/>
      </c>
      <c r="C13" s="14" t="inlineStr">
        <is>
          <t>Confrontalo con i benchmark a fianco --&gt;</t>
        </is>
      </c>
      <c r="G13" s="14" t="inlineStr">
        <is>
          <t>Il tuo SWR confrontato: se &lt; 4% sei MOLTO conservativo, 4-5% standard, &gt; 5% richiede flessibilita' di spesa.</t>
        </is>
      </c>
    </row>
    <row r="15">
      <c r="A15" s="7" t="inlineStr">
        <is>
          <t>SIMULAZIONE 30 ANNI (rendimento costante)</t>
        </is>
      </c>
    </row>
    <row r="16">
      <c r="A16" s="10" t="inlineStr">
        <is>
          <t>Anno</t>
        </is>
      </c>
      <c r="B16" s="10" t="inlineStr">
        <is>
          <t>Saldo inizio</t>
        </is>
      </c>
      <c r="C16" s="10" t="inlineStr">
        <is>
          <t>Prelievo reale</t>
        </is>
      </c>
      <c r="D16" s="10" t="inlineStr">
        <is>
          <t>Rend. capitale</t>
        </is>
      </c>
      <c r="E16" s="10" t="inlineStr">
        <is>
          <t>Saldo fine</t>
        </is>
      </c>
    </row>
    <row r="17">
      <c r="A17" s="15" t="n">
        <v>1</v>
      </c>
      <c r="B17" s="16">
        <f>B5</f>
        <v/>
      </c>
      <c r="C17" s="16">
        <f>B6</f>
        <v/>
      </c>
      <c r="D17" s="16">
        <f>(B17-C17)*$B$8</f>
        <v/>
      </c>
      <c r="E17" s="16">
        <f>B17-C17+D17</f>
        <v/>
      </c>
    </row>
    <row r="18">
      <c r="A18" s="15" t="n">
        <v>2</v>
      </c>
      <c r="B18" s="16">
        <f>E17</f>
        <v/>
      </c>
      <c r="C18" s="16">
        <f>C17*(1+$B$9)</f>
        <v/>
      </c>
      <c r="D18" s="16">
        <f>(B18-C18)*$B$8</f>
        <v/>
      </c>
      <c r="E18" s="16">
        <f>B18-C18+D18</f>
        <v/>
      </c>
    </row>
    <row r="19">
      <c r="A19" s="15" t="n">
        <v>3</v>
      </c>
      <c r="B19" s="16">
        <f>E18</f>
        <v/>
      </c>
      <c r="C19" s="16">
        <f>C18*(1+$B$9)</f>
        <v/>
      </c>
      <c r="D19" s="16">
        <f>(B19-C19)*$B$8</f>
        <v/>
      </c>
      <c r="E19" s="16">
        <f>B19-C19+D19</f>
        <v/>
      </c>
    </row>
    <row r="20">
      <c r="A20" s="15" t="n">
        <v>4</v>
      </c>
      <c r="B20" s="16">
        <f>E19</f>
        <v/>
      </c>
      <c r="C20" s="16">
        <f>C19*(1+$B$9)</f>
        <v/>
      </c>
      <c r="D20" s="16">
        <f>(B20-C20)*$B$8</f>
        <v/>
      </c>
      <c r="E20" s="16">
        <f>B20-C20+D20</f>
        <v/>
      </c>
    </row>
    <row r="21">
      <c r="A21" s="15" t="n">
        <v>5</v>
      </c>
      <c r="B21" s="16">
        <f>E20</f>
        <v/>
      </c>
      <c r="C21" s="16">
        <f>C20*(1+$B$9)</f>
        <v/>
      </c>
      <c r="D21" s="16">
        <f>(B21-C21)*$B$8</f>
        <v/>
      </c>
      <c r="E21" s="16">
        <f>B21-C21+D21</f>
        <v/>
      </c>
    </row>
    <row r="22">
      <c r="A22" s="15" t="n">
        <v>6</v>
      </c>
      <c r="B22" s="16">
        <f>E21</f>
        <v/>
      </c>
      <c r="C22" s="16">
        <f>C21*(1+$B$9)</f>
        <v/>
      </c>
      <c r="D22" s="16">
        <f>(B22-C22)*$B$8</f>
        <v/>
      </c>
      <c r="E22" s="16">
        <f>B22-C22+D22</f>
        <v/>
      </c>
    </row>
    <row r="23">
      <c r="A23" s="15" t="n">
        <v>7</v>
      </c>
      <c r="B23" s="16">
        <f>E22</f>
        <v/>
      </c>
      <c r="C23" s="16">
        <f>C22*(1+$B$9)</f>
        <v/>
      </c>
      <c r="D23" s="16">
        <f>(B23-C23)*$B$8</f>
        <v/>
      </c>
      <c r="E23" s="16">
        <f>B23-C23+D23</f>
        <v/>
      </c>
    </row>
    <row r="24">
      <c r="A24" s="15" t="n">
        <v>8</v>
      </c>
      <c r="B24" s="16">
        <f>E23</f>
        <v/>
      </c>
      <c r="C24" s="16">
        <f>C23*(1+$B$9)</f>
        <v/>
      </c>
      <c r="D24" s="16">
        <f>(B24-C24)*$B$8</f>
        <v/>
      </c>
      <c r="E24" s="16">
        <f>B24-C24+D24</f>
        <v/>
      </c>
    </row>
    <row r="25">
      <c r="A25" s="15" t="n">
        <v>9</v>
      </c>
      <c r="B25" s="16">
        <f>E24</f>
        <v/>
      </c>
      <c r="C25" s="16">
        <f>C24*(1+$B$9)</f>
        <v/>
      </c>
      <c r="D25" s="16">
        <f>(B25-C25)*$B$8</f>
        <v/>
      </c>
      <c r="E25" s="16">
        <f>B25-C25+D25</f>
        <v/>
      </c>
    </row>
    <row r="26">
      <c r="A26" s="15" t="n">
        <v>10</v>
      </c>
      <c r="B26" s="16">
        <f>E25</f>
        <v/>
      </c>
      <c r="C26" s="16">
        <f>C25*(1+$B$9)</f>
        <v/>
      </c>
      <c r="D26" s="16">
        <f>(B26-C26)*$B$8</f>
        <v/>
      </c>
      <c r="E26" s="16">
        <f>B26-C26+D26</f>
        <v/>
      </c>
    </row>
    <row r="27">
      <c r="A27" s="15" t="n">
        <v>11</v>
      </c>
      <c r="B27" s="16">
        <f>E26</f>
        <v/>
      </c>
      <c r="C27" s="16">
        <f>C26*(1+$B$9)</f>
        <v/>
      </c>
      <c r="D27" s="16">
        <f>(B27-C27)*$B$8</f>
        <v/>
      </c>
      <c r="E27" s="16">
        <f>B27-C27+D27</f>
        <v/>
      </c>
    </row>
    <row r="28">
      <c r="A28" s="15" t="n">
        <v>12</v>
      </c>
      <c r="B28" s="16">
        <f>E27</f>
        <v/>
      </c>
      <c r="C28" s="16">
        <f>C27*(1+$B$9)</f>
        <v/>
      </c>
      <c r="D28" s="16">
        <f>(B28-C28)*$B$8</f>
        <v/>
      </c>
      <c r="E28" s="16">
        <f>B28-C28+D28</f>
        <v/>
      </c>
    </row>
    <row r="29">
      <c r="A29" s="15" t="n">
        <v>13</v>
      </c>
      <c r="B29" s="16">
        <f>E28</f>
        <v/>
      </c>
      <c r="C29" s="16">
        <f>C28*(1+$B$9)</f>
        <v/>
      </c>
      <c r="D29" s="16">
        <f>(B29-C29)*$B$8</f>
        <v/>
      </c>
      <c r="E29" s="16">
        <f>B29-C29+D29</f>
        <v/>
      </c>
    </row>
    <row r="30">
      <c r="A30" s="15" t="n">
        <v>14</v>
      </c>
      <c r="B30" s="16">
        <f>E29</f>
        <v/>
      </c>
      <c r="C30" s="16">
        <f>C29*(1+$B$9)</f>
        <v/>
      </c>
      <c r="D30" s="16">
        <f>(B30-C30)*$B$8</f>
        <v/>
      </c>
      <c r="E30" s="16">
        <f>B30-C30+D30</f>
        <v/>
      </c>
    </row>
    <row r="31">
      <c r="A31" s="15" t="n">
        <v>15</v>
      </c>
      <c r="B31" s="16">
        <f>E30</f>
        <v/>
      </c>
      <c r="C31" s="16">
        <f>C30*(1+$B$9)</f>
        <v/>
      </c>
      <c r="D31" s="16">
        <f>(B31-C31)*$B$8</f>
        <v/>
      </c>
      <c r="E31" s="16">
        <f>B31-C31+D31</f>
        <v/>
      </c>
    </row>
    <row r="32">
      <c r="A32" s="15" t="n">
        <v>16</v>
      </c>
      <c r="B32" s="16">
        <f>E31</f>
        <v/>
      </c>
      <c r="C32" s="16">
        <f>C31*(1+$B$9)</f>
        <v/>
      </c>
      <c r="D32" s="16">
        <f>(B32-C32)*$B$8</f>
        <v/>
      </c>
      <c r="E32" s="16">
        <f>B32-C32+D32</f>
        <v/>
      </c>
    </row>
    <row r="33">
      <c r="A33" s="15" t="n">
        <v>17</v>
      </c>
      <c r="B33" s="16">
        <f>E32</f>
        <v/>
      </c>
      <c r="C33" s="16">
        <f>C32*(1+$B$9)</f>
        <v/>
      </c>
      <c r="D33" s="16">
        <f>(B33-C33)*$B$8</f>
        <v/>
      </c>
      <c r="E33" s="16">
        <f>B33-C33+D33</f>
        <v/>
      </c>
    </row>
    <row r="34">
      <c r="A34" s="15" t="n">
        <v>18</v>
      </c>
      <c r="B34" s="16">
        <f>E33</f>
        <v/>
      </c>
      <c r="C34" s="16">
        <f>C33*(1+$B$9)</f>
        <v/>
      </c>
      <c r="D34" s="16">
        <f>(B34-C34)*$B$8</f>
        <v/>
      </c>
      <c r="E34" s="16">
        <f>B34-C34+D34</f>
        <v/>
      </c>
    </row>
    <row r="35">
      <c r="A35" s="15" t="n">
        <v>19</v>
      </c>
      <c r="B35" s="16">
        <f>E34</f>
        <v/>
      </c>
      <c r="C35" s="16">
        <f>C34*(1+$B$9)</f>
        <v/>
      </c>
      <c r="D35" s="16">
        <f>(B35-C35)*$B$8</f>
        <v/>
      </c>
      <c r="E35" s="16">
        <f>B35-C35+D35</f>
        <v/>
      </c>
    </row>
    <row r="36">
      <c r="A36" s="15" t="n">
        <v>20</v>
      </c>
      <c r="B36" s="16">
        <f>E35</f>
        <v/>
      </c>
      <c r="C36" s="16">
        <f>C35*(1+$B$9)</f>
        <v/>
      </c>
      <c r="D36" s="16">
        <f>(B36-C36)*$B$8</f>
        <v/>
      </c>
      <c r="E36" s="16">
        <f>B36-C36+D36</f>
        <v/>
      </c>
    </row>
    <row r="37">
      <c r="A37" s="15" t="n">
        <v>21</v>
      </c>
      <c r="B37" s="16">
        <f>E36</f>
        <v/>
      </c>
      <c r="C37" s="16">
        <f>C36*(1+$B$9)</f>
        <v/>
      </c>
      <c r="D37" s="16">
        <f>(B37-C37)*$B$8</f>
        <v/>
      </c>
      <c r="E37" s="16">
        <f>B37-C37+D37</f>
        <v/>
      </c>
    </row>
    <row r="38">
      <c r="A38" s="15" t="n">
        <v>22</v>
      </c>
      <c r="B38" s="16">
        <f>E37</f>
        <v/>
      </c>
      <c r="C38" s="16">
        <f>C37*(1+$B$9)</f>
        <v/>
      </c>
      <c r="D38" s="16">
        <f>(B38-C38)*$B$8</f>
        <v/>
      </c>
      <c r="E38" s="16">
        <f>B38-C38+D38</f>
        <v/>
      </c>
    </row>
    <row r="39">
      <c r="A39" s="15" t="n">
        <v>23</v>
      </c>
      <c r="B39" s="16">
        <f>E38</f>
        <v/>
      </c>
      <c r="C39" s="16">
        <f>C38*(1+$B$9)</f>
        <v/>
      </c>
      <c r="D39" s="16">
        <f>(B39-C39)*$B$8</f>
        <v/>
      </c>
      <c r="E39" s="16">
        <f>B39-C39+D39</f>
        <v/>
      </c>
    </row>
    <row r="40">
      <c r="A40" s="15" t="n">
        <v>24</v>
      </c>
      <c r="B40" s="16">
        <f>E39</f>
        <v/>
      </c>
      <c r="C40" s="16">
        <f>C39*(1+$B$9)</f>
        <v/>
      </c>
      <c r="D40" s="16">
        <f>(B40-C40)*$B$8</f>
        <v/>
      </c>
      <c r="E40" s="16">
        <f>B40-C40+D40</f>
        <v/>
      </c>
    </row>
    <row r="41">
      <c r="A41" s="15" t="n">
        <v>25</v>
      </c>
      <c r="B41" s="16">
        <f>E40</f>
        <v/>
      </c>
      <c r="C41" s="16">
        <f>C40*(1+$B$9)</f>
        <v/>
      </c>
      <c r="D41" s="16">
        <f>(B41-C41)*$B$8</f>
        <v/>
      </c>
      <c r="E41" s="16">
        <f>B41-C41+D41</f>
        <v/>
      </c>
    </row>
    <row r="42">
      <c r="A42" s="15" t="n">
        <v>26</v>
      </c>
      <c r="B42" s="16">
        <f>E41</f>
        <v/>
      </c>
      <c r="C42" s="16">
        <f>C41*(1+$B$9)</f>
        <v/>
      </c>
      <c r="D42" s="16">
        <f>(B42-C42)*$B$8</f>
        <v/>
      </c>
      <c r="E42" s="16">
        <f>B42-C42+D42</f>
        <v/>
      </c>
    </row>
    <row r="43">
      <c r="A43" s="15" t="n">
        <v>27</v>
      </c>
      <c r="B43" s="16">
        <f>E42</f>
        <v/>
      </c>
      <c r="C43" s="16">
        <f>C42*(1+$B$9)</f>
        <v/>
      </c>
      <c r="D43" s="16">
        <f>(B43-C43)*$B$8</f>
        <v/>
      </c>
      <c r="E43" s="16">
        <f>B43-C43+D43</f>
        <v/>
      </c>
    </row>
    <row r="44">
      <c r="A44" s="15" t="n">
        <v>28</v>
      </c>
      <c r="B44" s="16">
        <f>E43</f>
        <v/>
      </c>
      <c r="C44" s="16">
        <f>C43*(1+$B$9)</f>
        <v/>
      </c>
      <c r="D44" s="16">
        <f>(B44-C44)*$B$8</f>
        <v/>
      </c>
      <c r="E44" s="16">
        <f>B44-C44+D44</f>
        <v/>
      </c>
    </row>
    <row r="45">
      <c r="A45" s="15" t="n">
        <v>29</v>
      </c>
      <c r="B45" s="16">
        <f>E44</f>
        <v/>
      </c>
      <c r="C45" s="16">
        <f>C44*(1+$B$9)</f>
        <v/>
      </c>
      <c r="D45" s="16">
        <f>(B45-C45)*$B$8</f>
        <v/>
      </c>
      <c r="E45" s="16">
        <f>B45-C45+D45</f>
        <v/>
      </c>
    </row>
    <row r="46">
      <c r="A46" s="15" t="n">
        <v>30</v>
      </c>
      <c r="B46" s="16">
        <f>E45</f>
        <v/>
      </c>
      <c r="C46" s="16">
        <f>C45*(1+$B$9)</f>
        <v/>
      </c>
      <c r="D46" s="16">
        <f>(B46-C46)*$B$8</f>
        <v/>
      </c>
      <c r="E46" s="16">
        <f>B46-C46+D46</f>
        <v/>
      </c>
    </row>
    <row r="47">
      <c r="A47" s="8" t="inlineStr">
        <is>
          <t>Saldo dopo 30 anni</t>
        </is>
      </c>
      <c r="B47" s="16">
        <f>E46</f>
        <v/>
      </c>
    </row>
    <row r="49" ht="60" customHeight="1">
      <c r="A49" s="14" t="inlineStr">
        <is>
          <t>ATTENZIONE: questa e' simulazione deterministica (rendimento costante). Nella realta' i mercati oscillano e il Sequence of Returns Risk (SORR) puo' rovinare il piano se i primi 5-10 anni vanno male. Per gestire SORR vedi sheet '2 - Bucket' e '3 - Guyton-Klinger'.</t>
        </is>
      </c>
    </row>
  </sheetData>
  <mergeCells count="9">
    <mergeCell ref="A15:H15"/>
    <mergeCell ref="A12:D12"/>
    <mergeCell ref="A4:D4"/>
    <mergeCell ref="A2:H2"/>
    <mergeCell ref="A49:H49"/>
    <mergeCell ref="C13:D13"/>
    <mergeCell ref="A1:H1"/>
    <mergeCell ref="A10:D10"/>
    <mergeCell ref="G13:H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4" customWidth="1" min="3" max="3"/>
    <col width="32" customWidth="1" min="4" max="4"/>
    <col width="18" customWidth="1" min="5" max="5"/>
    <col width="4" customWidth="1" min="6" max="6"/>
    <col width="28" customWidth="1" min="7" max="7"/>
    <col width="16" customWidth="1" min="8" max="8"/>
  </cols>
  <sheetData>
    <row r="1" ht="25" customHeight="1">
      <c r="A1" s="1" t="inlineStr">
        <is>
          <t>Bucket Strategy — protezione dal SORR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INPUT</t>
        </is>
      </c>
    </row>
    <row r="5">
      <c r="A5" s="8" t="inlineStr">
        <is>
          <t>Capitale totale (EUR)</t>
        </is>
      </c>
      <c r="B5" s="9" t="n">
        <v>1000000</v>
      </c>
    </row>
    <row r="6">
      <c r="A6" s="8" t="inlineStr">
        <is>
          <t>Spese annue (EUR)</t>
        </is>
      </c>
      <c r="B6" s="9" t="n">
        <v>40000</v>
      </c>
    </row>
    <row r="7">
      <c r="A7" s="8" t="inlineStr">
        <is>
          <t>Anni Bucket 1 (liquidita')</t>
        </is>
      </c>
      <c r="B7" s="12" t="n">
        <v>2</v>
      </c>
    </row>
    <row r="8">
      <c r="A8" s="8" t="inlineStr">
        <is>
          <t>Anni Bucket 2 (bond)</t>
        </is>
      </c>
      <c r="B8" s="12" t="n">
        <v>6</v>
      </c>
    </row>
    <row r="9">
      <c r="A9" s="8" t="inlineStr">
        <is>
          <t>% restante Bucket 3 (equity)</t>
        </is>
      </c>
      <c r="B9" s="11">
        <f>1-(B7+B8)*B6/B5</f>
        <v/>
      </c>
    </row>
    <row r="10" ht="50" customHeight="1">
      <c r="A10" s="14" t="inlineStr">
        <is>
          <t>Bucket 1 = conto deposito / monetario (rendimento ~3% lordo 2026, rischio ZERO). Bucket 2 = obbligazionario governativo IG (rendimento ~3-4% lordo, drawdown limitato). Bucket 3 = ETF azionario globale (rendimento atteso 5-7% lordo, drawdown anche -40%).</t>
        </is>
      </c>
    </row>
    <row r="12">
      <c r="A12" s="7" t="inlineStr">
        <is>
          <t>ALLOCAZIONE BUCKET</t>
        </is>
      </c>
    </row>
    <row r="13">
      <c r="A13" s="10" t="inlineStr">
        <is>
          <t>Bucket</t>
        </is>
      </c>
      <c r="B13" s="10" t="inlineStr">
        <is>
          <t>Anni di spese</t>
        </is>
      </c>
      <c r="D13" s="10" t="inlineStr">
        <is>
          <t>Importo (EUR)</t>
        </is>
      </c>
      <c r="E13" s="10" t="inlineStr">
        <is>
          <t>% portafoglio</t>
        </is>
      </c>
      <c r="G13" s="10" t="inlineStr">
        <is>
          <t>Strumento tipico</t>
        </is>
      </c>
      <c r="H13" s="10" t="inlineStr">
        <is>
          <t>Tax (Italia)</t>
        </is>
      </c>
    </row>
    <row r="14">
      <c r="A14" s="8" t="inlineStr">
        <is>
          <t>Bucket 1 — Liquidita'</t>
        </is>
      </c>
      <c r="B14" s="17">
        <f>B7</f>
        <v/>
      </c>
      <c r="D14" s="16">
        <f>B6*B7</f>
        <v/>
      </c>
      <c r="E14" s="11">
        <f>D14/$B$5</f>
        <v/>
      </c>
      <c r="G14" s="8" t="inlineStr">
        <is>
          <t>ETF monetario o c/deposito</t>
        </is>
      </c>
      <c r="H14" s="8" t="inlineStr">
        <is>
          <t>26%</t>
        </is>
      </c>
    </row>
    <row r="15">
      <c r="A15" s="8" t="inlineStr">
        <is>
          <t>Bucket 2 — Bond IG</t>
        </is>
      </c>
      <c r="B15" s="17">
        <f>B8</f>
        <v/>
      </c>
      <c r="D15" s="16">
        <f>B6*B8</f>
        <v/>
      </c>
      <c r="E15" s="11">
        <f>D15/$B$5</f>
        <v/>
      </c>
      <c r="G15" s="8" t="inlineStr">
        <is>
          <t>ETF obbligazionario gov.</t>
        </is>
      </c>
      <c r="H15" s="8" t="inlineStr">
        <is>
          <t>12.5%</t>
        </is>
      </c>
    </row>
    <row r="16">
      <c r="A16" s="8" t="inlineStr">
        <is>
          <t>Bucket 3 — Equity</t>
        </is>
      </c>
      <c r="B16" s="17">
        <f>$B$7+$B$8+30</f>
        <v/>
      </c>
      <c r="D16" s="16">
        <f>B5-D14-D15</f>
        <v/>
      </c>
      <c r="E16" s="11">
        <f>D16/$B$5</f>
        <v/>
      </c>
      <c r="G16" s="8" t="inlineStr">
        <is>
          <t>ETF azionario globale</t>
        </is>
      </c>
      <c r="H16" s="8" t="inlineStr">
        <is>
          <t>26%</t>
        </is>
      </c>
    </row>
    <row r="18">
      <c r="A18" s="7" t="inlineStr">
        <is>
          <t>STRATEGIA DI RIBILANCIAMENTO</t>
        </is>
      </c>
    </row>
    <row r="19" ht="75" customHeight="1">
      <c r="A19" s="14" t="inlineStr">
        <is>
          <t>Regola pratica: ogni anno preleva da Bucket 1. Se mercato azionario in bear (Bucket 3 -20% o piu'): NON vendi equity, ribilanci spostando da Bucket 2 a Bucket 1. Se mercato in bull (Bucket 3 +20% o piu'): vendi equity per ricaricare Bucket 1 e 2. Cosi' eviti di vendere azioni nei drawdown (Sequence of Returns Risk).</t>
        </is>
      </c>
    </row>
    <row r="21">
      <c r="A21" s="7" t="inlineStr">
        <is>
          <t>ESEMPIO — copertura iniziale (anni)</t>
        </is>
      </c>
    </row>
    <row r="22">
      <c r="A22" s="8" t="inlineStr">
        <is>
          <t>Anni coperti da Bucket 1+2 (senza equity)</t>
        </is>
      </c>
      <c r="B22" s="17">
        <f>B7+B8</f>
        <v/>
      </c>
    </row>
    <row r="23">
      <c r="A23" s="8" t="inlineStr">
        <is>
          <t>Cushion contro un bear market lungo</t>
        </is>
      </c>
      <c r="B23" s="17">
        <f>B22</f>
        <v/>
      </c>
    </row>
    <row r="24" ht="50" customHeight="1">
      <c r="A24" s="14" t="inlineStr">
        <is>
          <t>Storicamente i bear market USA durano 1-3 anni e recuperano in 3-5. Tenere 8 anni di spese in Bucket 1+2 (esempio default) ti copre da tutti i bear del XX secolo senza dover vendere equity in perdita.</t>
        </is>
      </c>
    </row>
  </sheetData>
  <mergeCells count="9">
    <mergeCell ref="A12:H12"/>
    <mergeCell ref="A4:H4"/>
    <mergeCell ref="A18:H18"/>
    <mergeCell ref="A21:H21"/>
    <mergeCell ref="A24:H24"/>
    <mergeCell ref="A2:H2"/>
    <mergeCell ref="A10:H10"/>
    <mergeCell ref="A19:H19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4" customWidth="1" min="3" max="3"/>
    <col width="32" customWidth="1" min="4" max="4"/>
    <col width="18" customWidth="1" min="5" max="5"/>
  </cols>
  <sheetData>
    <row r="1" ht="25" customHeight="1">
      <c r="A1" s="1" t="inlineStr">
        <is>
          <t>Guyton-Klinger — guardrails dinamici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INPUT</t>
        </is>
      </c>
    </row>
    <row r="5">
      <c r="A5" s="8" t="inlineStr">
        <is>
          <t>Capitale iniziale (EUR)</t>
        </is>
      </c>
      <c r="B5" s="9" t="n">
        <v>1000000</v>
      </c>
    </row>
    <row r="6">
      <c r="A6" s="8" t="inlineStr">
        <is>
          <t>Prelievo iniziale annuo (EUR)</t>
        </is>
      </c>
      <c r="B6" s="9" t="n">
        <v>54000</v>
      </c>
    </row>
    <row r="7">
      <c r="A7" s="8" t="inlineStr">
        <is>
          <t>SWR iniziale (auto)</t>
        </is>
      </c>
      <c r="B7" s="11">
        <f>B6/B5</f>
        <v/>
      </c>
    </row>
    <row r="8">
      <c r="A8" s="8" t="inlineStr">
        <is>
          <t>Inflazione attesa annua</t>
        </is>
      </c>
      <c r="B8" s="13" t="n">
        <v>0.02</v>
      </c>
    </row>
    <row r="9">
      <c r="A9" s="8" t="inlineStr">
        <is>
          <t>Soglia guardrail (% del WR iniziale)</t>
        </is>
      </c>
      <c r="B9" s="13" t="n">
        <v>0.2</v>
      </c>
    </row>
    <row r="10">
      <c r="A10" s="8" t="inlineStr">
        <is>
          <t>Aggiustamento prelievo (+/-%)</t>
        </is>
      </c>
      <c r="B10" s="13" t="n">
        <v>0.1</v>
      </c>
    </row>
    <row r="11" ht="75" customHeight="1">
      <c r="A11" s="14" t="inlineStr">
        <is>
          <t>Guyton-Klinger (2006): inizi con WR 5.2-5.6% (piu' alto del 4% Trinity). Se il mercato va male e il WR sale del 20% sopra l'iniziale (Capital Preservation Rule), TAGLI il prelievo del 10%. Se il mercato va bene e il WR scende del 20% sotto l'iniziale (Prosperity Rule), ALZI il prelievo del 10%. Vale FINO al 15esimo anno di pensione.</t>
        </is>
      </c>
    </row>
    <row r="13">
      <c r="A13" s="7" t="inlineStr">
        <is>
          <t>TRIGGER GUARDRAILS (auto)</t>
        </is>
      </c>
    </row>
    <row r="14">
      <c r="A14" s="8" t="inlineStr">
        <is>
          <t>WR iniziale</t>
        </is>
      </c>
      <c r="B14" s="11">
        <f>B7</f>
        <v/>
      </c>
    </row>
    <row r="15">
      <c r="A15" s="8" t="inlineStr">
        <is>
          <t>Trigger ALTO (taglio -10%): WR sopra</t>
        </is>
      </c>
      <c r="B15" s="11">
        <f>B7*(1+B9)</f>
        <v/>
      </c>
    </row>
    <row r="16">
      <c r="A16" s="8" t="inlineStr">
        <is>
          <t>Trigger BASSO (rialzo +10%): WR sotto</t>
        </is>
      </c>
      <c r="B16" s="11">
        <f>B7*(1-B9)</f>
        <v/>
      </c>
    </row>
    <row r="18">
      <c r="A18" s="7" t="inlineStr">
        <is>
          <t>ESEMPI APPLICAZIONE</t>
        </is>
      </c>
    </row>
    <row r="19">
      <c r="A19" s="10" t="inlineStr">
        <is>
          <t>Scenario mercato</t>
        </is>
      </c>
      <c r="B19" s="10" t="inlineStr">
        <is>
          <t>Capitale dopo</t>
        </is>
      </c>
      <c r="C19" s="10" t="inlineStr"/>
      <c r="D19" s="10" t="inlineStr">
        <is>
          <t>Nuovo WR</t>
        </is>
      </c>
      <c r="E19" s="10" t="inlineStr">
        <is>
          <t>Azione</t>
        </is>
      </c>
    </row>
    <row r="20">
      <c r="A20" s="8" t="inlineStr">
        <is>
          <t>Crash -30% in anno 1</t>
        </is>
      </c>
      <c r="B20" s="16" t="n">
        <v>700000</v>
      </c>
      <c r="D20" s="11">
        <f>B6/B20</f>
        <v/>
      </c>
      <c r="E20" s="8" t="inlineStr">
        <is>
          <t>Capital Preservation: -10%</t>
        </is>
      </c>
    </row>
    <row r="21">
      <c r="A21" s="8" t="inlineStr">
        <is>
          <t>Mercato flat</t>
        </is>
      </c>
      <c r="B21" s="16" t="n">
        <v>1000000</v>
      </c>
      <c r="D21" s="11">
        <f>B6/B21</f>
        <v/>
      </c>
      <c r="E21" s="8" t="inlineStr">
        <is>
          <t>Inflation adjustment normale</t>
        </is>
      </c>
    </row>
    <row r="22">
      <c r="A22" s="8" t="inlineStr">
        <is>
          <t>Bull +30% in anno 1</t>
        </is>
      </c>
      <c r="B22" s="16" t="n">
        <v>1300000</v>
      </c>
      <c r="D22" s="11">
        <f>B6/B22</f>
        <v/>
      </c>
      <c r="E22" s="8" t="inlineStr">
        <is>
          <t>Prosperity Rule: +10%</t>
        </is>
      </c>
    </row>
    <row r="24" ht="60" customHeight="1">
      <c r="A24" s="14" t="inlineStr">
        <is>
          <t>Tradeoff: WR iniziale piu' alto (5.4% vs 4%) = piu' soldi da spendere, ma richiede DISCIPLINA di tagliare in bear. Storicamente Guyton-Klinger ha sempre superato 30 anni con WR fino a 5.6% su backtest 1928-2004 con portafoglio 65% azioni.</t>
        </is>
      </c>
    </row>
  </sheetData>
  <mergeCells count="7">
    <mergeCell ref="A4:E4"/>
    <mergeCell ref="A24:E24"/>
    <mergeCell ref="A2:E2"/>
    <mergeCell ref="A11:E11"/>
    <mergeCell ref="A1:E1"/>
    <mergeCell ref="A13:E13"/>
    <mergeCell ref="A18:E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8" customWidth="1" min="4" max="4"/>
    <col width="20" customWidth="1" min="5" max="5"/>
    <col width="4" customWidth="1" min="6" max="6"/>
    <col width="24" customWidth="1" min="7" max="7"/>
  </cols>
  <sheetData>
    <row r="1" ht="25" customHeight="1">
      <c r="A1" s="1" t="inlineStr">
        <is>
          <t>Bond Ladder BTP — copertura 5 anni di spese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INPUT</t>
        </is>
      </c>
    </row>
    <row r="5">
      <c r="A5" s="8" t="inlineStr">
        <is>
          <t>Spese annue da coprire (EUR)</t>
        </is>
      </c>
      <c r="B5" s="9" t="n">
        <v>40000</v>
      </c>
    </row>
    <row r="6">
      <c r="A6" s="8" t="inlineStr">
        <is>
          <t>Numero scaglioni (anni)</t>
        </is>
      </c>
      <c r="B6" s="12" t="n">
        <v>5</v>
      </c>
    </row>
    <row r="7">
      <c r="A7" s="8" t="inlineStr">
        <is>
          <t>Rendimento medio BTP cedola (lordo annuo)</t>
        </is>
      </c>
      <c r="B7" s="13" t="n">
        <v>0.035</v>
      </c>
    </row>
    <row r="8">
      <c r="A8" s="8" t="inlineStr">
        <is>
          <t>Tassazione cedola BTP</t>
        </is>
      </c>
      <c r="B8" s="13" t="n">
        <v>0.125</v>
      </c>
    </row>
    <row r="9" ht="50" customHeight="1">
      <c r="A9" s="14" t="inlineStr">
        <is>
          <t>Bond ladder = compri BTP con scadenza ESCALATA (anno 1, 2, 3, 4, 5...). Ogni anno una tranche matura e ti paga il nominale (usato per le spese). Tassazione cedola al 12,5% (titoli di Stato).</t>
        </is>
      </c>
    </row>
    <row r="11">
      <c r="A11" s="7" t="inlineStr">
        <is>
          <t>LADDER — 5 SCAGLIONI BTP</t>
        </is>
      </c>
    </row>
    <row r="12">
      <c r="A12" s="10" t="inlineStr">
        <is>
          <t>Scadenza</t>
        </is>
      </c>
      <c r="B12" s="10" t="inlineStr">
        <is>
          <t>Nominale BTP</t>
        </is>
      </c>
      <c r="C12" s="10" t="inlineStr">
        <is>
          <t>Cedola lorda/anno</t>
        </is>
      </c>
      <c r="D12" s="10" t="inlineStr">
        <is>
          <t>Cedola netta/anno</t>
        </is>
      </c>
      <c r="E12" s="10" t="inlineStr">
        <is>
          <t>Note</t>
        </is>
      </c>
    </row>
    <row r="13">
      <c r="A13" s="8" t="inlineStr">
        <is>
          <t>Anno 1</t>
        </is>
      </c>
      <c r="B13" s="16">
        <f>$B$5</f>
        <v/>
      </c>
      <c r="C13" s="16">
        <f>B13*$B$7</f>
        <v/>
      </c>
      <c r="D13" s="16">
        <f>C13*(1-$B$8)</f>
        <v/>
      </c>
      <c r="E13" s="8" t="inlineStr">
        <is>
          <t>Matura: rimborso = spese anno 1</t>
        </is>
      </c>
    </row>
    <row r="14">
      <c r="A14" s="8" t="inlineStr">
        <is>
          <t>Anno 2</t>
        </is>
      </c>
      <c r="B14" s="16">
        <f>$B$5</f>
        <v/>
      </c>
      <c r="C14" s="16">
        <f>B14*$B$7</f>
        <v/>
      </c>
      <c r="D14" s="16">
        <f>C14*(1-$B$8)</f>
        <v/>
      </c>
    </row>
    <row r="15">
      <c r="A15" s="8" t="inlineStr">
        <is>
          <t>Anno 3</t>
        </is>
      </c>
      <c r="B15" s="16">
        <f>$B$5</f>
        <v/>
      </c>
      <c r="C15" s="16">
        <f>B15*$B$7</f>
        <v/>
      </c>
      <c r="D15" s="16">
        <f>C15*(1-$B$8)</f>
        <v/>
      </c>
    </row>
    <row r="16">
      <c r="A16" s="8" t="inlineStr">
        <is>
          <t>Anno 4</t>
        </is>
      </c>
      <c r="B16" s="16">
        <f>$B$5</f>
        <v/>
      </c>
      <c r="C16" s="16">
        <f>B16*$B$7</f>
        <v/>
      </c>
      <c r="D16" s="16">
        <f>C16*(1-$B$8)</f>
        <v/>
      </c>
    </row>
    <row r="17">
      <c r="A17" s="8" t="inlineStr">
        <is>
          <t>Anno 5</t>
        </is>
      </c>
      <c r="B17" s="16">
        <f>$B$5</f>
        <v/>
      </c>
      <c r="C17" s="16">
        <f>B17*$B$7</f>
        <v/>
      </c>
      <c r="D17" s="16">
        <f>C17*(1-$B$8)</f>
        <v/>
      </c>
      <c r="E17" s="8" t="inlineStr">
        <is>
          <t>Scadenza piu' lontana = cedole 5y</t>
        </is>
      </c>
    </row>
    <row r="19">
      <c r="A19" s="8" t="inlineStr">
        <is>
          <t>TOTALE nominale ladder</t>
        </is>
      </c>
      <c r="B19" s="16">
        <f>SUM(B13:B17)</f>
        <v/>
      </c>
    </row>
    <row r="20">
      <c r="A20" s="8" t="inlineStr">
        <is>
          <t>Cedole nette annue totali (mentre ladder e' viva)</t>
        </is>
      </c>
      <c r="B20" s="16">
        <f>SUM(D13:D17)</f>
        <v/>
      </c>
    </row>
    <row r="22">
      <c r="A22" s="7" t="inlineStr">
        <is>
          <t>VANTAGGI E LIMITI</t>
        </is>
      </c>
    </row>
    <row r="23" ht="30" customHeight="1">
      <c r="A23" s="14" t="inlineStr">
        <is>
          <t>PRO: rendimento certo, scadenza certa (no SORR sui bond). Inflazione: usa BTP Italia (indicizzato FOI) per le scadenze lontane.</t>
        </is>
      </c>
    </row>
    <row r="24" ht="32" customHeight="1">
      <c r="A24" s="14" t="inlineStr">
        <is>
          <t>CONTRO: dimensioni minime BTP = 1.000 EUR nominale; 5 anni di spese 'fermi' su 1 emittente (Italia) = concentration risk; rendimento limitato vs equity nel lungo.</t>
        </is>
      </c>
    </row>
  </sheetData>
  <mergeCells count="8">
    <mergeCell ref="A1:G1"/>
    <mergeCell ref="A9:G9"/>
    <mergeCell ref="A22:G22"/>
    <mergeCell ref="A4:G4"/>
    <mergeCell ref="A24:G24"/>
    <mergeCell ref="A2:G2"/>
    <mergeCell ref="A11:G11"/>
    <mergeCell ref="A23:G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" customWidth="1" min="3" max="3"/>
    <col width="32" customWidth="1" min="4" max="4"/>
    <col width="18" customWidth="1" min="5" max="5"/>
    <col width="18" customWidth="1" min="6" max="6"/>
    <col width="18" customWidth="1" min="7" max="7"/>
  </cols>
  <sheetData>
    <row r="1" ht="25" customHeight="1">
      <c r="A1" s="1" t="inlineStr">
        <is>
          <t>Tax-aware decumulo Italia — confronto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INPUT</t>
        </is>
      </c>
    </row>
    <row r="5">
      <c r="A5" s="8" t="inlineStr">
        <is>
          <t>Spesa annua lorda desiderata (EUR)</t>
        </is>
      </c>
      <c r="B5" s="9" t="n">
        <v>40000</v>
      </c>
    </row>
    <row r="6">
      <c r="A6" s="8" t="inlineStr">
        <is>
          <t>Plusvalenza media nello strumento (%)</t>
        </is>
      </c>
      <c r="B6" s="13" t="n">
        <v>0.4</v>
      </c>
    </row>
    <row r="7">
      <c r="A7" s="8" t="inlineStr">
        <is>
          <t>Anni di adesione al fondo pensione</t>
        </is>
      </c>
      <c r="B7" s="12" t="n">
        <v>30</v>
      </c>
    </row>
    <row r="8">
      <c r="A8" s="8" t="inlineStr">
        <is>
          <t>Aliquota FP (15% - 0,3% per anno &gt; 15)</t>
        </is>
      </c>
      <c r="B8" s="11">
        <f>MAX(0.09,0.15-(B7-15)*0.003)</f>
        <v/>
      </c>
    </row>
    <row r="9" ht="45" customHeight="1">
      <c r="A9" s="14" t="inlineStr">
        <is>
          <t>Plusvalenza media: stima quale % del capitale prelevato e' guadagno vs capitale versato. Per FP la tassazione si applica SOLO sul capitale deducito al netto del 4,1% gia' tassato sui rendimenti annui.</t>
        </is>
      </c>
    </row>
    <row r="11">
      <c r="A11" s="7" t="inlineStr">
        <is>
          <t>CONFRONTO TASSAZIONE — voglio 40.000 EUR NETTI</t>
        </is>
      </c>
    </row>
    <row r="12">
      <c r="A12" s="10" t="inlineStr">
        <is>
          <t>Strumento</t>
        </is>
      </c>
      <c r="B12" s="10" t="inlineStr">
        <is>
          <t>Aliq. effettiva</t>
        </is>
      </c>
      <c r="D12" s="10" t="inlineStr">
        <is>
          <t>Lordo necessario</t>
        </is>
      </c>
      <c r="E12" s="10" t="inlineStr">
        <is>
          <t>Tasse pagate</t>
        </is>
      </c>
      <c r="F12" s="10" t="inlineStr">
        <is>
          <t>Netto target</t>
        </is>
      </c>
    </row>
    <row r="13">
      <c r="A13" s="8" t="inlineStr">
        <is>
          <t>ETF azionario (26% solo su plus)</t>
        </is>
      </c>
      <c r="B13" s="11">
        <f>$B$6*0.26</f>
        <v/>
      </c>
      <c r="D13" s="16">
        <f>$B$5/(1-B13)</f>
        <v/>
      </c>
      <c r="E13" s="16">
        <f>D13-$B$5</f>
        <v/>
      </c>
      <c r="F13" s="16">
        <f>$B$5</f>
        <v/>
      </c>
    </row>
    <row r="14">
      <c r="A14" s="8" t="inlineStr">
        <is>
          <t>ETF obbligaz. governativo (12,5% su plus)</t>
        </is>
      </c>
      <c r="B14" s="11">
        <f>$B$6*0.125</f>
        <v/>
      </c>
      <c r="D14" s="16">
        <f>$B$5/(1-B14)</f>
        <v/>
      </c>
      <c r="E14" s="16">
        <f>D14-$B$5</f>
        <v/>
      </c>
      <c r="F14" s="16">
        <f>$B$5</f>
        <v/>
      </c>
    </row>
    <row r="15">
      <c r="A15" s="8" t="inlineStr">
        <is>
          <t>BTP cedola (12,5% sull'intera cedola)</t>
        </is>
      </c>
      <c r="B15" s="11">
        <f>0.125</f>
        <v/>
      </c>
      <c r="D15" s="16">
        <f>$B$5/(1-B15)</f>
        <v/>
      </c>
      <c r="E15" s="16">
        <f>D15-$B$5</f>
        <v/>
      </c>
      <c r="F15" s="16">
        <f>$B$5</f>
        <v/>
      </c>
    </row>
    <row r="16">
      <c r="A16" s="8" t="inlineStr">
        <is>
          <t>FP capitale (15-9% ritenuta separata)</t>
        </is>
      </c>
      <c r="B16" s="11">
        <f>$B$8</f>
        <v/>
      </c>
      <c r="D16" s="16">
        <f>$B$5/(1-B16)</f>
        <v/>
      </c>
      <c r="E16" s="16">
        <f>D16-$B$5</f>
        <v/>
      </c>
      <c r="F16" s="16">
        <f>$B$5</f>
        <v/>
      </c>
    </row>
    <row r="17">
      <c r="A17" s="8" t="inlineStr">
        <is>
          <t>FP rendita vitalizia (15-9% sep., come capitale)</t>
        </is>
      </c>
      <c r="B17" s="11">
        <f>$B$8</f>
        <v/>
      </c>
      <c r="D17" s="16">
        <f>$B$5/(1-B17)</f>
        <v/>
      </c>
      <c r="E17" s="16">
        <f>D17-$B$5</f>
        <v/>
      </c>
      <c r="F17" s="16">
        <f>$B$5</f>
        <v/>
      </c>
    </row>
    <row r="18">
      <c r="A18" s="8" t="inlineStr">
        <is>
          <t>FP rendita durata definita (15-9% come capitale)</t>
        </is>
      </c>
      <c r="B18" s="11">
        <f>$B$8</f>
        <v/>
      </c>
      <c r="D18" s="16">
        <f>$B$5/(1-B18)</f>
        <v/>
      </c>
      <c r="E18" s="16">
        <f>D18-$B$5</f>
        <v/>
      </c>
      <c r="F18" s="16">
        <f>$B$5</f>
        <v/>
      </c>
    </row>
    <row r="19">
      <c r="A19" s="8" t="inlineStr">
        <is>
          <t>FP erogazione frazionata 5+y (20%, min 15% a 35y)</t>
        </is>
      </c>
      <c r="B19" s="11">
        <f>MAX(0.15,0.20-(B7-15)*0.0025)</f>
        <v/>
      </c>
      <c r="D19" s="16">
        <f>$B$5/(1-B19)</f>
        <v/>
      </c>
      <c r="E19" s="16">
        <f>D19-$B$5</f>
        <v/>
      </c>
      <c r="F19" s="16">
        <f>$B$5</f>
        <v/>
      </c>
    </row>
    <row r="20">
      <c r="A20" s="8" t="inlineStr">
        <is>
          <t>Conto deposito (26% sugli interessi)</t>
        </is>
      </c>
      <c r="B20" s="11">
        <f>0.26</f>
        <v/>
      </c>
      <c r="D20" s="16">
        <f>$B$5/(1-B20)</f>
        <v/>
      </c>
      <c r="E20" s="16">
        <f>D20-$B$5</f>
        <v/>
      </c>
      <c r="F20" s="16">
        <f>$B$5</f>
        <v/>
      </c>
    </row>
    <row r="22">
      <c r="A22" s="7" t="inlineStr">
        <is>
          <t>STRATEGIA OTTIMALE: ORDINE DI PRELIEVO</t>
        </is>
      </c>
    </row>
    <row r="23">
      <c r="A23" s="14" t="inlineStr">
        <is>
          <t>1. PRIMA: BTP cedole e dividendi (gia' tassati alla fonte).</t>
        </is>
      </c>
    </row>
    <row r="24">
      <c r="A24" s="14" t="inlineStr">
        <is>
          <t>2. POI: ETF obbligazionari governativi/sovranazionali (12,5%).</t>
        </is>
      </c>
    </row>
    <row r="25">
      <c r="A25" s="14" t="inlineStr">
        <is>
          <t>3. POI: FP capitale fino al 60% (L.Bilancio 2026: 15% scendendo a 9% dopo 35y).</t>
        </is>
      </c>
    </row>
    <row r="26">
      <c r="A26" s="14" t="inlineStr">
        <is>
          <t>4. POI: ETF azionari (26% ma solo sulla plus): vendi PRIMA lotti con plus minore (LIFO via specifica lotto). Compensa minus con plus.</t>
        </is>
      </c>
    </row>
    <row r="27" ht="50" customHeight="1">
      <c r="A27" s="14" t="inlineStr">
        <is>
          <t>IRPEF 2026 (Legge Bilancio 199/2025): 23% fino 28k, 33% 28-50k (era 35% nel 2024-25), 43% oltre 50k. La rendita FP si somma alla pensione INPS e ai redditi: occhio agli scaglioni.</t>
        </is>
      </c>
    </row>
    <row r="29" ht="60" customHeight="1">
      <c r="A29" s="14" t="inlineStr">
        <is>
          <t>NOVITA' 2026: la Legge di Bilancio (in vigore dal 1/7/2026) introduce il prelievo capitale fino al 60% (era 50%), la rendita a durata definita (tassata come il capitale 15-9%) e l'erogazione frazionata in 5+ anni con aliquota 20%, riducibile dello 0,25%/anno oltre il 15esimo, fino al 15%.</t>
        </is>
      </c>
    </row>
  </sheetData>
  <mergeCells count="12">
    <mergeCell ref="A1:G1"/>
    <mergeCell ref="A9:G9"/>
    <mergeCell ref="A27:G27"/>
    <mergeCell ref="A22:G22"/>
    <mergeCell ref="A4:G4"/>
    <mergeCell ref="A26:G26"/>
    <mergeCell ref="A24:G24"/>
    <mergeCell ref="A2:G2"/>
    <mergeCell ref="A29:G29"/>
    <mergeCell ref="A25:G25"/>
    <mergeCell ref="A11:G11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2026-05-24T08:26:14Z</dcterms:created>
  <dcterms:modified xmlns:dcterms="http://purl.org/dc/terms/" xmlns:xsi="http://www.w3.org/2001/XMLSchema-instance" xsi:type="dcterms:W3CDTF">2026-05-24T08:26:14Z</dcterms:modified>
</cp:coreProperties>
</file>