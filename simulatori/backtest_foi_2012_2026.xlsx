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0 - Indice" sheetId="1" r:id="rId1"/>
    <sheet name="1 - Serie FOI 2012-2026" sheetId="2" r:id="rId2"/>
    <sheet name="2 - Backtest Sì vs classico" sheetId="3" r:id="rId3"/>
    <sheet name="3 - Sensibilità" sheetId="4" r:id="rId4"/>
  </sheets>
  <calcPr calcId="144525"/>
</workbook>
</file>

<file path=xl/calcChain.xml><?xml version="1.0" encoding="utf-8"?>
<calcChain xmlns="http://schemas.openxmlformats.org/spreadsheetml/2006/main">
  <c r="B30" i="3" l="1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C12" i="3"/>
  <c r="C13" i="3" s="1"/>
  <c r="E11" i="3"/>
  <c r="D11" i="3"/>
  <c r="F11" i="3" s="1"/>
  <c r="C11" i="3"/>
  <c r="C14" i="3" l="1"/>
  <c r="D13" i="3"/>
  <c r="F13" i="3" s="1"/>
  <c r="D12" i="3"/>
  <c r="F12" i="3" s="1"/>
  <c r="D14" i="3" l="1"/>
  <c r="F14" i="3" s="1"/>
  <c r="C15" i="3"/>
  <c r="C16" i="3" l="1"/>
  <c r="D15" i="3"/>
  <c r="F15" i="3" s="1"/>
  <c r="C17" i="3" l="1"/>
  <c r="D16" i="3"/>
  <c r="F16" i="3" s="1"/>
  <c r="D17" i="3" l="1"/>
  <c r="F17" i="3" s="1"/>
  <c r="C18" i="3"/>
  <c r="C19" i="3" l="1"/>
  <c r="D18" i="3"/>
  <c r="F18" i="3" s="1"/>
  <c r="C20" i="3" l="1"/>
  <c r="D19" i="3"/>
  <c r="F19" i="3" s="1"/>
  <c r="D20" i="3" l="1"/>
  <c r="F20" i="3" s="1"/>
  <c r="C21" i="3"/>
  <c r="C22" i="3" l="1"/>
  <c r="D21" i="3"/>
  <c r="F21" i="3" s="1"/>
  <c r="C23" i="3" l="1"/>
  <c r="D22" i="3"/>
  <c r="F22" i="3" s="1"/>
  <c r="C24" i="3" l="1"/>
  <c r="D24" i="3" s="1"/>
  <c r="F24" i="3" s="1"/>
  <c r="D23" i="3"/>
  <c r="F23" i="3" s="1"/>
  <c r="F25" i="3" l="1"/>
  <c r="B26" i="3" s="1"/>
  <c r="B34" i="3" l="1"/>
  <c r="B33" i="3"/>
</calcChain>
</file>

<file path=xl/sharedStrings.xml><?xml version="1.0" encoding="utf-8"?>
<sst xmlns="http://schemas.openxmlformats.org/spreadsheetml/2006/main" count="91" uniqueCount="84">
  <si>
    <t>Back-test BTP Italia Sì vs classico — FOI 2012-2026</t>
  </si>
  <si>
    <t>Strumento informativo / divulgativo. NON è consulenza finanziaria. I valori sono indicativi al 2026 e vanno verificati col tuo consulente.</t>
  </si>
  <si>
    <t>Indice</t>
  </si>
  <si>
    <t>📖 IN PAROLE SEMPLICI</t>
  </si>
  <si>
    <t>1 - Serie FOI 2012-2026</t>
  </si>
  <si>
    <t>Inflazione FOI ex-tabacchi annua + indice cumulato (ISTAT)</t>
  </si>
  <si>
    <t>A cosa serve questo file: rispondere a una domanda semplice — il NUOVO BTP Italia 'Sì' del 2026 conviene quanto il VECCHIO BTP Italia, oppure è peggiorato?</t>
  </si>
  <si>
    <t>2 - Backtest Sì vs classico</t>
  </si>
  <si>
    <t>I due effetti (cedola su rivalutato / floor) e il netto</t>
  </si>
  <si>
    <t>Come lo scopriamo: simuliamo 1.000 € investiti e usiamo l'inflazione italiana VERA degli ultimi 14 anni (2012-2026), non numeri inventati.</t>
  </si>
  <si>
    <t>3 - Sensibilità</t>
  </si>
  <si>
    <t>Netto al variare di tasso fisso e deflazione recuperata</t>
  </si>
  <si>
    <t>Le schede in breve:  • '1 - Serie FOI' = l'inflazione reale, anno per anno.  • '2 - Backtest' = il confronto vero e proprio tra i due titoli.  • '3 - Sensibilità' = come cambia il risultato se cambi le ipotesi.</t>
  </si>
  <si>
    <t>Il risultato in due righe: il nuovo Sì rende circa 11 € in meno su 1.000 € rispetto al vecchio, in questo scenario storico. NON è una fregatura, ma è un filo meno generoso. Tutti i dettagli nella scheda 2.</t>
  </si>
  <si>
    <t>Come usare</t>
  </si>
  <si>
    <t>Ricorda: celle GIALLE = le puoi modificare; celle VERDI = si calcolano da sole.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</si>
  <si>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</si>
  <si>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</si>
  <si>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</si>
  <si>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</si>
  <si>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</si>
  <si>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ISTAT — indice FOI ex-tabacchi, variazioni medie annue 2012-2026 (via rivaluta.it / I.Stat)</t>
  </si>
  <si>
    <t>• MEF Dip. Tesoro — BTP Italia Sì 2026: capitale rimborsato a 100, cedola su nominale, floor deflazione SENZA recupero (watermark)</t>
  </si>
  <si>
    <t>• idealista/news, traderlink — confronto struttura Sì vs BTP Italia classico (rivalutazione capitale + recupero deflazione)</t>
  </si>
  <si>
    <t>• Back-test = ricalcolo proprio: i due effetti su 1.000 € e percorso FOI reale (vedi sheet 2)</t>
  </si>
  <si>
    <t>Aggiornamenti: github.com/marcofire-it/marco-fire-simulatori</t>
  </si>
  <si>
    <t>Serie FOI ex-tabacchi 2012-2026 (ISTAT)</t>
  </si>
  <si>
    <t>INFLAZIONE FOI ANNUA + INDICE CUMULATO</t>
  </si>
  <si>
    <t>📖 COME LEGGERE QUESTA SCHEDA</t>
  </si>
  <si>
    <t>Anno</t>
  </si>
  <si>
    <t>Var. FOI %</t>
  </si>
  <si>
    <t>Indice cumulato (CI)</t>
  </si>
  <si>
    <t>CI - 1 (rivalut.)</t>
  </si>
  <si>
    <t>Cos'è il FOI? È l'indice ISTAT che misura l'inflazione: di quanto aumentano i prezzi in Italia ogni anno. Il BTP Italia usa proprio questo indice per proteggere i tuoi soldi dall'inflazione.</t>
  </si>
  <si>
    <t>Colonna 'Var. FOI %' = quanto sono saliti i prezzi in quell'anno. Esempio: 2022 +8% = nel 2022 il carrello della spesa è diventato più caro dell'8%. Quando il numero è negativo (2015, 2016, 2020) i prezzi sono leggermente scesi (deflazione).</t>
  </si>
  <si>
    <t>Colonna 'Indice cumulato (CI)' = quanto sono saliti i prezzi DALL'INIZIO del 2012, tutto sommato. Parte da 1,000 e arriva a ~1,266: vuol dire che dal 2012 a oggi i prezzi sono cresciuti del +26,6% in totale.</t>
  </si>
  <si>
    <t>Perché ti serve: con un BTP Italia, più i prezzi salgono più alta è la cedola che incassi. Questa scheda mostra cos'è successo DAVVERO ai prezzi, così i conti delle altre schede partono da numeri reali, non inventati.</t>
  </si>
  <si>
    <t>2026 (parz.)</t>
  </si>
  <si>
    <t>FOI cumulata 2012-2025</t>
  </si>
  <si>
    <t>L'indice CI parte da 1,000 a fine 2011. La deflazione ANNUA è quasi assente (solo 2015 -0,2%, 2016 -0,1%, 2020 -0,2%): per questo l'effetto B (floor) calcolato sui dati annuali è piccolo. I cali SEMESTRALI/mensili sono più profondi.</t>
  </si>
  <si>
    <t>Back-test struttura Sì vs classico — su 1.000 €</t>
  </si>
  <si>
    <t>PARAMETRI (celle gialle = modificabili)</t>
  </si>
  <si>
    <t>Capitale nominale (€)</t>
  </si>
  <si>
    <t>La domanda: il NUOVO BTP Italia 'Sì' (2026) è una fregatura rispetto al VECCHIO BTP Italia? Mettiamo 1.000 € e calcoliamo la differenza usando l'inflazione VERA del 2012-2026.</t>
  </si>
  <si>
    <t>Tasso reale fisso annuo r</t>
  </si>
  <si>
    <t>Ci sono due differenze tra i due titoli, due 'effetti' che tirano in direzioni opposte:</t>
  </si>
  <si>
    <t>Tassazione titoli stato</t>
  </si>
  <si>
    <t>▶ EFFETTO A (≈ −20 €, svantaggio del Sì): nel vecchio la cedola fissa si calcolava su un capitale che cresceva con l'inflazione; nel Sì si calcola sempre su 100. Quindi col Sì incassi un po' MENO di cedola nel tempo.</t>
  </si>
  <si>
    <t>▶ EFFETTO B (≈ +10 €, vantaggio del Sì): se i prezzi scendono (deflazione), il Sì non ti obbliga a 'recuperare' il calo prima di tornare a pagarti l'inflazione; il vecchio sì. Su questi 14 anni questo vantaggio vale circa +10 €.</t>
  </si>
  <si>
    <t>EFFETTO A — cedola su capitale rivalutato (svantaggio Sì)</t>
  </si>
  <si>
    <t>▶ NETTO ≈ −11 € : sommando A e B, il Sì rende circa 11 € in meno su 1.000 € rispetto al vecchio, in questo scenario storico. Tradotto: NON è una fregatura, ma neanche identico — è LEGGERMENTE meno generoso.</t>
  </si>
  <si>
    <t>Var FOI %</t>
  </si>
  <si>
    <t>Indice CI</t>
  </si>
  <si>
    <t>Cedola classico (r·CI)</t>
  </si>
  <si>
    <t>Cedola Sì (r·100)</t>
  </si>
  <si>
    <t>Extra classico</t>
  </si>
  <si>
    <t>Celle GIALLE = puoi modificarle (capitale, tasso, tassazione): i numeri verdi si ricalcolano da soli. Prova a cambiare il capitale e guarda come scala tutto.</t>
  </si>
  <si>
    <t>In breve: il 'pari' di cui si parla in giro vale solo se ci fosse stata MOLTA deflazione (~2,4%). In Italia ce n'è stata poca, quindi il Sì resta un filo sotto il vecchio.</t>
  </si>
  <si>
    <t>Somma extra classico (LORDO)</t>
  </si>
  <si>
    <t>EFFETTO A — netto (Sì incassa MENO)</t>
  </si>
  <si>
    <t>EFFETTO B — floor senza watermark (vantaggio Sì)</t>
  </si>
  <si>
    <t>Deflazione cumulata RECUPERATA (input)</t>
  </si>
  <si>
    <t>Default 1,1% = stima SEMESTRALE realistica (cali sotto-picco: trough gen-2016 99,7 vs picco 2014 ~0,6% + dip 2020 ~0,5%). Annuale puro = 0,5%. Per 'pari' servirebbe ~2,2% (non supportato dalla deflazione italiana, mite).</t>
  </si>
  <si>
    <t>EFFETTO B — netto (Sì risparmia)</t>
  </si>
  <si>
    <t>RISULTATO NETTO Sì vs classico</t>
  </si>
  <si>
    <t>NETTO (B - A): &gt;0 Sì meglio, &lt;0 Sì peggio</t>
  </si>
  <si>
    <t>Deflazione recuperata per il 'PARI'</t>
  </si>
  <si>
    <t>Sensibilità del NETTO (Sì vs classico, €/1.000)</t>
  </si>
  <si>
    <t>NETTO al variare di: tasso fisso r (righe) × deflazione recuperata (col)</t>
  </si>
  <si>
    <t>r reale \ deflaz. recup.</t>
  </si>
  <si>
    <t>0.5%</t>
  </si>
  <si>
    <t>1.1%</t>
  </si>
  <si>
    <t>2.0%</t>
  </si>
  <si>
    <t>2.4%</t>
  </si>
  <si>
    <t>Cos'è: una tabella 'e se...?'. Mostra come cambia il risultato (€ guadagnati o persi col Sì rispetto al vecchio, su 1.000 €) al variare di due ipotesi.</t>
  </si>
  <si>
    <t>1.0%</t>
  </si>
  <si>
    <t>RIGHE = il tasso fisso reale del titolo. Più è alto, più pesa l'Effetto A, cioè più il Sì è penalizzato. La riga 1,6% è quella del BTP Italia Sì vero.</t>
  </si>
  <si>
    <t>1.5%</t>
  </si>
  <si>
    <t>COLONNE = quanta deflazione il vecchio titolo deve 'recuperare'. Più ce n'è, più il Sì è avvantaggiato (Effetto B). La 2a colonna (1,1%) è la stima realistica per il 2012-2026.</t>
  </si>
  <si>
    <t>1.6%</t>
  </si>
  <si>
    <t>Come si legge un numero: NEGATIVO = il Sì rende MENO del vecchio; vicino a ZERO = vanno PARI; POSITIVO = il Sì rende di PIÙ. Cerca i valori vicini allo zero per capire quando si pareggiano.</t>
  </si>
  <si>
    <t>Conclusione: incrocia la riga 1,6% con la colonna 1,1% (i valori reali) → il Sì è ~11 € sotto. Si arriva a 'pari' solo nell'ultima colonna (deflazione ~2,4%), che però NON si è verificata in Italia.</t>
  </si>
  <si>
    <t>I valori vicini a 0 = 'pari'. A r=1.6% (Sì) il 'pari' richiede deflazione recuperata ≈ 2.3% (ultima colonna). Con la stima realistica 1,1% (2a colonna) il Sì resta ~11€ sotto; con la deflazione solo annuale 0,5% (1a colonna) ancora di più. Σ(CI-1) = 1.468 (FOI reale 2012-2025).</t>
  </si>
  <si>
    <t>CONCLUSIONE: stima realistica (deflazione recuperata ~1,1% semestrale) -&gt; il Sì esce ~11€/1.000 SOTTO il classico, NON 'pari'. Effetto A (-21€, cedola su capitale rivalutato) e' robusto; l'effetto B (floor) e' piccolo perche' la deflazione italiana 2012-2026 e' stata mite e la corsa 2012-2014 cuscina i cali. Il 'pari' del video richiederebbe ~2.3% di deflazione recuperata (ottimistico). NB: l'effetto B esatto dipende dalla regola di recupero del vecchio prospetto MEF. NON e' consulenza.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</si>
</sst>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0.000"/>
    <numFmt numFmtId="166" formatCode="#,##0&quot; €&quot;"/>
    <numFmt numFmtId="167" formatCode="#,##0.00&quot; €&quot;"/>
    <numFmt numFmtId="168" formatCode="#,##0.0&quot; €&quot;"/>
  </numFmts>
  <fonts count="10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9E6"/>
      </patternFill>
    </fill>
    <fill>
      <patternFill patternType="solid">
        <fgColor rgb="FFDBEAFE"/>
      </patternFill>
    </fill>
    <fill>
      <patternFill patternType="solid">
        <fgColor rgb="FFC8E6C9"/>
      </patternFill>
    </fill>
    <fill>
      <patternFill patternType="solid">
        <fgColor rgb="FFFAFAFA"/>
      </patternFill>
    </fill>
    <fill>
      <patternFill patternType="solid">
        <fgColor rgb="FFFFF59D"/>
      </patternFill>
    </fill>
  </fills>
  <borders count="3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8" fillId="4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166" fontId="5" fillId="8" borderId="2" xfId="0" applyNumberFormat="1" applyFont="1" applyFill="1" applyBorder="1" applyAlignment="1">
      <alignment horizontal="right" vertical="center"/>
    </xf>
    <xf numFmtId="164" fontId="5" fillId="8" borderId="2" xfId="0" applyNumberFormat="1" applyFont="1" applyFill="1" applyBorder="1" applyAlignment="1">
      <alignment horizontal="right" vertical="center"/>
    </xf>
    <xf numFmtId="167" fontId="5" fillId="6" borderId="2" xfId="0" applyNumberFormat="1" applyFont="1" applyFill="1" applyBorder="1" applyAlignment="1">
      <alignment horizontal="right" vertical="center"/>
    </xf>
    <xf numFmtId="10" fontId="5" fillId="6" borderId="2" xfId="0" applyNumberFormat="1" applyFont="1" applyFill="1" applyBorder="1" applyAlignment="1">
      <alignment horizontal="right" vertical="center"/>
    </xf>
    <xf numFmtId="168" fontId="5" fillId="6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9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  <col min="4" max="4" width="80" customWidth="1"/>
  </cols>
  <sheetData>
    <row r="1" spans="1:4" ht="32.1" customHeight="1">
      <c r="A1" s="18" t="s">
        <v>0</v>
      </c>
      <c r="B1" s="17"/>
    </row>
    <row r="2" spans="1:4" ht="32.1" customHeight="1">
      <c r="A2" s="16" t="s">
        <v>1</v>
      </c>
      <c r="B2" s="17"/>
    </row>
    <row r="4" spans="1:4" ht="24" customHeight="1">
      <c r="A4" s="1" t="s">
        <v>2</v>
      </c>
      <c r="D4" s="2" t="s">
        <v>3</v>
      </c>
    </row>
    <row r="5" spans="1:4" ht="32.1" customHeight="1">
      <c r="A5" s="3" t="s">
        <v>4</v>
      </c>
      <c r="B5" s="4" t="s">
        <v>5</v>
      </c>
      <c r="D5" s="5" t="s">
        <v>6</v>
      </c>
    </row>
    <row r="6" spans="1:4" ht="32.1" customHeight="1">
      <c r="A6" s="3" t="s">
        <v>7</v>
      </c>
      <c r="B6" s="4" t="s">
        <v>8</v>
      </c>
      <c r="D6" s="5" t="s">
        <v>9</v>
      </c>
    </row>
    <row r="7" spans="1:4" ht="48" customHeight="1">
      <c r="A7" s="3" t="s">
        <v>10</v>
      </c>
      <c r="B7" s="4" t="s">
        <v>11</v>
      </c>
      <c r="D7" s="5" t="s">
        <v>12</v>
      </c>
    </row>
    <row r="8" spans="1:4" ht="48" customHeight="1">
      <c r="D8" s="5" t="s">
        <v>13</v>
      </c>
    </row>
    <row r="9" spans="1:4" ht="15.95" customHeight="1">
      <c r="A9" s="1" t="s">
        <v>14</v>
      </c>
      <c r="D9" s="5" t="s">
        <v>15</v>
      </c>
    </row>
    <row r="10" spans="1:4">
      <c r="A10" s="4" t="s">
        <v>16</v>
      </c>
    </row>
    <row r="11" spans="1:4">
      <c r="A11" s="4" t="s">
        <v>17</v>
      </c>
    </row>
    <row r="12" spans="1:4">
      <c r="A12" s="4" t="s">
        <v>18</v>
      </c>
    </row>
    <row r="13" spans="1:4">
      <c r="A13" s="4" t="s">
        <v>19</v>
      </c>
    </row>
    <row r="15" spans="1:4" ht="18.75">
      <c r="A15" s="1" t="s">
        <v>20</v>
      </c>
    </row>
    <row r="16" spans="1:4">
      <c r="A16" s="4" t="s">
        <v>21</v>
      </c>
    </row>
    <row r="17" spans="1:1">
      <c r="A17" s="4" t="s">
        <v>22</v>
      </c>
    </row>
    <row r="18" spans="1:1">
      <c r="A18" s="4" t="s">
        <v>23</v>
      </c>
    </row>
    <row r="19" spans="1:1">
      <c r="A19" s="4" t="s">
        <v>24</v>
      </c>
    </row>
    <row r="21" spans="1:1">
      <c r="A21" s="6" t="s">
        <v>25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D19" sqref="D19"/>
    </sheetView>
  </sheetViews>
  <sheetFormatPr defaultRowHeight="15"/>
  <cols>
    <col min="1" max="1" width="12" customWidth="1"/>
    <col min="2" max="3" width="18" customWidth="1"/>
    <col min="4" max="4" width="22" customWidth="1"/>
    <col min="6" max="6" width="80" customWidth="1"/>
  </cols>
  <sheetData>
    <row r="1" spans="1:6" ht="24.95" customHeight="1">
      <c r="A1" s="18" t="s">
        <v>26</v>
      </c>
      <c r="B1" s="17"/>
      <c r="C1" s="17"/>
      <c r="D1" s="17"/>
    </row>
    <row r="2" spans="1:6" ht="32.1" customHeight="1">
      <c r="A2" s="16" t="s">
        <v>1</v>
      </c>
      <c r="B2" s="17"/>
      <c r="C2" s="17"/>
      <c r="D2" s="17"/>
    </row>
    <row r="4" spans="1:6" ht="24" customHeight="1">
      <c r="A4" s="19" t="s">
        <v>27</v>
      </c>
      <c r="B4" s="17"/>
      <c r="C4" s="17"/>
      <c r="D4" s="17"/>
      <c r="F4" s="2" t="s">
        <v>28</v>
      </c>
    </row>
    <row r="5" spans="1:6" ht="48" customHeight="1">
      <c r="A5" s="7" t="s">
        <v>29</v>
      </c>
      <c r="B5" s="7" t="s">
        <v>30</v>
      </c>
      <c r="C5" s="7" t="s">
        <v>31</v>
      </c>
      <c r="D5" s="7" t="s">
        <v>32</v>
      </c>
      <c r="F5" s="5" t="s">
        <v>33</v>
      </c>
    </row>
    <row r="6" spans="1:6" ht="48" customHeight="1">
      <c r="A6" s="8">
        <v>2012</v>
      </c>
      <c r="B6" s="9">
        <v>0.03</v>
      </c>
      <c r="C6" s="10">
        <v>1.03</v>
      </c>
      <c r="D6" s="9">
        <v>3.000000000000003E-2</v>
      </c>
      <c r="F6" s="5" t="s">
        <v>34</v>
      </c>
    </row>
    <row r="7" spans="1:6" ht="48" customHeight="1">
      <c r="A7" s="8">
        <v>2013</v>
      </c>
      <c r="B7" s="9">
        <v>1.2E-2</v>
      </c>
      <c r="C7" s="10">
        <v>1.04236</v>
      </c>
      <c r="D7" s="9">
        <v>4.2359999999999953E-2</v>
      </c>
      <c r="F7" s="5" t="s">
        <v>35</v>
      </c>
    </row>
    <row r="8" spans="1:6" ht="48" customHeight="1">
      <c r="A8" s="8">
        <v>2014</v>
      </c>
      <c r="B8" s="9">
        <v>2E-3</v>
      </c>
      <c r="C8" s="10">
        <v>1.04444472</v>
      </c>
      <c r="D8" s="9">
        <v>4.4444719999999993E-2</v>
      </c>
      <c r="F8" s="5" t="s">
        <v>36</v>
      </c>
    </row>
    <row r="9" spans="1:6">
      <c r="A9" s="8">
        <v>2015</v>
      </c>
      <c r="B9" s="9">
        <v>-2E-3</v>
      </c>
      <c r="C9" s="10">
        <v>1.04235583056</v>
      </c>
      <c r="D9" s="9">
        <v>4.235583056000003E-2</v>
      </c>
    </row>
    <row r="10" spans="1:6">
      <c r="A10" s="8">
        <v>2016</v>
      </c>
      <c r="B10" s="9">
        <v>-1E-3</v>
      </c>
      <c r="C10" s="10">
        <v>1.0413134747294399</v>
      </c>
      <c r="D10" s="9">
        <v>4.1313474729440143E-2</v>
      </c>
    </row>
    <row r="11" spans="1:6">
      <c r="A11" s="8">
        <v>2017</v>
      </c>
      <c r="B11" s="9">
        <v>1.2E-2</v>
      </c>
      <c r="C11" s="10">
        <v>1.053809236426194</v>
      </c>
      <c r="D11" s="9">
        <v>5.3809236426193507E-2</v>
      </c>
    </row>
    <row r="12" spans="1:6">
      <c r="A12" s="8">
        <v>2018</v>
      </c>
      <c r="B12" s="9">
        <v>1.0999999999999999E-2</v>
      </c>
      <c r="C12" s="10">
        <v>1.065401138026882</v>
      </c>
      <c r="D12" s="9">
        <v>6.5401138026881522E-2</v>
      </c>
    </row>
    <row r="13" spans="1:6">
      <c r="A13" s="8">
        <v>2019</v>
      </c>
      <c r="B13" s="9">
        <v>4.0000000000000001E-3</v>
      </c>
      <c r="C13" s="10">
        <v>1.0696627425789891</v>
      </c>
      <c r="D13" s="9">
        <v>6.9662742578989079E-2</v>
      </c>
    </row>
    <row r="14" spans="1:6">
      <c r="A14" s="8">
        <v>2020</v>
      </c>
      <c r="B14" s="9">
        <v>-2E-3</v>
      </c>
      <c r="C14" s="10">
        <v>1.067523417093831</v>
      </c>
      <c r="D14" s="9">
        <v>6.7523417093831029E-2</v>
      </c>
    </row>
    <row r="15" spans="1:6">
      <c r="A15" s="8">
        <v>2021</v>
      </c>
      <c r="B15" s="9">
        <v>1.7999999999999999E-2</v>
      </c>
      <c r="C15" s="10">
        <v>1.08673883860152</v>
      </c>
      <c r="D15" s="9">
        <v>8.6738838601519985E-2</v>
      </c>
    </row>
    <row r="16" spans="1:6">
      <c r="A16" s="8">
        <v>2022</v>
      </c>
      <c r="B16" s="9">
        <v>0.08</v>
      </c>
      <c r="C16" s="10">
        <v>1.173677945689642</v>
      </c>
      <c r="D16" s="9">
        <v>0.17367794568964159</v>
      </c>
    </row>
    <row r="17" spans="1:4">
      <c r="A17" s="8">
        <v>2023</v>
      </c>
      <c r="B17" s="9">
        <v>5.3999999999999999E-2</v>
      </c>
      <c r="C17" s="10">
        <v>1.2370565547568819</v>
      </c>
      <c r="D17" s="9">
        <v>0.23705655475688239</v>
      </c>
    </row>
    <row r="18" spans="1:4">
      <c r="A18" s="8">
        <v>2024</v>
      </c>
      <c r="B18" s="9">
        <v>8.9999999999999993E-3</v>
      </c>
      <c r="C18" s="10">
        <v>1.2481900637496941</v>
      </c>
      <c r="D18" s="9">
        <v>0.2481900637496941</v>
      </c>
    </row>
    <row r="19" spans="1:4">
      <c r="A19" s="8">
        <v>2025</v>
      </c>
      <c r="B19" s="9">
        <v>1.4E-2</v>
      </c>
      <c r="C19" s="10">
        <v>1.2656647246421899</v>
      </c>
      <c r="D19" s="9">
        <v>0.26566472464218988</v>
      </c>
    </row>
    <row r="20" spans="1:4">
      <c r="A20" s="8" t="s">
        <v>37</v>
      </c>
      <c r="B20" s="9">
        <v>1.7999999999999999E-2</v>
      </c>
    </row>
    <row r="22" spans="1:4" ht="45">
      <c r="A22" s="8" t="s">
        <v>38</v>
      </c>
      <c r="B22" s="9">
        <v>0.26566472464218988</v>
      </c>
    </row>
    <row r="24" spans="1:4" ht="60" customHeight="1">
      <c r="A24" s="20" t="s">
        <v>39</v>
      </c>
      <c r="B24" s="17"/>
      <c r="C24" s="17"/>
      <c r="D24" s="17"/>
    </row>
  </sheetData>
  <mergeCells count="4">
    <mergeCell ref="A1:D1"/>
    <mergeCell ref="A4:D4"/>
    <mergeCell ref="A24:D2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workbookViewId="0">
      <selection activeCell="A37" sqref="A37"/>
    </sheetView>
  </sheetViews>
  <sheetFormatPr defaultRowHeight="15"/>
  <cols>
    <col min="1" max="1" width="40" customWidth="1"/>
    <col min="2" max="3" width="16" customWidth="1"/>
    <col min="4" max="4" width="18" customWidth="1"/>
    <col min="5" max="6" width="16" customWidth="1"/>
    <col min="8" max="8" width="80" customWidth="1"/>
  </cols>
  <sheetData>
    <row r="1" spans="1:8" ht="24.95" customHeight="1">
      <c r="A1" s="18" t="s">
        <v>40</v>
      </c>
      <c r="B1" s="17"/>
      <c r="C1" s="17"/>
      <c r="D1" s="17"/>
      <c r="E1" s="17"/>
      <c r="F1" s="17"/>
    </row>
    <row r="2" spans="1:8" ht="32.1" customHeight="1">
      <c r="A2" s="16" t="s">
        <v>1</v>
      </c>
      <c r="B2" s="17"/>
      <c r="C2" s="17"/>
      <c r="D2" s="17"/>
      <c r="E2" s="17"/>
      <c r="F2" s="17"/>
    </row>
    <row r="4" spans="1:8" ht="24" customHeight="1">
      <c r="A4" s="19" t="s">
        <v>41</v>
      </c>
      <c r="B4" s="17"/>
      <c r="C4" s="17"/>
      <c r="D4" s="17"/>
      <c r="E4" s="17"/>
      <c r="F4" s="17"/>
      <c r="H4" s="2" t="s">
        <v>28</v>
      </c>
    </row>
    <row r="5" spans="1:8" ht="48" customHeight="1">
      <c r="A5" s="8" t="s">
        <v>42</v>
      </c>
      <c r="B5" s="11">
        <v>1000</v>
      </c>
      <c r="H5" s="5" t="s">
        <v>43</v>
      </c>
    </row>
    <row r="6" spans="1:8" ht="32.1" customHeight="1">
      <c r="A6" s="8" t="s">
        <v>44</v>
      </c>
      <c r="B6" s="12">
        <v>1.6E-2</v>
      </c>
      <c r="H6" s="5" t="s">
        <v>45</v>
      </c>
    </row>
    <row r="7" spans="1:8" ht="48" customHeight="1">
      <c r="A7" s="8" t="s">
        <v>46</v>
      </c>
      <c r="B7" s="12">
        <v>0.125</v>
      </c>
      <c r="H7" s="5" t="s">
        <v>47</v>
      </c>
    </row>
    <row r="8" spans="1:8" ht="48" customHeight="1">
      <c r="H8" s="5" t="s">
        <v>48</v>
      </c>
    </row>
    <row r="9" spans="1:8" ht="48" customHeight="1">
      <c r="A9" s="19" t="s">
        <v>49</v>
      </c>
      <c r="B9" s="17"/>
      <c r="C9" s="17"/>
      <c r="D9" s="17"/>
      <c r="E9" s="17"/>
      <c r="F9" s="17"/>
      <c r="H9" s="5" t="s">
        <v>50</v>
      </c>
    </row>
    <row r="10" spans="1:8" ht="32.1" customHeight="1">
      <c r="A10" s="7" t="s">
        <v>29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H10" s="5" t="s">
        <v>56</v>
      </c>
    </row>
    <row r="11" spans="1:8" ht="48" customHeight="1">
      <c r="A11" s="8">
        <v>2012</v>
      </c>
      <c r="B11" s="9">
        <v>0.03</v>
      </c>
      <c r="C11" s="10">
        <f>1*(1+B11)</f>
        <v>1.03</v>
      </c>
      <c r="D11" s="13">
        <f t="shared" ref="D11:D24" si="0">$B$6*C11*$B$5</f>
        <v>16.48</v>
      </c>
      <c r="E11" s="13">
        <f t="shared" ref="E11:E24" si="1">$B$6*$B$5</f>
        <v>16</v>
      </c>
      <c r="F11" s="13">
        <f t="shared" ref="F11:F24" si="2">D11-E11</f>
        <v>0.48000000000000043</v>
      </c>
      <c r="H11" s="5" t="s">
        <v>57</v>
      </c>
    </row>
    <row r="12" spans="1:8">
      <c r="A12" s="8">
        <v>2013</v>
      </c>
      <c r="B12" s="9">
        <v>1.2E-2</v>
      </c>
      <c r="C12" s="10">
        <f t="shared" ref="C12:C24" si="3">C11*(1+B12)</f>
        <v>1.04236</v>
      </c>
      <c r="D12" s="13">
        <f t="shared" si="0"/>
        <v>16.677759999999999</v>
      </c>
      <c r="E12" s="13">
        <f t="shared" si="1"/>
        <v>16</v>
      </c>
      <c r="F12" s="13">
        <f t="shared" si="2"/>
        <v>0.67775999999999925</v>
      </c>
    </row>
    <row r="13" spans="1:8">
      <c r="A13" s="8">
        <v>2014</v>
      </c>
      <c r="B13" s="9">
        <v>2E-3</v>
      </c>
      <c r="C13" s="10">
        <f t="shared" si="3"/>
        <v>1.04444472</v>
      </c>
      <c r="D13" s="13">
        <f t="shared" si="0"/>
        <v>16.71111552</v>
      </c>
      <c r="E13" s="13">
        <f t="shared" si="1"/>
        <v>16</v>
      </c>
      <c r="F13" s="13">
        <f t="shared" si="2"/>
        <v>0.71111551999999989</v>
      </c>
    </row>
    <row r="14" spans="1:8">
      <c r="A14" s="8">
        <v>2015</v>
      </c>
      <c r="B14" s="9">
        <v>-2E-3</v>
      </c>
      <c r="C14" s="10">
        <f t="shared" si="3"/>
        <v>1.04235583056</v>
      </c>
      <c r="D14" s="13">
        <f t="shared" si="0"/>
        <v>16.67769328896</v>
      </c>
      <c r="E14" s="13">
        <f t="shared" si="1"/>
        <v>16</v>
      </c>
      <c r="F14" s="13">
        <f t="shared" si="2"/>
        <v>0.67769328896000047</v>
      </c>
    </row>
    <row r="15" spans="1:8">
      <c r="A15" s="8">
        <v>2016</v>
      </c>
      <c r="B15" s="9">
        <v>-1E-3</v>
      </c>
      <c r="C15" s="10">
        <f t="shared" si="3"/>
        <v>1.0413134747294401</v>
      </c>
      <c r="D15" s="13">
        <f t="shared" si="0"/>
        <v>16.661015595671042</v>
      </c>
      <c r="E15" s="13">
        <f t="shared" si="1"/>
        <v>16</v>
      </c>
      <c r="F15" s="13">
        <f t="shared" si="2"/>
        <v>0.66101559567104218</v>
      </c>
    </row>
    <row r="16" spans="1:8">
      <c r="A16" s="8">
        <v>2017</v>
      </c>
      <c r="B16" s="9">
        <v>1.2E-2</v>
      </c>
      <c r="C16" s="10">
        <f t="shared" si="3"/>
        <v>1.0538092364261935</v>
      </c>
      <c r="D16" s="13">
        <f t="shared" si="0"/>
        <v>16.860947782819096</v>
      </c>
      <c r="E16" s="13">
        <f t="shared" si="1"/>
        <v>16</v>
      </c>
      <c r="F16" s="13">
        <f t="shared" si="2"/>
        <v>0.86094778281909612</v>
      </c>
    </row>
    <row r="17" spans="1:6">
      <c r="A17" s="8">
        <v>2018</v>
      </c>
      <c r="B17" s="9">
        <v>1.0999999999999999E-2</v>
      </c>
      <c r="C17" s="10">
        <f t="shared" si="3"/>
        <v>1.0654011380268815</v>
      </c>
      <c r="D17" s="13">
        <f t="shared" si="0"/>
        <v>17.046418208430104</v>
      </c>
      <c r="E17" s="13">
        <f t="shared" si="1"/>
        <v>16</v>
      </c>
      <c r="F17" s="13">
        <f t="shared" si="2"/>
        <v>1.0464182084301044</v>
      </c>
    </row>
    <row r="18" spans="1:6">
      <c r="A18" s="8">
        <v>2019</v>
      </c>
      <c r="B18" s="9">
        <v>4.0000000000000001E-3</v>
      </c>
      <c r="C18" s="10">
        <f t="shared" si="3"/>
        <v>1.0696627425789891</v>
      </c>
      <c r="D18" s="13">
        <f t="shared" si="0"/>
        <v>17.114603881263825</v>
      </c>
      <c r="E18" s="13">
        <f t="shared" si="1"/>
        <v>16</v>
      </c>
      <c r="F18" s="13">
        <f t="shared" si="2"/>
        <v>1.1146038812638253</v>
      </c>
    </row>
    <row r="19" spans="1:6">
      <c r="A19" s="8">
        <v>2020</v>
      </c>
      <c r="B19" s="9">
        <v>-2E-3</v>
      </c>
      <c r="C19" s="10">
        <f t="shared" si="3"/>
        <v>1.067523417093831</v>
      </c>
      <c r="D19" s="13">
        <f t="shared" si="0"/>
        <v>17.080374673501296</v>
      </c>
      <c r="E19" s="13">
        <f t="shared" si="1"/>
        <v>16</v>
      </c>
      <c r="F19" s="13">
        <f t="shared" si="2"/>
        <v>1.0803746735012965</v>
      </c>
    </row>
    <row r="20" spans="1:6">
      <c r="A20" s="8">
        <v>2021</v>
      </c>
      <c r="B20" s="9">
        <v>1.7999999999999999E-2</v>
      </c>
      <c r="C20" s="10">
        <f t="shared" si="3"/>
        <v>1.08673883860152</v>
      </c>
      <c r="D20" s="13">
        <f t="shared" si="0"/>
        <v>17.387821417624323</v>
      </c>
      <c r="E20" s="13">
        <f t="shared" si="1"/>
        <v>16</v>
      </c>
      <c r="F20" s="13">
        <f t="shared" si="2"/>
        <v>1.3878214176243233</v>
      </c>
    </row>
    <row r="21" spans="1:6">
      <c r="A21" s="8">
        <v>2022</v>
      </c>
      <c r="B21" s="9">
        <v>0.08</v>
      </c>
      <c r="C21" s="10">
        <f t="shared" si="3"/>
        <v>1.1736779456896416</v>
      </c>
      <c r="D21" s="13">
        <f t="shared" si="0"/>
        <v>18.778847131034265</v>
      </c>
      <c r="E21" s="13">
        <f t="shared" si="1"/>
        <v>16</v>
      </c>
      <c r="F21" s="13">
        <f t="shared" si="2"/>
        <v>2.7788471310342651</v>
      </c>
    </row>
    <row r="22" spans="1:6">
      <c r="A22" s="8">
        <v>2023</v>
      </c>
      <c r="B22" s="9">
        <v>5.3999999999999999E-2</v>
      </c>
      <c r="C22" s="10">
        <f t="shared" si="3"/>
        <v>1.2370565547568824</v>
      </c>
      <c r="D22" s="13">
        <f t="shared" si="0"/>
        <v>19.792904876110118</v>
      </c>
      <c r="E22" s="13">
        <f t="shared" si="1"/>
        <v>16</v>
      </c>
      <c r="F22" s="13">
        <f t="shared" si="2"/>
        <v>3.7929048761101178</v>
      </c>
    </row>
    <row r="23" spans="1:6">
      <c r="A23" s="8">
        <v>2024</v>
      </c>
      <c r="B23" s="9">
        <v>8.9999999999999993E-3</v>
      </c>
      <c r="C23" s="10">
        <f t="shared" si="3"/>
        <v>1.2481900637496941</v>
      </c>
      <c r="D23" s="13">
        <f t="shared" si="0"/>
        <v>19.971041019995106</v>
      </c>
      <c r="E23" s="13">
        <f t="shared" si="1"/>
        <v>16</v>
      </c>
      <c r="F23" s="13">
        <f t="shared" si="2"/>
        <v>3.9710410199951056</v>
      </c>
    </row>
    <row r="24" spans="1:6">
      <c r="A24" s="8">
        <v>2025</v>
      </c>
      <c r="B24" s="9">
        <v>1.4E-2</v>
      </c>
      <c r="C24" s="10">
        <f t="shared" si="3"/>
        <v>1.2656647246421899</v>
      </c>
      <c r="D24" s="13">
        <f t="shared" si="0"/>
        <v>20.250635594275039</v>
      </c>
      <c r="E24" s="13">
        <f t="shared" si="1"/>
        <v>16</v>
      </c>
      <c r="F24" s="13">
        <f t="shared" si="2"/>
        <v>4.2506355942750389</v>
      </c>
    </row>
    <row r="25" spans="1:6">
      <c r="A25" s="8" t="s">
        <v>58</v>
      </c>
      <c r="F25" s="13">
        <f>SUM(F11:F24)</f>
        <v>23.491178989684215</v>
      </c>
    </row>
    <row r="26" spans="1:6">
      <c r="A26" s="8" t="s">
        <v>59</v>
      </c>
      <c r="B26" s="13">
        <f>-F25*(1-$B$7)</f>
        <v>-20.554781615973688</v>
      </c>
    </row>
    <row r="28" spans="1:6">
      <c r="A28" s="19" t="s">
        <v>60</v>
      </c>
      <c r="B28" s="17"/>
      <c r="C28" s="17"/>
      <c r="D28" s="17"/>
      <c r="E28" s="17"/>
      <c r="F28" s="17"/>
    </row>
    <row r="29" spans="1:6" ht="60" customHeight="1">
      <c r="A29" s="8" t="s">
        <v>61</v>
      </c>
      <c r="B29" s="12">
        <v>1.0999999999999999E-2</v>
      </c>
      <c r="C29" s="20" t="s">
        <v>62</v>
      </c>
      <c r="D29" s="17"/>
      <c r="E29" s="17"/>
      <c r="F29" s="17"/>
    </row>
    <row r="30" spans="1:6">
      <c r="A30" s="8" t="s">
        <v>63</v>
      </c>
      <c r="B30" s="13">
        <f>B29*$B$5*(1-$B$7)</f>
        <v>9.625</v>
      </c>
    </row>
    <row r="32" spans="1:6">
      <c r="A32" s="19" t="s">
        <v>64</v>
      </c>
      <c r="B32" s="17"/>
      <c r="C32" s="17"/>
      <c r="D32" s="17"/>
      <c r="E32" s="17"/>
      <c r="F32" s="17"/>
    </row>
    <row r="33" spans="1:6">
      <c r="A33" s="8" t="s">
        <v>65</v>
      </c>
      <c r="B33" s="13">
        <f>B30+B26</f>
        <v>-10.929781615973688</v>
      </c>
    </row>
    <row r="34" spans="1:6">
      <c r="A34" s="8" t="s">
        <v>66</v>
      </c>
      <c r="B34" s="14">
        <f>-B26/($B$5*(1-$B$7))</f>
        <v>2.3491178989684215E-2</v>
      </c>
    </row>
    <row r="36" spans="1:6" ht="90" customHeight="1">
      <c r="A36" s="20" t="s">
        <v>83</v>
      </c>
      <c r="B36" s="17"/>
      <c r="C36" s="17"/>
      <c r="D36" s="17"/>
      <c r="E36" s="17"/>
      <c r="F36" s="17"/>
    </row>
  </sheetData>
  <mergeCells count="8">
    <mergeCell ref="A2:F2"/>
    <mergeCell ref="A28:F28"/>
    <mergeCell ref="A36:F36"/>
    <mergeCell ref="A1:F1"/>
    <mergeCell ref="A9:F9"/>
    <mergeCell ref="A32:F32"/>
    <mergeCell ref="C29:F29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E1"/>
    </sheetView>
  </sheetViews>
  <sheetFormatPr defaultRowHeight="15"/>
  <cols>
    <col min="1" max="1" width="34" customWidth="1"/>
    <col min="2" max="5" width="16" customWidth="1"/>
    <col min="7" max="7" width="80" customWidth="1"/>
  </cols>
  <sheetData>
    <row r="1" spans="1:7" ht="24.95" customHeight="1">
      <c r="A1" s="18" t="s">
        <v>67</v>
      </c>
      <c r="B1" s="17"/>
      <c r="C1" s="17"/>
      <c r="D1" s="17"/>
      <c r="E1" s="17"/>
    </row>
    <row r="2" spans="1:7" ht="32.1" customHeight="1">
      <c r="A2" s="16" t="s">
        <v>1</v>
      </c>
      <c r="B2" s="17"/>
      <c r="C2" s="17"/>
      <c r="D2" s="17"/>
      <c r="E2" s="17"/>
    </row>
    <row r="4" spans="1:7" ht="24" customHeight="1">
      <c r="A4" s="19" t="s">
        <v>68</v>
      </c>
      <c r="B4" s="17"/>
      <c r="C4" s="17"/>
      <c r="D4" s="17"/>
      <c r="E4" s="17"/>
      <c r="G4" s="2" t="s">
        <v>28</v>
      </c>
    </row>
    <row r="5" spans="1:7" ht="32.1" customHeight="1">
      <c r="A5" s="7" t="s">
        <v>69</v>
      </c>
      <c r="B5" s="7" t="s">
        <v>70</v>
      </c>
      <c r="C5" s="7" t="s">
        <v>71</v>
      </c>
      <c r="D5" s="7" t="s">
        <v>72</v>
      </c>
      <c r="E5" s="7" t="s">
        <v>73</v>
      </c>
      <c r="G5" s="5" t="s">
        <v>74</v>
      </c>
    </row>
    <row r="6" spans="1:7" ht="32.1" customHeight="1">
      <c r="A6" s="8" t="s">
        <v>75</v>
      </c>
      <c r="B6" s="15">
        <v>-8.4717385099835543</v>
      </c>
      <c r="C6" s="15">
        <v>-3.2217385099835538</v>
      </c>
      <c r="D6" s="15">
        <v>4.6532614900164457</v>
      </c>
      <c r="E6" s="15">
        <v>7.7157614900164457</v>
      </c>
      <c r="G6" s="5" t="s">
        <v>76</v>
      </c>
    </row>
    <row r="7" spans="1:7" ht="48" customHeight="1">
      <c r="A7" s="8" t="s">
        <v>77</v>
      </c>
      <c r="B7" s="15">
        <v>-14.895107764975331</v>
      </c>
      <c r="C7" s="15">
        <v>-9.6451077649753287</v>
      </c>
      <c r="D7" s="15">
        <v>-1.770107764975329</v>
      </c>
      <c r="E7" s="15">
        <v>1.292392235024671</v>
      </c>
      <c r="G7" s="5" t="s">
        <v>78</v>
      </c>
    </row>
    <row r="8" spans="1:7" ht="48" customHeight="1">
      <c r="A8" s="8" t="s">
        <v>79</v>
      </c>
      <c r="B8" s="15">
        <v>-16.179781615973681</v>
      </c>
      <c r="C8" s="15">
        <v>-10.929781615973679</v>
      </c>
      <c r="D8" s="15">
        <v>-3.0547816159736851</v>
      </c>
      <c r="E8" s="15">
        <v>7.7183840263153058E-3</v>
      </c>
      <c r="G8" s="5" t="s">
        <v>80</v>
      </c>
    </row>
    <row r="9" spans="1:7" ht="48" customHeight="1">
      <c r="A9" s="8" t="s">
        <v>72</v>
      </c>
      <c r="B9" s="15">
        <v>-21.318477019967109</v>
      </c>
      <c r="C9" s="15">
        <v>-16.068477019967109</v>
      </c>
      <c r="D9" s="15">
        <v>-8.1934770199671085</v>
      </c>
      <c r="E9" s="15">
        <v>-5.1309770199671094</v>
      </c>
      <c r="G9" s="5" t="s">
        <v>81</v>
      </c>
    </row>
    <row r="11" spans="1:7" ht="45" customHeight="1">
      <c r="A11" s="20" t="s">
        <v>82</v>
      </c>
      <c r="B11" s="17"/>
      <c r="C11" s="17"/>
      <c r="D11" s="17"/>
      <c r="E11" s="17"/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0 - Indice</vt:lpstr>
      <vt:lpstr>1 - Serie FOI 2012-2026</vt:lpstr>
      <vt:lpstr>2 - Backtest Sì vs classico</vt:lpstr>
      <vt:lpstr>3 - Sensibilità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Ruggiero</cp:lastModifiedBy>
  <dcterms:created xsi:type="dcterms:W3CDTF">2026-06-21T17:15:23Z</dcterms:created>
  <dcterms:modified xsi:type="dcterms:W3CDTF">2026-06-21T17:21:05Z</dcterms:modified>
</cp:coreProperties>
</file>