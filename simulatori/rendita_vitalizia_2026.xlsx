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 - Indice" sheetId="1" r:id="rId1"/>
    <sheet name="1 - Rendita" sheetId="2" r:id="rId2"/>
    <sheet name="2 - Coefficienti" sheetId="3" r:id="rId3"/>
    <sheet name="3 - Mortalità e IRR" sheetId="4" r:id="rId4"/>
    <sheet name="4 - Pavimento" sheetId="5" r:id="rId5"/>
    <sheet name="5 - Aspettare" sheetId="6" r:id="rId6"/>
  </sheets>
  <definedNames>
    <definedName name="A_eta">'2 - Coefficienti'!$A$7:$A$27</definedName>
    <definedName name="A_vitF">'2 - Coefficienti'!$C$7:$C$27</definedName>
    <definedName name="A_vitM">'2 - Coefficienti'!$B$7:$B$27</definedName>
    <definedName name="Aliq_eff">'1 - Rendita'!$B$25</definedName>
    <definedName name="Aliq_eff_10">'1 - Rendita'!$E$71</definedName>
    <definedName name="Aliq_eff_20">'1 - Rendita'!$E$81</definedName>
    <definedName name="Aliq_rend">'1 - Rendita'!$B$12</definedName>
    <definedName name="Anni_part">'1 - Rendita'!$B$10</definedName>
    <definedName name="B_eta">'2 - Coefficienti'!$A$40:$A$80</definedName>
    <definedName name="B_vitF">'2 - Coefficienti'!$C$40:$C$80</definedName>
    <definedName name="B_vitM">'2 - Coefficienti'!$B$40:$B$80</definedName>
    <definedName name="B1_eta">'2 - Coefficienti'!$A$85:$A$86</definedName>
    <definedName name="B1_F">'2 - Coefficienti'!$C$85:$C$86</definedName>
    <definedName name="B1_M">'2 - Coefficienti'!$B$85:$B$86</definedName>
    <definedName name="c_pers">'1 - Rendita'!$B$9</definedName>
    <definedName name="c_use">'1 - Rendita'!$B$22</definedName>
    <definedName name="Caricamento">'3 - Mortalità e IRR'!$B$8</definedName>
    <definedName name="Copertura">'1 - Rendita'!$B$40</definedName>
    <definedName name="Eros_gap_0">'4 - Pavimento'!$B$57</definedName>
    <definedName name="Eros_gap_10">'4 - Pavimento'!$C$53</definedName>
    <definedName name="Eros_gap_15">'4 - Pavimento'!$C$54</definedName>
    <definedName name="Eros_gap_20">'4 - Pavimento'!$C$55</definedName>
    <definedName name="Eros_persa_10">'4 - Pavimento'!$D$53</definedName>
    <definedName name="Eros_persa_15">'4 - Pavimento'!$D$54</definedName>
    <definedName name="Eros_persa_20">'4 - Pavimento'!$D$55</definedName>
    <definedName name="Eros_rata_10">'4 - Pavimento'!$B$53</definedName>
    <definedName name="Eros_rata_15">'4 - Pavimento'!$B$54</definedName>
    <definedName name="Eros_rata_20">'4 - Pavimento'!$B$55</definedName>
    <definedName name="Eta">'1 - Rendita'!$B$6</definedName>
    <definedName name="Eta_fine">'1 - Rendita'!$B$18</definedName>
    <definedName name="Eta_pareggio_lordo">'1 - Rendita'!$B$32</definedName>
    <definedName name="g_att_1">'3 - Mortalità e IRR'!$B$11</definedName>
    <definedName name="g_att_2">'3 - Mortalità e IRR'!$C$11</definedName>
    <definedName name="g_att_3">'3 - Mortalità e IRR'!$D$11</definedName>
    <definedName name="g_due">'3 - Mortalità e IRR'!$B$10</definedName>
    <definedName name="g_rata">'1 - Rendita'!$B$13</definedName>
    <definedName name="Gap_ess">'1 - Rendita'!$B$39</definedName>
    <definedName name="Gap_res">'1 - Rendita'!$B$41</definedName>
    <definedName name="Infl">'1 - Rendita'!$B$14</definedName>
    <definedName name="IRR_L_100">'3 - Mortalità e IRR'!$C$30</definedName>
    <definedName name="IRR_L_75">'3 - Mortalità e IRR'!$C$25</definedName>
    <definedName name="IRR_L_80">'3 - Mortalità e IRR'!$C$26</definedName>
    <definedName name="IRR_L_85">'3 - Mortalità e IRR'!$C$27</definedName>
    <definedName name="IRR_L_90">'3 - Mortalità e IRR'!$C$28</definedName>
    <definedName name="IRR_L_95">'3 - Mortalità e IRR'!$C$29</definedName>
    <definedName name="IRR_N_100">'3 - Mortalità e IRR'!$D$30</definedName>
    <definedName name="IRR_N_75">'3 - Mortalità e IRR'!$D$25</definedName>
    <definedName name="IRR_N_80">'3 - Mortalità e IRR'!$D$26</definedName>
    <definedName name="IRR_N_85">'3 - Mortalità e IRR'!$D$27</definedName>
    <definedName name="IRR_N_90">'3 - Mortalità e IRR'!$D$28</definedName>
    <definedName name="IRR_N_95">'3 - Mortalità e IRR'!$D$29</definedName>
    <definedName name="IRRatt_g1_eq">'3 - Mortalità e IRR'!$D$34</definedName>
    <definedName name="IRRatt_g1_m3">'3 - Mortalità e IRR'!$C$34</definedName>
    <definedName name="IRRatt_g1_p">'3 - Mortalità e IRR'!$B$34</definedName>
    <definedName name="IRRatt_g2_eq">'3 - Mortalità e IRR'!$D$35</definedName>
    <definedName name="IRRatt_g2_m3">'3 - Mortalità e IRR'!$C$35</definedName>
    <definedName name="IRRatt_g2_p">'3 - Mortalità e IRR'!$B$35</definedName>
    <definedName name="IRRatt_g3_eq">'3 - Mortalità e IRR'!$D$36</definedName>
    <definedName name="IRRatt_g3_m3">'3 - Mortalità e IRR'!$C$36</definedName>
    <definedName name="IRRatt_g3_p">'3 - Mortalità e IRR'!$B$36</definedName>
    <definedName name="K_fondo">'1 - Rendita'!$B$5</definedName>
    <definedName name="MW_g1_eq">'3 - Mortalità e IRR'!$D$40</definedName>
    <definedName name="MW_g1_m3">'3 - Mortalità e IRR'!$C$40</definedName>
    <definedName name="MW_g1_p">'3 - Mortalità e IRR'!$B$40</definedName>
    <definedName name="MW_g2_eq">'3 - Mortalità e IRR'!$D$41</definedName>
    <definedName name="MW_g2_m3">'3 - Mortalità e IRR'!$C$41</definedName>
    <definedName name="MW_g2_p">'3 - Mortalità e IRR'!$B$41</definedName>
    <definedName name="P_assegno">'4 - Pavimento'!$B$17</definedName>
    <definedName name="P_base">'4 - Pavimento'!$B$7</definedName>
    <definedName name="P_bollo">'4 - Pavimento'!$B$11</definedName>
    <definedName name="P_cg">'4 - Pavimento'!$B$12</definedName>
    <definedName name="P_fondo">'4 - Pavimento'!$B$5</definedName>
    <definedName name="P_g2">'4 - Pavimento'!$B$16</definedName>
    <definedName name="P_gap">'4 - Pavimento'!$B$21</definedName>
    <definedName name="P_latente">'4 - Pavimento'!$B$22</definedName>
    <definedName name="P_load">'4 - Pavimento'!$B$13</definedName>
    <definedName name="P_port">'4 - Pavimento'!$B$6</definedName>
    <definedName name="P_q">'4 - Pavimento'!$B$14</definedName>
    <definedName name="P_quota_cap">'4 - Pavimento'!$B$15</definedName>
    <definedName name="P_quota_soglia">'4 - Pavimento'!$B$18</definedName>
    <definedName name="P_spesa">'4 - Pavimento'!$B$8</definedName>
    <definedName name="P_tmix">'4 - Pavimento'!$B$24</definedName>
    <definedName name="P_tp">'4 - Pavimento'!$B$23</definedName>
    <definedName name="P_tp2">'4 - Pavimento'!$B$27</definedName>
    <definedName name="Pareggio_lordo">'1 - Rendita'!$B$30</definedName>
    <definedName name="Pareggio_lordo_cont">'1 - Rendita'!$B$33</definedName>
    <definedName name="Pareggio_netto">'1 - Rendita'!$B$31</definedName>
    <definedName name="Pareggio_netto_cont">'1 - Rendita'!$B$34</definedName>
    <definedName name="Prelievo_se">'1 - Rendita'!$B$36</definedName>
    <definedName name="Prelievo_semplice">'1 - Rendita'!$B$37</definedName>
    <definedName name="Prelievo_studio">'1 - Rendita'!$B$38</definedName>
    <definedName name="Premio_banda_0">'4 - Pavimento'!$B$45</definedName>
    <definedName name="Premio_banda_10">'4 - Pavimento'!$B$47</definedName>
    <definedName name="Premio_banda_15">'4 - Pavimento'!$B$48</definedName>
    <definedName name="Premio_banda_5">'4 - Pavimento'!$B$46</definedName>
    <definedName name="Pubblica">'1 - Rendita'!$B$17</definedName>
    <definedName name="Quota_imp">'1 - Rendita'!$B$11</definedName>
    <definedName name="Quota_non_imp">'1 - Rendita'!$B$23</definedName>
    <definedName name="R_nom_alt">'1 - Rendita'!$B$35</definedName>
    <definedName name="r_reale">'1 - Rendita'!$B$15</definedName>
    <definedName name="Rata_base">'1 - Rendita'!$B$26</definedName>
    <definedName name="Rata_lorda_10">'1 - Rendita'!$C$71</definedName>
    <definedName name="Rata_lorda1">'1 - Rendita'!$B$27</definedName>
    <definedName name="Rata_netta_10">'1 - Rendita'!$D$71</definedName>
    <definedName name="Rata_netta_20">'1 - Rendita'!$D$81</definedName>
    <definedName name="Rata_netta_mese">'1 - Rendita'!$B$29</definedName>
    <definedName name="Rata_netta1">'1 - Rendita'!$B$28</definedName>
    <definedName name="Reale_euro_10">'1 - Rendita'!$B$46</definedName>
    <definedName name="Reale_euro_15">'1 - Rendita'!$B$47</definedName>
    <definedName name="Reale_euro_20">'1 - Rendita'!$B$48</definedName>
    <definedName name="Reale_euro_25">'1 - Rendita'!$B$49</definedName>
    <definedName name="Reale_euro_30">'1 - Rendita'!$B$50</definedName>
    <definedName name="Reale_euro_5">'1 - Rendita'!$B$45</definedName>
    <definedName name="Reale_pct_10">'1 - Rendita'!$C$46</definedName>
    <definedName name="Reale_pct_15">'1 - Rendita'!$C$47</definedName>
    <definedName name="Reale_pct_20">'1 - Rendita'!$C$48</definedName>
    <definedName name="Reale_pct_25">'1 - Rendita'!$C$49</definedName>
    <definedName name="Reale_pct_30">'1 - Rendita'!$C$50</definedName>
    <definedName name="Reale_pct_5">'1 - Rendita'!$C$45</definedName>
    <definedName name="Ritenuta">'1 - Rendita'!$B$24</definedName>
    <definedName name="S_eta">'2 - Coefficienti'!$A$32:$A$35</definedName>
    <definedName name="S_F">'2 - Coefficienti'!$F$32:$F$35</definedName>
    <definedName name="S_M">'2 - Coefficienti'!$C$32:$C$35</definedName>
    <definedName name="S0_a10">'4 - Pavimento'!$H$37</definedName>
    <definedName name="S0_a20">'4 - Pavimento'!$I$37</definedName>
    <definedName name="S0_base">'4 - Pavimento'!$C$37</definedName>
    <definedName name="S0_eq_g1">'4 - Pavimento'!$F$37</definedName>
    <definedName name="S0_eq_g2">'4 - Pavimento'!$G$37</definedName>
    <definedName name="S0_lordo">'4 - Pavimento'!$B$37</definedName>
    <definedName name="S0_margine">'4 - Pavimento'!$K$37</definedName>
    <definedName name="S0_richiesto">'4 - Pavimento'!$J$37</definedName>
    <definedName name="S0_tasso">'4 - Pavimento'!$D$37</definedName>
    <definedName name="S1_a10">'4 - Pavimento'!$H$38</definedName>
    <definedName name="S1_a20">'4 - Pavimento'!$I$38</definedName>
    <definedName name="S1_base">'4 - Pavimento'!$C$38</definedName>
    <definedName name="S1_eq_g1">'4 - Pavimento'!$F$38</definedName>
    <definedName name="S1_eq_g2">'4 - Pavimento'!$G$38</definedName>
    <definedName name="S1_lordo">'4 - Pavimento'!$B$38</definedName>
    <definedName name="S1_margine">'4 - Pavimento'!$K$38</definedName>
    <definedName name="S1_richiesto">'4 - Pavimento'!$J$38</definedName>
    <definedName name="S1_tasso">'4 - Pavimento'!$D$38</definedName>
    <definedName name="S2_a10">'4 - Pavimento'!$H$39</definedName>
    <definedName name="S2_a20">'4 - Pavimento'!$I$39</definedName>
    <definedName name="S2_base">'4 - Pavimento'!$C$39</definedName>
    <definedName name="S2_cap_netto">'4 - Pavimento'!$B$25</definedName>
    <definedName name="S2_eq_g1">'4 - Pavimento'!$F$39</definedName>
    <definedName name="S2_eq_g2">'4 - Pavimento'!$G$39</definedName>
    <definedName name="S2_lordo">'4 - Pavimento'!$B$39</definedName>
    <definedName name="S2_margine">'4 - Pavimento'!$K$39</definedName>
    <definedName name="S2_port">'4 - Pavimento'!$B$26</definedName>
    <definedName name="S2_rata_netta">'4 - Pavimento'!$B$28</definedName>
    <definedName name="S2_richiesto">'4 - Pavimento'!$J$39</definedName>
    <definedName name="S2_tasso">'4 - Pavimento'!$D$39</definedName>
    <definedName name="S3_a10">'4 - Pavimento'!$H$40</definedName>
    <definedName name="S3_a20">'4 - Pavimento'!$I$40</definedName>
    <definedName name="S3_base">'4 - Pavimento'!$C$40</definedName>
    <definedName name="S3_eq_g1">'4 - Pavimento'!$F$40</definedName>
    <definedName name="S3_eq_g2">'4 - Pavimento'!$G$40</definedName>
    <definedName name="S3_gap_res">'4 - Pavimento'!$B$29</definedName>
    <definedName name="S3_lordo">'4 - Pavimento'!$B$40</definedName>
    <definedName name="S3_margine">'4 - Pavimento'!$K$40</definedName>
    <definedName name="S3_port">'4 - Pavimento'!$B$32</definedName>
    <definedName name="S3_premio">'4 - Pavimento'!$B$30</definedName>
    <definedName name="S3_richiesto">'4 - Pavimento'!$J$40</definedName>
    <definedName name="S3_tasso">'4 - Pavimento'!$D$40</definedName>
    <definedName name="S3_vendita">'4 - Pavimento'!$B$31</definedName>
    <definedName name="Scelta_coeff">'1 - Rendita'!$B$8</definedName>
    <definedName name="Sconto_d">'3 - Mortalità e IRR'!$B$9</definedName>
    <definedName name="Sesso">'1 - Rendita'!$B$7</definedName>
    <definedName name="Soglia_cap">'4 - Pavimento'!$B$33</definedName>
    <definedName name="Speranza_coeff">'3 - Mortalità e IRR'!$B$46</definedName>
    <definedName name="Speranza_eq">'3 - Mortalità e IRR'!$B$45</definedName>
    <definedName name="Speranza_periodo">'3 - Mortalità e IRR'!$B$48</definedName>
    <definedName name="Speranza_scarto">'3 - Mortalità e IRR'!$B$47</definedName>
    <definedName name="Spesa_ess">'1 - Rendita'!$B$16</definedName>
    <definedName name="Surv_k">'3 - Mortalità e IRR'!$I$52:$I$121</definedName>
    <definedName name="Surv_p">'3 - Mortalità e IRR'!$D$52:$D$121</definedName>
    <definedName name="SWR_studio">'1 - Rendita'!$B$19</definedName>
    <definedName name="Tav_anni_meno">'3 - Mortalità e IRR'!$B$6</definedName>
    <definedName name="Tav_f">'3 - Mortalità e IRR'!$B$7</definedName>
    <definedName name="Tav_sel">'3 - Mortalità e IRR'!$B$5</definedName>
    <definedName name="Viva_75">'3 - Mortalità e IRR'!$B$15</definedName>
    <definedName name="Viva_80">'3 - Mortalità e IRR'!$B$16</definedName>
    <definedName name="Viva_85">'3 - Mortalità e IRR'!$B$17</definedName>
    <definedName name="Viva_86">'3 - Mortalità e IRR'!$B$18</definedName>
    <definedName name="Viva_88">'3 - Mortalità e IRR'!$B$19</definedName>
    <definedName name="Viva_90">'3 - Mortalità e IRR'!$B$20</definedName>
    <definedName name="Viva_95">'3 - Mortalità e IRR'!$B$21</definedName>
    <definedName name="W_cap1">'5 - Aspettare'!$B$20</definedName>
    <definedName name="W_cap2">'5 - Aspettare'!$C$20</definedName>
    <definedName name="W_capE1">'5 - Aspettare'!$B$21</definedName>
    <definedName name="W_capE2">'5 - Aspettare'!$C$21</definedName>
    <definedName name="W_cx">'5 - Aspettare'!$B$18</definedName>
    <definedName name="W_cy1">'5 - Aspettare'!$B$19</definedName>
    <definedName name="W_cy2">'5 - Aspettare'!$C$19</definedName>
    <definedName name="W_ered_A1">'5 - Aspettare'!$B$26</definedName>
    <definedName name="W_ered_A2">'5 - Aspettare'!$C$26</definedName>
    <definedName name="W_ered_B1">'5 - Aspettare'!$B$27</definedName>
    <definedName name="W_ered_B2">'5 - Aspettare'!$C$27</definedName>
    <definedName name="W_eta1">'5 - Aspettare'!$B$17</definedName>
    <definedName name="W_eta2">'5 - Aspettare'!$C$17</definedName>
    <definedName name="W_fondo">'5 - Aspettare'!$B$5</definedName>
    <definedName name="W_g">'5 - Aspettare'!$B$8</definedName>
    <definedName name="W_imposta">'5 - Aspettare'!$B$10</definedName>
    <definedName name="W_N1">'5 - Aspettare'!$B$6</definedName>
    <definedName name="W_N2">'5 - Aspettare'!$B$7</definedName>
    <definedName name="W_pareggio_1">'5 - Aspettare'!$B$38</definedName>
    <definedName name="W_pareggio_2">'5 - Aspettare'!$C$38</definedName>
    <definedName name="W_pareggio_lordo_1">'5 - Aspettare'!$B$39</definedName>
    <definedName name="W_pareggio_lordo_2">'5 - Aspettare'!$C$39</definedName>
    <definedName name="W_r_lordo">'5 - Aspettare'!$B$9</definedName>
    <definedName name="W_r_netto">'5 - Aspettare'!$B$11</definedName>
    <definedName name="W_r_netto_alt">'5 - Aspettare'!$B$12</definedName>
    <definedName name="W_rapp_r0_1">'5 - Aspettare'!$B$31</definedName>
    <definedName name="W_rapp_r0_2">'5 - Aspettare'!$C$31</definedName>
    <definedName name="W_rapp_r2_1">'5 - Aspettare'!$B$32</definedName>
    <definedName name="W_rapp_r2_2">'5 - Aspettare'!$C$32</definedName>
    <definedName name="W_rapp_ralt_1">'5 - Aspettare'!$B$34</definedName>
    <definedName name="W_rapp_ralt_2">'5 - Aspettare'!$C$34</definedName>
    <definedName name="W_rapp_rlordo_1">'5 - Aspettare'!$B$35</definedName>
    <definedName name="W_rapp_rlordo_2">'5 - Aspettare'!$C$35</definedName>
    <definedName name="W_rapp_rnet_1">'5 - Aspettare'!$B$33</definedName>
    <definedName name="W_rapp_rnet_2">'5 - Aspettare'!$C$33</definedName>
    <definedName name="W_rapp1">'5 - Aspettare'!$B$24</definedName>
    <definedName name="W_rapp2">'5 - Aspettare'!$C$24</definedName>
    <definedName name="W_rataA1">'5 - Aspettare'!$B$22</definedName>
    <definedName name="W_rataA2">'5 - Aspettare'!$C$22</definedName>
    <definedName name="W_rataB1">'5 - Aspettare'!$B$23</definedName>
    <definedName name="W_rataB2">'5 - Aspettare'!$C$23</definedName>
    <definedName name="W_viva1">'5 - Aspettare'!$B$25</definedName>
    <definedName name="W_viva2">'5 - Aspettare'!$C$25</definedName>
  </definedNames>
  <calcPr calcId="144525"/>
</workbook>
</file>

<file path=xl/calcChain.xml><?xml version="1.0" encoding="utf-8"?>
<calcChain xmlns="http://schemas.openxmlformats.org/spreadsheetml/2006/main">
  <c r="A34" i="6" l="1"/>
  <c r="C26" i="6"/>
  <c r="B26" i="6"/>
  <c r="C19" i="6"/>
  <c r="B19" i="6"/>
  <c r="B18" i="6"/>
  <c r="D164" i="6" s="1"/>
  <c r="E164" i="6" s="1"/>
  <c r="C17" i="6"/>
  <c r="B17" i="6"/>
  <c r="C16" i="6"/>
  <c r="B16" i="6"/>
  <c r="B13" i="6"/>
  <c r="B22" i="6" s="1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38" i="5"/>
  <c r="B22" i="5"/>
  <c r="B23" i="5" s="1"/>
  <c r="B21" i="5"/>
  <c r="B10" i="5"/>
  <c r="B9" i="5"/>
  <c r="B5" i="5"/>
  <c r="C37" i="5" s="1"/>
  <c r="AM131" i="4"/>
  <c r="AM130" i="4"/>
  <c r="AM129" i="4"/>
  <c r="AM128" i="4"/>
  <c r="AM127" i="4"/>
  <c r="AM126" i="4"/>
  <c r="AM125" i="4"/>
  <c r="AM124" i="4"/>
  <c r="AM123" i="4"/>
  <c r="AM122" i="4"/>
  <c r="AM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L121" i="4"/>
  <c r="K121" i="4"/>
  <c r="J121" i="4"/>
  <c r="B121" i="4"/>
  <c r="E121" i="4" s="1"/>
  <c r="AM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L120" i="4"/>
  <c r="K120" i="4"/>
  <c r="J120" i="4"/>
  <c r="B120" i="4"/>
  <c r="E120" i="4" s="1"/>
  <c r="AM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L119" i="4"/>
  <c r="K119" i="4"/>
  <c r="J119" i="4"/>
  <c r="B119" i="4"/>
  <c r="AM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L118" i="4"/>
  <c r="K118" i="4"/>
  <c r="J118" i="4"/>
  <c r="B118" i="4"/>
  <c r="C118" i="4" s="1"/>
  <c r="G118" i="4" s="1"/>
  <c r="AM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L117" i="4"/>
  <c r="K117" i="4"/>
  <c r="J117" i="4"/>
  <c r="B117" i="4"/>
  <c r="AM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L116" i="4"/>
  <c r="K116" i="4"/>
  <c r="J116" i="4"/>
  <c r="B116" i="4"/>
  <c r="E116" i="4" s="1"/>
  <c r="AM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L115" i="4"/>
  <c r="K115" i="4"/>
  <c r="J115" i="4"/>
  <c r="B115" i="4"/>
  <c r="E115" i="4" s="1"/>
  <c r="AM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L114" i="4"/>
  <c r="K114" i="4"/>
  <c r="J114" i="4"/>
  <c r="B114" i="4"/>
  <c r="E114" i="4" s="1"/>
  <c r="AM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L113" i="4"/>
  <c r="K113" i="4"/>
  <c r="J113" i="4"/>
  <c r="B113" i="4"/>
  <c r="C113" i="4" s="1"/>
  <c r="G113" i="4" s="1"/>
  <c r="AM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L112" i="4"/>
  <c r="K112" i="4"/>
  <c r="J112" i="4"/>
  <c r="B112" i="4"/>
  <c r="C112" i="4" s="1"/>
  <c r="G112" i="4" s="1"/>
  <c r="AM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L111" i="4"/>
  <c r="K111" i="4"/>
  <c r="J111" i="4"/>
  <c r="B111" i="4"/>
  <c r="E111" i="4" s="1"/>
  <c r="AM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L110" i="4"/>
  <c r="K110" i="4"/>
  <c r="J110" i="4"/>
  <c r="B110" i="4"/>
  <c r="C110" i="4" s="1"/>
  <c r="G110" i="4" s="1"/>
  <c r="AM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L109" i="4"/>
  <c r="K109" i="4"/>
  <c r="J109" i="4"/>
  <c r="G109" i="4"/>
  <c r="B109" i="4"/>
  <c r="C109" i="4" s="1"/>
  <c r="AM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L108" i="4"/>
  <c r="K108" i="4"/>
  <c r="J108" i="4"/>
  <c r="B108" i="4"/>
  <c r="E108" i="4" s="1"/>
  <c r="AM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L107" i="4"/>
  <c r="K107" i="4"/>
  <c r="J107" i="4"/>
  <c r="B107" i="4"/>
  <c r="AM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L106" i="4"/>
  <c r="K106" i="4"/>
  <c r="J106" i="4"/>
  <c r="B106" i="4"/>
  <c r="AM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L105" i="4"/>
  <c r="K105" i="4"/>
  <c r="J105" i="4"/>
  <c r="B105" i="4"/>
  <c r="C105" i="4" s="1"/>
  <c r="G105" i="4" s="1"/>
  <c r="AM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L104" i="4"/>
  <c r="K104" i="4"/>
  <c r="J104" i="4"/>
  <c r="B104" i="4"/>
  <c r="AM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L103" i="4"/>
  <c r="K103" i="4"/>
  <c r="J103" i="4"/>
  <c r="B103" i="4"/>
  <c r="AM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L102" i="4"/>
  <c r="K102" i="4"/>
  <c r="J102" i="4"/>
  <c r="B102" i="4"/>
  <c r="AM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L101" i="4"/>
  <c r="K101" i="4"/>
  <c r="J101" i="4"/>
  <c r="B101" i="4"/>
  <c r="AM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L100" i="4"/>
  <c r="K100" i="4"/>
  <c r="J100" i="4"/>
  <c r="B100" i="4"/>
  <c r="AM99" i="4"/>
  <c r="AG99" i="4"/>
  <c r="AF99" i="4"/>
  <c r="AE99" i="4"/>
  <c r="AD99" i="4"/>
  <c r="AC99" i="4"/>
  <c r="AB99" i="4"/>
  <c r="AA99" i="4"/>
  <c r="Z99" i="4"/>
  <c r="Y99" i="4"/>
  <c r="X99" i="4"/>
  <c r="W99" i="4"/>
  <c r="V99" i="4"/>
  <c r="L99" i="4"/>
  <c r="K99" i="4"/>
  <c r="J99" i="4"/>
  <c r="B99" i="4"/>
  <c r="AM98" i="4"/>
  <c r="AG98" i="4"/>
  <c r="AF98" i="4"/>
  <c r="AE98" i="4"/>
  <c r="AD98" i="4"/>
  <c r="AC98" i="4"/>
  <c r="AB98" i="4"/>
  <c r="AA98" i="4"/>
  <c r="Z98" i="4"/>
  <c r="Y98" i="4"/>
  <c r="X98" i="4"/>
  <c r="W98" i="4"/>
  <c r="V98" i="4"/>
  <c r="L98" i="4"/>
  <c r="K98" i="4"/>
  <c r="J98" i="4"/>
  <c r="B98" i="4"/>
  <c r="E98" i="4" s="1"/>
  <c r="AM97" i="4"/>
  <c r="AG97" i="4"/>
  <c r="AF97" i="4"/>
  <c r="AE97" i="4"/>
  <c r="AD97" i="4"/>
  <c r="AC97" i="4"/>
  <c r="AB97" i="4"/>
  <c r="AA97" i="4"/>
  <c r="Z97" i="4"/>
  <c r="Y97" i="4"/>
  <c r="X97" i="4"/>
  <c r="W97" i="4"/>
  <c r="V97" i="4"/>
  <c r="L97" i="4"/>
  <c r="K97" i="4"/>
  <c r="J97" i="4"/>
  <c r="B97" i="4"/>
  <c r="AM96" i="4"/>
  <c r="AG96" i="4"/>
  <c r="AF96" i="4"/>
  <c r="AE96" i="4"/>
  <c r="AD96" i="4"/>
  <c r="AC96" i="4"/>
  <c r="AB96" i="4"/>
  <c r="AA96" i="4"/>
  <c r="Z96" i="4"/>
  <c r="Y96" i="4"/>
  <c r="X96" i="4"/>
  <c r="W96" i="4"/>
  <c r="V96" i="4"/>
  <c r="L96" i="4"/>
  <c r="K96" i="4"/>
  <c r="J96" i="4"/>
  <c r="B96" i="4"/>
  <c r="E96" i="4" s="1"/>
  <c r="AM95" i="4"/>
  <c r="AG95" i="4"/>
  <c r="AF95" i="4"/>
  <c r="AE95" i="4"/>
  <c r="AD95" i="4"/>
  <c r="AC95" i="4"/>
  <c r="AB95" i="4"/>
  <c r="AA95" i="4"/>
  <c r="Z95" i="4"/>
  <c r="Y95" i="4"/>
  <c r="X95" i="4"/>
  <c r="W95" i="4"/>
  <c r="V95" i="4"/>
  <c r="L95" i="4"/>
  <c r="K95" i="4"/>
  <c r="J95" i="4"/>
  <c r="B95" i="4"/>
  <c r="C95" i="4" s="1"/>
  <c r="G95" i="4" s="1"/>
  <c r="AM94" i="4"/>
  <c r="AG94" i="4"/>
  <c r="AF94" i="4"/>
  <c r="AE94" i="4"/>
  <c r="AD94" i="4"/>
  <c r="AC94" i="4"/>
  <c r="AB94" i="4"/>
  <c r="AA94" i="4"/>
  <c r="Z94" i="4"/>
  <c r="Y94" i="4"/>
  <c r="X94" i="4"/>
  <c r="W94" i="4"/>
  <c r="V94" i="4"/>
  <c r="L94" i="4"/>
  <c r="K94" i="4"/>
  <c r="J94" i="4"/>
  <c r="B94" i="4"/>
  <c r="AM93" i="4"/>
  <c r="AG93" i="4"/>
  <c r="AF93" i="4"/>
  <c r="AE93" i="4"/>
  <c r="AD93" i="4"/>
  <c r="AC93" i="4"/>
  <c r="AB93" i="4"/>
  <c r="AA93" i="4"/>
  <c r="Z93" i="4"/>
  <c r="Y93" i="4"/>
  <c r="X93" i="4"/>
  <c r="W93" i="4"/>
  <c r="V93" i="4"/>
  <c r="L93" i="4"/>
  <c r="K93" i="4"/>
  <c r="J93" i="4"/>
  <c r="B93" i="4"/>
  <c r="AM92" i="4"/>
  <c r="AG92" i="4"/>
  <c r="AF92" i="4"/>
  <c r="AE92" i="4"/>
  <c r="AD92" i="4"/>
  <c r="AC92" i="4"/>
  <c r="AB92" i="4"/>
  <c r="AA92" i="4"/>
  <c r="Z92" i="4"/>
  <c r="Y92" i="4"/>
  <c r="X92" i="4"/>
  <c r="W92" i="4"/>
  <c r="V92" i="4"/>
  <c r="L92" i="4"/>
  <c r="K92" i="4"/>
  <c r="J92" i="4"/>
  <c r="B92" i="4"/>
  <c r="AM91" i="4"/>
  <c r="AG91" i="4"/>
  <c r="AF91" i="4"/>
  <c r="AE91" i="4"/>
  <c r="AD91" i="4"/>
  <c r="AC91" i="4"/>
  <c r="AB91" i="4"/>
  <c r="AA91" i="4"/>
  <c r="Z91" i="4"/>
  <c r="Y91" i="4"/>
  <c r="X91" i="4"/>
  <c r="W91" i="4"/>
  <c r="V91" i="4"/>
  <c r="L91" i="4"/>
  <c r="K91" i="4"/>
  <c r="J91" i="4"/>
  <c r="B91" i="4"/>
  <c r="AM90" i="4"/>
  <c r="AG90" i="4"/>
  <c r="AF90" i="4"/>
  <c r="AE90" i="4"/>
  <c r="AD90" i="4"/>
  <c r="AC90" i="4"/>
  <c r="AB90" i="4"/>
  <c r="AA90" i="4"/>
  <c r="Z90" i="4"/>
  <c r="Y90" i="4"/>
  <c r="X90" i="4"/>
  <c r="W90" i="4"/>
  <c r="V90" i="4"/>
  <c r="L90" i="4"/>
  <c r="K90" i="4"/>
  <c r="J90" i="4"/>
  <c r="B90" i="4"/>
  <c r="AM89" i="4"/>
  <c r="AG89" i="4"/>
  <c r="AF89" i="4"/>
  <c r="AE89" i="4"/>
  <c r="AD89" i="4"/>
  <c r="AC89" i="4"/>
  <c r="AB89" i="4"/>
  <c r="AA89" i="4"/>
  <c r="Z89" i="4"/>
  <c r="Y89" i="4"/>
  <c r="X89" i="4"/>
  <c r="W89" i="4"/>
  <c r="V89" i="4"/>
  <c r="L89" i="4"/>
  <c r="K89" i="4"/>
  <c r="J89" i="4"/>
  <c r="B89" i="4"/>
  <c r="AM88" i="4"/>
  <c r="AG88" i="4"/>
  <c r="AF88" i="4"/>
  <c r="AE88" i="4"/>
  <c r="AD88" i="4"/>
  <c r="AC88" i="4"/>
  <c r="AB88" i="4"/>
  <c r="AA88" i="4"/>
  <c r="Z88" i="4"/>
  <c r="Y88" i="4"/>
  <c r="X88" i="4"/>
  <c r="W88" i="4"/>
  <c r="V88" i="4"/>
  <c r="L88" i="4"/>
  <c r="K88" i="4"/>
  <c r="J88" i="4"/>
  <c r="B88" i="4"/>
  <c r="AM87" i="4"/>
  <c r="AG87" i="4"/>
  <c r="AF87" i="4"/>
  <c r="AE87" i="4"/>
  <c r="AD87" i="4"/>
  <c r="AC87" i="4"/>
  <c r="AB87" i="4"/>
  <c r="AA87" i="4"/>
  <c r="Z87" i="4"/>
  <c r="Y87" i="4"/>
  <c r="X87" i="4"/>
  <c r="W87" i="4"/>
  <c r="V87" i="4"/>
  <c r="L87" i="4"/>
  <c r="K87" i="4"/>
  <c r="J87" i="4"/>
  <c r="B87" i="4"/>
  <c r="AM86" i="4"/>
  <c r="AG86" i="4"/>
  <c r="AF86" i="4"/>
  <c r="AE86" i="4"/>
  <c r="AD86" i="4"/>
  <c r="AC86" i="4"/>
  <c r="AB86" i="4"/>
  <c r="AA86" i="4"/>
  <c r="Z86" i="4"/>
  <c r="Y86" i="4"/>
  <c r="X86" i="4"/>
  <c r="W86" i="4"/>
  <c r="V86" i="4"/>
  <c r="L86" i="4"/>
  <c r="K86" i="4"/>
  <c r="J86" i="4"/>
  <c r="B86" i="4"/>
  <c r="AM85" i="4"/>
  <c r="AF85" i="4"/>
  <c r="AE85" i="4"/>
  <c r="AD85" i="4"/>
  <c r="AC85" i="4"/>
  <c r="AB85" i="4"/>
  <c r="Z85" i="4"/>
  <c r="Y85" i="4"/>
  <c r="X85" i="4"/>
  <c r="W85" i="4"/>
  <c r="V85" i="4"/>
  <c r="L85" i="4"/>
  <c r="K85" i="4"/>
  <c r="J85" i="4"/>
  <c r="B85" i="4"/>
  <c r="AM84" i="4"/>
  <c r="AF84" i="4"/>
  <c r="AE84" i="4"/>
  <c r="AD84" i="4"/>
  <c r="AC84" i="4"/>
  <c r="AB84" i="4"/>
  <c r="Z84" i="4"/>
  <c r="Y84" i="4"/>
  <c r="X84" i="4"/>
  <c r="W84" i="4"/>
  <c r="V84" i="4"/>
  <c r="L84" i="4"/>
  <c r="K84" i="4"/>
  <c r="J84" i="4"/>
  <c r="B84" i="4"/>
  <c r="E84" i="4" s="1"/>
  <c r="AM83" i="4"/>
  <c r="AF83" i="4"/>
  <c r="AE83" i="4"/>
  <c r="AD83" i="4"/>
  <c r="AC83" i="4"/>
  <c r="AB83" i="4"/>
  <c r="Z83" i="4"/>
  <c r="Y83" i="4"/>
  <c r="X83" i="4"/>
  <c r="W83" i="4"/>
  <c r="V83" i="4"/>
  <c r="L83" i="4"/>
  <c r="K83" i="4"/>
  <c r="J83" i="4"/>
  <c r="B83" i="4"/>
  <c r="E83" i="4" s="1"/>
  <c r="AM82" i="4"/>
  <c r="AF82" i="4"/>
  <c r="AE82" i="4"/>
  <c r="AD82" i="4"/>
  <c r="AC82" i="4"/>
  <c r="AB82" i="4"/>
  <c r="Z82" i="4"/>
  <c r="Y82" i="4"/>
  <c r="X82" i="4"/>
  <c r="W82" i="4"/>
  <c r="V82" i="4"/>
  <c r="L82" i="4"/>
  <c r="K82" i="4"/>
  <c r="J82" i="4"/>
  <c r="B82" i="4"/>
  <c r="AM81" i="4"/>
  <c r="AF81" i="4"/>
  <c r="AE81" i="4"/>
  <c r="AD81" i="4"/>
  <c r="AC81" i="4"/>
  <c r="AB81" i="4"/>
  <c r="Z81" i="4"/>
  <c r="Y81" i="4"/>
  <c r="X81" i="4"/>
  <c r="W81" i="4"/>
  <c r="V81" i="4"/>
  <c r="L81" i="4"/>
  <c r="K81" i="4"/>
  <c r="J81" i="4"/>
  <c r="B81" i="4"/>
  <c r="C81" i="4" s="1"/>
  <c r="G81" i="4" s="1"/>
  <c r="AM80" i="4"/>
  <c r="AE80" i="4"/>
  <c r="AD80" i="4"/>
  <c r="AC80" i="4"/>
  <c r="AB80" i="4"/>
  <c r="Y80" i="4"/>
  <c r="X80" i="4"/>
  <c r="W80" i="4"/>
  <c r="V80" i="4"/>
  <c r="L80" i="4"/>
  <c r="K80" i="4"/>
  <c r="J80" i="4"/>
  <c r="B80" i="4"/>
  <c r="AM79" i="4"/>
  <c r="AE79" i="4"/>
  <c r="AD79" i="4"/>
  <c r="AC79" i="4"/>
  <c r="AB79" i="4"/>
  <c r="Y79" i="4"/>
  <c r="X79" i="4"/>
  <c r="W79" i="4"/>
  <c r="V79" i="4"/>
  <c r="L79" i="4"/>
  <c r="K79" i="4"/>
  <c r="J79" i="4"/>
  <c r="B79" i="4"/>
  <c r="E79" i="4" s="1"/>
  <c r="AM78" i="4"/>
  <c r="AE78" i="4"/>
  <c r="AD78" i="4"/>
  <c r="AC78" i="4"/>
  <c r="AB78" i="4"/>
  <c r="Y78" i="4"/>
  <c r="X78" i="4"/>
  <c r="W78" i="4"/>
  <c r="V78" i="4"/>
  <c r="L78" i="4"/>
  <c r="K78" i="4"/>
  <c r="J78" i="4"/>
  <c r="B78" i="4"/>
  <c r="AM77" i="4"/>
  <c r="AE77" i="4"/>
  <c r="AD77" i="4"/>
  <c r="AC77" i="4"/>
  <c r="AB77" i="4"/>
  <c r="Y77" i="4"/>
  <c r="X77" i="4"/>
  <c r="W77" i="4"/>
  <c r="V77" i="4"/>
  <c r="L77" i="4"/>
  <c r="K77" i="4"/>
  <c r="J77" i="4"/>
  <c r="B77" i="4"/>
  <c r="AM76" i="4"/>
  <c r="AE76" i="4"/>
  <c r="AD76" i="4"/>
  <c r="AC76" i="4"/>
  <c r="AB76" i="4"/>
  <c r="Y76" i="4"/>
  <c r="X76" i="4"/>
  <c r="W76" i="4"/>
  <c r="V76" i="4"/>
  <c r="L76" i="4"/>
  <c r="K76" i="4"/>
  <c r="J76" i="4"/>
  <c r="B76" i="4"/>
  <c r="AM75" i="4"/>
  <c r="AD75" i="4"/>
  <c r="AC75" i="4"/>
  <c r="AB75" i="4"/>
  <c r="X75" i="4"/>
  <c r="W75" i="4"/>
  <c r="V75" i="4"/>
  <c r="L75" i="4"/>
  <c r="K75" i="4"/>
  <c r="J75" i="4"/>
  <c r="B75" i="4"/>
  <c r="C75" i="4" s="1"/>
  <c r="G75" i="4" s="1"/>
  <c r="AM74" i="4"/>
  <c r="AD74" i="4"/>
  <c r="AC74" i="4"/>
  <c r="AB74" i="4"/>
  <c r="X74" i="4"/>
  <c r="W74" i="4"/>
  <c r="V74" i="4"/>
  <c r="L74" i="4"/>
  <c r="K74" i="4"/>
  <c r="J74" i="4"/>
  <c r="B74" i="4"/>
  <c r="E74" i="4" s="1"/>
  <c r="AM73" i="4"/>
  <c r="AD73" i="4"/>
  <c r="AC73" i="4"/>
  <c r="AB73" i="4"/>
  <c r="X73" i="4"/>
  <c r="W73" i="4"/>
  <c r="V73" i="4"/>
  <c r="L73" i="4"/>
  <c r="K73" i="4"/>
  <c r="J73" i="4"/>
  <c r="B73" i="4"/>
  <c r="AM72" i="4"/>
  <c r="AD72" i="4"/>
  <c r="AC72" i="4"/>
  <c r="AB72" i="4"/>
  <c r="X72" i="4"/>
  <c r="W72" i="4"/>
  <c r="V72" i="4"/>
  <c r="L72" i="4"/>
  <c r="K72" i="4"/>
  <c r="J72" i="4"/>
  <c r="B72" i="4"/>
  <c r="AM71" i="4"/>
  <c r="AD71" i="4"/>
  <c r="AC71" i="4"/>
  <c r="AB71" i="4"/>
  <c r="X71" i="4"/>
  <c r="W71" i="4"/>
  <c r="V71" i="4"/>
  <c r="L71" i="4"/>
  <c r="K71" i="4"/>
  <c r="J71" i="4"/>
  <c r="B71" i="4"/>
  <c r="AM70" i="4"/>
  <c r="AC70" i="4"/>
  <c r="AB70" i="4"/>
  <c r="W70" i="4"/>
  <c r="V70" i="4"/>
  <c r="L70" i="4"/>
  <c r="K70" i="4"/>
  <c r="J70" i="4"/>
  <c r="B70" i="4"/>
  <c r="AM69" i="4"/>
  <c r="AC69" i="4"/>
  <c r="AB69" i="4"/>
  <c r="W69" i="4"/>
  <c r="V69" i="4"/>
  <c r="L69" i="4"/>
  <c r="K69" i="4"/>
  <c r="J69" i="4"/>
  <c r="B69" i="4"/>
  <c r="C69" i="4" s="1"/>
  <c r="G69" i="4" s="1"/>
  <c r="AM68" i="4"/>
  <c r="AC68" i="4"/>
  <c r="AB68" i="4"/>
  <c r="W68" i="4"/>
  <c r="V68" i="4"/>
  <c r="L68" i="4"/>
  <c r="K68" i="4"/>
  <c r="J68" i="4"/>
  <c r="B68" i="4"/>
  <c r="AM67" i="4"/>
  <c r="AC67" i="4"/>
  <c r="AB67" i="4"/>
  <c r="W67" i="4"/>
  <c r="V67" i="4"/>
  <c r="L67" i="4"/>
  <c r="K67" i="4"/>
  <c r="J67" i="4"/>
  <c r="B67" i="4"/>
  <c r="AM66" i="4"/>
  <c r="AC66" i="4"/>
  <c r="AB66" i="4"/>
  <c r="W66" i="4"/>
  <c r="V66" i="4"/>
  <c r="L66" i="4"/>
  <c r="K66" i="4"/>
  <c r="J66" i="4"/>
  <c r="B66" i="4"/>
  <c r="AM65" i="4"/>
  <c r="AB65" i="4"/>
  <c r="V65" i="4"/>
  <c r="L65" i="4"/>
  <c r="K65" i="4"/>
  <c r="J65" i="4"/>
  <c r="B65" i="4"/>
  <c r="AM64" i="4"/>
  <c r="AB64" i="4"/>
  <c r="V64" i="4"/>
  <c r="L64" i="4"/>
  <c r="K64" i="4"/>
  <c r="J64" i="4"/>
  <c r="B64" i="4"/>
  <c r="AM63" i="4"/>
  <c r="AB63" i="4"/>
  <c r="V63" i="4"/>
  <c r="L63" i="4"/>
  <c r="K63" i="4"/>
  <c r="J63" i="4"/>
  <c r="B63" i="4"/>
  <c r="AM62" i="4"/>
  <c r="AB62" i="4"/>
  <c r="V62" i="4"/>
  <c r="L62" i="4"/>
  <c r="K62" i="4"/>
  <c r="J62" i="4"/>
  <c r="B62" i="4"/>
  <c r="AM61" i="4"/>
  <c r="AB61" i="4"/>
  <c r="V61" i="4"/>
  <c r="L61" i="4"/>
  <c r="K61" i="4"/>
  <c r="J61" i="4"/>
  <c r="B61" i="4"/>
  <c r="AM60" i="4"/>
  <c r="L60" i="4"/>
  <c r="K60" i="4"/>
  <c r="J60" i="4"/>
  <c r="B60" i="4"/>
  <c r="AM59" i="4"/>
  <c r="L59" i="4"/>
  <c r="K59" i="4"/>
  <c r="J59" i="4"/>
  <c r="B59" i="4"/>
  <c r="AM58" i="4"/>
  <c r="L58" i="4"/>
  <c r="K58" i="4"/>
  <c r="J58" i="4"/>
  <c r="B58" i="4"/>
  <c r="E58" i="4" s="1"/>
  <c r="AM57" i="4"/>
  <c r="L57" i="4"/>
  <c r="K57" i="4"/>
  <c r="J57" i="4"/>
  <c r="B57" i="4"/>
  <c r="AM56" i="4"/>
  <c r="L56" i="4"/>
  <c r="K56" i="4"/>
  <c r="J56" i="4"/>
  <c r="B56" i="4"/>
  <c r="AM55" i="4"/>
  <c r="L55" i="4"/>
  <c r="K55" i="4"/>
  <c r="J55" i="4"/>
  <c r="B55" i="4"/>
  <c r="AM54" i="4"/>
  <c r="L54" i="4"/>
  <c r="K54" i="4"/>
  <c r="J54" i="4"/>
  <c r="B54" i="4"/>
  <c r="AM53" i="4"/>
  <c r="L53" i="4"/>
  <c r="K53" i="4"/>
  <c r="J53" i="4"/>
  <c r="B53" i="4"/>
  <c r="C53" i="4" s="1"/>
  <c r="G53" i="4" s="1"/>
  <c r="AM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H52" i="4"/>
  <c r="F52" i="4"/>
  <c r="D52" i="4"/>
  <c r="B52" i="4"/>
  <c r="A41" i="4"/>
  <c r="A40" i="4"/>
  <c r="A36" i="4"/>
  <c r="A35" i="4"/>
  <c r="A34" i="4"/>
  <c r="B30" i="4"/>
  <c r="B29" i="4"/>
  <c r="B28" i="4"/>
  <c r="B27" i="4"/>
  <c r="B26" i="4"/>
  <c r="B25" i="4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Q27" i="3"/>
  <c r="P27" i="3"/>
  <c r="O27" i="3"/>
  <c r="N27" i="3"/>
  <c r="M27" i="3"/>
  <c r="L27" i="3"/>
  <c r="Q26" i="3"/>
  <c r="P26" i="3"/>
  <c r="O26" i="3"/>
  <c r="N26" i="3"/>
  <c r="M26" i="3"/>
  <c r="L26" i="3"/>
  <c r="Q25" i="3"/>
  <c r="P25" i="3"/>
  <c r="O25" i="3"/>
  <c r="N25" i="3"/>
  <c r="M25" i="3"/>
  <c r="L25" i="3"/>
  <c r="Q24" i="3"/>
  <c r="P24" i="3"/>
  <c r="O24" i="3"/>
  <c r="N24" i="3"/>
  <c r="M24" i="3"/>
  <c r="L24" i="3"/>
  <c r="Q23" i="3"/>
  <c r="P23" i="3"/>
  <c r="O23" i="3"/>
  <c r="N23" i="3"/>
  <c r="M23" i="3"/>
  <c r="L23" i="3"/>
  <c r="Q22" i="3"/>
  <c r="P22" i="3"/>
  <c r="O22" i="3"/>
  <c r="N22" i="3"/>
  <c r="M22" i="3"/>
  <c r="L22" i="3"/>
  <c r="Q21" i="3"/>
  <c r="P21" i="3"/>
  <c r="O21" i="3"/>
  <c r="N21" i="3"/>
  <c r="M21" i="3"/>
  <c r="L21" i="3"/>
  <c r="Q20" i="3"/>
  <c r="P20" i="3"/>
  <c r="O20" i="3"/>
  <c r="N20" i="3"/>
  <c r="M20" i="3"/>
  <c r="L20" i="3"/>
  <c r="Q19" i="3"/>
  <c r="P19" i="3"/>
  <c r="O19" i="3"/>
  <c r="N19" i="3"/>
  <c r="M19" i="3"/>
  <c r="L19" i="3"/>
  <c r="Q18" i="3"/>
  <c r="P18" i="3"/>
  <c r="O18" i="3"/>
  <c r="N18" i="3"/>
  <c r="M18" i="3"/>
  <c r="L18" i="3"/>
  <c r="Q17" i="3"/>
  <c r="P17" i="3"/>
  <c r="O17" i="3"/>
  <c r="N17" i="3"/>
  <c r="M17" i="3"/>
  <c r="L17" i="3"/>
  <c r="Q16" i="3"/>
  <c r="P16" i="3"/>
  <c r="O16" i="3"/>
  <c r="N16" i="3"/>
  <c r="M16" i="3"/>
  <c r="L16" i="3"/>
  <c r="Q15" i="3"/>
  <c r="P15" i="3"/>
  <c r="O15" i="3"/>
  <c r="N15" i="3"/>
  <c r="M15" i="3"/>
  <c r="L15" i="3"/>
  <c r="Q14" i="3"/>
  <c r="P14" i="3"/>
  <c r="O14" i="3"/>
  <c r="N14" i="3"/>
  <c r="M14" i="3"/>
  <c r="L14" i="3"/>
  <c r="Q13" i="3"/>
  <c r="P13" i="3"/>
  <c r="O13" i="3"/>
  <c r="N13" i="3"/>
  <c r="M13" i="3"/>
  <c r="L13" i="3"/>
  <c r="Q12" i="3"/>
  <c r="P12" i="3"/>
  <c r="O12" i="3"/>
  <c r="N12" i="3"/>
  <c r="M12" i="3"/>
  <c r="L12" i="3"/>
  <c r="Q11" i="3"/>
  <c r="P11" i="3"/>
  <c r="O11" i="3"/>
  <c r="N11" i="3"/>
  <c r="M11" i="3"/>
  <c r="L11" i="3"/>
  <c r="Q10" i="3"/>
  <c r="P10" i="3"/>
  <c r="O10" i="3"/>
  <c r="N10" i="3"/>
  <c r="M10" i="3"/>
  <c r="L10" i="3"/>
  <c r="Q9" i="3"/>
  <c r="P9" i="3"/>
  <c r="O9" i="3"/>
  <c r="N9" i="3"/>
  <c r="M9" i="3"/>
  <c r="L9" i="3"/>
  <c r="Q8" i="3"/>
  <c r="P8" i="3"/>
  <c r="O8" i="3"/>
  <c r="N8" i="3"/>
  <c r="M8" i="3"/>
  <c r="L8" i="3"/>
  <c r="Q7" i="3"/>
  <c r="P7" i="3"/>
  <c r="O7" i="3"/>
  <c r="N7" i="3"/>
  <c r="M7" i="3"/>
  <c r="L7" i="3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C50" i="2"/>
  <c r="C49" i="2"/>
  <c r="C48" i="2"/>
  <c r="C47" i="2"/>
  <c r="C46" i="2"/>
  <c r="C45" i="2"/>
  <c r="B39" i="2"/>
  <c r="B38" i="2"/>
  <c r="B37" i="2"/>
  <c r="B36" i="2"/>
  <c r="B35" i="2"/>
  <c r="B9" i="6" s="1"/>
  <c r="B24" i="2"/>
  <c r="B25" i="2" s="1"/>
  <c r="B23" i="2"/>
  <c r="B22" i="2"/>
  <c r="C101" i="4" l="1"/>
  <c r="G101" i="4" s="1"/>
  <c r="C102" i="4"/>
  <c r="G102" i="4" s="1"/>
  <c r="E104" i="4"/>
  <c r="C91" i="4"/>
  <c r="G91" i="4" s="1"/>
  <c r="C99" i="4"/>
  <c r="G99" i="4" s="1"/>
  <c r="C86" i="4"/>
  <c r="G86" i="4" s="1"/>
  <c r="E92" i="4"/>
  <c r="C58" i="4"/>
  <c r="G58" i="4" s="1"/>
  <c r="C85" i="4"/>
  <c r="G85" i="4" s="1"/>
  <c r="E93" i="4"/>
  <c r="C74" i="4"/>
  <c r="G74" i="4" s="1"/>
  <c r="E88" i="4"/>
  <c r="C70" i="4"/>
  <c r="G70" i="4" s="1"/>
  <c r="E76" i="4"/>
  <c r="E60" i="4"/>
  <c r="E72" i="4"/>
  <c r="E57" i="4"/>
  <c r="E65" i="4"/>
  <c r="E67" i="4"/>
  <c r="C80" i="4"/>
  <c r="G80" i="4" s="1"/>
  <c r="E94" i="4"/>
  <c r="E109" i="4"/>
  <c r="E55" i="4"/>
  <c r="E102" i="4"/>
  <c r="E110" i="4"/>
  <c r="E70" i="4"/>
  <c r="E103" i="4"/>
  <c r="C65" i="4"/>
  <c r="G65" i="4" s="1"/>
  <c r="C111" i="4"/>
  <c r="G111" i="4" s="1"/>
  <c r="C104" i="4"/>
  <c r="G104" i="4" s="1"/>
  <c r="E56" i="4"/>
  <c r="B25" i="5"/>
  <c r="B26" i="5" s="1"/>
  <c r="B27" i="5" s="1"/>
  <c r="C76" i="4"/>
  <c r="G76" i="4" s="1"/>
  <c r="C59" i="4"/>
  <c r="G59" i="4" s="1"/>
  <c r="C98" i="4"/>
  <c r="G98" i="4" s="1"/>
  <c r="E66" i="4"/>
  <c r="E107" i="4"/>
  <c r="C96" i="4"/>
  <c r="G96" i="4" s="1"/>
  <c r="E75" i="4"/>
  <c r="C92" i="4"/>
  <c r="G92" i="4" s="1"/>
  <c r="C114" i="4"/>
  <c r="G114" i="4" s="1"/>
  <c r="E85" i="4"/>
  <c r="E80" i="4"/>
  <c r="C60" i="4"/>
  <c r="G60" i="4" s="1"/>
  <c r="E118" i="4"/>
  <c r="C79" i="4"/>
  <c r="G79" i="4" s="1"/>
  <c r="E95" i="4"/>
  <c r="C67" i="4"/>
  <c r="G67" i="4" s="1"/>
  <c r="E78" i="4"/>
  <c r="C90" i="4"/>
  <c r="G90" i="4" s="1"/>
  <c r="E53" i="4"/>
  <c r="C120" i="4"/>
  <c r="G120" i="4" s="1"/>
  <c r="E77" i="4"/>
  <c r="C72" i="4"/>
  <c r="G72" i="4" s="1"/>
  <c r="C78" i="4"/>
  <c r="G78" i="4" s="1"/>
  <c r="E113" i="4"/>
  <c r="E59" i="4"/>
  <c r="E62" i="4"/>
  <c r="C83" i="4"/>
  <c r="G83" i="4" s="1"/>
  <c r="C84" i="4"/>
  <c r="G84" i="4" s="1"/>
  <c r="E81" i="4"/>
  <c r="E86" i="4"/>
  <c r="C94" i="4"/>
  <c r="G94" i="4" s="1"/>
  <c r="C52" i="4"/>
  <c r="G52" i="4" s="1"/>
  <c r="H53" i="4" s="1"/>
  <c r="H54" i="4" s="1"/>
  <c r="E63" i="4"/>
  <c r="E52" i="4"/>
  <c r="E90" i="4"/>
  <c r="F53" i="4"/>
  <c r="F54" i="4" s="1"/>
  <c r="E112" i="4"/>
  <c r="C56" i="4"/>
  <c r="G56" i="4" s="1"/>
  <c r="C77" i="4"/>
  <c r="G77" i="4" s="1"/>
  <c r="E105" i="4"/>
  <c r="E106" i="4"/>
  <c r="I52" i="4"/>
  <c r="B74" i="5" s="1"/>
  <c r="C106" i="4"/>
  <c r="G106" i="4" s="1"/>
  <c r="E54" i="4"/>
  <c r="C62" i="4"/>
  <c r="G62" i="4" s="1"/>
  <c r="E100" i="4"/>
  <c r="C34" i="6"/>
  <c r="A35" i="6"/>
  <c r="B11" i="6"/>
  <c r="C103" i="4"/>
  <c r="G103" i="4" s="1"/>
  <c r="B34" i="2"/>
  <c r="C54" i="4"/>
  <c r="G54" i="4" s="1"/>
  <c r="E82" i="4"/>
  <c r="C82" i="4"/>
  <c r="G82" i="4" s="1"/>
  <c r="E61" i="4"/>
  <c r="C61" i="4"/>
  <c r="G61" i="4" s="1"/>
  <c r="E71" i="4"/>
  <c r="C71" i="4"/>
  <c r="G71" i="4" s="1"/>
  <c r="B33" i="5"/>
  <c r="B46" i="4"/>
  <c r="B33" i="2"/>
  <c r="B26" i="2"/>
  <c r="E97" i="4"/>
  <c r="C97" i="4"/>
  <c r="G97" i="4" s="1"/>
  <c r="C55" i="4"/>
  <c r="G55" i="4" s="1"/>
  <c r="C66" i="4"/>
  <c r="G66" i="4" s="1"/>
  <c r="E73" i="4"/>
  <c r="C73" i="4"/>
  <c r="G73" i="4" s="1"/>
  <c r="E91" i="4"/>
  <c r="C88" i="4"/>
  <c r="G88" i="4" s="1"/>
  <c r="E68" i="4"/>
  <c r="C68" i="4"/>
  <c r="G68" i="4" s="1"/>
  <c r="E99" i="4"/>
  <c r="E64" i="4"/>
  <c r="C64" i="4"/>
  <c r="G64" i="4" s="1"/>
  <c r="C108" i="4"/>
  <c r="G108" i="4" s="1"/>
  <c r="C116" i="4"/>
  <c r="G116" i="4" s="1"/>
  <c r="E89" i="4"/>
  <c r="C89" i="4"/>
  <c r="G89" i="4" s="1"/>
  <c r="C93" i="4"/>
  <c r="G93" i="4" s="1"/>
  <c r="E69" i="4"/>
  <c r="E101" i="4"/>
  <c r="C107" i="4"/>
  <c r="G107" i="4" s="1"/>
  <c r="C63" i="4"/>
  <c r="G63" i="4" s="1"/>
  <c r="C100" i="4"/>
  <c r="G100" i="4" s="1"/>
  <c r="C115" i="4"/>
  <c r="G115" i="4" s="1"/>
  <c r="E117" i="4"/>
  <c r="C117" i="4"/>
  <c r="G117" i="4" s="1"/>
  <c r="C119" i="4"/>
  <c r="G119" i="4" s="1"/>
  <c r="E119" i="4"/>
  <c r="C57" i="4"/>
  <c r="G57" i="4" s="1"/>
  <c r="E87" i="4"/>
  <c r="C87" i="4"/>
  <c r="G87" i="4" s="1"/>
  <c r="B24" i="5"/>
  <c r="B37" i="5" s="1"/>
  <c r="C121" i="4"/>
  <c r="G121" i="4" s="1"/>
  <c r="C22" i="6"/>
  <c r="B45" i="6"/>
  <c r="C45" i="6" s="1"/>
  <c r="B49" i="6"/>
  <c r="C49" i="6" s="1"/>
  <c r="B53" i="6"/>
  <c r="C53" i="6" s="1"/>
  <c r="B57" i="6"/>
  <c r="C57" i="6" s="1"/>
  <c r="B61" i="6"/>
  <c r="C61" i="6" s="1"/>
  <c r="B65" i="6"/>
  <c r="C65" i="6" s="1"/>
  <c r="B69" i="6"/>
  <c r="C69" i="6" s="1"/>
  <c r="B73" i="6"/>
  <c r="C73" i="6" s="1"/>
  <c r="B77" i="6"/>
  <c r="C77" i="6" s="1"/>
  <c r="B81" i="6"/>
  <c r="C81" i="6" s="1"/>
  <c r="B85" i="6"/>
  <c r="C85" i="6" s="1"/>
  <c r="B89" i="6"/>
  <c r="C89" i="6" s="1"/>
  <c r="B93" i="6"/>
  <c r="C93" i="6" s="1"/>
  <c r="B97" i="6"/>
  <c r="C97" i="6" s="1"/>
  <c r="B101" i="6"/>
  <c r="C101" i="6" s="1"/>
  <c r="B105" i="6"/>
  <c r="C105" i="6" s="1"/>
  <c r="B109" i="6"/>
  <c r="C109" i="6" s="1"/>
  <c r="B113" i="6"/>
  <c r="C113" i="6" s="1"/>
  <c r="B117" i="6"/>
  <c r="C117" i="6" s="1"/>
  <c r="B121" i="6"/>
  <c r="C121" i="6" s="1"/>
  <c r="B125" i="6"/>
  <c r="C125" i="6" s="1"/>
  <c r="B129" i="6"/>
  <c r="C129" i="6" s="1"/>
  <c r="B133" i="6"/>
  <c r="C133" i="6" s="1"/>
  <c r="B137" i="6"/>
  <c r="C137" i="6" s="1"/>
  <c r="B141" i="6"/>
  <c r="C141" i="6" s="1"/>
  <c r="B145" i="6"/>
  <c r="C145" i="6" s="1"/>
  <c r="B149" i="6"/>
  <c r="C149" i="6" s="1"/>
  <c r="B153" i="6"/>
  <c r="C153" i="6" s="1"/>
  <c r="B157" i="6"/>
  <c r="C157" i="6" s="1"/>
  <c r="B161" i="6"/>
  <c r="C161" i="6" s="1"/>
  <c r="D45" i="6"/>
  <c r="E45" i="6" s="1"/>
  <c r="D49" i="6"/>
  <c r="E49" i="6" s="1"/>
  <c r="D53" i="6"/>
  <c r="E53" i="6" s="1"/>
  <c r="D57" i="6"/>
  <c r="E57" i="6" s="1"/>
  <c r="D61" i="6"/>
  <c r="E61" i="6" s="1"/>
  <c r="D65" i="6"/>
  <c r="E65" i="6" s="1"/>
  <c r="D69" i="6"/>
  <c r="E69" i="6" s="1"/>
  <c r="D73" i="6"/>
  <c r="E73" i="6" s="1"/>
  <c r="D77" i="6"/>
  <c r="E77" i="6" s="1"/>
  <c r="D81" i="6"/>
  <c r="E81" i="6" s="1"/>
  <c r="D85" i="6"/>
  <c r="E85" i="6" s="1"/>
  <c r="D89" i="6"/>
  <c r="E89" i="6" s="1"/>
  <c r="D93" i="6"/>
  <c r="E93" i="6" s="1"/>
  <c r="D97" i="6"/>
  <c r="E97" i="6" s="1"/>
  <c r="D101" i="6"/>
  <c r="E101" i="6" s="1"/>
  <c r="D105" i="6"/>
  <c r="E105" i="6" s="1"/>
  <c r="D109" i="6"/>
  <c r="E109" i="6" s="1"/>
  <c r="D113" i="6"/>
  <c r="E113" i="6" s="1"/>
  <c r="D117" i="6"/>
  <c r="E117" i="6" s="1"/>
  <c r="D121" i="6"/>
  <c r="E121" i="6" s="1"/>
  <c r="D125" i="6"/>
  <c r="E125" i="6" s="1"/>
  <c r="D129" i="6"/>
  <c r="E129" i="6" s="1"/>
  <c r="D133" i="6"/>
  <c r="E133" i="6" s="1"/>
  <c r="D137" i="6"/>
  <c r="E137" i="6" s="1"/>
  <c r="D141" i="6"/>
  <c r="E141" i="6" s="1"/>
  <c r="D145" i="6"/>
  <c r="E145" i="6" s="1"/>
  <c r="D149" i="6"/>
  <c r="E149" i="6" s="1"/>
  <c r="D153" i="6"/>
  <c r="E153" i="6" s="1"/>
  <c r="D157" i="6"/>
  <c r="E157" i="6" s="1"/>
  <c r="D161" i="6"/>
  <c r="E161" i="6" s="1"/>
  <c r="B34" i="6"/>
  <c r="B46" i="6"/>
  <c r="C46" i="6" s="1"/>
  <c r="B50" i="6"/>
  <c r="C50" i="6" s="1"/>
  <c r="B54" i="6"/>
  <c r="C54" i="6" s="1"/>
  <c r="B58" i="6"/>
  <c r="C58" i="6" s="1"/>
  <c r="B62" i="6"/>
  <c r="C62" i="6" s="1"/>
  <c r="B66" i="6"/>
  <c r="C66" i="6" s="1"/>
  <c r="B70" i="6"/>
  <c r="C70" i="6" s="1"/>
  <c r="B74" i="6"/>
  <c r="C74" i="6" s="1"/>
  <c r="B78" i="6"/>
  <c r="C78" i="6" s="1"/>
  <c r="B82" i="6"/>
  <c r="C82" i="6" s="1"/>
  <c r="B86" i="6"/>
  <c r="C86" i="6" s="1"/>
  <c r="B90" i="6"/>
  <c r="C90" i="6" s="1"/>
  <c r="B94" i="6"/>
  <c r="C94" i="6" s="1"/>
  <c r="B98" i="6"/>
  <c r="C98" i="6" s="1"/>
  <c r="B102" i="6"/>
  <c r="C102" i="6" s="1"/>
  <c r="B106" i="6"/>
  <c r="C106" i="6" s="1"/>
  <c r="B110" i="6"/>
  <c r="C110" i="6" s="1"/>
  <c r="B114" i="6"/>
  <c r="C114" i="6" s="1"/>
  <c r="B118" i="6"/>
  <c r="C118" i="6" s="1"/>
  <c r="B122" i="6"/>
  <c r="C122" i="6" s="1"/>
  <c r="B126" i="6"/>
  <c r="C126" i="6" s="1"/>
  <c r="B130" i="6"/>
  <c r="C130" i="6" s="1"/>
  <c r="B134" i="6"/>
  <c r="C134" i="6" s="1"/>
  <c r="B138" i="6"/>
  <c r="C138" i="6" s="1"/>
  <c r="B142" i="6"/>
  <c r="C142" i="6" s="1"/>
  <c r="B146" i="6"/>
  <c r="C146" i="6" s="1"/>
  <c r="B150" i="6"/>
  <c r="C150" i="6" s="1"/>
  <c r="B154" i="6"/>
  <c r="C154" i="6" s="1"/>
  <c r="B158" i="6"/>
  <c r="C158" i="6" s="1"/>
  <c r="B162" i="6"/>
  <c r="C162" i="6" s="1"/>
  <c r="D46" i="6"/>
  <c r="E46" i="6" s="1"/>
  <c r="D50" i="6"/>
  <c r="E50" i="6" s="1"/>
  <c r="D54" i="6"/>
  <c r="E54" i="6" s="1"/>
  <c r="D58" i="6"/>
  <c r="E58" i="6" s="1"/>
  <c r="D62" i="6"/>
  <c r="E62" i="6" s="1"/>
  <c r="D66" i="6"/>
  <c r="E66" i="6" s="1"/>
  <c r="D70" i="6"/>
  <c r="E70" i="6" s="1"/>
  <c r="D74" i="6"/>
  <c r="E74" i="6" s="1"/>
  <c r="D78" i="6"/>
  <c r="E78" i="6" s="1"/>
  <c r="D82" i="6"/>
  <c r="E82" i="6" s="1"/>
  <c r="D86" i="6"/>
  <c r="E86" i="6" s="1"/>
  <c r="D90" i="6"/>
  <c r="E90" i="6" s="1"/>
  <c r="D94" i="6"/>
  <c r="E94" i="6" s="1"/>
  <c r="D98" i="6"/>
  <c r="E98" i="6" s="1"/>
  <c r="D102" i="6"/>
  <c r="E102" i="6" s="1"/>
  <c r="D106" i="6"/>
  <c r="E106" i="6" s="1"/>
  <c r="D110" i="6"/>
  <c r="E110" i="6" s="1"/>
  <c r="D114" i="6"/>
  <c r="E114" i="6" s="1"/>
  <c r="D118" i="6"/>
  <c r="E118" i="6" s="1"/>
  <c r="D122" i="6"/>
  <c r="E122" i="6" s="1"/>
  <c r="D126" i="6"/>
  <c r="E126" i="6" s="1"/>
  <c r="D130" i="6"/>
  <c r="E130" i="6" s="1"/>
  <c r="D134" i="6"/>
  <c r="E134" i="6" s="1"/>
  <c r="D138" i="6"/>
  <c r="E138" i="6" s="1"/>
  <c r="D142" i="6"/>
  <c r="E142" i="6" s="1"/>
  <c r="D146" i="6"/>
  <c r="E146" i="6" s="1"/>
  <c r="D150" i="6"/>
  <c r="E150" i="6" s="1"/>
  <c r="D154" i="6"/>
  <c r="E154" i="6" s="1"/>
  <c r="D158" i="6"/>
  <c r="E158" i="6" s="1"/>
  <c r="D162" i="6"/>
  <c r="E162" i="6" s="1"/>
  <c r="C18" i="6"/>
  <c r="B47" i="6"/>
  <c r="C47" i="6" s="1"/>
  <c r="B51" i="6"/>
  <c r="C51" i="6" s="1"/>
  <c r="B55" i="6"/>
  <c r="C55" i="6" s="1"/>
  <c r="B59" i="6"/>
  <c r="C59" i="6" s="1"/>
  <c r="B63" i="6"/>
  <c r="C63" i="6" s="1"/>
  <c r="B67" i="6"/>
  <c r="C67" i="6" s="1"/>
  <c r="B71" i="6"/>
  <c r="C71" i="6" s="1"/>
  <c r="B75" i="6"/>
  <c r="C75" i="6" s="1"/>
  <c r="B79" i="6"/>
  <c r="C79" i="6" s="1"/>
  <c r="B83" i="6"/>
  <c r="C83" i="6" s="1"/>
  <c r="B87" i="6"/>
  <c r="C87" i="6" s="1"/>
  <c r="B91" i="6"/>
  <c r="C91" i="6" s="1"/>
  <c r="B95" i="6"/>
  <c r="C95" i="6" s="1"/>
  <c r="B99" i="6"/>
  <c r="C99" i="6" s="1"/>
  <c r="B103" i="6"/>
  <c r="C103" i="6" s="1"/>
  <c r="B107" i="6"/>
  <c r="C107" i="6" s="1"/>
  <c r="B111" i="6"/>
  <c r="C111" i="6" s="1"/>
  <c r="B115" i="6"/>
  <c r="C115" i="6" s="1"/>
  <c r="B119" i="6"/>
  <c r="C119" i="6" s="1"/>
  <c r="B123" i="6"/>
  <c r="C123" i="6" s="1"/>
  <c r="B127" i="6"/>
  <c r="C127" i="6" s="1"/>
  <c r="B131" i="6"/>
  <c r="C131" i="6" s="1"/>
  <c r="B135" i="6"/>
  <c r="C135" i="6" s="1"/>
  <c r="B139" i="6"/>
  <c r="C139" i="6" s="1"/>
  <c r="B143" i="6"/>
  <c r="C143" i="6" s="1"/>
  <c r="B147" i="6"/>
  <c r="C147" i="6" s="1"/>
  <c r="B151" i="6"/>
  <c r="C151" i="6" s="1"/>
  <c r="B155" i="6"/>
  <c r="C155" i="6" s="1"/>
  <c r="B159" i="6"/>
  <c r="C159" i="6" s="1"/>
  <c r="B163" i="6"/>
  <c r="C163" i="6" s="1"/>
  <c r="D47" i="6"/>
  <c r="E47" i="6" s="1"/>
  <c r="D51" i="6"/>
  <c r="E51" i="6" s="1"/>
  <c r="D55" i="6"/>
  <c r="E55" i="6" s="1"/>
  <c r="D59" i="6"/>
  <c r="E59" i="6" s="1"/>
  <c r="D63" i="6"/>
  <c r="E63" i="6" s="1"/>
  <c r="D67" i="6"/>
  <c r="E67" i="6" s="1"/>
  <c r="D71" i="6"/>
  <c r="E71" i="6" s="1"/>
  <c r="D75" i="6"/>
  <c r="E75" i="6" s="1"/>
  <c r="D79" i="6"/>
  <c r="E79" i="6" s="1"/>
  <c r="D83" i="6"/>
  <c r="E83" i="6" s="1"/>
  <c r="D87" i="6"/>
  <c r="E87" i="6" s="1"/>
  <c r="D91" i="6"/>
  <c r="E91" i="6" s="1"/>
  <c r="D95" i="6"/>
  <c r="E95" i="6" s="1"/>
  <c r="D99" i="6"/>
  <c r="E99" i="6" s="1"/>
  <c r="D103" i="6"/>
  <c r="E103" i="6" s="1"/>
  <c r="D107" i="6"/>
  <c r="E107" i="6" s="1"/>
  <c r="D111" i="6"/>
  <c r="E111" i="6" s="1"/>
  <c r="D115" i="6"/>
  <c r="E115" i="6" s="1"/>
  <c r="D119" i="6"/>
  <c r="E119" i="6" s="1"/>
  <c r="D123" i="6"/>
  <c r="E123" i="6" s="1"/>
  <c r="D127" i="6"/>
  <c r="E127" i="6" s="1"/>
  <c r="D131" i="6"/>
  <c r="E131" i="6" s="1"/>
  <c r="D135" i="6"/>
  <c r="E135" i="6" s="1"/>
  <c r="D139" i="6"/>
  <c r="E139" i="6" s="1"/>
  <c r="D143" i="6"/>
  <c r="E143" i="6" s="1"/>
  <c r="D147" i="6"/>
  <c r="E147" i="6" s="1"/>
  <c r="D151" i="6"/>
  <c r="E151" i="6" s="1"/>
  <c r="D155" i="6"/>
  <c r="E155" i="6" s="1"/>
  <c r="D159" i="6"/>
  <c r="E159" i="6" s="1"/>
  <c r="D163" i="6"/>
  <c r="E163" i="6" s="1"/>
  <c r="B31" i="6"/>
  <c r="C31" i="6"/>
  <c r="B44" i="6"/>
  <c r="C44" i="6" s="1"/>
  <c r="B48" i="6"/>
  <c r="C48" i="6" s="1"/>
  <c r="B52" i="6"/>
  <c r="C52" i="6" s="1"/>
  <c r="B56" i="6"/>
  <c r="C56" i="6" s="1"/>
  <c r="B60" i="6"/>
  <c r="C60" i="6" s="1"/>
  <c r="B64" i="6"/>
  <c r="C64" i="6" s="1"/>
  <c r="B68" i="6"/>
  <c r="C68" i="6" s="1"/>
  <c r="B72" i="6"/>
  <c r="C72" i="6" s="1"/>
  <c r="B76" i="6"/>
  <c r="C76" i="6" s="1"/>
  <c r="B80" i="6"/>
  <c r="C80" i="6" s="1"/>
  <c r="B84" i="6"/>
  <c r="C84" i="6" s="1"/>
  <c r="B88" i="6"/>
  <c r="C88" i="6" s="1"/>
  <c r="B92" i="6"/>
  <c r="C92" i="6" s="1"/>
  <c r="B96" i="6"/>
  <c r="C96" i="6" s="1"/>
  <c r="B100" i="6"/>
  <c r="C100" i="6" s="1"/>
  <c r="B104" i="6"/>
  <c r="C104" i="6" s="1"/>
  <c r="B108" i="6"/>
  <c r="C108" i="6" s="1"/>
  <c r="B112" i="6"/>
  <c r="C112" i="6" s="1"/>
  <c r="B116" i="6"/>
  <c r="C116" i="6" s="1"/>
  <c r="B120" i="6"/>
  <c r="C120" i="6" s="1"/>
  <c r="B124" i="6"/>
  <c r="C124" i="6" s="1"/>
  <c r="B128" i="6"/>
  <c r="C128" i="6" s="1"/>
  <c r="B132" i="6"/>
  <c r="C132" i="6" s="1"/>
  <c r="B136" i="6"/>
  <c r="C136" i="6" s="1"/>
  <c r="B140" i="6"/>
  <c r="C140" i="6" s="1"/>
  <c r="B144" i="6"/>
  <c r="C144" i="6" s="1"/>
  <c r="B148" i="6"/>
  <c r="C148" i="6" s="1"/>
  <c r="B152" i="6"/>
  <c r="C152" i="6" s="1"/>
  <c r="B156" i="6"/>
  <c r="C156" i="6" s="1"/>
  <c r="B160" i="6"/>
  <c r="C160" i="6" s="1"/>
  <c r="B164" i="6"/>
  <c r="C164" i="6" s="1"/>
  <c r="B32" i="6"/>
  <c r="C32" i="6"/>
  <c r="D44" i="6"/>
  <c r="E44" i="6" s="1"/>
  <c r="D48" i="6"/>
  <c r="E48" i="6" s="1"/>
  <c r="D52" i="6"/>
  <c r="E52" i="6" s="1"/>
  <c r="D56" i="6"/>
  <c r="E56" i="6" s="1"/>
  <c r="D60" i="6"/>
  <c r="E60" i="6" s="1"/>
  <c r="D64" i="6"/>
  <c r="E64" i="6" s="1"/>
  <c r="D68" i="6"/>
  <c r="E68" i="6" s="1"/>
  <c r="D72" i="6"/>
  <c r="E72" i="6" s="1"/>
  <c r="D76" i="6"/>
  <c r="E76" i="6" s="1"/>
  <c r="D80" i="6"/>
  <c r="E80" i="6" s="1"/>
  <c r="D84" i="6"/>
  <c r="E84" i="6" s="1"/>
  <c r="D88" i="6"/>
  <c r="E88" i="6" s="1"/>
  <c r="D92" i="6"/>
  <c r="E92" i="6" s="1"/>
  <c r="D96" i="6"/>
  <c r="E96" i="6" s="1"/>
  <c r="D100" i="6"/>
  <c r="E100" i="6" s="1"/>
  <c r="D104" i="6"/>
  <c r="E104" i="6" s="1"/>
  <c r="D108" i="6"/>
  <c r="E108" i="6" s="1"/>
  <c r="D112" i="6"/>
  <c r="E112" i="6" s="1"/>
  <c r="D116" i="6"/>
  <c r="E116" i="6" s="1"/>
  <c r="D120" i="6"/>
  <c r="E120" i="6" s="1"/>
  <c r="D124" i="6"/>
  <c r="E124" i="6" s="1"/>
  <c r="D128" i="6"/>
  <c r="E128" i="6" s="1"/>
  <c r="D132" i="6"/>
  <c r="E132" i="6" s="1"/>
  <c r="D136" i="6"/>
  <c r="E136" i="6" s="1"/>
  <c r="D140" i="6"/>
  <c r="E140" i="6" s="1"/>
  <c r="D144" i="6"/>
  <c r="E144" i="6" s="1"/>
  <c r="D148" i="6"/>
  <c r="E148" i="6" s="1"/>
  <c r="D152" i="6"/>
  <c r="E152" i="6" s="1"/>
  <c r="D156" i="6"/>
  <c r="E156" i="6" s="1"/>
  <c r="D160" i="6"/>
  <c r="E160" i="6" s="1"/>
  <c r="F55" i="4" l="1"/>
  <c r="F56" i="4" s="1"/>
  <c r="F57" i="4" s="1"/>
  <c r="F58" i="4" s="1"/>
  <c r="F59" i="4" s="1"/>
  <c r="F60" i="4" s="1"/>
  <c r="F61" i="4" s="1"/>
  <c r="D53" i="4"/>
  <c r="C39" i="5"/>
  <c r="F62" i="4"/>
  <c r="F63" i="4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Q121" i="4" s="1"/>
  <c r="D37" i="5"/>
  <c r="J37" i="5"/>
  <c r="K37" i="5" s="1"/>
  <c r="E112" i="5"/>
  <c r="E104" i="5"/>
  <c r="E96" i="5"/>
  <c r="E88" i="5"/>
  <c r="E80" i="5"/>
  <c r="R121" i="4"/>
  <c r="D112" i="5"/>
  <c r="D104" i="5"/>
  <c r="D96" i="5"/>
  <c r="D88" i="5"/>
  <c r="D80" i="5"/>
  <c r="D107" i="5"/>
  <c r="D99" i="5"/>
  <c r="D91" i="5"/>
  <c r="D83" i="5"/>
  <c r="D75" i="5"/>
  <c r="B55" i="5"/>
  <c r="C55" i="5" s="1"/>
  <c r="P120" i="4"/>
  <c r="Q119" i="4"/>
  <c r="R118" i="4"/>
  <c r="P104" i="4"/>
  <c r="Q103" i="4"/>
  <c r="E110" i="5"/>
  <c r="D113" i="5"/>
  <c r="D105" i="5"/>
  <c r="D97" i="5"/>
  <c r="D89" i="5"/>
  <c r="D81" i="5"/>
  <c r="D108" i="5"/>
  <c r="D100" i="5"/>
  <c r="D92" i="5"/>
  <c r="D84" i="5"/>
  <c r="D76" i="5"/>
  <c r="B53" i="5"/>
  <c r="C53" i="5" s="1"/>
  <c r="E111" i="5"/>
  <c r="D111" i="5"/>
  <c r="D103" i="5"/>
  <c r="D95" i="5"/>
  <c r="D87" i="5"/>
  <c r="D79" i="5"/>
  <c r="D106" i="5"/>
  <c r="D98" i="5"/>
  <c r="D90" i="5"/>
  <c r="D82" i="5"/>
  <c r="D74" i="5"/>
  <c r="E109" i="5"/>
  <c r="D109" i="5"/>
  <c r="D101" i="5"/>
  <c r="D93" i="5"/>
  <c r="D85" i="5"/>
  <c r="D77" i="5"/>
  <c r="E85" i="5"/>
  <c r="E82" i="5"/>
  <c r="Q108" i="4"/>
  <c r="AA83" i="4"/>
  <c r="AF78" i="4"/>
  <c r="P78" i="4"/>
  <c r="AG77" i="4"/>
  <c r="Q77" i="4"/>
  <c r="R76" i="4"/>
  <c r="X70" i="4"/>
  <c r="Y69" i="4"/>
  <c r="Z68" i="4"/>
  <c r="AA67" i="4"/>
  <c r="AC65" i="4"/>
  <c r="E94" i="5"/>
  <c r="E91" i="5"/>
  <c r="P108" i="4"/>
  <c r="P93" i="4"/>
  <c r="Q92" i="4"/>
  <c r="R91" i="4"/>
  <c r="AA82" i="4"/>
  <c r="AF77" i="4"/>
  <c r="AG76" i="4"/>
  <c r="R75" i="4"/>
  <c r="X69" i="4"/>
  <c r="Y68" i="4"/>
  <c r="Z67" i="4"/>
  <c r="AA66" i="4"/>
  <c r="AC64" i="4"/>
  <c r="D94" i="5"/>
  <c r="P110" i="4"/>
  <c r="P109" i="4"/>
  <c r="P92" i="4"/>
  <c r="Q91" i="4"/>
  <c r="AA81" i="4"/>
  <c r="AF76" i="4"/>
  <c r="P76" i="4"/>
  <c r="AG75" i="4"/>
  <c r="Q75" i="4"/>
  <c r="R74" i="4"/>
  <c r="X68" i="4"/>
  <c r="Y67" i="4"/>
  <c r="Z66" i="4"/>
  <c r="AA65" i="4"/>
  <c r="AC63" i="4"/>
  <c r="AD62" i="4"/>
  <c r="AE61" i="4"/>
  <c r="AF60" i="4"/>
  <c r="P60" i="4"/>
  <c r="AG59" i="4"/>
  <c r="Q59" i="4"/>
  <c r="R58" i="4"/>
  <c r="E97" i="5"/>
  <c r="E78" i="5"/>
  <c r="E75" i="5"/>
  <c r="P117" i="4"/>
  <c r="R112" i="4"/>
  <c r="D110" i="5"/>
  <c r="E103" i="5"/>
  <c r="E100" i="5"/>
  <c r="D78" i="5"/>
  <c r="Q112" i="4"/>
  <c r="P90" i="4"/>
  <c r="Q89" i="4"/>
  <c r="Z80" i="4"/>
  <c r="AA79" i="4"/>
  <c r="AE75" i="4"/>
  <c r="AF74" i="4"/>
  <c r="P74" i="4"/>
  <c r="AG73" i="4"/>
  <c r="Q73" i="4"/>
  <c r="R72" i="4"/>
  <c r="X66" i="4"/>
  <c r="Y65" i="4"/>
  <c r="Z64" i="4"/>
  <c r="AA63" i="4"/>
  <c r="E87" i="5"/>
  <c r="E84" i="5"/>
  <c r="E102" i="5"/>
  <c r="E99" i="5"/>
  <c r="D102" i="5"/>
  <c r="E77" i="5"/>
  <c r="E74" i="5"/>
  <c r="B54" i="5"/>
  <c r="C54" i="5" s="1"/>
  <c r="Q118" i="4"/>
  <c r="R103" i="4"/>
  <c r="R86" i="4"/>
  <c r="AA84" i="4"/>
  <c r="Z77" i="4"/>
  <c r="AF72" i="4"/>
  <c r="AA71" i="4"/>
  <c r="AG69" i="4"/>
  <c r="AA68" i="4"/>
  <c r="AE65" i="4"/>
  <c r="AA64" i="4"/>
  <c r="X63" i="4"/>
  <c r="W62" i="4"/>
  <c r="R56" i="4"/>
  <c r="Q55" i="4"/>
  <c r="AG54" i="4"/>
  <c r="Q54" i="4"/>
  <c r="R53" i="4"/>
  <c r="E93" i="5"/>
  <c r="Q86" i="4"/>
  <c r="R80" i="4"/>
  <c r="AG79" i="4"/>
  <c r="AF75" i="4"/>
  <c r="AA74" i="4"/>
  <c r="R73" i="4"/>
  <c r="AE72" i="4"/>
  <c r="Z71" i="4"/>
  <c r="AF69" i="4"/>
  <c r="R67" i="4"/>
  <c r="AG66" i="4"/>
  <c r="AD65" i="4"/>
  <c r="Y64" i="4"/>
  <c r="W63" i="4"/>
  <c r="R57" i="4"/>
  <c r="Q56" i="4"/>
  <c r="AG55" i="4"/>
  <c r="P55" i="4"/>
  <c r="AF54" i="4"/>
  <c r="P54" i="4"/>
  <c r="AG53" i="4"/>
  <c r="Q53" i="4"/>
  <c r="R116" i="4"/>
  <c r="R104" i="4"/>
  <c r="Q94" i="4"/>
  <c r="P86" i="4"/>
  <c r="Q80" i="4"/>
  <c r="AF79" i="4"/>
  <c r="Z74" i="4"/>
  <c r="Y71" i="4"/>
  <c r="AE69" i="4"/>
  <c r="Q67" i="4"/>
  <c r="AF66" i="4"/>
  <c r="X64" i="4"/>
  <c r="R59" i="4"/>
  <c r="Q58" i="4"/>
  <c r="Q57" i="4"/>
  <c r="AG56" i="4"/>
  <c r="P56" i="4"/>
  <c r="AF55" i="4"/>
  <c r="AE54" i="4"/>
  <c r="AF53" i="4"/>
  <c r="P53" i="4"/>
  <c r="E98" i="5"/>
  <c r="R87" i="4"/>
  <c r="AA85" i="4"/>
  <c r="R82" i="4"/>
  <c r="Q81" i="4"/>
  <c r="AF80" i="4"/>
  <c r="Z78" i="4"/>
  <c r="P70" i="4"/>
  <c r="AD66" i="4"/>
  <c r="X65" i="4"/>
  <c r="R61" i="4"/>
  <c r="Q60" i="4"/>
  <c r="AF59" i="4"/>
  <c r="AF58" i="4"/>
  <c r="AF57" i="4"/>
  <c r="AE56" i="4"/>
  <c r="AD55" i="4"/>
  <c r="AC54" i="4"/>
  <c r="AD53" i="4"/>
  <c r="N53" i="4"/>
  <c r="R114" i="4"/>
  <c r="R105" i="4"/>
  <c r="R98" i="4"/>
  <c r="R97" i="4"/>
  <c r="Q96" i="4"/>
  <c r="P95" i="4"/>
  <c r="Q87" i="4"/>
  <c r="AG81" i="4"/>
  <c r="AA75" i="4"/>
  <c r="AA72" i="4"/>
  <c r="AG70" i="4"/>
  <c r="AG67" i="4"/>
  <c r="W65" i="4"/>
  <c r="R62" i="4"/>
  <c r="Q61" i="4"/>
  <c r="AG60" i="4"/>
  <c r="AE59" i="4"/>
  <c r="AE58" i="4"/>
  <c r="AE57" i="4"/>
  <c r="AD56" i="4"/>
  <c r="AC55" i="4"/>
  <c r="AB54" i="4"/>
  <c r="AC53" i="4"/>
  <c r="M53" i="4"/>
  <c r="C102" i="2"/>
  <c r="D102" i="2" s="1"/>
  <c r="C86" i="2"/>
  <c r="D86" i="2" s="1"/>
  <c r="C70" i="2"/>
  <c r="D70" i="2" s="1"/>
  <c r="E108" i="5"/>
  <c r="E92" i="5"/>
  <c r="E86" i="5"/>
  <c r="E81" i="5"/>
  <c r="Q114" i="4"/>
  <c r="Q105" i="4"/>
  <c r="R99" i="4"/>
  <c r="P87" i="4"/>
  <c r="R83" i="4"/>
  <c r="AG82" i="4"/>
  <c r="P82" i="4"/>
  <c r="Z75" i="4"/>
  <c r="AF73" i="4"/>
  <c r="Z72" i="4"/>
  <c r="AF70" i="4"/>
  <c r="AA69" i="4"/>
  <c r="AF67" i="4"/>
  <c r="R63" i="4"/>
  <c r="Q62" i="4"/>
  <c r="AG61" i="4"/>
  <c r="P61" i="4"/>
  <c r="AE60" i="4"/>
  <c r="AD59" i="4"/>
  <c r="AD58" i="4"/>
  <c r="AD57" i="4"/>
  <c r="AC56" i="4"/>
  <c r="AB55" i="4"/>
  <c r="AA54" i="4"/>
  <c r="AB53" i="4"/>
  <c r="D86" i="5"/>
  <c r="E76" i="5"/>
  <c r="Q99" i="4"/>
  <c r="P98" i="4"/>
  <c r="R100" i="4"/>
  <c r="P99" i="4"/>
  <c r="P91" i="4"/>
  <c r="AG83" i="4"/>
  <c r="P83" i="4"/>
  <c r="R77" i="4"/>
  <c r="Q74" i="4"/>
  <c r="Q71" i="4"/>
  <c r="AD70" i="4"/>
  <c r="P68" i="4"/>
  <c r="AD67" i="4"/>
  <c r="AF62" i="4"/>
  <c r="AD61" i="4"/>
  <c r="AC60" i="4"/>
  <c r="AB59" i="4"/>
  <c r="AB58" i="4"/>
  <c r="AB57" i="4"/>
  <c r="AA56" i="4"/>
  <c r="Z55" i="4"/>
  <c r="Y54" i="4"/>
  <c r="Z53" i="4"/>
  <c r="E107" i="5"/>
  <c r="P119" i="4"/>
  <c r="Q106" i="4"/>
  <c r="AA80" i="4"/>
  <c r="AG63" i="4"/>
  <c r="AE62" i="4"/>
  <c r="AC61" i="4"/>
  <c r="AB60" i="4"/>
  <c r="AA59" i="4"/>
  <c r="AA58" i="4"/>
  <c r="AA57" i="4"/>
  <c r="Z56" i="4"/>
  <c r="Y55" i="4"/>
  <c r="X54" i="4"/>
  <c r="Y53" i="4"/>
  <c r="E101" i="5"/>
  <c r="E106" i="5"/>
  <c r="E90" i="5"/>
  <c r="E113" i="5"/>
  <c r="E95" i="5"/>
  <c r="R115" i="4"/>
  <c r="R107" i="4"/>
  <c r="Q104" i="4"/>
  <c r="Z76" i="4"/>
  <c r="AE71" i="4"/>
  <c r="AE70" i="4"/>
  <c r="Z65" i="4"/>
  <c r="V60" i="4"/>
  <c r="X59" i="4"/>
  <c r="AG58" i="4"/>
  <c r="V54" i="4"/>
  <c r="AE53" i="4"/>
  <c r="AG84" i="4"/>
  <c r="Z79" i="4"/>
  <c r="AG64" i="4"/>
  <c r="R60" i="4"/>
  <c r="W59" i="4"/>
  <c r="AC58" i="4"/>
  <c r="U54" i="4"/>
  <c r="AA53" i="4"/>
  <c r="Q101" i="4"/>
  <c r="P80" i="4"/>
  <c r="AG78" i="4"/>
  <c r="AD69" i="4"/>
  <c r="AF64" i="4"/>
  <c r="AF63" i="4"/>
  <c r="V59" i="4"/>
  <c r="Z58" i="4"/>
  <c r="R55" i="4"/>
  <c r="T54" i="4"/>
  <c r="X53" i="4"/>
  <c r="E83" i="5"/>
  <c r="P101" i="4"/>
  <c r="R89" i="4"/>
  <c r="Q83" i="4"/>
  <c r="Y75" i="4"/>
  <c r="AA70" i="4"/>
  <c r="Q66" i="4"/>
  <c r="R65" i="4"/>
  <c r="AE64" i="4"/>
  <c r="AE63" i="4"/>
  <c r="Y58" i="4"/>
  <c r="S54" i="4"/>
  <c r="W53" i="4"/>
  <c r="C95" i="2"/>
  <c r="AC62" i="4"/>
  <c r="W58" i="4"/>
  <c r="Q107" i="4"/>
  <c r="P89" i="4"/>
  <c r="Q72" i="4"/>
  <c r="Z70" i="4"/>
  <c r="AG68" i="4"/>
  <c r="AD64" i="4"/>
  <c r="AD63" i="4"/>
  <c r="AG62" i="4"/>
  <c r="P59" i="4"/>
  <c r="X58" i="4"/>
  <c r="AG57" i="4"/>
  <c r="R54" i="4"/>
  <c r="V53" i="4"/>
  <c r="C93" i="2"/>
  <c r="D93" i="2" s="1"/>
  <c r="C78" i="2"/>
  <c r="D78" i="2" s="1"/>
  <c r="C63" i="2"/>
  <c r="D63" i="2" s="1"/>
  <c r="AG74" i="4"/>
  <c r="Y70" i="4"/>
  <c r="Z69" i="4"/>
  <c r="AF68" i="4"/>
  <c r="P65" i="4"/>
  <c r="AC57" i="4"/>
  <c r="U53" i="4"/>
  <c r="C76" i="2"/>
  <c r="D76" i="2" s="1"/>
  <c r="D74" i="2"/>
  <c r="E105" i="5"/>
  <c r="R85" i="4"/>
  <c r="AG80" i="4"/>
  <c r="AA78" i="4"/>
  <c r="AD68" i="4"/>
  <c r="Y63" i="4"/>
  <c r="AA62" i="4"/>
  <c r="AF61" i="4"/>
  <c r="Y57" i="4"/>
  <c r="S53" i="4"/>
  <c r="C104" i="2"/>
  <c r="D104" i="2" s="1"/>
  <c r="D100" i="2"/>
  <c r="C87" i="2"/>
  <c r="D87" i="2" s="1"/>
  <c r="C72" i="2"/>
  <c r="D72" i="2" s="1"/>
  <c r="AE73" i="4"/>
  <c r="E79" i="5"/>
  <c r="X67" i="4"/>
  <c r="AE66" i="4"/>
  <c r="P64" i="4"/>
  <c r="Y62" i="4"/>
  <c r="AA61" i="4"/>
  <c r="W57" i="4"/>
  <c r="AB56" i="4"/>
  <c r="C98" i="2"/>
  <c r="D98" i="2" s="1"/>
  <c r="C83" i="2"/>
  <c r="D83" i="2" s="1"/>
  <c r="D81" i="2"/>
  <c r="C66" i="2"/>
  <c r="D66" i="2" s="1"/>
  <c r="B27" i="2"/>
  <c r="C64" i="2"/>
  <c r="D64" i="2" s="1"/>
  <c r="AG85" i="4"/>
  <c r="Y74" i="4"/>
  <c r="Q63" i="4"/>
  <c r="X62" i="4"/>
  <c r="Z61" i="4"/>
  <c r="AD60" i="4"/>
  <c r="V57" i="4"/>
  <c r="Y56" i="4"/>
  <c r="C96" i="2"/>
  <c r="D96" i="2" s="1"/>
  <c r="C81" i="2"/>
  <c r="E89" i="5"/>
  <c r="R81" i="4"/>
  <c r="AG72" i="4"/>
  <c r="Y61" i="4"/>
  <c r="AA60" i="4"/>
  <c r="X56" i="4"/>
  <c r="AE55" i="4"/>
  <c r="C79" i="2"/>
  <c r="D79" i="2" s="1"/>
  <c r="W60" i="4"/>
  <c r="Z57" i="4"/>
  <c r="Z54" i="4"/>
  <c r="C69" i="2"/>
  <c r="D69" i="2" s="1"/>
  <c r="C84" i="2"/>
  <c r="D84" i="2" s="1"/>
  <c r="Q78" i="4"/>
  <c r="C68" i="2"/>
  <c r="D68" i="2" s="1"/>
  <c r="AF56" i="4"/>
  <c r="C80" i="2"/>
  <c r="D80" i="2" s="1"/>
  <c r="W56" i="4"/>
  <c r="X57" i="4"/>
  <c r="W54" i="4"/>
  <c r="C103" i="2"/>
  <c r="D103" i="2" s="1"/>
  <c r="C75" i="2"/>
  <c r="D75" i="2" s="1"/>
  <c r="C99" i="2"/>
  <c r="D99" i="2" s="1"/>
  <c r="AE74" i="4"/>
  <c r="C101" i="2"/>
  <c r="D101" i="2" s="1"/>
  <c r="D95" i="2"/>
  <c r="V56" i="4"/>
  <c r="C94" i="2"/>
  <c r="D94" i="2" s="1"/>
  <c r="C91" i="2"/>
  <c r="D91" i="2" s="1"/>
  <c r="P57" i="4"/>
  <c r="R78" i="4"/>
  <c r="P67" i="4"/>
  <c r="X61" i="4"/>
  <c r="C106" i="2"/>
  <c r="D106" i="2" s="1"/>
  <c r="W61" i="4"/>
  <c r="V58" i="4"/>
  <c r="C90" i="2"/>
  <c r="D90" i="2" s="1"/>
  <c r="T53" i="4"/>
  <c r="C89" i="2"/>
  <c r="D89" i="2" s="1"/>
  <c r="Z59" i="4"/>
  <c r="Q84" i="4"/>
  <c r="Y72" i="4"/>
  <c r="P62" i="4"/>
  <c r="Y59" i="4"/>
  <c r="D73" i="2"/>
  <c r="C67" i="2"/>
  <c r="D67" i="2" s="1"/>
  <c r="P84" i="4"/>
  <c r="AA73" i="4"/>
  <c r="AE67" i="4"/>
  <c r="B28" i="2"/>
  <c r="Z73" i="4"/>
  <c r="C85" i="2"/>
  <c r="D85" i="2" s="1"/>
  <c r="AA77" i="4"/>
  <c r="Y73" i="4"/>
  <c r="AE68" i="4"/>
  <c r="Y60" i="4"/>
  <c r="C82" i="2"/>
  <c r="D82" i="2" s="1"/>
  <c r="AD54" i="4"/>
  <c r="C97" i="2"/>
  <c r="D97" i="2" s="1"/>
  <c r="C88" i="2"/>
  <c r="D88" i="2" s="1"/>
  <c r="W64" i="4"/>
  <c r="P58" i="4"/>
  <c r="AA55" i="4"/>
  <c r="C74" i="2"/>
  <c r="C65" i="2"/>
  <c r="D65" i="2" s="1"/>
  <c r="AG71" i="4"/>
  <c r="AG65" i="4"/>
  <c r="X55" i="4"/>
  <c r="C71" i="2"/>
  <c r="D71" i="2" s="1"/>
  <c r="C77" i="2"/>
  <c r="D77" i="2" s="1"/>
  <c r="Z60" i="4"/>
  <c r="Q113" i="4"/>
  <c r="AF71" i="4"/>
  <c r="AF65" i="4"/>
  <c r="W55" i="4"/>
  <c r="C62" i="2"/>
  <c r="G62" i="2" s="1"/>
  <c r="O53" i="4"/>
  <c r="Y66" i="4"/>
  <c r="C73" i="2"/>
  <c r="X60" i="4"/>
  <c r="Q102" i="4"/>
  <c r="Q70" i="4"/>
  <c r="Z62" i="4"/>
  <c r="V55" i="4"/>
  <c r="C105" i="2"/>
  <c r="D105" i="2" s="1"/>
  <c r="AC59" i="4"/>
  <c r="C92" i="2"/>
  <c r="D92" i="2" s="1"/>
  <c r="AA76" i="4"/>
  <c r="Z63" i="4"/>
  <c r="C100" i="2"/>
  <c r="A33" i="6"/>
  <c r="C20" i="6"/>
  <c r="C21" i="6" s="1"/>
  <c r="B20" i="6"/>
  <c r="B21" i="6" s="1"/>
  <c r="C35" i="6"/>
  <c r="B35" i="6"/>
  <c r="C38" i="6"/>
  <c r="C39" i="6" s="1"/>
  <c r="B38" i="6"/>
  <c r="B39" i="6" s="1"/>
  <c r="H55" i="4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U121" i="4" s="1"/>
  <c r="Q109" i="4" l="1"/>
  <c r="P113" i="4"/>
  <c r="Q85" i="4"/>
  <c r="R101" i="4"/>
  <c r="P105" i="4"/>
  <c r="P116" i="4"/>
  <c r="R70" i="4"/>
  <c r="R94" i="4"/>
  <c r="Q117" i="4"/>
  <c r="Q110" i="4"/>
  <c r="R92" i="4"/>
  <c r="P69" i="4"/>
  <c r="P115" i="4"/>
  <c r="Q115" i="4"/>
  <c r="R84" i="4"/>
  <c r="P63" i="4"/>
  <c r="P114" i="4"/>
  <c r="R68" i="4"/>
  <c r="Q116" i="4"/>
  <c r="P103" i="4"/>
  <c r="R117" i="4"/>
  <c r="Q93" i="4"/>
  <c r="R120" i="4"/>
  <c r="R111" i="4"/>
  <c r="P121" i="4"/>
  <c r="Q88" i="4"/>
  <c r="R64" i="4"/>
  <c r="P73" i="4"/>
  <c r="R108" i="4"/>
  <c r="Q120" i="4"/>
  <c r="P94" i="4"/>
  <c r="R110" i="4"/>
  <c r="R93" i="4"/>
  <c r="R113" i="4"/>
  <c r="R95" i="4"/>
  <c r="Q69" i="4"/>
  <c r="P106" i="4"/>
  <c r="Q100" i="4"/>
  <c r="P118" i="4"/>
  <c r="Q79" i="4"/>
  <c r="P111" i="4"/>
  <c r="P107" i="4"/>
  <c r="Q111" i="4"/>
  <c r="R106" i="4"/>
  <c r="P81" i="4"/>
  <c r="Q90" i="4"/>
  <c r="Q76" i="4"/>
  <c r="R79" i="4"/>
  <c r="Q65" i="4"/>
  <c r="P88" i="4"/>
  <c r="P71" i="4"/>
  <c r="R119" i="4"/>
  <c r="Q97" i="4"/>
  <c r="Q95" i="4"/>
  <c r="R109" i="4"/>
  <c r="P112" i="4"/>
  <c r="P102" i="4"/>
  <c r="R69" i="4"/>
  <c r="P75" i="4"/>
  <c r="Q64" i="4"/>
  <c r="P96" i="4"/>
  <c r="Q68" i="4"/>
  <c r="P85" i="4"/>
  <c r="R71" i="4"/>
  <c r="P72" i="4"/>
  <c r="P66" i="4"/>
  <c r="R66" i="4"/>
  <c r="P100" i="4"/>
  <c r="P97" i="4"/>
  <c r="Q98" i="4"/>
  <c r="Q82" i="4"/>
  <c r="R96" i="4"/>
  <c r="P79" i="4"/>
  <c r="R88" i="4"/>
  <c r="R90" i="4"/>
  <c r="P77" i="4"/>
  <c r="R102" i="4"/>
  <c r="D54" i="4"/>
  <c r="I53" i="4"/>
  <c r="B75" i="5" s="1"/>
  <c r="E103" i="2"/>
  <c r="F103" i="2"/>
  <c r="E97" i="2"/>
  <c r="F97" i="2"/>
  <c r="F63" i="2"/>
  <c r="E63" i="2"/>
  <c r="F88" i="2"/>
  <c r="E88" i="2"/>
  <c r="E83" i="2"/>
  <c r="F83" i="2"/>
  <c r="F87" i="2"/>
  <c r="E87" i="2"/>
  <c r="F71" i="2"/>
  <c r="E71" i="2"/>
  <c r="F70" i="2"/>
  <c r="E70" i="2"/>
  <c r="F75" i="2"/>
  <c r="E75" i="2"/>
  <c r="F89" i="2"/>
  <c r="E89" i="2"/>
  <c r="F105" i="2"/>
  <c r="E105" i="2"/>
  <c r="F72" i="2"/>
  <c r="E72" i="2"/>
  <c r="E68" i="2"/>
  <c r="F68" i="2"/>
  <c r="F94" i="2"/>
  <c r="E94" i="2"/>
  <c r="E69" i="2"/>
  <c r="F69" i="2"/>
  <c r="F99" i="2"/>
  <c r="E99" i="2"/>
  <c r="E79" i="2"/>
  <c r="F79" i="2"/>
  <c r="E66" i="2"/>
  <c r="F66" i="2"/>
  <c r="F78" i="2"/>
  <c r="E78" i="2"/>
  <c r="F96" i="2"/>
  <c r="E96" i="2"/>
  <c r="F90" i="2"/>
  <c r="E90" i="2"/>
  <c r="F101" i="2"/>
  <c r="E101" i="2"/>
  <c r="U68" i="4"/>
  <c r="T81" i="4"/>
  <c r="J109" i="5"/>
  <c r="I109" i="5"/>
  <c r="F92" i="2"/>
  <c r="E92" i="2"/>
  <c r="T62" i="4"/>
  <c r="T73" i="4"/>
  <c r="J110" i="5"/>
  <c r="I110" i="5"/>
  <c r="I101" i="5"/>
  <c r="J101" i="5"/>
  <c r="S74" i="4"/>
  <c r="U89" i="4"/>
  <c r="U112" i="4"/>
  <c r="T100" i="4"/>
  <c r="S93" i="4"/>
  <c r="T67" i="4"/>
  <c r="S82" i="4"/>
  <c r="F90" i="5"/>
  <c r="G90" i="5"/>
  <c r="J111" i="5"/>
  <c r="I111" i="5"/>
  <c r="S78" i="4"/>
  <c r="T71" i="4"/>
  <c r="U67" i="4"/>
  <c r="C25" i="4"/>
  <c r="J95" i="5"/>
  <c r="I95" i="5"/>
  <c r="T92" i="4"/>
  <c r="T65" i="4"/>
  <c r="U100" i="4"/>
  <c r="S63" i="4"/>
  <c r="J98" i="5"/>
  <c r="I98" i="5"/>
  <c r="S95" i="4"/>
  <c r="U96" i="4"/>
  <c r="T58" i="4"/>
  <c r="U76" i="4"/>
  <c r="S108" i="4"/>
  <c r="U114" i="4"/>
  <c r="I97" i="5"/>
  <c r="J97" i="5"/>
  <c r="T88" i="4"/>
  <c r="T74" i="4"/>
  <c r="K85" i="5"/>
  <c r="I85" i="5"/>
  <c r="J85" i="5"/>
  <c r="U107" i="4"/>
  <c r="G76" i="5"/>
  <c r="F76" i="5"/>
  <c r="U117" i="4"/>
  <c r="I112" i="5"/>
  <c r="J112" i="5"/>
  <c r="F80" i="2"/>
  <c r="E80" i="2"/>
  <c r="E67" i="2"/>
  <c r="F67" i="2"/>
  <c r="I62" i="2"/>
  <c r="G63" i="2"/>
  <c r="S114" i="4"/>
  <c r="G102" i="5"/>
  <c r="F102" i="5"/>
  <c r="I94" i="5"/>
  <c r="J94" i="5"/>
  <c r="S110" i="4"/>
  <c r="T69" i="4"/>
  <c r="F85" i="2"/>
  <c r="E85" i="2"/>
  <c r="T85" i="4"/>
  <c r="U86" i="4"/>
  <c r="S65" i="4"/>
  <c r="S84" i="4"/>
  <c r="U82" i="4"/>
  <c r="G87" i="5"/>
  <c r="F87" i="5"/>
  <c r="T79" i="4"/>
  <c r="U95" i="4"/>
  <c r="F75" i="5"/>
  <c r="G75" i="5"/>
  <c r="S64" i="4"/>
  <c r="U56" i="4"/>
  <c r="E100" i="2"/>
  <c r="F100" i="2"/>
  <c r="C28" i="4"/>
  <c r="S88" i="4"/>
  <c r="T82" i="4"/>
  <c r="T90" i="4"/>
  <c r="C27" i="6"/>
  <c r="C23" i="6"/>
  <c r="C24" i="6" s="1"/>
  <c r="S55" i="4"/>
  <c r="G111" i="5"/>
  <c r="F111" i="5"/>
  <c r="U120" i="4"/>
  <c r="G106" i="5"/>
  <c r="F106" i="5"/>
  <c r="S56" i="4"/>
  <c r="F73" i="2"/>
  <c r="E73" i="2"/>
  <c r="T93" i="4"/>
  <c r="U74" i="4"/>
  <c r="U79" i="4"/>
  <c r="T87" i="4"/>
  <c r="U58" i="4"/>
  <c r="U65" i="4"/>
  <c r="J113" i="5"/>
  <c r="I113" i="5"/>
  <c r="J107" i="5"/>
  <c r="I107" i="5"/>
  <c r="S106" i="4"/>
  <c r="D26" i="4"/>
  <c r="U64" i="4"/>
  <c r="T96" i="4"/>
  <c r="T59" i="4"/>
  <c r="U85" i="4"/>
  <c r="U55" i="4"/>
  <c r="S89" i="4"/>
  <c r="S75" i="4"/>
  <c r="U119" i="4"/>
  <c r="T108" i="4"/>
  <c r="G84" i="5"/>
  <c r="H39" i="5" s="1"/>
  <c r="F84" i="5"/>
  <c r="H38" i="5" s="1"/>
  <c r="T118" i="4"/>
  <c r="F65" i="2"/>
  <c r="E65" i="2"/>
  <c r="C27" i="4"/>
  <c r="I92" i="5"/>
  <c r="J92" i="5"/>
  <c r="J93" i="5"/>
  <c r="I93" i="5"/>
  <c r="F113" i="5"/>
  <c r="G113" i="5"/>
  <c r="E84" i="2"/>
  <c r="F84" i="2"/>
  <c r="I108" i="5"/>
  <c r="J108" i="5"/>
  <c r="S94" i="4"/>
  <c r="F104" i="2"/>
  <c r="E104" i="2"/>
  <c r="U91" i="4"/>
  <c r="T109" i="4"/>
  <c r="S81" i="4"/>
  <c r="E76" i="2"/>
  <c r="F76" i="2"/>
  <c r="U101" i="4"/>
  <c r="D30" i="4"/>
  <c r="I80" i="5"/>
  <c r="J80" i="5"/>
  <c r="U59" i="4"/>
  <c r="S91" i="4"/>
  <c r="D27" i="4"/>
  <c r="I82" i="5"/>
  <c r="J82" i="5"/>
  <c r="D40" i="4"/>
  <c r="T103" i="4"/>
  <c r="T78" i="4"/>
  <c r="U90" i="4"/>
  <c r="U93" i="4"/>
  <c r="U63" i="4"/>
  <c r="T75" i="4"/>
  <c r="S103" i="4"/>
  <c r="F106" i="2"/>
  <c r="E106" i="2"/>
  <c r="S66" i="4"/>
  <c r="T66" i="4"/>
  <c r="S92" i="4"/>
  <c r="C29" i="4"/>
  <c r="T68" i="4"/>
  <c r="S97" i="4"/>
  <c r="D29" i="4"/>
  <c r="U97" i="4"/>
  <c r="U60" i="4"/>
  <c r="T86" i="4"/>
  <c r="U118" i="4"/>
  <c r="T56" i="4"/>
  <c r="F94" i="5"/>
  <c r="I38" i="5" s="1"/>
  <c r="G94" i="5"/>
  <c r="I39" i="5" s="1"/>
  <c r="T120" i="4"/>
  <c r="S109" i="4"/>
  <c r="G92" i="5"/>
  <c r="F92" i="5"/>
  <c r="S119" i="4"/>
  <c r="F86" i="2"/>
  <c r="E86" i="2"/>
  <c r="C26" i="4"/>
  <c r="F112" i="5"/>
  <c r="G112" i="5"/>
  <c r="S61" i="4"/>
  <c r="T91" i="4"/>
  <c r="T121" i="4"/>
  <c r="T111" i="4"/>
  <c r="S120" i="4"/>
  <c r="T55" i="4"/>
  <c r="T113" i="4"/>
  <c r="G95" i="5"/>
  <c r="F95" i="5"/>
  <c r="I105" i="5"/>
  <c r="J105" i="5"/>
  <c r="I90" i="5"/>
  <c r="J90" i="5"/>
  <c r="J102" i="5"/>
  <c r="I102" i="5"/>
  <c r="G82" i="5"/>
  <c r="F82" i="5"/>
  <c r="T117" i="4"/>
  <c r="E93" i="2"/>
  <c r="F93" i="2"/>
  <c r="T63" i="4"/>
  <c r="H98" i="5"/>
  <c r="F98" i="5"/>
  <c r="G98" i="5"/>
  <c r="U78" i="4"/>
  <c r="U87" i="4"/>
  <c r="D41" i="4"/>
  <c r="T94" i="4"/>
  <c r="U104" i="4"/>
  <c r="U99" i="4"/>
  <c r="S79" i="4"/>
  <c r="S72" i="4"/>
  <c r="S77" i="4"/>
  <c r="T77" i="4"/>
  <c r="T106" i="4"/>
  <c r="S98" i="4"/>
  <c r="U98" i="4"/>
  <c r="S58" i="4"/>
  <c r="S104" i="4"/>
  <c r="S80" i="4"/>
  <c r="U69" i="4"/>
  <c r="S87" i="4"/>
  <c r="S57" i="4"/>
  <c r="U71" i="4"/>
  <c r="S111" i="4"/>
  <c r="S121" i="4"/>
  <c r="F100" i="5"/>
  <c r="G100" i="5"/>
  <c r="U115" i="4"/>
  <c r="S60" i="4"/>
  <c r="U70" i="4"/>
  <c r="F103" i="5"/>
  <c r="G103" i="5"/>
  <c r="F74" i="2"/>
  <c r="E74" i="2"/>
  <c r="T114" i="4"/>
  <c r="F91" i="2"/>
  <c r="E91" i="2"/>
  <c r="G99" i="5"/>
  <c r="F99" i="5"/>
  <c r="S70" i="4"/>
  <c r="T57" i="4"/>
  <c r="S85" i="4"/>
  <c r="T102" i="4"/>
  <c r="T101" i="4"/>
  <c r="S59" i="4"/>
  <c r="U81" i="4"/>
  <c r="U116" i="4"/>
  <c r="T70" i="4"/>
  <c r="G78" i="5"/>
  <c r="F78" i="5"/>
  <c r="T72" i="4"/>
  <c r="T112" i="4"/>
  <c r="F77" i="5"/>
  <c r="G77" i="5"/>
  <c r="G108" i="5"/>
  <c r="F108" i="5"/>
  <c r="T116" i="4"/>
  <c r="F77" i="2"/>
  <c r="E77" i="2"/>
  <c r="T105" i="4"/>
  <c r="F83" i="5"/>
  <c r="G83" i="5"/>
  <c r="F102" i="2"/>
  <c r="E102" i="2"/>
  <c r="S62" i="4"/>
  <c r="T61" i="4"/>
  <c r="J88" i="5"/>
  <c r="I88" i="5"/>
  <c r="I75" i="5"/>
  <c r="J75" i="5"/>
  <c r="U66" i="4"/>
  <c r="S100" i="4"/>
  <c r="S83" i="4"/>
  <c r="T95" i="4"/>
  <c r="S113" i="4"/>
  <c r="F107" i="5"/>
  <c r="G107" i="5"/>
  <c r="E82" i="2"/>
  <c r="F82" i="2"/>
  <c r="U111" i="4"/>
  <c r="T80" i="4"/>
  <c r="T119" i="4"/>
  <c r="S68" i="4"/>
  <c r="T60" i="4"/>
  <c r="T76" i="4"/>
  <c r="S71" i="4"/>
  <c r="J100" i="5"/>
  <c r="I100" i="5"/>
  <c r="S73" i="4"/>
  <c r="U88" i="4"/>
  <c r="G85" i="5"/>
  <c r="F85" i="5"/>
  <c r="F81" i="5"/>
  <c r="G81" i="5"/>
  <c r="S117" i="4"/>
  <c r="G80" i="5"/>
  <c r="F80" i="5"/>
  <c r="G37" i="5"/>
  <c r="F37" i="5"/>
  <c r="H37" i="5"/>
  <c r="I37" i="5"/>
  <c r="E37" i="5"/>
  <c r="U75" i="4"/>
  <c r="D28" i="4"/>
  <c r="S115" i="4"/>
  <c r="U72" i="4"/>
  <c r="G79" i="5"/>
  <c r="F79" i="5"/>
  <c r="E98" i="2"/>
  <c r="F98" i="2"/>
  <c r="D55" i="5"/>
  <c r="D53" i="5"/>
  <c r="B28" i="5"/>
  <c r="B39" i="5" s="1"/>
  <c r="D54" i="5"/>
  <c r="B29" i="2"/>
  <c r="B40" i="2"/>
  <c r="B29" i="5"/>
  <c r="H87" i="5" s="1"/>
  <c r="B38" i="5"/>
  <c r="B41" i="2"/>
  <c r="B57" i="5" s="1"/>
  <c r="F81" i="2"/>
  <c r="E81" i="2"/>
  <c r="U103" i="4"/>
  <c r="U108" i="4"/>
  <c r="U106" i="4"/>
  <c r="T98" i="4"/>
  <c r="C30" i="4"/>
  <c r="U77" i="4"/>
  <c r="T83" i="4"/>
  <c r="I99" i="5"/>
  <c r="J99" i="5"/>
  <c r="F74" i="5"/>
  <c r="G74" i="5"/>
  <c r="B27" i="6"/>
  <c r="B23" i="6"/>
  <c r="B24" i="6" s="1"/>
  <c r="S96" i="4"/>
  <c r="S101" i="4"/>
  <c r="J79" i="5"/>
  <c r="I79" i="5"/>
  <c r="I106" i="5"/>
  <c r="J106" i="5"/>
  <c r="J84" i="5"/>
  <c r="I84" i="5"/>
  <c r="S112" i="4"/>
  <c r="F91" i="5"/>
  <c r="G91" i="5"/>
  <c r="C33" i="6"/>
  <c r="B33" i="6"/>
  <c r="U110" i="4"/>
  <c r="U62" i="4"/>
  <c r="J87" i="5"/>
  <c r="I87" i="5"/>
  <c r="U113" i="4"/>
  <c r="J96" i="5"/>
  <c r="I96" i="5"/>
  <c r="T97" i="4"/>
  <c r="T104" i="4"/>
  <c r="J78" i="5"/>
  <c r="I78" i="5"/>
  <c r="U73" i="4"/>
  <c r="J104" i="5"/>
  <c r="I104" i="5"/>
  <c r="S102" i="4"/>
  <c r="B45" i="4"/>
  <c r="B47" i="4" s="1"/>
  <c r="T99" i="4"/>
  <c r="J89" i="5"/>
  <c r="I89" i="5"/>
  <c r="D62" i="2"/>
  <c r="E95" i="2"/>
  <c r="F95" i="2"/>
  <c r="E64" i="2"/>
  <c r="F64" i="2"/>
  <c r="S69" i="4"/>
  <c r="U102" i="4"/>
  <c r="T107" i="4"/>
  <c r="K76" i="5"/>
  <c r="I76" i="5"/>
  <c r="J76" i="5"/>
  <c r="U61" i="4"/>
  <c r="I103" i="5"/>
  <c r="J103" i="5"/>
  <c r="T89" i="4"/>
  <c r="F93" i="5"/>
  <c r="G93" i="5"/>
  <c r="G89" i="5"/>
  <c r="F89" i="5"/>
  <c r="G88" i="5"/>
  <c r="F88" i="5"/>
  <c r="C40" i="4"/>
  <c r="S118" i="4"/>
  <c r="U83" i="4"/>
  <c r="S86" i="4"/>
  <c r="S107" i="4"/>
  <c r="T110" i="4"/>
  <c r="U92" i="4"/>
  <c r="T84" i="4"/>
  <c r="F86" i="5"/>
  <c r="G86" i="5"/>
  <c r="I81" i="5"/>
  <c r="J81" i="5"/>
  <c r="S99" i="4"/>
  <c r="S105" i="4"/>
  <c r="U105" i="4"/>
  <c r="S116" i="4"/>
  <c r="I74" i="5"/>
  <c r="J74" i="5"/>
  <c r="F110" i="5"/>
  <c r="G110" i="5"/>
  <c r="S90" i="4"/>
  <c r="G101" i="5"/>
  <c r="F101" i="5"/>
  <c r="F97" i="5"/>
  <c r="G97" i="5"/>
  <c r="G96" i="5"/>
  <c r="F96" i="5"/>
  <c r="C41" i="4"/>
  <c r="U57" i="4"/>
  <c r="B48" i="2"/>
  <c r="B45" i="2"/>
  <c r="B50" i="2"/>
  <c r="B47" i="2"/>
  <c r="B46" i="2"/>
  <c r="B49" i="2"/>
  <c r="U94" i="4"/>
  <c r="I83" i="5"/>
  <c r="J83" i="5"/>
  <c r="U80" i="4"/>
  <c r="T115" i="4"/>
  <c r="D25" i="4"/>
  <c r="T64" i="4"/>
  <c r="U84" i="4"/>
  <c r="I86" i="5"/>
  <c r="J86" i="5"/>
  <c r="U109" i="4"/>
  <c r="S76" i="4"/>
  <c r="S67" i="4"/>
  <c r="I77" i="5"/>
  <c r="J77" i="5"/>
  <c r="I91" i="5"/>
  <c r="J91" i="5"/>
  <c r="F109" i="5"/>
  <c r="G109" i="5"/>
  <c r="F105" i="5"/>
  <c r="G105" i="5"/>
  <c r="F104" i="5"/>
  <c r="G104" i="5"/>
  <c r="C36" i="4" l="1"/>
  <c r="C34" i="4"/>
  <c r="K108" i="5"/>
  <c r="C35" i="4"/>
  <c r="H91" i="5"/>
  <c r="K78" i="5"/>
  <c r="H96" i="5"/>
  <c r="H89" i="5"/>
  <c r="H100" i="5"/>
  <c r="H82" i="5"/>
  <c r="H109" i="5"/>
  <c r="H77" i="5"/>
  <c r="K92" i="5"/>
  <c r="K83" i="5"/>
  <c r="K88" i="5"/>
  <c r="H99" i="5"/>
  <c r="K77" i="5"/>
  <c r="K87" i="5"/>
  <c r="K105" i="5"/>
  <c r="D55" i="4"/>
  <c r="I54" i="4"/>
  <c r="B76" i="5" s="1"/>
  <c r="O54" i="4"/>
  <c r="N54" i="4"/>
  <c r="M54" i="4"/>
  <c r="H108" i="5"/>
  <c r="H97" i="5"/>
  <c r="H81" i="5"/>
  <c r="D36" i="4"/>
  <c r="K79" i="5"/>
  <c r="K82" i="5"/>
  <c r="H106" i="5"/>
  <c r="H85" i="5"/>
  <c r="K109" i="5"/>
  <c r="D34" i="4"/>
  <c r="H74" i="5"/>
  <c r="H92" i="5"/>
  <c r="H88" i="5"/>
  <c r="K75" i="5"/>
  <c r="D35" i="4"/>
  <c r="K97" i="5"/>
  <c r="K81" i="5"/>
  <c r="K112" i="5"/>
  <c r="K91" i="5"/>
  <c r="H101" i="5"/>
  <c r="H79" i="5"/>
  <c r="K104" i="5"/>
  <c r="H84" i="5"/>
  <c r="K107" i="5"/>
  <c r="K80" i="5"/>
  <c r="H113" i="5"/>
  <c r="H107" i="5"/>
  <c r="F62" i="2"/>
  <c r="E62" i="2"/>
  <c r="H62" i="2"/>
  <c r="H83" i="5"/>
  <c r="H94" i="5"/>
  <c r="K113" i="5"/>
  <c r="H111" i="5"/>
  <c r="K94" i="5"/>
  <c r="K101" i="5"/>
  <c r="H78" i="5"/>
  <c r="H75" i="5"/>
  <c r="K84" i="5"/>
  <c r="K90" i="5"/>
  <c r="H76" i="5"/>
  <c r="K111" i="5"/>
  <c r="K89" i="5"/>
  <c r="K96" i="5"/>
  <c r="K100" i="5"/>
  <c r="H112" i="5"/>
  <c r="H102" i="5"/>
  <c r="K110" i="5"/>
  <c r="G64" i="2"/>
  <c r="I63" i="2"/>
  <c r="H104" i="5"/>
  <c r="J39" i="5"/>
  <c r="K39" i="5" s="1"/>
  <c r="D39" i="5"/>
  <c r="E39" i="5" s="1"/>
  <c r="H103" i="5"/>
  <c r="J38" i="5"/>
  <c r="K38" i="5" s="1"/>
  <c r="D38" i="5"/>
  <c r="E38" i="5" s="1"/>
  <c r="B30" i="5"/>
  <c r="B31" i="5" s="1"/>
  <c r="B32" i="5" s="1"/>
  <c r="C40" i="5" s="1"/>
  <c r="B47" i="5"/>
  <c r="B45" i="5"/>
  <c r="B48" i="5"/>
  <c r="B46" i="5"/>
  <c r="H86" i="5"/>
  <c r="H110" i="5"/>
  <c r="H93" i="5"/>
  <c r="K99" i="5"/>
  <c r="K102" i="5"/>
  <c r="K98" i="5"/>
  <c r="K106" i="5"/>
  <c r="H105" i="5"/>
  <c r="K86" i="5"/>
  <c r="K74" i="5"/>
  <c r="K103" i="5"/>
  <c r="H80" i="5"/>
  <c r="K93" i="5"/>
  <c r="H90" i="5"/>
  <c r="H95" i="5"/>
  <c r="K95" i="5"/>
  <c r="I40" i="5" l="1"/>
  <c r="N55" i="4"/>
  <c r="I55" i="4"/>
  <c r="B77" i="5" s="1"/>
  <c r="O55" i="4"/>
  <c r="M55" i="4"/>
  <c r="D56" i="4"/>
  <c r="G65" i="2"/>
  <c r="I64" i="2"/>
  <c r="J62" i="2"/>
  <c r="H63" i="2"/>
  <c r="B40" i="5"/>
  <c r="H40" i="5"/>
  <c r="N56" i="4" l="1"/>
  <c r="O56" i="4"/>
  <c r="M56" i="4"/>
  <c r="I56" i="4"/>
  <c r="B78" i="5" s="1"/>
  <c r="D57" i="4"/>
  <c r="H64" i="2"/>
  <c r="J63" i="2"/>
  <c r="J40" i="5"/>
  <c r="K40" i="5" s="1"/>
  <c r="D40" i="5"/>
  <c r="E40" i="5" s="1"/>
  <c r="G66" i="2"/>
  <c r="I65" i="2"/>
  <c r="D58" i="4" l="1"/>
  <c r="M57" i="4"/>
  <c r="N57" i="4"/>
  <c r="O57" i="4"/>
  <c r="I57" i="4"/>
  <c r="B79" i="5" s="1"/>
  <c r="I66" i="2"/>
  <c r="G67" i="2"/>
  <c r="J64" i="2"/>
  <c r="H65" i="2"/>
  <c r="M58" i="4" l="1"/>
  <c r="I58" i="4"/>
  <c r="B80" i="5" s="1"/>
  <c r="O58" i="4"/>
  <c r="D59" i="4"/>
  <c r="N58" i="4"/>
  <c r="J65" i="2"/>
  <c r="H66" i="2"/>
  <c r="G68" i="2"/>
  <c r="I67" i="2"/>
  <c r="D60" i="4" l="1"/>
  <c r="I59" i="4"/>
  <c r="B81" i="5" s="1"/>
  <c r="O59" i="4"/>
  <c r="M59" i="4"/>
  <c r="N59" i="4"/>
  <c r="I68" i="2"/>
  <c r="G69" i="2"/>
  <c r="J66" i="2"/>
  <c r="H67" i="2"/>
  <c r="B25" i="6" l="1"/>
  <c r="I60" i="4"/>
  <c r="B82" i="5" s="1"/>
  <c r="O60" i="4"/>
  <c r="N60" i="4"/>
  <c r="D61" i="4"/>
  <c r="B15" i="4"/>
  <c r="M60" i="4"/>
  <c r="H68" i="2"/>
  <c r="J67" i="2"/>
  <c r="G70" i="2"/>
  <c r="I69" i="2"/>
  <c r="D62" i="4" l="1"/>
  <c r="I61" i="4"/>
  <c r="B83" i="5" s="1"/>
  <c r="M61" i="4"/>
  <c r="O61" i="4"/>
  <c r="N61" i="4"/>
  <c r="H69" i="2"/>
  <c r="J68" i="2"/>
  <c r="G71" i="2"/>
  <c r="I70" i="2"/>
  <c r="D63" i="4" l="1"/>
  <c r="I62" i="4"/>
  <c r="B84" i="5" s="1"/>
  <c r="N62" i="4"/>
  <c r="M62" i="4"/>
  <c r="O62" i="4"/>
  <c r="G72" i="2"/>
  <c r="I71" i="2"/>
  <c r="H70" i="2"/>
  <c r="J69" i="2"/>
  <c r="D64" i="4" l="1"/>
  <c r="I63" i="4"/>
  <c r="B85" i="5" s="1"/>
  <c r="O63" i="4"/>
  <c r="M63" i="4"/>
  <c r="N63" i="4"/>
  <c r="H71" i="2"/>
  <c r="J70" i="2"/>
  <c r="G73" i="2"/>
  <c r="I72" i="2"/>
  <c r="I64" i="4" l="1"/>
  <c r="B86" i="5" s="1"/>
  <c r="D65" i="4"/>
  <c r="N64" i="4"/>
  <c r="M64" i="4"/>
  <c r="O64" i="4"/>
  <c r="I73" i="2"/>
  <c r="G74" i="2"/>
  <c r="J71" i="2"/>
  <c r="H72" i="2"/>
  <c r="C25" i="6" l="1"/>
  <c r="I65" i="4"/>
  <c r="B87" i="5" s="1"/>
  <c r="D66" i="4"/>
  <c r="B16" i="4"/>
  <c r="N65" i="4"/>
  <c r="M65" i="4"/>
  <c r="O65" i="4"/>
  <c r="H73" i="2"/>
  <c r="J72" i="2"/>
  <c r="G75" i="2"/>
  <c r="I74" i="2"/>
  <c r="D67" i="4" l="1"/>
  <c r="O66" i="4"/>
  <c r="N66" i="4"/>
  <c r="I66" i="4"/>
  <c r="B88" i="5" s="1"/>
  <c r="M66" i="4"/>
  <c r="G76" i="2"/>
  <c r="I75" i="2"/>
  <c r="J73" i="2"/>
  <c r="H74" i="2"/>
  <c r="I67" i="4" l="1"/>
  <c r="B89" i="5" s="1"/>
  <c r="N67" i="4"/>
  <c r="M67" i="4"/>
  <c r="D68" i="4"/>
  <c r="O67" i="4"/>
  <c r="H75" i="2"/>
  <c r="J74" i="2"/>
  <c r="G77" i="2"/>
  <c r="I76" i="2"/>
  <c r="D69" i="4" l="1"/>
  <c r="M68" i="4"/>
  <c r="O68" i="4"/>
  <c r="I68" i="4"/>
  <c r="B90" i="5" s="1"/>
  <c r="N68" i="4"/>
  <c r="I77" i="2"/>
  <c r="G78" i="2"/>
  <c r="J75" i="2"/>
  <c r="H76" i="2"/>
  <c r="I69" i="4" l="1"/>
  <c r="B91" i="5" s="1"/>
  <c r="D70" i="4"/>
  <c r="O69" i="4"/>
  <c r="M69" i="4"/>
  <c r="N69" i="4"/>
  <c r="H77" i="2"/>
  <c r="J76" i="2"/>
  <c r="G79" i="2"/>
  <c r="I78" i="2"/>
  <c r="I70" i="4" l="1"/>
  <c r="B92" i="5" s="1"/>
  <c r="M70" i="4"/>
  <c r="O70" i="4"/>
  <c r="N70" i="4"/>
  <c r="D71" i="4"/>
  <c r="B17" i="4"/>
  <c r="I79" i="2"/>
  <c r="G80" i="2"/>
  <c r="H78" i="2"/>
  <c r="J77" i="2"/>
  <c r="N71" i="4" l="1"/>
  <c r="D72" i="4"/>
  <c r="B18" i="4"/>
  <c r="O71" i="4"/>
  <c r="M71" i="4"/>
  <c r="I71" i="4"/>
  <c r="B93" i="5" s="1"/>
  <c r="J78" i="2"/>
  <c r="H79" i="2"/>
  <c r="I80" i="2"/>
  <c r="G81" i="2"/>
  <c r="I72" i="4" l="1"/>
  <c r="B94" i="5" s="1"/>
  <c r="M72" i="4"/>
  <c r="O72" i="4"/>
  <c r="D73" i="4"/>
  <c r="N72" i="4"/>
  <c r="G82" i="2"/>
  <c r="I81" i="2"/>
  <c r="J79" i="2"/>
  <c r="H80" i="2"/>
  <c r="N73" i="4" l="1"/>
  <c r="I73" i="4"/>
  <c r="B95" i="5" s="1"/>
  <c r="O73" i="4"/>
  <c r="M73" i="4"/>
  <c r="D74" i="4"/>
  <c r="B19" i="4"/>
  <c r="H81" i="2"/>
  <c r="J80" i="2"/>
  <c r="G83" i="2"/>
  <c r="I82" i="2"/>
  <c r="D75" i="4" l="1"/>
  <c r="I74" i="4"/>
  <c r="B96" i="5" s="1"/>
  <c r="N74" i="4"/>
  <c r="M74" i="4"/>
  <c r="O74" i="4"/>
  <c r="I83" i="2"/>
  <c r="G84" i="2"/>
  <c r="J81" i="2"/>
  <c r="H82" i="2"/>
  <c r="B20" i="4" l="1"/>
  <c r="D76" i="4"/>
  <c r="M75" i="4"/>
  <c r="I75" i="4"/>
  <c r="B97" i="5" s="1"/>
  <c r="O75" i="4"/>
  <c r="N75" i="4"/>
  <c r="H83" i="2"/>
  <c r="J82" i="2"/>
  <c r="G85" i="2"/>
  <c r="I84" i="2"/>
  <c r="D77" i="4" l="1"/>
  <c r="I76" i="4"/>
  <c r="B98" i="5" s="1"/>
  <c r="O76" i="4"/>
  <c r="M76" i="4"/>
  <c r="N76" i="4"/>
  <c r="I85" i="2"/>
  <c r="G86" i="2"/>
  <c r="H84" i="2"/>
  <c r="J83" i="2"/>
  <c r="D78" i="4" l="1"/>
  <c r="I77" i="4"/>
  <c r="B99" i="5" s="1"/>
  <c r="M77" i="4"/>
  <c r="N77" i="4"/>
  <c r="O77" i="4"/>
  <c r="H85" i="2"/>
  <c r="J84" i="2"/>
  <c r="G87" i="2"/>
  <c r="I86" i="2"/>
  <c r="I78" i="4" l="1"/>
  <c r="B100" i="5" s="1"/>
  <c r="D79" i="4"/>
  <c r="M78" i="4"/>
  <c r="O78" i="4"/>
  <c r="N78" i="4"/>
  <c r="G88" i="2"/>
  <c r="I87" i="2"/>
  <c r="H86" i="2"/>
  <c r="J85" i="2"/>
  <c r="I79" i="4" l="1"/>
  <c r="B101" i="5" s="1"/>
  <c r="D80" i="4"/>
  <c r="O79" i="4"/>
  <c r="M79" i="4"/>
  <c r="N79" i="4"/>
  <c r="J86" i="2"/>
  <c r="H87" i="2"/>
  <c r="I88" i="2"/>
  <c r="G89" i="2"/>
  <c r="I80" i="4" l="1"/>
  <c r="B102" i="5" s="1"/>
  <c r="D81" i="4"/>
  <c r="B21" i="4"/>
  <c r="N80" i="4"/>
  <c r="O80" i="4"/>
  <c r="M80" i="4"/>
  <c r="G90" i="2"/>
  <c r="I89" i="2"/>
  <c r="J87" i="2"/>
  <c r="H88" i="2"/>
  <c r="I81" i="4" l="1"/>
  <c r="B103" i="5" s="1"/>
  <c r="D82" i="4"/>
  <c r="O81" i="4"/>
  <c r="M81" i="4"/>
  <c r="N81" i="4"/>
  <c r="H89" i="2"/>
  <c r="J88" i="2"/>
  <c r="I90" i="2"/>
  <c r="G91" i="2"/>
  <c r="D83" i="4" l="1"/>
  <c r="I82" i="4"/>
  <c r="B104" i="5" s="1"/>
  <c r="N82" i="4"/>
  <c r="O82" i="4"/>
  <c r="M82" i="4"/>
  <c r="G92" i="2"/>
  <c r="I91" i="2"/>
  <c r="H90" i="2"/>
  <c r="J89" i="2"/>
  <c r="D84" i="4" l="1"/>
  <c r="I83" i="4"/>
  <c r="B105" i="5" s="1"/>
  <c r="O83" i="4"/>
  <c r="N83" i="4"/>
  <c r="M83" i="4"/>
  <c r="J90" i="2"/>
  <c r="H91" i="2"/>
  <c r="I92" i="2"/>
  <c r="G93" i="2"/>
  <c r="I84" i="4" l="1"/>
  <c r="B106" i="5" s="1"/>
  <c r="D85" i="4"/>
  <c r="M84" i="4"/>
  <c r="O84" i="4"/>
  <c r="N84" i="4"/>
  <c r="I93" i="2"/>
  <c r="G94" i="2"/>
  <c r="J91" i="2"/>
  <c r="H92" i="2"/>
  <c r="I85" i="4" l="1"/>
  <c r="B107" i="5" s="1"/>
  <c r="N85" i="4"/>
  <c r="D86" i="4"/>
  <c r="O85" i="4"/>
  <c r="M85" i="4"/>
  <c r="I94" i="2"/>
  <c r="G95" i="2"/>
  <c r="H93" i="2"/>
  <c r="J92" i="2"/>
  <c r="I86" i="4" l="1"/>
  <c r="B108" i="5" s="1"/>
  <c r="N86" i="4"/>
  <c r="D87" i="4"/>
  <c r="O86" i="4"/>
  <c r="M86" i="4"/>
  <c r="G96" i="2"/>
  <c r="I95" i="2"/>
  <c r="H94" i="2"/>
  <c r="J93" i="2"/>
  <c r="D88" i="4" l="1"/>
  <c r="I87" i="4"/>
  <c r="B109" i="5" s="1"/>
  <c r="O87" i="4"/>
  <c r="M87" i="4"/>
  <c r="N87" i="4"/>
  <c r="I96" i="2"/>
  <c r="G97" i="2"/>
  <c r="J94" i="2"/>
  <c r="H95" i="2"/>
  <c r="D89" i="4" l="1"/>
  <c r="I88" i="4"/>
  <c r="B110" i="5" s="1"/>
  <c r="M88" i="4"/>
  <c r="O88" i="4"/>
  <c r="N88" i="4"/>
  <c r="G98" i="2"/>
  <c r="I97" i="2"/>
  <c r="H96" i="2"/>
  <c r="J95" i="2"/>
  <c r="D90" i="4" l="1"/>
  <c r="O89" i="4"/>
  <c r="N89" i="4"/>
  <c r="I89" i="4"/>
  <c r="B111" i="5" s="1"/>
  <c r="M89" i="4"/>
  <c r="J96" i="2"/>
  <c r="H97" i="2"/>
  <c r="I98" i="2"/>
  <c r="G99" i="2"/>
  <c r="D91" i="4" l="1"/>
  <c r="O90" i="4"/>
  <c r="M90" i="4"/>
  <c r="I90" i="4"/>
  <c r="B112" i="5" s="1"/>
  <c r="N90" i="4"/>
  <c r="G100" i="2"/>
  <c r="I99" i="2"/>
  <c r="H98" i="2"/>
  <c r="J97" i="2"/>
  <c r="I91" i="4" l="1"/>
  <c r="B113" i="5" s="1"/>
  <c r="G38" i="5" s="1"/>
  <c r="N91" i="4"/>
  <c r="M91" i="4"/>
  <c r="D92" i="4"/>
  <c r="O91" i="4"/>
  <c r="G40" i="5"/>
  <c r="F38" i="5"/>
  <c r="J98" i="2"/>
  <c r="H99" i="2"/>
  <c r="I100" i="2"/>
  <c r="G101" i="2"/>
  <c r="G39" i="5" l="1"/>
  <c r="D93" i="4"/>
  <c r="M92" i="4"/>
  <c r="N92" i="4"/>
  <c r="I92" i="4"/>
  <c r="O92" i="4"/>
  <c r="F40" i="5"/>
  <c r="F39" i="5"/>
  <c r="H100" i="2"/>
  <c r="J99" i="2"/>
  <c r="G102" i="2"/>
  <c r="I101" i="2"/>
  <c r="O93" i="4" l="1"/>
  <c r="M93" i="4"/>
  <c r="D94" i="4"/>
  <c r="N93" i="4"/>
  <c r="I93" i="4"/>
  <c r="I102" i="2"/>
  <c r="G103" i="2"/>
  <c r="J100" i="2"/>
  <c r="H101" i="2"/>
  <c r="O94" i="4" l="1"/>
  <c r="M94" i="4"/>
  <c r="D95" i="4"/>
  <c r="N94" i="4"/>
  <c r="I94" i="4"/>
  <c r="H102" i="2"/>
  <c r="J101" i="2"/>
  <c r="G104" i="2"/>
  <c r="I103" i="2"/>
  <c r="O95" i="4" l="1"/>
  <c r="D96" i="4"/>
  <c r="I95" i="4"/>
  <c r="M95" i="4"/>
  <c r="N95" i="4"/>
  <c r="G105" i="2"/>
  <c r="I104" i="2"/>
  <c r="H103" i="2"/>
  <c r="J102" i="2"/>
  <c r="D97" i="4" l="1"/>
  <c r="M96" i="4"/>
  <c r="N96" i="4"/>
  <c r="I96" i="4"/>
  <c r="O96" i="4"/>
  <c r="J103" i="2"/>
  <c r="H104" i="2"/>
  <c r="G106" i="2"/>
  <c r="I106" i="2" s="1"/>
  <c r="I105" i="2"/>
  <c r="D98" i="4" l="1"/>
  <c r="O97" i="4"/>
  <c r="I97" i="4"/>
  <c r="N97" i="4"/>
  <c r="M97" i="4"/>
  <c r="H105" i="2"/>
  <c r="J104" i="2"/>
  <c r="B30" i="2"/>
  <c r="B32" i="2" s="1"/>
  <c r="I98" i="4" l="1"/>
  <c r="D99" i="4"/>
  <c r="O98" i="4"/>
  <c r="M98" i="4"/>
  <c r="N98" i="4"/>
  <c r="H106" i="2"/>
  <c r="J106" i="2" s="1"/>
  <c r="B31" i="2" s="1"/>
  <c r="J105" i="2"/>
  <c r="I99" i="4" l="1"/>
  <c r="D100" i="4"/>
  <c r="O99" i="4"/>
  <c r="M99" i="4"/>
  <c r="N99" i="4"/>
  <c r="O100" i="4" l="1"/>
  <c r="D101" i="4"/>
  <c r="N100" i="4"/>
  <c r="I100" i="4"/>
  <c r="M100" i="4"/>
  <c r="I101" i="4" l="1"/>
  <c r="N101" i="4"/>
  <c r="D102" i="4"/>
  <c r="O101" i="4"/>
  <c r="M101" i="4"/>
  <c r="I102" i="4" l="1"/>
  <c r="D103" i="4"/>
  <c r="M102" i="4"/>
  <c r="O102" i="4"/>
  <c r="N102" i="4"/>
  <c r="I103" i="4" l="1"/>
  <c r="O103" i="4"/>
  <c r="N103" i="4"/>
  <c r="D104" i="4"/>
  <c r="M103" i="4"/>
  <c r="I104" i="4" l="1"/>
  <c r="D105" i="4"/>
  <c r="N104" i="4"/>
  <c r="O104" i="4"/>
  <c r="M104" i="4"/>
  <c r="I105" i="4" l="1"/>
  <c r="D106" i="4"/>
  <c r="M105" i="4"/>
  <c r="N105" i="4"/>
  <c r="O105" i="4"/>
  <c r="O106" i="4" l="1"/>
  <c r="D107" i="4"/>
  <c r="I106" i="4"/>
  <c r="M106" i="4"/>
  <c r="N106" i="4"/>
  <c r="D108" i="4" l="1"/>
  <c r="I107" i="4"/>
  <c r="O107" i="4"/>
  <c r="M107" i="4"/>
  <c r="N107" i="4"/>
  <c r="D109" i="4" l="1"/>
  <c r="I108" i="4"/>
  <c r="N108" i="4"/>
  <c r="M108" i="4"/>
  <c r="O108" i="4"/>
  <c r="D110" i="4" l="1"/>
  <c r="I109" i="4"/>
  <c r="O109" i="4"/>
  <c r="M109" i="4"/>
  <c r="N109" i="4"/>
  <c r="D111" i="4" l="1"/>
  <c r="I110" i="4"/>
  <c r="O110" i="4"/>
  <c r="M110" i="4"/>
  <c r="N110" i="4"/>
  <c r="I111" i="4" l="1"/>
  <c r="D112" i="4"/>
  <c r="O111" i="4"/>
  <c r="M111" i="4"/>
  <c r="N111" i="4"/>
  <c r="D113" i="4" l="1"/>
  <c r="I112" i="4"/>
  <c r="O112" i="4"/>
  <c r="M112" i="4"/>
  <c r="N112" i="4"/>
  <c r="I113" i="4" l="1"/>
  <c r="O113" i="4"/>
  <c r="N113" i="4"/>
  <c r="M113" i="4"/>
  <c r="D114" i="4"/>
  <c r="I114" i="4" l="1"/>
  <c r="O114" i="4"/>
  <c r="M114" i="4"/>
  <c r="D115" i="4"/>
  <c r="N114" i="4"/>
  <c r="D116" i="4" l="1"/>
  <c r="I115" i="4"/>
  <c r="M115" i="4"/>
  <c r="N115" i="4"/>
  <c r="O115" i="4"/>
  <c r="D117" i="4" l="1"/>
  <c r="I116" i="4"/>
  <c r="M116" i="4"/>
  <c r="N116" i="4"/>
  <c r="O116" i="4"/>
  <c r="I117" i="4" l="1"/>
  <c r="O117" i="4"/>
  <c r="N117" i="4"/>
  <c r="D118" i="4"/>
  <c r="M117" i="4"/>
  <c r="I118" i="4" l="1"/>
  <c r="N118" i="4"/>
  <c r="D119" i="4"/>
  <c r="M118" i="4"/>
  <c r="O118" i="4"/>
  <c r="I119" i="4" l="1"/>
  <c r="D120" i="4"/>
  <c r="M119" i="4"/>
  <c r="N119" i="4"/>
  <c r="O119" i="4"/>
  <c r="D121" i="4" l="1"/>
  <c r="I120" i="4"/>
  <c r="M120" i="4"/>
  <c r="O120" i="4"/>
  <c r="N120" i="4"/>
  <c r="B48" i="4"/>
  <c r="B41" i="4"/>
  <c r="B40" i="4"/>
  <c r="I121" i="4" l="1"/>
  <c r="M121" i="4"/>
  <c r="B34" i="4" s="1"/>
  <c r="O121" i="4"/>
  <c r="B36" i="4" s="1"/>
  <c r="N121" i="4"/>
  <c r="B35" i="4" s="1"/>
</calcChain>
</file>

<file path=xl/sharedStrings.xml><?xml version="1.0" encoding="utf-8"?>
<sst xmlns="http://schemas.openxmlformats.org/spreadsheetml/2006/main" count="354" uniqueCount="326">
  <si>
    <t>Rendita vitalizia del fondo pensione: quanto rende e quanto vale (caso inventato e illustrativo)</t>
  </si>
  <si>
    <t>Strumento informativo / divulgativo. NON è consulenza finanziaria. I valori sono indicativi al 2026 e vanno verificati col tuo consulente.</t>
  </si>
  <si>
    <t>Indice</t>
  </si>
  <si>
    <t>0 - Indice</t>
  </si>
  <si>
    <t>Questo indice</t>
  </si>
  <si>
    <t>1 - Rendita</t>
  </si>
  <si>
    <t>I tuoi dati (celle gialle): rata lorda e netta, pareggio, potere d'acquisto</t>
  </si>
  <si>
    <t>2 - Coefficienti</t>
  </si>
  <si>
    <t>Coefficienti dei fondi per età e sesso, opzioni e stime</t>
  </si>
  <si>
    <t>3 - Mortalità e IRR</t>
  </si>
  <si>
    <t>Mortalità ISTAT 2024, rendimento per età di morte, valore atteso per euro</t>
  </si>
  <si>
    <t>4 - Pavimento</t>
  </si>
  <si>
    <t>Pavimento e rialzo: quattro scenari per Ornella, polizza fuori fondo</t>
  </si>
  <si>
    <t>5 - Aspettare</t>
  </si>
  <si>
    <t>Aspettare: convertire a 67 anni o a 75 anni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</si>
  <si>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</si>
  <si>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</si>
  <si>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</si>
  <si>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</si>
  <si>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</si>
  <si>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</si>
  <si>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Prestazioni dei fondi pensione: D.Lgs. 252/2005, art. 11, testo 2026 (P, 17/10/2026). Tetto in capitale 50%: D.L. 62/2026, art. 16-ter, convertito dalla L. 112/2026 (P)</t>
  </si>
  <si>
    <t>• Autorità di vigilanza sui fondi pensione, delibera del 25/06/2026 (P)</t>
  </si>
  <si>
    <t>• Documenti sulle rendite di due fondi pensione, 2026 (P sul testo; E sulle stime oltre i 70 anni del Fondo A)</t>
  </si>
  <si>
    <t>• Documento sul regime fiscale del fondo, luglio 2026: imposta sostitutiva sul rendimento, ritenuta sulla parte imponibile (P)</t>
  </si>
  <si>
    <t>• Istituto di statistica: tavole di mortalità 2024, Italia, per sesso (P)</t>
  </si>
  <si>
    <t>• EIOPA: curva dei tassi privi di rischio al 30/09/2026, scadenza 10 anni 3,577% (P)</t>
  </si>
  <si>
    <t>• Istituto di previdenza: assegno sociale 2026, 546,24 € per 13 mensilità (P); decreto direttoriale 20/11/2024 sui coefficienti di trasformazione (P)</t>
  </si>
  <si>
    <t>• L. 335/1995, art. 1, c. 16: nessuna integrazione al minimo per i contributivi puri (P). TUIR art. 45, c. 4-ter: 26% sul rendimento della rendita fuori fondo (P)</t>
  </si>
  <si>
    <t>• Associazione delle compagnie di assicurazione, sintesi della relazione dell'autorità di vigilanza 2025 (S): 347 milioni di rate e 5,5 miliardi di capitali nel 2025</t>
  </si>
  <si>
    <t>• CALCOLI MIEI (E): caso Ornella, quota imponibile, scenari, tavola equivalente. Gradi: P = fonte primaria, S = secondaria, I = intermedia, E = stima o calcolo mio. Data dei dati: 17/10/2026</t>
  </si>
  <si>
    <t>Aggiornamenti: github.com/marcofire-it/marco-fire-simulatori</t>
  </si>
  <si>
    <t>Note</t>
  </si>
  <si>
    <t>Fotografia di oggi: il D.Lgs. 117/2026 vale dal 1/1/2027; per il 2026 valgono le norme attuali. Una stima non è una previsione.</t>
  </si>
  <si>
    <t>Rata posticipata: la rata n. 1 si incassa dopo un anno. Lordo = prima delle imposte; netto = dopo ritenuta sulla sola parte imponibile e 26% sul rendimento finanziario della rendita.</t>
  </si>
  <si>
    <t>Il caso di Ornella è inventato e illustrativo e non è un consiglio. Prima di decidere, fai i conti sul tuo caso e parlane con professionisti abilitati.</t>
  </si>
  <si>
    <t>Il motore del calcolo è in fondo ai fogli 1, 3, 4 e 5: non modificare. Nessuna macro, solo formule.</t>
  </si>
  <si>
    <t>Ornella ha venti anni di contributi da dipendente, dal 2006; il risparmio volontario parte dal 2007. Il netto di carriera (32.000 €) è arrotondato.</t>
  </si>
  <si>
    <t>1 - Rendita: la tua rata, lorda e netta, e quando ti restituisce il capitale</t>
  </si>
  <si>
    <t>Celle GIALLE = input; celle VERDI = formule. Il caso di partenza è Ornella, inventata e illustrativa: 67 anni, 150.000 nel fondo, iscritta dal 2007 (19 anni di partecipazione). Rata posticipata; ritenuta solo sulla parte imponibile; 26% sulla parte di rata sopra la rata base; la quota imponibile è una stima dei contributi dedotti e del TFR sul montante.</t>
  </si>
  <si>
    <t>I tuoi dati (celle gialle)</t>
  </si>
  <si>
    <t>Montante da convertire in rendita (K)</t>
  </si>
  <si>
    <t>Valore del fondo a ottobre 2026.</t>
  </si>
  <si>
    <t>Età di acquisto</t>
  </si>
  <si>
    <t>Il coefficiente si legge nel foglio 2 (Fondo A 50-70, Fondo B 40-80).</t>
  </si>
  <si>
    <t>Sesso (F/M)</t>
  </si>
  <si>
    <t>F</t>
  </si>
  <si>
    <t>Il coefficiente e la mortalità dipendono dal sesso.</t>
  </si>
  <si>
    <t>Quale coefficiente</t>
  </si>
  <si>
    <t>Fondo A tt0</t>
  </si>
  <si>
    <t>Fondo A tt0 / Fondo B tt0 / Fondo B tt1 (65 e 67 anni) / Personalizzato.</t>
  </si>
  <si>
    <t>Coefficiente personalizzato (rata annua per euro)</t>
  </si>
  <si>
    <t>Usato solo se scegli «Personalizzato»: sovrascrivi con il tuo preventivo.</t>
  </si>
  <si>
    <t>Anni di partecipazione al fondo</t>
  </si>
  <si>
    <t>Decidono la ritenuta: 15% meno 0,30 punti per ogni anno oltre il 15°, minimo 9%.</t>
  </si>
  <si>
    <t>Quota imponibile del montante</t>
  </si>
  <si>
    <t>STIMA: contributi dedotti e TFR sul montante; il resto è rendimento già tassato dal fondo. Sensibilità: 64%-75%.</t>
  </si>
  <si>
    <t>Aliquota sul rendimento finanziario della rendita</t>
  </si>
  <si>
    <t>Si applica solo alla parte di rata che supera la rata base (senza riduzione sui titoli di Stato: prudente).</t>
  </si>
  <si>
    <t>Rivalutazione annua della rata (g)</t>
  </si>
  <si>
    <t>0% = rata fissa. Ipotesi di scenario: gestione separata meno la trattenuta (esempio 2,10%).</t>
  </si>
  <si>
    <t>Inflazione</t>
  </si>
  <si>
    <t>Canone del canale.</t>
  </si>
  <si>
    <t>Rendimento reale dell'alternativa (60/40)</t>
  </si>
  <si>
    <t>Canone del canale, al netto dei costi.</t>
  </si>
  <si>
    <t>Spesa essenziale annua</t>
  </si>
  <si>
    <t>1.800 € al mese.</t>
  </si>
  <si>
    <t>Pensione pubblica netta annua</t>
  </si>
  <si>
    <t>Input dichiarato, non derivato dal montante contributivo.</t>
  </si>
  <si>
    <t>Età finale del prelievo da sé</t>
  </si>
  <si>
    <t>Il capitale si esaurisce a questa età.</t>
  </si>
  <si>
    <t>Tasso di prelievo dello studio su 38 mercati</t>
  </si>
  <si>
    <t>Vale per una coppia di 65 anni senza pensione pubblica: non è il caso di Ornella.</t>
  </si>
  <si>
    <t>Risultati</t>
  </si>
  <si>
    <t>Coefficiente usato (c)</t>
  </si>
  <si>
    <t>Rata annua per ogni euro di montante.</t>
  </si>
  <si>
    <t>Quota non imponibile del montante</t>
  </si>
  <si>
    <t>Rendimento già tassato dal fondo: non paga la ritenuta.</t>
  </si>
  <si>
    <t>Ritenuta del fondo (art. 11, c. 6)</t>
  </si>
  <si>
    <t>Si applica solo alla parte imponibile.</t>
  </si>
  <si>
    <t>Aliquota effettiva sulla rata base</t>
  </si>
  <si>
    <t>Quota imponibile per ritenuta.</t>
  </si>
  <si>
    <t>Rata base lorda (K × c)</t>
  </si>
  <si>
    <t>Rendimento finanziario nullo.</t>
  </si>
  <si>
    <t>Prima rata lorda</t>
  </si>
  <si>
    <t>Prima rata netta</t>
  </si>
  <si>
    <t>Arrotondata: la ritenuta dipende dalla stima della quota imponibile.</t>
  </si>
  <si>
    <t>Prima rata netta, al mese (12)</t>
  </si>
  <si>
    <t>Numero della rata che restituisce il premio, al lordo</t>
  </si>
  <si>
    <t>Con rate annue: la prima rata che porta il cumulato a K o oltre.</t>
  </si>
  <si>
    <t>Numero della rata che restituisce il premio, al netto</t>
  </si>
  <si>
    <t>Età in cui si incassa quella rata (lordo)</t>
  </si>
  <si>
    <t>Rata posticipata: la rata n. 27 si incassa a 94 anni se si parte a 67.</t>
  </si>
  <si>
    <t>Anni al pareggio, lordo (tempo continuo)</t>
  </si>
  <si>
    <t>1/c a rata fissa: resta un riferimento, non il numero di rate.</t>
  </si>
  <si>
    <t>Anni al pareggio, netto (tempo continuo, solo g = 0)</t>
  </si>
  <si>
    <t>Rendimento nominale dell'alternativa</t>
  </si>
  <si>
    <t>3% reale più 2% di inflazione.</t>
  </si>
  <si>
    <t>Prelievo da sé al rendimento reale, capitale esaurito all'età finale</t>
  </si>
  <si>
    <t>Rata costante in euro di oggi.</t>
  </si>
  <si>
    <t>Prelievo semplice (K × rendimento reale)</t>
  </si>
  <si>
    <t>Prelievo allo 2,31% dello studio su 38 mercati</t>
  </si>
  <si>
    <t>Solo per una coppia di 65 anni senza pensione pubblica.</t>
  </si>
  <si>
    <t>Gap essenziale (spesa essenziale meno pensione pubblica)</t>
  </si>
  <si>
    <t>Copertura del gap essenziale con la prima rata netta</t>
  </si>
  <si>
    <t>Gap essenziale residuo dopo la prima rata netta</t>
  </si>
  <si>
    <t>La rata perde potere d'acquisto: rata lorda dopo t anni, in euro di oggi</t>
  </si>
  <si>
    <t>Dopo t anni</t>
  </si>
  <si>
    <t>Rata lorda reale</t>
  </si>
  <si>
    <t>In % della prima rata</t>
  </si>
  <si>
    <t>Rata per rata (rata posticipata: la rata n. 1 si incassa dopo un anno)</t>
  </si>
  <si>
    <t>Rata n.</t>
  </si>
  <si>
    <t>Età alla rata</t>
  </si>
  <si>
    <t>Rata lorda</t>
  </si>
  <si>
    <t>Rata netta</t>
  </si>
  <si>
    <t>Aliquota effettiva</t>
  </si>
  <si>
    <t>Rata netta in euro di oggi</t>
  </si>
  <si>
    <t>Cumulato lordo</t>
  </si>
  <si>
    <t>Cumulato netto</t>
  </si>
  <si>
    <t>Flag lordo ≥ K</t>
  </si>
  <si>
    <t>Flag netto ≥ K</t>
  </si>
  <si>
    <t>Motore del calcolo, non modificare: le colonne F-J servono ai pareggi (flag = numero della rata se il cumulato raggiunge il montante).</t>
  </si>
  <si>
    <t>2 - Coefficienti di conversione dei fondi (tasso tecnico 0%, rata annuale posticipata)</t>
  </si>
  <si>
    <t>Il coefficiente è la rata annua per ogni euro di montante: 3,829% significa 3.829 € l'anno ogni 100.000 €. Fondo A = tabelle del documento sulle rendite del fondo (luglio 2026), età 50-70; a 65 e 67 anni i valori sono a otto decimali dal documento. Fondo B = tabelle del documento sulle rendite dell'altro fondo (2026), età 40-80, e coefficienti con tasso tecnico uno per cento a 65 e 67 anni. Le righe arancioni del Fondo A (72-80 anni) sono STIMA, non dato: il fondo pubblica fino a 70 anni.</t>
  </si>
  <si>
    <t>Fondo A: tabelle pubblicate, 50-70 anni (M = uomo, F = donna)</t>
  </si>
  <si>
    <t>Età</t>
  </si>
  <si>
    <t>Vitalizia M</t>
  </si>
  <si>
    <t>Vitalizia F</t>
  </si>
  <si>
    <t>Certa 5 anni M</t>
  </si>
  <si>
    <t>Certa 5 anni F</t>
  </si>
  <si>
    <t>Certa 10 anni M</t>
  </si>
  <si>
    <t>Certa 10 anni F</t>
  </si>
  <si>
    <t>Controassicurata M</t>
  </si>
  <si>
    <t>Controassicurata F</t>
  </si>
  <si>
    <t>Non autosufficienza M</t>
  </si>
  <si>
    <t>Non autosufficienza F</t>
  </si>
  <si>
    <t>Anni al pareggio
lordo (1/c) F</t>
  </si>
  <si>
    <t>Anni al pareggio
lordo (1/c) M</t>
  </si>
  <si>
    <t>Controassicurata
vs vitalizia F</t>
  </si>
  <si>
    <t>Controassicurata
vs vitalizia M</t>
  </si>
  <si>
    <t>Non autosufficienza
vs vitalizia F</t>
  </si>
  <si>
    <t>Non autosufficienza
vs vitalizia M</t>
  </si>
  <si>
    <t>Fondo A: coefficienti STIMA a 72-80 anni (non pubblicati dal fondo; banda bassa-alta)</t>
  </si>
  <si>
    <t>M basso</t>
  </si>
  <si>
    <t>M centrale</t>
  </si>
  <si>
    <t>M alto</t>
  </si>
  <si>
    <t>F basso</t>
  </si>
  <si>
    <t>F centrale</t>
  </si>
  <si>
    <t>F alto</t>
  </si>
  <si>
    <t>Fondo B: tabelle pubblicate, tasso tecnico 0%, 40-80 anni</t>
  </si>
  <si>
    <t>Fondo B: tasso tecnico 1%, vitalizia (65 e 67 anni)</t>
  </si>
  <si>
    <t>Più alto all'inizio non vuol dire più alto dopo: il tasso tecnico 1% parte da una rata più alta, ma la rivalutazione è più bassa (vedi foglio 1, g).</t>
  </si>
  <si>
    <t>3 - Mortalità e rendimento: quanto rende la rendita se si muore a una certa età</t>
  </si>
  <si>
    <t>Tavola di mortalità ISTAT 2024 (Italia, per sesso) di periodo: senza miglioramenti futuri. La tavola «equivalente al coefficiente» NON è la tavola del fondo: è la tavola ISTAT con i qx moltiplicati per f, tarata perché la speranza di vita coincida con quella implicita nel coefficiente. «Rendimento dei flussi attesi» è il tasso che rende uguali premio e rate attese pesate per la probabilità di essere vivi; «valore atteso per euro» è il money's worth: rate attese scontate diviso premio.</t>
  </si>
  <si>
    <t>Impostazioni (celle gialle)</t>
  </si>
  <si>
    <t>Tavola usata dal foglio 4 (1 = periodo, 2 = come chi ha qualche anno in meno, 3 = equivalente al coefficiente)</t>
  </si>
  <si>
    <t>Anni in meno per la tavola 2</t>
  </si>
  <si>
    <t>Fattore f della tavola 3 (qx × f)</t>
  </si>
  <si>
    <t>Caricamento implicito del coefficiente</t>
  </si>
  <si>
    <t>Sconto piatto per il valore atteso (tasso privo di rischio a 10 anni, 30/09/2026)</t>
  </si>
  <si>
    <t>Seconda rivalutazione g per il valore atteso</t>
  </si>
  <si>
    <t>Tre rivalutazioni per il rendimento dei flussi attesi</t>
  </si>
  <si>
    <t>Probabilità di essere vivi (tavola di periodo, partendo dall'età di acquisto)</t>
  </si>
  <si>
    <t>Probabilità di essere vivi</t>
  </si>
  <si>
    <t>Rendimento annuo del premio se si muore a una data età (rata con la rivalutazione g del foglio 1)</t>
  </si>
  <si>
    <t>Morte a età</t>
  </si>
  <si>
    <t>Rate incassate</t>
  </si>
  <si>
    <t>Rendimento sulla rata lorda</t>
  </si>
  <si>
    <t>Rendimento sulla rata netta</t>
  </si>
  <si>
    <t>Rendimento dei flussi attesi (rata lorda), per rivalutazione e per tavola</t>
  </si>
  <si>
    <t>Rivalutazione g</t>
  </si>
  <si>
    <t>Tavola di periodo</t>
  </si>
  <si>
    <t>Come chi ha 3 anni in meno</t>
  </si>
  <si>
    <t>Equivalente al coefficiente</t>
  </si>
  <si>
    <t>Valore atteso per euro di premio (money's worth), sconto piatto</t>
  </si>
  <si>
    <t>Controllo della tavola equivalente (f va ritarato a mano se cambi coefficiente)</t>
  </si>
  <si>
    <t>Speranza di vita (rate posticipate, tasso zero) con la tavola equivalente</t>
  </si>
  <si>
    <t>Speranza implicita nel coefficiente: (1 − caricamento) / c</t>
  </si>
  <si>
    <t>Scarto (anni)</t>
  </si>
  <si>
    <t>Speranza di vita con la tavola di periodo (stessa convenzione)</t>
  </si>
  <si>
    <t>Motore del calcolo, non modificare (sopravvivenza, flussi per i rendimenti, tavola ISTAT 2024 a destra)</t>
  </si>
  <si>
    <t>k (anni dopo l'acquisto)</t>
  </si>
  <si>
    <t>qx periodo</t>
  </si>
  <si>
    <t>Sopravvivenza periodo</t>
  </si>
  <si>
    <t>qx chi ha meno anni</t>
  </si>
  <si>
    <t>Sopravvivenza (meno anni)</t>
  </si>
  <si>
    <t>qx equivalente</t>
  </si>
  <si>
    <t>Sopravvivenza equivalente</t>
  </si>
  <si>
    <t>Sopravvivenza della tavola scelta</t>
  </si>
  <si>
    <t>Sconto (1+d)^-k</t>
  </si>
  <si>
    <t>Crescita rata (g foglio 1)</t>
  </si>
  <si>
    <t>Crescita rata (g seconda)</t>
  </si>
  <si>
    <t>Flusso atteso periodo, g 1</t>
  </si>
  <si>
    <t>Flusso atteso meno anni, g 1</t>
  </si>
  <si>
    <t>Flusso atteso equivalente, g 1</t>
  </si>
  <si>
    <t>Flusso atteso periodo, g 2</t>
  </si>
  <si>
    <t>Flusso atteso meno anni, g 2</t>
  </si>
  <si>
    <t>Flusso atteso equivalente, g 2</t>
  </si>
  <si>
    <t>Flusso atteso periodo, g 3</t>
  </si>
  <si>
    <t>Flusso atteso meno anni, g 3</t>
  </si>
  <si>
    <t>Flusso atteso equivalente, g 3</t>
  </si>
  <si>
    <t>Lordo, morte a 75</t>
  </si>
  <si>
    <t>Lordo, morte a 80</t>
  </si>
  <si>
    <t>Lordo, morte a 85</t>
  </si>
  <si>
    <t>Lordo, morte a 90</t>
  </si>
  <si>
    <t>Lordo, morte a 95</t>
  </si>
  <si>
    <t>Lordo, morte a 100</t>
  </si>
  <si>
    <t>Netto, morte a 75</t>
  </si>
  <si>
    <t>Netto, morte a 80</t>
  </si>
  <si>
    <t>Netto, morte a 85</t>
  </si>
  <si>
    <t>Netto, morte a 90</t>
  </si>
  <si>
    <t>Netto, morte a 95</t>
  </si>
  <si>
    <t>Netto, morte a 100</t>
  </si>
  <si>
    <t>Età (ISTAT 2024)</t>
  </si>
  <si>
    <t>qx uomini</t>
  </si>
  <si>
    <t>qx donne</t>
  </si>
  <si>
    <t>qx del sesso scelto</t>
  </si>
  <si>
    <t>4 - Pavimento e rialzo: la rendita copre l'essenziale, il portafoglio fa il resto</t>
  </si>
  <si>
    <t>Quattro scenari al primo anno per Ornella (caso inventato e illustrativo). Prelievi dal portafoglio LORDI (comprendono l'imposta sulla sola plusvalenza e il bollo); rata del fondo NETTA. Senza rendita = tutto in fondo flessibile; tutto il fondo in rendita; metà e metà (metà in capitale, metà in rendita); rendita più polizza fuori fondo sul gap essenziale rimasto. Il prezzo della polizza è quello di una convenzione collettiva: una polizza individuale costa di più.</t>
  </si>
  <si>
    <t>Dati (celle gialle e collegamenti)</t>
  </si>
  <si>
    <t>Montante del fondo</t>
  </si>
  <si>
    <t>Portafoglio (valore di mercato)</t>
  </si>
  <si>
    <t>Base di costo del portafoglio</t>
  </si>
  <si>
    <t>Caso con venti anni di contributi: risparmio volontario dal 2007, 1.845 € l'anno reali, più l'eredità del 2016.</t>
  </si>
  <si>
    <t>Spesa totale annua</t>
  </si>
  <si>
    <t>Pensione pubblica netta</t>
  </si>
  <si>
    <t>Bollo annuo sul portafoglio</t>
  </si>
  <si>
    <t>Imposta sulle plusvalenze</t>
  </si>
  <si>
    <t>Caricamento aggiuntivo della polizza fuori fondo</t>
  </si>
  <si>
    <t>0% = prezzo di convenzione collettiva (limite inferiore). Prova 5%, 10%, 15%.</t>
  </si>
  <si>
    <t>Quota finanziaria q della rendita fuori fondo</t>
  </si>
  <si>
    <t>Quota del fondo convertita in capitale nello scenario metà e metà (tetto 50%)</t>
  </si>
  <si>
    <t>Seconda rivalutazione g per l'equivalente</t>
  </si>
  <si>
    <t>Assegno sociale mensile (13 mensilità)</t>
  </si>
  <si>
    <t>Quota del montante che conta per la soglia del 100% in capitale</t>
  </si>
  <si>
    <t>Passaggi</t>
  </si>
  <si>
    <t>Gap totale (spesa totale meno pensione pubblica)</t>
  </si>
  <si>
    <t>Plusvalenza latente del portafoglio</t>
  </si>
  <si>
    <t>Aliquota sulle vendite del portafoglio</t>
  </si>
  <si>
    <t>Aliquota media senza rendita (fondo e portafoglio)</t>
  </si>
  <si>
    <t>Metà e metà: capitale netto incassato dal fondo</t>
  </si>
  <si>
    <t>Metà e metà: portafoglio dopo l'incasso</t>
  </si>
  <si>
    <t>Metà e metà: aliquota sulle vendite</t>
  </si>
  <si>
    <t>Metà e metà: rata netta della parte in rendita</t>
  </si>
  <si>
    <t>Polizza: gap essenziale da coprire dopo la rendita</t>
  </si>
  <si>
    <t>Polizza: premio unico</t>
  </si>
  <si>
    <t>Polizza: vendita di portafoglio per pagare il premio</t>
  </si>
  <si>
    <t>Polizza: portafoglio rimasto</t>
  </si>
  <si>
    <t>Soglia di montante per chiedere tutto in capitale</t>
  </si>
  <si>
    <t>Un montante sotto questa soglia può essere preso tutto in capitale: Ornella con 150.000 € è fuori.</t>
  </si>
  <si>
    <t>I quattro scenari al primo anno</t>
  </si>
  <si>
    <t>Scenario</t>
  </si>
  <si>
    <t>Prelievo lordo</t>
  </si>
  <si>
    <t>Capitale investito</t>
  </si>
  <si>
    <t>Tasso del primo anno</t>
  </si>
  <si>
    <t>Sotto il 3%?</t>
  </si>
  <si>
    <t>Tasso equivalente costante (g foglio 1)</t>
  </si>
  <si>
    <t>Tasso equivalente costante (g seconda)</t>
  </si>
  <si>
    <t>Tasso al decimo anno</t>
  </si>
  <si>
    <t>Tasso al ventesimo anno</t>
  </si>
  <si>
    <t>Capitale richiesto al 2,31%</t>
  </si>
  <si>
    <t>Margine sul 2,31%</t>
  </si>
  <si>
    <t>Senza rendita (S0)</t>
  </si>
  <si>
    <t>Tutto il fondo in rendita (S1)</t>
  </si>
  <si>
    <t>Metà e metà (S2)</t>
  </si>
  <si>
    <t>Rendita più polizza (S3)</t>
  </si>
  <si>
    <t>Il tasso equivalente costante è la media dei prelievi netti reali richiesti al portafoglio, pesata per la sopravvivenza e per lo sconto reale, riportata a tasso lordo: è il confronto corretto con «senza rendita» quando la rata è fissa. Il margine sul 2,31% vale solo per la coppia di 65 anni senza pensione pubblica dello studio: Ornella ha la pensione pubblica, quindi è uno stress, non il suo caso.</t>
  </si>
  <si>
    <t>Premio della polizza fuori fondo con un caricamento aggiuntivo (illustrativo)</t>
  </si>
  <si>
    <t>Caricamento aggiuntivo</t>
  </si>
  <si>
    <t>Premio</t>
  </si>
  <si>
    <t>Erosione della rata del fondo (rata netta in euro di oggi) e gap essenziale scoperto</t>
  </si>
  <si>
    <t>Rata netta reale</t>
  </si>
  <si>
    <t>Gap essenziale scoperto</t>
  </si>
  <si>
    <t>Perso rispetto alla prima rata</t>
  </si>
  <si>
    <t>Gap essenziale scoperto oggi</t>
  </si>
  <si>
    <t>Motore del calcolo, non modificare (equivalente costante: prelievo netto reale richiesto al portafoglio, anno per anno)</t>
  </si>
  <si>
    <t>k (anno)</t>
  </si>
  <si>
    <t>Sopravvivenza (tavola del foglio 3)</t>
  </si>
  <si>
    <t>Sconto reale (1+r)^-(k-1)</t>
  </si>
  <si>
    <t>Rata netta k (g foglio 1)</t>
  </si>
  <si>
    <t>Rata netta k (g seconda)</t>
  </si>
  <si>
    <t>S1: prelievo netto reale (g1)</t>
  </si>
  <si>
    <t>S2: prelievo netto reale (g1)</t>
  </si>
  <si>
    <t>S3: prelievo netto reale (g1)</t>
  </si>
  <si>
    <t>S1: prelievo netto reale (g2)</t>
  </si>
  <si>
    <t>S2: prelievo netto reale (g2)</t>
  </si>
  <si>
    <t>S3: prelievo netto reale (g2)</t>
  </si>
  <si>
    <t>5 - Aspettare: convertire subito oppure vivere del capitale del fondo e convertire più tardi</t>
  </si>
  <si>
    <t>Piano A: converto a 67 anni. Piano B: mi pago la stessa rata dal capitale che resta nel fondo per N anni, poi converto il residuo con il coefficiente dell'età più alta. Il capitale rimasto nel fondo rende AL NETTO dell'imposta annua del fondo. Il confronto usa il Fondo B perché pubblica i coefficienti fino a 80 anni: conta il rapporto tra la rata a 75 anni e quella a 67, non il fondo di Ornella. Con il Fondo A i coefficienti oltre 70 anni sono STIMA.</t>
  </si>
  <si>
    <t>Dati (celle gialle)</t>
  </si>
  <si>
    <t>Fondo del confronto</t>
  </si>
  <si>
    <t>Fondo B (pubblicato)</t>
  </si>
  <si>
    <t>Anni di attesa N (prima lettura)</t>
  </si>
  <si>
    <t>Anni di attesa N (seconda lettura)</t>
  </si>
  <si>
    <t>Rivalutazione annua g della rendita</t>
  </si>
  <si>
    <t>Gestione separata 3% meno la trattenuta 0,55 punti: ipotesi di scenario.</t>
  </si>
  <si>
    <t>Rendimento nominale lordo del capitale nel fondo</t>
  </si>
  <si>
    <t>Imposta annua sul rendimento del fondo</t>
  </si>
  <si>
    <t>Rendimento netto del capitale nel fondo</t>
  </si>
  <si>
    <t>Rendimento netto con imposta ridotta (60/40 con titoli di Stato)</t>
  </si>
  <si>
    <t>Montante</t>
  </si>
  <si>
    <t>Età di conversione nel piano B</t>
  </si>
  <si>
    <t>Coefficiente a 67 anni (età di acquisto)</t>
  </si>
  <si>
    <t>Fondo A: 67 anni pubblicato.</t>
  </si>
  <si>
    <t>Coefficiente all'età di conversione</t>
  </si>
  <si>
    <t>Capitale rimasto nel fondo alla conversione, per euro di montante</t>
  </si>
  <si>
    <t>Capitale rimasto nel fondo alla conversione</t>
  </si>
  <si>
    <t>Rata lorda del piano A all'età di conversione</t>
  </si>
  <si>
    <t>Rata lorda del piano B all'età di conversione</t>
  </si>
  <si>
    <t>Rapporto B/A (rata)</t>
  </si>
  <si>
    <t>Probabilità di essere vivi all'età di conversione (tavola di periodo)</t>
  </si>
  <si>
    <t>Capitale agli eredi se si muore prima della conversione: piano A</t>
  </si>
  <si>
    <t>Capitale agli eredi se si muore prima della conversione: piano B</t>
  </si>
  <si>
    <t>Rapporto B/A al variare del rendimento netto del capitale nel fondo</t>
  </si>
  <si>
    <t>Rendimento netto</t>
  </si>
  <si>
    <t>Prima lettura</t>
  </si>
  <si>
    <t>Seconda lettura</t>
  </si>
  <si>
    <t>Pareggio: il rendimento netto minimo perché aspettare conviene (passo 0,05 punti, motore in fondo)</t>
  </si>
  <si>
    <t>Rendimento netto di pareggio</t>
  </si>
  <si>
    <t>Rendimento lordo equivalente (prima dell'imposta del fondo)</t>
  </si>
  <si>
    <t>Motore del calcolo, non modificare (tabella del pareggio)</t>
  </si>
  <si>
    <t>Rendimento netto r</t>
  </si>
  <si>
    <t>Rapporto B/A (prima lettura)</t>
  </si>
  <si>
    <t>Flag ≥ 1 (prima)</t>
  </si>
  <si>
    <t>Rapporto B/A (seconda)</t>
  </si>
  <si>
    <t>Flag ≥ 1 (seconda)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</si>
</sst>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0&quot; anni&quot;"/>
    <numFmt numFmtId="165" formatCode="0.00000"/>
    <numFmt numFmtId="166" formatCode="0.00&quot; anni&quot;"/>
    <numFmt numFmtId="167" formatCode="0.0%"/>
    <numFmt numFmtId="168" formatCode="0.00000000"/>
    <numFmt numFmtId="169" formatCode="0.0000000"/>
    <numFmt numFmtId="170" formatCode="#,##0&quot; €&quot;"/>
    <numFmt numFmtId="171" formatCode="#,##0.00&quot; €&quot;"/>
    <numFmt numFmtId="172" formatCode="0.0000"/>
    <numFmt numFmtId="173" formatCode="0.000%"/>
    <numFmt numFmtId="174" formatCode="0.000"/>
    <numFmt numFmtId="175" formatCode="0.000000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AFAFA"/>
      </patternFill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FFF59D"/>
      </patternFill>
    </fill>
    <fill>
      <patternFill patternType="solid">
        <fgColor rgb="FFC8E6C9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170" fontId="5" fillId="6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8" fontId="5" fillId="6" borderId="1" xfId="0" applyNumberFormat="1" applyFont="1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10" fontId="5" fillId="6" borderId="1" xfId="0" applyNumberFormat="1" applyFont="1" applyFill="1" applyBorder="1" applyAlignment="1">
      <alignment horizontal="right" vertical="center"/>
    </xf>
    <xf numFmtId="168" fontId="5" fillId="7" borderId="1" xfId="0" applyNumberFormat="1" applyFont="1" applyFill="1" applyBorder="1" applyAlignment="1">
      <alignment horizontal="right" vertical="center"/>
    </xf>
    <xf numFmtId="10" fontId="5" fillId="7" borderId="1" xfId="0" applyNumberFormat="1" applyFont="1" applyFill="1" applyBorder="1" applyAlignment="1">
      <alignment horizontal="right" vertical="center"/>
    </xf>
    <xf numFmtId="171" fontId="5" fillId="7" borderId="1" xfId="0" applyNumberFormat="1" applyFont="1" applyFill="1" applyBorder="1" applyAlignment="1">
      <alignment horizontal="right" vertical="center"/>
    </xf>
    <xf numFmtId="1" fontId="5" fillId="7" borderId="1" xfId="0" applyNumberFormat="1" applyFon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166" fontId="5" fillId="7" borderId="1" xfId="0" applyNumberFormat="1" applyFont="1" applyFill="1" applyBorder="1" applyAlignment="1">
      <alignment horizontal="right" vertical="center"/>
    </xf>
    <xf numFmtId="167" fontId="5" fillId="7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left"/>
    </xf>
    <xf numFmtId="167" fontId="5" fillId="7" borderId="1" xfId="0" applyNumberFormat="1" applyFont="1" applyFill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70" fontId="5" fillId="7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/>
    <xf numFmtId="165" fontId="5" fillId="6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169" fontId="5" fillId="6" borderId="1" xfId="0" applyNumberFormat="1" applyFont="1" applyFill="1" applyBorder="1" applyAlignment="1">
      <alignment horizontal="right" vertical="center"/>
    </xf>
    <xf numFmtId="172" fontId="5" fillId="6" borderId="1" xfId="0" applyNumberFormat="1" applyFont="1" applyFill="1" applyBorder="1" applyAlignment="1">
      <alignment horizontal="right" vertical="center"/>
    </xf>
    <xf numFmtId="173" fontId="5" fillId="6" borderId="1" xfId="0" applyNumberFormat="1" applyFont="1" applyFill="1" applyBorder="1" applyAlignment="1">
      <alignment horizontal="right" vertical="center"/>
    </xf>
    <xf numFmtId="10" fontId="5" fillId="7" borderId="1" xfId="0" applyNumberFormat="1" applyFont="1" applyFill="1" applyBorder="1" applyAlignment="1">
      <alignment horizontal="left"/>
    </xf>
    <xf numFmtId="174" fontId="5" fillId="7" borderId="1" xfId="0" applyNumberFormat="1" applyFont="1" applyFill="1" applyBorder="1" applyAlignment="1">
      <alignment horizontal="right" vertical="center"/>
    </xf>
    <xf numFmtId="1" fontId="5" fillId="0" borderId="1" xfId="0" applyNumberFormat="1" applyFont="1" applyBorder="1"/>
    <xf numFmtId="175" fontId="5" fillId="7" borderId="1" xfId="0" applyNumberFormat="1" applyFont="1" applyFill="1" applyBorder="1" applyAlignment="1">
      <alignment horizontal="right" vertical="center"/>
    </xf>
    <xf numFmtId="175" fontId="5" fillId="0" borderId="1" xfId="0" applyNumberFormat="1" applyFont="1" applyBorder="1"/>
    <xf numFmtId="167" fontId="5" fillId="6" borderId="1" xfId="0" applyNumberFormat="1" applyFont="1" applyFill="1" applyBorder="1" applyAlignment="1">
      <alignment horizontal="right" vertical="center"/>
    </xf>
    <xf numFmtId="171" fontId="5" fillId="6" borderId="1" xfId="0" applyNumberFormat="1" applyFont="1" applyFill="1" applyBorder="1" applyAlignment="1">
      <alignment horizontal="right" vertical="center"/>
    </xf>
    <xf numFmtId="0" fontId="4" fillId="0" borderId="1" xfId="0" applyFont="1" applyBorder="1"/>
    <xf numFmtId="0" fontId="5" fillId="7" borderId="1" xfId="0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left"/>
    </xf>
    <xf numFmtId="164" fontId="5" fillId="5" borderId="1" xfId="0" applyNumberFormat="1" applyFont="1" applyFill="1" applyBorder="1" applyAlignment="1">
      <alignment horizontal="right" vertical="center"/>
    </xf>
    <xf numFmtId="172" fontId="5" fillId="7" borderId="1" xfId="0" applyNumberFormat="1" applyFont="1" applyFill="1" applyBorder="1" applyAlignment="1">
      <alignment horizontal="right" vertical="center"/>
    </xf>
    <xf numFmtId="10" fontId="5" fillId="6" borderId="1" xfId="0" applyNumberFormat="1" applyFont="1" applyFill="1" applyBorder="1" applyAlignment="1">
      <alignment horizontal="left"/>
    </xf>
    <xf numFmtId="10" fontId="5" fillId="0" borderId="1" xfId="0" applyNumberFormat="1" applyFont="1" applyBorder="1"/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7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top" wrapText="1"/>
    </xf>
    <xf numFmtId="0" fontId="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sqref="A1:B1"/>
    </sheetView>
  </sheetViews>
  <sheetFormatPr defaultRowHeight="15"/>
  <cols>
    <col min="1" max="1" width="112" customWidth="1"/>
    <col min="2" max="2" width="78" customWidth="1"/>
  </cols>
  <sheetData>
    <row r="1" spans="1:2" ht="32.1" customHeight="1">
      <c r="A1" s="47" t="s">
        <v>0</v>
      </c>
      <c r="B1" s="46"/>
    </row>
    <row r="2" spans="1:2" ht="32.1" customHeight="1">
      <c r="A2" s="45" t="s">
        <v>1</v>
      </c>
      <c r="B2" s="46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0" spans="1:2" ht="21.95" customHeight="1">
      <c r="A10" s="2" t="s">
        <v>13</v>
      </c>
      <c r="B10" s="3" t="s">
        <v>14</v>
      </c>
    </row>
    <row r="12" spans="1:2" ht="18.75">
      <c r="A12" s="1" t="s">
        <v>15</v>
      </c>
    </row>
    <row r="13" spans="1:2">
      <c r="A13" s="3" t="s">
        <v>16</v>
      </c>
    </row>
    <row r="14" spans="1:2">
      <c r="A14" s="3" t="s">
        <v>17</v>
      </c>
    </row>
    <row r="15" spans="1:2">
      <c r="A15" s="3" t="s">
        <v>18</v>
      </c>
    </row>
    <row r="16" spans="1:2">
      <c r="A16" s="3" t="s">
        <v>19</v>
      </c>
    </row>
    <row r="18" spans="1:1" ht="18.75">
      <c r="A18" s="1" t="s">
        <v>20</v>
      </c>
    </row>
    <row r="19" spans="1:1">
      <c r="A19" s="3" t="s">
        <v>21</v>
      </c>
    </row>
    <row r="20" spans="1:1">
      <c r="A20" s="3" t="s">
        <v>22</v>
      </c>
    </row>
    <row r="21" spans="1:1">
      <c r="A21" s="3" t="s">
        <v>23</v>
      </c>
    </row>
    <row r="22" spans="1:1">
      <c r="A22" s="3" t="s">
        <v>24</v>
      </c>
    </row>
    <row r="23" spans="1:1">
      <c r="A23" s="3" t="s">
        <v>25</v>
      </c>
    </row>
    <row r="24" spans="1:1">
      <c r="A24" s="3" t="s">
        <v>26</v>
      </c>
    </row>
    <row r="25" spans="1:1">
      <c r="A25" s="3" t="s">
        <v>27</v>
      </c>
    </row>
    <row r="26" spans="1:1">
      <c r="A26" s="3" t="s">
        <v>28</v>
      </c>
    </row>
    <row r="27" spans="1:1">
      <c r="A27" s="3" t="s">
        <v>29</v>
      </c>
    </row>
    <row r="28" spans="1:1">
      <c r="A28" s="3" t="s">
        <v>30</v>
      </c>
    </row>
    <row r="30" spans="1:1">
      <c r="A30" s="4" t="s">
        <v>31</v>
      </c>
    </row>
    <row r="31" spans="1:1">
      <c r="A31" s="2" t="s">
        <v>32</v>
      </c>
    </row>
    <row r="32" spans="1:1">
      <c r="A32" s="3" t="s">
        <v>33</v>
      </c>
    </row>
    <row r="33" spans="1:1">
      <c r="A33" s="3" t="s">
        <v>34</v>
      </c>
    </row>
    <row r="34" spans="1:1">
      <c r="A34" s="3" t="s">
        <v>35</v>
      </c>
    </row>
    <row r="35" spans="1:1">
      <c r="A35" s="3" t="s">
        <v>36</v>
      </c>
    </row>
    <row r="36" spans="1:1">
      <c r="A36" s="3" t="s">
        <v>37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2" customWidth="1"/>
    <col min="2" max="2" width="22" customWidth="1"/>
    <col min="3" max="3" width="78" customWidth="1"/>
    <col min="4" max="4" width="18" customWidth="1"/>
    <col min="5" max="5" width="16" customWidth="1"/>
    <col min="6" max="6" width="20" customWidth="1"/>
    <col min="7" max="8" width="18" customWidth="1"/>
    <col min="9" max="10" width="14" customWidth="1"/>
  </cols>
  <sheetData>
    <row r="1" spans="1:10" ht="24.95" customHeight="1">
      <c r="A1" s="47" t="s">
        <v>38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32.1" customHeight="1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48" customHeight="1">
      <c r="A3" s="49" t="s">
        <v>39</v>
      </c>
      <c r="B3" s="46"/>
      <c r="C3" s="46"/>
    </row>
    <row r="4" spans="1:10">
      <c r="A4" s="48" t="s">
        <v>40</v>
      </c>
      <c r="B4" s="46"/>
      <c r="C4" s="46"/>
    </row>
    <row r="5" spans="1:10" ht="15" customHeight="1">
      <c r="A5" s="5" t="s">
        <v>41</v>
      </c>
      <c r="B5" s="6">
        <v>150000</v>
      </c>
      <c r="C5" s="7" t="s">
        <v>42</v>
      </c>
    </row>
    <row r="6" spans="1:10" ht="15" customHeight="1">
      <c r="A6" s="5" t="s">
        <v>43</v>
      </c>
      <c r="B6" s="8">
        <v>67</v>
      </c>
      <c r="C6" s="7" t="s">
        <v>44</v>
      </c>
    </row>
    <row r="7" spans="1:10" ht="15" customHeight="1">
      <c r="A7" s="5" t="s">
        <v>45</v>
      </c>
      <c r="B7" s="9" t="s">
        <v>46</v>
      </c>
      <c r="C7" s="7" t="s">
        <v>47</v>
      </c>
    </row>
    <row r="8" spans="1:10" ht="15" customHeight="1">
      <c r="A8" s="5" t="s">
        <v>48</v>
      </c>
      <c r="B8" s="9" t="s">
        <v>49</v>
      </c>
      <c r="C8" s="7" t="s">
        <v>50</v>
      </c>
    </row>
    <row r="9" spans="1:10" ht="15" customHeight="1">
      <c r="A9" s="5" t="s">
        <v>51</v>
      </c>
      <c r="B9" s="10">
        <v>3.8289169999999997E-2</v>
      </c>
      <c r="C9" s="7" t="s">
        <v>52</v>
      </c>
    </row>
    <row r="10" spans="1:10" ht="30" customHeight="1">
      <c r="A10" s="5" t="s">
        <v>53</v>
      </c>
      <c r="B10" s="11">
        <v>19</v>
      </c>
      <c r="C10" s="7" t="s">
        <v>54</v>
      </c>
    </row>
    <row r="11" spans="1:10" ht="30" customHeight="1">
      <c r="A11" s="5" t="s">
        <v>55</v>
      </c>
      <c r="B11" s="12">
        <v>0.69964300000000001</v>
      </c>
      <c r="C11" s="7" t="s">
        <v>56</v>
      </c>
    </row>
    <row r="12" spans="1:10" ht="30" customHeight="1">
      <c r="A12" s="5" t="s">
        <v>57</v>
      </c>
      <c r="B12" s="12">
        <v>0.26</v>
      </c>
      <c r="C12" s="7" t="s">
        <v>58</v>
      </c>
    </row>
    <row r="13" spans="1:10" ht="30" customHeight="1">
      <c r="A13" s="5" t="s">
        <v>59</v>
      </c>
      <c r="B13" s="12">
        <v>0</v>
      </c>
      <c r="C13" s="7" t="s">
        <v>60</v>
      </c>
    </row>
    <row r="14" spans="1:10" ht="15" customHeight="1">
      <c r="A14" s="5" t="s">
        <v>61</v>
      </c>
      <c r="B14" s="12">
        <v>0.02</v>
      </c>
      <c r="C14" s="7" t="s">
        <v>62</v>
      </c>
    </row>
    <row r="15" spans="1:10" ht="15" customHeight="1">
      <c r="A15" s="5" t="s">
        <v>63</v>
      </c>
      <c r="B15" s="12">
        <v>0.03</v>
      </c>
      <c r="C15" s="7" t="s">
        <v>64</v>
      </c>
    </row>
    <row r="16" spans="1:10" ht="15" customHeight="1">
      <c r="A16" s="5" t="s">
        <v>65</v>
      </c>
      <c r="B16" s="6">
        <v>21600</v>
      </c>
      <c r="C16" s="7" t="s">
        <v>66</v>
      </c>
    </row>
    <row r="17" spans="1:3" ht="15" customHeight="1">
      <c r="A17" s="5" t="s">
        <v>67</v>
      </c>
      <c r="B17" s="6">
        <v>15000</v>
      </c>
      <c r="C17" s="7" t="s">
        <v>68</v>
      </c>
    </row>
    <row r="18" spans="1:3" ht="15" customHeight="1">
      <c r="A18" s="5" t="s">
        <v>69</v>
      </c>
      <c r="B18" s="8">
        <v>100</v>
      </c>
      <c r="C18" s="7" t="s">
        <v>70</v>
      </c>
    </row>
    <row r="19" spans="1:3" ht="30" customHeight="1">
      <c r="A19" s="5" t="s">
        <v>71</v>
      </c>
      <c r="B19" s="12">
        <v>2.3099999999999999E-2</v>
      </c>
      <c r="C19" s="7" t="s">
        <v>72</v>
      </c>
    </row>
    <row r="21" spans="1:3">
      <c r="A21" s="48" t="s">
        <v>73</v>
      </c>
      <c r="B21" s="46"/>
      <c r="C21" s="46"/>
    </row>
    <row r="22" spans="1:3" ht="15" customHeight="1">
      <c r="A22" s="5" t="s">
        <v>74</v>
      </c>
      <c r="B22" s="13">
        <f>IF(Scelta_coeff="Personalizzato",c_pers,IFERROR(IF(Scelta_coeff="Fondo A tt0",IF(Sesso="F",INDEX(A_vitF,MATCH(Eta,A_eta,0)),INDEX(A_vitM,MATCH(Eta,A_eta,0))),IF(Scelta_coeff="Fondo B tt0",IF(Sesso="F",INDEX(B_vitF,MATCH(Eta,B_eta,0)),INDEX(B_vitM,MATCH(Eta,B_eta,0))),IF(Sesso="F",INDEX(B1_F,MATCH(Eta,B1_eta,0)),INDEX(B1_M,MATCH(Eta,B1_eta,0))))),NA()))</f>
        <v>3.8289169999999997E-2</v>
      </c>
      <c r="C22" s="7" t="s">
        <v>75</v>
      </c>
    </row>
    <row r="23" spans="1:3" ht="15" customHeight="1">
      <c r="A23" s="5" t="s">
        <v>76</v>
      </c>
      <c r="B23" s="14">
        <f>1-Quota_imp</f>
        <v>0.30035699999999999</v>
      </c>
      <c r="C23" s="7" t="s">
        <v>77</v>
      </c>
    </row>
    <row r="24" spans="1:3" ht="15" customHeight="1">
      <c r="A24" s="5" t="s">
        <v>78</v>
      </c>
      <c r="B24" s="14">
        <f>MAX(0.09,0.15-0.003*MAX(0,Anni_part-15))</f>
        <v>0.13799999999999998</v>
      </c>
      <c r="C24" s="7" t="s">
        <v>79</v>
      </c>
    </row>
    <row r="25" spans="1:3" ht="15" customHeight="1">
      <c r="A25" s="5" t="s">
        <v>80</v>
      </c>
      <c r="B25" s="14">
        <f>Quota_imp*Ritenuta</f>
        <v>9.6550733999999985E-2</v>
      </c>
      <c r="C25" s="7" t="s">
        <v>81</v>
      </c>
    </row>
    <row r="26" spans="1:3" ht="15" customHeight="1">
      <c r="A26" s="5" t="s">
        <v>82</v>
      </c>
      <c r="B26" s="15">
        <f>K_fondo*c_use</f>
        <v>5743.3754999999992</v>
      </c>
      <c r="C26" s="7" t="s">
        <v>83</v>
      </c>
    </row>
    <row r="27" spans="1:3">
      <c r="A27" s="5" t="s">
        <v>84</v>
      </c>
      <c r="B27" s="15">
        <f>Rata_base</f>
        <v>5743.3754999999992</v>
      </c>
    </row>
    <row r="28" spans="1:3" ht="15" customHeight="1">
      <c r="A28" s="5" t="s">
        <v>85</v>
      </c>
      <c r="B28" s="15">
        <f>Rata_base*(1-Aliq_eff)</f>
        <v>5188.8483798373818</v>
      </c>
      <c r="C28" s="7" t="s">
        <v>86</v>
      </c>
    </row>
    <row r="29" spans="1:3">
      <c r="A29" s="5" t="s">
        <v>87</v>
      </c>
      <c r="B29" s="15">
        <f>Rata_netta1/12</f>
        <v>432.40403165311517</v>
      </c>
    </row>
    <row r="30" spans="1:3" ht="15" customHeight="1">
      <c r="A30" s="5" t="s">
        <v>88</v>
      </c>
      <c r="B30" s="16">
        <f>IF(COUNT(I62:I106)=0,"oltre 45 rate",MIN(I62:I106))</f>
        <v>27</v>
      </c>
      <c r="C30" s="7" t="s">
        <v>89</v>
      </c>
    </row>
    <row r="31" spans="1:3">
      <c r="A31" s="5" t="s">
        <v>90</v>
      </c>
      <c r="B31" s="16">
        <f>IF(COUNT(J62:J106)=0,"oltre 45 rate",MIN(J62:J106))</f>
        <v>29</v>
      </c>
    </row>
    <row r="32" spans="1:3" ht="15" customHeight="1">
      <c r="A32" s="5" t="s">
        <v>91</v>
      </c>
      <c r="B32" s="17">
        <f>IF(ISNUMBER(Pareggio_lordo),Eta+Pareggio_lordo,"")</f>
        <v>94</v>
      </c>
      <c r="C32" s="7" t="s">
        <v>92</v>
      </c>
    </row>
    <row r="33" spans="1:3" ht="15" customHeight="1">
      <c r="A33" s="5" t="s">
        <v>93</v>
      </c>
      <c r="B33" s="18">
        <f>IF(g_rata=0,1/c_use,LN(1+g_rata/c_use)/LN(1+g_rata))</f>
        <v>26.11704562935159</v>
      </c>
      <c r="C33" s="7" t="s">
        <v>94</v>
      </c>
    </row>
    <row r="34" spans="1:3">
      <c r="A34" s="5" t="s">
        <v>95</v>
      </c>
      <c r="B34" s="18">
        <f>IF(g_rata=0,1/(c_use*(1-Aliq_eff)),"solo con g = 0")</f>
        <v>28.908148594756387</v>
      </c>
    </row>
    <row r="35" spans="1:3" ht="15" customHeight="1">
      <c r="A35" s="5" t="s">
        <v>96</v>
      </c>
      <c r="B35" s="14">
        <f>(1+r_reale)*(1+Infl)-1</f>
        <v>5.0599999999999978E-2</v>
      </c>
      <c r="C35" s="7" t="s">
        <v>97</v>
      </c>
    </row>
    <row r="36" spans="1:3" ht="15" customHeight="1">
      <c r="A36" s="5" t="s">
        <v>98</v>
      </c>
      <c r="B36" s="15">
        <f>-PMT(r_reale,Eta_fine-Eta,K_fondo)</f>
        <v>7223.4182843417502</v>
      </c>
      <c r="C36" s="7" t="s">
        <v>99</v>
      </c>
    </row>
    <row r="37" spans="1:3">
      <c r="A37" s="5" t="s">
        <v>100</v>
      </c>
      <c r="B37" s="15">
        <f>K_fondo*r_reale</f>
        <v>4500</v>
      </c>
    </row>
    <row r="38" spans="1:3" ht="15" customHeight="1">
      <c r="A38" s="5" t="s">
        <v>101</v>
      </c>
      <c r="B38" s="15">
        <f>K_fondo*SWR_studio</f>
        <v>3465</v>
      </c>
      <c r="C38" s="7" t="s">
        <v>102</v>
      </c>
    </row>
    <row r="39" spans="1:3">
      <c r="A39" s="5" t="s">
        <v>103</v>
      </c>
      <c r="B39" s="15">
        <f>Spesa_ess-Pubblica</f>
        <v>6600</v>
      </c>
    </row>
    <row r="40" spans="1:3">
      <c r="A40" s="5" t="s">
        <v>104</v>
      </c>
      <c r="B40" s="19">
        <f>Rata_netta1/Gap_ess</f>
        <v>0.78618914846020937</v>
      </c>
    </row>
    <row r="41" spans="1:3">
      <c r="A41" s="5" t="s">
        <v>105</v>
      </c>
      <c r="B41" s="15">
        <f>Gap_ess-Rata_netta1</f>
        <v>1411.1516201626182</v>
      </c>
    </row>
    <row r="43" spans="1:3">
      <c r="A43" s="48" t="s">
        <v>106</v>
      </c>
      <c r="B43" s="46"/>
      <c r="C43" s="46"/>
    </row>
    <row r="44" spans="1:3">
      <c r="A44" s="20" t="s">
        <v>107</v>
      </c>
      <c r="B44" s="20" t="s">
        <v>108</v>
      </c>
      <c r="C44" s="20" t="s">
        <v>109</v>
      </c>
    </row>
    <row r="45" spans="1:3">
      <c r="A45" s="21">
        <v>5</v>
      </c>
      <c r="B45" s="15">
        <f t="shared" ref="B45:B50" si="0">Rata_lorda1*((1+g_rata)/(1+Infl))^A45</f>
        <v>5201.9521427722966</v>
      </c>
      <c r="C45" s="22">
        <f t="shared" ref="C45:C50" si="1">((1+g_rata)/(1+Infl))^A45</f>
        <v>0.90573080982991572</v>
      </c>
    </row>
    <row r="46" spans="1:3">
      <c r="A46" s="21">
        <v>10</v>
      </c>
      <c r="B46" s="15">
        <f t="shared" si="0"/>
        <v>4711.5683269696174</v>
      </c>
      <c r="C46" s="22">
        <f t="shared" si="1"/>
        <v>0.82034829987515501</v>
      </c>
    </row>
    <row r="47" spans="1:3">
      <c r="A47" s="21">
        <v>15</v>
      </c>
      <c r="B47" s="15">
        <f t="shared" si="0"/>
        <v>4267.4125963551733</v>
      </c>
      <c r="C47" s="22">
        <f t="shared" si="1"/>
        <v>0.7430147299885187</v>
      </c>
    </row>
    <row r="48" spans="1:3">
      <c r="A48" s="21">
        <v>20</v>
      </c>
      <c r="B48" s="15">
        <f t="shared" si="0"/>
        <v>3865.1270667751537</v>
      </c>
      <c r="C48" s="22">
        <f t="shared" si="1"/>
        <v>0.67297133310805712</v>
      </c>
    </row>
    <row r="49" spans="1:10">
      <c r="A49" s="21">
        <v>25</v>
      </c>
      <c r="B49" s="15">
        <f t="shared" si="0"/>
        <v>3500.7646682857867</v>
      </c>
      <c r="C49" s="22">
        <f t="shared" si="1"/>
        <v>0.60953087052827859</v>
      </c>
    </row>
    <row r="50" spans="1:10">
      <c r="A50" s="21">
        <v>30</v>
      </c>
      <c r="B50" s="15">
        <f t="shared" si="0"/>
        <v>3170.7504180304413</v>
      </c>
      <c r="C50" s="22">
        <f t="shared" si="1"/>
        <v>0.55207088897991119</v>
      </c>
    </row>
    <row r="59" spans="1:10">
      <c r="A59" s="48" t="s">
        <v>110</v>
      </c>
      <c r="B59" s="46"/>
      <c r="C59" s="46"/>
      <c r="D59" s="46"/>
      <c r="E59" s="46"/>
      <c r="F59" s="46"/>
      <c r="G59" s="46"/>
      <c r="H59" s="46"/>
      <c r="I59" s="46"/>
      <c r="J59" s="46"/>
    </row>
    <row r="61" spans="1:10" ht="48" customHeight="1">
      <c r="A61" s="20" t="s">
        <v>111</v>
      </c>
      <c r="B61" s="20" t="s">
        <v>112</v>
      </c>
      <c r="C61" s="20" t="s">
        <v>113</v>
      </c>
      <c r="D61" s="20" t="s">
        <v>114</v>
      </c>
      <c r="E61" s="20" t="s">
        <v>115</v>
      </c>
      <c r="F61" s="20" t="s">
        <v>116</v>
      </c>
      <c r="G61" s="20" t="s">
        <v>117</v>
      </c>
      <c r="H61" s="20" t="s">
        <v>118</v>
      </c>
      <c r="I61" s="20" t="s">
        <v>119</v>
      </c>
      <c r="J61" s="20" t="s">
        <v>120</v>
      </c>
    </row>
    <row r="62" spans="1:10">
      <c r="A62" s="23">
        <v>1</v>
      </c>
      <c r="B62" s="17">
        <f t="shared" ref="B62:B106" si="2">Eta+A62</f>
        <v>68</v>
      </c>
      <c r="C62" s="15">
        <f t="shared" ref="C62:C106" si="3">Rata_base*(1+g_rata)^(A62-1)</f>
        <v>5743.3754999999992</v>
      </c>
      <c r="D62" s="15">
        <f t="shared" ref="D62:D106" si="4">Rata_base*(1-Aliq_eff)+(C62-Rata_base)*(1-Aliq_rend)</f>
        <v>5188.8483798373818</v>
      </c>
      <c r="E62" s="14">
        <f t="shared" ref="E62:E106" si="5">1-D62/C62</f>
        <v>9.6550734000000027E-2</v>
      </c>
      <c r="F62" s="15">
        <f t="shared" ref="F62:F106" si="6">D62/(1+Infl)^(A62-1)</f>
        <v>5188.8483798373818</v>
      </c>
      <c r="G62" s="24">
        <f>C62</f>
        <v>5743.3754999999992</v>
      </c>
      <c r="H62" s="24">
        <f>D62</f>
        <v>5188.8483798373818</v>
      </c>
      <c r="I62" s="16" t="str">
        <f t="shared" ref="I62:I106" si="7">IF(G62&gt;=K_fondo,A62,"")</f>
        <v/>
      </c>
      <c r="J62" s="16" t="str">
        <f t="shared" ref="J62:J106" si="8">IF(H62&gt;=K_fondo,A62,"")</f>
        <v/>
      </c>
    </row>
    <row r="63" spans="1:10">
      <c r="A63" s="23">
        <v>2</v>
      </c>
      <c r="B63" s="17">
        <f t="shared" si="2"/>
        <v>69</v>
      </c>
      <c r="C63" s="15">
        <f t="shared" si="3"/>
        <v>5743.3754999999992</v>
      </c>
      <c r="D63" s="15">
        <f t="shared" si="4"/>
        <v>5188.8483798373818</v>
      </c>
      <c r="E63" s="14">
        <f t="shared" si="5"/>
        <v>9.6550734000000027E-2</v>
      </c>
      <c r="F63" s="15">
        <f t="shared" si="6"/>
        <v>5087.1062547425308</v>
      </c>
      <c r="G63" s="24">
        <f t="shared" ref="G63:G106" si="9">G62+C63</f>
        <v>11486.750999999998</v>
      </c>
      <c r="H63" s="24">
        <f t="shared" ref="H63:H106" si="10">H62+D63</f>
        <v>10377.696759674764</v>
      </c>
      <c r="I63" s="16" t="str">
        <f t="shared" si="7"/>
        <v/>
      </c>
      <c r="J63" s="16" t="str">
        <f t="shared" si="8"/>
        <v/>
      </c>
    </row>
    <row r="64" spans="1:10">
      <c r="A64" s="23">
        <v>3</v>
      </c>
      <c r="B64" s="17">
        <f t="shared" si="2"/>
        <v>70</v>
      </c>
      <c r="C64" s="15">
        <f t="shared" si="3"/>
        <v>5743.3754999999992</v>
      </c>
      <c r="D64" s="15">
        <f t="shared" si="4"/>
        <v>5188.8483798373818</v>
      </c>
      <c r="E64" s="14">
        <f t="shared" si="5"/>
        <v>9.6550734000000027E-2</v>
      </c>
      <c r="F64" s="15">
        <f t="shared" si="6"/>
        <v>4987.3590732769917</v>
      </c>
      <c r="G64" s="24">
        <f t="shared" si="9"/>
        <v>17230.126499999998</v>
      </c>
      <c r="H64" s="24">
        <f t="shared" si="10"/>
        <v>15566.545139512145</v>
      </c>
      <c r="I64" s="16" t="str">
        <f t="shared" si="7"/>
        <v/>
      </c>
      <c r="J64" s="16" t="str">
        <f t="shared" si="8"/>
        <v/>
      </c>
    </row>
    <row r="65" spans="1:10">
      <c r="A65" s="23">
        <v>4</v>
      </c>
      <c r="B65" s="17">
        <f t="shared" si="2"/>
        <v>71</v>
      </c>
      <c r="C65" s="15">
        <f t="shared" si="3"/>
        <v>5743.3754999999992</v>
      </c>
      <c r="D65" s="15">
        <f t="shared" si="4"/>
        <v>5188.8483798373818</v>
      </c>
      <c r="E65" s="14">
        <f t="shared" si="5"/>
        <v>9.6550734000000027E-2</v>
      </c>
      <c r="F65" s="15">
        <f t="shared" si="6"/>
        <v>4889.5677188990112</v>
      </c>
      <c r="G65" s="24">
        <f t="shared" si="9"/>
        <v>22973.501999999997</v>
      </c>
      <c r="H65" s="24">
        <f t="shared" si="10"/>
        <v>20755.393519349527</v>
      </c>
      <c r="I65" s="16" t="str">
        <f t="shared" si="7"/>
        <v/>
      </c>
      <c r="J65" s="16" t="str">
        <f t="shared" si="8"/>
        <v/>
      </c>
    </row>
    <row r="66" spans="1:10">
      <c r="A66" s="23">
        <v>5</v>
      </c>
      <c r="B66" s="17">
        <f t="shared" si="2"/>
        <v>72</v>
      </c>
      <c r="C66" s="15">
        <f t="shared" si="3"/>
        <v>5743.3754999999992</v>
      </c>
      <c r="D66" s="15">
        <f t="shared" si="4"/>
        <v>5188.8483798373818</v>
      </c>
      <c r="E66" s="14">
        <f t="shared" si="5"/>
        <v>9.6550734000000027E-2</v>
      </c>
      <c r="F66" s="15">
        <f t="shared" si="6"/>
        <v>4793.6938420578545</v>
      </c>
      <c r="G66" s="24">
        <f t="shared" si="9"/>
        <v>28716.877499999995</v>
      </c>
      <c r="H66" s="24">
        <f t="shared" si="10"/>
        <v>25944.241899186909</v>
      </c>
      <c r="I66" s="16" t="str">
        <f t="shared" si="7"/>
        <v/>
      </c>
      <c r="J66" s="16" t="str">
        <f t="shared" si="8"/>
        <v/>
      </c>
    </row>
    <row r="67" spans="1:10">
      <c r="A67" s="23">
        <v>6</v>
      </c>
      <c r="B67" s="17">
        <f t="shared" si="2"/>
        <v>73</v>
      </c>
      <c r="C67" s="15">
        <f t="shared" si="3"/>
        <v>5743.3754999999992</v>
      </c>
      <c r="D67" s="15">
        <f t="shared" si="4"/>
        <v>5188.8483798373818</v>
      </c>
      <c r="E67" s="14">
        <f t="shared" si="5"/>
        <v>9.6550734000000027E-2</v>
      </c>
      <c r="F67" s="15">
        <f t="shared" si="6"/>
        <v>4699.6998451547588</v>
      </c>
      <c r="G67" s="24">
        <f t="shared" si="9"/>
        <v>34460.252999999997</v>
      </c>
      <c r="H67" s="24">
        <f t="shared" si="10"/>
        <v>31133.090279024291</v>
      </c>
      <c r="I67" s="16" t="str">
        <f t="shared" si="7"/>
        <v/>
      </c>
      <c r="J67" s="16" t="str">
        <f t="shared" si="8"/>
        <v/>
      </c>
    </row>
    <row r="68" spans="1:10">
      <c r="A68" s="23">
        <v>7</v>
      </c>
      <c r="B68" s="17">
        <f t="shared" si="2"/>
        <v>74</v>
      </c>
      <c r="C68" s="15">
        <f t="shared" si="3"/>
        <v>5743.3754999999992</v>
      </c>
      <c r="D68" s="15">
        <f t="shared" si="4"/>
        <v>5188.8483798373818</v>
      </c>
      <c r="E68" s="14">
        <f t="shared" si="5"/>
        <v>9.6550734000000027E-2</v>
      </c>
      <c r="F68" s="15">
        <f t="shared" si="6"/>
        <v>4607.5488677987832</v>
      </c>
      <c r="G68" s="24">
        <f t="shared" si="9"/>
        <v>40203.628499999999</v>
      </c>
      <c r="H68" s="24">
        <f t="shared" si="10"/>
        <v>36321.938658861676</v>
      </c>
      <c r="I68" s="16" t="str">
        <f t="shared" si="7"/>
        <v/>
      </c>
      <c r="J68" s="16" t="str">
        <f t="shared" si="8"/>
        <v/>
      </c>
    </row>
    <row r="69" spans="1:10">
      <c r="A69" s="23">
        <v>8</v>
      </c>
      <c r="B69" s="17">
        <f t="shared" si="2"/>
        <v>75</v>
      </c>
      <c r="C69" s="15">
        <f t="shared" si="3"/>
        <v>5743.3754999999992</v>
      </c>
      <c r="D69" s="15">
        <f t="shared" si="4"/>
        <v>5188.8483798373818</v>
      </c>
      <c r="E69" s="14">
        <f t="shared" si="5"/>
        <v>9.6550734000000027E-2</v>
      </c>
      <c r="F69" s="15">
        <f t="shared" si="6"/>
        <v>4517.2047723517489</v>
      </c>
      <c r="G69" s="24">
        <f t="shared" si="9"/>
        <v>45947.004000000001</v>
      </c>
      <c r="H69" s="24">
        <f t="shared" si="10"/>
        <v>41510.787038699054</v>
      </c>
      <c r="I69" s="16" t="str">
        <f t="shared" si="7"/>
        <v/>
      </c>
      <c r="J69" s="16" t="str">
        <f t="shared" si="8"/>
        <v/>
      </c>
    </row>
    <row r="70" spans="1:10">
      <c r="A70" s="23">
        <v>9</v>
      </c>
      <c r="B70" s="17">
        <f t="shared" si="2"/>
        <v>76</v>
      </c>
      <c r="C70" s="15">
        <f t="shared" si="3"/>
        <v>5743.3754999999992</v>
      </c>
      <c r="D70" s="15">
        <f t="shared" si="4"/>
        <v>5188.8483798373818</v>
      </c>
      <c r="E70" s="14">
        <f t="shared" si="5"/>
        <v>9.6550734000000027E-2</v>
      </c>
      <c r="F70" s="15">
        <f t="shared" si="6"/>
        <v>4428.6321297566165</v>
      </c>
      <c r="G70" s="24">
        <f t="shared" si="9"/>
        <v>51690.379500000003</v>
      </c>
      <c r="H70" s="24">
        <f t="shared" si="10"/>
        <v>46699.635418536433</v>
      </c>
      <c r="I70" s="16" t="str">
        <f t="shared" si="7"/>
        <v/>
      </c>
      <c r="J70" s="16" t="str">
        <f t="shared" si="8"/>
        <v/>
      </c>
    </row>
    <row r="71" spans="1:10">
      <c r="A71" s="23">
        <v>10</v>
      </c>
      <c r="B71" s="17">
        <f t="shared" si="2"/>
        <v>77</v>
      </c>
      <c r="C71" s="15">
        <f t="shared" si="3"/>
        <v>5743.3754999999992</v>
      </c>
      <c r="D71" s="15">
        <f t="shared" si="4"/>
        <v>5188.8483798373818</v>
      </c>
      <c r="E71" s="14">
        <f t="shared" si="5"/>
        <v>9.6550734000000027E-2</v>
      </c>
      <c r="F71" s="15">
        <f t="shared" si="6"/>
        <v>4341.7962056437418</v>
      </c>
      <c r="G71" s="24">
        <f t="shared" si="9"/>
        <v>57433.755000000005</v>
      </c>
      <c r="H71" s="24">
        <f t="shared" si="10"/>
        <v>51888.483798373811</v>
      </c>
      <c r="I71" s="16" t="str">
        <f t="shared" si="7"/>
        <v/>
      </c>
      <c r="J71" s="16" t="str">
        <f t="shared" si="8"/>
        <v/>
      </c>
    </row>
    <row r="72" spans="1:10">
      <c r="A72" s="23">
        <v>11</v>
      </c>
      <c r="B72" s="17">
        <f t="shared" si="2"/>
        <v>78</v>
      </c>
      <c r="C72" s="15">
        <f t="shared" si="3"/>
        <v>5743.3754999999992</v>
      </c>
      <c r="D72" s="15">
        <f t="shared" si="4"/>
        <v>5188.8483798373818</v>
      </c>
      <c r="E72" s="14">
        <f t="shared" si="5"/>
        <v>9.6550734000000027E-2</v>
      </c>
      <c r="F72" s="15">
        <f t="shared" si="6"/>
        <v>4256.6629467095499</v>
      </c>
      <c r="G72" s="24">
        <f t="shared" si="9"/>
        <v>63177.130500000007</v>
      </c>
      <c r="H72" s="24">
        <f t="shared" si="10"/>
        <v>57077.332178211189</v>
      </c>
      <c r="I72" s="16" t="str">
        <f t="shared" si="7"/>
        <v/>
      </c>
      <c r="J72" s="16" t="str">
        <f t="shared" si="8"/>
        <v/>
      </c>
    </row>
    <row r="73" spans="1:10">
      <c r="A73" s="23">
        <v>12</v>
      </c>
      <c r="B73" s="17">
        <f t="shared" si="2"/>
        <v>79</v>
      </c>
      <c r="C73" s="15">
        <f t="shared" si="3"/>
        <v>5743.3754999999992</v>
      </c>
      <c r="D73" s="15">
        <f t="shared" si="4"/>
        <v>5188.8483798373818</v>
      </c>
      <c r="E73" s="14">
        <f t="shared" si="5"/>
        <v>9.6550734000000027E-2</v>
      </c>
      <c r="F73" s="15">
        <f t="shared" si="6"/>
        <v>4173.1989673623048</v>
      </c>
      <c r="G73" s="24">
        <f t="shared" si="9"/>
        <v>68920.506000000008</v>
      </c>
      <c r="H73" s="24">
        <f t="shared" si="10"/>
        <v>62266.180558048567</v>
      </c>
      <c r="I73" s="16" t="str">
        <f t="shared" si="7"/>
        <v/>
      </c>
      <c r="J73" s="16" t="str">
        <f t="shared" si="8"/>
        <v/>
      </c>
    </row>
    <row r="74" spans="1:10">
      <c r="A74" s="23">
        <v>13</v>
      </c>
      <c r="B74" s="17">
        <f t="shared" si="2"/>
        <v>80</v>
      </c>
      <c r="C74" s="15">
        <f t="shared" si="3"/>
        <v>5743.3754999999992</v>
      </c>
      <c r="D74" s="15">
        <f t="shared" si="4"/>
        <v>5188.8483798373818</v>
      </c>
      <c r="E74" s="14">
        <f t="shared" si="5"/>
        <v>9.6550734000000027E-2</v>
      </c>
      <c r="F74" s="15">
        <f t="shared" si="6"/>
        <v>4091.3715366297101</v>
      </c>
      <c r="G74" s="24">
        <f t="shared" si="9"/>
        <v>74663.881500000003</v>
      </c>
      <c r="H74" s="24">
        <f t="shared" si="10"/>
        <v>67455.028937885945</v>
      </c>
      <c r="I74" s="16" t="str">
        <f t="shared" si="7"/>
        <v/>
      </c>
      <c r="J74" s="16" t="str">
        <f t="shared" si="8"/>
        <v/>
      </c>
    </row>
    <row r="75" spans="1:10">
      <c r="A75" s="23">
        <v>14</v>
      </c>
      <c r="B75" s="17">
        <f t="shared" si="2"/>
        <v>81</v>
      </c>
      <c r="C75" s="15">
        <f t="shared" si="3"/>
        <v>5743.3754999999992</v>
      </c>
      <c r="D75" s="15">
        <f t="shared" si="4"/>
        <v>5188.8483798373818</v>
      </c>
      <c r="E75" s="14">
        <f t="shared" si="5"/>
        <v>9.6550734000000027E-2</v>
      </c>
      <c r="F75" s="15">
        <f t="shared" si="6"/>
        <v>4011.1485653232453</v>
      </c>
      <c r="G75" s="24">
        <f t="shared" si="9"/>
        <v>80407.256999999998</v>
      </c>
      <c r="H75" s="24">
        <f t="shared" si="10"/>
        <v>72643.877317723323</v>
      </c>
      <c r="I75" s="16" t="str">
        <f t="shared" si="7"/>
        <v/>
      </c>
      <c r="J75" s="16" t="str">
        <f t="shared" si="8"/>
        <v/>
      </c>
    </row>
    <row r="76" spans="1:10">
      <c r="A76" s="23">
        <v>15</v>
      </c>
      <c r="B76" s="17">
        <f t="shared" si="2"/>
        <v>82</v>
      </c>
      <c r="C76" s="15">
        <f t="shared" si="3"/>
        <v>5743.3754999999992</v>
      </c>
      <c r="D76" s="15">
        <f t="shared" si="4"/>
        <v>5188.8483798373818</v>
      </c>
      <c r="E76" s="14">
        <f t="shared" si="5"/>
        <v>9.6550734000000027E-2</v>
      </c>
      <c r="F76" s="15">
        <f t="shared" si="6"/>
        <v>3932.4985934541619</v>
      </c>
      <c r="G76" s="24">
        <f t="shared" si="9"/>
        <v>86150.632499999992</v>
      </c>
      <c r="H76" s="24">
        <f t="shared" si="10"/>
        <v>77832.725697560702</v>
      </c>
      <c r="I76" s="16" t="str">
        <f t="shared" si="7"/>
        <v/>
      </c>
      <c r="J76" s="16" t="str">
        <f t="shared" si="8"/>
        <v/>
      </c>
    </row>
    <row r="77" spans="1:10">
      <c r="A77" s="23">
        <v>16</v>
      </c>
      <c r="B77" s="17">
        <f t="shared" si="2"/>
        <v>83</v>
      </c>
      <c r="C77" s="15">
        <f t="shared" si="3"/>
        <v>5743.3754999999992</v>
      </c>
      <c r="D77" s="15">
        <f t="shared" si="4"/>
        <v>5188.8483798373818</v>
      </c>
      <c r="E77" s="14">
        <f t="shared" si="5"/>
        <v>9.6550734000000027E-2</v>
      </c>
      <c r="F77" s="15">
        <f t="shared" si="6"/>
        <v>3855.390777896238</v>
      </c>
      <c r="G77" s="24">
        <f t="shared" si="9"/>
        <v>91894.007999999987</v>
      </c>
      <c r="H77" s="24">
        <f t="shared" si="10"/>
        <v>83021.57407739808</v>
      </c>
      <c r="I77" s="16" t="str">
        <f t="shared" si="7"/>
        <v/>
      </c>
      <c r="J77" s="16" t="str">
        <f t="shared" si="8"/>
        <v/>
      </c>
    </row>
    <row r="78" spans="1:10">
      <c r="A78" s="23">
        <v>17</v>
      </c>
      <c r="B78" s="17">
        <f t="shared" si="2"/>
        <v>84</v>
      </c>
      <c r="C78" s="15">
        <f t="shared" si="3"/>
        <v>5743.3754999999992</v>
      </c>
      <c r="D78" s="15">
        <f t="shared" si="4"/>
        <v>5188.8483798373818</v>
      </c>
      <c r="E78" s="14">
        <f t="shared" si="5"/>
        <v>9.6550734000000027E-2</v>
      </c>
      <c r="F78" s="15">
        <f t="shared" si="6"/>
        <v>3779.7948802904289</v>
      </c>
      <c r="G78" s="24">
        <f t="shared" si="9"/>
        <v>97637.383499999982</v>
      </c>
      <c r="H78" s="24">
        <f t="shared" si="10"/>
        <v>88210.422457235458</v>
      </c>
      <c r="I78" s="16" t="str">
        <f t="shared" si="7"/>
        <v/>
      </c>
      <c r="J78" s="16" t="str">
        <f t="shared" si="8"/>
        <v/>
      </c>
    </row>
    <row r="79" spans="1:10">
      <c r="A79" s="23">
        <v>18</v>
      </c>
      <c r="B79" s="17">
        <f t="shared" si="2"/>
        <v>85</v>
      </c>
      <c r="C79" s="15">
        <f t="shared" si="3"/>
        <v>5743.3754999999992</v>
      </c>
      <c r="D79" s="15">
        <f t="shared" si="4"/>
        <v>5188.8483798373818</v>
      </c>
      <c r="E79" s="14">
        <f t="shared" si="5"/>
        <v>9.6550734000000027E-2</v>
      </c>
      <c r="F79" s="15">
        <f t="shared" si="6"/>
        <v>3705.6812551866947</v>
      </c>
      <c r="G79" s="24">
        <f t="shared" si="9"/>
        <v>103380.75899999998</v>
      </c>
      <c r="H79" s="24">
        <f t="shared" si="10"/>
        <v>93399.270837072836</v>
      </c>
      <c r="I79" s="16" t="str">
        <f t="shared" si="7"/>
        <v/>
      </c>
      <c r="J79" s="16" t="str">
        <f t="shared" si="8"/>
        <v/>
      </c>
    </row>
    <row r="80" spans="1:10">
      <c r="A80" s="23">
        <v>19</v>
      </c>
      <c r="B80" s="17">
        <f t="shared" si="2"/>
        <v>86</v>
      </c>
      <c r="C80" s="15">
        <f t="shared" si="3"/>
        <v>5743.3754999999992</v>
      </c>
      <c r="D80" s="15">
        <f t="shared" si="4"/>
        <v>5188.8483798373818</v>
      </c>
      <c r="E80" s="14">
        <f t="shared" si="5"/>
        <v>9.6550734000000027E-2</v>
      </c>
      <c r="F80" s="15">
        <f t="shared" si="6"/>
        <v>3633.0208384183284</v>
      </c>
      <c r="G80" s="24">
        <f t="shared" si="9"/>
        <v>109124.13449999997</v>
      </c>
      <c r="H80" s="24">
        <f t="shared" si="10"/>
        <v>98588.119216910214</v>
      </c>
      <c r="I80" s="16" t="str">
        <f t="shared" si="7"/>
        <v/>
      </c>
      <c r="J80" s="16" t="str">
        <f t="shared" si="8"/>
        <v/>
      </c>
    </row>
    <row r="81" spans="1:10">
      <c r="A81" s="23">
        <v>20</v>
      </c>
      <c r="B81" s="17">
        <f t="shared" si="2"/>
        <v>87</v>
      </c>
      <c r="C81" s="15">
        <f t="shared" si="3"/>
        <v>5743.3754999999992</v>
      </c>
      <c r="D81" s="15">
        <f t="shared" si="4"/>
        <v>5188.8483798373818</v>
      </c>
      <c r="E81" s="14">
        <f t="shared" si="5"/>
        <v>9.6550734000000027E-2</v>
      </c>
      <c r="F81" s="15">
        <f t="shared" si="6"/>
        <v>3561.7851357042437</v>
      </c>
      <c r="G81" s="24">
        <f t="shared" si="9"/>
        <v>114867.50999999997</v>
      </c>
      <c r="H81" s="24">
        <f t="shared" si="10"/>
        <v>103776.96759674759</v>
      </c>
      <c r="I81" s="16" t="str">
        <f t="shared" si="7"/>
        <v/>
      </c>
      <c r="J81" s="16" t="str">
        <f t="shared" si="8"/>
        <v/>
      </c>
    </row>
    <row r="82" spans="1:10">
      <c r="A82" s="23">
        <v>21</v>
      </c>
      <c r="B82" s="17">
        <f t="shared" si="2"/>
        <v>88</v>
      </c>
      <c r="C82" s="15">
        <f t="shared" si="3"/>
        <v>5743.3754999999992</v>
      </c>
      <c r="D82" s="15">
        <f t="shared" si="4"/>
        <v>5188.8483798373818</v>
      </c>
      <c r="E82" s="14">
        <f t="shared" si="5"/>
        <v>9.6550734000000027E-2</v>
      </c>
      <c r="F82" s="15">
        <f t="shared" si="6"/>
        <v>3491.9462114747485</v>
      </c>
      <c r="G82" s="24">
        <f t="shared" si="9"/>
        <v>120610.88549999996</v>
      </c>
      <c r="H82" s="24">
        <f t="shared" si="10"/>
        <v>108965.81597658497</v>
      </c>
      <c r="I82" s="16" t="str">
        <f t="shared" si="7"/>
        <v/>
      </c>
      <c r="J82" s="16" t="str">
        <f t="shared" si="8"/>
        <v/>
      </c>
    </row>
    <row r="83" spans="1:10">
      <c r="A83" s="23">
        <v>22</v>
      </c>
      <c r="B83" s="17">
        <f t="shared" si="2"/>
        <v>89</v>
      </c>
      <c r="C83" s="15">
        <f t="shared" si="3"/>
        <v>5743.3754999999992</v>
      </c>
      <c r="D83" s="15">
        <f t="shared" si="4"/>
        <v>5188.8483798373818</v>
      </c>
      <c r="E83" s="14">
        <f t="shared" si="5"/>
        <v>9.6550734000000027E-2</v>
      </c>
      <c r="F83" s="15">
        <f t="shared" si="6"/>
        <v>3423.4766779164202</v>
      </c>
      <c r="G83" s="24">
        <f t="shared" si="9"/>
        <v>126354.26099999995</v>
      </c>
      <c r="H83" s="24">
        <f t="shared" si="10"/>
        <v>114154.66435642235</v>
      </c>
      <c r="I83" s="16" t="str">
        <f t="shared" si="7"/>
        <v/>
      </c>
      <c r="J83" s="16" t="str">
        <f t="shared" si="8"/>
        <v/>
      </c>
    </row>
    <row r="84" spans="1:10">
      <c r="A84" s="23">
        <v>23</v>
      </c>
      <c r="B84" s="17">
        <f t="shared" si="2"/>
        <v>90</v>
      </c>
      <c r="C84" s="15">
        <f t="shared" si="3"/>
        <v>5743.3754999999992</v>
      </c>
      <c r="D84" s="15">
        <f t="shared" si="4"/>
        <v>5188.8483798373818</v>
      </c>
      <c r="E84" s="14">
        <f t="shared" si="5"/>
        <v>9.6550734000000027E-2</v>
      </c>
      <c r="F84" s="15">
        <f t="shared" si="6"/>
        <v>3356.3496842317845</v>
      </c>
      <c r="G84" s="24">
        <f t="shared" si="9"/>
        <v>132097.63649999996</v>
      </c>
      <c r="H84" s="24">
        <f t="shared" si="10"/>
        <v>119343.51273625973</v>
      </c>
      <c r="I84" s="16" t="str">
        <f t="shared" si="7"/>
        <v/>
      </c>
      <c r="J84" s="16" t="str">
        <f t="shared" si="8"/>
        <v/>
      </c>
    </row>
    <row r="85" spans="1:10">
      <c r="A85" s="23">
        <v>24</v>
      </c>
      <c r="B85" s="17">
        <f t="shared" si="2"/>
        <v>91</v>
      </c>
      <c r="C85" s="15">
        <f t="shared" si="3"/>
        <v>5743.3754999999992</v>
      </c>
      <c r="D85" s="15">
        <f t="shared" si="4"/>
        <v>5188.8483798373818</v>
      </c>
      <c r="E85" s="14">
        <f t="shared" si="5"/>
        <v>9.6550734000000027E-2</v>
      </c>
      <c r="F85" s="15">
        <f t="shared" si="6"/>
        <v>3290.538906109593</v>
      </c>
      <c r="G85" s="24">
        <f t="shared" si="9"/>
        <v>137841.01199999996</v>
      </c>
      <c r="H85" s="24">
        <f t="shared" si="10"/>
        <v>124532.3611160971</v>
      </c>
      <c r="I85" s="16" t="str">
        <f t="shared" si="7"/>
        <v/>
      </c>
      <c r="J85" s="16" t="str">
        <f t="shared" si="8"/>
        <v/>
      </c>
    </row>
    <row r="86" spans="1:10">
      <c r="A86" s="23">
        <v>25</v>
      </c>
      <c r="B86" s="17">
        <f t="shared" si="2"/>
        <v>92</v>
      </c>
      <c r="C86" s="15">
        <f t="shared" si="3"/>
        <v>5743.3754999999992</v>
      </c>
      <c r="D86" s="15">
        <f t="shared" si="4"/>
        <v>5188.8483798373818</v>
      </c>
      <c r="E86" s="14">
        <f t="shared" si="5"/>
        <v>9.6550734000000027E-2</v>
      </c>
      <c r="F86" s="15">
        <f t="shared" si="6"/>
        <v>3226.0185354015616</v>
      </c>
      <c r="G86" s="24">
        <f t="shared" si="9"/>
        <v>143584.38749999995</v>
      </c>
      <c r="H86" s="24">
        <f t="shared" si="10"/>
        <v>129721.20949593448</v>
      </c>
      <c r="I86" s="16" t="str">
        <f t="shared" si="7"/>
        <v/>
      </c>
      <c r="J86" s="16" t="str">
        <f t="shared" si="8"/>
        <v/>
      </c>
    </row>
    <row r="87" spans="1:10">
      <c r="A87" s="23">
        <v>26</v>
      </c>
      <c r="B87" s="17">
        <f t="shared" si="2"/>
        <v>93</v>
      </c>
      <c r="C87" s="15">
        <f t="shared" si="3"/>
        <v>5743.3754999999992</v>
      </c>
      <c r="D87" s="15">
        <f t="shared" si="4"/>
        <v>5188.8483798373818</v>
      </c>
      <c r="E87" s="14">
        <f t="shared" si="5"/>
        <v>9.6550734000000027E-2</v>
      </c>
      <c r="F87" s="15">
        <f t="shared" si="6"/>
        <v>3162.7632700015311</v>
      </c>
      <c r="G87" s="24">
        <f t="shared" si="9"/>
        <v>149327.76299999995</v>
      </c>
      <c r="H87" s="24">
        <f t="shared" si="10"/>
        <v>134910.05787577186</v>
      </c>
      <c r="I87" s="16" t="str">
        <f t="shared" si="7"/>
        <v/>
      </c>
      <c r="J87" s="16" t="str">
        <f t="shared" si="8"/>
        <v/>
      </c>
    </row>
    <row r="88" spans="1:10">
      <c r="A88" s="23">
        <v>27</v>
      </c>
      <c r="B88" s="17">
        <f t="shared" si="2"/>
        <v>94</v>
      </c>
      <c r="C88" s="15">
        <f t="shared" si="3"/>
        <v>5743.3754999999992</v>
      </c>
      <c r="D88" s="15">
        <f t="shared" si="4"/>
        <v>5188.8483798373818</v>
      </c>
      <c r="E88" s="14">
        <f t="shared" si="5"/>
        <v>9.6550734000000027E-2</v>
      </c>
      <c r="F88" s="15">
        <f t="shared" si="6"/>
        <v>3100.7483039230692</v>
      </c>
      <c r="G88" s="24">
        <f t="shared" si="9"/>
        <v>155071.13849999994</v>
      </c>
      <c r="H88" s="24">
        <f t="shared" si="10"/>
        <v>140098.90625560924</v>
      </c>
      <c r="I88" s="16">
        <f t="shared" si="7"/>
        <v>27</v>
      </c>
      <c r="J88" s="16" t="str">
        <f t="shared" si="8"/>
        <v/>
      </c>
    </row>
    <row r="89" spans="1:10">
      <c r="A89" s="23">
        <v>28</v>
      </c>
      <c r="B89" s="17">
        <f t="shared" si="2"/>
        <v>95</v>
      </c>
      <c r="C89" s="15">
        <f t="shared" si="3"/>
        <v>5743.3754999999992</v>
      </c>
      <c r="D89" s="15">
        <f t="shared" si="4"/>
        <v>5188.8483798373818</v>
      </c>
      <c r="E89" s="14">
        <f t="shared" si="5"/>
        <v>9.6550734000000027E-2</v>
      </c>
      <c r="F89" s="15">
        <f t="shared" si="6"/>
        <v>3039.949317571637</v>
      </c>
      <c r="G89" s="24">
        <f t="shared" si="9"/>
        <v>160814.51399999994</v>
      </c>
      <c r="H89" s="24">
        <f t="shared" si="10"/>
        <v>145287.75463544662</v>
      </c>
      <c r="I89" s="16">
        <f t="shared" si="7"/>
        <v>28</v>
      </c>
      <c r="J89" s="16" t="str">
        <f t="shared" si="8"/>
        <v/>
      </c>
    </row>
    <row r="90" spans="1:10">
      <c r="A90" s="23">
        <v>29</v>
      </c>
      <c r="B90" s="17">
        <f t="shared" si="2"/>
        <v>96</v>
      </c>
      <c r="C90" s="15">
        <f t="shared" si="3"/>
        <v>5743.3754999999992</v>
      </c>
      <c r="D90" s="15">
        <f t="shared" si="4"/>
        <v>5188.8483798373818</v>
      </c>
      <c r="E90" s="14">
        <f t="shared" si="5"/>
        <v>9.6550734000000027E-2</v>
      </c>
      <c r="F90" s="15">
        <f t="shared" si="6"/>
        <v>2980.3424682074869</v>
      </c>
      <c r="G90" s="24">
        <f t="shared" si="9"/>
        <v>166557.88949999993</v>
      </c>
      <c r="H90" s="24">
        <f t="shared" si="10"/>
        <v>150476.603015284</v>
      </c>
      <c r="I90" s="16">
        <f t="shared" si="7"/>
        <v>29</v>
      </c>
      <c r="J90" s="16">
        <f t="shared" si="8"/>
        <v>29</v>
      </c>
    </row>
    <row r="91" spans="1:10">
      <c r="A91" s="23">
        <v>30</v>
      </c>
      <c r="B91" s="17">
        <f t="shared" si="2"/>
        <v>97</v>
      </c>
      <c r="C91" s="15">
        <f t="shared" si="3"/>
        <v>5743.3754999999992</v>
      </c>
      <c r="D91" s="15">
        <f t="shared" si="4"/>
        <v>5188.8483798373818</v>
      </c>
      <c r="E91" s="14">
        <f t="shared" si="5"/>
        <v>9.6550734000000027E-2</v>
      </c>
      <c r="F91" s="15">
        <f t="shared" si="6"/>
        <v>2921.9043805955757</v>
      </c>
      <c r="G91" s="24">
        <f t="shared" si="9"/>
        <v>172301.26499999993</v>
      </c>
      <c r="H91" s="24">
        <f t="shared" si="10"/>
        <v>155665.45139512137</v>
      </c>
      <c r="I91" s="16">
        <f t="shared" si="7"/>
        <v>30</v>
      </c>
      <c r="J91" s="16">
        <f t="shared" si="8"/>
        <v>30</v>
      </c>
    </row>
    <row r="92" spans="1:10">
      <c r="A92" s="23">
        <v>31</v>
      </c>
      <c r="B92" s="17">
        <f t="shared" si="2"/>
        <v>98</v>
      </c>
      <c r="C92" s="15">
        <f t="shared" si="3"/>
        <v>5743.3754999999992</v>
      </c>
      <c r="D92" s="15">
        <f t="shared" si="4"/>
        <v>5188.8483798373818</v>
      </c>
      <c r="E92" s="14">
        <f t="shared" si="5"/>
        <v>9.6550734000000027E-2</v>
      </c>
      <c r="F92" s="15">
        <f t="shared" si="6"/>
        <v>2864.6121378387993</v>
      </c>
      <c r="G92" s="24">
        <f t="shared" si="9"/>
        <v>178044.64049999992</v>
      </c>
      <c r="H92" s="24">
        <f t="shared" si="10"/>
        <v>160854.29977495875</v>
      </c>
      <c r="I92" s="16">
        <f t="shared" si="7"/>
        <v>31</v>
      </c>
      <c r="J92" s="16">
        <f t="shared" si="8"/>
        <v>31</v>
      </c>
    </row>
    <row r="93" spans="1:10">
      <c r="A93" s="23">
        <v>32</v>
      </c>
      <c r="B93" s="17">
        <f t="shared" si="2"/>
        <v>99</v>
      </c>
      <c r="C93" s="15">
        <f t="shared" si="3"/>
        <v>5743.3754999999992</v>
      </c>
      <c r="D93" s="15">
        <f t="shared" si="4"/>
        <v>5188.8483798373818</v>
      </c>
      <c r="E93" s="14">
        <f t="shared" si="5"/>
        <v>9.6550734000000027E-2</v>
      </c>
      <c r="F93" s="15">
        <f t="shared" si="6"/>
        <v>2808.4432723909804</v>
      </c>
      <c r="G93" s="24">
        <f t="shared" si="9"/>
        <v>183788.01599999992</v>
      </c>
      <c r="H93" s="24">
        <f t="shared" si="10"/>
        <v>166043.14815479613</v>
      </c>
      <c r="I93" s="16">
        <f t="shared" si="7"/>
        <v>32</v>
      </c>
      <c r="J93" s="16">
        <f t="shared" si="8"/>
        <v>32</v>
      </c>
    </row>
    <row r="94" spans="1:10">
      <c r="A94" s="23">
        <v>33</v>
      </c>
      <c r="B94" s="17">
        <f t="shared" si="2"/>
        <v>100</v>
      </c>
      <c r="C94" s="15">
        <f t="shared" si="3"/>
        <v>5743.3754999999992</v>
      </c>
      <c r="D94" s="15">
        <f t="shared" si="4"/>
        <v>5188.8483798373818</v>
      </c>
      <c r="E94" s="14">
        <f t="shared" si="5"/>
        <v>9.6550734000000027E-2</v>
      </c>
      <c r="F94" s="15">
        <f t="shared" si="6"/>
        <v>2753.3757572460586</v>
      </c>
      <c r="G94" s="24">
        <f t="shared" si="9"/>
        <v>189531.39149999991</v>
      </c>
      <c r="H94" s="24">
        <f t="shared" si="10"/>
        <v>171231.99653463351</v>
      </c>
      <c r="I94" s="16">
        <f t="shared" si="7"/>
        <v>33</v>
      </c>
      <c r="J94" s="16">
        <f t="shared" si="8"/>
        <v>33</v>
      </c>
    </row>
    <row r="95" spans="1:10">
      <c r="A95" s="23">
        <v>34</v>
      </c>
      <c r="B95" s="17">
        <f t="shared" si="2"/>
        <v>101</v>
      </c>
      <c r="C95" s="15">
        <f t="shared" si="3"/>
        <v>5743.3754999999992</v>
      </c>
      <c r="D95" s="15">
        <f t="shared" si="4"/>
        <v>5188.8483798373818</v>
      </c>
      <c r="E95" s="14">
        <f t="shared" si="5"/>
        <v>9.6550734000000027E-2</v>
      </c>
      <c r="F95" s="15">
        <f t="shared" si="6"/>
        <v>2699.3879973000576</v>
      </c>
      <c r="G95" s="24">
        <f t="shared" si="9"/>
        <v>195274.76699999991</v>
      </c>
      <c r="H95" s="24">
        <f t="shared" si="10"/>
        <v>176420.84491447089</v>
      </c>
      <c r="I95" s="16">
        <f t="shared" si="7"/>
        <v>34</v>
      </c>
      <c r="J95" s="16">
        <f t="shared" si="8"/>
        <v>34</v>
      </c>
    </row>
    <row r="96" spans="1:10">
      <c r="A96" s="23">
        <v>35</v>
      </c>
      <c r="B96" s="17">
        <f t="shared" si="2"/>
        <v>102</v>
      </c>
      <c r="C96" s="15">
        <f t="shared" si="3"/>
        <v>5743.3754999999992</v>
      </c>
      <c r="D96" s="15">
        <f t="shared" si="4"/>
        <v>5188.8483798373818</v>
      </c>
      <c r="E96" s="14">
        <f t="shared" si="5"/>
        <v>9.6550734000000027E-2</v>
      </c>
      <c r="F96" s="15">
        <f t="shared" si="6"/>
        <v>2646.4588208824093</v>
      </c>
      <c r="G96" s="24">
        <f t="shared" si="9"/>
        <v>201018.1424999999</v>
      </c>
      <c r="H96" s="24">
        <f t="shared" si="10"/>
        <v>181609.69329430826</v>
      </c>
      <c r="I96" s="16">
        <f t="shared" si="7"/>
        <v>35</v>
      </c>
      <c r="J96" s="16">
        <f t="shared" si="8"/>
        <v>35</v>
      </c>
    </row>
    <row r="97" spans="1:10">
      <c r="A97" s="23">
        <v>36</v>
      </c>
      <c r="B97" s="17">
        <f t="shared" si="2"/>
        <v>103</v>
      </c>
      <c r="C97" s="15">
        <f t="shared" si="3"/>
        <v>5743.3754999999992</v>
      </c>
      <c r="D97" s="15">
        <f t="shared" si="4"/>
        <v>5188.8483798373818</v>
      </c>
      <c r="E97" s="14">
        <f t="shared" si="5"/>
        <v>9.6550734000000027E-2</v>
      </c>
      <c r="F97" s="15">
        <f t="shared" si="6"/>
        <v>2594.5674714533429</v>
      </c>
      <c r="G97" s="24">
        <f t="shared" si="9"/>
        <v>206761.51799999989</v>
      </c>
      <c r="H97" s="24">
        <f t="shared" si="10"/>
        <v>186798.54167414564</v>
      </c>
      <c r="I97" s="16">
        <f t="shared" si="7"/>
        <v>36</v>
      </c>
      <c r="J97" s="16">
        <f t="shared" si="8"/>
        <v>36</v>
      </c>
    </row>
    <row r="98" spans="1:10">
      <c r="A98" s="23">
        <v>37</v>
      </c>
      <c r="B98" s="17">
        <f t="shared" si="2"/>
        <v>104</v>
      </c>
      <c r="C98" s="15">
        <f t="shared" si="3"/>
        <v>5743.3754999999992</v>
      </c>
      <c r="D98" s="15">
        <f t="shared" si="4"/>
        <v>5188.8483798373818</v>
      </c>
      <c r="E98" s="14">
        <f t="shared" si="5"/>
        <v>9.6550734000000027E-2</v>
      </c>
      <c r="F98" s="15">
        <f t="shared" si="6"/>
        <v>2543.6935994640617</v>
      </c>
      <c r="G98" s="24">
        <f t="shared" si="9"/>
        <v>212504.89349999989</v>
      </c>
      <c r="H98" s="24">
        <f t="shared" si="10"/>
        <v>191987.39005398302</v>
      </c>
      <c r="I98" s="16">
        <f t="shared" si="7"/>
        <v>37</v>
      </c>
      <c r="J98" s="16">
        <f t="shared" si="8"/>
        <v>37</v>
      </c>
    </row>
    <row r="99" spans="1:10">
      <c r="A99" s="23">
        <v>38</v>
      </c>
      <c r="B99" s="17">
        <f t="shared" si="2"/>
        <v>105</v>
      </c>
      <c r="C99" s="15">
        <f t="shared" si="3"/>
        <v>5743.3754999999992</v>
      </c>
      <c r="D99" s="15">
        <f t="shared" si="4"/>
        <v>5188.8483798373818</v>
      </c>
      <c r="E99" s="14">
        <f t="shared" si="5"/>
        <v>9.6550734000000027E-2</v>
      </c>
      <c r="F99" s="15">
        <f t="shared" si="6"/>
        <v>2493.8172543765309</v>
      </c>
      <c r="G99" s="24">
        <f t="shared" si="9"/>
        <v>218248.26899999988</v>
      </c>
      <c r="H99" s="24">
        <f t="shared" si="10"/>
        <v>197176.2384338204</v>
      </c>
      <c r="I99" s="16">
        <f t="shared" si="7"/>
        <v>38</v>
      </c>
      <c r="J99" s="16">
        <f t="shared" si="8"/>
        <v>38</v>
      </c>
    </row>
    <row r="100" spans="1:10">
      <c r="A100" s="23">
        <v>39</v>
      </c>
      <c r="B100" s="17">
        <f t="shared" si="2"/>
        <v>106</v>
      </c>
      <c r="C100" s="15">
        <f t="shared" si="3"/>
        <v>5743.3754999999992</v>
      </c>
      <c r="D100" s="15">
        <f t="shared" si="4"/>
        <v>5188.8483798373818</v>
      </c>
      <c r="E100" s="14">
        <f t="shared" si="5"/>
        <v>9.6550734000000027E-2</v>
      </c>
      <c r="F100" s="15">
        <f t="shared" si="6"/>
        <v>2444.9188768397357</v>
      </c>
      <c r="G100" s="24">
        <f t="shared" si="9"/>
        <v>223991.64449999988</v>
      </c>
      <c r="H100" s="24">
        <f t="shared" si="10"/>
        <v>202365.08681365778</v>
      </c>
      <c r="I100" s="16">
        <f t="shared" si="7"/>
        <v>39</v>
      </c>
      <c r="J100" s="16">
        <f t="shared" si="8"/>
        <v>39</v>
      </c>
    </row>
    <row r="101" spans="1:10">
      <c r="A101" s="23">
        <v>40</v>
      </c>
      <c r="B101" s="17">
        <f t="shared" si="2"/>
        <v>107</v>
      </c>
      <c r="C101" s="15">
        <f t="shared" si="3"/>
        <v>5743.3754999999992</v>
      </c>
      <c r="D101" s="15">
        <f t="shared" si="4"/>
        <v>5188.8483798373818</v>
      </c>
      <c r="E101" s="14">
        <f t="shared" si="5"/>
        <v>9.6550734000000027E-2</v>
      </c>
      <c r="F101" s="15">
        <f t="shared" si="6"/>
        <v>2396.9792910193496</v>
      </c>
      <c r="G101" s="24">
        <f t="shared" si="9"/>
        <v>229735.01999999987</v>
      </c>
      <c r="H101" s="24">
        <f t="shared" si="10"/>
        <v>207553.93519349516</v>
      </c>
      <c r="I101" s="16">
        <f t="shared" si="7"/>
        <v>40</v>
      </c>
      <c r="J101" s="16">
        <f t="shared" si="8"/>
        <v>40</v>
      </c>
    </row>
    <row r="102" spans="1:10">
      <c r="A102" s="23">
        <v>41</v>
      </c>
      <c r="B102" s="17">
        <f t="shared" si="2"/>
        <v>108</v>
      </c>
      <c r="C102" s="15">
        <f t="shared" si="3"/>
        <v>5743.3754999999992</v>
      </c>
      <c r="D102" s="15">
        <f t="shared" si="4"/>
        <v>5188.8483798373818</v>
      </c>
      <c r="E102" s="14">
        <f t="shared" si="5"/>
        <v>9.6550734000000027E-2</v>
      </c>
      <c r="F102" s="15">
        <f t="shared" si="6"/>
        <v>2349.9796970777934</v>
      </c>
      <c r="G102" s="24">
        <f t="shared" si="9"/>
        <v>235478.39549999987</v>
      </c>
      <c r="H102" s="24">
        <f t="shared" si="10"/>
        <v>212742.78357333253</v>
      </c>
      <c r="I102" s="16">
        <f t="shared" si="7"/>
        <v>41</v>
      </c>
      <c r="J102" s="16">
        <f t="shared" si="8"/>
        <v>41</v>
      </c>
    </row>
    <row r="103" spans="1:10">
      <c r="A103" s="23">
        <v>42</v>
      </c>
      <c r="B103" s="17">
        <f t="shared" si="2"/>
        <v>109</v>
      </c>
      <c r="C103" s="15">
        <f t="shared" si="3"/>
        <v>5743.3754999999992</v>
      </c>
      <c r="D103" s="15">
        <f t="shared" si="4"/>
        <v>5188.8483798373818</v>
      </c>
      <c r="E103" s="14">
        <f t="shared" si="5"/>
        <v>9.6550734000000027E-2</v>
      </c>
      <c r="F103" s="15">
        <f t="shared" si="6"/>
        <v>2303.9016638017579</v>
      </c>
      <c r="G103" s="24">
        <f t="shared" si="9"/>
        <v>241221.77099999986</v>
      </c>
      <c r="H103" s="24">
        <f t="shared" si="10"/>
        <v>217931.63195316991</v>
      </c>
      <c r="I103" s="16">
        <f t="shared" si="7"/>
        <v>42</v>
      </c>
      <c r="J103" s="16">
        <f t="shared" si="8"/>
        <v>42</v>
      </c>
    </row>
    <row r="104" spans="1:10">
      <c r="A104" s="23">
        <v>43</v>
      </c>
      <c r="B104" s="17">
        <f t="shared" si="2"/>
        <v>110</v>
      </c>
      <c r="C104" s="15">
        <f t="shared" si="3"/>
        <v>5743.3754999999992</v>
      </c>
      <c r="D104" s="15">
        <f t="shared" si="4"/>
        <v>5188.8483798373818</v>
      </c>
      <c r="E104" s="14">
        <f t="shared" si="5"/>
        <v>9.6550734000000027E-2</v>
      </c>
      <c r="F104" s="15">
        <f t="shared" si="6"/>
        <v>2258.7271213742729</v>
      </c>
      <c r="G104" s="24">
        <f t="shared" si="9"/>
        <v>246965.14649999986</v>
      </c>
      <c r="H104" s="24">
        <f t="shared" si="10"/>
        <v>223120.48033300729</v>
      </c>
      <c r="I104" s="16">
        <f t="shared" si="7"/>
        <v>43</v>
      </c>
      <c r="J104" s="16">
        <f t="shared" si="8"/>
        <v>43</v>
      </c>
    </row>
    <row r="105" spans="1:10">
      <c r="A105" s="23">
        <v>44</v>
      </c>
      <c r="B105" s="17">
        <f t="shared" si="2"/>
        <v>111</v>
      </c>
      <c r="C105" s="15">
        <f t="shared" si="3"/>
        <v>5743.3754999999992</v>
      </c>
      <c r="D105" s="15">
        <f t="shared" si="4"/>
        <v>5188.8483798373818</v>
      </c>
      <c r="E105" s="14">
        <f t="shared" si="5"/>
        <v>9.6550734000000027E-2</v>
      </c>
      <c r="F105" s="15">
        <f t="shared" si="6"/>
        <v>2214.438354288503</v>
      </c>
      <c r="G105" s="24">
        <f t="shared" si="9"/>
        <v>252708.52199999985</v>
      </c>
      <c r="H105" s="24">
        <f t="shared" si="10"/>
        <v>228309.32871284467</v>
      </c>
      <c r="I105" s="16">
        <f t="shared" si="7"/>
        <v>44</v>
      </c>
      <c r="J105" s="16">
        <f t="shared" si="8"/>
        <v>44</v>
      </c>
    </row>
    <row r="106" spans="1:10">
      <c r="A106" s="23">
        <v>45</v>
      </c>
      <c r="B106" s="17">
        <f t="shared" si="2"/>
        <v>112</v>
      </c>
      <c r="C106" s="15">
        <f t="shared" si="3"/>
        <v>5743.3754999999992</v>
      </c>
      <c r="D106" s="15">
        <f t="shared" si="4"/>
        <v>5188.8483798373818</v>
      </c>
      <c r="E106" s="14">
        <f t="shared" si="5"/>
        <v>9.6550734000000027E-2</v>
      </c>
      <c r="F106" s="15">
        <f t="shared" si="6"/>
        <v>2171.0179944004926</v>
      </c>
      <c r="G106" s="24">
        <f t="shared" si="9"/>
        <v>258451.89749999985</v>
      </c>
      <c r="H106" s="24">
        <f t="shared" si="10"/>
        <v>233498.17709268205</v>
      </c>
      <c r="I106" s="16">
        <f t="shared" si="7"/>
        <v>45</v>
      </c>
      <c r="J106" s="16">
        <f t="shared" si="8"/>
        <v>45</v>
      </c>
    </row>
    <row r="108" spans="1:10" ht="15" customHeight="1">
      <c r="A108" s="50" t="s">
        <v>121</v>
      </c>
      <c r="B108" s="46"/>
      <c r="C108" s="46"/>
      <c r="D108" s="46"/>
      <c r="E108" s="46"/>
      <c r="F108" s="46"/>
      <c r="G108" s="46"/>
      <c r="H108" s="46"/>
    </row>
  </sheetData>
  <mergeCells count="8">
    <mergeCell ref="A1:J1"/>
    <mergeCell ref="A59:J59"/>
    <mergeCell ref="A3:C3"/>
    <mergeCell ref="A21:C21"/>
    <mergeCell ref="A108:H108"/>
    <mergeCell ref="A2:J2"/>
    <mergeCell ref="A4:C4"/>
    <mergeCell ref="A43:C43"/>
  </mergeCells>
  <dataValidations count="3">
    <dataValidation type="list" sqref="B7">
      <formula1>"F,M"</formula1>
    </dataValidation>
    <dataValidation type="list" sqref="B8">
      <formula1>"Fondo A tt0,Fondo B tt0,Fondo B tt1,Personalizzato"</formula1>
    </dataValidation>
    <dataValidation type="whole" error="Inserisci un numero intero tra 40 e 80" sqref="B6">
      <formula1>40</formula1>
      <formula2>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/>
  <cols>
    <col min="1" max="1" width="12" customWidth="1"/>
    <col min="2" max="5" width="17" customWidth="1"/>
    <col min="6" max="7" width="18" customWidth="1"/>
    <col min="8" max="11" width="24" customWidth="1"/>
    <col min="12" max="15" width="19" customWidth="1"/>
    <col min="16" max="17" width="22" customWidth="1"/>
  </cols>
  <sheetData>
    <row r="1" spans="1:17" ht="24.95" customHeight="1">
      <c r="A1" s="47" t="s">
        <v>122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32.1" customHeight="1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ht="62.1" customHeight="1">
      <c r="A3" s="50" t="s">
        <v>123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7">
      <c r="A4" s="48" t="s">
        <v>124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6" spans="1:17" ht="48" customHeight="1">
      <c r="A6" s="20" t="s">
        <v>125</v>
      </c>
      <c r="B6" s="20" t="s">
        <v>126</v>
      </c>
      <c r="C6" s="20" t="s">
        <v>127</v>
      </c>
      <c r="D6" s="20" t="s">
        <v>128</v>
      </c>
      <c r="E6" s="20" t="s">
        <v>129</v>
      </c>
      <c r="F6" s="20" t="s">
        <v>130</v>
      </c>
      <c r="G6" s="20" t="s">
        <v>131</v>
      </c>
      <c r="H6" s="20" t="s">
        <v>132</v>
      </c>
      <c r="I6" s="20" t="s">
        <v>133</v>
      </c>
      <c r="J6" s="20" t="s">
        <v>134</v>
      </c>
      <c r="K6" s="20" t="s">
        <v>135</v>
      </c>
      <c r="L6" s="20" t="s">
        <v>136</v>
      </c>
      <c r="M6" s="20" t="s">
        <v>137</v>
      </c>
      <c r="N6" s="20" t="s">
        <v>138</v>
      </c>
      <c r="O6" s="20" t="s">
        <v>139</v>
      </c>
      <c r="P6" s="20" t="s">
        <v>140</v>
      </c>
      <c r="Q6" s="20" t="s">
        <v>141</v>
      </c>
    </row>
    <row r="7" spans="1:17">
      <c r="A7" s="25">
        <v>50</v>
      </c>
      <c r="B7" s="26">
        <v>2.605E-2</v>
      </c>
      <c r="C7" s="26">
        <v>2.3560000000000001E-2</v>
      </c>
      <c r="D7" s="26">
        <v>2.6040000000000001E-2</v>
      </c>
      <c r="E7" s="26">
        <v>2.3550000000000001E-2</v>
      </c>
      <c r="F7" s="26">
        <v>2.5989999999999999E-2</v>
      </c>
      <c r="G7" s="26">
        <v>2.3519999999999999E-2</v>
      </c>
      <c r="H7" s="26">
        <v>2.3480000000000001E-2</v>
      </c>
      <c r="I7" s="26">
        <v>2.18E-2</v>
      </c>
      <c r="J7" s="26">
        <v>2.4590000000000001E-2</v>
      </c>
      <c r="K7" s="26">
        <v>2.1819999999999999E-2</v>
      </c>
      <c r="L7" s="18">
        <f t="shared" ref="L7:L27" si="0">1/C7</f>
        <v>42.444821731748725</v>
      </c>
      <c r="M7" s="18">
        <f t="shared" ref="M7:M27" si="1">1/B7</f>
        <v>38.387715930902111</v>
      </c>
      <c r="N7" s="19">
        <f t="shared" ref="N7:N27" si="2">I7/C7-1</f>
        <v>-7.4702886247877798E-2</v>
      </c>
      <c r="O7" s="19">
        <f t="shared" ref="O7:O27" si="3">H7/B7-1</f>
        <v>-9.8656429942418411E-2</v>
      </c>
      <c r="P7" s="19">
        <f t="shared" ref="P7:P27" si="4">K7/C7-1</f>
        <v>-7.3853989813242871E-2</v>
      </c>
      <c r="Q7" s="19">
        <f t="shared" ref="Q7:Q27" si="5">J7/B7-1</f>
        <v>-5.6046065259117039E-2</v>
      </c>
    </row>
    <row r="8" spans="1:17">
      <c r="A8" s="25">
        <v>51</v>
      </c>
      <c r="B8" s="26">
        <v>2.6720000000000001E-2</v>
      </c>
      <c r="C8" s="26">
        <v>2.4109999999999999E-2</v>
      </c>
      <c r="D8" s="26">
        <v>2.6700000000000002E-2</v>
      </c>
      <c r="E8" s="26">
        <v>2.41E-2</v>
      </c>
      <c r="F8" s="26">
        <v>2.665E-2</v>
      </c>
      <c r="G8" s="26">
        <v>2.4070000000000001E-2</v>
      </c>
      <c r="H8" s="26">
        <v>2.3980000000000001E-2</v>
      </c>
      <c r="I8" s="26">
        <v>2.2239999999999999E-2</v>
      </c>
      <c r="J8" s="26">
        <v>2.5190000000000001E-2</v>
      </c>
      <c r="K8" s="26">
        <v>2.2290000000000001E-2</v>
      </c>
      <c r="L8" s="18">
        <f t="shared" si="0"/>
        <v>41.476565740356698</v>
      </c>
      <c r="M8" s="18">
        <f t="shared" si="1"/>
        <v>37.425149700598801</v>
      </c>
      <c r="N8" s="19">
        <f t="shared" si="2"/>
        <v>-7.756117793446704E-2</v>
      </c>
      <c r="O8" s="19">
        <f t="shared" si="3"/>
        <v>-0.10254491017964074</v>
      </c>
      <c r="P8" s="19">
        <f t="shared" si="4"/>
        <v>-7.5487349647449187E-2</v>
      </c>
      <c r="Q8" s="19">
        <f t="shared" si="5"/>
        <v>-5.7260479041916224E-2</v>
      </c>
    </row>
    <row r="9" spans="1:17">
      <c r="A9" s="25">
        <v>52</v>
      </c>
      <c r="B9" s="26">
        <v>2.742E-2</v>
      </c>
      <c r="C9" s="26">
        <v>2.4680000000000001E-2</v>
      </c>
      <c r="D9" s="26">
        <v>2.7400000000000001E-2</v>
      </c>
      <c r="E9" s="26">
        <v>2.4670000000000001E-2</v>
      </c>
      <c r="F9" s="26">
        <v>2.734E-2</v>
      </c>
      <c r="G9" s="26">
        <v>2.4639999999999999E-2</v>
      </c>
      <c r="H9" s="26">
        <v>2.4500000000000001E-2</v>
      </c>
      <c r="I9" s="26">
        <v>2.2710000000000001E-2</v>
      </c>
      <c r="J9" s="26">
        <v>2.581E-2</v>
      </c>
      <c r="K9" s="26">
        <v>2.2780000000000002E-2</v>
      </c>
      <c r="L9" s="18">
        <f t="shared" si="0"/>
        <v>40.518638573743921</v>
      </c>
      <c r="M9" s="18">
        <f t="shared" si="1"/>
        <v>36.469730123997081</v>
      </c>
      <c r="N9" s="19">
        <f t="shared" si="2"/>
        <v>-7.9821717990275487E-2</v>
      </c>
      <c r="O9" s="19">
        <f t="shared" si="3"/>
        <v>-0.10649161196207146</v>
      </c>
      <c r="P9" s="19">
        <f t="shared" si="4"/>
        <v>-7.6985413290113436E-2</v>
      </c>
      <c r="Q9" s="19">
        <f t="shared" si="5"/>
        <v>-5.8716265499635267E-2</v>
      </c>
    </row>
    <row r="10" spans="1:17">
      <c r="A10" s="25">
        <v>53</v>
      </c>
      <c r="B10" s="26">
        <v>2.8160000000000001E-2</v>
      </c>
      <c r="C10" s="26">
        <v>2.529E-2</v>
      </c>
      <c r="D10" s="26">
        <v>2.8139999999999998E-2</v>
      </c>
      <c r="E10" s="26">
        <v>2.5270000000000001E-2</v>
      </c>
      <c r="F10" s="26">
        <v>2.8070000000000001E-2</v>
      </c>
      <c r="G10" s="26">
        <v>2.5239999999999999E-2</v>
      </c>
      <c r="H10" s="26">
        <v>2.504E-2</v>
      </c>
      <c r="I10" s="26">
        <v>2.3179999999999999E-2</v>
      </c>
      <c r="J10" s="26">
        <v>2.647E-2</v>
      </c>
      <c r="K10" s="26">
        <v>2.3290000000000002E-2</v>
      </c>
      <c r="L10" s="18">
        <f t="shared" si="0"/>
        <v>39.541320680110715</v>
      </c>
      <c r="M10" s="18">
        <f t="shared" si="1"/>
        <v>35.511363636363633</v>
      </c>
      <c r="N10" s="19">
        <f t="shared" si="2"/>
        <v>-8.3432186635033601E-2</v>
      </c>
      <c r="O10" s="19">
        <f t="shared" si="3"/>
        <v>-0.11079545454545459</v>
      </c>
      <c r="P10" s="19">
        <f t="shared" si="4"/>
        <v>-7.9082641360221362E-2</v>
      </c>
      <c r="Q10" s="19">
        <f t="shared" si="5"/>
        <v>-6.0014204545454586E-2</v>
      </c>
    </row>
    <row r="11" spans="1:17">
      <c r="A11" s="25">
        <v>54</v>
      </c>
      <c r="B11" s="26">
        <v>2.894E-2</v>
      </c>
      <c r="C11" s="26">
        <v>2.5919999999999999E-2</v>
      </c>
      <c r="D11" s="26">
        <v>2.8910000000000002E-2</v>
      </c>
      <c r="E11" s="26">
        <v>2.5899999999999999E-2</v>
      </c>
      <c r="F11" s="26">
        <v>2.8830000000000001E-2</v>
      </c>
      <c r="G11" s="26">
        <v>2.5860000000000001E-2</v>
      </c>
      <c r="H11" s="26">
        <v>2.5600000000000001E-2</v>
      </c>
      <c r="I11" s="26">
        <v>2.368E-2</v>
      </c>
      <c r="J11" s="26">
        <v>2.7150000000000001E-2</v>
      </c>
      <c r="K11" s="26">
        <v>2.383E-2</v>
      </c>
      <c r="L11" s="18">
        <f t="shared" si="0"/>
        <v>38.580246913580247</v>
      </c>
      <c r="M11" s="18">
        <f t="shared" si="1"/>
        <v>34.554250172771248</v>
      </c>
      <c r="N11" s="19">
        <f t="shared" si="2"/>
        <v>-8.6419753086419693E-2</v>
      </c>
      <c r="O11" s="19">
        <f t="shared" si="3"/>
        <v>-0.11541119557705593</v>
      </c>
      <c r="P11" s="19">
        <f t="shared" si="4"/>
        <v>-8.0632716049382602E-2</v>
      </c>
      <c r="Q11" s="19">
        <f t="shared" si="5"/>
        <v>-6.1852107809260537E-2</v>
      </c>
    </row>
    <row r="12" spans="1:17">
      <c r="A12" s="25">
        <v>55</v>
      </c>
      <c r="B12" s="26">
        <v>2.9760000000000002E-2</v>
      </c>
      <c r="C12" s="26">
        <v>2.6579999999999999E-2</v>
      </c>
      <c r="D12" s="26">
        <v>2.9729999999999999E-2</v>
      </c>
      <c r="E12" s="26">
        <v>2.656E-2</v>
      </c>
      <c r="F12" s="26">
        <v>2.963E-2</v>
      </c>
      <c r="G12" s="26">
        <v>2.6519999999999998E-2</v>
      </c>
      <c r="H12" s="26">
        <v>2.6179999999999998E-2</v>
      </c>
      <c r="I12" s="26">
        <v>2.4199999999999999E-2</v>
      </c>
      <c r="J12" s="26">
        <v>2.7869999999999999E-2</v>
      </c>
      <c r="K12" s="26">
        <v>2.4389999999999998E-2</v>
      </c>
      <c r="L12" s="18">
        <f t="shared" si="0"/>
        <v>37.622272385252067</v>
      </c>
      <c r="M12" s="18">
        <f t="shared" si="1"/>
        <v>33.602150537634408</v>
      </c>
      <c r="N12" s="19">
        <f t="shared" si="2"/>
        <v>-8.9541008276899925E-2</v>
      </c>
      <c r="O12" s="19">
        <f t="shared" si="3"/>
        <v>-0.12029569892473124</v>
      </c>
      <c r="P12" s="19">
        <f t="shared" si="4"/>
        <v>-8.2392776523702027E-2</v>
      </c>
      <c r="Q12" s="19">
        <f t="shared" si="5"/>
        <v>-6.3508064516129115E-2</v>
      </c>
    </row>
    <row r="13" spans="1:17">
      <c r="A13" s="25">
        <v>56</v>
      </c>
      <c r="B13" s="26">
        <v>3.0620000000000001E-2</v>
      </c>
      <c r="C13" s="26">
        <v>2.7269999999999999E-2</v>
      </c>
      <c r="D13" s="26">
        <v>3.058E-2</v>
      </c>
      <c r="E13" s="26">
        <v>2.726E-2</v>
      </c>
      <c r="F13" s="26">
        <v>3.0470000000000001E-2</v>
      </c>
      <c r="G13" s="26">
        <v>2.7210000000000002E-2</v>
      </c>
      <c r="H13" s="26">
        <v>2.6790000000000001E-2</v>
      </c>
      <c r="I13" s="26">
        <v>2.4740000000000002E-2</v>
      </c>
      <c r="J13" s="26">
        <v>2.862E-2</v>
      </c>
      <c r="K13" s="26">
        <v>2.4969999999999999E-2</v>
      </c>
      <c r="L13" s="18">
        <f t="shared" si="0"/>
        <v>36.670333700036672</v>
      </c>
      <c r="M13" s="18">
        <f t="shared" si="1"/>
        <v>32.65839320705421</v>
      </c>
      <c r="N13" s="19">
        <f t="shared" si="2"/>
        <v>-9.2775944261092702E-2</v>
      </c>
      <c r="O13" s="19">
        <f t="shared" si="3"/>
        <v>-0.12508164598301763</v>
      </c>
      <c r="P13" s="19">
        <f t="shared" si="4"/>
        <v>-8.4341767510084376E-2</v>
      </c>
      <c r="Q13" s="19">
        <f t="shared" si="5"/>
        <v>-6.531678641410843E-2</v>
      </c>
    </row>
    <row r="14" spans="1:17">
      <c r="A14" s="25">
        <v>57</v>
      </c>
      <c r="B14" s="26">
        <v>3.1530000000000002E-2</v>
      </c>
      <c r="C14" s="26">
        <v>2.8000000000000001E-2</v>
      </c>
      <c r="D14" s="26">
        <v>3.1489999999999997E-2</v>
      </c>
      <c r="E14" s="26">
        <v>2.7990000000000001E-2</v>
      </c>
      <c r="F14" s="26">
        <v>3.1359999999999999E-2</v>
      </c>
      <c r="G14" s="26">
        <v>2.793E-2</v>
      </c>
      <c r="H14" s="26">
        <v>2.742E-2</v>
      </c>
      <c r="I14" s="26">
        <v>2.5309999999999999E-2</v>
      </c>
      <c r="J14" s="26">
        <v>2.9409999999999999E-2</v>
      </c>
      <c r="K14" s="26">
        <v>2.5579999999999999E-2</v>
      </c>
      <c r="L14" s="18">
        <f t="shared" si="0"/>
        <v>35.714285714285715</v>
      </c>
      <c r="M14" s="18">
        <f t="shared" si="1"/>
        <v>31.715826197272438</v>
      </c>
      <c r="N14" s="19">
        <f t="shared" si="2"/>
        <v>-9.6071428571428585E-2</v>
      </c>
      <c r="O14" s="19">
        <f t="shared" si="3"/>
        <v>-0.13035204567078984</v>
      </c>
      <c r="P14" s="19">
        <f t="shared" si="4"/>
        <v>-8.6428571428571521E-2</v>
      </c>
      <c r="Q14" s="19">
        <f t="shared" si="5"/>
        <v>-6.7237551538217644E-2</v>
      </c>
    </row>
    <row r="15" spans="1:17">
      <c r="A15" s="25">
        <v>58</v>
      </c>
      <c r="B15" s="26">
        <v>3.2489999999999998E-2</v>
      </c>
      <c r="C15" s="26">
        <v>2.878E-2</v>
      </c>
      <c r="D15" s="26">
        <v>3.2439999999999997E-2</v>
      </c>
      <c r="E15" s="26">
        <v>2.8760000000000001E-2</v>
      </c>
      <c r="F15" s="26">
        <v>3.2289999999999999E-2</v>
      </c>
      <c r="G15" s="26">
        <v>2.87E-2</v>
      </c>
      <c r="H15" s="26">
        <v>2.8080000000000001E-2</v>
      </c>
      <c r="I15" s="26">
        <v>2.589E-2</v>
      </c>
      <c r="J15" s="26">
        <v>3.0249999999999999E-2</v>
      </c>
      <c r="K15" s="26">
        <v>2.622E-2</v>
      </c>
      <c r="L15" s="18">
        <f t="shared" si="0"/>
        <v>34.746351633078525</v>
      </c>
      <c r="M15" s="18">
        <f t="shared" si="1"/>
        <v>30.778701138811943</v>
      </c>
      <c r="N15" s="19">
        <f t="shared" si="2"/>
        <v>-0.1004169562195969</v>
      </c>
      <c r="O15" s="19">
        <f t="shared" si="3"/>
        <v>-0.13573407202216059</v>
      </c>
      <c r="P15" s="19">
        <f t="shared" si="4"/>
        <v>-8.8950660180680985E-2</v>
      </c>
      <c r="Q15" s="19">
        <f t="shared" si="5"/>
        <v>-6.8944290550938758E-2</v>
      </c>
    </row>
    <row r="16" spans="1:17">
      <c r="A16" s="25">
        <v>59</v>
      </c>
      <c r="B16" s="26">
        <v>3.3509999999999998E-2</v>
      </c>
      <c r="C16" s="26">
        <v>2.9590000000000002E-2</v>
      </c>
      <c r="D16" s="26">
        <v>3.3459999999999997E-2</v>
      </c>
      <c r="E16" s="26">
        <v>2.9569999999999999E-2</v>
      </c>
      <c r="F16" s="26">
        <v>3.3279999999999997E-2</v>
      </c>
      <c r="G16" s="26">
        <v>2.9510000000000002E-2</v>
      </c>
      <c r="H16" s="26">
        <v>2.877E-2</v>
      </c>
      <c r="I16" s="26">
        <v>2.6509999999999999E-2</v>
      </c>
      <c r="J16" s="26">
        <v>3.1130000000000001E-2</v>
      </c>
      <c r="K16" s="26">
        <v>2.69E-2</v>
      </c>
      <c r="L16" s="18">
        <f t="shared" si="0"/>
        <v>33.795201081446436</v>
      </c>
      <c r="M16" s="18">
        <f t="shared" si="1"/>
        <v>29.841838257236649</v>
      </c>
      <c r="N16" s="19">
        <f t="shared" si="2"/>
        <v>-0.10408921933085513</v>
      </c>
      <c r="O16" s="19">
        <f t="shared" si="3"/>
        <v>-0.14145031333930169</v>
      </c>
      <c r="P16" s="19">
        <f t="shared" si="4"/>
        <v>-9.0909090909090939E-2</v>
      </c>
      <c r="Q16" s="19">
        <f t="shared" si="5"/>
        <v>-7.102357505222312E-2</v>
      </c>
    </row>
    <row r="17" spans="1:17">
      <c r="A17" s="25">
        <v>60</v>
      </c>
      <c r="B17" s="26">
        <v>3.4590000000000003E-2</v>
      </c>
      <c r="C17" s="26">
        <v>3.0460000000000001E-2</v>
      </c>
      <c r="D17" s="26">
        <v>3.4529999999999998E-2</v>
      </c>
      <c r="E17" s="26">
        <v>3.0429999999999999E-2</v>
      </c>
      <c r="F17" s="26">
        <v>3.4320000000000003E-2</v>
      </c>
      <c r="G17" s="26">
        <v>3.0370000000000001E-2</v>
      </c>
      <c r="H17" s="26">
        <v>2.9489999999999999E-2</v>
      </c>
      <c r="I17" s="26">
        <v>2.7150000000000001E-2</v>
      </c>
      <c r="J17" s="26">
        <v>3.2059999999999998E-2</v>
      </c>
      <c r="K17" s="26">
        <v>2.7609999999999999E-2</v>
      </c>
      <c r="L17" s="18">
        <f t="shared" si="0"/>
        <v>32.829940906106366</v>
      </c>
      <c r="M17" s="18">
        <f t="shared" si="1"/>
        <v>28.910089621277823</v>
      </c>
      <c r="N17" s="19">
        <f t="shared" si="2"/>
        <v>-0.10866710439921212</v>
      </c>
      <c r="O17" s="19">
        <f t="shared" si="3"/>
        <v>-0.14744145706851697</v>
      </c>
      <c r="P17" s="19">
        <f t="shared" si="4"/>
        <v>-9.3565331582403211E-2</v>
      </c>
      <c r="Q17" s="19">
        <f t="shared" si="5"/>
        <v>-7.3142526741832969E-2</v>
      </c>
    </row>
    <row r="18" spans="1:17">
      <c r="A18" s="25">
        <v>61</v>
      </c>
      <c r="B18" s="26">
        <v>3.5729999999999998E-2</v>
      </c>
      <c r="C18" s="26">
        <v>3.1370000000000002E-2</v>
      </c>
      <c r="D18" s="26">
        <v>3.5659999999999997E-2</v>
      </c>
      <c r="E18" s="26">
        <v>3.1350000000000003E-2</v>
      </c>
      <c r="F18" s="26">
        <v>3.542E-2</v>
      </c>
      <c r="G18" s="26">
        <v>3.1269999999999999E-2</v>
      </c>
      <c r="H18" s="26">
        <v>3.023E-2</v>
      </c>
      <c r="I18" s="26">
        <v>2.7820000000000001E-2</v>
      </c>
      <c r="J18" s="26">
        <v>3.304E-2</v>
      </c>
      <c r="K18" s="26">
        <v>2.836E-2</v>
      </c>
      <c r="L18" s="18">
        <f t="shared" si="0"/>
        <v>31.877590054191902</v>
      </c>
      <c r="M18" s="18">
        <f t="shared" si="1"/>
        <v>27.9876854184159</v>
      </c>
      <c r="N18" s="19">
        <f t="shared" si="2"/>
        <v>-0.11316544469238132</v>
      </c>
      <c r="O18" s="19">
        <f t="shared" si="3"/>
        <v>-0.15393226980128738</v>
      </c>
      <c r="P18" s="19">
        <f t="shared" si="4"/>
        <v>-9.5951546063117732E-2</v>
      </c>
      <c r="Q18" s="19">
        <f t="shared" si="5"/>
        <v>-7.5286873775538665E-2</v>
      </c>
    </row>
    <row r="19" spans="1:17">
      <c r="A19" s="25">
        <v>62</v>
      </c>
      <c r="B19" s="26">
        <v>3.6949999999999997E-2</v>
      </c>
      <c r="C19" s="26">
        <v>3.2349999999999997E-2</v>
      </c>
      <c r="D19" s="26">
        <v>3.6859999999999997E-2</v>
      </c>
      <c r="E19" s="26">
        <v>3.2320000000000002E-2</v>
      </c>
      <c r="F19" s="26">
        <v>3.6580000000000001E-2</v>
      </c>
      <c r="G19" s="26">
        <v>3.2230000000000002E-2</v>
      </c>
      <c r="H19" s="26">
        <v>3.1009999999999999E-2</v>
      </c>
      <c r="I19" s="26">
        <v>2.852E-2</v>
      </c>
      <c r="J19" s="26">
        <v>3.4070000000000003E-2</v>
      </c>
      <c r="K19" s="26">
        <v>2.9149999999999999E-2</v>
      </c>
      <c r="L19" s="18">
        <f t="shared" si="0"/>
        <v>30.91190108191654</v>
      </c>
      <c r="M19" s="18">
        <f t="shared" si="1"/>
        <v>27.063599458728014</v>
      </c>
      <c r="N19" s="19">
        <f t="shared" si="2"/>
        <v>-0.11839258114374029</v>
      </c>
      <c r="O19" s="19">
        <f t="shared" si="3"/>
        <v>-0.16075778078484437</v>
      </c>
      <c r="P19" s="19">
        <f t="shared" si="4"/>
        <v>-9.8918083462132822E-2</v>
      </c>
      <c r="Q19" s="19">
        <f t="shared" si="5"/>
        <v>-7.7943166441136524E-2</v>
      </c>
    </row>
    <row r="20" spans="1:17">
      <c r="A20" s="25">
        <v>63</v>
      </c>
      <c r="B20" s="26">
        <v>3.8240000000000003E-2</v>
      </c>
      <c r="C20" s="26">
        <v>3.338E-2</v>
      </c>
      <c r="D20" s="26">
        <v>3.814E-2</v>
      </c>
      <c r="E20" s="26">
        <v>3.3349999999999998E-2</v>
      </c>
      <c r="F20" s="26">
        <v>3.7810000000000003E-2</v>
      </c>
      <c r="G20" s="26">
        <v>3.3259999999999998E-2</v>
      </c>
      <c r="H20" s="26">
        <v>3.1829999999999997E-2</v>
      </c>
      <c r="I20" s="26">
        <v>2.9250000000000002E-2</v>
      </c>
      <c r="J20" s="26">
        <v>3.5159999999999997E-2</v>
      </c>
      <c r="K20" s="26">
        <v>2.9989999999999999E-2</v>
      </c>
      <c r="L20" s="18">
        <f t="shared" si="0"/>
        <v>29.958058717795087</v>
      </c>
      <c r="M20" s="18">
        <f t="shared" si="1"/>
        <v>26.15062761506276</v>
      </c>
      <c r="N20" s="19">
        <f t="shared" si="2"/>
        <v>-0.12372678250449365</v>
      </c>
      <c r="O20" s="19">
        <f t="shared" si="3"/>
        <v>-0.1676255230125524</v>
      </c>
      <c r="P20" s="19">
        <f t="shared" si="4"/>
        <v>-0.10155781905332539</v>
      </c>
      <c r="Q20" s="19">
        <f t="shared" si="5"/>
        <v>-8.0543933054393446E-2</v>
      </c>
    </row>
    <row r="21" spans="1:17">
      <c r="A21" s="25">
        <v>64</v>
      </c>
      <c r="B21" s="26">
        <v>3.9609999999999999E-2</v>
      </c>
      <c r="C21" s="26">
        <v>3.449E-2</v>
      </c>
      <c r="D21" s="26">
        <v>3.9489999999999997E-2</v>
      </c>
      <c r="E21" s="26">
        <v>3.4459999999999998E-2</v>
      </c>
      <c r="F21" s="26">
        <v>3.9109999999999999E-2</v>
      </c>
      <c r="G21" s="26">
        <v>3.4340000000000002E-2</v>
      </c>
      <c r="H21" s="26">
        <v>3.2680000000000001E-2</v>
      </c>
      <c r="I21" s="26">
        <v>3.0009999999999998E-2</v>
      </c>
      <c r="J21" s="26">
        <v>3.6310000000000002E-2</v>
      </c>
      <c r="K21" s="26">
        <v>3.0880000000000001E-2</v>
      </c>
      <c r="L21" s="18">
        <f t="shared" si="0"/>
        <v>28.993911278631487</v>
      </c>
      <c r="M21" s="18">
        <f t="shared" si="1"/>
        <v>25.246149962130776</v>
      </c>
      <c r="N21" s="19">
        <f t="shared" si="2"/>
        <v>-0.12989272252826911</v>
      </c>
      <c r="O21" s="19">
        <f t="shared" si="3"/>
        <v>-0.1749558192375662</v>
      </c>
      <c r="P21" s="19">
        <f t="shared" si="4"/>
        <v>-0.10466801971585959</v>
      </c>
      <c r="Q21" s="19">
        <f t="shared" si="5"/>
        <v>-8.3312294875031445E-2</v>
      </c>
    </row>
    <row r="22" spans="1:17">
      <c r="A22" s="25">
        <v>65</v>
      </c>
      <c r="B22" s="10">
        <v>4.1068510000000003E-2</v>
      </c>
      <c r="C22" s="10">
        <v>3.5671300000000003E-2</v>
      </c>
      <c r="D22" s="26">
        <v>4.0930000000000001E-2</v>
      </c>
      <c r="E22" s="26">
        <v>3.5630000000000002E-2</v>
      </c>
      <c r="F22" s="26">
        <v>4.0489999999999998E-2</v>
      </c>
      <c r="G22" s="26">
        <v>3.5499999999999997E-2</v>
      </c>
      <c r="H22" s="26">
        <v>3.3579999999999999E-2</v>
      </c>
      <c r="I22" s="26">
        <v>3.0810000000000001E-2</v>
      </c>
      <c r="J22" s="26">
        <v>3.7539999999999997E-2</v>
      </c>
      <c r="K22" s="26">
        <v>3.1820000000000001E-2</v>
      </c>
      <c r="L22" s="18">
        <f t="shared" si="0"/>
        <v>28.033741411162474</v>
      </c>
      <c r="M22" s="18">
        <f t="shared" si="1"/>
        <v>24.349556387606953</v>
      </c>
      <c r="N22" s="19">
        <f t="shared" si="2"/>
        <v>-0.13628042712208421</v>
      </c>
      <c r="O22" s="19">
        <f t="shared" si="3"/>
        <v>-0.18234189650415866</v>
      </c>
      <c r="P22" s="19">
        <f t="shared" si="4"/>
        <v>-0.10796634829681007</v>
      </c>
      <c r="Q22" s="19">
        <f t="shared" si="5"/>
        <v>-8.5917653209235167E-2</v>
      </c>
    </row>
    <row r="23" spans="1:17">
      <c r="A23" s="25">
        <v>66</v>
      </c>
      <c r="B23" s="26">
        <v>4.2639999999999997E-2</v>
      </c>
      <c r="C23" s="26">
        <v>3.6929999999999998E-2</v>
      </c>
      <c r="D23" s="26">
        <v>4.2479999999999997E-2</v>
      </c>
      <c r="E23" s="26">
        <v>3.6889999999999999E-2</v>
      </c>
      <c r="F23" s="26">
        <v>4.1950000000000001E-2</v>
      </c>
      <c r="G23" s="26">
        <v>3.6729999999999999E-2</v>
      </c>
      <c r="H23" s="26">
        <v>3.4509999999999999E-2</v>
      </c>
      <c r="I23" s="26">
        <v>3.1640000000000001E-2</v>
      </c>
      <c r="J23" s="26">
        <v>3.884E-2</v>
      </c>
      <c r="K23" s="26">
        <v>3.2820000000000002E-2</v>
      </c>
      <c r="L23" s="18">
        <f t="shared" si="0"/>
        <v>27.07825616030328</v>
      </c>
      <c r="M23" s="18">
        <f t="shared" si="1"/>
        <v>23.452157598499063</v>
      </c>
      <c r="N23" s="19">
        <f t="shared" si="2"/>
        <v>-0.14324397508800424</v>
      </c>
      <c r="O23" s="19">
        <f t="shared" si="3"/>
        <v>-0.19066604127579734</v>
      </c>
      <c r="P23" s="19">
        <f t="shared" si="4"/>
        <v>-0.11129163281884635</v>
      </c>
      <c r="Q23" s="19">
        <f t="shared" si="5"/>
        <v>-8.9118198874296395E-2</v>
      </c>
    </row>
    <row r="24" spans="1:17">
      <c r="A24" s="25">
        <v>67</v>
      </c>
      <c r="B24" s="10">
        <v>4.4317570000000001E-2</v>
      </c>
      <c r="C24" s="10">
        <v>3.8289169999999997E-2</v>
      </c>
      <c r="D24" s="26">
        <v>4.4130000000000003E-2</v>
      </c>
      <c r="E24" s="26">
        <v>3.8240000000000003E-2</v>
      </c>
      <c r="F24" s="26">
        <v>4.351E-2</v>
      </c>
      <c r="G24" s="26">
        <v>3.8039999999999997E-2</v>
      </c>
      <c r="H24" s="26">
        <v>3.5490000000000001E-2</v>
      </c>
      <c r="I24" s="26">
        <v>3.252E-2</v>
      </c>
      <c r="J24" s="26">
        <v>4.0230000000000002E-2</v>
      </c>
      <c r="K24" s="26">
        <v>3.3890000000000003E-2</v>
      </c>
      <c r="L24" s="18">
        <f t="shared" si="0"/>
        <v>26.11704562935159</v>
      </c>
      <c r="M24" s="18">
        <f t="shared" si="1"/>
        <v>22.564414068731658</v>
      </c>
      <c r="N24" s="19">
        <f t="shared" si="2"/>
        <v>-0.15067367613348626</v>
      </c>
      <c r="O24" s="19">
        <f t="shared" si="3"/>
        <v>-0.19918894470071347</v>
      </c>
      <c r="P24" s="19">
        <f t="shared" si="4"/>
        <v>-0.11489332362127447</v>
      </c>
      <c r="Q24" s="19">
        <f t="shared" si="5"/>
        <v>-9.2233622014925465E-2</v>
      </c>
    </row>
    <row r="25" spans="1:17">
      <c r="A25" s="25">
        <v>68</v>
      </c>
      <c r="B25" s="26">
        <v>4.6129999999999997E-2</v>
      </c>
      <c r="C25" s="26">
        <v>3.9739999999999998E-2</v>
      </c>
      <c r="D25" s="26">
        <v>4.5909999999999999E-2</v>
      </c>
      <c r="E25" s="26">
        <v>3.968E-2</v>
      </c>
      <c r="F25" s="26">
        <v>4.5159999999999999E-2</v>
      </c>
      <c r="G25" s="26">
        <v>3.9440000000000003E-2</v>
      </c>
      <c r="H25" s="26">
        <v>3.6499999999999998E-2</v>
      </c>
      <c r="I25" s="26">
        <v>3.3439999999999998E-2</v>
      </c>
      <c r="J25" s="26">
        <v>4.172E-2</v>
      </c>
      <c r="K25" s="26">
        <v>3.5020000000000003E-2</v>
      </c>
      <c r="L25" s="18">
        <f t="shared" si="0"/>
        <v>25.163563160543536</v>
      </c>
      <c r="M25" s="18">
        <f t="shared" si="1"/>
        <v>21.67786689789725</v>
      </c>
      <c r="N25" s="19">
        <f t="shared" si="2"/>
        <v>-0.15853044791142423</v>
      </c>
      <c r="O25" s="19">
        <f t="shared" si="3"/>
        <v>-0.20875785822675053</v>
      </c>
      <c r="P25" s="19">
        <f t="shared" si="4"/>
        <v>-0.11877201811776539</v>
      </c>
      <c r="Q25" s="19">
        <f t="shared" si="5"/>
        <v>-9.5599393019726753E-2</v>
      </c>
    </row>
    <row r="26" spans="1:17">
      <c r="A26" s="25">
        <v>69</v>
      </c>
      <c r="B26" s="26">
        <v>4.8079999999999998E-2</v>
      </c>
      <c r="C26" s="26">
        <v>4.1309999999999999E-2</v>
      </c>
      <c r="D26" s="26">
        <v>4.7820000000000001E-2</v>
      </c>
      <c r="E26" s="26">
        <v>4.1230000000000003E-2</v>
      </c>
      <c r="F26" s="26">
        <v>4.691E-2</v>
      </c>
      <c r="G26" s="26">
        <v>4.0939999999999997E-2</v>
      </c>
      <c r="H26" s="26">
        <v>3.7569999999999999E-2</v>
      </c>
      <c r="I26" s="26">
        <v>3.44E-2</v>
      </c>
      <c r="J26" s="26">
        <v>4.3310000000000001E-2</v>
      </c>
      <c r="K26" s="26">
        <v>3.6229999999999998E-2</v>
      </c>
      <c r="L26" s="18">
        <f t="shared" si="0"/>
        <v>24.207213749697409</v>
      </c>
      <c r="M26" s="18">
        <f t="shared" si="1"/>
        <v>20.798668885191347</v>
      </c>
      <c r="N26" s="19">
        <f t="shared" si="2"/>
        <v>-0.16727184701040909</v>
      </c>
      <c r="O26" s="19">
        <f t="shared" si="3"/>
        <v>-0.21859400998336109</v>
      </c>
      <c r="P26" s="19">
        <f t="shared" si="4"/>
        <v>-0.1229726458484629</v>
      </c>
      <c r="Q26" s="19">
        <f t="shared" si="5"/>
        <v>-9.9209650582362641E-2</v>
      </c>
    </row>
    <row r="27" spans="1:17">
      <c r="A27" s="25">
        <v>70</v>
      </c>
      <c r="B27" s="26">
        <v>5.0189999999999999E-2</v>
      </c>
      <c r="C27" s="26">
        <v>4.2999999999999997E-2</v>
      </c>
      <c r="D27" s="26">
        <v>4.9869999999999998E-2</v>
      </c>
      <c r="E27" s="26">
        <v>4.2900000000000001E-2</v>
      </c>
      <c r="F27" s="26">
        <v>4.8770000000000001E-2</v>
      </c>
      <c r="G27" s="26">
        <v>4.2540000000000001E-2</v>
      </c>
      <c r="H27" s="26">
        <v>3.8690000000000002E-2</v>
      </c>
      <c r="I27" s="26">
        <v>3.5409999999999997E-2</v>
      </c>
      <c r="J27" s="26">
        <v>4.5019999999999998E-2</v>
      </c>
      <c r="K27" s="26">
        <v>3.7530000000000001E-2</v>
      </c>
      <c r="L27" s="18">
        <f t="shared" si="0"/>
        <v>23.255813953488374</v>
      </c>
      <c r="M27" s="18">
        <f t="shared" si="1"/>
        <v>19.924287706714484</v>
      </c>
      <c r="N27" s="19">
        <f t="shared" si="2"/>
        <v>-0.17651162790697672</v>
      </c>
      <c r="O27" s="19">
        <f t="shared" si="3"/>
        <v>-0.22912930862721648</v>
      </c>
      <c r="P27" s="19">
        <f t="shared" si="4"/>
        <v>-0.12720930232558125</v>
      </c>
      <c r="Q27" s="19">
        <f t="shared" si="5"/>
        <v>-0.10300856744371389</v>
      </c>
    </row>
    <row r="30" spans="1:17">
      <c r="A30" s="48" t="s">
        <v>142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</row>
    <row r="31" spans="1:17" ht="32.1" customHeight="1">
      <c r="A31" s="20" t="s">
        <v>125</v>
      </c>
      <c r="B31" s="20" t="s">
        <v>143</v>
      </c>
      <c r="C31" s="20" t="s">
        <v>144</v>
      </c>
      <c r="D31" s="20" t="s">
        <v>145</v>
      </c>
      <c r="E31" s="20" t="s">
        <v>146</v>
      </c>
      <c r="F31" s="20" t="s">
        <v>147</v>
      </c>
      <c r="G31" s="20" t="s">
        <v>148</v>
      </c>
    </row>
    <row r="32" spans="1:17">
      <c r="A32" s="25">
        <v>72</v>
      </c>
      <c r="B32" s="27">
        <v>5.2850325742916607E-2</v>
      </c>
      <c r="C32" s="27">
        <v>5.5008852631994461E-2</v>
      </c>
      <c r="D32" s="27">
        <v>5.5622881918474407E-2</v>
      </c>
      <c r="E32" s="27">
        <v>4.5024352035952037E-2</v>
      </c>
      <c r="F32" s="27">
        <v>4.6873233990945791E-2</v>
      </c>
      <c r="G32" s="27">
        <v>4.7416140939065307E-2</v>
      </c>
    </row>
    <row r="33" spans="1:17">
      <c r="A33" s="25">
        <v>75</v>
      </c>
      <c r="B33" s="27">
        <v>6.1385104317557608E-2</v>
      </c>
      <c r="C33" s="27">
        <v>6.3936678181701151E-2</v>
      </c>
      <c r="D33" s="27">
        <v>6.575127345861044E-2</v>
      </c>
      <c r="E33" s="27">
        <v>5.1935133794432937E-2</v>
      </c>
      <c r="F33" s="27">
        <v>5.4107084708642103E-2</v>
      </c>
      <c r="G33" s="27">
        <v>5.5701517548329103E-2</v>
      </c>
    </row>
    <row r="34" spans="1:17">
      <c r="A34" s="25">
        <v>78</v>
      </c>
      <c r="B34" s="27">
        <v>7.2779436618428964E-2</v>
      </c>
      <c r="C34" s="27">
        <v>7.5859260141674115E-2</v>
      </c>
      <c r="D34" s="27">
        <v>7.9363690593815095E-2</v>
      </c>
      <c r="E34" s="27">
        <v>6.1220783142996262E-2</v>
      </c>
      <c r="F34" s="27">
        <v>6.3829110251407986E-2</v>
      </c>
      <c r="G34" s="27">
        <v>6.6892753998485405E-2</v>
      </c>
    </row>
    <row r="35" spans="1:17">
      <c r="A35" s="25">
        <v>80</v>
      </c>
      <c r="B35" s="27">
        <v>8.2543874560232849E-2</v>
      </c>
      <c r="C35" s="27">
        <v>8.6079462829745823E-2</v>
      </c>
      <c r="D35" s="27">
        <v>9.1108250641936103E-2</v>
      </c>
      <c r="E35" s="27">
        <v>6.9237065264819736E-2</v>
      </c>
      <c r="F35" s="27">
        <v>7.2224300332012548E-2</v>
      </c>
      <c r="G35" s="27">
        <v>7.6610168962686548E-2</v>
      </c>
    </row>
    <row r="38" spans="1:17">
      <c r="A38" s="48" t="s">
        <v>149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</row>
    <row r="39" spans="1:17" ht="48" customHeight="1">
      <c r="A39" s="20" t="s">
        <v>125</v>
      </c>
      <c r="B39" s="20" t="s">
        <v>126</v>
      </c>
      <c r="C39" s="20" t="s">
        <v>127</v>
      </c>
      <c r="D39" s="20" t="s">
        <v>128</v>
      </c>
      <c r="E39" s="20" t="s">
        <v>129</v>
      </c>
      <c r="F39" s="20" t="s">
        <v>130</v>
      </c>
      <c r="G39" s="20" t="s">
        <v>131</v>
      </c>
      <c r="H39" s="20" t="s">
        <v>134</v>
      </c>
      <c r="I39" s="20" t="s">
        <v>135</v>
      </c>
      <c r="J39" s="20" t="s">
        <v>136</v>
      </c>
    </row>
    <row r="40" spans="1:17">
      <c r="A40" s="25">
        <v>40</v>
      </c>
      <c r="B40" s="28">
        <v>2.19309E-2</v>
      </c>
      <c r="C40" s="28">
        <v>2.0148900000000001E-2</v>
      </c>
      <c r="D40" s="28">
        <v>2.1925300000000002E-2</v>
      </c>
      <c r="E40" s="28">
        <v>2.0145300000000001E-2</v>
      </c>
      <c r="F40" s="28">
        <v>2.1908500000000001E-2</v>
      </c>
      <c r="G40" s="28">
        <v>2.0134099999999999E-2</v>
      </c>
      <c r="H40" s="28">
        <v>2.16983E-2</v>
      </c>
      <c r="I40" s="28">
        <v>1.9344299999999998E-2</v>
      </c>
      <c r="J40" s="18">
        <f t="shared" ref="J40:J80" si="6">1/C40</f>
        <v>49.630500920645787</v>
      </c>
    </row>
    <row r="41" spans="1:17">
      <c r="A41" s="25">
        <v>41</v>
      </c>
      <c r="B41" s="28">
        <v>2.2411799999999999E-2</v>
      </c>
      <c r="C41" s="28">
        <v>2.05574E-2</v>
      </c>
      <c r="D41" s="28">
        <v>2.2405700000000001E-2</v>
      </c>
      <c r="E41" s="28">
        <v>2.0553399999999999E-2</v>
      </c>
      <c r="F41" s="28">
        <v>2.2387199999999999E-2</v>
      </c>
      <c r="G41" s="28">
        <v>2.0540800000000001E-2</v>
      </c>
      <c r="H41" s="28">
        <v>2.21668E-2</v>
      </c>
      <c r="I41" s="28">
        <v>1.9719E-2</v>
      </c>
      <c r="J41" s="18">
        <f t="shared" si="6"/>
        <v>48.644283810209465</v>
      </c>
    </row>
    <row r="42" spans="1:17">
      <c r="A42" s="25">
        <v>42</v>
      </c>
      <c r="B42" s="28">
        <v>2.2914400000000001E-2</v>
      </c>
      <c r="C42" s="28">
        <v>2.0982399999999998E-2</v>
      </c>
      <c r="D42" s="28">
        <v>2.2907799999999999E-2</v>
      </c>
      <c r="E42" s="28">
        <v>2.0978E-2</v>
      </c>
      <c r="F42" s="28">
        <v>2.2887299999999999E-2</v>
      </c>
      <c r="G42" s="28">
        <v>2.0964E-2</v>
      </c>
      <c r="H42" s="28">
        <v>2.2656300000000001E-2</v>
      </c>
      <c r="I42" s="28">
        <v>2.0108299999999999E-2</v>
      </c>
      <c r="J42" s="18">
        <f t="shared" si="6"/>
        <v>47.65899039194754</v>
      </c>
    </row>
    <row r="43" spans="1:17">
      <c r="A43" s="25">
        <v>43</v>
      </c>
      <c r="B43" s="28">
        <v>2.3440200000000001E-2</v>
      </c>
      <c r="C43" s="28">
        <v>2.1424800000000001E-2</v>
      </c>
      <c r="D43" s="28">
        <v>2.34329E-2</v>
      </c>
      <c r="E43" s="28">
        <v>2.1419799999999999E-2</v>
      </c>
      <c r="F43" s="28">
        <v>2.341E-2</v>
      </c>
      <c r="G43" s="28">
        <v>2.1404200000000002E-2</v>
      </c>
      <c r="H43" s="28">
        <v>2.3168000000000001E-2</v>
      </c>
      <c r="I43" s="28">
        <v>2.0512499999999999E-2</v>
      </c>
      <c r="J43" s="18">
        <f t="shared" si="6"/>
        <v>46.674881445801127</v>
      </c>
    </row>
    <row r="44" spans="1:17">
      <c r="A44" s="25">
        <v>44</v>
      </c>
      <c r="B44" s="28">
        <v>2.3990399999999999E-2</v>
      </c>
      <c r="C44" s="28">
        <v>2.1885399999999999E-2</v>
      </c>
      <c r="D44" s="28">
        <v>2.3982199999999999E-2</v>
      </c>
      <c r="E44" s="28">
        <v>2.1879900000000001E-2</v>
      </c>
      <c r="F44" s="28">
        <v>2.3956499999999999E-2</v>
      </c>
      <c r="G44" s="28">
        <v>2.1862300000000001E-2</v>
      </c>
      <c r="H44" s="28">
        <v>2.3702999999999998E-2</v>
      </c>
      <c r="I44" s="28">
        <v>2.09325E-2</v>
      </c>
      <c r="J44" s="18">
        <f t="shared" si="6"/>
        <v>45.692562164730823</v>
      </c>
    </row>
    <row r="45" spans="1:17">
      <c r="A45" s="25">
        <v>45</v>
      </c>
      <c r="B45" s="28">
        <v>2.4566000000000001E-2</v>
      </c>
      <c r="C45" s="28">
        <v>2.2365699999999999E-2</v>
      </c>
      <c r="D45" s="28">
        <v>2.45569E-2</v>
      </c>
      <c r="E45" s="28">
        <v>2.2359500000000001E-2</v>
      </c>
      <c r="F45" s="28">
        <v>2.4527799999999999E-2</v>
      </c>
      <c r="G45" s="28">
        <v>2.23398E-2</v>
      </c>
      <c r="H45" s="28">
        <v>2.4262200000000001E-2</v>
      </c>
      <c r="I45" s="28">
        <v>2.1369599999999999E-2</v>
      </c>
      <c r="J45" s="18">
        <f t="shared" si="6"/>
        <v>44.711321353679971</v>
      </c>
    </row>
    <row r="46" spans="1:17">
      <c r="A46" s="25">
        <v>46</v>
      </c>
      <c r="B46" s="28">
        <v>2.5168900000000001E-2</v>
      </c>
      <c r="C46" s="28">
        <v>2.2866500000000001E-2</v>
      </c>
      <c r="D46" s="28">
        <v>2.5158799999999999E-2</v>
      </c>
      <c r="E46" s="28">
        <v>2.2859399999999998E-2</v>
      </c>
      <c r="F46" s="28">
        <v>2.51258E-2</v>
      </c>
      <c r="G46" s="28">
        <v>2.28376E-2</v>
      </c>
      <c r="H46" s="28">
        <v>2.4847399999999999E-2</v>
      </c>
      <c r="I46" s="28">
        <v>2.1824300000000001E-2</v>
      </c>
      <c r="J46" s="18">
        <f t="shared" si="6"/>
        <v>43.732097172719918</v>
      </c>
    </row>
    <row r="47" spans="1:17">
      <c r="A47" s="25">
        <v>47</v>
      </c>
      <c r="B47" s="28">
        <v>2.58017E-2</v>
      </c>
      <c r="C47" s="28">
        <v>2.3389199999999999E-2</v>
      </c>
      <c r="D47" s="28">
        <v>2.57901E-2</v>
      </c>
      <c r="E47" s="28">
        <v>2.3381300000000001E-2</v>
      </c>
      <c r="F47" s="28">
        <v>2.5752500000000001E-2</v>
      </c>
      <c r="G47" s="28">
        <v>2.33568E-2</v>
      </c>
      <c r="H47" s="28">
        <v>2.5461000000000001E-2</v>
      </c>
      <c r="I47" s="28">
        <v>2.22977E-2</v>
      </c>
      <c r="J47" s="18">
        <f t="shared" si="6"/>
        <v>42.754775708446637</v>
      </c>
    </row>
    <row r="48" spans="1:17">
      <c r="A48" s="25">
        <v>48</v>
      </c>
      <c r="B48" s="28">
        <v>2.6465700000000002E-2</v>
      </c>
      <c r="C48" s="28">
        <v>2.39353E-2</v>
      </c>
      <c r="D48" s="28">
        <v>2.64526E-2</v>
      </c>
      <c r="E48" s="28">
        <v>2.39265E-2</v>
      </c>
      <c r="F48" s="28">
        <v>2.6409499999999999E-2</v>
      </c>
      <c r="G48" s="28">
        <v>2.38991E-2</v>
      </c>
      <c r="H48" s="28">
        <v>2.61043E-2</v>
      </c>
      <c r="I48" s="28">
        <v>2.2791200000000001E-2</v>
      </c>
      <c r="J48" s="18">
        <f t="shared" si="6"/>
        <v>41.779296687319565</v>
      </c>
    </row>
    <row r="49" spans="1:10">
      <c r="A49" s="25">
        <v>49</v>
      </c>
      <c r="B49" s="28">
        <v>2.71635E-2</v>
      </c>
      <c r="C49" s="28">
        <v>2.4506500000000001E-2</v>
      </c>
      <c r="D49" s="28">
        <v>2.7148700000000001E-2</v>
      </c>
      <c r="E49" s="28">
        <v>2.44967E-2</v>
      </c>
      <c r="F49" s="28">
        <v>2.7098899999999999E-2</v>
      </c>
      <c r="G49" s="28">
        <v>2.4466100000000001E-2</v>
      </c>
      <c r="H49" s="28">
        <v>2.6779600000000001E-2</v>
      </c>
      <c r="I49" s="28">
        <v>2.33061E-2</v>
      </c>
      <c r="J49" s="18">
        <f t="shared" si="6"/>
        <v>40.805500581478384</v>
      </c>
    </row>
    <row r="50" spans="1:10">
      <c r="A50" s="25">
        <v>50</v>
      </c>
      <c r="B50" s="28">
        <v>2.7897700000000001E-2</v>
      </c>
      <c r="C50" s="28">
        <v>2.5104700000000001E-2</v>
      </c>
      <c r="D50" s="28">
        <v>2.7880599999999998E-2</v>
      </c>
      <c r="E50" s="28">
        <v>2.50937E-2</v>
      </c>
      <c r="F50" s="28">
        <v>2.78231E-2</v>
      </c>
      <c r="G50" s="28">
        <v>2.5059600000000001E-2</v>
      </c>
      <c r="H50" s="28">
        <v>2.7489599999999999E-2</v>
      </c>
      <c r="I50" s="28">
        <v>2.3844199999999999E-2</v>
      </c>
      <c r="J50" s="18">
        <f t="shared" si="6"/>
        <v>39.833178647822919</v>
      </c>
    </row>
    <row r="51" spans="1:10">
      <c r="A51" s="25">
        <v>51</v>
      </c>
      <c r="B51" s="28">
        <v>2.8670999999999999E-2</v>
      </c>
      <c r="C51" s="28">
        <v>2.5731899999999999E-2</v>
      </c>
      <c r="D51" s="28">
        <v>2.8651200000000002E-2</v>
      </c>
      <c r="E51" s="28">
        <v>2.5719499999999999E-2</v>
      </c>
      <c r="F51" s="28">
        <v>2.8584399999999999E-2</v>
      </c>
      <c r="G51" s="28">
        <v>2.5681499999999999E-2</v>
      </c>
      <c r="H51" s="28">
        <v>2.8236500000000001E-2</v>
      </c>
      <c r="I51" s="28">
        <v>2.4406899999999999E-2</v>
      </c>
      <c r="J51" s="18">
        <f t="shared" si="6"/>
        <v>38.862268235147816</v>
      </c>
    </row>
    <row r="52" spans="1:10">
      <c r="A52" s="25">
        <v>52</v>
      </c>
      <c r="B52" s="28">
        <v>2.9485899999999999E-2</v>
      </c>
      <c r="C52" s="28">
        <v>2.639E-2</v>
      </c>
      <c r="D52" s="28">
        <v>2.94629E-2</v>
      </c>
      <c r="E52" s="28">
        <v>2.63761E-2</v>
      </c>
      <c r="F52" s="28">
        <v>2.9385100000000001E-2</v>
      </c>
      <c r="G52" s="28">
        <v>2.6333499999999999E-2</v>
      </c>
      <c r="H52" s="28">
        <v>2.9022699999999998E-2</v>
      </c>
      <c r="I52" s="28">
        <v>2.4995900000000001E-2</v>
      </c>
      <c r="J52" s="18">
        <f t="shared" si="6"/>
        <v>37.893141341417206</v>
      </c>
    </row>
    <row r="53" spans="1:10">
      <c r="A53" s="25">
        <v>53</v>
      </c>
      <c r="B53" s="28">
        <v>3.0345799999999999E-2</v>
      </c>
      <c r="C53" s="28">
        <v>2.70812E-2</v>
      </c>
      <c r="D53" s="28">
        <v>3.03188E-2</v>
      </c>
      <c r="E53" s="28">
        <v>2.7065599999999999E-2</v>
      </c>
      <c r="F53" s="28">
        <v>3.02276E-2</v>
      </c>
      <c r="G53" s="28">
        <v>2.7017800000000002E-2</v>
      </c>
      <c r="H53" s="28">
        <v>2.9851300000000001E-2</v>
      </c>
      <c r="I53" s="28">
        <v>2.5613E-2</v>
      </c>
      <c r="J53" s="18">
        <f t="shared" si="6"/>
        <v>36.925985554554451</v>
      </c>
    </row>
    <row r="54" spans="1:10">
      <c r="A54" s="25">
        <v>54</v>
      </c>
      <c r="B54" s="28">
        <v>3.1253499999999997E-2</v>
      </c>
      <c r="C54" s="28">
        <v>2.7807800000000001E-2</v>
      </c>
      <c r="D54" s="28">
        <v>3.1222E-2</v>
      </c>
      <c r="E54" s="28">
        <v>2.77904E-2</v>
      </c>
      <c r="F54" s="28">
        <v>3.1114699999999999E-2</v>
      </c>
      <c r="G54" s="28">
        <v>2.7736299999999998E-2</v>
      </c>
      <c r="H54" s="28">
        <v>3.07248E-2</v>
      </c>
      <c r="I54" s="28">
        <v>2.6259999999999999E-2</v>
      </c>
      <c r="J54" s="18">
        <f t="shared" si="6"/>
        <v>35.961133207229622</v>
      </c>
    </row>
    <row r="55" spans="1:10">
      <c r="A55" s="25">
        <v>55</v>
      </c>
      <c r="B55" s="28">
        <v>3.2212900000000003E-2</v>
      </c>
      <c r="C55" s="28">
        <v>2.8573000000000001E-2</v>
      </c>
      <c r="D55" s="28">
        <v>3.2176200000000002E-2</v>
      </c>
      <c r="E55" s="28">
        <v>2.8553499999999999E-2</v>
      </c>
      <c r="F55" s="28">
        <v>3.2049099999999997E-2</v>
      </c>
      <c r="G55" s="28">
        <v>2.8492099999999999E-2</v>
      </c>
      <c r="H55" s="28">
        <v>3.1646800000000003E-2</v>
      </c>
      <c r="I55" s="28">
        <v>2.6939399999999999E-2</v>
      </c>
      <c r="J55" s="18">
        <f t="shared" si="6"/>
        <v>34.998075105869177</v>
      </c>
    </row>
    <row r="56" spans="1:10">
      <c r="A56" s="25">
        <v>56</v>
      </c>
      <c r="B56" s="28">
        <v>3.3228300000000002E-2</v>
      </c>
      <c r="C56" s="28">
        <v>2.93799E-2</v>
      </c>
      <c r="D56" s="28">
        <v>3.3185399999999997E-2</v>
      </c>
      <c r="E56" s="28">
        <v>2.9358100000000002E-2</v>
      </c>
      <c r="F56" s="28">
        <v>3.3034300000000003E-2</v>
      </c>
      <c r="G56" s="28">
        <v>2.92877E-2</v>
      </c>
      <c r="H56" s="28">
        <v>3.2621200000000003E-2</v>
      </c>
      <c r="I56" s="28">
        <v>2.76542E-2</v>
      </c>
      <c r="J56" s="18">
        <f t="shared" si="6"/>
        <v>34.036875550971921</v>
      </c>
    </row>
    <row r="57" spans="1:10">
      <c r="A57" s="25">
        <v>57</v>
      </c>
      <c r="B57" s="28">
        <v>3.4305000000000002E-2</v>
      </c>
      <c r="C57" s="28">
        <v>3.0232499999999999E-2</v>
      </c>
      <c r="D57" s="28">
        <v>3.4254399999999997E-2</v>
      </c>
      <c r="E57" s="28">
        <v>3.0207999999999999E-2</v>
      </c>
      <c r="F57" s="28">
        <v>3.4073800000000001E-2</v>
      </c>
      <c r="G57" s="28">
        <v>3.0126500000000001E-2</v>
      </c>
      <c r="H57" s="28">
        <v>3.3652599999999998E-2</v>
      </c>
      <c r="I57" s="28">
        <v>2.84073E-2</v>
      </c>
      <c r="J57" s="18">
        <f t="shared" si="6"/>
        <v>33.076986686512861</v>
      </c>
    </row>
    <row r="58" spans="1:10">
      <c r="A58" s="25">
        <v>58</v>
      </c>
      <c r="B58" s="28">
        <v>3.54487E-2</v>
      </c>
      <c r="C58" s="28">
        <v>3.11349E-2</v>
      </c>
      <c r="D58" s="28">
        <v>3.5388599999999999E-2</v>
      </c>
      <c r="E58" s="28">
        <v>3.1107099999999999E-2</v>
      </c>
      <c r="F58" s="28">
        <v>3.5171800000000003E-2</v>
      </c>
      <c r="G58" s="28">
        <v>3.1011899999999998E-2</v>
      </c>
      <c r="H58" s="28">
        <v>3.4746399999999997E-2</v>
      </c>
      <c r="I58" s="28">
        <v>2.9202499999999999E-2</v>
      </c>
      <c r="J58" s="18">
        <f t="shared" si="6"/>
        <v>32.118298115619453</v>
      </c>
    </row>
    <row r="59" spans="1:10">
      <c r="A59" s="25">
        <v>59</v>
      </c>
      <c r="B59" s="28">
        <v>3.6665499999999997E-2</v>
      </c>
      <c r="C59" s="28">
        <v>3.2091599999999998E-2</v>
      </c>
      <c r="D59" s="28">
        <v>3.6593000000000001E-2</v>
      </c>
      <c r="E59" s="28">
        <v>3.2059400000000002E-2</v>
      </c>
      <c r="F59" s="28">
        <v>3.63319E-2</v>
      </c>
      <c r="G59" s="28">
        <v>3.1947700000000002E-2</v>
      </c>
      <c r="H59" s="28">
        <v>3.5908099999999998E-2</v>
      </c>
      <c r="I59" s="28">
        <v>3.0043E-2</v>
      </c>
      <c r="J59" s="18">
        <f t="shared" si="6"/>
        <v>31.160802203691933</v>
      </c>
    </row>
    <row r="60" spans="1:10">
      <c r="A60" s="25">
        <v>60</v>
      </c>
      <c r="B60" s="28">
        <v>3.7961300000000003E-2</v>
      </c>
      <c r="C60" s="28">
        <v>3.31071E-2</v>
      </c>
      <c r="D60" s="28">
        <v>3.7873299999999999E-2</v>
      </c>
      <c r="E60" s="28">
        <v>3.3069300000000003E-2</v>
      </c>
      <c r="F60" s="28">
        <v>3.7558099999999997E-2</v>
      </c>
      <c r="G60" s="28">
        <v>3.29372E-2</v>
      </c>
      <c r="H60" s="28">
        <v>3.7143200000000001E-2</v>
      </c>
      <c r="I60" s="28">
        <v>3.0932600000000001E-2</v>
      </c>
      <c r="J60" s="18">
        <f t="shared" si="6"/>
        <v>30.205001344122561</v>
      </c>
    </row>
    <row r="61" spans="1:10">
      <c r="A61" s="25">
        <v>61</v>
      </c>
      <c r="B61" s="28">
        <v>3.9341300000000003E-2</v>
      </c>
      <c r="C61" s="28">
        <v>3.41862E-2</v>
      </c>
      <c r="D61" s="28">
        <v>3.9233999999999998E-2</v>
      </c>
      <c r="E61" s="28">
        <v>3.4141100000000001E-2</v>
      </c>
      <c r="F61" s="28">
        <v>3.8852900000000003E-2</v>
      </c>
      <c r="G61" s="28">
        <v>3.3984500000000001E-2</v>
      </c>
      <c r="H61" s="28">
        <v>3.8456400000000002E-2</v>
      </c>
      <c r="I61" s="28">
        <v>3.1875300000000002E-2</v>
      </c>
      <c r="J61" s="18">
        <f t="shared" si="6"/>
        <v>29.251569346695451</v>
      </c>
    </row>
    <row r="62" spans="1:10">
      <c r="A62" s="25">
        <v>62</v>
      </c>
      <c r="B62" s="28">
        <v>4.0809499999999999E-2</v>
      </c>
      <c r="C62" s="28">
        <v>3.5332599999999999E-2</v>
      </c>
      <c r="D62" s="28">
        <v>4.0678800000000001E-2</v>
      </c>
      <c r="E62" s="28">
        <v>3.5278700000000003E-2</v>
      </c>
      <c r="F62" s="28">
        <v>4.02186E-2</v>
      </c>
      <c r="G62" s="28">
        <v>3.5092499999999999E-2</v>
      </c>
      <c r="H62" s="28">
        <v>3.9850499999999997E-2</v>
      </c>
      <c r="I62" s="28">
        <v>3.2873899999999998E-2</v>
      </c>
      <c r="J62" s="18">
        <f t="shared" si="6"/>
        <v>28.302474202294764</v>
      </c>
    </row>
    <row r="63" spans="1:10">
      <c r="A63" s="25">
        <v>63</v>
      </c>
      <c r="B63" s="28">
        <v>4.2374099999999998E-2</v>
      </c>
      <c r="C63" s="28">
        <v>3.6551E-2</v>
      </c>
      <c r="D63" s="28">
        <v>4.2215099999999998E-2</v>
      </c>
      <c r="E63" s="28">
        <v>3.64868E-2</v>
      </c>
      <c r="F63" s="28">
        <v>4.1659700000000001E-2</v>
      </c>
      <c r="G63" s="28">
        <v>3.6265100000000002E-2</v>
      </c>
      <c r="H63" s="28">
        <v>4.1333099999999998E-2</v>
      </c>
      <c r="I63" s="28">
        <v>3.3931999999999997E-2</v>
      </c>
      <c r="J63" s="18">
        <f t="shared" si="6"/>
        <v>27.359032584607807</v>
      </c>
    </row>
    <row r="64" spans="1:10">
      <c r="A64" s="25">
        <v>64</v>
      </c>
      <c r="B64" s="28">
        <v>4.4044699999999999E-2</v>
      </c>
      <c r="C64" s="28">
        <v>3.7848699999999999E-2</v>
      </c>
      <c r="D64" s="28">
        <v>4.3851000000000001E-2</v>
      </c>
      <c r="E64" s="28">
        <v>3.7771800000000001E-2</v>
      </c>
      <c r="F64" s="28">
        <v>4.31811E-2</v>
      </c>
      <c r="G64" s="28">
        <v>3.7508100000000003E-2</v>
      </c>
      <c r="H64" s="28">
        <v>4.2912699999999998E-2</v>
      </c>
      <c r="I64" s="28">
        <v>3.5055500000000003E-2</v>
      </c>
      <c r="J64" s="18">
        <f t="shared" si="6"/>
        <v>26.420986718169978</v>
      </c>
    </row>
    <row r="65" spans="1:10">
      <c r="A65" s="25">
        <v>65</v>
      </c>
      <c r="B65" s="28">
        <v>4.5830799999999998E-2</v>
      </c>
      <c r="C65" s="28">
        <v>3.92343E-2</v>
      </c>
      <c r="D65" s="28">
        <v>4.55944E-2</v>
      </c>
      <c r="E65" s="28">
        <v>3.9142000000000003E-2</v>
      </c>
      <c r="F65" s="28">
        <v>4.4787199999999999E-2</v>
      </c>
      <c r="G65" s="28">
        <v>3.8827899999999999E-2</v>
      </c>
      <c r="H65" s="28">
        <v>4.4598100000000002E-2</v>
      </c>
      <c r="I65" s="28">
        <v>3.6251600000000002E-2</v>
      </c>
      <c r="J65" s="18">
        <f t="shared" si="6"/>
        <v>25.487902167236321</v>
      </c>
    </row>
    <row r="66" spans="1:10">
      <c r="A66" s="25">
        <v>66</v>
      </c>
      <c r="B66" s="28">
        <v>4.7741800000000001E-2</v>
      </c>
      <c r="C66" s="28">
        <v>4.0708800000000003E-2</v>
      </c>
      <c r="D66" s="28">
        <v>4.7453599999999999E-2</v>
      </c>
      <c r="E66" s="28">
        <v>4.0599099999999999E-2</v>
      </c>
      <c r="F66" s="28">
        <v>4.6482200000000001E-2</v>
      </c>
      <c r="G66" s="28">
        <v>4.0226100000000001E-2</v>
      </c>
      <c r="H66" s="28">
        <v>4.6397000000000001E-2</v>
      </c>
      <c r="I66" s="28">
        <v>3.7520199999999997E-2</v>
      </c>
      <c r="J66" s="18">
        <f t="shared" si="6"/>
        <v>24.564713280666584</v>
      </c>
    </row>
    <row r="67" spans="1:10">
      <c r="A67" s="25">
        <v>67</v>
      </c>
      <c r="B67" s="28">
        <v>4.9789600000000003E-2</v>
      </c>
      <c r="C67" s="28">
        <v>4.2291200000000001E-2</v>
      </c>
      <c r="D67" s="28">
        <v>4.9437599999999998E-2</v>
      </c>
      <c r="E67" s="28">
        <v>4.21594E-2</v>
      </c>
      <c r="F67" s="28">
        <v>4.82695E-2</v>
      </c>
      <c r="G67" s="28">
        <v>4.1714599999999998E-2</v>
      </c>
      <c r="H67" s="28">
        <v>4.8320599999999998E-2</v>
      </c>
      <c r="I67" s="28">
        <v>3.8878299999999998E-2</v>
      </c>
      <c r="J67" s="18">
        <f t="shared" si="6"/>
        <v>23.645581113801452</v>
      </c>
    </row>
    <row r="68" spans="1:10">
      <c r="A68" s="25">
        <v>68</v>
      </c>
      <c r="B68" s="28">
        <v>5.1987999999999999E-2</v>
      </c>
      <c r="C68" s="28">
        <v>4.3989899999999998E-2</v>
      </c>
      <c r="D68" s="28">
        <v>5.1558399999999997E-2</v>
      </c>
      <c r="E68" s="28">
        <v>4.3831000000000002E-2</v>
      </c>
      <c r="F68" s="28">
        <v>5.0152200000000001E-2</v>
      </c>
      <c r="G68" s="28">
        <v>4.3298700000000002E-2</v>
      </c>
      <c r="H68" s="28">
        <v>5.0380399999999999E-2</v>
      </c>
      <c r="I68" s="28">
        <v>4.0332199999999999E-2</v>
      </c>
      <c r="J68" s="18">
        <f t="shared" si="6"/>
        <v>22.732490867221795</v>
      </c>
    </row>
    <row r="69" spans="1:10">
      <c r="A69" s="25">
        <v>69</v>
      </c>
      <c r="B69" s="28">
        <v>5.4352299999999999E-2</v>
      </c>
      <c r="C69" s="28">
        <v>4.5816500000000003E-2</v>
      </c>
      <c r="D69" s="28">
        <v>5.3827399999999997E-2</v>
      </c>
      <c r="E69" s="28">
        <v>4.56248E-2</v>
      </c>
      <c r="F69" s="28">
        <v>5.2130299999999997E-2</v>
      </c>
      <c r="G69" s="28">
        <v>4.4984099999999999E-2</v>
      </c>
      <c r="H69" s="28">
        <v>5.25903E-2</v>
      </c>
      <c r="I69" s="28">
        <v>4.1891299999999999E-2</v>
      </c>
      <c r="J69" s="18">
        <f t="shared" si="6"/>
        <v>21.826197985441926</v>
      </c>
    </row>
    <row r="70" spans="1:10">
      <c r="A70" s="25">
        <v>70</v>
      </c>
      <c r="B70" s="28">
        <v>5.6897099999999999E-2</v>
      </c>
      <c r="C70" s="28">
        <v>4.7783600000000002E-2</v>
      </c>
      <c r="D70" s="28">
        <v>5.62572E-2</v>
      </c>
      <c r="E70" s="28">
        <v>4.7552200000000003E-2</v>
      </c>
      <c r="F70" s="28">
        <v>5.4202E-2</v>
      </c>
      <c r="G70" s="28">
        <v>4.6775700000000003E-2</v>
      </c>
      <c r="H70" s="28">
        <v>5.4962299999999999E-2</v>
      </c>
      <c r="I70" s="28">
        <v>4.3566300000000002E-2</v>
      </c>
      <c r="J70" s="18">
        <f t="shared" si="6"/>
        <v>20.927682301040523</v>
      </c>
    </row>
    <row r="71" spans="1:10">
      <c r="A71" s="25">
        <v>71</v>
      </c>
      <c r="B71" s="28">
        <v>5.9638499999999997E-2</v>
      </c>
      <c r="C71" s="28">
        <v>4.9903400000000001E-2</v>
      </c>
      <c r="D71" s="28">
        <v>5.8860200000000001E-2</v>
      </c>
      <c r="E71" s="28">
        <v>4.9625599999999999E-2</v>
      </c>
      <c r="F71" s="28">
        <v>5.6364400000000002E-2</v>
      </c>
      <c r="G71" s="28">
        <v>4.8677900000000003E-2</v>
      </c>
      <c r="H71" s="28">
        <v>5.75103E-2</v>
      </c>
      <c r="I71" s="28">
        <v>4.5367299999999999E-2</v>
      </c>
      <c r="J71" s="18">
        <f t="shared" si="6"/>
        <v>20.038714796987779</v>
      </c>
    </row>
    <row r="72" spans="1:10">
      <c r="A72" s="25">
        <v>72</v>
      </c>
      <c r="B72" s="28">
        <v>6.2600900000000001E-2</v>
      </c>
      <c r="C72" s="28">
        <v>5.21953E-2</v>
      </c>
      <c r="D72" s="28">
        <v>6.1654199999999999E-2</v>
      </c>
      <c r="E72" s="28">
        <v>5.1861299999999999E-2</v>
      </c>
      <c r="F72" s="28">
        <v>5.8615300000000002E-2</v>
      </c>
      <c r="G72" s="28">
        <v>5.0696600000000001E-2</v>
      </c>
      <c r="H72" s="28">
        <v>6.0255499999999997E-2</v>
      </c>
      <c r="I72" s="28">
        <v>4.7310400000000002E-2</v>
      </c>
      <c r="J72" s="18">
        <f t="shared" si="6"/>
        <v>19.158813149842995</v>
      </c>
    </row>
    <row r="73" spans="1:10">
      <c r="A73" s="25">
        <v>73</v>
      </c>
      <c r="B73" s="28">
        <v>6.5817200000000006E-2</v>
      </c>
      <c r="C73" s="28">
        <v>5.4690500000000003E-2</v>
      </c>
      <c r="D73" s="28">
        <v>6.4658400000000005E-2</v>
      </c>
      <c r="E73" s="28">
        <v>5.4284100000000002E-2</v>
      </c>
      <c r="F73" s="28">
        <v>6.0952600000000003E-2</v>
      </c>
      <c r="G73" s="28">
        <v>5.2840199999999997E-2</v>
      </c>
      <c r="H73" s="28">
        <v>6.3225900000000002E-2</v>
      </c>
      <c r="I73" s="28">
        <v>4.94215E-2</v>
      </c>
      <c r="J73" s="18">
        <f t="shared" si="6"/>
        <v>18.284711238697763</v>
      </c>
    </row>
    <row r="74" spans="1:10">
      <c r="A74" s="25">
        <v>74</v>
      </c>
      <c r="B74" s="28">
        <v>6.9323599999999999E-2</v>
      </c>
      <c r="C74" s="28">
        <v>5.7418799999999999E-2</v>
      </c>
      <c r="D74" s="28">
        <v>6.7890000000000006E-2</v>
      </c>
      <c r="E74" s="28">
        <v>5.6915500000000001E-2</v>
      </c>
      <c r="F74" s="28">
        <v>6.3373399999999996E-2</v>
      </c>
      <c r="G74" s="28">
        <v>5.5114299999999998E-2</v>
      </c>
      <c r="H74" s="28">
        <v>6.6453600000000002E-2</v>
      </c>
      <c r="I74" s="28">
        <v>5.1726099999999997E-2</v>
      </c>
      <c r="J74" s="18">
        <f t="shared" si="6"/>
        <v>17.415898625537281</v>
      </c>
    </row>
    <row r="75" spans="1:10">
      <c r="A75" s="25">
        <v>75</v>
      </c>
      <c r="B75" s="28">
        <v>7.3157200000000006E-2</v>
      </c>
      <c r="C75" s="28">
        <v>6.04033E-2</v>
      </c>
      <c r="D75" s="28">
        <v>7.1362800000000004E-2</v>
      </c>
      <c r="E75" s="28">
        <v>5.9770700000000003E-2</v>
      </c>
      <c r="F75" s="28">
        <v>6.5865300000000002E-2</v>
      </c>
      <c r="G75" s="28">
        <v>5.7514200000000001E-2</v>
      </c>
      <c r="H75" s="28">
        <v>6.9968199999999994E-2</v>
      </c>
      <c r="I75" s="28">
        <v>5.4242899999999997E-2</v>
      </c>
      <c r="J75" s="18">
        <f t="shared" si="6"/>
        <v>16.555386874558177</v>
      </c>
    </row>
    <row r="76" spans="1:10">
      <c r="A76" s="25">
        <v>76</v>
      </c>
      <c r="B76" s="28">
        <v>7.7358099999999999E-2</v>
      </c>
      <c r="C76" s="28">
        <v>6.3678399999999996E-2</v>
      </c>
      <c r="D76" s="28">
        <v>7.5088600000000005E-2</v>
      </c>
      <c r="E76" s="28">
        <v>6.2871300000000005E-2</v>
      </c>
      <c r="F76" s="28">
        <v>6.84144E-2</v>
      </c>
      <c r="G76" s="28">
        <v>6.0037E-2</v>
      </c>
      <c r="H76" s="28">
        <v>7.3802900000000005E-2</v>
      </c>
      <c r="I76" s="28">
        <v>5.69992E-2</v>
      </c>
      <c r="J76" s="18">
        <f t="shared" si="6"/>
        <v>15.703912158596951</v>
      </c>
    </row>
    <row r="77" spans="1:10">
      <c r="A77" s="25">
        <v>77</v>
      </c>
      <c r="B77" s="28">
        <v>8.1942399999999999E-2</v>
      </c>
      <c r="C77" s="28">
        <v>6.7272600000000002E-2</v>
      </c>
      <c r="D77" s="28">
        <v>7.9061400000000004E-2</v>
      </c>
      <c r="E77" s="28">
        <v>6.6233100000000003E-2</v>
      </c>
      <c r="F77" s="28">
        <v>7.0995500000000003E-2</v>
      </c>
      <c r="G77" s="28">
        <v>6.2670000000000003E-2</v>
      </c>
      <c r="H77" s="28">
        <v>7.7969700000000003E-2</v>
      </c>
      <c r="I77" s="28">
        <v>6.0023600000000003E-2</v>
      </c>
      <c r="J77" s="18">
        <f t="shared" si="6"/>
        <v>14.864892987635381</v>
      </c>
    </row>
    <row r="78" spans="1:10">
      <c r="A78" s="25">
        <v>78</v>
      </c>
      <c r="B78" s="28">
        <v>8.6920200000000003E-2</v>
      </c>
      <c r="C78" s="28">
        <v>7.1218000000000004E-2</v>
      </c>
      <c r="D78" s="28">
        <v>8.3275000000000002E-2</v>
      </c>
      <c r="E78" s="28">
        <v>6.9873400000000002E-2</v>
      </c>
      <c r="F78" s="28">
        <v>7.3582400000000006E-2</v>
      </c>
      <c r="G78" s="28">
        <v>6.5396700000000002E-2</v>
      </c>
      <c r="H78" s="28">
        <v>8.2475599999999996E-2</v>
      </c>
      <c r="I78" s="28">
        <v>6.33465E-2</v>
      </c>
      <c r="J78" s="18">
        <f t="shared" si="6"/>
        <v>14.041394029599259</v>
      </c>
    </row>
    <row r="79" spans="1:10">
      <c r="A79" s="25">
        <v>79</v>
      </c>
      <c r="B79" s="28">
        <v>9.2289200000000002E-2</v>
      </c>
      <c r="C79" s="28">
        <v>7.55435E-2</v>
      </c>
      <c r="D79" s="28">
        <v>8.7718500000000005E-2</v>
      </c>
      <c r="E79" s="28">
        <v>7.3803999999999995E-2</v>
      </c>
      <c r="F79" s="28">
        <v>7.6146400000000003E-2</v>
      </c>
      <c r="G79" s="28">
        <v>6.8194199999999996E-2</v>
      </c>
      <c r="H79" s="28">
        <v>8.7315699999999996E-2</v>
      </c>
      <c r="I79" s="28">
        <v>6.69931E-2</v>
      </c>
      <c r="J79" s="18">
        <f t="shared" si="6"/>
        <v>13.237406262616902</v>
      </c>
    </row>
    <row r="80" spans="1:10">
      <c r="A80" s="25">
        <v>80</v>
      </c>
      <c r="B80" s="28">
        <v>9.8076700000000003E-2</v>
      </c>
      <c r="C80" s="28">
        <v>8.0286499999999997E-2</v>
      </c>
      <c r="D80" s="28">
        <v>9.2389799999999994E-2</v>
      </c>
      <c r="E80" s="28">
        <v>7.8037800000000004E-2</v>
      </c>
      <c r="F80" s="28">
        <v>7.8661499999999995E-2</v>
      </c>
      <c r="G80" s="28">
        <v>7.1035299999999996E-2</v>
      </c>
      <c r="H80" s="28">
        <v>9.2511200000000002E-2</v>
      </c>
      <c r="I80" s="28">
        <v>7.0999499999999993E-2</v>
      </c>
      <c r="J80" s="18">
        <f t="shared" si="6"/>
        <v>12.455394119808437</v>
      </c>
    </row>
    <row r="83" spans="1:17">
      <c r="A83" s="48" t="s">
        <v>150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</row>
    <row r="84" spans="1:17" ht="32.1" customHeight="1">
      <c r="A84" s="20" t="s">
        <v>125</v>
      </c>
      <c r="B84" s="20" t="s">
        <v>126</v>
      </c>
      <c r="C84" s="20" t="s">
        <v>127</v>
      </c>
    </row>
    <row r="85" spans="1:17">
      <c r="A85" s="25">
        <v>65</v>
      </c>
      <c r="B85" s="28">
        <v>5.2014499999999998E-2</v>
      </c>
      <c r="C85" s="28">
        <v>4.5147899999999998E-2</v>
      </c>
    </row>
    <row r="86" spans="1:17">
      <c r="A86" s="25">
        <v>67</v>
      </c>
      <c r="B86" s="28">
        <v>5.6064500000000003E-2</v>
      </c>
      <c r="C86" s="28">
        <v>4.8260200000000003E-2</v>
      </c>
    </row>
    <row r="88" spans="1:17" ht="30" customHeight="1">
      <c r="A88" s="50" t="s">
        <v>151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</row>
  </sheetData>
  <mergeCells count="8">
    <mergeCell ref="A2:Q2"/>
    <mergeCell ref="A88:L88"/>
    <mergeCell ref="A1:Q1"/>
    <mergeCell ref="A3:Q3"/>
    <mergeCell ref="A30:Q30"/>
    <mergeCell ref="A83:Q83"/>
    <mergeCell ref="A4:Q4"/>
    <mergeCell ref="A38:Q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2" customWidth="1"/>
    <col min="2" max="4" width="22" customWidth="1"/>
    <col min="5" max="6" width="18" customWidth="1"/>
    <col min="7" max="39" width="17" customWidth="1"/>
  </cols>
  <sheetData>
    <row r="1" spans="1:12" ht="24.95" customHeight="1">
      <c r="A1" s="47" t="s">
        <v>152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32.1" customHeight="1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ht="62.1" customHeight="1">
      <c r="A3" s="50" t="s">
        <v>153</v>
      </c>
      <c r="B3" s="46"/>
      <c r="C3" s="46"/>
      <c r="D3" s="46"/>
      <c r="E3" s="46"/>
      <c r="F3" s="46"/>
      <c r="G3" s="46"/>
    </row>
    <row r="4" spans="1:12">
      <c r="A4" s="48" t="s">
        <v>154</v>
      </c>
      <c r="B4" s="46"/>
      <c r="C4" s="46"/>
      <c r="D4" s="46"/>
      <c r="E4" s="46"/>
      <c r="F4" s="46"/>
    </row>
    <row r="5" spans="1:12" ht="30">
      <c r="A5" s="5" t="s">
        <v>155</v>
      </c>
      <c r="B5" s="11">
        <v>1</v>
      </c>
    </row>
    <row r="6" spans="1:12">
      <c r="A6" s="5" t="s">
        <v>156</v>
      </c>
      <c r="B6" s="11">
        <v>3</v>
      </c>
    </row>
    <row r="7" spans="1:12">
      <c r="A7" s="5" t="s">
        <v>157</v>
      </c>
      <c r="B7" s="29">
        <v>0.48130000000000001</v>
      </c>
    </row>
    <row r="8" spans="1:12">
      <c r="A8" s="5" t="s">
        <v>158</v>
      </c>
      <c r="B8" s="12">
        <v>1.0999999999999999E-2</v>
      </c>
    </row>
    <row r="9" spans="1:12" ht="30">
      <c r="A9" s="5" t="s">
        <v>159</v>
      </c>
      <c r="B9" s="30">
        <v>3.5770000000000003E-2</v>
      </c>
    </row>
    <row r="10" spans="1:12">
      <c r="A10" s="5" t="s">
        <v>160</v>
      </c>
      <c r="B10" s="12">
        <v>2.1000000000000001E-2</v>
      </c>
    </row>
    <row r="11" spans="1:12">
      <c r="A11" s="5" t="s">
        <v>161</v>
      </c>
      <c r="B11" s="12">
        <v>0</v>
      </c>
      <c r="C11" s="12">
        <v>0.01</v>
      </c>
      <c r="D11" s="12">
        <v>0.02</v>
      </c>
    </row>
    <row r="13" spans="1:12">
      <c r="A13" s="48" t="s">
        <v>162</v>
      </c>
      <c r="B13" s="46"/>
      <c r="C13" s="46"/>
      <c r="D13" s="46"/>
      <c r="E13" s="46"/>
      <c r="F13" s="46"/>
    </row>
    <row r="14" spans="1:12" ht="30">
      <c r="A14" s="20" t="s">
        <v>125</v>
      </c>
      <c r="B14" s="20" t="s">
        <v>163</v>
      </c>
    </row>
    <row r="15" spans="1:12">
      <c r="A15" s="21">
        <v>75</v>
      </c>
      <c r="B15" s="19">
        <f t="shared" ref="B15:B21" si="0">IFERROR(INDEX($D$52:$D$121,A15-Eta+1),0)</f>
        <v>0.92395999291001396</v>
      </c>
    </row>
    <row r="16" spans="1:12">
      <c r="A16" s="21">
        <v>80</v>
      </c>
      <c r="B16" s="19">
        <f t="shared" si="0"/>
        <v>0.83541199485787199</v>
      </c>
    </row>
    <row r="17" spans="1:6">
      <c r="A17" s="21">
        <v>85</v>
      </c>
      <c r="B17" s="19">
        <f t="shared" si="0"/>
        <v>0.67887899668769958</v>
      </c>
    </row>
    <row r="18" spans="1:6">
      <c r="A18" s="21">
        <v>86</v>
      </c>
      <c r="B18" s="19">
        <f t="shared" si="0"/>
        <v>0.63906630085790872</v>
      </c>
    </row>
    <row r="19" spans="1:6">
      <c r="A19" s="21">
        <v>88</v>
      </c>
      <c r="B19" s="19">
        <f t="shared" si="0"/>
        <v>0.54825009690152282</v>
      </c>
    </row>
    <row r="20" spans="1:6">
      <c r="A20" s="21">
        <v>90</v>
      </c>
      <c r="B20" s="19">
        <f t="shared" si="0"/>
        <v>0.44445219006207193</v>
      </c>
    </row>
    <row r="21" spans="1:6">
      <c r="A21" s="21">
        <v>95</v>
      </c>
      <c r="B21" s="19">
        <f t="shared" si="0"/>
        <v>0.18645402830614852</v>
      </c>
    </row>
    <row r="23" spans="1:6">
      <c r="A23" s="48" t="s">
        <v>164</v>
      </c>
      <c r="B23" s="46"/>
      <c r="C23" s="46"/>
      <c r="D23" s="46"/>
      <c r="E23" s="46"/>
      <c r="F23" s="46"/>
    </row>
    <row r="24" spans="1:6" ht="32.1" customHeight="1">
      <c r="A24" s="20" t="s">
        <v>165</v>
      </c>
      <c r="B24" s="20" t="s">
        <v>166</v>
      </c>
      <c r="C24" s="20" t="s">
        <v>167</v>
      </c>
      <c r="D24" s="20" t="s">
        <v>168</v>
      </c>
    </row>
    <row r="25" spans="1:6">
      <c r="A25" s="21">
        <v>75</v>
      </c>
      <c r="B25" s="16">
        <f t="shared" ref="B25:B30" si="1">MAX(0,A25-Eta)</f>
        <v>8</v>
      </c>
      <c r="C25" s="14">
        <f>IRR(V52:V121,-0.1)</f>
        <v>-0.20730157758984968</v>
      </c>
      <c r="D25" s="14">
        <f>IRR(AB52:AB121,-0.1)</f>
        <v>-0.22131408209929671</v>
      </c>
    </row>
    <row r="26" spans="1:6">
      <c r="A26" s="21">
        <v>80</v>
      </c>
      <c r="B26" s="16">
        <f t="shared" si="1"/>
        <v>13</v>
      </c>
      <c r="C26" s="14">
        <f>IRR(W52:W121,-0.1)</f>
        <v>-8.7351634804643141E-2</v>
      </c>
      <c r="D26" s="14">
        <f>IRR(AC52:AC121,-0.1)</f>
        <v>-9.8409206577043551E-2</v>
      </c>
    </row>
    <row r="27" spans="1:6">
      <c r="A27" s="21">
        <v>85</v>
      </c>
      <c r="B27" s="16">
        <f t="shared" si="1"/>
        <v>18</v>
      </c>
      <c r="C27" s="14">
        <f>IRR(X52:X121,-0.1)</f>
        <v>-3.6540594530299009E-2</v>
      </c>
      <c r="D27" s="14">
        <f>IRR(AD52:AD121,-0.1)</f>
        <v>-4.5708238353224906E-2</v>
      </c>
    </row>
    <row r="28" spans="1:6">
      <c r="A28" s="21">
        <v>90</v>
      </c>
      <c r="B28" s="16">
        <f t="shared" si="1"/>
        <v>23</v>
      </c>
      <c r="C28" s="14">
        <f>IRR(Y52:Y121,-0.1)</f>
        <v>-1.0339400985224678E-2</v>
      </c>
      <c r="D28" s="14">
        <f>IRR(AE52:AE121,-0.1)</f>
        <v>-1.8261807657961149E-2</v>
      </c>
    </row>
    <row r="29" spans="1:6">
      <c r="A29" s="21">
        <v>95</v>
      </c>
      <c r="B29" s="16">
        <f t="shared" si="1"/>
        <v>28</v>
      </c>
      <c r="C29" s="14">
        <f>IRR(Z52:Z121,-0.1)</f>
        <v>4.8659335929071013E-3</v>
      </c>
      <c r="D29" s="14">
        <f>IRR(AF52:AF121,-0.1)</f>
        <v>-2.1881172012665484E-3</v>
      </c>
    </row>
    <row r="30" spans="1:6">
      <c r="A30" s="21">
        <v>100</v>
      </c>
      <c r="B30" s="16">
        <f t="shared" si="1"/>
        <v>33</v>
      </c>
      <c r="C30" s="14">
        <f>IRR(AA52:AA121,-0.1)</f>
        <v>1.4407411292651329E-2</v>
      </c>
      <c r="D30" s="14">
        <f>IRR(AG52:AG121,-0.1)</f>
        <v>7.9877272597119742E-3</v>
      </c>
    </row>
    <row r="32" spans="1:6">
      <c r="A32" s="48" t="s">
        <v>169</v>
      </c>
      <c r="B32" s="46"/>
      <c r="C32" s="46"/>
      <c r="D32" s="46"/>
      <c r="E32" s="46"/>
      <c r="F32" s="46"/>
    </row>
    <row r="33" spans="1:6" ht="32.1" customHeight="1">
      <c r="A33" s="20" t="s">
        <v>170</v>
      </c>
      <c r="B33" s="20" t="s">
        <v>171</v>
      </c>
      <c r="C33" s="20" t="s">
        <v>172</v>
      </c>
      <c r="D33" s="20" t="s">
        <v>173</v>
      </c>
    </row>
    <row r="34" spans="1:6">
      <c r="A34" s="31">
        <f>B11</f>
        <v>0</v>
      </c>
      <c r="B34" s="14">
        <f>IRR(M52:M121,-0.02)</f>
        <v>-1.8861119098749324E-2</v>
      </c>
      <c r="C34" s="14">
        <f>IRR(P52:P121,-0.02)</f>
        <v>-8.8247362851374689E-3</v>
      </c>
      <c r="D34" s="14">
        <f>IRR(S52:S121,-0.02)</f>
        <v>-7.3877865751936778E-4</v>
      </c>
    </row>
    <row r="35" spans="1:6">
      <c r="A35" s="31">
        <f>C11</f>
        <v>0.01</v>
      </c>
      <c r="B35" s="14">
        <f>IRR(N52:N121,-0.02)</f>
        <v>-9.7830434624132101E-3</v>
      </c>
      <c r="C35" s="14">
        <f>IRR(Q52:Q121,-0.02)</f>
        <v>3.8634490912925479E-4</v>
      </c>
      <c r="D35" s="14">
        <f>IRR(T52:T121,-0.02)</f>
        <v>8.5859871194535753E-3</v>
      </c>
    </row>
    <row r="36" spans="1:6">
      <c r="A36" s="31">
        <f>D11</f>
        <v>0.02</v>
      </c>
      <c r="B36" s="14">
        <f>IRR(O52:O121,-0.02)</f>
        <v>-7.0910759387077249E-4</v>
      </c>
      <c r="C36" s="14">
        <f>IRR(R52:R121,-0.02)</f>
        <v>9.5935441825782952E-3</v>
      </c>
      <c r="D36" s="14">
        <f>IRR(U52:U121,-0.02)</f>
        <v>1.7907204467272342E-2</v>
      </c>
    </row>
    <row r="38" spans="1:6">
      <c r="A38" s="48" t="s">
        <v>174</v>
      </c>
      <c r="B38" s="46"/>
      <c r="C38" s="46"/>
      <c r="D38" s="46"/>
      <c r="E38" s="46"/>
      <c r="F38" s="46"/>
    </row>
    <row r="39" spans="1:6" ht="32.1" customHeight="1">
      <c r="A39" s="20" t="s">
        <v>170</v>
      </c>
      <c r="B39" s="20" t="s">
        <v>171</v>
      </c>
      <c r="C39" s="20" t="s">
        <v>172</v>
      </c>
      <c r="D39" s="20" t="s">
        <v>173</v>
      </c>
    </row>
    <row r="40" spans="1:6">
      <c r="A40" s="31">
        <f>g_rata</f>
        <v>0</v>
      </c>
      <c r="B40" s="32">
        <f>c_use*SUMPRODUCT($D$53:$D$121,$K$53:$K$121,$J$53:$J$121)</f>
        <v>0.52776681301366923</v>
      </c>
      <c r="C40" s="32">
        <f>c_use*SUMPRODUCT($F$53:$F$121,$K$53:$K$121,$J$53:$J$121)</f>
        <v>0.57330706547019772</v>
      </c>
      <c r="D40" s="32">
        <f>c_use*SUMPRODUCT($H$53:$H$121,$K$53:$K$121,$J$53:$J$121)</f>
        <v>0.616126044881525</v>
      </c>
    </row>
    <row r="41" spans="1:6">
      <c r="A41" s="31">
        <f>g_due</f>
        <v>2.1000000000000001E-2</v>
      </c>
      <c r="B41" s="32">
        <f>c_use*SUMPRODUCT($D$53:$D$121,$L$53:$L$121,$J$53:$J$121)</f>
        <v>0.64745780412568521</v>
      </c>
      <c r="C41" s="32">
        <f>c_use*SUMPRODUCT($F$53:$F$121,$L$53:$L$121,$J$53:$J$121)</f>
        <v>0.71834411488394545</v>
      </c>
      <c r="D41" s="32">
        <f>c_use*SUMPRODUCT($H$53:$H$121,$L$53:$L$121,$J$53:$J$121)</f>
        <v>0.78864778301666361</v>
      </c>
    </row>
    <row r="44" spans="1:6">
      <c r="A44" s="48" t="s">
        <v>175</v>
      </c>
      <c r="B44" s="46"/>
      <c r="C44" s="46"/>
      <c r="D44" s="46"/>
      <c r="E44" s="46"/>
      <c r="F44" s="46"/>
    </row>
    <row r="45" spans="1:6" ht="30">
      <c r="A45" s="5" t="s">
        <v>176</v>
      </c>
      <c r="B45" s="18">
        <f>SUM($H$53:$H$121)</f>
        <v>25.829694260547747</v>
      </c>
    </row>
    <row r="46" spans="1:6">
      <c r="A46" s="5" t="s">
        <v>177</v>
      </c>
      <c r="B46" s="18">
        <f>(1-Caricamento)/c_use</f>
        <v>25.829758127428722</v>
      </c>
    </row>
    <row r="47" spans="1:6">
      <c r="A47" s="5" t="s">
        <v>178</v>
      </c>
      <c r="B47" s="18">
        <f>B45-B46</f>
        <v>-6.3866880974927653E-5</v>
      </c>
    </row>
    <row r="48" spans="1:6">
      <c r="A48" s="5" t="s">
        <v>179</v>
      </c>
      <c r="B48" s="18">
        <f>SUM($D$53:$D$121)</f>
        <v>20.458865044827185</v>
      </c>
    </row>
    <row r="50" spans="1:39">
      <c r="A50" s="48" t="s">
        <v>180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1:39" ht="62.1" customHeight="1">
      <c r="A51" s="20" t="s">
        <v>181</v>
      </c>
      <c r="B51" s="20" t="s">
        <v>125</v>
      </c>
      <c r="C51" s="20" t="s">
        <v>182</v>
      </c>
      <c r="D51" s="20" t="s">
        <v>183</v>
      </c>
      <c r="E51" s="20" t="s">
        <v>184</v>
      </c>
      <c r="F51" s="20" t="s">
        <v>185</v>
      </c>
      <c r="G51" s="20" t="s">
        <v>186</v>
      </c>
      <c r="H51" s="20" t="s">
        <v>187</v>
      </c>
      <c r="I51" s="20" t="s">
        <v>188</v>
      </c>
      <c r="J51" s="20" t="s">
        <v>189</v>
      </c>
      <c r="K51" s="20" t="s">
        <v>190</v>
      </c>
      <c r="L51" s="20" t="s">
        <v>191</v>
      </c>
      <c r="M51" s="20" t="s">
        <v>192</v>
      </c>
      <c r="N51" s="20" t="s">
        <v>193</v>
      </c>
      <c r="O51" s="20" t="s">
        <v>194</v>
      </c>
      <c r="P51" s="20" t="s">
        <v>195</v>
      </c>
      <c r="Q51" s="20" t="s">
        <v>196</v>
      </c>
      <c r="R51" s="20" t="s">
        <v>197</v>
      </c>
      <c r="S51" s="20" t="s">
        <v>198</v>
      </c>
      <c r="T51" s="20" t="s">
        <v>199</v>
      </c>
      <c r="U51" s="20" t="s">
        <v>200</v>
      </c>
      <c r="V51" s="20" t="s">
        <v>201</v>
      </c>
      <c r="W51" s="20" t="s">
        <v>202</v>
      </c>
      <c r="X51" s="20" t="s">
        <v>203</v>
      </c>
      <c r="Y51" s="20" t="s">
        <v>204</v>
      </c>
      <c r="Z51" s="20" t="s">
        <v>205</v>
      </c>
      <c r="AA51" s="20" t="s">
        <v>206</v>
      </c>
      <c r="AB51" s="20" t="s">
        <v>207</v>
      </c>
      <c r="AC51" s="20" t="s">
        <v>208</v>
      </c>
      <c r="AD51" s="20" t="s">
        <v>209</v>
      </c>
      <c r="AE51" s="20" t="s">
        <v>210</v>
      </c>
      <c r="AF51" s="20" t="s">
        <v>211</v>
      </c>
      <c r="AG51" s="20" t="s">
        <v>212</v>
      </c>
      <c r="AJ51" s="20" t="s">
        <v>213</v>
      </c>
      <c r="AK51" s="20" t="s">
        <v>214</v>
      </c>
      <c r="AL51" s="20" t="s">
        <v>215</v>
      </c>
      <c r="AM51" s="20" t="s">
        <v>216</v>
      </c>
    </row>
    <row r="52" spans="1:39">
      <c r="A52" s="33">
        <v>0</v>
      </c>
      <c r="B52" s="16">
        <f t="shared" ref="B52:B83" si="2">Eta+A52</f>
        <v>67</v>
      </c>
      <c r="C52" s="34">
        <f t="shared" ref="C52:C83" si="3">IFERROR(INDEX($AM$52:$AM$131,MATCH(B52,$AJ$52:$AJ$131,0)),1)</f>
        <v>6.64118E-3</v>
      </c>
      <c r="D52" s="34">
        <f>1</f>
        <v>1</v>
      </c>
      <c r="E52" s="34">
        <f t="shared" ref="E52:E83" si="4">IFERROR(INDEX($AM$52:$AM$131,MATCH(B52-Tav_anni_meno,$AJ$52:$AJ$131,0)),1)</f>
        <v>4.8838400000000004E-3</v>
      </c>
      <c r="F52" s="34">
        <f>1</f>
        <v>1</v>
      </c>
      <c r="G52" s="34">
        <f t="shared" ref="G52:G83" si="5">MIN(1,C52*Tav_f)</f>
        <v>3.1963999340000001E-3</v>
      </c>
      <c r="H52" s="34">
        <f>1</f>
        <v>1</v>
      </c>
      <c r="I52" s="34">
        <f t="shared" ref="I52:I83" si="6">CHOOSE(Tav_sel,D52,F52,H52)</f>
        <v>1</v>
      </c>
      <c r="J52" s="34">
        <f t="shared" ref="J52:J83" si="7">(1+Sconto_d)^-A52</f>
        <v>1</v>
      </c>
      <c r="K52" s="34">
        <f t="shared" ref="K52:K83" si="8">(1+g_rata)^(A52-1)</f>
        <v>1</v>
      </c>
      <c r="L52" s="34">
        <f t="shared" ref="L52:L83" si="9">(1+g_due)^(A52-1)</f>
        <v>0.97943192948090119</v>
      </c>
      <c r="M52" s="15">
        <f t="shared" ref="M52:AG52" si="10">-K_fondo</f>
        <v>-150000</v>
      </c>
      <c r="N52" s="15">
        <f t="shared" si="10"/>
        <v>-150000</v>
      </c>
      <c r="O52" s="15">
        <f t="shared" si="10"/>
        <v>-150000</v>
      </c>
      <c r="P52" s="15">
        <f t="shared" si="10"/>
        <v>-150000</v>
      </c>
      <c r="Q52" s="15">
        <f t="shared" si="10"/>
        <v>-150000</v>
      </c>
      <c r="R52" s="15">
        <f t="shared" si="10"/>
        <v>-150000</v>
      </c>
      <c r="S52" s="15">
        <f t="shared" si="10"/>
        <v>-150000</v>
      </c>
      <c r="T52" s="15">
        <f t="shared" si="10"/>
        <v>-150000</v>
      </c>
      <c r="U52" s="15">
        <f t="shared" si="10"/>
        <v>-150000</v>
      </c>
      <c r="V52" s="15">
        <f t="shared" si="10"/>
        <v>-150000</v>
      </c>
      <c r="W52" s="15">
        <f t="shared" si="10"/>
        <v>-150000</v>
      </c>
      <c r="X52" s="15">
        <f t="shared" si="10"/>
        <v>-150000</v>
      </c>
      <c r="Y52" s="15">
        <f t="shared" si="10"/>
        <v>-150000</v>
      </c>
      <c r="Z52" s="15">
        <f t="shared" si="10"/>
        <v>-150000</v>
      </c>
      <c r="AA52" s="15">
        <f t="shared" si="10"/>
        <v>-150000</v>
      </c>
      <c r="AB52" s="15">
        <f t="shared" si="10"/>
        <v>-150000</v>
      </c>
      <c r="AC52" s="15">
        <f t="shared" si="10"/>
        <v>-150000</v>
      </c>
      <c r="AD52" s="15">
        <f t="shared" si="10"/>
        <v>-150000</v>
      </c>
      <c r="AE52" s="15">
        <f t="shared" si="10"/>
        <v>-150000</v>
      </c>
      <c r="AF52" s="15">
        <f t="shared" si="10"/>
        <v>-150000</v>
      </c>
      <c r="AG52" s="15">
        <f t="shared" si="10"/>
        <v>-150000</v>
      </c>
      <c r="AJ52" s="33">
        <v>40</v>
      </c>
      <c r="AK52" s="35">
        <v>9.3313999999999995E-4</v>
      </c>
      <c r="AL52" s="35">
        <v>5.6086000000000005E-4</v>
      </c>
      <c r="AM52" s="34">
        <f t="shared" ref="AM52:AM83" si="11">IF(Sesso="F",AL52,AK52)</f>
        <v>5.6086000000000005E-4</v>
      </c>
    </row>
    <row r="53" spans="1:39">
      <c r="A53" s="33">
        <v>1</v>
      </c>
      <c r="B53" s="16">
        <f t="shared" si="2"/>
        <v>68</v>
      </c>
      <c r="C53" s="34">
        <f t="shared" si="3"/>
        <v>7.3501900000000004E-3</v>
      </c>
      <c r="D53" s="34">
        <f t="shared" ref="D53:D84" si="12">D52*(1-C52)</f>
        <v>0.99335881999999998</v>
      </c>
      <c r="E53" s="34">
        <f t="shared" si="4"/>
        <v>5.39129E-3</v>
      </c>
      <c r="F53" s="34">
        <f t="shared" ref="F53:F84" si="13">F52*(1-E52)</f>
        <v>0.99511616000000003</v>
      </c>
      <c r="G53" s="34">
        <f t="shared" si="5"/>
        <v>3.5376464470000001E-3</v>
      </c>
      <c r="H53" s="34">
        <f t="shared" ref="H53:H84" si="14">H52*(1-G52)</f>
        <v>0.996803600066</v>
      </c>
      <c r="I53" s="34">
        <f t="shared" si="6"/>
        <v>0.99335881999999998</v>
      </c>
      <c r="J53" s="34">
        <f t="shared" si="7"/>
        <v>0.96546530600422864</v>
      </c>
      <c r="K53" s="34">
        <f t="shared" si="8"/>
        <v>1</v>
      </c>
      <c r="L53" s="34">
        <f t="shared" si="9"/>
        <v>1</v>
      </c>
      <c r="M53" s="15">
        <f t="shared" ref="M53:M84" si="15">Rata_base*(1+g_att_1)^(A53-1)*D53</f>
        <v>5705.2327094969087</v>
      </c>
      <c r="N53" s="15">
        <f t="shared" ref="N53:N84" si="16">Rata_base*(1+g_att_2)^(A53-1)*D53</f>
        <v>5705.2327094969087</v>
      </c>
      <c r="O53" s="15">
        <f t="shared" ref="O53:O84" si="17">Rata_base*(1+g_att_3)^(A53-1)*D53</f>
        <v>5705.2327094969087</v>
      </c>
      <c r="P53" s="15">
        <f t="shared" ref="P53:P84" si="18">Rata_base*(1+g_att_1)^(A53-1)*F53</f>
        <v>5715.3257729980796</v>
      </c>
      <c r="Q53" s="15">
        <f t="shared" ref="Q53:Q84" si="19">Rata_base*(1+g_att_2)^(A53-1)*F53</f>
        <v>5715.3257729980796</v>
      </c>
      <c r="R53" s="15">
        <f t="shared" ref="R53:R84" si="20">Rata_base*(1+g_att_3)^(A53-1)*F53</f>
        <v>5715.3257729980796</v>
      </c>
      <c r="S53" s="15">
        <f t="shared" ref="S53:S84" si="21">Rata_base*(1+g_att_1)^(A53-1)*H53</f>
        <v>5725.0173749308624</v>
      </c>
      <c r="T53" s="15">
        <f t="shared" ref="T53:T84" si="22">Rata_base*(1+g_att_2)^(A53-1)*H53</f>
        <v>5725.0173749308624</v>
      </c>
      <c r="U53" s="15">
        <f t="shared" ref="U53:U84" si="23">Rata_base*(1+g_att_3)^(A53-1)*H53</f>
        <v>5725.0173749308624</v>
      </c>
      <c r="V53" s="15">
        <f t="shared" ref="V53:V84" si="24">IF(A53&lt;=$A$25-Eta,Rata_base*(1+g_rata)^(A53-1),0)</f>
        <v>5743.3754999999992</v>
      </c>
      <c r="W53" s="15">
        <f t="shared" ref="W53:W84" si="25">IF(A53&lt;=$A$26-Eta,Rata_base*(1+g_rata)^(A53-1),0)</f>
        <v>5743.3754999999992</v>
      </c>
      <c r="X53" s="15">
        <f t="shared" ref="X53:X84" si="26">IF(A53&lt;=$A$27-Eta,Rata_base*(1+g_rata)^(A53-1),0)</f>
        <v>5743.3754999999992</v>
      </c>
      <c r="Y53" s="15">
        <f t="shared" ref="Y53:Y84" si="27">IF(A53&lt;=$A$28-Eta,Rata_base*(1+g_rata)^(A53-1),0)</f>
        <v>5743.3754999999992</v>
      </c>
      <c r="Z53" s="15">
        <f t="shared" ref="Z53:Z84" si="28">IF(A53&lt;=$A$29-Eta,Rata_base*(1+g_rata)^(A53-1),0)</f>
        <v>5743.3754999999992</v>
      </c>
      <c r="AA53" s="15">
        <f t="shared" ref="AA53:AA84" si="29">IF(A53&lt;=$A$30-Eta,Rata_base*(1+g_rata)^(A53-1),0)</f>
        <v>5743.3754999999992</v>
      </c>
      <c r="AB53" s="15">
        <f t="shared" ref="AB53:AB84" si="30">IF(A53&lt;=$A$25-Eta,Rata_base*(1-Aliq_eff)+Rata_base*((1+g_rata)^(A53-1)-1)*(1-Aliq_rend),0)</f>
        <v>5188.8483798373818</v>
      </c>
      <c r="AC53" s="15">
        <f t="shared" ref="AC53:AC84" si="31">IF(A53&lt;=$A$26-Eta,Rata_base*(1-Aliq_eff)+Rata_base*((1+g_rata)^(A53-1)-1)*(1-Aliq_rend),0)</f>
        <v>5188.8483798373818</v>
      </c>
      <c r="AD53" s="15">
        <f t="shared" ref="AD53:AD84" si="32">IF(A53&lt;=$A$27-Eta,Rata_base*(1-Aliq_eff)+Rata_base*((1+g_rata)^(A53-1)-1)*(1-Aliq_rend),0)</f>
        <v>5188.8483798373818</v>
      </c>
      <c r="AE53" s="15">
        <f t="shared" ref="AE53:AE84" si="33">IF(A53&lt;=$A$28-Eta,Rata_base*(1-Aliq_eff)+Rata_base*((1+g_rata)^(A53-1)-1)*(1-Aliq_rend),0)</f>
        <v>5188.8483798373818</v>
      </c>
      <c r="AF53" s="15">
        <f t="shared" ref="AF53:AF84" si="34">IF(A53&lt;=$A$29-Eta,Rata_base*(1-Aliq_eff)+Rata_base*((1+g_rata)^(A53-1)-1)*(1-Aliq_rend),0)</f>
        <v>5188.8483798373818</v>
      </c>
      <c r="AG53" s="15">
        <f t="shared" ref="AG53:AG84" si="35">IF(A53&lt;=$A$30-Eta,Rata_base*(1-Aliq_eff)+Rata_base*((1+g_rata)^(A53-1)-1)*(1-Aliq_rend),0)</f>
        <v>5188.8483798373818</v>
      </c>
      <c r="AJ53" s="33">
        <v>41</v>
      </c>
      <c r="AK53" s="35">
        <v>1.01005E-3</v>
      </c>
      <c r="AL53" s="35">
        <v>6.1286000000000001E-4</v>
      </c>
      <c r="AM53" s="34">
        <f t="shared" si="11"/>
        <v>6.1286000000000001E-4</v>
      </c>
    </row>
    <row r="54" spans="1:39">
      <c r="A54" s="33">
        <v>2</v>
      </c>
      <c r="B54" s="16">
        <f t="shared" si="2"/>
        <v>69</v>
      </c>
      <c r="C54" s="34">
        <f t="shared" si="3"/>
        <v>8.0718000000000005E-3</v>
      </c>
      <c r="D54" s="34">
        <f t="shared" si="12"/>
        <v>0.9860574439348242</v>
      </c>
      <c r="E54" s="34">
        <f t="shared" si="4"/>
        <v>5.9404199999999992E-3</v>
      </c>
      <c r="F54" s="34">
        <f t="shared" si="13"/>
        <v>0.98975120019775353</v>
      </c>
      <c r="G54" s="34">
        <f t="shared" si="5"/>
        <v>3.8849573400000005E-3</v>
      </c>
      <c r="H54" s="34">
        <f t="shared" si="14"/>
        <v>0.99327726135186967</v>
      </c>
      <c r="I54" s="34">
        <f t="shared" si="6"/>
        <v>0.9860574439348242</v>
      </c>
      <c r="J54" s="34">
        <f t="shared" si="7"/>
        <v>0.93212325709783894</v>
      </c>
      <c r="K54" s="34">
        <f t="shared" si="8"/>
        <v>1</v>
      </c>
      <c r="L54" s="34">
        <f t="shared" si="9"/>
        <v>1.0209999999999999</v>
      </c>
      <c r="M54" s="15">
        <f t="shared" si="15"/>
        <v>5663.2981650878919</v>
      </c>
      <c r="N54" s="15">
        <f t="shared" si="16"/>
        <v>5719.9311467387706</v>
      </c>
      <c r="O54" s="15">
        <f t="shared" si="17"/>
        <v>5776.5641283896503</v>
      </c>
      <c r="P54" s="15">
        <f t="shared" si="18"/>
        <v>5684.5127943113721</v>
      </c>
      <c r="Q54" s="15">
        <f t="shared" si="19"/>
        <v>5741.3579222544859</v>
      </c>
      <c r="R54" s="15">
        <f t="shared" si="20"/>
        <v>5798.2030501975996</v>
      </c>
      <c r="S54" s="15">
        <f t="shared" si="21"/>
        <v>5704.7642875554247</v>
      </c>
      <c r="T54" s="15">
        <f t="shared" si="22"/>
        <v>5761.8119304309785</v>
      </c>
      <c r="U54" s="15">
        <f t="shared" si="23"/>
        <v>5818.8595733065331</v>
      </c>
      <c r="V54" s="15">
        <f t="shared" si="24"/>
        <v>5743.3754999999992</v>
      </c>
      <c r="W54" s="15">
        <f t="shared" si="25"/>
        <v>5743.3754999999992</v>
      </c>
      <c r="X54" s="15">
        <f t="shared" si="26"/>
        <v>5743.3754999999992</v>
      </c>
      <c r="Y54" s="15">
        <f t="shared" si="27"/>
        <v>5743.3754999999992</v>
      </c>
      <c r="Z54" s="15">
        <f t="shared" si="28"/>
        <v>5743.3754999999992</v>
      </c>
      <c r="AA54" s="15">
        <f t="shared" si="29"/>
        <v>5743.3754999999992</v>
      </c>
      <c r="AB54" s="15">
        <f t="shared" si="30"/>
        <v>5188.8483798373818</v>
      </c>
      <c r="AC54" s="15">
        <f t="shared" si="31"/>
        <v>5188.8483798373818</v>
      </c>
      <c r="AD54" s="15">
        <f t="shared" si="32"/>
        <v>5188.8483798373818</v>
      </c>
      <c r="AE54" s="15">
        <f t="shared" si="33"/>
        <v>5188.8483798373818</v>
      </c>
      <c r="AF54" s="15">
        <f t="shared" si="34"/>
        <v>5188.8483798373818</v>
      </c>
      <c r="AG54" s="15">
        <f t="shared" si="35"/>
        <v>5188.8483798373818</v>
      </c>
      <c r="AJ54" s="33">
        <v>42</v>
      </c>
      <c r="AK54" s="35">
        <v>1.14258E-3</v>
      </c>
      <c r="AL54" s="35">
        <v>6.6712E-4</v>
      </c>
      <c r="AM54" s="34">
        <f t="shared" si="11"/>
        <v>6.6712E-4</v>
      </c>
    </row>
    <row r="55" spans="1:39">
      <c r="A55" s="33">
        <v>3</v>
      </c>
      <c r="B55" s="16">
        <f t="shared" si="2"/>
        <v>70</v>
      </c>
      <c r="C55" s="34">
        <f t="shared" si="3"/>
        <v>8.9344899999999998E-3</v>
      </c>
      <c r="D55" s="34">
        <f t="shared" si="12"/>
        <v>0.97809818545887117</v>
      </c>
      <c r="E55" s="34">
        <f t="shared" si="4"/>
        <v>6.64118E-3</v>
      </c>
      <c r="F55" s="34">
        <f t="shared" si="13"/>
        <v>0.98387166237307488</v>
      </c>
      <c r="G55" s="34">
        <f t="shared" si="5"/>
        <v>4.3001700370000001E-3</v>
      </c>
      <c r="H55" s="34">
        <f t="shared" si="14"/>
        <v>0.98941842156472559</v>
      </c>
      <c r="I55" s="34">
        <f t="shared" si="6"/>
        <v>0.97809818545887117</v>
      </c>
      <c r="J55" s="34">
        <f t="shared" si="7"/>
        <v>0.89993266564762342</v>
      </c>
      <c r="K55" s="34">
        <f t="shared" si="8"/>
        <v>1</v>
      </c>
      <c r="L55" s="34">
        <f t="shared" si="9"/>
        <v>1.0424409999999997</v>
      </c>
      <c r="M55" s="15">
        <f t="shared" si="15"/>
        <v>5617.5851549589361</v>
      </c>
      <c r="N55" s="15">
        <f t="shared" si="16"/>
        <v>5730.4986165736109</v>
      </c>
      <c r="O55" s="15">
        <f t="shared" si="17"/>
        <v>5844.5355952192767</v>
      </c>
      <c r="P55" s="15">
        <f t="shared" si="18"/>
        <v>5650.744400817789</v>
      </c>
      <c r="Q55" s="15">
        <f t="shared" si="19"/>
        <v>5764.3243632742269</v>
      </c>
      <c r="R55" s="15">
        <f t="shared" si="20"/>
        <v>5879.0344746108276</v>
      </c>
      <c r="S55" s="15">
        <f t="shared" si="21"/>
        <v>5682.601521663516</v>
      </c>
      <c r="T55" s="15">
        <f t="shared" si="22"/>
        <v>5796.8218122489525</v>
      </c>
      <c r="U55" s="15">
        <f t="shared" si="23"/>
        <v>5912.1786231387214</v>
      </c>
      <c r="V55" s="15">
        <f t="shared" si="24"/>
        <v>5743.3754999999992</v>
      </c>
      <c r="W55" s="15">
        <f t="shared" si="25"/>
        <v>5743.3754999999992</v>
      </c>
      <c r="X55" s="15">
        <f t="shared" si="26"/>
        <v>5743.3754999999992</v>
      </c>
      <c r="Y55" s="15">
        <f t="shared" si="27"/>
        <v>5743.3754999999992</v>
      </c>
      <c r="Z55" s="15">
        <f t="shared" si="28"/>
        <v>5743.3754999999992</v>
      </c>
      <c r="AA55" s="15">
        <f t="shared" si="29"/>
        <v>5743.3754999999992</v>
      </c>
      <c r="AB55" s="15">
        <f t="shared" si="30"/>
        <v>5188.8483798373818</v>
      </c>
      <c r="AC55" s="15">
        <f t="shared" si="31"/>
        <v>5188.8483798373818</v>
      </c>
      <c r="AD55" s="15">
        <f t="shared" si="32"/>
        <v>5188.8483798373818</v>
      </c>
      <c r="AE55" s="15">
        <f t="shared" si="33"/>
        <v>5188.8483798373818</v>
      </c>
      <c r="AF55" s="15">
        <f t="shared" si="34"/>
        <v>5188.8483798373818</v>
      </c>
      <c r="AG55" s="15">
        <f t="shared" si="35"/>
        <v>5188.8483798373818</v>
      </c>
      <c r="AJ55" s="33">
        <v>43</v>
      </c>
      <c r="AK55" s="35">
        <v>1.2828E-3</v>
      </c>
      <c r="AL55" s="35">
        <v>7.3382999999999999E-4</v>
      </c>
      <c r="AM55" s="34">
        <f t="shared" si="11"/>
        <v>7.3382999999999999E-4</v>
      </c>
    </row>
    <row r="56" spans="1:39">
      <c r="A56" s="33">
        <v>4</v>
      </c>
      <c r="B56" s="16">
        <f t="shared" si="2"/>
        <v>71</v>
      </c>
      <c r="C56" s="34">
        <f t="shared" si="3"/>
        <v>9.9540699999999989E-3</v>
      </c>
      <c r="D56" s="34">
        <f t="shared" si="12"/>
        <v>0.96935937700187069</v>
      </c>
      <c r="E56" s="34">
        <f t="shared" si="4"/>
        <v>7.3501900000000004E-3</v>
      </c>
      <c r="F56" s="34">
        <f t="shared" si="13"/>
        <v>0.97733759356635608</v>
      </c>
      <c r="G56" s="34">
        <f t="shared" si="5"/>
        <v>4.7908938909999995E-3</v>
      </c>
      <c r="H56" s="34">
        <f t="shared" si="14"/>
        <v>0.98516375411425716</v>
      </c>
      <c r="I56" s="34">
        <f t="shared" si="6"/>
        <v>0.96935937700187069</v>
      </c>
      <c r="J56" s="34">
        <f t="shared" si="7"/>
        <v>0.86885376642268397</v>
      </c>
      <c r="K56" s="34">
        <f t="shared" si="8"/>
        <v>1</v>
      </c>
      <c r="L56" s="34">
        <f t="shared" si="9"/>
        <v>1.0643322609999997</v>
      </c>
      <c r="M56" s="15">
        <f t="shared" si="15"/>
        <v>5567.3948965678064</v>
      </c>
      <c r="N56" s="15">
        <f t="shared" si="16"/>
        <v>5736.0925293287073</v>
      </c>
      <c r="O56" s="15">
        <f t="shared" si="17"/>
        <v>5908.1640033969288</v>
      </c>
      <c r="P56" s="15">
        <f t="shared" si="18"/>
        <v>5613.2167901179664</v>
      </c>
      <c r="Q56" s="15">
        <f t="shared" si="19"/>
        <v>5783.30287207533</v>
      </c>
      <c r="R56" s="15">
        <f t="shared" si="20"/>
        <v>5956.7905634075059</v>
      </c>
      <c r="S56" s="15">
        <f t="shared" si="21"/>
        <v>5658.165368867848</v>
      </c>
      <c r="T56" s="15">
        <f t="shared" si="22"/>
        <v>5829.6134377099115</v>
      </c>
      <c r="U56" s="15">
        <f t="shared" si="23"/>
        <v>6004.4903547655103</v>
      </c>
      <c r="V56" s="15">
        <f t="shared" si="24"/>
        <v>5743.3754999999992</v>
      </c>
      <c r="W56" s="15">
        <f t="shared" si="25"/>
        <v>5743.3754999999992</v>
      </c>
      <c r="X56" s="15">
        <f t="shared" si="26"/>
        <v>5743.3754999999992</v>
      </c>
      <c r="Y56" s="15">
        <f t="shared" si="27"/>
        <v>5743.3754999999992</v>
      </c>
      <c r="Z56" s="15">
        <f t="shared" si="28"/>
        <v>5743.3754999999992</v>
      </c>
      <c r="AA56" s="15">
        <f t="shared" si="29"/>
        <v>5743.3754999999992</v>
      </c>
      <c r="AB56" s="15">
        <f t="shared" si="30"/>
        <v>5188.8483798373818</v>
      </c>
      <c r="AC56" s="15">
        <f t="shared" si="31"/>
        <v>5188.8483798373818</v>
      </c>
      <c r="AD56" s="15">
        <f t="shared" si="32"/>
        <v>5188.8483798373818</v>
      </c>
      <c r="AE56" s="15">
        <f t="shared" si="33"/>
        <v>5188.8483798373818</v>
      </c>
      <c r="AF56" s="15">
        <f t="shared" si="34"/>
        <v>5188.8483798373818</v>
      </c>
      <c r="AG56" s="15">
        <f t="shared" si="35"/>
        <v>5188.8483798373818</v>
      </c>
      <c r="AJ56" s="33">
        <v>44</v>
      </c>
      <c r="AK56" s="35">
        <v>1.4130099999999999E-3</v>
      </c>
      <c r="AL56" s="35">
        <v>8.3135999999999995E-4</v>
      </c>
      <c r="AM56" s="34">
        <f t="shared" si="11"/>
        <v>8.3135999999999995E-4</v>
      </c>
    </row>
    <row r="57" spans="1:39">
      <c r="A57" s="33">
        <v>5</v>
      </c>
      <c r="B57" s="16">
        <f t="shared" si="2"/>
        <v>72</v>
      </c>
      <c r="C57" s="34">
        <f t="shared" si="3"/>
        <v>1.1118390000000001E-2</v>
      </c>
      <c r="D57" s="34">
        <f t="shared" si="12"/>
        <v>0.95971030590803763</v>
      </c>
      <c r="E57" s="34">
        <f t="shared" si="4"/>
        <v>8.0718000000000005E-3</v>
      </c>
      <c r="F57" s="34">
        <f t="shared" si="13"/>
        <v>0.97015397655950053</v>
      </c>
      <c r="G57" s="34">
        <f t="shared" si="5"/>
        <v>5.3512811070000003E-3</v>
      </c>
      <c r="H57" s="34">
        <f t="shared" si="14"/>
        <v>0.98044393910303662</v>
      </c>
      <c r="I57" s="34">
        <f t="shared" si="6"/>
        <v>0.95971030590803763</v>
      </c>
      <c r="J57" s="34">
        <f t="shared" si="7"/>
        <v>0.83884816747220325</v>
      </c>
      <c r="K57" s="34">
        <f t="shared" si="8"/>
        <v>1</v>
      </c>
      <c r="L57" s="34">
        <f t="shared" si="9"/>
        <v>1.0866832384809995</v>
      </c>
      <c r="M57" s="15">
        <f t="shared" si="15"/>
        <v>5511.976658049728</v>
      </c>
      <c r="N57" s="15">
        <f t="shared" si="16"/>
        <v>5735.7850133929451</v>
      </c>
      <c r="O57" s="15">
        <f t="shared" si="17"/>
        <v>5966.3407998423481</v>
      </c>
      <c r="P57" s="15">
        <f t="shared" si="18"/>
        <v>5571.958580199409</v>
      </c>
      <c r="Q57" s="15">
        <f t="shared" si="19"/>
        <v>5798.2024421094111</v>
      </c>
      <c r="R57" s="15">
        <f t="shared" si="20"/>
        <v>6031.2671613957791</v>
      </c>
      <c r="S57" s="15">
        <f t="shared" si="21"/>
        <v>5631.0576989678721</v>
      </c>
      <c r="T57" s="15">
        <f t="shared" si="22"/>
        <v>5859.7012220873403</v>
      </c>
      <c r="U57" s="15">
        <f t="shared" si="23"/>
        <v>6095.2379481784228</v>
      </c>
      <c r="V57" s="15">
        <f t="shared" si="24"/>
        <v>5743.3754999999992</v>
      </c>
      <c r="W57" s="15">
        <f t="shared" si="25"/>
        <v>5743.3754999999992</v>
      </c>
      <c r="X57" s="15">
        <f t="shared" si="26"/>
        <v>5743.3754999999992</v>
      </c>
      <c r="Y57" s="15">
        <f t="shared" si="27"/>
        <v>5743.3754999999992</v>
      </c>
      <c r="Z57" s="15">
        <f t="shared" si="28"/>
        <v>5743.3754999999992</v>
      </c>
      <c r="AA57" s="15">
        <f t="shared" si="29"/>
        <v>5743.3754999999992</v>
      </c>
      <c r="AB57" s="15">
        <f t="shared" si="30"/>
        <v>5188.8483798373818</v>
      </c>
      <c r="AC57" s="15">
        <f t="shared" si="31"/>
        <v>5188.8483798373818</v>
      </c>
      <c r="AD57" s="15">
        <f t="shared" si="32"/>
        <v>5188.8483798373818</v>
      </c>
      <c r="AE57" s="15">
        <f t="shared" si="33"/>
        <v>5188.8483798373818</v>
      </c>
      <c r="AF57" s="15">
        <f t="shared" si="34"/>
        <v>5188.8483798373818</v>
      </c>
      <c r="AG57" s="15">
        <f t="shared" si="35"/>
        <v>5188.8483798373818</v>
      </c>
      <c r="AJ57" s="33">
        <v>45</v>
      </c>
      <c r="AK57" s="35">
        <v>1.5612E-3</v>
      </c>
      <c r="AL57" s="35">
        <v>9.3662999999999993E-4</v>
      </c>
      <c r="AM57" s="34">
        <f t="shared" si="11"/>
        <v>9.3662999999999993E-4</v>
      </c>
    </row>
    <row r="58" spans="1:39">
      <c r="A58" s="33">
        <v>6</v>
      </c>
      <c r="B58" s="16">
        <f t="shared" si="2"/>
        <v>73</v>
      </c>
      <c r="C58" s="34">
        <f t="shared" si="3"/>
        <v>1.2565959999999999E-2</v>
      </c>
      <c r="D58" s="34">
        <f t="shared" si="12"/>
        <v>0.94903987243993271</v>
      </c>
      <c r="E58" s="34">
        <f t="shared" si="4"/>
        <v>8.9344899999999998E-3</v>
      </c>
      <c r="F58" s="34">
        <f t="shared" si="13"/>
        <v>0.96232308769150754</v>
      </c>
      <c r="G58" s="34">
        <f t="shared" si="5"/>
        <v>6.0479965479999995E-3</v>
      </c>
      <c r="H58" s="34">
        <f t="shared" si="14"/>
        <v>0.97519730797524184</v>
      </c>
      <c r="I58" s="34">
        <f t="shared" si="6"/>
        <v>0.94903987243993271</v>
      </c>
      <c r="J58" s="34">
        <f t="shared" si="7"/>
        <v>0.80987880269963708</v>
      </c>
      <c r="K58" s="34">
        <f t="shared" si="8"/>
        <v>1</v>
      </c>
      <c r="L58" s="34">
        <f t="shared" si="9"/>
        <v>1.1095035864891003</v>
      </c>
      <c r="M58" s="15">
        <f t="shared" si="15"/>
        <v>5450.6923518946342</v>
      </c>
      <c r="N58" s="15">
        <f t="shared" si="16"/>
        <v>5728.7324418444659</v>
      </c>
      <c r="O58" s="15">
        <f t="shared" si="17"/>
        <v>6018.0047898759249</v>
      </c>
      <c r="P58" s="15">
        <f t="shared" si="18"/>
        <v>5526.9828449317556</v>
      </c>
      <c r="Q58" s="15">
        <f t="shared" si="19"/>
        <v>5808.9145167535644</v>
      </c>
      <c r="R58" s="15">
        <f t="shared" si="20"/>
        <v>6102.2356587048735</v>
      </c>
      <c r="S58" s="15">
        <f t="shared" si="21"/>
        <v>5600.9243262909577</v>
      </c>
      <c r="T58" s="15">
        <f t="shared" si="22"/>
        <v>5886.6277567813686</v>
      </c>
      <c r="U58" s="15">
        <f t="shared" si="23"/>
        <v>6183.8730288337401</v>
      </c>
      <c r="V58" s="15">
        <f t="shared" si="24"/>
        <v>5743.3754999999992</v>
      </c>
      <c r="W58" s="15">
        <f t="shared" si="25"/>
        <v>5743.3754999999992</v>
      </c>
      <c r="X58" s="15">
        <f t="shared" si="26"/>
        <v>5743.3754999999992</v>
      </c>
      <c r="Y58" s="15">
        <f t="shared" si="27"/>
        <v>5743.3754999999992</v>
      </c>
      <c r="Z58" s="15">
        <f t="shared" si="28"/>
        <v>5743.3754999999992</v>
      </c>
      <c r="AA58" s="15">
        <f t="shared" si="29"/>
        <v>5743.3754999999992</v>
      </c>
      <c r="AB58" s="15">
        <f t="shared" si="30"/>
        <v>5188.8483798373818</v>
      </c>
      <c r="AC58" s="15">
        <f t="shared" si="31"/>
        <v>5188.8483798373818</v>
      </c>
      <c r="AD58" s="15">
        <f t="shared" si="32"/>
        <v>5188.8483798373818</v>
      </c>
      <c r="AE58" s="15">
        <f t="shared" si="33"/>
        <v>5188.8483798373818</v>
      </c>
      <c r="AF58" s="15">
        <f t="shared" si="34"/>
        <v>5188.8483798373818</v>
      </c>
      <c r="AG58" s="15">
        <f t="shared" si="35"/>
        <v>5188.8483798373818</v>
      </c>
      <c r="AJ58" s="33">
        <v>46</v>
      </c>
      <c r="AK58" s="35">
        <v>1.7008399999999999E-3</v>
      </c>
      <c r="AL58" s="35">
        <v>1.0522299999999999E-3</v>
      </c>
      <c r="AM58" s="34">
        <f t="shared" si="11"/>
        <v>1.0522299999999999E-3</v>
      </c>
    </row>
    <row r="59" spans="1:39">
      <c r="A59" s="33">
        <v>7</v>
      </c>
      <c r="B59" s="16">
        <f t="shared" si="2"/>
        <v>74</v>
      </c>
      <c r="C59" s="34">
        <f t="shared" si="3"/>
        <v>1.4037010000000001E-2</v>
      </c>
      <c r="D59" s="34">
        <f t="shared" si="12"/>
        <v>0.93711427536444747</v>
      </c>
      <c r="E59" s="34">
        <f t="shared" si="4"/>
        <v>9.9540699999999989E-3</v>
      </c>
      <c r="F59" s="34">
        <f t="shared" si="13"/>
        <v>0.95372522168775864</v>
      </c>
      <c r="G59" s="34">
        <f t="shared" si="5"/>
        <v>6.7560129130000007E-3</v>
      </c>
      <c r="H59" s="34">
        <f t="shared" si="14"/>
        <v>0.96929931802298863</v>
      </c>
      <c r="I59" s="34">
        <f t="shared" si="6"/>
        <v>0.93711427536444747</v>
      </c>
      <c r="J59" s="34">
        <f t="shared" si="7"/>
        <v>0.78190988607474354</v>
      </c>
      <c r="K59" s="34">
        <f t="shared" si="8"/>
        <v>1</v>
      </c>
      <c r="L59" s="34">
        <f t="shared" si="9"/>
        <v>1.1328031618053713</v>
      </c>
      <c r="M59" s="15">
        <f t="shared" si="15"/>
        <v>5382.1991698284201</v>
      </c>
      <c r="N59" s="15">
        <f t="shared" si="16"/>
        <v>5713.3128733208432</v>
      </c>
      <c r="O59" s="15">
        <f t="shared" si="17"/>
        <v>6061.2304380546666</v>
      </c>
      <c r="P59" s="15">
        <f t="shared" si="18"/>
        <v>5477.6020719735407</v>
      </c>
      <c r="Q59" s="15">
        <f t="shared" si="19"/>
        <v>5814.5849763737042</v>
      </c>
      <c r="R59" s="15">
        <f t="shared" si="20"/>
        <v>6168.6696011392223</v>
      </c>
      <c r="S59" s="15">
        <f t="shared" si="21"/>
        <v>5567.0499552999408</v>
      </c>
      <c r="T59" s="15">
        <f t="shared" si="22"/>
        <v>5909.5357069532847</v>
      </c>
      <c r="U59" s="15">
        <f t="shared" si="23"/>
        <v>6269.4024458241247</v>
      </c>
      <c r="V59" s="15">
        <f t="shared" si="24"/>
        <v>5743.3754999999992</v>
      </c>
      <c r="W59" s="15">
        <f t="shared" si="25"/>
        <v>5743.3754999999992</v>
      </c>
      <c r="X59" s="15">
        <f t="shared" si="26"/>
        <v>5743.3754999999992</v>
      </c>
      <c r="Y59" s="15">
        <f t="shared" si="27"/>
        <v>5743.3754999999992</v>
      </c>
      <c r="Z59" s="15">
        <f t="shared" si="28"/>
        <v>5743.3754999999992</v>
      </c>
      <c r="AA59" s="15">
        <f t="shared" si="29"/>
        <v>5743.3754999999992</v>
      </c>
      <c r="AB59" s="15">
        <f t="shared" si="30"/>
        <v>5188.8483798373818</v>
      </c>
      <c r="AC59" s="15">
        <f t="shared" si="31"/>
        <v>5188.8483798373818</v>
      </c>
      <c r="AD59" s="15">
        <f t="shared" si="32"/>
        <v>5188.8483798373818</v>
      </c>
      <c r="AE59" s="15">
        <f t="shared" si="33"/>
        <v>5188.8483798373818</v>
      </c>
      <c r="AF59" s="15">
        <f t="shared" si="34"/>
        <v>5188.8483798373818</v>
      </c>
      <c r="AG59" s="15">
        <f t="shared" si="35"/>
        <v>5188.8483798373818</v>
      </c>
      <c r="AJ59" s="33">
        <v>47</v>
      </c>
      <c r="AK59" s="35">
        <v>1.8623800000000001E-3</v>
      </c>
      <c r="AL59" s="35">
        <v>1.1311400000000001E-3</v>
      </c>
      <c r="AM59" s="34">
        <f t="shared" si="11"/>
        <v>1.1311400000000001E-3</v>
      </c>
    </row>
    <row r="60" spans="1:39">
      <c r="A60" s="33">
        <v>8</v>
      </c>
      <c r="B60" s="16">
        <f t="shared" si="2"/>
        <v>75</v>
      </c>
      <c r="C60" s="34">
        <f t="shared" si="3"/>
        <v>1.5880169999999999E-2</v>
      </c>
      <c r="D60" s="34">
        <f t="shared" si="12"/>
        <v>0.92395999291001396</v>
      </c>
      <c r="E60" s="34">
        <f t="shared" si="4"/>
        <v>1.1118390000000001E-2</v>
      </c>
      <c r="F60" s="34">
        <f t="shared" si="13"/>
        <v>0.94423177407031311</v>
      </c>
      <c r="G60" s="34">
        <f t="shared" si="5"/>
        <v>7.6431258209999995E-3</v>
      </c>
      <c r="H60" s="34">
        <f t="shared" si="14"/>
        <v>0.96275071931386325</v>
      </c>
      <c r="I60" s="34">
        <f t="shared" si="6"/>
        <v>0.92395999291001396</v>
      </c>
      <c r="J60" s="34">
        <f t="shared" si="7"/>
        <v>0.75490686742688384</v>
      </c>
      <c r="K60" s="34">
        <f t="shared" si="8"/>
        <v>1</v>
      </c>
      <c r="L60" s="34">
        <f t="shared" si="9"/>
        <v>1.156592028203284</v>
      </c>
      <c r="M60" s="15">
        <f t="shared" si="15"/>
        <v>5306.6491862595467</v>
      </c>
      <c r="N60" s="15">
        <f t="shared" si="16"/>
        <v>5689.4461938187569</v>
      </c>
      <c r="O60" s="15">
        <f t="shared" si="17"/>
        <v>6095.6718634990557</v>
      </c>
      <c r="P60" s="15">
        <f t="shared" si="18"/>
        <v>5423.0776375169708</v>
      </c>
      <c r="Q60" s="15">
        <f t="shared" si="19"/>
        <v>5814.2732524029088</v>
      </c>
      <c r="R60" s="15">
        <f t="shared" si="20"/>
        <v>6229.4115567650606</v>
      </c>
      <c r="S60" s="15">
        <f t="shared" si="21"/>
        <v>5529.4388939146183</v>
      </c>
      <c r="T60" s="15">
        <f t="shared" si="22"/>
        <v>5928.3069154813447</v>
      </c>
      <c r="U60" s="15">
        <f t="shared" si="23"/>
        <v>6351.587207582209</v>
      </c>
      <c r="V60" s="15">
        <f t="shared" si="24"/>
        <v>5743.3754999999992</v>
      </c>
      <c r="W60" s="15">
        <f t="shared" si="25"/>
        <v>5743.3754999999992</v>
      </c>
      <c r="X60" s="15">
        <f t="shared" si="26"/>
        <v>5743.3754999999992</v>
      </c>
      <c r="Y60" s="15">
        <f t="shared" si="27"/>
        <v>5743.3754999999992</v>
      </c>
      <c r="Z60" s="15">
        <f t="shared" si="28"/>
        <v>5743.3754999999992</v>
      </c>
      <c r="AA60" s="15">
        <f t="shared" si="29"/>
        <v>5743.3754999999992</v>
      </c>
      <c r="AB60" s="15">
        <f t="shared" si="30"/>
        <v>5188.8483798373818</v>
      </c>
      <c r="AC60" s="15">
        <f t="shared" si="31"/>
        <v>5188.8483798373818</v>
      </c>
      <c r="AD60" s="15">
        <f t="shared" si="32"/>
        <v>5188.8483798373818</v>
      </c>
      <c r="AE60" s="15">
        <f t="shared" si="33"/>
        <v>5188.8483798373818</v>
      </c>
      <c r="AF60" s="15">
        <f t="shared" si="34"/>
        <v>5188.8483798373818</v>
      </c>
      <c r="AG60" s="15">
        <f t="shared" si="35"/>
        <v>5188.8483798373818</v>
      </c>
      <c r="AJ60" s="33">
        <v>48</v>
      </c>
      <c r="AK60" s="35">
        <v>1.9966799999999998E-3</v>
      </c>
      <c r="AL60" s="35">
        <v>1.1970100000000001E-3</v>
      </c>
      <c r="AM60" s="34">
        <f t="shared" si="11"/>
        <v>1.1970100000000001E-3</v>
      </c>
    </row>
    <row r="61" spans="1:39">
      <c r="A61" s="33">
        <v>9</v>
      </c>
      <c r="B61" s="16">
        <f t="shared" si="2"/>
        <v>76</v>
      </c>
      <c r="C61" s="34">
        <f t="shared" si="3"/>
        <v>1.7214400000000001E-2</v>
      </c>
      <c r="D61" s="34">
        <f t="shared" si="12"/>
        <v>0.90928735114940418</v>
      </c>
      <c r="E61" s="34">
        <f t="shared" si="4"/>
        <v>1.2565959999999999E-2</v>
      </c>
      <c r="F61" s="34">
        <f t="shared" si="13"/>
        <v>0.93373343695580746</v>
      </c>
      <c r="G61" s="34">
        <f t="shared" si="5"/>
        <v>8.2852907200000013E-3</v>
      </c>
      <c r="H61" s="34">
        <f t="shared" si="14"/>
        <v>0.95539229443188911</v>
      </c>
      <c r="I61" s="34">
        <f t="shared" si="6"/>
        <v>0.90928735114940418</v>
      </c>
      <c r="J61" s="34">
        <f t="shared" si="7"/>
        <v>0.7288363897649901</v>
      </c>
      <c r="K61" s="34">
        <f t="shared" si="8"/>
        <v>1</v>
      </c>
      <c r="L61" s="34">
        <f t="shared" si="9"/>
        <v>1.1808804607955528</v>
      </c>
      <c r="M61" s="15">
        <f t="shared" si="15"/>
        <v>5222.3786950513841</v>
      </c>
      <c r="N61" s="15">
        <f t="shared" si="16"/>
        <v>5655.0877892656144</v>
      </c>
      <c r="O61" s="15">
        <f t="shared" si="17"/>
        <v>6118.8489892033231</v>
      </c>
      <c r="P61" s="15">
        <f t="shared" si="18"/>
        <v>5362.7817453427788</v>
      </c>
      <c r="Q61" s="15">
        <f t="shared" si="19"/>
        <v>5807.1241737642877</v>
      </c>
      <c r="R61" s="15">
        <f t="shared" si="20"/>
        <v>6283.3535401985682</v>
      </c>
      <c r="S61" s="15">
        <f t="shared" si="21"/>
        <v>5487.1766967288977</v>
      </c>
      <c r="T61" s="15">
        <f t="shared" si="22"/>
        <v>5941.8260810190259</v>
      </c>
      <c r="U61" s="15">
        <f t="shared" si="23"/>
        <v>6429.102051939436</v>
      </c>
      <c r="V61" s="15">
        <f t="shared" si="24"/>
        <v>0</v>
      </c>
      <c r="W61" s="15">
        <f t="shared" si="25"/>
        <v>5743.3754999999992</v>
      </c>
      <c r="X61" s="15">
        <f t="shared" si="26"/>
        <v>5743.3754999999992</v>
      </c>
      <c r="Y61" s="15">
        <f t="shared" si="27"/>
        <v>5743.3754999999992</v>
      </c>
      <c r="Z61" s="15">
        <f t="shared" si="28"/>
        <v>5743.3754999999992</v>
      </c>
      <c r="AA61" s="15">
        <f t="shared" si="29"/>
        <v>5743.3754999999992</v>
      </c>
      <c r="AB61" s="15">
        <f t="shared" si="30"/>
        <v>0</v>
      </c>
      <c r="AC61" s="15">
        <f t="shared" si="31"/>
        <v>5188.8483798373818</v>
      </c>
      <c r="AD61" s="15">
        <f t="shared" si="32"/>
        <v>5188.8483798373818</v>
      </c>
      <c r="AE61" s="15">
        <f t="shared" si="33"/>
        <v>5188.8483798373818</v>
      </c>
      <c r="AF61" s="15">
        <f t="shared" si="34"/>
        <v>5188.8483798373818</v>
      </c>
      <c r="AG61" s="15">
        <f t="shared" si="35"/>
        <v>5188.8483798373818</v>
      </c>
      <c r="AJ61" s="33">
        <v>49</v>
      </c>
      <c r="AK61" s="35">
        <v>2.1434499999999999E-3</v>
      </c>
      <c r="AL61" s="35">
        <v>1.26643E-3</v>
      </c>
      <c r="AM61" s="34">
        <f t="shared" si="11"/>
        <v>1.26643E-3</v>
      </c>
    </row>
    <row r="62" spans="1:39">
      <c r="A62" s="33">
        <v>10</v>
      </c>
      <c r="B62" s="16">
        <f t="shared" si="2"/>
        <v>77</v>
      </c>
      <c r="C62" s="34">
        <f t="shared" si="3"/>
        <v>1.9033370000000001E-2</v>
      </c>
      <c r="D62" s="34">
        <f t="shared" si="12"/>
        <v>0.89363451497177793</v>
      </c>
      <c r="E62" s="34">
        <f t="shared" si="4"/>
        <v>1.4037010000000001E-2</v>
      </c>
      <c r="F62" s="34">
        <f t="shared" si="13"/>
        <v>0.9220001799363583</v>
      </c>
      <c r="G62" s="34">
        <f t="shared" si="5"/>
        <v>9.1607609810000004E-3</v>
      </c>
      <c r="H62" s="34">
        <f t="shared" si="14"/>
        <v>0.94747659152087316</v>
      </c>
      <c r="I62" s="34">
        <f t="shared" si="6"/>
        <v>0.89363451497177793</v>
      </c>
      <c r="J62" s="34">
        <f t="shared" si="7"/>
        <v>0.70366624807147338</v>
      </c>
      <c r="K62" s="34">
        <f t="shared" si="8"/>
        <v>1</v>
      </c>
      <c r="L62" s="34">
        <f t="shared" si="9"/>
        <v>1.2056789504722591</v>
      </c>
      <c r="M62" s="15">
        <f t="shared" si="15"/>
        <v>5132.4785792432922</v>
      </c>
      <c r="N62" s="15">
        <f t="shared" si="16"/>
        <v>5613.3162344863422</v>
      </c>
      <c r="O62" s="15">
        <f t="shared" si="17"/>
        <v>6133.7870086668536</v>
      </c>
      <c r="P62" s="15">
        <f t="shared" si="18"/>
        <v>5295.3932444420707</v>
      </c>
      <c r="Q62" s="15">
        <f t="shared" si="19"/>
        <v>5791.4936045185505</v>
      </c>
      <c r="R62" s="15">
        <f t="shared" si="20"/>
        <v>6328.4851143655069</v>
      </c>
      <c r="S62" s="15">
        <f t="shared" si="21"/>
        <v>5441.7138425644898</v>
      </c>
      <c r="T62" s="15">
        <f t="shared" si="22"/>
        <v>5951.5222877754068</v>
      </c>
      <c r="U62" s="15">
        <f t="shared" si="23"/>
        <v>6503.3517738179808</v>
      </c>
      <c r="V62" s="15">
        <f t="shared" si="24"/>
        <v>0</v>
      </c>
      <c r="W62" s="15">
        <f t="shared" si="25"/>
        <v>5743.3754999999992</v>
      </c>
      <c r="X62" s="15">
        <f t="shared" si="26"/>
        <v>5743.3754999999992</v>
      </c>
      <c r="Y62" s="15">
        <f t="shared" si="27"/>
        <v>5743.3754999999992</v>
      </c>
      <c r="Z62" s="15">
        <f t="shared" si="28"/>
        <v>5743.3754999999992</v>
      </c>
      <c r="AA62" s="15">
        <f t="shared" si="29"/>
        <v>5743.3754999999992</v>
      </c>
      <c r="AB62" s="15">
        <f t="shared" si="30"/>
        <v>0</v>
      </c>
      <c r="AC62" s="15">
        <f t="shared" si="31"/>
        <v>5188.8483798373818</v>
      </c>
      <c r="AD62" s="15">
        <f t="shared" si="32"/>
        <v>5188.8483798373818</v>
      </c>
      <c r="AE62" s="15">
        <f t="shared" si="33"/>
        <v>5188.8483798373818</v>
      </c>
      <c r="AF62" s="15">
        <f t="shared" si="34"/>
        <v>5188.8483798373818</v>
      </c>
      <c r="AG62" s="15">
        <f t="shared" si="35"/>
        <v>5188.8483798373818</v>
      </c>
      <c r="AJ62" s="33">
        <v>50</v>
      </c>
      <c r="AK62" s="35">
        <v>2.31073E-3</v>
      </c>
      <c r="AL62" s="35">
        <v>1.3667600000000001E-3</v>
      </c>
      <c r="AM62" s="34">
        <f t="shared" si="11"/>
        <v>1.3667600000000001E-3</v>
      </c>
    </row>
    <row r="63" spans="1:39">
      <c r="A63" s="33">
        <v>11</v>
      </c>
      <c r="B63" s="16">
        <f t="shared" si="2"/>
        <v>78</v>
      </c>
      <c r="C63" s="34">
        <f t="shared" si="3"/>
        <v>2.1944149999999999E-2</v>
      </c>
      <c r="D63" s="34">
        <f t="shared" si="12"/>
        <v>0.87662563860354947</v>
      </c>
      <c r="E63" s="34">
        <f t="shared" si="4"/>
        <v>1.5880169999999999E-2</v>
      </c>
      <c r="F63" s="34">
        <f t="shared" si="13"/>
        <v>0.90905805419058983</v>
      </c>
      <c r="G63" s="34">
        <f t="shared" si="5"/>
        <v>1.0561719395E-2</v>
      </c>
      <c r="H63" s="34">
        <f t="shared" si="14"/>
        <v>0.93879698493085784</v>
      </c>
      <c r="I63" s="34">
        <f t="shared" si="6"/>
        <v>0.87662563860354947</v>
      </c>
      <c r="J63" s="34">
        <f t="shared" si="7"/>
        <v>0.6793653495191726</v>
      </c>
      <c r="K63" s="34">
        <f t="shared" si="8"/>
        <v>1</v>
      </c>
      <c r="L63" s="34">
        <f t="shared" si="9"/>
        <v>1.2309982084321764</v>
      </c>
      <c r="M63" s="15">
        <f t="shared" si="15"/>
        <v>5034.7902154274798</v>
      </c>
      <c r="N63" s="15">
        <f t="shared" si="16"/>
        <v>5561.5406687650402</v>
      </c>
      <c r="O63" s="15">
        <f t="shared" si="17"/>
        <v>6137.3811784502986</v>
      </c>
      <c r="P63" s="15">
        <f t="shared" si="18"/>
        <v>5221.0617565159055</v>
      </c>
      <c r="Q63" s="15">
        <f t="shared" si="19"/>
        <v>5767.3003343857572</v>
      </c>
      <c r="R63" s="15">
        <f t="shared" si="20"/>
        <v>6364.4451476409131</v>
      </c>
      <c r="S63" s="15">
        <f t="shared" si="21"/>
        <v>5391.8636027257571</v>
      </c>
      <c r="T63" s="15">
        <f t="shared" si="22"/>
        <v>5955.9718327702421</v>
      </c>
      <c r="U63" s="15">
        <f t="shared" si="23"/>
        <v>6572.651645095526</v>
      </c>
      <c r="V63" s="15">
        <f t="shared" si="24"/>
        <v>0</v>
      </c>
      <c r="W63" s="15">
        <f t="shared" si="25"/>
        <v>5743.3754999999992</v>
      </c>
      <c r="X63" s="15">
        <f t="shared" si="26"/>
        <v>5743.3754999999992</v>
      </c>
      <c r="Y63" s="15">
        <f t="shared" si="27"/>
        <v>5743.3754999999992</v>
      </c>
      <c r="Z63" s="15">
        <f t="shared" si="28"/>
        <v>5743.3754999999992</v>
      </c>
      <c r="AA63" s="15">
        <f t="shared" si="29"/>
        <v>5743.3754999999992</v>
      </c>
      <c r="AB63" s="15">
        <f t="shared" si="30"/>
        <v>0</v>
      </c>
      <c r="AC63" s="15">
        <f t="shared" si="31"/>
        <v>5188.8483798373818</v>
      </c>
      <c r="AD63" s="15">
        <f t="shared" si="32"/>
        <v>5188.8483798373818</v>
      </c>
      <c r="AE63" s="15">
        <f t="shared" si="33"/>
        <v>5188.8483798373818</v>
      </c>
      <c r="AF63" s="15">
        <f t="shared" si="34"/>
        <v>5188.8483798373818</v>
      </c>
      <c r="AG63" s="15">
        <f t="shared" si="35"/>
        <v>5188.8483798373818</v>
      </c>
      <c r="AJ63" s="33">
        <v>51</v>
      </c>
      <c r="AK63" s="35">
        <v>2.50285E-3</v>
      </c>
      <c r="AL63" s="35">
        <v>1.4723200000000001E-3</v>
      </c>
      <c r="AM63" s="34">
        <f t="shared" si="11"/>
        <v>1.4723200000000001E-3</v>
      </c>
    </row>
    <row r="64" spans="1:39">
      <c r="A64" s="33">
        <v>12</v>
      </c>
      <c r="B64" s="16">
        <f t="shared" si="2"/>
        <v>79</v>
      </c>
      <c r="C64" s="34">
        <f t="shared" si="3"/>
        <v>2.5632289999999999E-2</v>
      </c>
      <c r="D64" s="34">
        <f t="shared" si="12"/>
        <v>0.85738883409618738</v>
      </c>
      <c r="E64" s="34">
        <f t="shared" si="4"/>
        <v>1.7214400000000001E-2</v>
      </c>
      <c r="F64" s="34">
        <f t="shared" si="13"/>
        <v>0.89462205775017412</v>
      </c>
      <c r="G64" s="34">
        <f t="shared" si="5"/>
        <v>1.2336821176999999E-2</v>
      </c>
      <c r="H64" s="34">
        <f t="shared" si="14"/>
        <v>0.9288816746071461</v>
      </c>
      <c r="I64" s="34">
        <f t="shared" si="6"/>
        <v>0.85738883409618738</v>
      </c>
      <c r="J64" s="34">
        <f t="shared" si="7"/>
        <v>0.65590367506219782</v>
      </c>
      <c r="K64" s="34">
        <f t="shared" si="8"/>
        <v>1</v>
      </c>
      <c r="L64" s="34">
        <f t="shared" si="9"/>
        <v>1.2568491708092522</v>
      </c>
      <c r="M64" s="15">
        <f t="shared" si="15"/>
        <v>4924.3060237216068</v>
      </c>
      <c r="N64" s="15">
        <f t="shared" si="16"/>
        <v>5493.8923599595446</v>
      </c>
      <c r="O64" s="15">
        <f t="shared" si="17"/>
        <v>6122.7555965684714</v>
      </c>
      <c r="P64" s="15">
        <f t="shared" si="18"/>
        <v>5138.1504082419342</v>
      </c>
      <c r="Q64" s="15">
        <f t="shared" si="19"/>
        <v>5732.4717708810003</v>
      </c>
      <c r="R64" s="15">
        <f t="shared" si="20"/>
        <v>6388.6442102755145</v>
      </c>
      <c r="S64" s="15">
        <f t="shared" si="21"/>
        <v>5334.9162523376544</v>
      </c>
      <c r="T64" s="15">
        <f t="shared" si="22"/>
        <v>5951.9971948434777</v>
      </c>
      <c r="U64" s="15">
        <f t="shared" si="23"/>
        <v>6633.2978055937201</v>
      </c>
      <c r="V64" s="15">
        <f t="shared" si="24"/>
        <v>0</v>
      </c>
      <c r="W64" s="15">
        <f t="shared" si="25"/>
        <v>5743.3754999999992</v>
      </c>
      <c r="X64" s="15">
        <f t="shared" si="26"/>
        <v>5743.3754999999992</v>
      </c>
      <c r="Y64" s="15">
        <f t="shared" si="27"/>
        <v>5743.3754999999992</v>
      </c>
      <c r="Z64" s="15">
        <f t="shared" si="28"/>
        <v>5743.3754999999992</v>
      </c>
      <c r="AA64" s="15">
        <f t="shared" si="29"/>
        <v>5743.3754999999992</v>
      </c>
      <c r="AB64" s="15">
        <f t="shared" si="30"/>
        <v>0</v>
      </c>
      <c r="AC64" s="15">
        <f t="shared" si="31"/>
        <v>5188.8483798373818</v>
      </c>
      <c r="AD64" s="15">
        <f t="shared" si="32"/>
        <v>5188.8483798373818</v>
      </c>
      <c r="AE64" s="15">
        <f t="shared" si="33"/>
        <v>5188.8483798373818</v>
      </c>
      <c r="AF64" s="15">
        <f t="shared" si="34"/>
        <v>5188.8483798373818</v>
      </c>
      <c r="AG64" s="15">
        <f t="shared" si="35"/>
        <v>5188.8483798373818</v>
      </c>
      <c r="AJ64" s="33">
        <v>52</v>
      </c>
      <c r="AK64" s="35">
        <v>2.7182899999999999E-3</v>
      </c>
      <c r="AL64" s="35">
        <v>1.63232E-3</v>
      </c>
      <c r="AM64" s="34">
        <f t="shared" si="11"/>
        <v>1.63232E-3</v>
      </c>
    </row>
    <row r="65" spans="1:39">
      <c r="A65" s="33">
        <v>13</v>
      </c>
      <c r="B65" s="16">
        <f t="shared" si="2"/>
        <v>80</v>
      </c>
      <c r="C65" s="34">
        <f t="shared" si="3"/>
        <v>2.9618740000000001E-2</v>
      </c>
      <c r="D65" s="34">
        <f t="shared" si="12"/>
        <v>0.83541199485787199</v>
      </c>
      <c r="E65" s="34">
        <f t="shared" si="4"/>
        <v>1.9033370000000001E-2</v>
      </c>
      <c r="F65" s="34">
        <f t="shared" si="13"/>
        <v>0.8792216757992396</v>
      </c>
      <c r="G65" s="34">
        <f t="shared" si="5"/>
        <v>1.4255499562E-2</v>
      </c>
      <c r="H65" s="34">
        <f t="shared" si="14"/>
        <v>0.91742222749292546</v>
      </c>
      <c r="I65" s="34">
        <f t="shared" si="6"/>
        <v>0.83541199485787199</v>
      </c>
      <c r="J65" s="34">
        <f t="shared" si="7"/>
        <v>0.63325224235322297</v>
      </c>
      <c r="K65" s="34">
        <f t="shared" si="8"/>
        <v>1</v>
      </c>
      <c r="L65" s="34">
        <f t="shared" si="9"/>
        <v>1.2832430033962461</v>
      </c>
      <c r="M65" s="15">
        <f t="shared" si="15"/>
        <v>4798.0847836728271</v>
      </c>
      <c r="N65" s="15">
        <f t="shared" si="16"/>
        <v>5406.6020309378791</v>
      </c>
      <c r="O65" s="15">
        <f t="shared" si="17"/>
        <v>6085.131656508468</v>
      </c>
      <c r="P65" s="15">
        <f t="shared" si="18"/>
        <v>5049.7002318542945</v>
      </c>
      <c r="Q65" s="15">
        <f t="shared" si="19"/>
        <v>5690.1286159166302</v>
      </c>
      <c r="R65" s="15">
        <f t="shared" si="20"/>
        <v>6404.2408840497919</v>
      </c>
      <c r="S65" s="15">
        <f t="shared" si="21"/>
        <v>5269.1003445382939</v>
      </c>
      <c r="T65" s="15">
        <f t="shared" si="22"/>
        <v>5937.3541545027347</v>
      </c>
      <c r="U65" s="15">
        <f t="shared" si="23"/>
        <v>6682.4932766873708</v>
      </c>
      <c r="V65" s="15">
        <f t="shared" si="24"/>
        <v>0</v>
      </c>
      <c r="W65" s="15">
        <f t="shared" si="25"/>
        <v>5743.3754999999992</v>
      </c>
      <c r="X65" s="15">
        <f t="shared" si="26"/>
        <v>5743.3754999999992</v>
      </c>
      <c r="Y65" s="15">
        <f t="shared" si="27"/>
        <v>5743.3754999999992</v>
      </c>
      <c r="Z65" s="15">
        <f t="shared" si="28"/>
        <v>5743.3754999999992</v>
      </c>
      <c r="AA65" s="15">
        <f t="shared" si="29"/>
        <v>5743.3754999999992</v>
      </c>
      <c r="AB65" s="15">
        <f t="shared" si="30"/>
        <v>0</v>
      </c>
      <c r="AC65" s="15">
        <f t="shared" si="31"/>
        <v>5188.8483798373818</v>
      </c>
      <c r="AD65" s="15">
        <f t="shared" si="32"/>
        <v>5188.8483798373818</v>
      </c>
      <c r="AE65" s="15">
        <f t="shared" si="33"/>
        <v>5188.8483798373818</v>
      </c>
      <c r="AF65" s="15">
        <f t="shared" si="34"/>
        <v>5188.8483798373818</v>
      </c>
      <c r="AG65" s="15">
        <f t="shared" si="35"/>
        <v>5188.8483798373818</v>
      </c>
      <c r="AJ65" s="33">
        <v>53</v>
      </c>
      <c r="AK65" s="35">
        <v>3.0481699999999998E-3</v>
      </c>
      <c r="AL65" s="35">
        <v>1.74916E-3</v>
      </c>
      <c r="AM65" s="34">
        <f t="shared" si="11"/>
        <v>1.74916E-3</v>
      </c>
    </row>
    <row r="66" spans="1:39">
      <c r="A66" s="33">
        <v>14</v>
      </c>
      <c r="B66" s="16">
        <f t="shared" si="2"/>
        <v>81</v>
      </c>
      <c r="C66" s="34">
        <f t="shared" si="3"/>
        <v>3.5324679999999997E-2</v>
      </c>
      <c r="D66" s="34">
        <f t="shared" si="12"/>
        <v>0.81066814418929534</v>
      </c>
      <c r="E66" s="34">
        <f t="shared" si="4"/>
        <v>2.1944149999999999E-2</v>
      </c>
      <c r="F66" s="34">
        <f t="shared" si="13"/>
        <v>0.86248712433173258</v>
      </c>
      <c r="G66" s="34">
        <f t="shared" si="5"/>
        <v>1.7001768484E-2</v>
      </c>
      <c r="H66" s="34">
        <f t="shared" si="14"/>
        <v>0.904343915330731</v>
      </c>
      <c r="I66" s="34">
        <f t="shared" si="6"/>
        <v>0.81066814418929534</v>
      </c>
      <c r="J66" s="34">
        <f t="shared" si="7"/>
        <v>0.61138306994141833</v>
      </c>
      <c r="K66" s="34">
        <f t="shared" si="8"/>
        <v>1</v>
      </c>
      <c r="L66" s="34">
        <f t="shared" si="9"/>
        <v>1.3101911064675671</v>
      </c>
      <c r="M66" s="15">
        <f t="shared" si="15"/>
        <v>4655.9715579672657</v>
      </c>
      <c r="N66" s="15">
        <f t="shared" si="16"/>
        <v>5298.929944011059</v>
      </c>
      <c r="O66" s="15">
        <f t="shared" si="17"/>
        <v>6022.9956785907452</v>
      </c>
      <c r="P66" s="15">
        <f t="shared" si="18"/>
        <v>4953.5874189523265</v>
      </c>
      <c r="Q66" s="15">
        <f t="shared" si="19"/>
        <v>5637.6445555485243</v>
      </c>
      <c r="R66" s="15">
        <f t="shared" si="20"/>
        <v>6407.9935296892354</v>
      </c>
      <c r="S66" s="15">
        <f t="shared" si="21"/>
        <v>5193.9866868845938</v>
      </c>
      <c r="T66" s="15">
        <f t="shared" si="22"/>
        <v>5911.2413470033207</v>
      </c>
      <c r="U66" s="15">
        <f t="shared" si="23"/>
        <v>6718.975616642656</v>
      </c>
      <c r="V66" s="15">
        <f t="shared" si="24"/>
        <v>0</v>
      </c>
      <c r="W66" s="15">
        <f t="shared" si="25"/>
        <v>0</v>
      </c>
      <c r="X66" s="15">
        <f t="shared" si="26"/>
        <v>5743.3754999999992</v>
      </c>
      <c r="Y66" s="15">
        <f t="shared" si="27"/>
        <v>5743.3754999999992</v>
      </c>
      <c r="Z66" s="15">
        <f t="shared" si="28"/>
        <v>5743.3754999999992</v>
      </c>
      <c r="AA66" s="15">
        <f t="shared" si="29"/>
        <v>5743.3754999999992</v>
      </c>
      <c r="AB66" s="15">
        <f t="shared" si="30"/>
        <v>0</v>
      </c>
      <c r="AC66" s="15">
        <f t="shared" si="31"/>
        <v>0</v>
      </c>
      <c r="AD66" s="15">
        <f t="shared" si="32"/>
        <v>5188.8483798373818</v>
      </c>
      <c r="AE66" s="15">
        <f t="shared" si="33"/>
        <v>5188.8483798373818</v>
      </c>
      <c r="AF66" s="15">
        <f t="shared" si="34"/>
        <v>5188.8483798373818</v>
      </c>
      <c r="AG66" s="15">
        <f t="shared" si="35"/>
        <v>5188.8483798373818</v>
      </c>
      <c r="AJ66" s="33">
        <v>54</v>
      </c>
      <c r="AK66" s="35">
        <v>3.3381499999999998E-3</v>
      </c>
      <c r="AL66" s="35">
        <v>1.91322E-3</v>
      </c>
      <c r="AM66" s="34">
        <f t="shared" si="11"/>
        <v>1.91322E-3</v>
      </c>
    </row>
    <row r="67" spans="1:39">
      <c r="A67" s="33">
        <v>15</v>
      </c>
      <c r="B67" s="16">
        <f t="shared" si="2"/>
        <v>82</v>
      </c>
      <c r="C67" s="34">
        <f t="shared" si="3"/>
        <v>4.0203540000000003E-2</v>
      </c>
      <c r="D67" s="34">
        <f t="shared" si="12"/>
        <v>0.78203155140961467</v>
      </c>
      <c r="E67" s="34">
        <f t="shared" si="4"/>
        <v>2.5632289999999999E-2</v>
      </c>
      <c r="F67" s="34">
        <f t="shared" si="13"/>
        <v>0.84356057750232838</v>
      </c>
      <c r="G67" s="34">
        <f t="shared" si="5"/>
        <v>1.9349963802000002E-2</v>
      </c>
      <c r="H67" s="34">
        <f t="shared" si="14"/>
        <v>0.88896846945236374</v>
      </c>
      <c r="I67" s="34">
        <f t="shared" si="6"/>
        <v>0.78203155140961467</v>
      </c>
      <c r="J67" s="34">
        <f t="shared" si="7"/>
        <v>0.5902691427067962</v>
      </c>
      <c r="K67" s="34">
        <f t="shared" si="8"/>
        <v>1</v>
      </c>
      <c r="L67" s="34">
        <f t="shared" si="9"/>
        <v>1.337705119703386</v>
      </c>
      <c r="M67" s="15">
        <f t="shared" si="15"/>
        <v>4491.5008525929707</v>
      </c>
      <c r="N67" s="15">
        <f t="shared" si="16"/>
        <v>5162.8644087904158</v>
      </c>
      <c r="O67" s="15">
        <f t="shared" si="17"/>
        <v>5926.439989275209</v>
      </c>
      <c r="P67" s="15">
        <f t="shared" si="18"/>
        <v>4844.8851535927233</v>
      </c>
      <c r="Q67" s="15">
        <f t="shared" si="19"/>
        <v>5569.0705501526336</v>
      </c>
      <c r="R67" s="15">
        <f t="shared" si="20"/>
        <v>6392.7230696442002</v>
      </c>
      <c r="S67" s="15">
        <f t="shared" si="21"/>
        <v>5105.6797277252035</v>
      </c>
      <c r="T67" s="15">
        <f t="shared" si="22"/>
        <v>5868.8471880702073</v>
      </c>
      <c r="U67" s="15">
        <f t="shared" si="23"/>
        <v>6736.8359717340336</v>
      </c>
      <c r="V67" s="15">
        <f t="shared" si="24"/>
        <v>0</v>
      </c>
      <c r="W67" s="15">
        <f t="shared" si="25"/>
        <v>0</v>
      </c>
      <c r="X67" s="15">
        <f t="shared" si="26"/>
        <v>5743.3754999999992</v>
      </c>
      <c r="Y67" s="15">
        <f t="shared" si="27"/>
        <v>5743.3754999999992</v>
      </c>
      <c r="Z67" s="15">
        <f t="shared" si="28"/>
        <v>5743.3754999999992</v>
      </c>
      <c r="AA67" s="15">
        <f t="shared" si="29"/>
        <v>5743.3754999999992</v>
      </c>
      <c r="AB67" s="15">
        <f t="shared" si="30"/>
        <v>0</v>
      </c>
      <c r="AC67" s="15">
        <f t="shared" si="31"/>
        <v>0</v>
      </c>
      <c r="AD67" s="15">
        <f t="shared" si="32"/>
        <v>5188.8483798373818</v>
      </c>
      <c r="AE67" s="15">
        <f t="shared" si="33"/>
        <v>5188.8483798373818</v>
      </c>
      <c r="AF67" s="15">
        <f t="shared" si="34"/>
        <v>5188.8483798373818</v>
      </c>
      <c r="AG67" s="15">
        <f t="shared" si="35"/>
        <v>5188.8483798373818</v>
      </c>
      <c r="AJ67" s="33">
        <v>55</v>
      </c>
      <c r="AK67" s="35">
        <v>3.6969799999999999E-3</v>
      </c>
      <c r="AL67" s="35">
        <v>2.10604E-3</v>
      </c>
      <c r="AM67" s="34">
        <f t="shared" si="11"/>
        <v>2.10604E-3</v>
      </c>
    </row>
    <row r="68" spans="1:39">
      <c r="A68" s="33">
        <v>16</v>
      </c>
      <c r="B68" s="16">
        <f t="shared" si="2"/>
        <v>83</v>
      </c>
      <c r="C68" s="34">
        <f t="shared" si="3"/>
        <v>4.5825100000000001E-2</v>
      </c>
      <c r="D68" s="34">
        <f t="shared" si="12"/>
        <v>0.75059111465125616</v>
      </c>
      <c r="E68" s="34">
        <f t="shared" si="4"/>
        <v>2.9618740000000001E-2</v>
      </c>
      <c r="F68" s="34">
        <f t="shared" si="13"/>
        <v>0.82193818814722119</v>
      </c>
      <c r="G68" s="34">
        <f t="shared" si="5"/>
        <v>2.2055620630000002E-2</v>
      </c>
      <c r="H68" s="34">
        <f t="shared" si="14"/>
        <v>0.87176696174734114</v>
      </c>
      <c r="I68" s="34">
        <f t="shared" si="6"/>
        <v>0.75059111465125616</v>
      </c>
      <c r="J68" s="34">
        <f t="shared" si="7"/>
        <v>0.56988437848827078</v>
      </c>
      <c r="K68" s="34">
        <f t="shared" si="8"/>
        <v>1</v>
      </c>
      <c r="L68" s="34">
        <f t="shared" si="9"/>
        <v>1.3657969272171568</v>
      </c>
      <c r="M68" s="15">
        <f t="shared" si="15"/>
        <v>4310.9266184057151</v>
      </c>
      <c r="N68" s="15">
        <f t="shared" si="16"/>
        <v>5004.8519728472029</v>
      </c>
      <c r="O68" s="15">
        <f t="shared" si="17"/>
        <v>5801.9396445509574</v>
      </c>
      <c r="P68" s="15">
        <f t="shared" si="18"/>
        <v>4720.6996523191401</v>
      </c>
      <c r="Q68" s="15">
        <f t="shared" si="19"/>
        <v>5480.5857439684669</v>
      </c>
      <c r="R68" s="15">
        <f t="shared" si="20"/>
        <v>6353.4401967940557</v>
      </c>
      <c r="S68" s="15">
        <f t="shared" si="21"/>
        <v>5006.8850098091152</v>
      </c>
      <c r="T68" s="15">
        <f t="shared" si="22"/>
        <v>5812.8380594957935</v>
      </c>
      <c r="U68" s="15">
        <f t="shared" si="23"/>
        <v>6738.6080083317856</v>
      </c>
      <c r="V68" s="15">
        <f t="shared" si="24"/>
        <v>0</v>
      </c>
      <c r="W68" s="15">
        <f t="shared" si="25"/>
        <v>0</v>
      </c>
      <c r="X68" s="15">
        <f t="shared" si="26"/>
        <v>5743.3754999999992</v>
      </c>
      <c r="Y68" s="15">
        <f t="shared" si="27"/>
        <v>5743.3754999999992</v>
      </c>
      <c r="Z68" s="15">
        <f t="shared" si="28"/>
        <v>5743.3754999999992</v>
      </c>
      <c r="AA68" s="15">
        <f t="shared" si="29"/>
        <v>5743.3754999999992</v>
      </c>
      <c r="AB68" s="15">
        <f t="shared" si="30"/>
        <v>0</v>
      </c>
      <c r="AC68" s="15">
        <f t="shared" si="31"/>
        <v>0</v>
      </c>
      <c r="AD68" s="15">
        <f t="shared" si="32"/>
        <v>5188.8483798373818</v>
      </c>
      <c r="AE68" s="15">
        <f t="shared" si="33"/>
        <v>5188.8483798373818</v>
      </c>
      <c r="AF68" s="15">
        <f t="shared" si="34"/>
        <v>5188.8483798373818</v>
      </c>
      <c r="AG68" s="15">
        <f t="shared" si="35"/>
        <v>5188.8483798373818</v>
      </c>
      <c r="AJ68" s="33">
        <v>56</v>
      </c>
      <c r="AK68" s="35">
        <v>4.0705300000000002E-3</v>
      </c>
      <c r="AL68" s="35">
        <v>2.3088100000000001E-3</v>
      </c>
      <c r="AM68" s="34">
        <f t="shared" si="11"/>
        <v>2.3088100000000001E-3</v>
      </c>
    </row>
    <row r="69" spans="1:39">
      <c r="A69" s="33">
        <v>17</v>
      </c>
      <c r="B69" s="16">
        <f t="shared" si="2"/>
        <v>84</v>
      </c>
      <c r="C69" s="34">
        <f t="shared" si="3"/>
        <v>5.2103400000000001E-2</v>
      </c>
      <c r="D69" s="34">
        <f t="shared" si="12"/>
        <v>0.71619520176325091</v>
      </c>
      <c r="E69" s="34">
        <f t="shared" si="4"/>
        <v>3.5324679999999997E-2</v>
      </c>
      <c r="F69" s="34">
        <f t="shared" si="13"/>
        <v>0.79759341465641753</v>
      </c>
      <c r="G69" s="34">
        <f t="shared" si="5"/>
        <v>2.507736642E-2</v>
      </c>
      <c r="H69" s="34">
        <f t="shared" si="14"/>
        <v>0.85253960036127407</v>
      </c>
      <c r="I69" s="34">
        <f t="shared" si="6"/>
        <v>0.71619520176325091</v>
      </c>
      <c r="J69" s="34">
        <f t="shared" si="7"/>
        <v>0.55020359586420797</v>
      </c>
      <c r="K69" s="34">
        <f t="shared" si="8"/>
        <v>1</v>
      </c>
      <c r="L69" s="34">
        <f t="shared" si="9"/>
        <v>1.3944786626887171</v>
      </c>
      <c r="M69" s="15">
        <f t="shared" si="15"/>
        <v>4113.3779750246113</v>
      </c>
      <c r="N69" s="15">
        <f t="shared" si="16"/>
        <v>4823.2591720133469</v>
      </c>
      <c r="O69" s="15">
        <f t="shared" si="17"/>
        <v>5646.7864837483548</v>
      </c>
      <c r="P69" s="15">
        <f t="shared" si="18"/>
        <v>4580.8784766990084</v>
      </c>
      <c r="Q69" s="15">
        <f t="shared" si="19"/>
        <v>5371.4402767678612</v>
      </c>
      <c r="R69" s="15">
        <f t="shared" si="20"/>
        <v>6288.5644895696569</v>
      </c>
      <c r="S69" s="15">
        <f t="shared" si="21"/>
        <v>4896.4550534947321</v>
      </c>
      <c r="T69" s="15">
        <f t="shared" si="22"/>
        <v>5741.4786315566498</v>
      </c>
      <c r="U69" s="15">
        <f t="shared" si="23"/>
        <v>6721.7835030562555</v>
      </c>
      <c r="V69" s="15">
        <f t="shared" si="24"/>
        <v>0</v>
      </c>
      <c r="W69" s="15">
        <f t="shared" si="25"/>
        <v>0</v>
      </c>
      <c r="X69" s="15">
        <f t="shared" si="26"/>
        <v>5743.3754999999992</v>
      </c>
      <c r="Y69" s="15">
        <f t="shared" si="27"/>
        <v>5743.3754999999992</v>
      </c>
      <c r="Z69" s="15">
        <f t="shared" si="28"/>
        <v>5743.3754999999992</v>
      </c>
      <c r="AA69" s="15">
        <f t="shared" si="29"/>
        <v>5743.3754999999992</v>
      </c>
      <c r="AB69" s="15">
        <f t="shared" si="30"/>
        <v>0</v>
      </c>
      <c r="AC69" s="15">
        <f t="shared" si="31"/>
        <v>0</v>
      </c>
      <c r="AD69" s="15">
        <f t="shared" si="32"/>
        <v>5188.8483798373818</v>
      </c>
      <c r="AE69" s="15">
        <f t="shared" si="33"/>
        <v>5188.8483798373818</v>
      </c>
      <c r="AF69" s="15">
        <f t="shared" si="34"/>
        <v>5188.8483798373818</v>
      </c>
      <c r="AG69" s="15">
        <f t="shared" si="35"/>
        <v>5188.8483798373818</v>
      </c>
      <c r="AJ69" s="33">
        <v>57</v>
      </c>
      <c r="AK69" s="35">
        <v>4.5007900000000002E-3</v>
      </c>
      <c r="AL69" s="35">
        <v>2.5111000000000001E-3</v>
      </c>
      <c r="AM69" s="34">
        <f t="shared" si="11"/>
        <v>2.5111000000000001E-3</v>
      </c>
    </row>
    <row r="70" spans="1:39">
      <c r="A70" s="33">
        <v>18</v>
      </c>
      <c r="B70" s="16">
        <f t="shared" si="2"/>
        <v>85</v>
      </c>
      <c r="C70" s="34">
        <f t="shared" si="3"/>
        <v>5.8644759999999997E-2</v>
      </c>
      <c r="D70" s="34">
        <f t="shared" si="12"/>
        <v>0.67887899668769958</v>
      </c>
      <c r="E70" s="34">
        <f t="shared" si="4"/>
        <v>4.0203540000000003E-2</v>
      </c>
      <c r="F70" s="34">
        <f t="shared" si="13"/>
        <v>0.76941868251357226</v>
      </c>
      <c r="G70" s="34">
        <f t="shared" si="5"/>
        <v>2.8225722987999999E-2</v>
      </c>
      <c r="H70" s="34">
        <f t="shared" si="14"/>
        <v>0.83116015241545405</v>
      </c>
      <c r="I70" s="34">
        <f t="shared" si="6"/>
        <v>0.67887899668769958</v>
      </c>
      <c r="J70" s="34">
        <f t="shared" si="7"/>
        <v>0.53120248304566453</v>
      </c>
      <c r="K70" s="34">
        <f t="shared" si="8"/>
        <v>1</v>
      </c>
      <c r="L70" s="34">
        <f t="shared" si="9"/>
        <v>1.4237627146051801</v>
      </c>
      <c r="M70" s="15">
        <f t="shared" si="15"/>
        <v>3899.0569970407141</v>
      </c>
      <c r="N70" s="15">
        <f t="shared" si="16"/>
        <v>4617.6704797709699</v>
      </c>
      <c r="O70" s="15">
        <f t="shared" si="17"/>
        <v>5459.6211030484428</v>
      </c>
      <c r="P70" s="15">
        <f t="shared" si="18"/>
        <v>4419.060410390729</v>
      </c>
      <c r="Q70" s="15">
        <f t="shared" si="19"/>
        <v>5233.5128265304447</v>
      </c>
      <c r="R70" s="15">
        <f t="shared" si="20"/>
        <v>6187.7514205425714</v>
      </c>
      <c r="S70" s="15">
        <f t="shared" si="21"/>
        <v>4773.664855959184</v>
      </c>
      <c r="T70" s="15">
        <f t="shared" si="22"/>
        <v>5653.4724428017089</v>
      </c>
      <c r="U70" s="15">
        <f t="shared" si="23"/>
        <v>6684.2832526572874</v>
      </c>
      <c r="V70" s="15">
        <f t="shared" si="24"/>
        <v>0</v>
      </c>
      <c r="W70" s="15">
        <f t="shared" si="25"/>
        <v>0</v>
      </c>
      <c r="X70" s="15">
        <f t="shared" si="26"/>
        <v>5743.3754999999992</v>
      </c>
      <c r="Y70" s="15">
        <f t="shared" si="27"/>
        <v>5743.3754999999992</v>
      </c>
      <c r="Z70" s="15">
        <f t="shared" si="28"/>
        <v>5743.3754999999992</v>
      </c>
      <c r="AA70" s="15">
        <f t="shared" si="29"/>
        <v>5743.3754999999992</v>
      </c>
      <c r="AB70" s="15">
        <f t="shared" si="30"/>
        <v>0</v>
      </c>
      <c r="AC70" s="15">
        <f t="shared" si="31"/>
        <v>0</v>
      </c>
      <c r="AD70" s="15">
        <f t="shared" si="32"/>
        <v>5188.8483798373818</v>
      </c>
      <c r="AE70" s="15">
        <f t="shared" si="33"/>
        <v>5188.8483798373818</v>
      </c>
      <c r="AF70" s="15">
        <f t="shared" si="34"/>
        <v>5188.8483798373818</v>
      </c>
      <c r="AG70" s="15">
        <f t="shared" si="35"/>
        <v>5188.8483798373818</v>
      </c>
      <c r="AJ70" s="33">
        <v>58</v>
      </c>
      <c r="AK70" s="35">
        <v>4.9435599999999996E-3</v>
      </c>
      <c r="AL70" s="35">
        <v>2.7537999999999998E-3</v>
      </c>
      <c r="AM70" s="34">
        <f t="shared" si="11"/>
        <v>2.7537999999999998E-3</v>
      </c>
    </row>
    <row r="71" spans="1:39">
      <c r="A71" s="33">
        <v>19</v>
      </c>
      <c r="B71" s="16">
        <f t="shared" si="2"/>
        <v>86</v>
      </c>
      <c r="C71" s="34">
        <f t="shared" si="3"/>
        <v>6.8007659999999998E-2</v>
      </c>
      <c r="D71" s="34">
        <f t="shared" si="12"/>
        <v>0.63906630085790872</v>
      </c>
      <c r="E71" s="34">
        <f t="shared" si="4"/>
        <v>4.5825100000000001E-2</v>
      </c>
      <c r="F71" s="34">
        <f t="shared" si="13"/>
        <v>0.73848532773439057</v>
      </c>
      <c r="G71" s="34">
        <f t="shared" si="5"/>
        <v>3.2732086757999997E-2</v>
      </c>
      <c r="H71" s="34">
        <f t="shared" si="14"/>
        <v>0.80770005619471164</v>
      </c>
      <c r="I71" s="34">
        <f t="shared" si="6"/>
        <v>0.63906630085790872</v>
      </c>
      <c r="J71" s="34">
        <f t="shared" si="7"/>
        <v>0.5128575678438887</v>
      </c>
      <c r="K71" s="34">
        <f t="shared" si="8"/>
        <v>1</v>
      </c>
      <c r="L71" s="34">
        <f t="shared" si="9"/>
        <v>1.4536617316118885</v>
      </c>
      <c r="M71" s="15">
        <f t="shared" si="15"/>
        <v>3670.3977352229413</v>
      </c>
      <c r="N71" s="15">
        <f t="shared" si="16"/>
        <v>4390.3369857529742</v>
      </c>
      <c r="O71" s="15">
        <f t="shared" si="17"/>
        <v>5242.2317924446152</v>
      </c>
      <c r="P71" s="15">
        <f t="shared" si="18"/>
        <v>4241.3985384191683</v>
      </c>
      <c r="Q71" s="15">
        <f t="shared" si="19"/>
        <v>5073.3381551111997</v>
      </c>
      <c r="R71" s="15">
        <f t="shared" si="20"/>
        <v>6057.7615469726643</v>
      </c>
      <c r="S71" s="15">
        <f t="shared" si="21"/>
        <v>4638.9247140973293</v>
      </c>
      <c r="T71" s="15">
        <f t="shared" si="22"/>
        <v>5548.8380866680054</v>
      </c>
      <c r="U71" s="15">
        <f t="shared" si="23"/>
        <v>6625.5268156983439</v>
      </c>
      <c r="V71" s="15">
        <f t="shared" si="24"/>
        <v>0</v>
      </c>
      <c r="W71" s="15">
        <f t="shared" si="25"/>
        <v>0</v>
      </c>
      <c r="X71" s="15">
        <f t="shared" si="26"/>
        <v>0</v>
      </c>
      <c r="Y71" s="15">
        <f t="shared" si="27"/>
        <v>5743.3754999999992</v>
      </c>
      <c r="Z71" s="15">
        <f t="shared" si="28"/>
        <v>5743.3754999999992</v>
      </c>
      <c r="AA71" s="15">
        <f t="shared" si="29"/>
        <v>5743.3754999999992</v>
      </c>
      <c r="AB71" s="15">
        <f t="shared" si="30"/>
        <v>0</v>
      </c>
      <c r="AC71" s="15">
        <f t="shared" si="31"/>
        <v>0</v>
      </c>
      <c r="AD71" s="15">
        <f t="shared" si="32"/>
        <v>0</v>
      </c>
      <c r="AE71" s="15">
        <f t="shared" si="33"/>
        <v>5188.8483798373818</v>
      </c>
      <c r="AF71" s="15">
        <f t="shared" si="34"/>
        <v>5188.8483798373818</v>
      </c>
      <c r="AG71" s="15">
        <f t="shared" si="35"/>
        <v>5188.8483798373818</v>
      </c>
      <c r="AJ71" s="33">
        <v>59</v>
      </c>
      <c r="AK71" s="35">
        <v>5.4095899999999997E-3</v>
      </c>
      <c r="AL71" s="35">
        <v>3.0039200000000002E-3</v>
      </c>
      <c r="AM71" s="34">
        <f t="shared" si="11"/>
        <v>3.0039200000000002E-3</v>
      </c>
    </row>
    <row r="72" spans="1:39">
      <c r="A72" s="33">
        <v>20</v>
      </c>
      <c r="B72" s="16">
        <f t="shared" si="2"/>
        <v>87</v>
      </c>
      <c r="C72" s="34">
        <f t="shared" si="3"/>
        <v>7.9507069999999999E-2</v>
      </c>
      <c r="D72" s="34">
        <f t="shared" si="12"/>
        <v>0.59560489715170639</v>
      </c>
      <c r="E72" s="34">
        <f t="shared" si="4"/>
        <v>5.2103400000000001E-2</v>
      </c>
      <c r="F72" s="34">
        <f t="shared" si="13"/>
        <v>0.70464416374242944</v>
      </c>
      <c r="G72" s="34">
        <f t="shared" si="5"/>
        <v>3.8266752791000003E-2</v>
      </c>
      <c r="H72" s="34">
        <f t="shared" si="14"/>
        <v>0.78126234788090487</v>
      </c>
      <c r="I72" s="34">
        <f t="shared" si="6"/>
        <v>0.59560489715170639</v>
      </c>
      <c r="J72" s="34">
        <f t="shared" si="7"/>
        <v>0.49514618867498444</v>
      </c>
      <c r="K72" s="34">
        <f t="shared" si="8"/>
        <v>1</v>
      </c>
      <c r="L72" s="34">
        <f t="shared" si="9"/>
        <v>1.4841886279757381</v>
      </c>
      <c r="M72" s="15">
        <f t="shared" si="15"/>
        <v>3420.7825739811296</v>
      </c>
      <c r="N72" s="15">
        <f t="shared" si="16"/>
        <v>4132.6780451478653</v>
      </c>
      <c r="O72" s="15">
        <f t="shared" si="17"/>
        <v>4983.4342725641091</v>
      </c>
      <c r="P72" s="15">
        <f t="shared" si="18"/>
        <v>4047.0360262562572</v>
      </c>
      <c r="Q72" s="15">
        <f t="shared" si="19"/>
        <v>4889.2604460876073</v>
      </c>
      <c r="R72" s="15">
        <f t="shared" si="20"/>
        <v>5895.7672986726193</v>
      </c>
      <c r="S72" s="15">
        <f t="shared" si="21"/>
        <v>4487.0830278916656</v>
      </c>
      <c r="T72" s="15">
        <f t="shared" si="22"/>
        <v>5420.8851673791842</v>
      </c>
      <c r="U72" s="15">
        <f t="shared" si="23"/>
        <v>6536.8326870924402</v>
      </c>
      <c r="V72" s="15">
        <f t="shared" si="24"/>
        <v>0</v>
      </c>
      <c r="W72" s="15">
        <f t="shared" si="25"/>
        <v>0</v>
      </c>
      <c r="X72" s="15">
        <f t="shared" si="26"/>
        <v>0</v>
      </c>
      <c r="Y72" s="15">
        <f t="shared" si="27"/>
        <v>5743.3754999999992</v>
      </c>
      <c r="Z72" s="15">
        <f t="shared" si="28"/>
        <v>5743.3754999999992</v>
      </c>
      <c r="AA72" s="15">
        <f t="shared" si="29"/>
        <v>5743.3754999999992</v>
      </c>
      <c r="AB72" s="15">
        <f t="shared" si="30"/>
        <v>0</v>
      </c>
      <c r="AC72" s="15">
        <f t="shared" si="31"/>
        <v>0</v>
      </c>
      <c r="AD72" s="15">
        <f t="shared" si="32"/>
        <v>0</v>
      </c>
      <c r="AE72" s="15">
        <f t="shared" si="33"/>
        <v>5188.8483798373818</v>
      </c>
      <c r="AF72" s="15">
        <f t="shared" si="34"/>
        <v>5188.8483798373818</v>
      </c>
      <c r="AG72" s="15">
        <f t="shared" si="35"/>
        <v>5188.8483798373818</v>
      </c>
      <c r="AJ72" s="33">
        <v>60</v>
      </c>
      <c r="AK72" s="35">
        <v>5.8689200000000014E-3</v>
      </c>
      <c r="AL72" s="35">
        <v>3.3090799999999998E-3</v>
      </c>
      <c r="AM72" s="34">
        <f t="shared" si="11"/>
        <v>3.3090799999999998E-3</v>
      </c>
    </row>
    <row r="73" spans="1:39">
      <c r="A73" s="33">
        <v>21</v>
      </c>
      <c r="B73" s="16">
        <f t="shared" si="2"/>
        <v>88</v>
      </c>
      <c r="C73" s="34">
        <f t="shared" si="3"/>
        <v>9.2460859999999992E-2</v>
      </c>
      <c r="D73" s="34">
        <f t="shared" si="12"/>
        <v>0.54825009690152282</v>
      </c>
      <c r="E73" s="34">
        <f t="shared" si="4"/>
        <v>5.8644759999999997E-2</v>
      </c>
      <c r="F73" s="34">
        <f t="shared" si="13"/>
        <v>0.66792980702129212</v>
      </c>
      <c r="G73" s="34">
        <f t="shared" si="5"/>
        <v>4.4501411918E-2</v>
      </c>
      <c r="H73" s="34">
        <f t="shared" si="14"/>
        <v>0.75136597474963007</v>
      </c>
      <c r="I73" s="34">
        <f t="shared" si="6"/>
        <v>0.54825009690152282</v>
      </c>
      <c r="J73" s="34">
        <f t="shared" si="7"/>
        <v>0.47804646656592142</v>
      </c>
      <c r="K73" s="34">
        <f t="shared" si="8"/>
        <v>1</v>
      </c>
      <c r="L73" s="34">
        <f t="shared" si="9"/>
        <v>1.5153565891632284</v>
      </c>
      <c r="M73" s="15">
        <f t="shared" si="15"/>
        <v>3148.8061744168317</v>
      </c>
      <c r="N73" s="15">
        <f t="shared" si="16"/>
        <v>3842.141931750079</v>
      </c>
      <c r="O73" s="15">
        <f t="shared" si="17"/>
        <v>4678.9603353152552</v>
      </c>
      <c r="P73" s="15">
        <f t="shared" si="18"/>
        <v>3836.1716893658167</v>
      </c>
      <c r="Q73" s="15">
        <f t="shared" si="19"/>
        <v>4680.8584868945354</v>
      </c>
      <c r="R73" s="15">
        <f t="shared" si="20"/>
        <v>5700.3493323390194</v>
      </c>
      <c r="S73" s="15">
        <f t="shared" si="21"/>
        <v>4315.3769309106438</v>
      </c>
      <c r="T73" s="15">
        <f t="shared" si="22"/>
        <v>5265.5799497183934</v>
      </c>
      <c r="U73" s="15">
        <f t="shared" si="23"/>
        <v>6412.4231131517336</v>
      </c>
      <c r="V73" s="15">
        <f t="shared" si="24"/>
        <v>0</v>
      </c>
      <c r="W73" s="15">
        <f t="shared" si="25"/>
        <v>0</v>
      </c>
      <c r="X73" s="15">
        <f t="shared" si="26"/>
        <v>0</v>
      </c>
      <c r="Y73" s="15">
        <f t="shared" si="27"/>
        <v>5743.3754999999992</v>
      </c>
      <c r="Z73" s="15">
        <f t="shared" si="28"/>
        <v>5743.3754999999992</v>
      </c>
      <c r="AA73" s="15">
        <f t="shared" si="29"/>
        <v>5743.3754999999992</v>
      </c>
      <c r="AB73" s="15">
        <f t="shared" si="30"/>
        <v>0</v>
      </c>
      <c r="AC73" s="15">
        <f t="shared" si="31"/>
        <v>0</v>
      </c>
      <c r="AD73" s="15">
        <f t="shared" si="32"/>
        <v>0</v>
      </c>
      <c r="AE73" s="15">
        <f t="shared" si="33"/>
        <v>5188.8483798373818</v>
      </c>
      <c r="AF73" s="15">
        <f t="shared" si="34"/>
        <v>5188.8483798373818</v>
      </c>
      <c r="AG73" s="15">
        <f t="shared" si="35"/>
        <v>5188.8483798373818</v>
      </c>
      <c r="AJ73" s="33">
        <v>61</v>
      </c>
      <c r="AK73" s="35">
        <v>6.40837E-3</v>
      </c>
      <c r="AL73" s="35">
        <v>3.6570299999999999E-3</v>
      </c>
      <c r="AM73" s="34">
        <f t="shared" si="11"/>
        <v>3.6570299999999999E-3</v>
      </c>
    </row>
    <row r="74" spans="1:39">
      <c r="A74" s="33">
        <v>22</v>
      </c>
      <c r="B74" s="16">
        <f t="shared" si="2"/>
        <v>89</v>
      </c>
      <c r="C74" s="34">
        <f t="shared" si="3"/>
        <v>0.10673365999999999</v>
      </c>
      <c r="D74" s="34">
        <f t="shared" si="12"/>
        <v>0.49755842144692469</v>
      </c>
      <c r="E74" s="34">
        <f t="shared" si="4"/>
        <v>6.8007659999999998E-2</v>
      </c>
      <c r="F74" s="34">
        <f t="shared" si="13"/>
        <v>0.62875922379168214</v>
      </c>
      <c r="G74" s="34">
        <f t="shared" si="5"/>
        <v>5.1370910557999999E-2</v>
      </c>
      <c r="H74" s="34">
        <f t="shared" si="14"/>
        <v>0.71792912800612718</v>
      </c>
      <c r="I74" s="34">
        <f t="shared" si="6"/>
        <v>0.49755842144692469</v>
      </c>
      <c r="J74" s="34">
        <f t="shared" si="7"/>
        <v>0.4615372781273076</v>
      </c>
      <c r="K74" s="34">
        <f t="shared" si="8"/>
        <v>1</v>
      </c>
      <c r="L74" s="34">
        <f t="shared" si="9"/>
        <v>1.547179077535656</v>
      </c>
      <c r="M74" s="15">
        <f t="shared" si="15"/>
        <v>2857.6648475569414</v>
      </c>
      <c r="N74" s="15">
        <f t="shared" si="16"/>
        <v>3521.7631263433896</v>
      </c>
      <c r="O74" s="15">
        <f t="shared" si="17"/>
        <v>4331.2664315822394</v>
      </c>
      <c r="P74" s="15">
        <f t="shared" si="18"/>
        <v>3611.2003213241637</v>
      </c>
      <c r="Q74" s="15">
        <f t="shared" si="19"/>
        <v>4450.4141709800087</v>
      </c>
      <c r="R74" s="15">
        <f t="shared" si="20"/>
        <v>5473.3747881043937</v>
      </c>
      <c r="S74" s="15">
        <f t="shared" si="21"/>
        <v>4123.336564526754</v>
      </c>
      <c r="T74" s="15">
        <f t="shared" si="22"/>
        <v>5081.5667494627014</v>
      </c>
      <c r="U74" s="15">
        <f t="shared" si="23"/>
        <v>6249.6024554168807</v>
      </c>
      <c r="V74" s="15">
        <f t="shared" si="24"/>
        <v>0</v>
      </c>
      <c r="W74" s="15">
        <f t="shared" si="25"/>
        <v>0</v>
      </c>
      <c r="X74" s="15">
        <f t="shared" si="26"/>
        <v>0</v>
      </c>
      <c r="Y74" s="15">
        <f t="shared" si="27"/>
        <v>5743.3754999999992</v>
      </c>
      <c r="Z74" s="15">
        <f t="shared" si="28"/>
        <v>5743.3754999999992</v>
      </c>
      <c r="AA74" s="15">
        <f t="shared" si="29"/>
        <v>5743.3754999999992</v>
      </c>
      <c r="AB74" s="15">
        <f t="shared" si="30"/>
        <v>0</v>
      </c>
      <c r="AC74" s="15">
        <f t="shared" si="31"/>
        <v>0</v>
      </c>
      <c r="AD74" s="15">
        <f t="shared" si="32"/>
        <v>0</v>
      </c>
      <c r="AE74" s="15">
        <f t="shared" si="33"/>
        <v>5188.8483798373818</v>
      </c>
      <c r="AF74" s="15">
        <f t="shared" si="34"/>
        <v>5188.8483798373818</v>
      </c>
      <c r="AG74" s="15">
        <f t="shared" si="35"/>
        <v>5188.8483798373818</v>
      </c>
      <c r="AJ74" s="33">
        <v>62</v>
      </c>
      <c r="AK74" s="35">
        <v>6.9825600000000014E-3</v>
      </c>
      <c r="AL74" s="35">
        <v>4.03361E-3</v>
      </c>
      <c r="AM74" s="34">
        <f t="shared" si="11"/>
        <v>4.03361E-3</v>
      </c>
    </row>
    <row r="75" spans="1:39">
      <c r="A75" s="33">
        <v>23</v>
      </c>
      <c r="B75" s="16">
        <f t="shared" si="2"/>
        <v>90</v>
      </c>
      <c r="C75" s="34">
        <f t="shared" si="3"/>
        <v>0.12179832</v>
      </c>
      <c r="D75" s="34">
        <f t="shared" si="12"/>
        <v>0.44445219006207193</v>
      </c>
      <c r="E75" s="34">
        <f t="shared" si="4"/>
        <v>7.9507069999999999E-2</v>
      </c>
      <c r="F75" s="34">
        <f t="shared" si="13"/>
        <v>0.58599878027819352</v>
      </c>
      <c r="G75" s="34">
        <f t="shared" si="5"/>
        <v>5.8621531416000003E-2</v>
      </c>
      <c r="H75" s="34">
        <f t="shared" si="14"/>
        <v>0.68104845498434152</v>
      </c>
      <c r="I75" s="34">
        <f t="shared" si="6"/>
        <v>0.44445219006207193</v>
      </c>
      <c r="J75" s="34">
        <f t="shared" si="7"/>
        <v>0.44559822945953986</v>
      </c>
      <c r="K75" s="34">
        <f t="shared" si="8"/>
        <v>1</v>
      </c>
      <c r="L75" s="34">
        <f t="shared" si="9"/>
        <v>1.5796698381639047</v>
      </c>
      <c r="M75" s="15">
        <f t="shared" si="15"/>
        <v>2552.655819323847</v>
      </c>
      <c r="N75" s="15">
        <f t="shared" si="16"/>
        <v>3177.331182797875</v>
      </c>
      <c r="O75" s="15">
        <f t="shared" si="17"/>
        <v>3946.3540031624143</v>
      </c>
      <c r="P75" s="15">
        <f t="shared" si="18"/>
        <v>3365.6110376796596</v>
      </c>
      <c r="Q75" s="15">
        <f t="shared" si="19"/>
        <v>4189.229436352628</v>
      </c>
      <c r="R75" s="15">
        <f t="shared" si="20"/>
        <v>5203.1662439916663</v>
      </c>
      <c r="S75" s="15">
        <f t="shared" si="21"/>
        <v>3911.5170106699193</v>
      </c>
      <c r="T75" s="15">
        <f t="shared" si="22"/>
        <v>4868.7272588663627</v>
      </c>
      <c r="U75" s="15">
        <f t="shared" si="23"/>
        <v>6047.1257803897352</v>
      </c>
      <c r="V75" s="15">
        <f t="shared" si="24"/>
        <v>0</v>
      </c>
      <c r="W75" s="15">
        <f t="shared" si="25"/>
        <v>0</v>
      </c>
      <c r="X75" s="15">
        <f t="shared" si="26"/>
        <v>0</v>
      </c>
      <c r="Y75" s="15">
        <f t="shared" si="27"/>
        <v>5743.3754999999992</v>
      </c>
      <c r="Z75" s="15">
        <f t="shared" si="28"/>
        <v>5743.3754999999992</v>
      </c>
      <c r="AA75" s="15">
        <f t="shared" si="29"/>
        <v>5743.3754999999992</v>
      </c>
      <c r="AB75" s="15">
        <f t="shared" si="30"/>
        <v>0</v>
      </c>
      <c r="AC75" s="15">
        <f t="shared" si="31"/>
        <v>0</v>
      </c>
      <c r="AD75" s="15">
        <f t="shared" si="32"/>
        <v>0</v>
      </c>
      <c r="AE75" s="15">
        <f t="shared" si="33"/>
        <v>5188.8483798373818</v>
      </c>
      <c r="AF75" s="15">
        <f t="shared" si="34"/>
        <v>5188.8483798373818</v>
      </c>
      <c r="AG75" s="15">
        <f t="shared" si="35"/>
        <v>5188.8483798373818</v>
      </c>
      <c r="AJ75" s="33">
        <v>63</v>
      </c>
      <c r="AK75" s="35">
        <v>7.7220800000000001E-3</v>
      </c>
      <c r="AL75" s="35">
        <v>4.4327799999999999E-3</v>
      </c>
      <c r="AM75" s="34">
        <f t="shared" si="11"/>
        <v>4.4327799999999999E-3</v>
      </c>
    </row>
    <row r="76" spans="1:39">
      <c r="A76" s="33">
        <v>24</v>
      </c>
      <c r="B76" s="16">
        <f t="shared" si="2"/>
        <v>91</v>
      </c>
      <c r="C76" s="34">
        <f t="shared" si="3"/>
        <v>0.14015163999999999</v>
      </c>
      <c r="D76" s="34">
        <f t="shared" si="12"/>
        <v>0.39031865999219084</v>
      </c>
      <c r="E76" s="34">
        <f t="shared" si="4"/>
        <v>9.2460859999999992E-2</v>
      </c>
      <c r="F76" s="34">
        <f t="shared" si="13"/>
        <v>0.53940773423470056</v>
      </c>
      <c r="G76" s="34">
        <f t="shared" si="5"/>
        <v>6.7454984331999993E-2</v>
      </c>
      <c r="H76" s="34">
        <f t="shared" si="14"/>
        <v>0.64112435158465864</v>
      </c>
      <c r="I76" s="34">
        <f t="shared" si="6"/>
        <v>0.39031865999219084</v>
      </c>
      <c r="J76" s="34">
        <f t="shared" si="7"/>
        <v>0.43020963096009712</v>
      </c>
      <c r="K76" s="34">
        <f t="shared" si="8"/>
        <v>1</v>
      </c>
      <c r="L76" s="34">
        <f t="shared" si="9"/>
        <v>1.6128429047653465</v>
      </c>
      <c r="M76" s="15">
        <f t="shared" si="15"/>
        <v>2241.7466289919789</v>
      </c>
      <c r="N76" s="15">
        <f t="shared" si="16"/>
        <v>2818.2409584759748</v>
      </c>
      <c r="O76" s="15">
        <f t="shared" si="17"/>
        <v>3535.008609760996</v>
      </c>
      <c r="P76" s="15">
        <f t="shared" si="18"/>
        <v>3098.02116531409</v>
      </c>
      <c r="Q76" s="15">
        <f t="shared" si="19"/>
        <v>3894.7176390935829</v>
      </c>
      <c r="R76" s="15">
        <f t="shared" si="20"/>
        <v>4885.2672960331629</v>
      </c>
      <c r="S76" s="15">
        <f t="shared" si="21"/>
        <v>3682.217893344714</v>
      </c>
      <c r="T76" s="15">
        <f t="shared" si="22"/>
        <v>4629.1481610138389</v>
      </c>
      <c r="U76" s="15">
        <f t="shared" si="23"/>
        <v>5806.4866866076754</v>
      </c>
      <c r="V76" s="15">
        <f t="shared" si="24"/>
        <v>0</v>
      </c>
      <c r="W76" s="15">
        <f t="shared" si="25"/>
        <v>0</v>
      </c>
      <c r="X76" s="15">
        <f t="shared" si="26"/>
        <v>0</v>
      </c>
      <c r="Y76" s="15">
        <f t="shared" si="27"/>
        <v>0</v>
      </c>
      <c r="Z76" s="15">
        <f t="shared" si="28"/>
        <v>5743.3754999999992</v>
      </c>
      <c r="AA76" s="15">
        <f t="shared" si="29"/>
        <v>5743.3754999999992</v>
      </c>
      <c r="AB76" s="15">
        <f t="shared" si="30"/>
        <v>0</v>
      </c>
      <c r="AC76" s="15">
        <f t="shared" si="31"/>
        <v>0</v>
      </c>
      <c r="AD76" s="15">
        <f t="shared" si="32"/>
        <v>0</v>
      </c>
      <c r="AE76" s="15">
        <f t="shared" si="33"/>
        <v>0</v>
      </c>
      <c r="AF76" s="15">
        <f t="shared" si="34"/>
        <v>5188.8483798373818</v>
      </c>
      <c r="AG76" s="15">
        <f t="shared" si="35"/>
        <v>5188.8483798373818</v>
      </c>
      <c r="AJ76" s="33">
        <v>64</v>
      </c>
      <c r="AK76" s="35">
        <v>8.4918200000000006E-3</v>
      </c>
      <c r="AL76" s="35">
        <v>4.8838400000000004E-3</v>
      </c>
      <c r="AM76" s="34">
        <f t="shared" si="11"/>
        <v>4.8838400000000004E-3</v>
      </c>
    </row>
    <row r="77" spans="1:39">
      <c r="A77" s="33">
        <v>25</v>
      </c>
      <c r="B77" s="16">
        <f t="shared" si="2"/>
        <v>92</v>
      </c>
      <c r="C77" s="34">
        <f t="shared" si="3"/>
        <v>0.15920118999999999</v>
      </c>
      <c r="D77" s="34">
        <f t="shared" si="12"/>
        <v>0.33561485967168292</v>
      </c>
      <c r="E77" s="34">
        <f t="shared" si="4"/>
        <v>0.10673365999999999</v>
      </c>
      <c r="F77" s="34">
        <f t="shared" si="13"/>
        <v>0.48953363123670873</v>
      </c>
      <c r="G77" s="34">
        <f t="shared" si="5"/>
        <v>7.6623532746999998E-2</v>
      </c>
      <c r="H77" s="34">
        <f t="shared" si="14"/>
        <v>0.59787731849365178</v>
      </c>
      <c r="I77" s="34">
        <f t="shared" si="6"/>
        <v>0.33561485967168292</v>
      </c>
      <c r="J77" s="34">
        <f t="shared" si="7"/>
        <v>0.41535247300085648</v>
      </c>
      <c r="K77" s="34">
        <f t="shared" si="8"/>
        <v>1</v>
      </c>
      <c r="L77" s="34">
        <f t="shared" si="9"/>
        <v>1.6467126057654184</v>
      </c>
      <c r="M77" s="15">
        <f t="shared" si="15"/>
        <v>1927.5621624742814</v>
      </c>
      <c r="N77" s="15">
        <f t="shared" si="16"/>
        <v>2447.4924648926999</v>
      </c>
      <c r="O77" s="15">
        <f t="shared" si="17"/>
        <v>3100.3627828026501</v>
      </c>
      <c r="P77" s="15">
        <f t="shared" si="18"/>
        <v>2811.5754640709474</v>
      </c>
      <c r="Q77" s="15">
        <f t="shared" si="19"/>
        <v>3569.9547836930801</v>
      </c>
      <c r="R77" s="15">
        <f t="shared" si="20"/>
        <v>4522.2427061223034</v>
      </c>
      <c r="S77" s="15">
        <f t="shared" si="21"/>
        <v>3433.8339430421361</v>
      </c>
      <c r="T77" s="15">
        <f t="shared" si="22"/>
        <v>4360.0579347855664</v>
      </c>
      <c r="U77" s="15">
        <f t="shared" si="23"/>
        <v>5523.1064225013597</v>
      </c>
      <c r="V77" s="15">
        <f t="shared" si="24"/>
        <v>0</v>
      </c>
      <c r="W77" s="15">
        <f t="shared" si="25"/>
        <v>0</v>
      </c>
      <c r="X77" s="15">
        <f t="shared" si="26"/>
        <v>0</v>
      </c>
      <c r="Y77" s="15">
        <f t="shared" si="27"/>
        <v>0</v>
      </c>
      <c r="Z77" s="15">
        <f t="shared" si="28"/>
        <v>5743.3754999999992</v>
      </c>
      <c r="AA77" s="15">
        <f t="shared" si="29"/>
        <v>5743.3754999999992</v>
      </c>
      <c r="AB77" s="15">
        <f t="shared" si="30"/>
        <v>0</v>
      </c>
      <c r="AC77" s="15">
        <f t="shared" si="31"/>
        <v>0</v>
      </c>
      <c r="AD77" s="15">
        <f t="shared" si="32"/>
        <v>0</v>
      </c>
      <c r="AE77" s="15">
        <f t="shared" si="33"/>
        <v>0</v>
      </c>
      <c r="AF77" s="15">
        <f t="shared" si="34"/>
        <v>5188.8483798373818</v>
      </c>
      <c r="AG77" s="15">
        <f t="shared" si="35"/>
        <v>5188.8483798373818</v>
      </c>
      <c r="AJ77" s="33">
        <v>65</v>
      </c>
      <c r="AK77" s="35">
        <v>9.4008800000000003E-3</v>
      </c>
      <c r="AL77" s="35">
        <v>5.39129E-3</v>
      </c>
      <c r="AM77" s="34">
        <f t="shared" si="11"/>
        <v>5.39129E-3</v>
      </c>
    </row>
    <row r="78" spans="1:39">
      <c r="A78" s="33">
        <v>26</v>
      </c>
      <c r="B78" s="16">
        <f t="shared" si="2"/>
        <v>93</v>
      </c>
      <c r="C78" s="34">
        <f t="shared" si="3"/>
        <v>0.17734</v>
      </c>
      <c r="D78" s="34">
        <f t="shared" si="12"/>
        <v>0.28218457463026797</v>
      </c>
      <c r="E78" s="34">
        <f t="shared" si="4"/>
        <v>0.12179832</v>
      </c>
      <c r="F78" s="34">
        <f t="shared" si="13"/>
        <v>0.43728391508172448</v>
      </c>
      <c r="G78" s="34">
        <f t="shared" si="5"/>
        <v>8.5353741999999996E-2</v>
      </c>
      <c r="H78" s="34">
        <f t="shared" si="14"/>
        <v>0.5520658462013649</v>
      </c>
      <c r="I78" s="34">
        <f t="shared" si="6"/>
        <v>0.28218457463026797</v>
      </c>
      <c r="J78" s="34">
        <f t="shared" si="7"/>
        <v>0.40100840244538494</v>
      </c>
      <c r="K78" s="34">
        <f t="shared" si="8"/>
        <v>1</v>
      </c>
      <c r="L78" s="34">
        <f t="shared" si="9"/>
        <v>1.681293570486492</v>
      </c>
      <c r="M78" s="15">
        <f t="shared" si="15"/>
        <v>1620.6919724094023</v>
      </c>
      <c r="N78" s="15">
        <f t="shared" si="16"/>
        <v>2078.4272394854061</v>
      </c>
      <c r="O78" s="15">
        <f t="shared" si="17"/>
        <v>2658.9169651157317</v>
      </c>
      <c r="P78" s="15">
        <f t="shared" si="18"/>
        <v>2511.4857244244567</v>
      </c>
      <c r="Q78" s="15">
        <f t="shared" si="19"/>
        <v>3220.8096480309596</v>
      </c>
      <c r="R78" s="15">
        <f t="shared" si="20"/>
        <v>4120.3585345033571</v>
      </c>
      <c r="S78" s="15">
        <f t="shared" si="21"/>
        <v>3170.7214554596867</v>
      </c>
      <c r="T78" s="15">
        <f t="shared" si="22"/>
        <v>4066.2346417691147</v>
      </c>
      <c r="U78" s="15">
        <f t="shared" si="23"/>
        <v>5201.9046266050937</v>
      </c>
      <c r="V78" s="15">
        <f t="shared" si="24"/>
        <v>0</v>
      </c>
      <c r="W78" s="15">
        <f t="shared" si="25"/>
        <v>0</v>
      </c>
      <c r="X78" s="15">
        <f t="shared" si="26"/>
        <v>0</v>
      </c>
      <c r="Y78" s="15">
        <f t="shared" si="27"/>
        <v>0</v>
      </c>
      <c r="Z78" s="15">
        <f t="shared" si="28"/>
        <v>5743.3754999999992</v>
      </c>
      <c r="AA78" s="15">
        <f t="shared" si="29"/>
        <v>5743.3754999999992</v>
      </c>
      <c r="AB78" s="15">
        <f t="shared" si="30"/>
        <v>0</v>
      </c>
      <c r="AC78" s="15">
        <f t="shared" si="31"/>
        <v>0</v>
      </c>
      <c r="AD78" s="15">
        <f t="shared" si="32"/>
        <v>0</v>
      </c>
      <c r="AE78" s="15">
        <f t="shared" si="33"/>
        <v>0</v>
      </c>
      <c r="AF78" s="15">
        <f t="shared" si="34"/>
        <v>5188.8483798373818</v>
      </c>
      <c r="AG78" s="15">
        <f t="shared" si="35"/>
        <v>5188.8483798373818</v>
      </c>
      <c r="AJ78" s="33">
        <v>66</v>
      </c>
      <c r="AK78" s="35">
        <v>1.046413E-2</v>
      </c>
      <c r="AL78" s="35">
        <v>5.9404199999999992E-3</v>
      </c>
      <c r="AM78" s="34">
        <f t="shared" si="11"/>
        <v>5.9404199999999992E-3</v>
      </c>
    </row>
    <row r="79" spans="1:39">
      <c r="A79" s="33">
        <v>27</v>
      </c>
      <c r="B79" s="16">
        <f t="shared" si="2"/>
        <v>94</v>
      </c>
      <c r="C79" s="34">
        <f t="shared" si="3"/>
        <v>0.19681032000000001</v>
      </c>
      <c r="D79" s="34">
        <f t="shared" si="12"/>
        <v>0.23214196216533622</v>
      </c>
      <c r="E79" s="34">
        <f t="shared" si="4"/>
        <v>0.14015163999999999</v>
      </c>
      <c r="F79" s="34">
        <f t="shared" si="13"/>
        <v>0.38402346886174776</v>
      </c>
      <c r="G79" s="34">
        <f t="shared" si="5"/>
        <v>9.4724807016000001E-2</v>
      </c>
      <c r="H79" s="34">
        <f t="shared" si="14"/>
        <v>0.50494496039768189</v>
      </c>
      <c r="I79" s="34">
        <f t="shared" si="6"/>
        <v>0.23214196216533622</v>
      </c>
      <c r="J79" s="34">
        <f t="shared" si="7"/>
        <v>0.38715969997720057</v>
      </c>
      <c r="K79" s="34">
        <f t="shared" si="8"/>
        <v>1</v>
      </c>
      <c r="L79" s="34">
        <f t="shared" si="9"/>
        <v>1.7166007354667081</v>
      </c>
      <c r="M79" s="15">
        <f t="shared" si="15"/>
        <v>1333.2784580223188</v>
      </c>
      <c r="N79" s="15">
        <f t="shared" si="16"/>
        <v>1726.9373423634147</v>
      </c>
      <c r="O79" s="15">
        <f t="shared" si="17"/>
        <v>2231.13232313255</v>
      </c>
      <c r="P79" s="15">
        <f t="shared" si="18"/>
        <v>2205.5909824855748</v>
      </c>
      <c r="Q79" s="15">
        <f t="shared" si="19"/>
        <v>2856.8056482996071</v>
      </c>
      <c r="R79" s="15">
        <f t="shared" si="20"/>
        <v>3690.8759029472503</v>
      </c>
      <c r="S79" s="15">
        <f t="shared" si="21"/>
        <v>2900.0885143965161</v>
      </c>
      <c r="T79" s="15">
        <f t="shared" si="22"/>
        <v>3756.3579622365319</v>
      </c>
      <c r="U79" s="15">
        <f t="shared" si="23"/>
        <v>4853.0606532211814</v>
      </c>
      <c r="V79" s="15">
        <f t="shared" si="24"/>
        <v>0</v>
      </c>
      <c r="W79" s="15">
        <f t="shared" si="25"/>
        <v>0</v>
      </c>
      <c r="X79" s="15">
        <f t="shared" si="26"/>
        <v>0</v>
      </c>
      <c r="Y79" s="15">
        <f t="shared" si="27"/>
        <v>0</v>
      </c>
      <c r="Z79" s="15">
        <f t="shared" si="28"/>
        <v>5743.3754999999992</v>
      </c>
      <c r="AA79" s="15">
        <f t="shared" si="29"/>
        <v>5743.3754999999992</v>
      </c>
      <c r="AB79" s="15">
        <f t="shared" si="30"/>
        <v>0</v>
      </c>
      <c r="AC79" s="15">
        <f t="shared" si="31"/>
        <v>0</v>
      </c>
      <c r="AD79" s="15">
        <f t="shared" si="32"/>
        <v>0</v>
      </c>
      <c r="AE79" s="15">
        <f t="shared" si="33"/>
        <v>0</v>
      </c>
      <c r="AF79" s="15">
        <f t="shared" si="34"/>
        <v>5188.8483798373818</v>
      </c>
      <c r="AG79" s="15">
        <f t="shared" si="35"/>
        <v>5188.8483798373818</v>
      </c>
      <c r="AJ79" s="33">
        <v>67</v>
      </c>
      <c r="AK79" s="35">
        <v>1.168369E-2</v>
      </c>
      <c r="AL79" s="35">
        <v>6.64118E-3</v>
      </c>
      <c r="AM79" s="34">
        <f t="shared" si="11"/>
        <v>6.64118E-3</v>
      </c>
    </row>
    <row r="80" spans="1:39">
      <c r="A80" s="33">
        <v>28</v>
      </c>
      <c r="B80" s="16">
        <f t="shared" si="2"/>
        <v>95</v>
      </c>
      <c r="C80" s="34">
        <f t="shared" si="3"/>
        <v>0.21730975999999999</v>
      </c>
      <c r="D80" s="34">
        <f t="shared" si="12"/>
        <v>0.18645402830614852</v>
      </c>
      <c r="E80" s="34">
        <f t="shared" si="4"/>
        <v>0.15920118999999999</v>
      </c>
      <c r="F80" s="34">
        <f t="shared" si="13"/>
        <v>0.33020194990228485</v>
      </c>
      <c r="G80" s="34">
        <f t="shared" si="5"/>
        <v>0.104591187488</v>
      </c>
      <c r="H80" s="34">
        <f t="shared" si="14"/>
        <v>0.45711414647030968</v>
      </c>
      <c r="I80" s="34">
        <f t="shared" si="6"/>
        <v>0.18645402830614852</v>
      </c>
      <c r="J80" s="34">
        <f t="shared" si="7"/>
        <v>0.37378925821099324</v>
      </c>
      <c r="K80" s="34">
        <f t="shared" si="8"/>
        <v>1</v>
      </c>
      <c r="L80" s="34">
        <f t="shared" si="9"/>
        <v>1.7526493509115091</v>
      </c>
      <c r="M80" s="15">
        <f t="shared" si="15"/>
        <v>1070.8754980498397</v>
      </c>
      <c r="N80" s="15">
        <f t="shared" si="16"/>
        <v>1400.9288339068505</v>
      </c>
      <c r="O80" s="15">
        <f t="shared" si="17"/>
        <v>1827.8629057875789</v>
      </c>
      <c r="P80" s="15">
        <f t="shared" si="18"/>
        <v>1896.47378912101</v>
      </c>
      <c r="Q80" s="15">
        <f t="shared" si="19"/>
        <v>2480.9838480444446</v>
      </c>
      <c r="R80" s="15">
        <f t="shared" si="20"/>
        <v>3237.0654639549657</v>
      </c>
      <c r="S80" s="15">
        <f t="shared" si="21"/>
        <v>2625.3781895409879</v>
      </c>
      <c r="T80" s="15">
        <f t="shared" si="22"/>
        <v>3434.5430559724668</v>
      </c>
      <c r="U80" s="15">
        <f t="shared" si="23"/>
        <v>4481.2225277960188</v>
      </c>
      <c r="V80" s="15">
        <f t="shared" si="24"/>
        <v>0</v>
      </c>
      <c r="W80" s="15">
        <f t="shared" si="25"/>
        <v>0</v>
      </c>
      <c r="X80" s="15">
        <f t="shared" si="26"/>
        <v>0</v>
      </c>
      <c r="Y80" s="15">
        <f t="shared" si="27"/>
        <v>0</v>
      </c>
      <c r="Z80" s="15">
        <f t="shared" si="28"/>
        <v>5743.3754999999992</v>
      </c>
      <c r="AA80" s="15">
        <f t="shared" si="29"/>
        <v>5743.3754999999992</v>
      </c>
      <c r="AB80" s="15">
        <f t="shared" si="30"/>
        <v>0</v>
      </c>
      <c r="AC80" s="15">
        <f t="shared" si="31"/>
        <v>0</v>
      </c>
      <c r="AD80" s="15">
        <f t="shared" si="32"/>
        <v>0</v>
      </c>
      <c r="AE80" s="15">
        <f t="shared" si="33"/>
        <v>0</v>
      </c>
      <c r="AF80" s="15">
        <f t="shared" si="34"/>
        <v>5188.8483798373818</v>
      </c>
      <c r="AG80" s="15">
        <f t="shared" si="35"/>
        <v>5188.8483798373818</v>
      </c>
      <c r="AJ80" s="33">
        <v>68</v>
      </c>
      <c r="AK80" s="35">
        <v>1.2846049999999999E-2</v>
      </c>
      <c r="AL80" s="35">
        <v>7.3501900000000004E-3</v>
      </c>
      <c r="AM80" s="34">
        <f t="shared" si="11"/>
        <v>7.3501900000000004E-3</v>
      </c>
    </row>
    <row r="81" spans="1:39">
      <c r="A81" s="33">
        <v>29</v>
      </c>
      <c r="B81" s="16">
        <f t="shared" si="2"/>
        <v>96</v>
      </c>
      <c r="C81" s="34">
        <f t="shared" si="3"/>
        <v>0.23976866999999999</v>
      </c>
      <c r="D81" s="34">
        <f t="shared" si="12"/>
        <v>0.14593574816390617</v>
      </c>
      <c r="E81" s="34">
        <f t="shared" si="4"/>
        <v>0.17734</v>
      </c>
      <c r="F81" s="34">
        <f t="shared" si="13"/>
        <v>0.27763340653752072</v>
      </c>
      <c r="G81" s="34">
        <f t="shared" si="5"/>
        <v>0.115400660871</v>
      </c>
      <c r="H81" s="34">
        <f t="shared" si="14"/>
        <v>0.40930403507341645</v>
      </c>
      <c r="I81" s="34">
        <f t="shared" si="6"/>
        <v>0.14593574816390617</v>
      </c>
      <c r="J81" s="34">
        <f t="shared" si="7"/>
        <v>0.3608805605597703</v>
      </c>
      <c r="K81" s="34">
        <f t="shared" si="8"/>
        <v>1</v>
      </c>
      <c r="L81" s="34">
        <f t="shared" si="9"/>
        <v>1.7894549872806502</v>
      </c>
      <c r="M81" s="15">
        <f t="shared" si="15"/>
        <v>838.16380057874858</v>
      </c>
      <c r="N81" s="15">
        <f t="shared" si="16"/>
        <v>1107.4582584858076</v>
      </c>
      <c r="O81" s="15">
        <f t="shared" si="17"/>
        <v>1459.2634655463373</v>
      </c>
      <c r="P81" s="15">
        <f t="shared" si="18"/>
        <v>1594.5529050891362</v>
      </c>
      <c r="Q81" s="15">
        <f t="shared" si="19"/>
        <v>2106.8683497356401</v>
      </c>
      <c r="R81" s="15">
        <f t="shared" si="20"/>
        <v>2776.1552057851422</v>
      </c>
      <c r="S81" s="15">
        <f t="shared" si="21"/>
        <v>2350.7867670918004</v>
      </c>
      <c r="T81" s="15">
        <f t="shared" si="22"/>
        <v>3106.0733204623389</v>
      </c>
      <c r="U81" s="15">
        <f t="shared" si="23"/>
        <v>4092.7766650601739</v>
      </c>
      <c r="V81" s="15">
        <f t="shared" si="24"/>
        <v>0</v>
      </c>
      <c r="W81" s="15">
        <f t="shared" si="25"/>
        <v>0</v>
      </c>
      <c r="X81" s="15">
        <f t="shared" si="26"/>
        <v>0</v>
      </c>
      <c r="Y81" s="15">
        <f t="shared" si="27"/>
        <v>0</v>
      </c>
      <c r="Z81" s="15">
        <f t="shared" si="28"/>
        <v>0</v>
      </c>
      <c r="AA81" s="15">
        <f t="shared" si="29"/>
        <v>5743.3754999999992</v>
      </c>
      <c r="AB81" s="15">
        <f t="shared" si="30"/>
        <v>0</v>
      </c>
      <c r="AC81" s="15">
        <f t="shared" si="31"/>
        <v>0</v>
      </c>
      <c r="AD81" s="15">
        <f t="shared" si="32"/>
        <v>0</v>
      </c>
      <c r="AE81" s="15">
        <f t="shared" si="33"/>
        <v>0</v>
      </c>
      <c r="AF81" s="15">
        <f t="shared" si="34"/>
        <v>0</v>
      </c>
      <c r="AG81" s="15">
        <f t="shared" si="35"/>
        <v>5188.8483798373818</v>
      </c>
      <c r="AJ81" s="33">
        <v>69</v>
      </c>
      <c r="AK81" s="35">
        <v>1.416101E-2</v>
      </c>
      <c r="AL81" s="35">
        <v>8.0718000000000005E-3</v>
      </c>
      <c r="AM81" s="34">
        <f t="shared" si="11"/>
        <v>8.0718000000000005E-3</v>
      </c>
    </row>
    <row r="82" spans="1:39">
      <c r="A82" s="33">
        <v>30</v>
      </c>
      <c r="B82" s="16">
        <f t="shared" si="2"/>
        <v>97</v>
      </c>
      <c r="C82" s="34">
        <f t="shared" si="3"/>
        <v>0.26281844999999998</v>
      </c>
      <c r="D82" s="34">
        <f t="shared" si="12"/>
        <v>0.11094492792119144</v>
      </c>
      <c r="E82" s="34">
        <f t="shared" si="4"/>
        <v>0.19681032000000001</v>
      </c>
      <c r="F82" s="34">
        <f t="shared" si="13"/>
        <v>0.22839789822215678</v>
      </c>
      <c r="G82" s="34">
        <f t="shared" si="5"/>
        <v>0.126494519985</v>
      </c>
      <c r="H82" s="34">
        <f t="shared" si="14"/>
        <v>0.36207007892877724</v>
      </c>
      <c r="I82" s="34">
        <f t="shared" si="6"/>
        <v>0.11094492792119144</v>
      </c>
      <c r="J82" s="34">
        <f t="shared" si="7"/>
        <v>0.34841766083181619</v>
      </c>
      <c r="K82" s="34">
        <f t="shared" si="8"/>
        <v>1</v>
      </c>
      <c r="L82" s="34">
        <f t="shared" si="9"/>
        <v>1.8270335420135435</v>
      </c>
      <c r="M82" s="15">
        <f t="shared" si="15"/>
        <v>637.19838087183678</v>
      </c>
      <c r="N82" s="15">
        <f t="shared" si="16"/>
        <v>850.34370941583074</v>
      </c>
      <c r="O82" s="15">
        <f t="shared" si="17"/>
        <v>1131.5653613373549</v>
      </c>
      <c r="P82" s="15">
        <f t="shared" si="18"/>
        <v>1311.7748929006286</v>
      </c>
      <c r="Q82" s="15">
        <f t="shared" si="19"/>
        <v>1750.5686797594567</v>
      </c>
      <c r="R82" s="15">
        <f t="shared" si="20"/>
        <v>2329.5084784230285</v>
      </c>
      <c r="S82" s="15">
        <f t="shared" si="21"/>
        <v>2079.504420602605</v>
      </c>
      <c r="T82" s="15">
        <f t="shared" si="22"/>
        <v>2775.1067106328755</v>
      </c>
      <c r="U82" s="15">
        <f t="shared" si="23"/>
        <v>3692.8768837771181</v>
      </c>
      <c r="V82" s="15">
        <f t="shared" si="24"/>
        <v>0</v>
      </c>
      <c r="W82" s="15">
        <f t="shared" si="25"/>
        <v>0</v>
      </c>
      <c r="X82" s="15">
        <f t="shared" si="26"/>
        <v>0</v>
      </c>
      <c r="Y82" s="15">
        <f t="shared" si="27"/>
        <v>0</v>
      </c>
      <c r="Z82" s="15">
        <f t="shared" si="28"/>
        <v>0</v>
      </c>
      <c r="AA82" s="15">
        <f t="shared" si="29"/>
        <v>5743.3754999999992</v>
      </c>
      <c r="AB82" s="15">
        <f t="shared" si="30"/>
        <v>0</v>
      </c>
      <c r="AC82" s="15">
        <f t="shared" si="31"/>
        <v>0</v>
      </c>
      <c r="AD82" s="15">
        <f t="shared" si="32"/>
        <v>0</v>
      </c>
      <c r="AE82" s="15">
        <f t="shared" si="33"/>
        <v>0</v>
      </c>
      <c r="AF82" s="15">
        <f t="shared" si="34"/>
        <v>0</v>
      </c>
      <c r="AG82" s="15">
        <f t="shared" si="35"/>
        <v>5188.8483798373818</v>
      </c>
      <c r="AJ82" s="33">
        <v>70</v>
      </c>
      <c r="AK82" s="35">
        <v>1.537315E-2</v>
      </c>
      <c r="AL82" s="35">
        <v>8.9344899999999998E-3</v>
      </c>
      <c r="AM82" s="34">
        <f t="shared" si="11"/>
        <v>8.9344899999999998E-3</v>
      </c>
    </row>
    <row r="83" spans="1:39">
      <c r="A83" s="33">
        <v>31</v>
      </c>
      <c r="B83" s="16">
        <f t="shared" si="2"/>
        <v>98</v>
      </c>
      <c r="C83" s="34">
        <f t="shared" si="3"/>
        <v>0.28771509000000001</v>
      </c>
      <c r="D83" s="34">
        <f t="shared" si="12"/>
        <v>8.1786553929582187E-2</v>
      </c>
      <c r="E83" s="34">
        <f t="shared" si="4"/>
        <v>0.21730975999999999</v>
      </c>
      <c r="F83" s="34">
        <f t="shared" si="13"/>
        <v>0.18344683478572668</v>
      </c>
      <c r="G83" s="34">
        <f t="shared" si="5"/>
        <v>0.13847727281700001</v>
      </c>
      <c r="H83" s="34">
        <f t="shared" si="14"/>
        <v>0.31627019809375045</v>
      </c>
      <c r="I83" s="34">
        <f t="shared" si="6"/>
        <v>8.1786553929582187E-2</v>
      </c>
      <c r="J83" s="34">
        <f t="shared" si="7"/>
        <v>0.336385163532267</v>
      </c>
      <c r="K83" s="34">
        <f t="shared" si="8"/>
        <v>1</v>
      </c>
      <c r="L83" s="34">
        <f t="shared" si="9"/>
        <v>1.865401246395828</v>
      </c>
      <c r="M83" s="15">
        <f t="shared" si="15"/>
        <v>469.73089006859101</v>
      </c>
      <c r="N83" s="15">
        <f t="shared" si="16"/>
        <v>633.12627067731103</v>
      </c>
      <c r="O83" s="15">
        <f t="shared" si="17"/>
        <v>850.85248913692124</v>
      </c>
      <c r="P83" s="15">
        <f t="shared" si="18"/>
        <v>1053.6040564608902</v>
      </c>
      <c r="Q83" s="15">
        <f t="shared" si="19"/>
        <v>1420.0990846911611</v>
      </c>
      <c r="R83" s="15">
        <f t="shared" si="20"/>
        <v>1908.4579127287172</v>
      </c>
      <c r="S83" s="15">
        <f t="shared" si="21"/>
        <v>1816.4585071117929</v>
      </c>
      <c r="T83" s="15">
        <f t="shared" si="22"/>
        <v>2448.3116285578603</v>
      </c>
      <c r="U83" s="15">
        <f t="shared" si="23"/>
        <v>3290.2631589000298</v>
      </c>
      <c r="V83" s="15">
        <f t="shared" si="24"/>
        <v>0</v>
      </c>
      <c r="W83" s="15">
        <f t="shared" si="25"/>
        <v>0</v>
      </c>
      <c r="X83" s="15">
        <f t="shared" si="26"/>
        <v>0</v>
      </c>
      <c r="Y83" s="15">
        <f t="shared" si="27"/>
        <v>0</v>
      </c>
      <c r="Z83" s="15">
        <f t="shared" si="28"/>
        <v>0</v>
      </c>
      <c r="AA83" s="15">
        <f t="shared" si="29"/>
        <v>5743.3754999999992</v>
      </c>
      <c r="AB83" s="15">
        <f t="shared" si="30"/>
        <v>0</v>
      </c>
      <c r="AC83" s="15">
        <f t="shared" si="31"/>
        <v>0</v>
      </c>
      <c r="AD83" s="15">
        <f t="shared" si="32"/>
        <v>0</v>
      </c>
      <c r="AE83" s="15">
        <f t="shared" si="33"/>
        <v>0</v>
      </c>
      <c r="AF83" s="15">
        <f t="shared" si="34"/>
        <v>0</v>
      </c>
      <c r="AG83" s="15">
        <f t="shared" si="35"/>
        <v>5188.8483798373818</v>
      </c>
      <c r="AJ83" s="33">
        <v>71</v>
      </c>
      <c r="AK83" s="35">
        <v>1.7143640000000002E-2</v>
      </c>
      <c r="AL83" s="35">
        <v>9.9540699999999989E-3</v>
      </c>
      <c r="AM83" s="34">
        <f t="shared" si="11"/>
        <v>9.9540699999999989E-3</v>
      </c>
    </row>
    <row r="84" spans="1:39">
      <c r="A84" s="33">
        <v>32</v>
      </c>
      <c r="B84" s="16">
        <f t="shared" ref="B84:B115" si="36">Eta+A84</f>
        <v>99</v>
      </c>
      <c r="C84" s="34">
        <f t="shared" ref="C84:C115" si="37">IFERROR(INDEX($AM$52:$AM$131,MATCH(B84,$AJ$52:$AJ$131,0)),1)</f>
        <v>0.31494684000000001</v>
      </c>
      <c r="D84" s="34">
        <f t="shared" si="12"/>
        <v>5.8255328204942593E-2</v>
      </c>
      <c r="E84" s="34">
        <f t="shared" ref="E84:E115" si="38">IFERROR(INDEX($AM$52:$AM$131,MATCH(B84-Tav_anni_meno,$AJ$52:$AJ$131,0)),1)</f>
        <v>0.23976866999999999</v>
      </c>
      <c r="F84" s="34">
        <f t="shared" si="13"/>
        <v>0.14358204714568076</v>
      </c>
      <c r="G84" s="34">
        <f t="shared" ref="G84:G115" si="39">MIN(1,C84*Tav_f)</f>
        <v>0.151583914092</v>
      </c>
      <c r="H84" s="34">
        <f t="shared" si="14"/>
        <v>0.27247396358843551</v>
      </c>
      <c r="I84" s="34">
        <f t="shared" ref="I84:I115" si="40">CHOOSE(Tav_sel,D84,F84,H84)</f>
        <v>5.8255328204942593E-2</v>
      </c>
      <c r="J84" s="34">
        <f t="shared" ref="J84:J115" si="41">(1+Sconto_d)^-A84</f>
        <v>0.32476820484496266</v>
      </c>
      <c r="K84" s="34">
        <f t="shared" ref="K84:K115" si="42">(1+g_rata)^(A84-1)</f>
        <v>1</v>
      </c>
      <c r="L84" s="34">
        <f t="shared" ref="L84:L115" si="43">(1+g_due)^(A84-1)</f>
        <v>1.90457467257014</v>
      </c>
      <c r="M84" s="15">
        <f t="shared" si="15"/>
        <v>334.58222475672619</v>
      </c>
      <c r="N84" s="15">
        <f t="shared" si="16"/>
        <v>455.47595161530415</v>
      </c>
      <c r="O84" s="15">
        <f t="shared" si="17"/>
        <v>618.1703764211311</v>
      </c>
      <c r="P84" s="15">
        <f t="shared" si="18"/>
        <v>824.6456118163477</v>
      </c>
      <c r="Q84" s="15">
        <f t="shared" si="19"/>
        <v>1122.6126703549119</v>
      </c>
      <c r="R84" s="15">
        <f t="shared" si="20"/>
        <v>1523.606009378409</v>
      </c>
      <c r="S84" s="15">
        <f t="shared" si="21"/>
        <v>1564.9202868617124</v>
      </c>
      <c r="T84" s="15">
        <f t="shared" si="22"/>
        <v>2130.3688723413088</v>
      </c>
      <c r="U84" s="15">
        <f t="shared" si="23"/>
        <v>2891.3292196014108</v>
      </c>
      <c r="V84" s="15">
        <f t="shared" si="24"/>
        <v>0</v>
      </c>
      <c r="W84" s="15">
        <f t="shared" si="25"/>
        <v>0</v>
      </c>
      <c r="X84" s="15">
        <f t="shared" si="26"/>
        <v>0</v>
      </c>
      <c r="Y84" s="15">
        <f t="shared" si="27"/>
        <v>0</v>
      </c>
      <c r="Z84" s="15">
        <f t="shared" si="28"/>
        <v>0</v>
      </c>
      <c r="AA84" s="15">
        <f t="shared" si="29"/>
        <v>5743.3754999999992</v>
      </c>
      <c r="AB84" s="15">
        <f t="shared" si="30"/>
        <v>0</v>
      </c>
      <c r="AC84" s="15">
        <f t="shared" si="31"/>
        <v>0</v>
      </c>
      <c r="AD84" s="15">
        <f t="shared" si="32"/>
        <v>0</v>
      </c>
      <c r="AE84" s="15">
        <f t="shared" si="33"/>
        <v>0</v>
      </c>
      <c r="AF84" s="15">
        <f t="shared" si="34"/>
        <v>0</v>
      </c>
      <c r="AG84" s="15">
        <f t="shared" si="35"/>
        <v>5188.8483798373818</v>
      </c>
      <c r="AJ84" s="33">
        <v>72</v>
      </c>
      <c r="AK84" s="35">
        <v>1.9033370000000001E-2</v>
      </c>
      <c r="AL84" s="35">
        <v>1.1118390000000001E-2</v>
      </c>
      <c r="AM84" s="34">
        <f t="shared" ref="AM84:AM115" si="44">IF(Sesso="F",AL84,AK84)</f>
        <v>1.1118390000000001E-2</v>
      </c>
    </row>
    <row r="85" spans="1:39">
      <c r="A85" s="33">
        <v>33</v>
      </c>
      <c r="B85" s="16">
        <f t="shared" si="36"/>
        <v>100</v>
      </c>
      <c r="C85" s="34">
        <f t="shared" si="37"/>
        <v>0.34447652000000001</v>
      </c>
      <c r="D85" s="34">
        <f t="shared" ref="D85:D121" si="45">D84*(1-C84)</f>
        <v>3.9907996673633053E-2</v>
      </c>
      <c r="E85" s="34">
        <f t="shared" si="38"/>
        <v>0.26281844999999998</v>
      </c>
      <c r="F85" s="34">
        <f t="shared" ref="F85:F121" si="46">F84*(1-E84)</f>
        <v>0.10915557066568359</v>
      </c>
      <c r="G85" s="34">
        <f t="shared" si="39"/>
        <v>0.165796549076</v>
      </c>
      <c r="H85" s="34">
        <f t="shared" ref="H85:H121" si="47">H84*(1-G84)</f>
        <v>0.23117129369953937</v>
      </c>
      <c r="I85" s="34">
        <f t="shared" si="40"/>
        <v>3.9907996673633053E-2</v>
      </c>
      <c r="J85" s="34">
        <f t="shared" si="41"/>
        <v>0.31355243427108587</v>
      </c>
      <c r="K85" s="34">
        <f t="shared" si="42"/>
        <v>1</v>
      </c>
      <c r="L85" s="34">
        <f t="shared" si="43"/>
        <v>1.9445707406941128</v>
      </c>
      <c r="M85" s="15">
        <f t="shared" ref="M85:M121" si="48">Rata_base*(1+g_att_1)^(A85-1)*D85</f>
        <v>229.20661034942555</v>
      </c>
      <c r="N85" s="15">
        <f t="shared" ref="N85:N121" si="49">Rata_base*(1+g_att_2)^(A85-1)*D85</f>
        <v>315.14549235765207</v>
      </c>
      <c r="O85" s="15">
        <f t="shared" ref="O85:O121" si="50">Rata_base*(1+g_att_3)^(A85-1)*D85</f>
        <v>431.94916118139918</v>
      </c>
      <c r="P85" s="15">
        <f t="shared" ref="P85:P121" si="51">Rata_base*(1+g_att_1)^(A85-1)*F85</f>
        <v>626.92143024980567</v>
      </c>
      <c r="Q85" s="15">
        <f t="shared" ref="Q85:Q121" si="52">Rata_base*(1+g_att_2)^(A85-1)*F85</f>
        <v>861.9797766933541</v>
      </c>
      <c r="R85" s="15">
        <f t="shared" ref="R85:R121" si="53">Rata_base*(1+g_att_3)^(A85-1)*F85</f>
        <v>1181.4588833638554</v>
      </c>
      <c r="S85" s="15">
        <f t="shared" ref="S85:S121" si="54">Rata_base*(1+g_att_1)^(A85-1)*H85</f>
        <v>1327.7035445372385</v>
      </c>
      <c r="T85" s="15">
        <f t="shared" ref="T85:T121" si="55">Rata_base*(1+g_att_2)^(A85-1)*H85</f>
        <v>1825.5136124141743</v>
      </c>
      <c r="U85" s="15">
        <f t="shared" ref="U85:U121" si="56">Rata_base*(1+g_att_3)^(A85-1)*H85</f>
        <v>2502.1112239569752</v>
      </c>
      <c r="V85" s="15">
        <f t="shared" ref="V85:V121" si="57">IF(A85&lt;=$A$25-Eta,Rata_base*(1+g_rata)^(A85-1),0)</f>
        <v>0</v>
      </c>
      <c r="W85" s="15">
        <f t="shared" ref="W85:W121" si="58">IF(A85&lt;=$A$26-Eta,Rata_base*(1+g_rata)^(A85-1),0)</f>
        <v>0</v>
      </c>
      <c r="X85" s="15">
        <f t="shared" ref="X85:X121" si="59">IF(A85&lt;=$A$27-Eta,Rata_base*(1+g_rata)^(A85-1),0)</f>
        <v>0</v>
      </c>
      <c r="Y85" s="15">
        <f t="shared" ref="Y85:Y121" si="60">IF(A85&lt;=$A$28-Eta,Rata_base*(1+g_rata)^(A85-1),0)</f>
        <v>0</v>
      </c>
      <c r="Z85" s="15">
        <f t="shared" ref="Z85:Z121" si="61">IF(A85&lt;=$A$29-Eta,Rata_base*(1+g_rata)^(A85-1),0)</f>
        <v>0</v>
      </c>
      <c r="AA85" s="15">
        <f t="shared" ref="AA85:AA121" si="62">IF(A85&lt;=$A$30-Eta,Rata_base*(1+g_rata)^(A85-1),0)</f>
        <v>5743.3754999999992</v>
      </c>
      <c r="AB85" s="15">
        <f t="shared" ref="AB85:AB121" si="63">IF(A85&lt;=$A$25-Eta,Rata_base*(1-Aliq_eff)+Rata_base*((1+g_rata)^(A85-1)-1)*(1-Aliq_rend),0)</f>
        <v>0</v>
      </c>
      <c r="AC85" s="15">
        <f t="shared" ref="AC85:AC121" si="64">IF(A85&lt;=$A$26-Eta,Rata_base*(1-Aliq_eff)+Rata_base*((1+g_rata)^(A85-1)-1)*(1-Aliq_rend),0)</f>
        <v>0</v>
      </c>
      <c r="AD85" s="15">
        <f t="shared" ref="AD85:AD121" si="65">IF(A85&lt;=$A$27-Eta,Rata_base*(1-Aliq_eff)+Rata_base*((1+g_rata)^(A85-1)-1)*(1-Aliq_rend),0)</f>
        <v>0</v>
      </c>
      <c r="AE85" s="15">
        <f t="shared" ref="AE85:AE121" si="66">IF(A85&lt;=$A$28-Eta,Rata_base*(1-Aliq_eff)+Rata_base*((1+g_rata)^(A85-1)-1)*(1-Aliq_rend),0)</f>
        <v>0</v>
      </c>
      <c r="AF85" s="15">
        <f t="shared" ref="AF85:AF121" si="67">IF(A85&lt;=$A$29-Eta,Rata_base*(1-Aliq_eff)+Rata_base*((1+g_rata)^(A85-1)-1)*(1-Aliq_rend),0)</f>
        <v>0</v>
      </c>
      <c r="AG85" s="15">
        <f t="shared" ref="AG85:AG121" si="68">IF(A85&lt;=$A$30-Eta,Rata_base*(1-Aliq_eff)+Rata_base*((1+g_rata)^(A85-1)-1)*(1-Aliq_rend),0)</f>
        <v>5188.8483798373818</v>
      </c>
      <c r="AJ85" s="33">
        <v>73</v>
      </c>
      <c r="AK85" s="35">
        <v>2.1382660000000001E-2</v>
      </c>
      <c r="AL85" s="35">
        <v>1.2565959999999999E-2</v>
      </c>
      <c r="AM85" s="34">
        <f t="shared" si="44"/>
        <v>1.2565959999999999E-2</v>
      </c>
    </row>
    <row r="86" spans="1:39">
      <c r="A86" s="33">
        <v>34</v>
      </c>
      <c r="B86" s="16">
        <f t="shared" si="36"/>
        <v>101</v>
      </c>
      <c r="C86" s="34">
        <f t="shared" si="37"/>
        <v>0.37610078000000002</v>
      </c>
      <c r="D86" s="34">
        <f t="shared" si="45"/>
        <v>2.6160628859328364E-2</v>
      </c>
      <c r="E86" s="34">
        <f t="shared" si="38"/>
        <v>0.28771509000000001</v>
      </c>
      <c r="F86" s="34">
        <f t="shared" si="46"/>
        <v>8.0467472774463158E-2</v>
      </c>
      <c r="G86" s="34">
        <f t="shared" si="39"/>
        <v>0.18101730541400002</v>
      </c>
      <c r="H86" s="34">
        <f t="shared" si="47"/>
        <v>0.19284389095872126</v>
      </c>
      <c r="I86" s="34">
        <f t="shared" si="40"/>
        <v>2.6160628859328364E-2</v>
      </c>
      <c r="J86" s="34">
        <f t="shared" si="41"/>
        <v>0.30272399690190471</v>
      </c>
      <c r="K86" s="34">
        <f t="shared" si="42"/>
        <v>1</v>
      </c>
      <c r="L86" s="34">
        <f t="shared" si="43"/>
        <v>1.985406726248689</v>
      </c>
      <c r="M86" s="15">
        <f t="shared" si="48"/>
        <v>150.25031485525946</v>
      </c>
      <c r="N86" s="15">
        <f t="shared" si="49"/>
        <v>208.65112255516749</v>
      </c>
      <c r="O86" s="15">
        <f t="shared" si="50"/>
        <v>288.81587366712597</v>
      </c>
      <c r="P86" s="15">
        <f t="shared" si="51"/>
        <v>462.15491167976865</v>
      </c>
      <c r="Q86" s="15">
        <f t="shared" si="52"/>
        <v>641.78994372997522</v>
      </c>
      <c r="R86" s="15">
        <f t="shared" si="53"/>
        <v>888.36868471742503</v>
      </c>
      <c r="S86" s="15">
        <f t="shared" si="54"/>
        <v>1107.5748786569911</v>
      </c>
      <c r="T86" s="15">
        <f t="shared" si="55"/>
        <v>1538.0782527364877</v>
      </c>
      <c r="U86" s="15">
        <f t="shared" si="56"/>
        <v>2129.0152139729939</v>
      </c>
      <c r="V86" s="15">
        <f t="shared" si="57"/>
        <v>0</v>
      </c>
      <c r="W86" s="15">
        <f t="shared" si="58"/>
        <v>0</v>
      </c>
      <c r="X86" s="15">
        <f t="shared" si="59"/>
        <v>0</v>
      </c>
      <c r="Y86" s="15">
        <f t="shared" si="60"/>
        <v>0</v>
      </c>
      <c r="Z86" s="15">
        <f t="shared" si="61"/>
        <v>0</v>
      </c>
      <c r="AA86" s="15">
        <f t="shared" si="62"/>
        <v>0</v>
      </c>
      <c r="AB86" s="15">
        <f t="shared" si="63"/>
        <v>0</v>
      </c>
      <c r="AC86" s="15">
        <f t="shared" si="64"/>
        <v>0</v>
      </c>
      <c r="AD86" s="15">
        <f t="shared" si="65"/>
        <v>0</v>
      </c>
      <c r="AE86" s="15">
        <f t="shared" si="66"/>
        <v>0</v>
      </c>
      <c r="AF86" s="15">
        <f t="shared" si="67"/>
        <v>0</v>
      </c>
      <c r="AG86" s="15">
        <f t="shared" si="68"/>
        <v>0</v>
      </c>
      <c r="AJ86" s="33">
        <v>74</v>
      </c>
      <c r="AK86" s="35">
        <v>2.364865E-2</v>
      </c>
      <c r="AL86" s="35">
        <v>1.4037010000000001E-2</v>
      </c>
      <c r="AM86" s="34">
        <f t="shared" si="44"/>
        <v>1.4037010000000001E-2</v>
      </c>
    </row>
    <row r="87" spans="1:39">
      <c r="A87" s="33">
        <v>35</v>
      </c>
      <c r="B87" s="16">
        <f t="shared" si="36"/>
        <v>102</v>
      </c>
      <c r="C87" s="34">
        <f t="shared" si="37"/>
        <v>0.40733359000000002</v>
      </c>
      <c r="D87" s="34">
        <f t="shared" si="45"/>
        <v>1.6321595940044457E-2</v>
      </c>
      <c r="E87" s="34">
        <f t="shared" si="38"/>
        <v>0.31494684000000001</v>
      </c>
      <c r="F87" s="34">
        <f t="shared" si="46"/>
        <v>5.7315766603085939E-2</v>
      </c>
      <c r="G87" s="34">
        <f t="shared" si="39"/>
        <v>0.19604965686700002</v>
      </c>
      <c r="H87" s="34">
        <f t="shared" si="47"/>
        <v>0.15793580945182228</v>
      </c>
      <c r="I87" s="34">
        <f t="shared" si="40"/>
        <v>1.6321595940044457E-2</v>
      </c>
      <c r="J87" s="34">
        <f t="shared" si="41"/>
        <v>0.29226951630372067</v>
      </c>
      <c r="K87" s="34">
        <f t="shared" si="42"/>
        <v>1</v>
      </c>
      <c r="L87" s="34">
        <f t="shared" si="43"/>
        <v>2.027100267499911</v>
      </c>
      <c r="M87" s="15">
        <f t="shared" si="48"/>
        <v>93.741054242950781</v>
      </c>
      <c r="N87" s="15">
        <f t="shared" si="49"/>
        <v>131.47904534043636</v>
      </c>
      <c r="O87" s="15">
        <f t="shared" si="50"/>
        <v>183.79583827062919</v>
      </c>
      <c r="P87" s="15">
        <f t="shared" si="51"/>
        <v>329.18596967188194</v>
      </c>
      <c r="Q87" s="15">
        <f t="shared" si="52"/>
        <v>461.70866523169656</v>
      </c>
      <c r="R87" s="15">
        <f t="shared" si="53"/>
        <v>645.42704081358477</v>
      </c>
      <c r="S87" s="15">
        <f t="shared" si="54"/>
        <v>907.08465857826445</v>
      </c>
      <c r="T87" s="15">
        <f t="shared" si="55"/>
        <v>1272.256066629358</v>
      </c>
      <c r="U87" s="15">
        <f t="shared" si="56"/>
        <v>1778.4991490892753</v>
      </c>
      <c r="V87" s="15">
        <f t="shared" si="57"/>
        <v>0</v>
      </c>
      <c r="W87" s="15">
        <f t="shared" si="58"/>
        <v>0</v>
      </c>
      <c r="X87" s="15">
        <f t="shared" si="59"/>
        <v>0</v>
      </c>
      <c r="Y87" s="15">
        <f t="shared" si="60"/>
        <v>0</v>
      </c>
      <c r="Z87" s="15">
        <f t="shared" si="61"/>
        <v>0</v>
      </c>
      <c r="AA87" s="15">
        <f t="shared" si="62"/>
        <v>0</v>
      </c>
      <c r="AB87" s="15">
        <f t="shared" si="63"/>
        <v>0</v>
      </c>
      <c r="AC87" s="15">
        <f t="shared" si="64"/>
        <v>0</v>
      </c>
      <c r="AD87" s="15">
        <f t="shared" si="65"/>
        <v>0</v>
      </c>
      <c r="AE87" s="15">
        <f t="shared" si="66"/>
        <v>0</v>
      </c>
      <c r="AF87" s="15">
        <f t="shared" si="67"/>
        <v>0</v>
      </c>
      <c r="AG87" s="15">
        <f t="shared" si="68"/>
        <v>0</v>
      </c>
      <c r="AJ87" s="33">
        <v>75</v>
      </c>
      <c r="AK87" s="35">
        <v>2.6571379999999999E-2</v>
      </c>
      <c r="AL87" s="35">
        <v>1.5880169999999999E-2</v>
      </c>
      <c r="AM87" s="34">
        <f t="shared" si="44"/>
        <v>1.5880169999999999E-2</v>
      </c>
    </row>
    <row r="88" spans="1:39">
      <c r="A88" s="33">
        <v>36</v>
      </c>
      <c r="B88" s="16">
        <f t="shared" si="36"/>
        <v>103</v>
      </c>
      <c r="C88" s="34">
        <f t="shared" si="37"/>
        <v>0.43931974000000001</v>
      </c>
      <c r="D88" s="34">
        <f t="shared" si="45"/>
        <v>9.6732616712567228E-3</v>
      </c>
      <c r="E88" s="34">
        <f t="shared" si="38"/>
        <v>0.34447652000000001</v>
      </c>
      <c r="F88" s="34">
        <f t="shared" si="46"/>
        <v>3.926434702926649E-2</v>
      </c>
      <c r="G88" s="34">
        <f t="shared" si="39"/>
        <v>0.21144459086200001</v>
      </c>
      <c r="H88" s="34">
        <f t="shared" si="47"/>
        <v>0.12697254820178061</v>
      </c>
      <c r="I88" s="34">
        <f t="shared" si="40"/>
        <v>9.6732616712567228E-3</v>
      </c>
      <c r="J88" s="34">
        <f t="shared" si="41"/>
        <v>0.28217607799387956</v>
      </c>
      <c r="K88" s="34">
        <f t="shared" si="42"/>
        <v>1</v>
      </c>
      <c r="L88" s="34">
        <f t="shared" si="43"/>
        <v>2.0696693731174092</v>
      </c>
      <c r="M88" s="15">
        <f t="shared" si="48"/>
        <v>55.557174087784908</v>
      </c>
      <c r="N88" s="15">
        <f t="shared" si="49"/>
        <v>78.702445930065053</v>
      </c>
      <c r="O88" s="15">
        <f t="shared" si="50"/>
        <v>111.10821203361029</v>
      </c>
      <c r="P88" s="15">
        <f t="shared" si="51"/>
        <v>225.50988875138691</v>
      </c>
      <c r="Q88" s="15">
        <f t="shared" si="52"/>
        <v>319.45792991751938</v>
      </c>
      <c r="R88" s="15">
        <f t="shared" si="53"/>
        <v>450.99487053597113</v>
      </c>
      <c r="S88" s="15">
        <f t="shared" si="54"/>
        <v>729.2510225146757</v>
      </c>
      <c r="T88" s="15">
        <f t="shared" si="55"/>
        <v>1033.05900833291</v>
      </c>
      <c r="U88" s="15">
        <f t="shared" si="56"/>
        <v>1458.4215011955125</v>
      </c>
      <c r="V88" s="15">
        <f t="shared" si="57"/>
        <v>0</v>
      </c>
      <c r="W88" s="15">
        <f t="shared" si="58"/>
        <v>0</v>
      </c>
      <c r="X88" s="15">
        <f t="shared" si="59"/>
        <v>0</v>
      </c>
      <c r="Y88" s="15">
        <f t="shared" si="60"/>
        <v>0</v>
      </c>
      <c r="Z88" s="15">
        <f t="shared" si="61"/>
        <v>0</v>
      </c>
      <c r="AA88" s="15">
        <f t="shared" si="62"/>
        <v>0</v>
      </c>
      <c r="AB88" s="15">
        <f t="shared" si="63"/>
        <v>0</v>
      </c>
      <c r="AC88" s="15">
        <f t="shared" si="64"/>
        <v>0</v>
      </c>
      <c r="AD88" s="15">
        <f t="shared" si="65"/>
        <v>0</v>
      </c>
      <c r="AE88" s="15">
        <f t="shared" si="66"/>
        <v>0</v>
      </c>
      <c r="AF88" s="15">
        <f t="shared" si="67"/>
        <v>0</v>
      </c>
      <c r="AG88" s="15">
        <f t="shared" si="68"/>
        <v>0</v>
      </c>
      <c r="AJ88" s="33">
        <v>76</v>
      </c>
      <c r="AK88" s="35">
        <v>2.8451810000000001E-2</v>
      </c>
      <c r="AL88" s="35">
        <v>1.7214400000000001E-2</v>
      </c>
      <c r="AM88" s="34">
        <f t="shared" si="44"/>
        <v>1.7214400000000001E-2</v>
      </c>
    </row>
    <row r="89" spans="1:39">
      <c r="A89" s="33">
        <v>37</v>
      </c>
      <c r="B89" s="16">
        <f t="shared" si="36"/>
        <v>104</v>
      </c>
      <c r="C89" s="34">
        <f t="shared" si="37"/>
        <v>0.47180672000000001</v>
      </c>
      <c r="D89" s="34">
        <f t="shared" si="45"/>
        <v>5.423606868888254E-3</v>
      </c>
      <c r="E89" s="34">
        <f t="shared" si="38"/>
        <v>0.37610078000000002</v>
      </c>
      <c r="F89" s="34">
        <f t="shared" si="46"/>
        <v>2.5738701404552432E-2</v>
      </c>
      <c r="G89" s="34">
        <f t="shared" si="39"/>
        <v>0.22708057433600001</v>
      </c>
      <c r="H89" s="34">
        <f t="shared" si="47"/>
        <v>0.10012488969654953</v>
      </c>
      <c r="I89" s="34">
        <f t="shared" si="40"/>
        <v>5.423606868888254E-3</v>
      </c>
      <c r="J89" s="34">
        <f t="shared" si="41"/>
        <v>0.27243121348743404</v>
      </c>
      <c r="K89" s="34">
        <f t="shared" si="42"/>
        <v>1</v>
      </c>
      <c r="L89" s="34">
        <f t="shared" si="43"/>
        <v>2.1131324299528744</v>
      </c>
      <c r="M89" s="15">
        <f t="shared" si="48"/>
        <v>31.149810812404507</v>
      </c>
      <c r="N89" s="15">
        <f t="shared" si="49"/>
        <v>44.568176925171869</v>
      </c>
      <c r="O89" s="15">
        <f t="shared" si="50"/>
        <v>63.542104835362537</v>
      </c>
      <c r="P89" s="15">
        <f t="shared" si="51"/>
        <v>147.82702704872202</v>
      </c>
      <c r="Q89" s="15">
        <f t="shared" si="52"/>
        <v>211.50629567245974</v>
      </c>
      <c r="R89" s="15">
        <f t="shared" si="53"/>
        <v>301.55048153580702</v>
      </c>
      <c r="S89" s="15">
        <f t="shared" si="54"/>
        <v>575.05483842336491</v>
      </c>
      <c r="T89" s="15">
        <f t="shared" si="55"/>
        <v>822.77051166945103</v>
      </c>
      <c r="U89" s="15">
        <f t="shared" si="56"/>
        <v>1173.0470868423013</v>
      </c>
      <c r="V89" s="15">
        <f t="shared" si="57"/>
        <v>0</v>
      </c>
      <c r="W89" s="15">
        <f t="shared" si="58"/>
        <v>0</v>
      </c>
      <c r="X89" s="15">
        <f t="shared" si="59"/>
        <v>0</v>
      </c>
      <c r="Y89" s="15">
        <f t="shared" si="60"/>
        <v>0</v>
      </c>
      <c r="Z89" s="15">
        <f t="shared" si="61"/>
        <v>0</v>
      </c>
      <c r="AA89" s="15">
        <f t="shared" si="62"/>
        <v>0</v>
      </c>
      <c r="AB89" s="15">
        <f t="shared" si="63"/>
        <v>0</v>
      </c>
      <c r="AC89" s="15">
        <f t="shared" si="64"/>
        <v>0</v>
      </c>
      <c r="AD89" s="15">
        <f t="shared" si="65"/>
        <v>0</v>
      </c>
      <c r="AE89" s="15">
        <f t="shared" si="66"/>
        <v>0</v>
      </c>
      <c r="AF89" s="15">
        <f t="shared" si="67"/>
        <v>0</v>
      </c>
      <c r="AG89" s="15">
        <f t="shared" si="68"/>
        <v>0</v>
      </c>
      <c r="AJ89" s="33">
        <v>77</v>
      </c>
      <c r="AK89" s="35">
        <v>3.1468589999999998E-2</v>
      </c>
      <c r="AL89" s="35">
        <v>1.9033370000000001E-2</v>
      </c>
      <c r="AM89" s="34">
        <f t="shared" si="44"/>
        <v>1.9033370000000001E-2</v>
      </c>
    </row>
    <row r="90" spans="1:39">
      <c r="A90" s="33">
        <v>38</v>
      </c>
      <c r="B90" s="16">
        <f t="shared" si="36"/>
        <v>105</v>
      </c>
      <c r="C90" s="34">
        <f t="shared" si="37"/>
        <v>0.50452679</v>
      </c>
      <c r="D90" s="34">
        <f t="shared" si="45"/>
        <v>2.8647127015086165E-3</v>
      </c>
      <c r="E90" s="34">
        <f t="shared" si="38"/>
        <v>0.40733359000000002</v>
      </c>
      <c r="F90" s="34">
        <f t="shared" si="46"/>
        <v>1.6058355730113168E-2</v>
      </c>
      <c r="G90" s="34">
        <f t="shared" si="39"/>
        <v>0.242828744027</v>
      </c>
      <c r="H90" s="34">
        <f t="shared" si="47"/>
        <v>7.7388472238928419E-2</v>
      </c>
      <c r="I90" s="34">
        <f t="shared" si="40"/>
        <v>2.8647127015086165E-3</v>
      </c>
      <c r="J90" s="34">
        <f t="shared" si="41"/>
        <v>0.26302288489474884</v>
      </c>
      <c r="K90" s="34">
        <f t="shared" si="42"/>
        <v>1</v>
      </c>
      <c r="L90" s="34">
        <f t="shared" si="43"/>
        <v>2.1575082109818844</v>
      </c>
      <c r="M90" s="15">
        <f t="shared" si="48"/>
        <v>16.453120744383398</v>
      </c>
      <c r="N90" s="15">
        <f t="shared" si="49"/>
        <v>23.776017669264114</v>
      </c>
      <c r="O90" s="15">
        <f t="shared" si="50"/>
        <v>34.233763026515874</v>
      </c>
      <c r="P90" s="15">
        <f t="shared" si="51"/>
        <v>92.229166870616567</v>
      </c>
      <c r="Q90" s="15">
        <f t="shared" si="52"/>
        <v>133.27819902408839</v>
      </c>
      <c r="R90" s="15">
        <f t="shared" si="53"/>
        <v>191.8998524252307</v>
      </c>
      <c r="S90" s="15">
        <f t="shared" si="54"/>
        <v>444.47105543949158</v>
      </c>
      <c r="T90" s="15">
        <f t="shared" si="55"/>
        <v>642.29466444615582</v>
      </c>
      <c r="U90" s="15">
        <f t="shared" si="56"/>
        <v>924.80429825175941</v>
      </c>
      <c r="V90" s="15">
        <f t="shared" si="57"/>
        <v>0</v>
      </c>
      <c r="W90" s="15">
        <f t="shared" si="58"/>
        <v>0</v>
      </c>
      <c r="X90" s="15">
        <f t="shared" si="59"/>
        <v>0</v>
      </c>
      <c r="Y90" s="15">
        <f t="shared" si="60"/>
        <v>0</v>
      </c>
      <c r="Z90" s="15">
        <f t="shared" si="61"/>
        <v>0</v>
      </c>
      <c r="AA90" s="15">
        <f t="shared" si="62"/>
        <v>0</v>
      </c>
      <c r="AB90" s="15">
        <f t="shared" si="63"/>
        <v>0</v>
      </c>
      <c r="AC90" s="15">
        <f t="shared" si="64"/>
        <v>0</v>
      </c>
      <c r="AD90" s="15">
        <f t="shared" si="65"/>
        <v>0</v>
      </c>
      <c r="AE90" s="15">
        <f t="shared" si="66"/>
        <v>0</v>
      </c>
      <c r="AF90" s="15">
        <f t="shared" si="67"/>
        <v>0</v>
      </c>
      <c r="AG90" s="15">
        <f t="shared" si="68"/>
        <v>0</v>
      </c>
      <c r="AJ90" s="33">
        <v>78</v>
      </c>
      <c r="AK90" s="35">
        <v>3.5563039999999997E-2</v>
      </c>
      <c r="AL90" s="35">
        <v>2.1944149999999999E-2</v>
      </c>
      <c r="AM90" s="34">
        <f t="shared" si="44"/>
        <v>2.1944149999999999E-2</v>
      </c>
    </row>
    <row r="91" spans="1:39">
      <c r="A91" s="33">
        <v>39</v>
      </c>
      <c r="B91" s="16">
        <f t="shared" si="36"/>
        <v>106</v>
      </c>
      <c r="C91" s="34">
        <f t="shared" si="37"/>
        <v>0.53720772999999999</v>
      </c>
      <c r="D91" s="34">
        <f t="shared" si="45"/>
        <v>1.4193883979442461E-3</v>
      </c>
      <c r="E91" s="34">
        <f t="shared" si="38"/>
        <v>0.43931974000000001</v>
      </c>
      <c r="F91" s="34">
        <f t="shared" si="46"/>
        <v>9.5172480410691002E-3</v>
      </c>
      <c r="G91" s="34">
        <f t="shared" si="39"/>
        <v>0.25855808044900003</v>
      </c>
      <c r="H91" s="34">
        <f t="shared" si="47"/>
        <v>5.8596326722981068E-2</v>
      </c>
      <c r="I91" s="34">
        <f t="shared" si="40"/>
        <v>1.4193883979442461E-3</v>
      </c>
      <c r="J91" s="34">
        <f t="shared" si="41"/>
        <v>0.25393947005102374</v>
      </c>
      <c r="K91" s="34">
        <f t="shared" si="42"/>
        <v>1</v>
      </c>
      <c r="L91" s="34">
        <f t="shared" si="43"/>
        <v>2.2028158834125038</v>
      </c>
      <c r="M91" s="15">
        <f t="shared" si="48"/>
        <v>8.1520805497372315</v>
      </c>
      <c r="N91" s="15">
        <f t="shared" si="49"/>
        <v>11.898183593563077</v>
      </c>
      <c r="O91" s="15">
        <f t="shared" si="50"/>
        <v>17.301150706269681</v>
      </c>
      <c r="P91" s="15">
        <f t="shared" si="51"/>
        <v>54.661129226499256</v>
      </c>
      <c r="Q91" s="15">
        <f t="shared" si="52"/>
        <v>79.779406864340686</v>
      </c>
      <c r="R91" s="15">
        <f t="shared" si="53"/>
        <v>116.00724854871913</v>
      </c>
      <c r="S91" s="15">
        <f t="shared" si="54"/>
        <v>336.54070729076471</v>
      </c>
      <c r="T91" s="15">
        <f t="shared" si="55"/>
        <v>491.19032836128684</v>
      </c>
      <c r="U91" s="15">
        <f t="shared" si="56"/>
        <v>714.2399366772438</v>
      </c>
      <c r="V91" s="15">
        <f t="shared" si="57"/>
        <v>0</v>
      </c>
      <c r="W91" s="15">
        <f t="shared" si="58"/>
        <v>0</v>
      </c>
      <c r="X91" s="15">
        <f t="shared" si="59"/>
        <v>0</v>
      </c>
      <c r="Y91" s="15">
        <f t="shared" si="60"/>
        <v>0</v>
      </c>
      <c r="Z91" s="15">
        <f t="shared" si="61"/>
        <v>0</v>
      </c>
      <c r="AA91" s="15">
        <f t="shared" si="62"/>
        <v>0</v>
      </c>
      <c r="AB91" s="15">
        <f t="shared" si="63"/>
        <v>0</v>
      </c>
      <c r="AC91" s="15">
        <f t="shared" si="64"/>
        <v>0</v>
      </c>
      <c r="AD91" s="15">
        <f t="shared" si="65"/>
        <v>0</v>
      </c>
      <c r="AE91" s="15">
        <f t="shared" si="66"/>
        <v>0</v>
      </c>
      <c r="AF91" s="15">
        <f t="shared" si="67"/>
        <v>0</v>
      </c>
      <c r="AG91" s="15">
        <f t="shared" si="68"/>
        <v>0</v>
      </c>
      <c r="AJ91" s="33">
        <v>79</v>
      </c>
      <c r="AK91" s="35">
        <v>4.0605170000000003E-2</v>
      </c>
      <c r="AL91" s="35">
        <v>2.5632289999999999E-2</v>
      </c>
      <c r="AM91" s="34">
        <f t="shared" si="44"/>
        <v>2.5632289999999999E-2</v>
      </c>
    </row>
    <row r="92" spans="1:39">
      <c r="A92" s="33">
        <v>40</v>
      </c>
      <c r="B92" s="16">
        <f t="shared" si="36"/>
        <v>107</v>
      </c>
      <c r="C92" s="34">
        <f t="shared" si="37"/>
        <v>0.56957663999999997</v>
      </c>
      <c r="D92" s="34">
        <f t="shared" si="45"/>
        <v>6.5688197869628103E-4</v>
      </c>
      <c r="E92" s="34">
        <f t="shared" si="38"/>
        <v>0.47180672000000001</v>
      </c>
      <c r="F92" s="34">
        <f t="shared" si="46"/>
        <v>5.3361331061511138E-3</v>
      </c>
      <c r="G92" s="34">
        <f t="shared" si="39"/>
        <v>0.27413723683199998</v>
      </c>
      <c r="H92" s="34">
        <f t="shared" si="47"/>
        <v>4.3445772964124642E-2</v>
      </c>
      <c r="I92" s="34">
        <f t="shared" si="40"/>
        <v>6.5688197869628103E-4</v>
      </c>
      <c r="J92" s="34">
        <f t="shared" si="41"/>
        <v>0.24516974815936327</v>
      </c>
      <c r="K92" s="34">
        <f t="shared" si="42"/>
        <v>1</v>
      </c>
      <c r="L92" s="34">
        <f t="shared" si="43"/>
        <v>2.249075016964166</v>
      </c>
      <c r="M92" s="15">
        <f t="shared" si="48"/>
        <v>3.7727198628357419</v>
      </c>
      <c r="N92" s="15">
        <f t="shared" si="49"/>
        <v>5.561451268083232</v>
      </c>
      <c r="O92" s="15">
        <f t="shared" si="50"/>
        <v>8.1669755851459787</v>
      </c>
      <c r="P92" s="15">
        <f t="shared" si="51"/>
        <v>30.647416146607203</v>
      </c>
      <c r="Q92" s="15">
        <f t="shared" si="52"/>
        <v>45.178045969177752</v>
      </c>
      <c r="R92" s="15">
        <f t="shared" si="53"/>
        <v>66.343833763744044</v>
      </c>
      <c r="S92" s="15">
        <f t="shared" si="54"/>
        <v>249.52538802071581</v>
      </c>
      <c r="T92" s="15">
        <f t="shared" si="55"/>
        <v>367.83099092432923</v>
      </c>
      <c r="U92" s="15">
        <f t="shared" si="56"/>
        <v>540.15877826335941</v>
      </c>
      <c r="V92" s="15">
        <f t="shared" si="57"/>
        <v>0</v>
      </c>
      <c r="W92" s="15">
        <f t="shared" si="58"/>
        <v>0</v>
      </c>
      <c r="X92" s="15">
        <f t="shared" si="59"/>
        <v>0</v>
      </c>
      <c r="Y92" s="15">
        <f t="shared" si="60"/>
        <v>0</v>
      </c>
      <c r="Z92" s="15">
        <f t="shared" si="61"/>
        <v>0</v>
      </c>
      <c r="AA92" s="15">
        <f t="shared" si="62"/>
        <v>0</v>
      </c>
      <c r="AB92" s="15">
        <f t="shared" si="63"/>
        <v>0</v>
      </c>
      <c r="AC92" s="15">
        <f t="shared" si="64"/>
        <v>0</v>
      </c>
      <c r="AD92" s="15">
        <f t="shared" si="65"/>
        <v>0</v>
      </c>
      <c r="AE92" s="15">
        <f t="shared" si="66"/>
        <v>0</v>
      </c>
      <c r="AF92" s="15">
        <f t="shared" si="67"/>
        <v>0</v>
      </c>
      <c r="AG92" s="15">
        <f t="shared" si="68"/>
        <v>0</v>
      </c>
      <c r="AJ92" s="33">
        <v>80</v>
      </c>
      <c r="AK92" s="35">
        <v>4.5454429999999997E-2</v>
      </c>
      <c r="AL92" s="35">
        <v>2.9618740000000001E-2</v>
      </c>
      <c r="AM92" s="34">
        <f t="shared" si="44"/>
        <v>2.9618740000000001E-2</v>
      </c>
    </row>
    <row r="93" spans="1:39">
      <c r="A93" s="33">
        <v>41</v>
      </c>
      <c r="B93" s="16">
        <f t="shared" si="36"/>
        <v>108</v>
      </c>
      <c r="C93" s="34">
        <f t="shared" si="37"/>
        <v>0.60137571999999995</v>
      </c>
      <c r="D93" s="34">
        <f t="shared" si="45"/>
        <v>2.827373483939017E-4</v>
      </c>
      <c r="E93" s="34">
        <f t="shared" si="38"/>
        <v>0.50452679</v>
      </c>
      <c r="F93" s="34">
        <f t="shared" si="46"/>
        <v>2.818509647854545E-3</v>
      </c>
      <c r="G93" s="34">
        <f t="shared" si="39"/>
        <v>0.289442134036</v>
      </c>
      <c r="H93" s="34">
        <f t="shared" si="47"/>
        <v>3.1535668811709106E-2</v>
      </c>
      <c r="I93" s="34">
        <f t="shared" si="40"/>
        <v>2.827373483939017E-4</v>
      </c>
      <c r="J93" s="34">
        <f t="shared" si="41"/>
        <v>0.23670288592965935</v>
      </c>
      <c r="K93" s="34">
        <f t="shared" si="42"/>
        <v>1</v>
      </c>
      <c r="L93" s="34">
        <f t="shared" si="43"/>
        <v>2.2963055923204134</v>
      </c>
      <c r="M93" s="15">
        <f t="shared" si="48"/>
        <v>1.6238667597004992</v>
      </c>
      <c r="N93" s="15">
        <f t="shared" si="49"/>
        <v>2.4177163266974926</v>
      </c>
      <c r="O93" s="15">
        <f t="shared" si="50"/>
        <v>3.5855622138444296</v>
      </c>
      <c r="P93" s="15">
        <f t="shared" si="51"/>
        <v>16.187759258001421</v>
      </c>
      <c r="Q93" s="15">
        <f t="shared" si="52"/>
        <v>24.101367687295294</v>
      </c>
      <c r="R93" s="15">
        <f t="shared" si="53"/>
        <v>35.74321450671566</v>
      </c>
      <c r="S93" s="15">
        <f t="shared" si="54"/>
        <v>181.12118762928415</v>
      </c>
      <c r="T93" s="15">
        <f t="shared" si="55"/>
        <v>269.66476764566886</v>
      </c>
      <c r="U93" s="15">
        <f t="shared" si="56"/>
        <v>399.9227662064871</v>
      </c>
      <c r="V93" s="15">
        <f t="shared" si="57"/>
        <v>0</v>
      </c>
      <c r="W93" s="15">
        <f t="shared" si="58"/>
        <v>0</v>
      </c>
      <c r="X93" s="15">
        <f t="shared" si="59"/>
        <v>0</v>
      </c>
      <c r="Y93" s="15">
        <f t="shared" si="60"/>
        <v>0</v>
      </c>
      <c r="Z93" s="15">
        <f t="shared" si="61"/>
        <v>0</v>
      </c>
      <c r="AA93" s="15">
        <f t="shared" si="62"/>
        <v>0</v>
      </c>
      <c r="AB93" s="15">
        <f t="shared" si="63"/>
        <v>0</v>
      </c>
      <c r="AC93" s="15">
        <f t="shared" si="64"/>
        <v>0</v>
      </c>
      <c r="AD93" s="15">
        <f t="shared" si="65"/>
        <v>0</v>
      </c>
      <c r="AE93" s="15">
        <f t="shared" si="66"/>
        <v>0</v>
      </c>
      <c r="AF93" s="15">
        <f t="shared" si="67"/>
        <v>0</v>
      </c>
      <c r="AG93" s="15">
        <f t="shared" si="68"/>
        <v>0</v>
      </c>
      <c r="AJ93" s="33">
        <v>81</v>
      </c>
      <c r="AK93" s="35">
        <v>5.2778489999999997E-2</v>
      </c>
      <c r="AL93" s="35">
        <v>3.5324679999999997E-2</v>
      </c>
      <c r="AM93" s="34">
        <f t="shared" si="44"/>
        <v>3.5324679999999997E-2</v>
      </c>
    </row>
    <row r="94" spans="1:39">
      <c r="A94" s="33">
        <v>42</v>
      </c>
      <c r="B94" s="16">
        <f t="shared" si="36"/>
        <v>109</v>
      </c>
      <c r="C94" s="34">
        <f t="shared" si="37"/>
        <v>0.63236824000000003</v>
      </c>
      <c r="D94" s="34">
        <f t="shared" si="45"/>
        <v>1.1270597193262824E-4</v>
      </c>
      <c r="E94" s="34">
        <f t="shared" si="38"/>
        <v>0.53720772999999999</v>
      </c>
      <c r="F94" s="34">
        <f t="shared" si="46"/>
        <v>1.3964960226384611E-3</v>
      </c>
      <c r="G94" s="34">
        <f t="shared" si="39"/>
        <v>0.30435883391200003</v>
      </c>
      <c r="H94" s="34">
        <f t="shared" si="47"/>
        <v>2.2407917532595491E-2</v>
      </c>
      <c r="I94" s="34">
        <f t="shared" si="40"/>
        <v>1.1270597193262824E-4</v>
      </c>
      <c r="J94" s="34">
        <f t="shared" si="41"/>
        <v>0.22852842419616259</v>
      </c>
      <c r="K94" s="34">
        <f t="shared" si="42"/>
        <v>1</v>
      </c>
      <c r="L94" s="34">
        <f t="shared" si="43"/>
        <v>2.3445280097591414</v>
      </c>
      <c r="M94" s="15">
        <f t="shared" si="48"/>
        <v>0.64731271790154454</v>
      </c>
      <c r="N94" s="15">
        <f t="shared" si="49"/>
        <v>0.97339803427377325</v>
      </c>
      <c r="O94" s="15">
        <f t="shared" si="50"/>
        <v>1.4578779990067208</v>
      </c>
      <c r="P94" s="15">
        <f t="shared" si="51"/>
        <v>8.0206010422691811</v>
      </c>
      <c r="Q94" s="15">
        <f t="shared" si="52"/>
        <v>12.060997833548621</v>
      </c>
      <c r="R94" s="15">
        <f t="shared" si="53"/>
        <v>18.064001331908191</v>
      </c>
      <c r="S94" s="15">
        <f t="shared" si="54"/>
        <v>128.69708456272937</v>
      </c>
      <c r="T94" s="15">
        <f t="shared" si="55"/>
        <v>193.52854604222421</v>
      </c>
      <c r="U94" s="15">
        <f t="shared" si="56"/>
        <v>289.85163265222309</v>
      </c>
      <c r="V94" s="15">
        <f t="shared" si="57"/>
        <v>0</v>
      </c>
      <c r="W94" s="15">
        <f t="shared" si="58"/>
        <v>0</v>
      </c>
      <c r="X94" s="15">
        <f t="shared" si="59"/>
        <v>0</v>
      </c>
      <c r="Y94" s="15">
        <f t="shared" si="60"/>
        <v>0</v>
      </c>
      <c r="Z94" s="15">
        <f t="shared" si="61"/>
        <v>0</v>
      </c>
      <c r="AA94" s="15">
        <f t="shared" si="62"/>
        <v>0</v>
      </c>
      <c r="AB94" s="15">
        <f t="shared" si="63"/>
        <v>0</v>
      </c>
      <c r="AC94" s="15">
        <f t="shared" si="64"/>
        <v>0</v>
      </c>
      <c r="AD94" s="15">
        <f t="shared" si="65"/>
        <v>0</v>
      </c>
      <c r="AE94" s="15">
        <f t="shared" si="66"/>
        <v>0</v>
      </c>
      <c r="AF94" s="15">
        <f t="shared" si="67"/>
        <v>0</v>
      </c>
      <c r="AG94" s="15">
        <f t="shared" si="68"/>
        <v>0</v>
      </c>
      <c r="AJ94" s="33">
        <v>82</v>
      </c>
      <c r="AK94" s="35">
        <v>5.8931820000000003E-2</v>
      </c>
      <c r="AL94" s="35">
        <v>4.0203540000000003E-2</v>
      </c>
      <c r="AM94" s="34">
        <f t="shared" si="44"/>
        <v>4.0203540000000003E-2</v>
      </c>
    </row>
    <row r="95" spans="1:39">
      <c r="A95" s="33">
        <v>43</v>
      </c>
      <c r="B95" s="16">
        <f t="shared" si="36"/>
        <v>110</v>
      </c>
      <c r="C95" s="34">
        <f t="shared" si="37"/>
        <v>0.66234070999999994</v>
      </c>
      <c r="D95" s="34">
        <f t="shared" si="45"/>
        <v>4.1434294824102716E-5</v>
      </c>
      <c r="E95" s="34">
        <f t="shared" si="38"/>
        <v>0.56957663999999997</v>
      </c>
      <c r="F95" s="34">
        <f t="shared" si="46"/>
        <v>6.4628756436282476E-4</v>
      </c>
      <c r="G95" s="34">
        <f t="shared" si="39"/>
        <v>0.318784583723</v>
      </c>
      <c r="H95" s="34">
        <f t="shared" si="47"/>
        <v>1.5587869881978467E-2</v>
      </c>
      <c r="I95" s="34">
        <f t="shared" si="40"/>
        <v>4.1434294824102716E-5</v>
      </c>
      <c r="J95" s="34">
        <f t="shared" si="41"/>
        <v>0.22063626499721231</v>
      </c>
      <c r="K95" s="34">
        <f t="shared" si="42"/>
        <v>1</v>
      </c>
      <c r="L95" s="34">
        <f t="shared" si="43"/>
        <v>2.3937630979640834</v>
      </c>
      <c r="M95" s="15">
        <f t="shared" si="48"/>
        <v>0.23797271375252832</v>
      </c>
      <c r="N95" s="15">
        <f t="shared" si="49"/>
        <v>0.36143055284581366</v>
      </c>
      <c r="O95" s="15">
        <f t="shared" si="50"/>
        <v>0.54668149973292135</v>
      </c>
      <c r="P95" s="15">
        <f t="shared" si="51"/>
        <v>3.7118721631161202</v>
      </c>
      <c r="Q95" s="15">
        <f t="shared" si="52"/>
        <v>5.6375539315115786</v>
      </c>
      <c r="R95" s="15">
        <f t="shared" si="53"/>
        <v>8.5270777853103521</v>
      </c>
      <c r="S95" s="15">
        <f t="shared" si="54"/>
        <v>89.526989977343007</v>
      </c>
      <c r="T95" s="15">
        <f t="shared" si="55"/>
        <v>135.97268767452931</v>
      </c>
      <c r="U95" s="15">
        <f t="shared" si="56"/>
        <v>205.66538228531715</v>
      </c>
      <c r="V95" s="15">
        <f t="shared" si="57"/>
        <v>0</v>
      </c>
      <c r="W95" s="15">
        <f t="shared" si="58"/>
        <v>0</v>
      </c>
      <c r="X95" s="15">
        <f t="shared" si="59"/>
        <v>0</v>
      </c>
      <c r="Y95" s="15">
        <f t="shared" si="60"/>
        <v>0</v>
      </c>
      <c r="Z95" s="15">
        <f t="shared" si="61"/>
        <v>0</v>
      </c>
      <c r="AA95" s="15">
        <f t="shared" si="62"/>
        <v>0</v>
      </c>
      <c r="AB95" s="15">
        <f t="shared" si="63"/>
        <v>0</v>
      </c>
      <c r="AC95" s="15">
        <f t="shared" si="64"/>
        <v>0</v>
      </c>
      <c r="AD95" s="15">
        <f t="shared" si="65"/>
        <v>0</v>
      </c>
      <c r="AE95" s="15">
        <f t="shared" si="66"/>
        <v>0</v>
      </c>
      <c r="AF95" s="15">
        <f t="shared" si="67"/>
        <v>0</v>
      </c>
      <c r="AG95" s="15">
        <f t="shared" si="68"/>
        <v>0</v>
      </c>
      <c r="AJ95" s="33">
        <v>83</v>
      </c>
      <c r="AK95" s="35">
        <v>6.5829730000000003E-2</v>
      </c>
      <c r="AL95" s="35">
        <v>4.5825100000000001E-2</v>
      </c>
      <c r="AM95" s="34">
        <f t="shared" si="44"/>
        <v>4.5825100000000001E-2</v>
      </c>
    </row>
    <row r="96" spans="1:39">
      <c r="A96" s="33">
        <v>44</v>
      </c>
      <c r="B96" s="16">
        <f t="shared" si="36"/>
        <v>111</v>
      </c>
      <c r="C96" s="34">
        <f t="shared" si="37"/>
        <v>0.69111386000000008</v>
      </c>
      <c r="D96" s="34">
        <f t="shared" si="45"/>
        <v>1.3990674571957201E-5</v>
      </c>
      <c r="E96" s="34">
        <f t="shared" si="38"/>
        <v>0.60137571999999995</v>
      </c>
      <c r="F96" s="34">
        <f t="shared" si="46"/>
        <v>2.7817726497926331E-4</v>
      </c>
      <c r="G96" s="34">
        <f t="shared" si="39"/>
        <v>0.33263310081800002</v>
      </c>
      <c r="H96" s="34">
        <f t="shared" si="47"/>
        <v>1.0618697270523673E-2</v>
      </c>
      <c r="I96" s="34">
        <f t="shared" si="40"/>
        <v>1.3990674571957201E-5</v>
      </c>
      <c r="J96" s="34">
        <f t="shared" si="41"/>
        <v>0.21301665910116369</v>
      </c>
      <c r="K96" s="34">
        <f t="shared" si="42"/>
        <v>1</v>
      </c>
      <c r="L96" s="34">
        <f t="shared" si="43"/>
        <v>2.4440321230213291</v>
      </c>
      <c r="M96" s="15">
        <f t="shared" si="48"/>
        <v>8.0353697565051965E-2</v>
      </c>
      <c r="N96" s="15">
        <f t="shared" si="49"/>
        <v>0.12326078769680716</v>
      </c>
      <c r="O96" s="15">
        <f t="shared" si="50"/>
        <v>0.18828392879707248</v>
      </c>
      <c r="P96" s="15">
        <f t="shared" si="51"/>
        <v>1.5976764883389087</v>
      </c>
      <c r="Q96" s="15">
        <f t="shared" si="52"/>
        <v>2.4508002544362473</v>
      </c>
      <c r="R96" s="15">
        <f t="shared" si="53"/>
        <v>3.743658540761333</v>
      </c>
      <c r="S96" s="15">
        <f t="shared" si="54"/>
        <v>60.987165745442525</v>
      </c>
      <c r="T96" s="15">
        <f t="shared" si="55"/>
        <v>93.552957946872056</v>
      </c>
      <c r="U96" s="15">
        <f t="shared" si="56"/>
        <v>142.90447758740589</v>
      </c>
      <c r="V96" s="15">
        <f t="shared" si="57"/>
        <v>0</v>
      </c>
      <c r="W96" s="15">
        <f t="shared" si="58"/>
        <v>0</v>
      </c>
      <c r="X96" s="15">
        <f t="shared" si="59"/>
        <v>0</v>
      </c>
      <c r="Y96" s="15">
        <f t="shared" si="60"/>
        <v>0</v>
      </c>
      <c r="Z96" s="15">
        <f t="shared" si="61"/>
        <v>0</v>
      </c>
      <c r="AA96" s="15">
        <f t="shared" si="62"/>
        <v>0</v>
      </c>
      <c r="AB96" s="15">
        <f t="shared" si="63"/>
        <v>0</v>
      </c>
      <c r="AC96" s="15">
        <f t="shared" si="64"/>
        <v>0</v>
      </c>
      <c r="AD96" s="15">
        <f t="shared" si="65"/>
        <v>0</v>
      </c>
      <c r="AE96" s="15">
        <f t="shared" si="66"/>
        <v>0</v>
      </c>
      <c r="AF96" s="15">
        <f t="shared" si="67"/>
        <v>0</v>
      </c>
      <c r="AG96" s="15">
        <f t="shared" si="68"/>
        <v>0</v>
      </c>
      <c r="AJ96" s="33">
        <v>84</v>
      </c>
      <c r="AK96" s="35">
        <v>7.4236880000000005E-2</v>
      </c>
      <c r="AL96" s="35">
        <v>5.2103400000000001E-2</v>
      </c>
      <c r="AM96" s="34">
        <f t="shared" si="44"/>
        <v>5.2103400000000001E-2</v>
      </c>
    </row>
    <row r="97" spans="1:39">
      <c r="A97" s="33">
        <v>45</v>
      </c>
      <c r="B97" s="16">
        <f t="shared" si="36"/>
        <v>112</v>
      </c>
      <c r="C97" s="34">
        <f t="shared" si="37"/>
        <v>0.71854489999999993</v>
      </c>
      <c r="D97" s="34">
        <f t="shared" si="45"/>
        <v>4.3215254645280108E-6</v>
      </c>
      <c r="E97" s="34">
        <f t="shared" si="38"/>
        <v>0.63236824000000003</v>
      </c>
      <c r="F97" s="34">
        <f t="shared" si="46"/>
        <v>1.1088821196472806E-4</v>
      </c>
      <c r="G97" s="34">
        <f t="shared" si="39"/>
        <v>0.34583566036999996</v>
      </c>
      <c r="H97" s="34">
        <f t="shared" si="47"/>
        <v>7.0865670707817505E-3</v>
      </c>
      <c r="I97" s="34">
        <f t="shared" si="40"/>
        <v>4.3215254645280108E-6</v>
      </c>
      <c r="J97" s="34">
        <f t="shared" si="41"/>
        <v>0.20566019396310345</v>
      </c>
      <c r="K97" s="34">
        <f t="shared" si="42"/>
        <v>1</v>
      </c>
      <c r="L97" s="34">
        <f t="shared" si="43"/>
        <v>2.4953567976047761</v>
      </c>
      <c r="M97" s="15">
        <f t="shared" si="48"/>
        <v>2.4820143475596294E-2</v>
      </c>
      <c r="N97" s="15">
        <f t="shared" si="49"/>
        <v>3.8454284414276514E-2</v>
      </c>
      <c r="O97" s="15">
        <f t="shared" si="50"/>
        <v>5.932146190996581E-2</v>
      </c>
      <c r="P97" s="15">
        <f t="shared" si="51"/>
        <v>0.63687263983702591</v>
      </c>
      <c r="Q97" s="15">
        <f t="shared" si="52"/>
        <v>0.98671797171695086</v>
      </c>
      <c r="R97" s="15">
        <f t="shared" si="53"/>
        <v>1.5221594541843741</v>
      </c>
      <c r="S97" s="15">
        <f t="shared" si="54"/>
        <v>40.700815693434663</v>
      </c>
      <c r="T97" s="15">
        <f t="shared" si="55"/>
        <v>63.058488928851133</v>
      </c>
      <c r="U97" s="15">
        <f t="shared" si="56"/>
        <v>97.277112448465303</v>
      </c>
      <c r="V97" s="15">
        <f t="shared" si="57"/>
        <v>0</v>
      </c>
      <c r="W97" s="15">
        <f t="shared" si="58"/>
        <v>0</v>
      </c>
      <c r="X97" s="15">
        <f t="shared" si="59"/>
        <v>0</v>
      </c>
      <c r="Y97" s="15">
        <f t="shared" si="60"/>
        <v>0</v>
      </c>
      <c r="Z97" s="15">
        <f t="shared" si="61"/>
        <v>0</v>
      </c>
      <c r="AA97" s="15">
        <f t="shared" si="62"/>
        <v>0</v>
      </c>
      <c r="AB97" s="15">
        <f t="shared" si="63"/>
        <v>0</v>
      </c>
      <c r="AC97" s="15">
        <f t="shared" si="64"/>
        <v>0</v>
      </c>
      <c r="AD97" s="15">
        <f t="shared" si="65"/>
        <v>0</v>
      </c>
      <c r="AE97" s="15">
        <f t="shared" si="66"/>
        <v>0</v>
      </c>
      <c r="AF97" s="15">
        <f t="shared" si="67"/>
        <v>0</v>
      </c>
      <c r="AG97" s="15">
        <f t="shared" si="68"/>
        <v>0</v>
      </c>
      <c r="AJ97" s="33">
        <v>85</v>
      </c>
      <c r="AK97" s="35">
        <v>8.1905910000000012E-2</v>
      </c>
      <c r="AL97" s="35">
        <v>5.8644759999999997E-2</v>
      </c>
      <c r="AM97" s="34">
        <f t="shared" si="44"/>
        <v>5.8644759999999997E-2</v>
      </c>
    </row>
    <row r="98" spans="1:39">
      <c r="A98" s="33">
        <v>46</v>
      </c>
      <c r="B98" s="16">
        <f t="shared" si="36"/>
        <v>113</v>
      </c>
      <c r="C98" s="34">
        <f t="shared" si="37"/>
        <v>0.74452484000000008</v>
      </c>
      <c r="D98" s="34">
        <f t="shared" si="45"/>
        <v>1.216315381771278E-6</v>
      </c>
      <c r="E98" s="34">
        <f t="shared" si="38"/>
        <v>0.66234070999999994</v>
      </c>
      <c r="F98" s="34">
        <f t="shared" si="46"/>
        <v>4.0766028527846036E-5</v>
      </c>
      <c r="G98" s="34">
        <f t="shared" si="39"/>
        <v>0.35833980549200006</v>
      </c>
      <c r="H98" s="34">
        <f t="shared" si="47"/>
        <v>4.6357794681016482E-3</v>
      </c>
      <c r="I98" s="34">
        <f t="shared" si="40"/>
        <v>1.216315381771278E-6</v>
      </c>
      <c r="J98" s="34">
        <f t="shared" si="41"/>
        <v>0.19855778209747668</v>
      </c>
      <c r="K98" s="34">
        <f t="shared" si="42"/>
        <v>1</v>
      </c>
      <c r="L98" s="34">
        <f t="shared" si="43"/>
        <v>2.5477592903544761</v>
      </c>
      <c r="M98" s="15">
        <f t="shared" si="48"/>
        <v>6.9857559639383039E-3</v>
      </c>
      <c r="N98" s="15">
        <f t="shared" si="49"/>
        <v>1.0931386009901126E-2</v>
      </c>
      <c r="O98" s="15">
        <f t="shared" si="50"/>
        <v>1.7030254553895934E-2</v>
      </c>
      <c r="P98" s="15">
        <f t="shared" si="51"/>
        <v>0.23413460947913195</v>
      </c>
      <c r="Q98" s="15">
        <f t="shared" si="52"/>
        <v>0.36637635321159223</v>
      </c>
      <c r="R98" s="15">
        <f t="shared" si="53"/>
        <v>0.57078604232528962</v>
      </c>
      <c r="S98" s="15">
        <f t="shared" si="54"/>
        <v>26.625022220498035</v>
      </c>
      <c r="T98" s="15">
        <f t="shared" si="55"/>
        <v>41.663120915889657</v>
      </c>
      <c r="U98" s="15">
        <f t="shared" si="56"/>
        <v>64.907922386482838</v>
      </c>
      <c r="V98" s="15">
        <f t="shared" si="57"/>
        <v>0</v>
      </c>
      <c r="W98" s="15">
        <f t="shared" si="58"/>
        <v>0</v>
      </c>
      <c r="X98" s="15">
        <f t="shared" si="59"/>
        <v>0</v>
      </c>
      <c r="Y98" s="15">
        <f t="shared" si="60"/>
        <v>0</v>
      </c>
      <c r="Z98" s="15">
        <f t="shared" si="61"/>
        <v>0</v>
      </c>
      <c r="AA98" s="15">
        <f t="shared" si="62"/>
        <v>0</v>
      </c>
      <c r="AB98" s="15">
        <f t="shared" si="63"/>
        <v>0</v>
      </c>
      <c r="AC98" s="15">
        <f t="shared" si="64"/>
        <v>0</v>
      </c>
      <c r="AD98" s="15">
        <f t="shared" si="65"/>
        <v>0</v>
      </c>
      <c r="AE98" s="15">
        <f t="shared" si="66"/>
        <v>0</v>
      </c>
      <c r="AF98" s="15">
        <f t="shared" si="67"/>
        <v>0</v>
      </c>
      <c r="AG98" s="15">
        <f t="shared" si="68"/>
        <v>0</v>
      </c>
      <c r="AJ98" s="33">
        <v>86</v>
      </c>
      <c r="AK98" s="35">
        <v>9.244318E-2</v>
      </c>
      <c r="AL98" s="35">
        <v>6.8007659999999998E-2</v>
      </c>
      <c r="AM98" s="34">
        <f t="shared" si="44"/>
        <v>6.8007659999999998E-2</v>
      </c>
    </row>
    <row r="99" spans="1:39">
      <c r="A99" s="33">
        <v>47</v>
      </c>
      <c r="B99" s="16">
        <f t="shared" si="36"/>
        <v>114</v>
      </c>
      <c r="C99" s="34">
        <f t="shared" si="37"/>
        <v>0.76898069000000002</v>
      </c>
      <c r="D99" s="34">
        <f t="shared" si="45"/>
        <v>3.1073836676847826E-7</v>
      </c>
      <c r="E99" s="34">
        <f t="shared" si="38"/>
        <v>0.69111386000000008</v>
      </c>
      <c r="F99" s="34">
        <f t="shared" si="46"/>
        <v>1.376502824883224E-5</v>
      </c>
      <c r="G99" s="34">
        <f t="shared" si="39"/>
        <v>0.37011040609700002</v>
      </c>
      <c r="H99" s="34">
        <f t="shared" si="47"/>
        <v>2.9745951551982961E-3</v>
      </c>
      <c r="I99" s="34">
        <f t="shared" si="40"/>
        <v>3.1073836676847826E-7</v>
      </c>
      <c r="J99" s="34">
        <f t="shared" si="41"/>
        <v>0.19170064985226129</v>
      </c>
      <c r="K99" s="34">
        <f t="shared" si="42"/>
        <v>1</v>
      </c>
      <c r="L99" s="34">
        <f t="shared" si="43"/>
        <v>2.6012622354519204</v>
      </c>
      <c r="M99" s="15">
        <f t="shared" si="48"/>
        <v>1.7846871226080919E-3</v>
      </c>
      <c r="N99" s="15">
        <f t="shared" si="49"/>
        <v>2.8206245658002642E-3</v>
      </c>
      <c r="O99" s="15">
        <f t="shared" si="50"/>
        <v>4.4378231471372369E-3</v>
      </c>
      <c r="P99" s="15">
        <f t="shared" si="51"/>
        <v>7.9057726001150977E-2</v>
      </c>
      <c r="Q99" s="15">
        <f t="shared" si="52"/>
        <v>0.12494748309119764</v>
      </c>
      <c r="R99" s="15">
        <f t="shared" si="53"/>
        <v>0.19658583398933663</v>
      </c>
      <c r="S99" s="15">
        <f t="shared" si="54"/>
        <v>17.084216936784589</v>
      </c>
      <c r="T99" s="15">
        <f t="shared" si="55"/>
        <v>27.000901933407082</v>
      </c>
      <c r="U99" s="15">
        <f t="shared" si="56"/>
        <v>42.48180670569316</v>
      </c>
      <c r="V99" s="15">
        <f t="shared" si="57"/>
        <v>0</v>
      </c>
      <c r="W99" s="15">
        <f t="shared" si="58"/>
        <v>0</v>
      </c>
      <c r="X99" s="15">
        <f t="shared" si="59"/>
        <v>0</v>
      </c>
      <c r="Y99" s="15">
        <f t="shared" si="60"/>
        <v>0</v>
      </c>
      <c r="Z99" s="15">
        <f t="shared" si="61"/>
        <v>0</v>
      </c>
      <c r="AA99" s="15">
        <f t="shared" si="62"/>
        <v>0</v>
      </c>
      <c r="AB99" s="15">
        <f t="shared" si="63"/>
        <v>0</v>
      </c>
      <c r="AC99" s="15">
        <f t="shared" si="64"/>
        <v>0</v>
      </c>
      <c r="AD99" s="15">
        <f t="shared" si="65"/>
        <v>0</v>
      </c>
      <c r="AE99" s="15">
        <f t="shared" si="66"/>
        <v>0</v>
      </c>
      <c r="AF99" s="15">
        <f t="shared" si="67"/>
        <v>0</v>
      </c>
      <c r="AG99" s="15">
        <f t="shared" si="68"/>
        <v>0</v>
      </c>
      <c r="AJ99" s="33">
        <v>87</v>
      </c>
      <c r="AK99" s="35">
        <v>0.10589444000000001</v>
      </c>
      <c r="AL99" s="35">
        <v>7.9507069999999999E-2</v>
      </c>
      <c r="AM99" s="34">
        <f t="shared" si="44"/>
        <v>7.9507069999999999E-2</v>
      </c>
    </row>
    <row r="100" spans="1:39">
      <c r="A100" s="33">
        <v>48</v>
      </c>
      <c r="B100" s="16">
        <f t="shared" si="36"/>
        <v>115</v>
      </c>
      <c r="C100" s="34">
        <f t="shared" si="37"/>
        <v>0.79187375999999998</v>
      </c>
      <c r="D100" s="34">
        <f t="shared" si="45"/>
        <v>7.1786563081380764E-8</v>
      </c>
      <c r="E100" s="34">
        <f t="shared" si="38"/>
        <v>0.71854489999999993</v>
      </c>
      <c r="F100" s="34">
        <f t="shared" si="46"/>
        <v>4.2518264427727487E-6</v>
      </c>
      <c r="G100" s="34">
        <f t="shared" si="39"/>
        <v>0.38112884068800001</v>
      </c>
      <c r="H100" s="34">
        <f t="shared" si="47"/>
        <v>1.873666534333686E-3</v>
      </c>
      <c r="I100" s="34">
        <f t="shared" si="40"/>
        <v>7.1786563081380764E-8</v>
      </c>
      <c r="J100" s="34">
        <f t="shared" si="41"/>
        <v>0.18508032657082293</v>
      </c>
      <c r="K100" s="34">
        <f t="shared" si="42"/>
        <v>1</v>
      </c>
      <c r="L100" s="34">
        <f t="shared" si="43"/>
        <v>2.6558887423964102</v>
      </c>
      <c r="M100" s="15">
        <f t="shared" si="48"/>
        <v>4.1229718763080672E-4</v>
      </c>
      <c r="N100" s="15">
        <f t="shared" si="49"/>
        <v>6.5813492836982849E-4</v>
      </c>
      <c r="O100" s="15">
        <f t="shared" si="50"/>
        <v>1.0457272981807459E-3</v>
      </c>
      <c r="P100" s="15">
        <f t="shared" si="51"/>
        <v>2.4419835821673154E-2</v>
      </c>
      <c r="Q100" s="15">
        <f t="shared" si="52"/>
        <v>3.8980491212302827E-2</v>
      </c>
      <c r="R100" s="15">
        <f t="shared" si="53"/>
        <v>6.1937092228439891E-2</v>
      </c>
      <c r="S100" s="15">
        <f t="shared" si="54"/>
        <v>10.761170468462</v>
      </c>
      <c r="T100" s="15">
        <f t="shared" si="55"/>
        <v>17.177663025386991</v>
      </c>
      <c r="U100" s="15">
        <f t="shared" si="56"/>
        <v>27.294024933597097</v>
      </c>
      <c r="V100" s="15">
        <f t="shared" si="57"/>
        <v>0</v>
      </c>
      <c r="W100" s="15">
        <f t="shared" si="58"/>
        <v>0</v>
      </c>
      <c r="X100" s="15">
        <f t="shared" si="59"/>
        <v>0</v>
      </c>
      <c r="Y100" s="15">
        <f t="shared" si="60"/>
        <v>0</v>
      </c>
      <c r="Z100" s="15">
        <f t="shared" si="61"/>
        <v>0</v>
      </c>
      <c r="AA100" s="15">
        <f t="shared" si="62"/>
        <v>0</v>
      </c>
      <c r="AB100" s="15">
        <f t="shared" si="63"/>
        <v>0</v>
      </c>
      <c r="AC100" s="15">
        <f t="shared" si="64"/>
        <v>0</v>
      </c>
      <c r="AD100" s="15">
        <f t="shared" si="65"/>
        <v>0</v>
      </c>
      <c r="AE100" s="15">
        <f t="shared" si="66"/>
        <v>0</v>
      </c>
      <c r="AF100" s="15">
        <f t="shared" si="67"/>
        <v>0</v>
      </c>
      <c r="AG100" s="15">
        <f t="shared" si="68"/>
        <v>0</v>
      </c>
      <c r="AJ100" s="33">
        <v>88</v>
      </c>
      <c r="AK100" s="35">
        <v>0.12133853999999999</v>
      </c>
      <c r="AL100" s="35">
        <v>9.2460859999999992E-2</v>
      </c>
      <c r="AM100" s="34">
        <f t="shared" si="44"/>
        <v>9.2460859999999992E-2</v>
      </c>
    </row>
    <row r="101" spans="1:39">
      <c r="A101" s="33">
        <v>49</v>
      </c>
      <c r="B101" s="16">
        <f t="shared" si="36"/>
        <v>116</v>
      </c>
      <c r="C101" s="34">
        <f t="shared" si="37"/>
        <v>0.81319595</v>
      </c>
      <c r="D101" s="34">
        <f t="shared" si="45"/>
        <v>1.4940667456650594E-8</v>
      </c>
      <c r="E101" s="34">
        <f t="shared" si="38"/>
        <v>0.74452484000000008</v>
      </c>
      <c r="F101" s="34">
        <f t="shared" si="46"/>
        <v>1.1966982366332485E-6</v>
      </c>
      <c r="G101" s="34">
        <f t="shared" si="39"/>
        <v>0.39139121073499999</v>
      </c>
      <c r="H101" s="34">
        <f t="shared" si="47"/>
        <v>1.1595581802671855E-3</v>
      </c>
      <c r="I101" s="34">
        <f t="shared" si="40"/>
        <v>1.4940667456650594E-8</v>
      </c>
      <c r="J101" s="34">
        <f t="shared" si="41"/>
        <v>0.17868863412806213</v>
      </c>
      <c r="K101" s="34">
        <f t="shared" si="42"/>
        <v>1</v>
      </c>
      <c r="L101" s="34">
        <f t="shared" si="43"/>
        <v>2.7116624059867345</v>
      </c>
      <c r="M101" s="15">
        <f t="shared" si="48"/>
        <v>8.5809863424174325E-5</v>
      </c>
      <c r="N101" s="15">
        <f t="shared" si="49"/>
        <v>1.383448995348246E-4</v>
      </c>
      <c r="O101" s="15">
        <f t="shared" si="50"/>
        <v>2.2199615644843189E-4</v>
      </c>
      <c r="P101" s="15">
        <f t="shared" si="51"/>
        <v>6.8730873331726006E-3</v>
      </c>
      <c r="Q101" s="15">
        <f t="shared" si="52"/>
        <v>1.1080970632729897E-2</v>
      </c>
      <c r="R101" s="15">
        <f t="shared" si="53"/>
        <v>1.7781160696602075E-2</v>
      </c>
      <c r="S101" s="15">
        <f t="shared" si="54"/>
        <v>6.6597780433711353</v>
      </c>
      <c r="T101" s="15">
        <f t="shared" si="55"/>
        <v>10.737067833100049</v>
      </c>
      <c r="U101" s="15">
        <f t="shared" si="56"/>
        <v>17.229314550004787</v>
      </c>
      <c r="V101" s="15">
        <f t="shared" si="57"/>
        <v>0</v>
      </c>
      <c r="W101" s="15">
        <f t="shared" si="58"/>
        <v>0</v>
      </c>
      <c r="X101" s="15">
        <f t="shared" si="59"/>
        <v>0</v>
      </c>
      <c r="Y101" s="15">
        <f t="shared" si="60"/>
        <v>0</v>
      </c>
      <c r="Z101" s="15">
        <f t="shared" si="61"/>
        <v>0</v>
      </c>
      <c r="AA101" s="15">
        <f t="shared" si="62"/>
        <v>0</v>
      </c>
      <c r="AB101" s="15">
        <f t="shared" si="63"/>
        <v>0</v>
      </c>
      <c r="AC101" s="15">
        <f t="shared" si="64"/>
        <v>0</v>
      </c>
      <c r="AD101" s="15">
        <f t="shared" si="65"/>
        <v>0</v>
      </c>
      <c r="AE101" s="15">
        <f t="shared" si="66"/>
        <v>0</v>
      </c>
      <c r="AF101" s="15">
        <f t="shared" si="67"/>
        <v>0</v>
      </c>
      <c r="AG101" s="15">
        <f t="shared" si="68"/>
        <v>0</v>
      </c>
      <c r="AJ101" s="33">
        <v>89</v>
      </c>
      <c r="AK101" s="35">
        <v>0.1376386</v>
      </c>
      <c r="AL101" s="35">
        <v>0.10673365999999999</v>
      </c>
      <c r="AM101" s="34">
        <f t="shared" si="44"/>
        <v>0.10673365999999999</v>
      </c>
    </row>
    <row r="102" spans="1:39">
      <c r="A102" s="33">
        <v>50</v>
      </c>
      <c r="B102" s="16">
        <f t="shared" si="36"/>
        <v>117</v>
      </c>
      <c r="C102" s="34">
        <f t="shared" si="37"/>
        <v>0.83296203000000002</v>
      </c>
      <c r="D102" s="34">
        <f t="shared" si="45"/>
        <v>2.7909771906055304E-9</v>
      </c>
      <c r="E102" s="34">
        <f t="shared" si="38"/>
        <v>0.76898069000000002</v>
      </c>
      <c r="F102" s="34">
        <f t="shared" si="46"/>
        <v>3.057266734755969E-7</v>
      </c>
      <c r="G102" s="34">
        <f t="shared" si="39"/>
        <v>0.40090462503900004</v>
      </c>
      <c r="H102" s="34">
        <f t="shared" si="47"/>
        <v>7.0571730017473849E-4</v>
      </c>
      <c r="I102" s="34">
        <f t="shared" si="40"/>
        <v>2.7909771906055304E-9</v>
      </c>
      <c r="J102" s="34">
        <f t="shared" si="41"/>
        <v>0.17251767682792718</v>
      </c>
      <c r="K102" s="34">
        <f t="shared" si="42"/>
        <v>1</v>
      </c>
      <c r="L102" s="34">
        <f t="shared" si="43"/>
        <v>2.7686073165124561</v>
      </c>
      <c r="M102" s="15">
        <f t="shared" si="48"/>
        <v>1.6029630017582631E-5</v>
      </c>
      <c r="N102" s="15">
        <f t="shared" si="49"/>
        <v>2.6101821405247839E-5</v>
      </c>
      <c r="O102" s="15">
        <f t="shared" si="50"/>
        <v>4.2299176731180711E-5</v>
      </c>
      <c r="P102" s="15">
        <f t="shared" si="51"/>
        <v>1.755903086136243E-3</v>
      </c>
      <c r="Q102" s="15">
        <f t="shared" si="52"/>
        <v>2.8592218728054905E-3</v>
      </c>
      <c r="R102" s="15">
        <f t="shared" si="53"/>
        <v>4.6334977714291275E-3</v>
      </c>
      <c r="S102" s="15">
        <f t="shared" si="54"/>
        <v>4.0531994517497383</v>
      </c>
      <c r="T102" s="15">
        <f t="shared" si="55"/>
        <v>6.6000205927007913</v>
      </c>
      <c r="U102" s="15">
        <f t="shared" si="56"/>
        <v>10.695630513507149</v>
      </c>
      <c r="V102" s="15">
        <f t="shared" si="57"/>
        <v>0</v>
      </c>
      <c r="W102" s="15">
        <f t="shared" si="58"/>
        <v>0</v>
      </c>
      <c r="X102" s="15">
        <f t="shared" si="59"/>
        <v>0</v>
      </c>
      <c r="Y102" s="15">
        <f t="shared" si="60"/>
        <v>0</v>
      </c>
      <c r="Z102" s="15">
        <f t="shared" si="61"/>
        <v>0</v>
      </c>
      <c r="AA102" s="15">
        <f t="shared" si="62"/>
        <v>0</v>
      </c>
      <c r="AB102" s="15">
        <f t="shared" si="63"/>
        <v>0</v>
      </c>
      <c r="AC102" s="15">
        <f t="shared" si="64"/>
        <v>0</v>
      </c>
      <c r="AD102" s="15">
        <f t="shared" si="65"/>
        <v>0</v>
      </c>
      <c r="AE102" s="15">
        <f t="shared" si="66"/>
        <v>0</v>
      </c>
      <c r="AF102" s="15">
        <f t="shared" si="67"/>
        <v>0</v>
      </c>
      <c r="AG102" s="15">
        <f t="shared" si="68"/>
        <v>0</v>
      </c>
      <c r="AJ102" s="33">
        <v>90</v>
      </c>
      <c r="AK102" s="35">
        <v>0.15521753999999999</v>
      </c>
      <c r="AL102" s="35">
        <v>0.12179832</v>
      </c>
      <c r="AM102" s="34">
        <f t="shared" si="44"/>
        <v>0.12179832</v>
      </c>
    </row>
    <row r="103" spans="1:39">
      <c r="A103" s="33">
        <v>51</v>
      </c>
      <c r="B103" s="16">
        <f t="shared" si="36"/>
        <v>118</v>
      </c>
      <c r="C103" s="34">
        <f t="shared" si="37"/>
        <v>0.85000279000000001</v>
      </c>
      <c r="D103" s="34">
        <f t="shared" si="45"/>
        <v>4.6619916423505078E-10</v>
      </c>
      <c r="E103" s="34">
        <f t="shared" si="38"/>
        <v>0.79187375999999998</v>
      </c>
      <c r="F103" s="34">
        <f t="shared" si="46"/>
        <v>7.0628765154927697E-8</v>
      </c>
      <c r="G103" s="34">
        <f t="shared" si="39"/>
        <v>0.40910634282700004</v>
      </c>
      <c r="H103" s="34">
        <f t="shared" si="47"/>
        <v>4.2279197056464954E-4</v>
      </c>
      <c r="I103" s="34">
        <f t="shared" si="40"/>
        <v>4.6619916423505078E-10</v>
      </c>
      <c r="J103" s="34">
        <f t="shared" si="41"/>
        <v>0.16655983164981336</v>
      </c>
      <c r="K103" s="34">
        <f t="shared" si="42"/>
        <v>1</v>
      </c>
      <c r="L103" s="34">
        <f t="shared" si="43"/>
        <v>2.8267480701592165</v>
      </c>
      <c r="M103" s="15">
        <f t="shared" si="48"/>
        <v>2.6775568579880666E-6</v>
      </c>
      <c r="N103" s="15">
        <f t="shared" si="49"/>
        <v>4.4035952134434971E-6</v>
      </c>
      <c r="O103" s="15">
        <f t="shared" si="50"/>
        <v>7.2068799861246134E-6</v>
      </c>
      <c r="P103" s="15">
        <f t="shared" si="51"/>
        <v>4.0564751938606538E-4</v>
      </c>
      <c r="Q103" s="15">
        <f t="shared" si="52"/>
        <v>6.6714081883435653E-4</v>
      </c>
      <c r="R103" s="15">
        <f t="shared" si="53"/>
        <v>1.0918360072029365E-3</v>
      </c>
      <c r="S103" s="15">
        <f t="shared" si="54"/>
        <v>2.4282530453377289</v>
      </c>
      <c r="T103" s="15">
        <f t="shared" si="55"/>
        <v>3.993582229851746</v>
      </c>
      <c r="U103" s="15">
        <f t="shared" si="56"/>
        <v>6.5358568283925562</v>
      </c>
      <c r="V103" s="15">
        <f t="shared" si="57"/>
        <v>0</v>
      </c>
      <c r="W103" s="15">
        <f t="shared" si="58"/>
        <v>0</v>
      </c>
      <c r="X103" s="15">
        <f t="shared" si="59"/>
        <v>0</v>
      </c>
      <c r="Y103" s="15">
        <f t="shared" si="60"/>
        <v>0</v>
      </c>
      <c r="Z103" s="15">
        <f t="shared" si="61"/>
        <v>0</v>
      </c>
      <c r="AA103" s="15">
        <f t="shared" si="62"/>
        <v>0</v>
      </c>
      <c r="AB103" s="15">
        <f t="shared" si="63"/>
        <v>0</v>
      </c>
      <c r="AC103" s="15">
        <f t="shared" si="64"/>
        <v>0</v>
      </c>
      <c r="AD103" s="15">
        <f t="shared" si="65"/>
        <v>0</v>
      </c>
      <c r="AE103" s="15">
        <f t="shared" si="66"/>
        <v>0</v>
      </c>
      <c r="AF103" s="15">
        <f t="shared" si="67"/>
        <v>0</v>
      </c>
      <c r="AG103" s="15">
        <f t="shared" si="68"/>
        <v>0</v>
      </c>
      <c r="AJ103" s="33">
        <v>91</v>
      </c>
      <c r="AK103" s="35">
        <v>0.17448917999999999</v>
      </c>
      <c r="AL103" s="35">
        <v>0.14015163999999999</v>
      </c>
      <c r="AM103" s="34">
        <f t="shared" si="44"/>
        <v>0.14015163999999999</v>
      </c>
    </row>
    <row r="104" spans="1:39">
      <c r="A104" s="33">
        <v>52</v>
      </c>
      <c r="B104" s="16">
        <f t="shared" si="36"/>
        <v>119</v>
      </c>
      <c r="C104" s="34">
        <f t="shared" si="37"/>
        <v>0.86665011999999997</v>
      </c>
      <c r="D104" s="34">
        <f t="shared" si="45"/>
        <v>6.9928573939589399E-11</v>
      </c>
      <c r="E104" s="34">
        <f t="shared" si="38"/>
        <v>0.81319595</v>
      </c>
      <c r="F104" s="34">
        <f t="shared" si="46"/>
        <v>1.4699699327538121E-8</v>
      </c>
      <c r="G104" s="34">
        <f t="shared" si="39"/>
        <v>0.41711870275599999</v>
      </c>
      <c r="H104" s="34">
        <f t="shared" si="47"/>
        <v>2.498250937103251E-4</v>
      </c>
      <c r="I104" s="34">
        <f t="shared" si="40"/>
        <v>6.9928573939589399E-11</v>
      </c>
      <c r="J104" s="34">
        <f t="shared" si="41"/>
        <v>0.16080773883179986</v>
      </c>
      <c r="K104" s="34">
        <f t="shared" si="42"/>
        <v>1</v>
      </c>
      <c r="L104" s="34">
        <f t="shared" si="43"/>
        <v>2.8861097796325601</v>
      </c>
      <c r="M104" s="15">
        <f t="shared" si="48"/>
        <v>4.016260583145762E-7</v>
      </c>
      <c r="N104" s="15">
        <f t="shared" si="49"/>
        <v>6.6713226594573767E-7</v>
      </c>
      <c r="O104" s="15">
        <f t="shared" si="50"/>
        <v>1.1026321285380011E-6</v>
      </c>
      <c r="P104" s="15">
        <f t="shared" si="51"/>
        <v>8.4425892975148909E-5</v>
      </c>
      <c r="Q104" s="15">
        <f t="shared" si="52"/>
        <v>1.4023800527626095E-4</v>
      </c>
      <c r="R104" s="15">
        <f t="shared" si="53"/>
        <v>2.317845173332753E-4</v>
      </c>
      <c r="S104" s="15">
        <f t="shared" si="54"/>
        <v>1.4348393225010851</v>
      </c>
      <c r="T104" s="15">
        <f t="shared" si="55"/>
        <v>2.383380233108384</v>
      </c>
      <c r="U104" s="15">
        <f t="shared" si="56"/>
        <v>3.9392362709697615</v>
      </c>
      <c r="V104" s="15">
        <f t="shared" si="57"/>
        <v>0</v>
      </c>
      <c r="W104" s="15">
        <f t="shared" si="58"/>
        <v>0</v>
      </c>
      <c r="X104" s="15">
        <f t="shared" si="59"/>
        <v>0</v>
      </c>
      <c r="Y104" s="15">
        <f t="shared" si="60"/>
        <v>0</v>
      </c>
      <c r="Z104" s="15">
        <f t="shared" si="61"/>
        <v>0</v>
      </c>
      <c r="AA104" s="15">
        <f t="shared" si="62"/>
        <v>0</v>
      </c>
      <c r="AB104" s="15">
        <f t="shared" si="63"/>
        <v>0</v>
      </c>
      <c r="AC104" s="15">
        <f t="shared" si="64"/>
        <v>0</v>
      </c>
      <c r="AD104" s="15">
        <f t="shared" si="65"/>
        <v>0</v>
      </c>
      <c r="AE104" s="15">
        <f t="shared" si="66"/>
        <v>0</v>
      </c>
      <c r="AF104" s="15">
        <f t="shared" si="67"/>
        <v>0</v>
      </c>
      <c r="AG104" s="15">
        <f t="shared" si="68"/>
        <v>0</v>
      </c>
      <c r="AJ104" s="33">
        <v>92</v>
      </c>
      <c r="AK104" s="35">
        <v>0.19503168000000001</v>
      </c>
      <c r="AL104" s="35">
        <v>0.15920118999999999</v>
      </c>
      <c r="AM104" s="34">
        <f t="shared" si="44"/>
        <v>0.15920118999999999</v>
      </c>
    </row>
    <row r="105" spans="1:39">
      <c r="A105" s="33">
        <v>53</v>
      </c>
      <c r="B105" s="16">
        <f t="shared" si="36"/>
        <v>120</v>
      </c>
      <c r="C105" s="34">
        <f t="shared" si="37"/>
        <v>1</v>
      </c>
      <c r="D105" s="34">
        <f t="shared" si="45"/>
        <v>9.3249669434153752E-12</v>
      </c>
      <c r="E105" s="34">
        <f t="shared" si="38"/>
        <v>0.83296203000000002</v>
      </c>
      <c r="F105" s="34">
        <f t="shared" si="46"/>
        <v>2.7459633681663976E-9</v>
      </c>
      <c r="G105" s="34">
        <f t="shared" si="39"/>
        <v>0.48130000000000001</v>
      </c>
      <c r="H105" s="34">
        <f t="shared" si="47"/>
        <v>1.4561837470597819E-4</v>
      </c>
      <c r="I105" s="34">
        <f t="shared" si="40"/>
        <v>9.3249669434153752E-12</v>
      </c>
      <c r="J105" s="34">
        <f t="shared" si="41"/>
        <v>0.15525429277909175</v>
      </c>
      <c r="K105" s="34">
        <f t="shared" si="42"/>
        <v>1</v>
      </c>
      <c r="L105" s="34">
        <f t="shared" si="43"/>
        <v>2.9467180850048433</v>
      </c>
      <c r="M105" s="15">
        <f t="shared" si="48"/>
        <v>5.3556786681121744E-8</v>
      </c>
      <c r="N105" s="15">
        <f t="shared" si="49"/>
        <v>8.9851627684072146E-8</v>
      </c>
      <c r="O105" s="15">
        <f t="shared" si="50"/>
        <v>1.4997657926518082E-7</v>
      </c>
      <c r="P105" s="15">
        <f t="shared" si="51"/>
        <v>1.5771098732624366E-5</v>
      </c>
      <c r="Q105" s="15">
        <f t="shared" si="52"/>
        <v>2.645899762302219E-5</v>
      </c>
      <c r="R105" s="15">
        <f t="shared" si="53"/>
        <v>4.4164252296454059E-5</v>
      </c>
      <c r="S105" s="15">
        <f t="shared" si="54"/>
        <v>0.83634100563613467</v>
      </c>
      <c r="T105" s="15">
        <f t="shared" si="55"/>
        <v>1.4031200397209216</v>
      </c>
      <c r="U105" s="15">
        <f t="shared" si="56"/>
        <v>2.3420292907289419</v>
      </c>
      <c r="V105" s="15">
        <f t="shared" si="57"/>
        <v>0</v>
      </c>
      <c r="W105" s="15">
        <f t="shared" si="58"/>
        <v>0</v>
      </c>
      <c r="X105" s="15">
        <f t="shared" si="59"/>
        <v>0</v>
      </c>
      <c r="Y105" s="15">
        <f t="shared" si="60"/>
        <v>0</v>
      </c>
      <c r="Z105" s="15">
        <f t="shared" si="61"/>
        <v>0</v>
      </c>
      <c r="AA105" s="15">
        <f t="shared" si="62"/>
        <v>0</v>
      </c>
      <c r="AB105" s="15">
        <f t="shared" si="63"/>
        <v>0</v>
      </c>
      <c r="AC105" s="15">
        <f t="shared" si="64"/>
        <v>0</v>
      </c>
      <c r="AD105" s="15">
        <f t="shared" si="65"/>
        <v>0</v>
      </c>
      <c r="AE105" s="15">
        <f t="shared" si="66"/>
        <v>0</v>
      </c>
      <c r="AF105" s="15">
        <f t="shared" si="67"/>
        <v>0</v>
      </c>
      <c r="AG105" s="15">
        <f t="shared" si="68"/>
        <v>0</v>
      </c>
      <c r="AJ105" s="33">
        <v>93</v>
      </c>
      <c r="AK105" s="35">
        <v>0.21463015999999999</v>
      </c>
      <c r="AL105" s="35">
        <v>0.17734</v>
      </c>
      <c r="AM105" s="34">
        <f t="shared" si="44"/>
        <v>0.17734</v>
      </c>
    </row>
    <row r="106" spans="1:39">
      <c r="A106" s="33">
        <v>54</v>
      </c>
      <c r="B106" s="16">
        <f t="shared" si="36"/>
        <v>121</v>
      </c>
      <c r="C106" s="34">
        <f t="shared" si="37"/>
        <v>1</v>
      </c>
      <c r="D106" s="34">
        <f t="shared" si="45"/>
        <v>0</v>
      </c>
      <c r="E106" s="34">
        <f t="shared" si="38"/>
        <v>0.85000279000000001</v>
      </c>
      <c r="F106" s="34">
        <f t="shared" si="46"/>
        <v>4.5868014671287762E-10</v>
      </c>
      <c r="G106" s="34">
        <f t="shared" si="39"/>
        <v>0.48130000000000001</v>
      </c>
      <c r="H106" s="34">
        <f t="shared" si="47"/>
        <v>7.5532250959990874E-5</v>
      </c>
      <c r="I106" s="34">
        <f t="shared" si="40"/>
        <v>0</v>
      </c>
      <c r="J106" s="34">
        <f t="shared" si="41"/>
        <v>0.14989263328643593</v>
      </c>
      <c r="K106" s="34">
        <f t="shared" si="42"/>
        <v>1</v>
      </c>
      <c r="L106" s="34">
        <f t="shared" si="43"/>
        <v>3.0085991647899446</v>
      </c>
      <c r="M106" s="15">
        <f t="shared" si="48"/>
        <v>0</v>
      </c>
      <c r="N106" s="15">
        <f t="shared" si="49"/>
        <v>0</v>
      </c>
      <c r="O106" s="15">
        <f t="shared" si="50"/>
        <v>0</v>
      </c>
      <c r="P106" s="15">
        <f t="shared" si="51"/>
        <v>2.6343723169671465E-6</v>
      </c>
      <c r="Q106" s="15">
        <f t="shared" si="52"/>
        <v>4.4638538236962954E-6</v>
      </c>
      <c r="R106" s="15">
        <f t="shared" si="53"/>
        <v>7.524649191170873E-6</v>
      </c>
      <c r="S106" s="15">
        <f t="shared" si="54"/>
        <v>0.43381007962346302</v>
      </c>
      <c r="T106" s="15">
        <f t="shared" si="55"/>
        <v>0.73507634824927426</v>
      </c>
      <c r="U106" s="15">
        <f t="shared" si="56"/>
        <v>1.239106804963124</v>
      </c>
      <c r="V106" s="15">
        <f t="shared" si="57"/>
        <v>0</v>
      </c>
      <c r="W106" s="15">
        <f t="shared" si="58"/>
        <v>0</v>
      </c>
      <c r="X106" s="15">
        <f t="shared" si="59"/>
        <v>0</v>
      </c>
      <c r="Y106" s="15">
        <f t="shared" si="60"/>
        <v>0</v>
      </c>
      <c r="Z106" s="15">
        <f t="shared" si="61"/>
        <v>0</v>
      </c>
      <c r="AA106" s="15">
        <f t="shared" si="62"/>
        <v>0</v>
      </c>
      <c r="AB106" s="15">
        <f t="shared" si="63"/>
        <v>0</v>
      </c>
      <c r="AC106" s="15">
        <f t="shared" si="64"/>
        <v>0</v>
      </c>
      <c r="AD106" s="15">
        <f t="shared" si="65"/>
        <v>0</v>
      </c>
      <c r="AE106" s="15">
        <f t="shared" si="66"/>
        <v>0</v>
      </c>
      <c r="AF106" s="15">
        <f t="shared" si="67"/>
        <v>0</v>
      </c>
      <c r="AG106" s="15">
        <f t="shared" si="68"/>
        <v>0</v>
      </c>
      <c r="AJ106" s="33">
        <v>94</v>
      </c>
      <c r="AK106" s="35">
        <v>0.23932139999999999</v>
      </c>
      <c r="AL106" s="35">
        <v>0.19681032000000001</v>
      </c>
      <c r="AM106" s="34">
        <f t="shared" si="44"/>
        <v>0.19681032000000001</v>
      </c>
    </row>
    <row r="107" spans="1:39">
      <c r="A107" s="33">
        <v>55</v>
      </c>
      <c r="B107" s="16">
        <f t="shared" si="36"/>
        <v>122</v>
      </c>
      <c r="C107" s="34">
        <f t="shared" si="37"/>
        <v>1</v>
      </c>
      <c r="D107" s="34">
        <f t="shared" si="45"/>
        <v>0</v>
      </c>
      <c r="E107" s="34">
        <f t="shared" si="38"/>
        <v>0.86665011999999997</v>
      </c>
      <c r="F107" s="34">
        <f t="shared" si="46"/>
        <v>6.8800742289322316E-11</v>
      </c>
      <c r="G107" s="34">
        <f t="shared" si="39"/>
        <v>0.48130000000000001</v>
      </c>
      <c r="H107" s="34">
        <f t="shared" si="47"/>
        <v>3.9178578572947259E-5</v>
      </c>
      <c r="I107" s="34">
        <f t="shared" si="40"/>
        <v>0</v>
      </c>
      <c r="J107" s="34">
        <f t="shared" si="41"/>
        <v>0.14471613706366851</v>
      </c>
      <c r="K107" s="34">
        <f t="shared" si="42"/>
        <v>1</v>
      </c>
      <c r="L107" s="34">
        <f t="shared" si="43"/>
        <v>3.0717797472505337</v>
      </c>
      <c r="M107" s="15">
        <f t="shared" si="48"/>
        <v>0</v>
      </c>
      <c r="N107" s="15">
        <f t="shared" si="49"/>
        <v>0</v>
      </c>
      <c r="O107" s="15">
        <f t="shared" si="50"/>
        <v>0</v>
      </c>
      <c r="P107" s="15">
        <f t="shared" si="51"/>
        <v>3.9514849764630762E-7</v>
      </c>
      <c r="Q107" s="15">
        <f t="shared" si="52"/>
        <v>6.7626127559629914E-7</v>
      </c>
      <c r="R107" s="15">
        <f t="shared" si="53"/>
        <v>1.1512499126024754E-6</v>
      </c>
      <c r="S107" s="15">
        <f t="shared" si="54"/>
        <v>0.22501728830069023</v>
      </c>
      <c r="T107" s="15">
        <f t="shared" si="55"/>
        <v>0.38509694285526758</v>
      </c>
      <c r="U107" s="15">
        <f t="shared" si="56"/>
        <v>0.65557919372905982</v>
      </c>
      <c r="V107" s="15">
        <f t="shared" si="57"/>
        <v>0</v>
      </c>
      <c r="W107" s="15">
        <f t="shared" si="58"/>
        <v>0</v>
      </c>
      <c r="X107" s="15">
        <f t="shared" si="59"/>
        <v>0</v>
      </c>
      <c r="Y107" s="15">
        <f t="shared" si="60"/>
        <v>0</v>
      </c>
      <c r="Z107" s="15">
        <f t="shared" si="61"/>
        <v>0</v>
      </c>
      <c r="AA107" s="15">
        <f t="shared" si="62"/>
        <v>0</v>
      </c>
      <c r="AB107" s="15">
        <f t="shared" si="63"/>
        <v>0</v>
      </c>
      <c r="AC107" s="15">
        <f t="shared" si="64"/>
        <v>0</v>
      </c>
      <c r="AD107" s="15">
        <f t="shared" si="65"/>
        <v>0</v>
      </c>
      <c r="AE107" s="15">
        <f t="shared" si="66"/>
        <v>0</v>
      </c>
      <c r="AF107" s="15">
        <f t="shared" si="67"/>
        <v>0</v>
      </c>
      <c r="AG107" s="15">
        <f t="shared" si="68"/>
        <v>0</v>
      </c>
      <c r="AJ107" s="33">
        <v>95</v>
      </c>
      <c r="AK107" s="35">
        <v>0.26224262999999998</v>
      </c>
      <c r="AL107" s="35">
        <v>0.21730975999999999</v>
      </c>
      <c r="AM107" s="34">
        <f t="shared" si="44"/>
        <v>0.21730975999999999</v>
      </c>
    </row>
    <row r="108" spans="1:39">
      <c r="A108" s="33">
        <v>56</v>
      </c>
      <c r="B108" s="16">
        <f t="shared" si="36"/>
        <v>123</v>
      </c>
      <c r="C108" s="34">
        <f t="shared" si="37"/>
        <v>1</v>
      </c>
      <c r="D108" s="34">
        <f t="shared" si="45"/>
        <v>0</v>
      </c>
      <c r="E108" s="34">
        <f t="shared" si="38"/>
        <v>1</v>
      </c>
      <c r="F108" s="34">
        <f t="shared" si="46"/>
        <v>9.1745707281920578E-12</v>
      </c>
      <c r="G108" s="34">
        <f t="shared" si="39"/>
        <v>0.48130000000000001</v>
      </c>
      <c r="H108" s="34">
        <f t="shared" si="47"/>
        <v>2.0321928705787739E-5</v>
      </c>
      <c r="I108" s="34">
        <f t="shared" si="40"/>
        <v>0</v>
      </c>
      <c r="J108" s="34">
        <f t="shared" si="41"/>
        <v>0.13971840955392462</v>
      </c>
      <c r="K108" s="34">
        <f t="shared" si="42"/>
        <v>1</v>
      </c>
      <c r="L108" s="34">
        <f t="shared" si="43"/>
        <v>3.1362871219427944</v>
      </c>
      <c r="M108" s="15">
        <f t="shared" si="48"/>
        <v>0</v>
      </c>
      <c r="N108" s="15">
        <f t="shared" si="49"/>
        <v>0</v>
      </c>
      <c r="O108" s="15">
        <f t="shared" si="50"/>
        <v>0</v>
      </c>
      <c r="P108" s="15">
        <f t="shared" si="51"/>
        <v>5.2693004743315419E-8</v>
      </c>
      <c r="Q108" s="15">
        <f t="shared" si="52"/>
        <v>9.1081153548907544E-8</v>
      </c>
      <c r="R108" s="15">
        <f t="shared" si="53"/>
        <v>1.5658941844946158E-7</v>
      </c>
      <c r="S108" s="15">
        <f t="shared" si="54"/>
        <v>0.11671646744156799</v>
      </c>
      <c r="T108" s="15">
        <f t="shared" si="55"/>
        <v>0.20174728210161746</v>
      </c>
      <c r="U108" s="15">
        <f t="shared" si="56"/>
        <v>0.34684990634300839</v>
      </c>
      <c r="V108" s="15">
        <f t="shared" si="57"/>
        <v>0</v>
      </c>
      <c r="W108" s="15">
        <f t="shared" si="58"/>
        <v>0</v>
      </c>
      <c r="X108" s="15">
        <f t="shared" si="59"/>
        <v>0</v>
      </c>
      <c r="Y108" s="15">
        <f t="shared" si="60"/>
        <v>0</v>
      </c>
      <c r="Z108" s="15">
        <f t="shared" si="61"/>
        <v>0</v>
      </c>
      <c r="AA108" s="15">
        <f t="shared" si="62"/>
        <v>0</v>
      </c>
      <c r="AB108" s="15">
        <f t="shared" si="63"/>
        <v>0</v>
      </c>
      <c r="AC108" s="15">
        <f t="shared" si="64"/>
        <v>0</v>
      </c>
      <c r="AD108" s="15">
        <f t="shared" si="65"/>
        <v>0</v>
      </c>
      <c r="AE108" s="15">
        <f t="shared" si="66"/>
        <v>0</v>
      </c>
      <c r="AF108" s="15">
        <f t="shared" si="67"/>
        <v>0</v>
      </c>
      <c r="AG108" s="15">
        <f t="shared" si="68"/>
        <v>0</v>
      </c>
      <c r="AJ108" s="33">
        <v>96</v>
      </c>
      <c r="AK108" s="35">
        <v>0.28277044000000001</v>
      </c>
      <c r="AL108" s="35">
        <v>0.23976866999999999</v>
      </c>
      <c r="AM108" s="34">
        <f t="shared" si="44"/>
        <v>0.23976866999999999</v>
      </c>
    </row>
    <row r="109" spans="1:39">
      <c r="A109" s="33">
        <v>57</v>
      </c>
      <c r="B109" s="16">
        <f t="shared" si="36"/>
        <v>124</v>
      </c>
      <c r="C109" s="34">
        <f t="shared" si="37"/>
        <v>1</v>
      </c>
      <c r="D109" s="34">
        <f t="shared" si="45"/>
        <v>0</v>
      </c>
      <c r="E109" s="34">
        <f t="shared" si="38"/>
        <v>1</v>
      </c>
      <c r="F109" s="34">
        <f t="shared" si="46"/>
        <v>0</v>
      </c>
      <c r="G109" s="34">
        <f t="shared" si="39"/>
        <v>0.48130000000000001</v>
      </c>
      <c r="H109" s="34">
        <f t="shared" si="47"/>
        <v>1.0540984419692099E-5</v>
      </c>
      <c r="I109" s="34">
        <f t="shared" si="40"/>
        <v>0</v>
      </c>
      <c r="J109" s="34">
        <f t="shared" si="41"/>
        <v>0.13489327703440396</v>
      </c>
      <c r="K109" s="34">
        <f t="shared" si="42"/>
        <v>1</v>
      </c>
      <c r="L109" s="34">
        <f t="shared" si="43"/>
        <v>3.2021491515035923</v>
      </c>
      <c r="M109" s="15">
        <f t="shared" si="48"/>
        <v>0</v>
      </c>
      <c r="N109" s="15">
        <f t="shared" si="49"/>
        <v>0</v>
      </c>
      <c r="O109" s="15">
        <f t="shared" si="50"/>
        <v>0</v>
      </c>
      <c r="P109" s="15">
        <f t="shared" si="51"/>
        <v>0</v>
      </c>
      <c r="Q109" s="15">
        <f t="shared" si="52"/>
        <v>0</v>
      </c>
      <c r="R109" s="15">
        <f t="shared" si="53"/>
        <v>0</v>
      </c>
      <c r="S109" s="15">
        <f t="shared" si="54"/>
        <v>6.0540831661941311E-2</v>
      </c>
      <c r="T109" s="15">
        <f t="shared" si="55"/>
        <v>0.10569277837837007</v>
      </c>
      <c r="U109" s="15">
        <f t="shared" si="56"/>
        <v>0.18350926734852083</v>
      </c>
      <c r="V109" s="15">
        <f t="shared" si="57"/>
        <v>0</v>
      </c>
      <c r="W109" s="15">
        <f t="shared" si="58"/>
        <v>0</v>
      </c>
      <c r="X109" s="15">
        <f t="shared" si="59"/>
        <v>0</v>
      </c>
      <c r="Y109" s="15">
        <f t="shared" si="60"/>
        <v>0</v>
      </c>
      <c r="Z109" s="15">
        <f t="shared" si="61"/>
        <v>0</v>
      </c>
      <c r="AA109" s="15">
        <f t="shared" si="62"/>
        <v>0</v>
      </c>
      <c r="AB109" s="15">
        <f t="shared" si="63"/>
        <v>0</v>
      </c>
      <c r="AC109" s="15">
        <f t="shared" si="64"/>
        <v>0</v>
      </c>
      <c r="AD109" s="15">
        <f t="shared" si="65"/>
        <v>0</v>
      </c>
      <c r="AE109" s="15">
        <f t="shared" si="66"/>
        <v>0</v>
      </c>
      <c r="AF109" s="15">
        <f t="shared" si="67"/>
        <v>0</v>
      </c>
      <c r="AG109" s="15">
        <f t="shared" si="68"/>
        <v>0</v>
      </c>
      <c r="AJ109" s="33">
        <v>97</v>
      </c>
      <c r="AK109" s="35">
        <v>0.30555279000000002</v>
      </c>
      <c r="AL109" s="35">
        <v>0.26281844999999998</v>
      </c>
      <c r="AM109" s="34">
        <f t="shared" si="44"/>
        <v>0.26281844999999998</v>
      </c>
    </row>
    <row r="110" spans="1:39">
      <c r="A110" s="33">
        <v>58</v>
      </c>
      <c r="B110" s="16">
        <f t="shared" si="36"/>
        <v>125</v>
      </c>
      <c r="C110" s="34">
        <f t="shared" si="37"/>
        <v>1</v>
      </c>
      <c r="D110" s="34">
        <f t="shared" si="45"/>
        <v>0</v>
      </c>
      <c r="E110" s="34">
        <f t="shared" si="38"/>
        <v>1</v>
      </c>
      <c r="F110" s="34">
        <f t="shared" si="46"/>
        <v>0</v>
      </c>
      <c r="G110" s="34">
        <f t="shared" si="39"/>
        <v>0.48130000000000001</v>
      </c>
      <c r="H110" s="34">
        <f t="shared" si="47"/>
        <v>5.4676086184942908E-6</v>
      </c>
      <c r="I110" s="34">
        <f t="shared" si="40"/>
        <v>0</v>
      </c>
      <c r="J110" s="34">
        <f t="shared" si="41"/>
        <v>0.13023477898993399</v>
      </c>
      <c r="K110" s="34">
        <f t="shared" si="42"/>
        <v>1</v>
      </c>
      <c r="L110" s="34">
        <f t="shared" si="43"/>
        <v>3.2693942836851675</v>
      </c>
      <c r="M110" s="15">
        <f t="shared" si="48"/>
        <v>0</v>
      </c>
      <c r="N110" s="15">
        <f t="shared" si="49"/>
        <v>0</v>
      </c>
      <c r="O110" s="15">
        <f t="shared" si="50"/>
        <v>0</v>
      </c>
      <c r="P110" s="15">
        <f t="shared" si="51"/>
        <v>0</v>
      </c>
      <c r="Q110" s="15">
        <f t="shared" si="52"/>
        <v>0</v>
      </c>
      <c r="R110" s="15">
        <f t="shared" si="53"/>
        <v>0</v>
      </c>
      <c r="S110" s="15">
        <f t="shared" si="54"/>
        <v>3.1402529383048952E-2</v>
      </c>
      <c r="T110" s="15">
        <f t="shared" si="55"/>
        <v>5.5371072586309161E-2</v>
      </c>
      <c r="U110" s="15">
        <f t="shared" si="56"/>
        <v>9.7089982113151271E-2</v>
      </c>
      <c r="V110" s="15">
        <f t="shared" si="57"/>
        <v>0</v>
      </c>
      <c r="W110" s="15">
        <f t="shared" si="58"/>
        <v>0</v>
      </c>
      <c r="X110" s="15">
        <f t="shared" si="59"/>
        <v>0</v>
      </c>
      <c r="Y110" s="15">
        <f t="shared" si="60"/>
        <v>0</v>
      </c>
      <c r="Z110" s="15">
        <f t="shared" si="61"/>
        <v>0</v>
      </c>
      <c r="AA110" s="15">
        <f t="shared" si="62"/>
        <v>0</v>
      </c>
      <c r="AB110" s="15">
        <f t="shared" si="63"/>
        <v>0</v>
      </c>
      <c r="AC110" s="15">
        <f t="shared" si="64"/>
        <v>0</v>
      </c>
      <c r="AD110" s="15">
        <f t="shared" si="65"/>
        <v>0</v>
      </c>
      <c r="AE110" s="15">
        <f t="shared" si="66"/>
        <v>0</v>
      </c>
      <c r="AF110" s="15">
        <f t="shared" si="67"/>
        <v>0</v>
      </c>
      <c r="AG110" s="15">
        <f t="shared" si="68"/>
        <v>0</v>
      </c>
      <c r="AJ110" s="33">
        <v>98</v>
      </c>
      <c r="AK110" s="35">
        <v>0.32893344000000002</v>
      </c>
      <c r="AL110" s="35">
        <v>0.28771509000000001</v>
      </c>
      <c r="AM110" s="34">
        <f t="shared" si="44"/>
        <v>0.28771509000000001</v>
      </c>
    </row>
    <row r="111" spans="1:39">
      <c r="A111" s="33">
        <v>59</v>
      </c>
      <c r="B111" s="16">
        <f t="shared" si="36"/>
        <v>126</v>
      </c>
      <c r="C111" s="34">
        <f t="shared" si="37"/>
        <v>1</v>
      </c>
      <c r="D111" s="34">
        <f t="shared" si="45"/>
        <v>0</v>
      </c>
      <c r="E111" s="34">
        <f t="shared" si="38"/>
        <v>1</v>
      </c>
      <c r="F111" s="34">
        <f t="shared" si="46"/>
        <v>0</v>
      </c>
      <c r="G111" s="34">
        <f t="shared" si="39"/>
        <v>0.48130000000000001</v>
      </c>
      <c r="H111" s="34">
        <f t="shared" si="47"/>
        <v>2.8360485904129882E-6</v>
      </c>
      <c r="I111" s="34">
        <f t="shared" si="40"/>
        <v>0</v>
      </c>
      <c r="J111" s="34">
        <f t="shared" si="41"/>
        <v>0.12573716074990976</v>
      </c>
      <c r="K111" s="34">
        <f t="shared" si="42"/>
        <v>1</v>
      </c>
      <c r="L111" s="34">
        <f t="shared" si="43"/>
        <v>3.3380515636425554</v>
      </c>
      <c r="M111" s="15">
        <f t="shared" si="48"/>
        <v>0</v>
      </c>
      <c r="N111" s="15">
        <f t="shared" si="49"/>
        <v>0</v>
      </c>
      <c r="O111" s="15">
        <f t="shared" si="50"/>
        <v>0</v>
      </c>
      <c r="P111" s="15">
        <f t="shared" si="51"/>
        <v>0</v>
      </c>
      <c r="Q111" s="15">
        <f t="shared" si="52"/>
        <v>0</v>
      </c>
      <c r="R111" s="15">
        <f t="shared" si="53"/>
        <v>0</v>
      </c>
      <c r="S111" s="15">
        <f t="shared" si="54"/>
        <v>1.6288491990987489E-2</v>
      </c>
      <c r="T111" s="15">
        <f t="shared" si="55"/>
        <v>2.9008185104023743E-2</v>
      </c>
      <c r="U111" s="15">
        <f t="shared" si="56"/>
        <v>5.1367785196533393E-2</v>
      </c>
      <c r="V111" s="15">
        <f t="shared" si="57"/>
        <v>0</v>
      </c>
      <c r="W111" s="15">
        <f t="shared" si="58"/>
        <v>0</v>
      </c>
      <c r="X111" s="15">
        <f t="shared" si="59"/>
        <v>0</v>
      </c>
      <c r="Y111" s="15">
        <f t="shared" si="60"/>
        <v>0</v>
      </c>
      <c r="Z111" s="15">
        <f t="shared" si="61"/>
        <v>0</v>
      </c>
      <c r="AA111" s="15">
        <f t="shared" si="62"/>
        <v>0</v>
      </c>
      <c r="AB111" s="15">
        <f t="shared" si="63"/>
        <v>0</v>
      </c>
      <c r="AC111" s="15">
        <f t="shared" si="64"/>
        <v>0</v>
      </c>
      <c r="AD111" s="15">
        <f t="shared" si="65"/>
        <v>0</v>
      </c>
      <c r="AE111" s="15">
        <f t="shared" si="66"/>
        <v>0</v>
      </c>
      <c r="AF111" s="15">
        <f t="shared" si="67"/>
        <v>0</v>
      </c>
      <c r="AG111" s="15">
        <f t="shared" si="68"/>
        <v>0</v>
      </c>
      <c r="AJ111" s="33">
        <v>99</v>
      </c>
      <c r="AK111" s="35">
        <v>0.35308292000000002</v>
      </c>
      <c r="AL111" s="35">
        <v>0.31494684000000001</v>
      </c>
      <c r="AM111" s="34">
        <f t="shared" si="44"/>
        <v>0.31494684000000001</v>
      </c>
    </row>
    <row r="112" spans="1:39">
      <c r="A112" s="33">
        <v>60</v>
      </c>
      <c r="B112" s="16">
        <f t="shared" si="36"/>
        <v>127</v>
      </c>
      <c r="C112" s="34">
        <f t="shared" si="37"/>
        <v>1</v>
      </c>
      <c r="D112" s="34">
        <f t="shared" si="45"/>
        <v>0</v>
      </c>
      <c r="E112" s="34">
        <f t="shared" si="38"/>
        <v>1</v>
      </c>
      <c r="F112" s="34">
        <f t="shared" si="46"/>
        <v>0</v>
      </c>
      <c r="G112" s="34">
        <f t="shared" si="39"/>
        <v>0.48130000000000001</v>
      </c>
      <c r="H112" s="34">
        <f t="shared" si="47"/>
        <v>1.4710584038472167E-6</v>
      </c>
      <c r="I112" s="34">
        <f t="shared" si="40"/>
        <v>0</v>
      </c>
      <c r="J112" s="34">
        <f t="shared" si="41"/>
        <v>0.12139486637951448</v>
      </c>
      <c r="K112" s="34">
        <f t="shared" si="42"/>
        <v>1</v>
      </c>
      <c r="L112" s="34">
        <f t="shared" si="43"/>
        <v>3.4081506464790494</v>
      </c>
      <c r="M112" s="15">
        <f t="shared" si="48"/>
        <v>0</v>
      </c>
      <c r="N112" s="15">
        <f t="shared" si="49"/>
        <v>0</v>
      </c>
      <c r="O112" s="15">
        <f t="shared" si="50"/>
        <v>0</v>
      </c>
      <c r="P112" s="15">
        <f t="shared" si="51"/>
        <v>0</v>
      </c>
      <c r="Q112" s="15">
        <f t="shared" si="52"/>
        <v>0</v>
      </c>
      <c r="R112" s="15">
        <f t="shared" si="53"/>
        <v>0</v>
      </c>
      <c r="S112" s="15">
        <f t="shared" si="54"/>
        <v>8.4488407957252088E-3</v>
      </c>
      <c r="T112" s="15">
        <f t="shared" si="55"/>
        <v>1.5197011069591679E-2</v>
      </c>
      <c r="U112" s="15">
        <f t="shared" si="56"/>
        <v>2.7177359585070702E-2</v>
      </c>
      <c r="V112" s="15">
        <f t="shared" si="57"/>
        <v>0</v>
      </c>
      <c r="W112" s="15">
        <f t="shared" si="58"/>
        <v>0</v>
      </c>
      <c r="X112" s="15">
        <f t="shared" si="59"/>
        <v>0</v>
      </c>
      <c r="Y112" s="15">
        <f t="shared" si="60"/>
        <v>0</v>
      </c>
      <c r="Z112" s="15">
        <f t="shared" si="61"/>
        <v>0</v>
      </c>
      <c r="AA112" s="15">
        <f t="shared" si="62"/>
        <v>0</v>
      </c>
      <c r="AB112" s="15">
        <f t="shared" si="63"/>
        <v>0</v>
      </c>
      <c r="AC112" s="15">
        <f t="shared" si="64"/>
        <v>0</v>
      </c>
      <c r="AD112" s="15">
        <f t="shared" si="65"/>
        <v>0</v>
      </c>
      <c r="AE112" s="15">
        <f t="shared" si="66"/>
        <v>0</v>
      </c>
      <c r="AF112" s="15">
        <f t="shared" si="67"/>
        <v>0</v>
      </c>
      <c r="AG112" s="15">
        <f t="shared" si="68"/>
        <v>0</v>
      </c>
      <c r="AJ112" s="33">
        <v>100</v>
      </c>
      <c r="AK112" s="35">
        <v>0.38260409000000001</v>
      </c>
      <c r="AL112" s="35">
        <v>0.34447652000000001</v>
      </c>
      <c r="AM112" s="34">
        <f t="shared" si="44"/>
        <v>0.34447652000000001</v>
      </c>
    </row>
    <row r="113" spans="1:39">
      <c r="A113" s="33">
        <v>61</v>
      </c>
      <c r="B113" s="16">
        <f t="shared" si="36"/>
        <v>128</v>
      </c>
      <c r="C113" s="34">
        <f t="shared" si="37"/>
        <v>1</v>
      </c>
      <c r="D113" s="34">
        <f t="shared" si="45"/>
        <v>0</v>
      </c>
      <c r="E113" s="34">
        <f t="shared" si="38"/>
        <v>1</v>
      </c>
      <c r="F113" s="34">
        <f t="shared" si="46"/>
        <v>0</v>
      </c>
      <c r="G113" s="34">
        <f t="shared" si="39"/>
        <v>0.48130000000000001</v>
      </c>
      <c r="H113" s="34">
        <f t="shared" si="47"/>
        <v>7.6303799407555122E-7</v>
      </c>
      <c r="I113" s="34">
        <f t="shared" si="40"/>
        <v>0</v>
      </c>
      <c r="J113" s="34">
        <f t="shared" si="41"/>
        <v>0.11720253181644044</v>
      </c>
      <c r="K113" s="34">
        <f t="shared" si="42"/>
        <v>1</v>
      </c>
      <c r="L113" s="34">
        <f t="shared" si="43"/>
        <v>3.4797218100551084</v>
      </c>
      <c r="M113" s="15">
        <f t="shared" si="48"/>
        <v>0</v>
      </c>
      <c r="N113" s="15">
        <f t="shared" si="49"/>
        <v>0</v>
      </c>
      <c r="O113" s="15">
        <f t="shared" si="50"/>
        <v>0</v>
      </c>
      <c r="P113" s="15">
        <f t="shared" si="51"/>
        <v>0</v>
      </c>
      <c r="Q113" s="15">
        <f t="shared" si="52"/>
        <v>0</v>
      </c>
      <c r="R113" s="15">
        <f t="shared" si="53"/>
        <v>0</v>
      </c>
      <c r="S113" s="15">
        <f t="shared" si="54"/>
        <v>4.3824137207426651E-3</v>
      </c>
      <c r="T113" s="15">
        <f t="shared" si="55"/>
        <v>7.9615165382151756E-3</v>
      </c>
      <c r="U113" s="15">
        <f t="shared" si="56"/>
        <v>1.4378834345111696E-2</v>
      </c>
      <c r="V113" s="15">
        <f t="shared" si="57"/>
        <v>0</v>
      </c>
      <c r="W113" s="15">
        <f t="shared" si="58"/>
        <v>0</v>
      </c>
      <c r="X113" s="15">
        <f t="shared" si="59"/>
        <v>0</v>
      </c>
      <c r="Y113" s="15">
        <f t="shared" si="60"/>
        <v>0</v>
      </c>
      <c r="Z113" s="15">
        <f t="shared" si="61"/>
        <v>0</v>
      </c>
      <c r="AA113" s="15">
        <f t="shared" si="62"/>
        <v>0</v>
      </c>
      <c r="AB113" s="15">
        <f t="shared" si="63"/>
        <v>0</v>
      </c>
      <c r="AC113" s="15">
        <f t="shared" si="64"/>
        <v>0</v>
      </c>
      <c r="AD113" s="15">
        <f t="shared" si="65"/>
        <v>0</v>
      </c>
      <c r="AE113" s="15">
        <f t="shared" si="66"/>
        <v>0</v>
      </c>
      <c r="AF113" s="15">
        <f t="shared" si="67"/>
        <v>0</v>
      </c>
      <c r="AG113" s="15">
        <f t="shared" si="68"/>
        <v>0</v>
      </c>
      <c r="AJ113" s="33">
        <v>101</v>
      </c>
      <c r="AK113" s="35">
        <v>0.41646154000000002</v>
      </c>
      <c r="AL113" s="35">
        <v>0.37610078000000002</v>
      </c>
      <c r="AM113" s="34">
        <f t="shared" si="44"/>
        <v>0.37610078000000002</v>
      </c>
    </row>
    <row r="114" spans="1:39">
      <c r="A114" s="33">
        <v>62</v>
      </c>
      <c r="B114" s="16">
        <f t="shared" si="36"/>
        <v>129</v>
      </c>
      <c r="C114" s="34">
        <f t="shared" si="37"/>
        <v>1</v>
      </c>
      <c r="D114" s="34">
        <f t="shared" si="45"/>
        <v>0</v>
      </c>
      <c r="E114" s="34">
        <f t="shared" si="38"/>
        <v>1</v>
      </c>
      <c r="F114" s="34">
        <f t="shared" si="46"/>
        <v>0</v>
      </c>
      <c r="G114" s="34">
        <f t="shared" si="39"/>
        <v>0.48130000000000001</v>
      </c>
      <c r="H114" s="34">
        <f t="shared" si="47"/>
        <v>3.9578780752698839E-7</v>
      </c>
      <c r="I114" s="34">
        <f t="shared" si="40"/>
        <v>0</v>
      </c>
      <c r="J114" s="34">
        <f t="shared" si="41"/>
        <v>0.11315497824463</v>
      </c>
      <c r="K114" s="34">
        <f t="shared" si="42"/>
        <v>1</v>
      </c>
      <c r="L114" s="34">
        <f t="shared" si="43"/>
        <v>3.5527959680662646</v>
      </c>
      <c r="M114" s="15">
        <f t="shared" si="48"/>
        <v>0</v>
      </c>
      <c r="N114" s="15">
        <f t="shared" si="49"/>
        <v>0</v>
      </c>
      <c r="O114" s="15">
        <f t="shared" si="50"/>
        <v>0</v>
      </c>
      <c r="P114" s="15">
        <f t="shared" si="51"/>
        <v>0</v>
      </c>
      <c r="Q114" s="15">
        <f t="shared" si="52"/>
        <v>0</v>
      </c>
      <c r="R114" s="15">
        <f t="shared" si="53"/>
        <v>0</v>
      </c>
      <c r="S114" s="15">
        <f t="shared" si="54"/>
        <v>2.2731579969492203E-3</v>
      </c>
      <c r="T114" s="15">
        <f t="shared" si="55"/>
        <v>4.1709350146559342E-3</v>
      </c>
      <c r="U114" s="15">
        <f t="shared" si="56"/>
        <v>7.6074674023056243E-3</v>
      </c>
      <c r="V114" s="15">
        <f t="shared" si="57"/>
        <v>0</v>
      </c>
      <c r="W114" s="15">
        <f t="shared" si="58"/>
        <v>0</v>
      </c>
      <c r="X114" s="15">
        <f t="shared" si="59"/>
        <v>0</v>
      </c>
      <c r="Y114" s="15">
        <f t="shared" si="60"/>
        <v>0</v>
      </c>
      <c r="Z114" s="15">
        <f t="shared" si="61"/>
        <v>0</v>
      </c>
      <c r="AA114" s="15">
        <f t="shared" si="62"/>
        <v>0</v>
      </c>
      <c r="AB114" s="15">
        <f t="shared" si="63"/>
        <v>0</v>
      </c>
      <c r="AC114" s="15">
        <f t="shared" si="64"/>
        <v>0</v>
      </c>
      <c r="AD114" s="15">
        <f t="shared" si="65"/>
        <v>0</v>
      </c>
      <c r="AE114" s="15">
        <f t="shared" si="66"/>
        <v>0</v>
      </c>
      <c r="AF114" s="15">
        <f t="shared" si="67"/>
        <v>0</v>
      </c>
      <c r="AG114" s="15">
        <f t="shared" si="68"/>
        <v>0</v>
      </c>
      <c r="AJ114" s="33">
        <v>102</v>
      </c>
      <c r="AK114" s="35">
        <v>0.44943527999999999</v>
      </c>
      <c r="AL114" s="35">
        <v>0.40733359000000002</v>
      </c>
      <c r="AM114" s="34">
        <f t="shared" si="44"/>
        <v>0.40733359000000002</v>
      </c>
    </row>
    <row r="115" spans="1:39">
      <c r="A115" s="33">
        <v>63</v>
      </c>
      <c r="B115" s="16">
        <f t="shared" si="36"/>
        <v>130</v>
      </c>
      <c r="C115" s="34">
        <f t="shared" si="37"/>
        <v>1</v>
      </c>
      <c r="D115" s="34">
        <f t="shared" si="45"/>
        <v>0</v>
      </c>
      <c r="E115" s="34">
        <f t="shared" si="38"/>
        <v>1</v>
      </c>
      <c r="F115" s="34">
        <f t="shared" si="46"/>
        <v>0</v>
      </c>
      <c r="G115" s="34">
        <f t="shared" si="39"/>
        <v>0.48130000000000001</v>
      </c>
      <c r="H115" s="34">
        <f t="shared" si="47"/>
        <v>2.0529513576424884E-7</v>
      </c>
      <c r="I115" s="34">
        <f t="shared" si="40"/>
        <v>0</v>
      </c>
      <c r="J115" s="34">
        <f t="shared" si="41"/>
        <v>0.10924720569685355</v>
      </c>
      <c r="K115" s="34">
        <f t="shared" si="42"/>
        <v>1</v>
      </c>
      <c r="L115" s="34">
        <f t="shared" si="43"/>
        <v>3.6274046833956568</v>
      </c>
      <c r="M115" s="15">
        <f t="shared" si="48"/>
        <v>0</v>
      </c>
      <c r="N115" s="15">
        <f t="shared" si="49"/>
        <v>0</v>
      </c>
      <c r="O115" s="15">
        <f t="shared" si="50"/>
        <v>0</v>
      </c>
      <c r="P115" s="15">
        <f t="shared" si="51"/>
        <v>0</v>
      </c>
      <c r="Q115" s="15">
        <f t="shared" si="52"/>
        <v>0</v>
      </c>
      <c r="R115" s="15">
        <f t="shared" si="53"/>
        <v>0</v>
      </c>
      <c r="S115" s="15">
        <f t="shared" si="54"/>
        <v>1.1790870530175605E-3</v>
      </c>
      <c r="T115" s="15">
        <f t="shared" si="55"/>
        <v>2.1850986320230532E-3</v>
      </c>
      <c r="U115" s="15">
        <f t="shared" si="56"/>
        <v>4.0249132084074464E-3</v>
      </c>
      <c r="V115" s="15">
        <f t="shared" si="57"/>
        <v>0</v>
      </c>
      <c r="W115" s="15">
        <f t="shared" si="58"/>
        <v>0</v>
      </c>
      <c r="X115" s="15">
        <f t="shared" si="59"/>
        <v>0</v>
      </c>
      <c r="Y115" s="15">
        <f t="shared" si="60"/>
        <v>0</v>
      </c>
      <c r="Z115" s="15">
        <f t="shared" si="61"/>
        <v>0</v>
      </c>
      <c r="AA115" s="15">
        <f t="shared" si="62"/>
        <v>0</v>
      </c>
      <c r="AB115" s="15">
        <f t="shared" si="63"/>
        <v>0</v>
      </c>
      <c r="AC115" s="15">
        <f t="shared" si="64"/>
        <v>0</v>
      </c>
      <c r="AD115" s="15">
        <f t="shared" si="65"/>
        <v>0</v>
      </c>
      <c r="AE115" s="15">
        <f t="shared" si="66"/>
        <v>0</v>
      </c>
      <c r="AF115" s="15">
        <f t="shared" si="67"/>
        <v>0</v>
      </c>
      <c r="AG115" s="15">
        <f t="shared" si="68"/>
        <v>0</v>
      </c>
      <c r="AJ115" s="33">
        <v>103</v>
      </c>
      <c r="AK115" s="35">
        <v>0.48299447000000001</v>
      </c>
      <c r="AL115" s="35">
        <v>0.43931974000000001</v>
      </c>
      <c r="AM115" s="34">
        <f t="shared" si="44"/>
        <v>0.43931974000000001</v>
      </c>
    </row>
    <row r="116" spans="1:39">
      <c r="A116" s="33">
        <v>64</v>
      </c>
      <c r="B116" s="16">
        <f t="shared" ref="B116:B147" si="69">Eta+A116</f>
        <v>131</v>
      </c>
      <c r="C116" s="34">
        <f t="shared" ref="C116:C147" si="70">IFERROR(INDEX($AM$52:$AM$131,MATCH(B116,$AJ$52:$AJ$131,0)),1)</f>
        <v>1</v>
      </c>
      <c r="D116" s="34">
        <f t="shared" si="45"/>
        <v>0</v>
      </c>
      <c r="E116" s="34">
        <f t="shared" ref="E116:E121" si="71">IFERROR(INDEX($AM$52:$AM$131,MATCH(B116-Tav_anni_meno,$AJ$52:$AJ$131,0)),1)</f>
        <v>1</v>
      </c>
      <c r="F116" s="34">
        <f t="shared" si="46"/>
        <v>0</v>
      </c>
      <c r="G116" s="34">
        <f t="shared" ref="G116:G121" si="72">MIN(1,C116*Tav_f)</f>
        <v>0.48130000000000001</v>
      </c>
      <c r="H116" s="34">
        <f t="shared" si="47"/>
        <v>1.0648658692091586E-7</v>
      </c>
      <c r="I116" s="34">
        <f t="shared" ref="I116:I147" si="73">CHOOSE(Tav_sel,D116,F116,H116)</f>
        <v>0</v>
      </c>
      <c r="J116" s="34">
        <f t="shared" ref="J116:J121" si="74">(1+Sconto_d)^-A116</f>
        <v>0.10547438687821963</v>
      </c>
      <c r="K116" s="34">
        <f t="shared" ref="K116:K121" si="75">(1+g_rata)^(A116-1)</f>
        <v>1</v>
      </c>
      <c r="L116" s="34">
        <f t="shared" ref="L116:L121" si="76">(1+g_due)^(A116-1)</f>
        <v>3.7035801817469647</v>
      </c>
      <c r="M116" s="15">
        <f t="shared" si="48"/>
        <v>0</v>
      </c>
      <c r="N116" s="15">
        <f t="shared" si="49"/>
        <v>0</v>
      </c>
      <c r="O116" s="15">
        <f t="shared" si="50"/>
        <v>0</v>
      </c>
      <c r="P116" s="15">
        <f t="shared" si="51"/>
        <v>0</v>
      </c>
      <c r="Q116" s="15">
        <f t="shared" si="52"/>
        <v>0</v>
      </c>
      <c r="R116" s="15">
        <f t="shared" si="53"/>
        <v>0</v>
      </c>
      <c r="S116" s="15">
        <f t="shared" si="54"/>
        <v>6.1159245440020854E-4</v>
      </c>
      <c r="T116" s="15">
        <f t="shared" si="55"/>
        <v>1.1447447670346609E-3</v>
      </c>
      <c r="U116" s="15">
        <f t="shared" si="56"/>
        <v>2.1294769308249605E-3</v>
      </c>
      <c r="V116" s="15">
        <f t="shared" si="57"/>
        <v>0</v>
      </c>
      <c r="W116" s="15">
        <f t="shared" si="58"/>
        <v>0</v>
      </c>
      <c r="X116" s="15">
        <f t="shared" si="59"/>
        <v>0</v>
      </c>
      <c r="Y116" s="15">
        <f t="shared" si="60"/>
        <v>0</v>
      </c>
      <c r="Z116" s="15">
        <f t="shared" si="61"/>
        <v>0</v>
      </c>
      <c r="AA116" s="15">
        <f t="shared" si="62"/>
        <v>0</v>
      </c>
      <c r="AB116" s="15">
        <f t="shared" si="63"/>
        <v>0</v>
      </c>
      <c r="AC116" s="15">
        <f t="shared" si="64"/>
        <v>0</v>
      </c>
      <c r="AD116" s="15">
        <f t="shared" si="65"/>
        <v>0</v>
      </c>
      <c r="AE116" s="15">
        <f t="shared" si="66"/>
        <v>0</v>
      </c>
      <c r="AF116" s="15">
        <f t="shared" si="67"/>
        <v>0</v>
      </c>
      <c r="AG116" s="15">
        <f t="shared" si="68"/>
        <v>0</v>
      </c>
      <c r="AJ116" s="33">
        <v>104</v>
      </c>
      <c r="AK116" s="35">
        <v>0.51685803999999991</v>
      </c>
      <c r="AL116" s="35">
        <v>0.47180672000000001</v>
      </c>
      <c r="AM116" s="34">
        <f t="shared" ref="AM116:AM147" si="77">IF(Sesso="F",AL116,AK116)</f>
        <v>0.47180672000000001</v>
      </c>
    </row>
    <row r="117" spans="1:39">
      <c r="A117" s="33">
        <v>65</v>
      </c>
      <c r="B117" s="16">
        <f t="shared" si="69"/>
        <v>132</v>
      </c>
      <c r="C117" s="34">
        <f t="shared" si="70"/>
        <v>1</v>
      </c>
      <c r="D117" s="34">
        <f t="shared" si="45"/>
        <v>0</v>
      </c>
      <c r="E117" s="34">
        <f t="shared" si="71"/>
        <v>1</v>
      </c>
      <c r="F117" s="34">
        <f t="shared" si="46"/>
        <v>0</v>
      </c>
      <c r="G117" s="34">
        <f t="shared" si="72"/>
        <v>0.48130000000000001</v>
      </c>
      <c r="H117" s="34">
        <f t="shared" si="47"/>
        <v>5.5234592635879049E-8</v>
      </c>
      <c r="I117" s="34">
        <f t="shared" si="73"/>
        <v>0</v>
      </c>
      <c r="J117" s="34">
        <f t="shared" si="74"/>
        <v>0.10183186120298872</v>
      </c>
      <c r="K117" s="34">
        <f t="shared" si="75"/>
        <v>1</v>
      </c>
      <c r="L117" s="34">
        <f t="shared" si="76"/>
        <v>3.7813553655636505</v>
      </c>
      <c r="M117" s="15">
        <f t="shared" si="48"/>
        <v>0</v>
      </c>
      <c r="N117" s="15">
        <f t="shared" si="49"/>
        <v>0</v>
      </c>
      <c r="O117" s="15">
        <f t="shared" si="50"/>
        <v>0</v>
      </c>
      <c r="P117" s="15">
        <f t="shared" si="51"/>
        <v>0</v>
      </c>
      <c r="Q117" s="15">
        <f t="shared" si="52"/>
        <v>0</v>
      </c>
      <c r="R117" s="15">
        <f t="shared" si="53"/>
        <v>0</v>
      </c>
      <c r="S117" s="15">
        <f t="shared" si="54"/>
        <v>3.172330060973881E-4</v>
      </c>
      <c r="T117" s="15">
        <f t="shared" si="55"/>
        <v>5.9971690176748732E-4</v>
      </c>
      <c r="U117" s="15">
        <f t="shared" si="56"/>
        <v>1.1266508776992851E-3</v>
      </c>
      <c r="V117" s="15">
        <f t="shared" si="57"/>
        <v>0</v>
      </c>
      <c r="W117" s="15">
        <f t="shared" si="58"/>
        <v>0</v>
      </c>
      <c r="X117" s="15">
        <f t="shared" si="59"/>
        <v>0</v>
      </c>
      <c r="Y117" s="15">
        <f t="shared" si="60"/>
        <v>0</v>
      </c>
      <c r="Z117" s="15">
        <f t="shared" si="61"/>
        <v>0</v>
      </c>
      <c r="AA117" s="15">
        <f t="shared" si="62"/>
        <v>0</v>
      </c>
      <c r="AB117" s="15">
        <f t="shared" si="63"/>
        <v>0</v>
      </c>
      <c r="AC117" s="15">
        <f t="shared" si="64"/>
        <v>0</v>
      </c>
      <c r="AD117" s="15">
        <f t="shared" si="65"/>
        <v>0</v>
      </c>
      <c r="AE117" s="15">
        <f t="shared" si="66"/>
        <v>0</v>
      </c>
      <c r="AF117" s="15">
        <f t="shared" si="67"/>
        <v>0</v>
      </c>
      <c r="AG117" s="15">
        <f t="shared" si="68"/>
        <v>0</v>
      </c>
      <c r="AJ117" s="33">
        <v>105</v>
      </c>
      <c r="AK117" s="35">
        <v>0.55072760000000009</v>
      </c>
      <c r="AL117" s="35">
        <v>0.50452679</v>
      </c>
      <c r="AM117" s="34">
        <f t="shared" si="77"/>
        <v>0.50452679</v>
      </c>
    </row>
    <row r="118" spans="1:39">
      <c r="A118" s="33">
        <v>66</v>
      </c>
      <c r="B118" s="16">
        <f t="shared" si="69"/>
        <v>133</v>
      </c>
      <c r="C118" s="34">
        <f t="shared" si="70"/>
        <v>1</v>
      </c>
      <c r="D118" s="34">
        <f t="shared" si="45"/>
        <v>0</v>
      </c>
      <c r="E118" s="34">
        <f t="shared" si="71"/>
        <v>1</v>
      </c>
      <c r="F118" s="34">
        <f t="shared" si="46"/>
        <v>0</v>
      </c>
      <c r="G118" s="34">
        <f t="shared" si="72"/>
        <v>0.48130000000000001</v>
      </c>
      <c r="H118" s="34">
        <f t="shared" si="47"/>
        <v>2.865018320023046E-8</v>
      </c>
      <c r="I118" s="34">
        <f t="shared" si="73"/>
        <v>0</v>
      </c>
      <c r="J118" s="34">
        <f t="shared" si="74"/>
        <v>9.8315129037323645E-2</v>
      </c>
      <c r="K118" s="34">
        <f t="shared" si="75"/>
        <v>1</v>
      </c>
      <c r="L118" s="34">
        <f t="shared" si="76"/>
        <v>3.8607638282404868</v>
      </c>
      <c r="M118" s="15">
        <f t="shared" si="48"/>
        <v>0</v>
      </c>
      <c r="N118" s="15">
        <f t="shared" si="49"/>
        <v>0</v>
      </c>
      <c r="O118" s="15">
        <f t="shared" si="50"/>
        <v>0</v>
      </c>
      <c r="P118" s="15">
        <f t="shared" si="51"/>
        <v>0</v>
      </c>
      <c r="Q118" s="15">
        <f t="shared" si="52"/>
        <v>0</v>
      </c>
      <c r="R118" s="15">
        <f t="shared" si="53"/>
        <v>0</v>
      </c>
      <c r="S118" s="15">
        <f t="shared" si="54"/>
        <v>1.6454876026271521E-4</v>
      </c>
      <c r="T118" s="15">
        <f t="shared" si="55"/>
        <v>3.1418388851626365E-4</v>
      </c>
      <c r="U118" s="15">
        <f t="shared" si="56"/>
        <v>5.9608168646787152E-4</v>
      </c>
      <c r="V118" s="15">
        <f t="shared" si="57"/>
        <v>0</v>
      </c>
      <c r="W118" s="15">
        <f t="shared" si="58"/>
        <v>0</v>
      </c>
      <c r="X118" s="15">
        <f t="shared" si="59"/>
        <v>0</v>
      </c>
      <c r="Y118" s="15">
        <f t="shared" si="60"/>
        <v>0</v>
      </c>
      <c r="Z118" s="15">
        <f t="shared" si="61"/>
        <v>0</v>
      </c>
      <c r="AA118" s="15">
        <f t="shared" si="62"/>
        <v>0</v>
      </c>
      <c r="AB118" s="15">
        <f t="shared" si="63"/>
        <v>0</v>
      </c>
      <c r="AC118" s="15">
        <f t="shared" si="64"/>
        <v>0</v>
      </c>
      <c r="AD118" s="15">
        <f t="shared" si="65"/>
        <v>0</v>
      </c>
      <c r="AE118" s="15">
        <f t="shared" si="66"/>
        <v>0</v>
      </c>
      <c r="AF118" s="15">
        <f t="shared" si="67"/>
        <v>0</v>
      </c>
      <c r="AG118" s="15">
        <f t="shared" si="68"/>
        <v>0</v>
      </c>
      <c r="AJ118" s="33">
        <v>106</v>
      </c>
      <c r="AK118" s="35">
        <v>0.58430561999999997</v>
      </c>
      <c r="AL118" s="35">
        <v>0.53720772999999999</v>
      </c>
      <c r="AM118" s="34">
        <f t="shared" si="77"/>
        <v>0.53720772999999999</v>
      </c>
    </row>
    <row r="119" spans="1:39">
      <c r="A119" s="33">
        <v>67</v>
      </c>
      <c r="B119" s="16">
        <f t="shared" si="69"/>
        <v>134</v>
      </c>
      <c r="C119" s="34">
        <f t="shared" si="70"/>
        <v>1</v>
      </c>
      <c r="D119" s="34">
        <f t="shared" si="45"/>
        <v>0</v>
      </c>
      <c r="E119" s="34">
        <f t="shared" si="71"/>
        <v>1</v>
      </c>
      <c r="F119" s="34">
        <f t="shared" si="46"/>
        <v>0</v>
      </c>
      <c r="G119" s="34">
        <f t="shared" si="72"/>
        <v>0.48130000000000001</v>
      </c>
      <c r="H119" s="34">
        <f t="shared" si="47"/>
        <v>1.4860850025959538E-8</v>
      </c>
      <c r="I119" s="34">
        <f t="shared" si="73"/>
        <v>0</v>
      </c>
      <c r="J119" s="34">
        <f t="shared" si="74"/>
        <v>9.4919846140864905E-2</v>
      </c>
      <c r="K119" s="34">
        <f t="shared" si="75"/>
        <v>1</v>
      </c>
      <c r="L119" s="34">
        <f t="shared" si="76"/>
        <v>3.9418398686335365</v>
      </c>
      <c r="M119" s="15">
        <f t="shared" si="48"/>
        <v>0</v>
      </c>
      <c r="N119" s="15">
        <f t="shared" si="49"/>
        <v>0</v>
      </c>
      <c r="O119" s="15">
        <f t="shared" si="50"/>
        <v>0</v>
      </c>
      <c r="P119" s="15">
        <f t="shared" si="51"/>
        <v>0</v>
      </c>
      <c r="Q119" s="15">
        <f t="shared" si="52"/>
        <v>0</v>
      </c>
      <c r="R119" s="15">
        <f t="shared" si="53"/>
        <v>0</v>
      </c>
      <c r="S119" s="15">
        <f t="shared" si="54"/>
        <v>8.5351441948270369E-5</v>
      </c>
      <c r="T119" s="15">
        <f t="shared" si="55"/>
        <v>1.6459685480311982E-4</v>
      </c>
      <c r="U119" s="15">
        <f t="shared" si="56"/>
        <v>3.1537132218630259E-4</v>
      </c>
      <c r="V119" s="15">
        <f t="shared" si="57"/>
        <v>0</v>
      </c>
      <c r="W119" s="15">
        <f t="shared" si="58"/>
        <v>0</v>
      </c>
      <c r="X119" s="15">
        <f t="shared" si="59"/>
        <v>0</v>
      </c>
      <c r="Y119" s="15">
        <f t="shared" si="60"/>
        <v>0</v>
      </c>
      <c r="Z119" s="15">
        <f t="shared" si="61"/>
        <v>0</v>
      </c>
      <c r="AA119" s="15">
        <f t="shared" si="62"/>
        <v>0</v>
      </c>
      <c r="AB119" s="15">
        <f t="shared" si="63"/>
        <v>0</v>
      </c>
      <c r="AC119" s="15">
        <f t="shared" si="64"/>
        <v>0</v>
      </c>
      <c r="AD119" s="15">
        <f t="shared" si="65"/>
        <v>0</v>
      </c>
      <c r="AE119" s="15">
        <f t="shared" si="66"/>
        <v>0</v>
      </c>
      <c r="AF119" s="15">
        <f t="shared" si="67"/>
        <v>0</v>
      </c>
      <c r="AG119" s="15">
        <f t="shared" si="68"/>
        <v>0</v>
      </c>
      <c r="AJ119" s="33">
        <v>107</v>
      </c>
      <c r="AK119" s="35">
        <v>0.61729837999999992</v>
      </c>
      <c r="AL119" s="35">
        <v>0.56957663999999997</v>
      </c>
      <c r="AM119" s="34">
        <f t="shared" si="77"/>
        <v>0.56957663999999997</v>
      </c>
    </row>
    <row r="120" spans="1:39">
      <c r="A120" s="33">
        <v>68</v>
      </c>
      <c r="B120" s="16">
        <f t="shared" si="69"/>
        <v>135</v>
      </c>
      <c r="C120" s="34">
        <f t="shared" si="70"/>
        <v>1</v>
      </c>
      <c r="D120" s="34">
        <f t="shared" si="45"/>
        <v>0</v>
      </c>
      <c r="E120" s="34">
        <f t="shared" si="71"/>
        <v>1</v>
      </c>
      <c r="F120" s="34">
        <f t="shared" si="46"/>
        <v>0</v>
      </c>
      <c r="G120" s="34">
        <f t="shared" si="72"/>
        <v>0.48130000000000001</v>
      </c>
      <c r="H120" s="34">
        <f t="shared" si="47"/>
        <v>7.7083229084652115E-9</v>
      </c>
      <c r="I120" s="34">
        <f t="shared" si="73"/>
        <v>0</v>
      </c>
      <c r="J120" s="34">
        <f t="shared" si="74"/>
        <v>9.1641818300264438E-2</v>
      </c>
      <c r="K120" s="34">
        <f t="shared" si="75"/>
        <v>1</v>
      </c>
      <c r="L120" s="34">
        <f t="shared" si="76"/>
        <v>4.02461850587484</v>
      </c>
      <c r="M120" s="15">
        <f t="shared" si="48"/>
        <v>0</v>
      </c>
      <c r="N120" s="15">
        <f t="shared" si="49"/>
        <v>0</v>
      </c>
      <c r="O120" s="15">
        <f t="shared" si="50"/>
        <v>0</v>
      </c>
      <c r="P120" s="15">
        <f t="shared" si="51"/>
        <v>0</v>
      </c>
      <c r="Q120" s="15">
        <f t="shared" si="52"/>
        <v>0</v>
      </c>
      <c r="R120" s="15">
        <f t="shared" si="53"/>
        <v>0</v>
      </c>
      <c r="S120" s="15">
        <f t="shared" si="54"/>
        <v>4.427179293856783E-5</v>
      </c>
      <c r="T120" s="15">
        <f t="shared" si="55"/>
        <v>8.6230152472242005E-5</v>
      </c>
      <c r="U120" s="15">
        <f t="shared" si="56"/>
        <v>1.6685476691439584E-4</v>
      </c>
      <c r="V120" s="15">
        <f t="shared" si="57"/>
        <v>0</v>
      </c>
      <c r="W120" s="15">
        <f t="shared" si="58"/>
        <v>0</v>
      </c>
      <c r="X120" s="15">
        <f t="shared" si="59"/>
        <v>0</v>
      </c>
      <c r="Y120" s="15">
        <f t="shared" si="60"/>
        <v>0</v>
      </c>
      <c r="Z120" s="15">
        <f t="shared" si="61"/>
        <v>0</v>
      </c>
      <c r="AA120" s="15">
        <f t="shared" si="62"/>
        <v>0</v>
      </c>
      <c r="AB120" s="15">
        <f t="shared" si="63"/>
        <v>0</v>
      </c>
      <c r="AC120" s="15">
        <f t="shared" si="64"/>
        <v>0</v>
      </c>
      <c r="AD120" s="15">
        <f t="shared" si="65"/>
        <v>0</v>
      </c>
      <c r="AE120" s="15">
        <f t="shared" si="66"/>
        <v>0</v>
      </c>
      <c r="AF120" s="15">
        <f t="shared" si="67"/>
        <v>0</v>
      </c>
      <c r="AG120" s="15">
        <f t="shared" si="68"/>
        <v>0</v>
      </c>
      <c r="AJ120" s="33">
        <v>108</v>
      </c>
      <c r="AK120" s="35">
        <v>0.64943421999999995</v>
      </c>
      <c r="AL120" s="35">
        <v>0.60137571999999995</v>
      </c>
      <c r="AM120" s="34">
        <f t="shared" si="77"/>
        <v>0.60137571999999995</v>
      </c>
    </row>
    <row r="121" spans="1:39">
      <c r="A121" s="33">
        <v>69</v>
      </c>
      <c r="B121" s="16">
        <f t="shared" si="69"/>
        <v>136</v>
      </c>
      <c r="C121" s="34">
        <f t="shared" si="70"/>
        <v>1</v>
      </c>
      <c r="D121" s="34">
        <f t="shared" si="45"/>
        <v>0</v>
      </c>
      <c r="E121" s="34">
        <f t="shared" si="71"/>
        <v>1</v>
      </c>
      <c r="F121" s="34">
        <f t="shared" si="46"/>
        <v>0</v>
      </c>
      <c r="G121" s="34">
        <f t="shared" si="72"/>
        <v>0.48130000000000001</v>
      </c>
      <c r="H121" s="34">
        <f t="shared" si="47"/>
        <v>3.9983070926209045E-9</v>
      </c>
      <c r="I121" s="34">
        <f t="shared" si="73"/>
        <v>0</v>
      </c>
      <c r="J121" s="34">
        <f t="shared" si="74"/>
        <v>8.8476996148048742E-2</v>
      </c>
      <c r="K121" s="34">
        <f t="shared" si="75"/>
        <v>1</v>
      </c>
      <c r="L121" s="34">
        <f t="shared" si="76"/>
        <v>4.1091354944982115</v>
      </c>
      <c r="M121" s="15">
        <f t="shared" si="48"/>
        <v>0</v>
      </c>
      <c r="N121" s="15">
        <f t="shared" si="49"/>
        <v>0</v>
      </c>
      <c r="O121" s="15">
        <f t="shared" si="50"/>
        <v>0</v>
      </c>
      <c r="P121" s="15">
        <f t="shared" si="51"/>
        <v>0</v>
      </c>
      <c r="Q121" s="15">
        <f t="shared" si="52"/>
        <v>0</v>
      </c>
      <c r="R121" s="15">
        <f t="shared" si="53"/>
        <v>0</v>
      </c>
      <c r="S121" s="15">
        <f t="shared" si="54"/>
        <v>2.296377899723513E-5</v>
      </c>
      <c r="T121" s="15">
        <f t="shared" si="55"/>
        <v>4.5174855888225444E-5</v>
      </c>
      <c r="U121" s="15">
        <f t="shared" si="56"/>
        <v>8.8278518950467055E-5</v>
      </c>
      <c r="V121" s="15">
        <f t="shared" si="57"/>
        <v>0</v>
      </c>
      <c r="W121" s="15">
        <f t="shared" si="58"/>
        <v>0</v>
      </c>
      <c r="X121" s="15">
        <f t="shared" si="59"/>
        <v>0</v>
      </c>
      <c r="Y121" s="15">
        <f t="shared" si="60"/>
        <v>0</v>
      </c>
      <c r="Z121" s="15">
        <f t="shared" si="61"/>
        <v>0</v>
      </c>
      <c r="AA121" s="15">
        <f t="shared" si="62"/>
        <v>0</v>
      </c>
      <c r="AB121" s="15">
        <f t="shared" si="63"/>
        <v>0</v>
      </c>
      <c r="AC121" s="15">
        <f t="shared" si="64"/>
        <v>0</v>
      </c>
      <c r="AD121" s="15">
        <f t="shared" si="65"/>
        <v>0</v>
      </c>
      <c r="AE121" s="15">
        <f t="shared" si="66"/>
        <v>0</v>
      </c>
      <c r="AF121" s="15">
        <f t="shared" si="67"/>
        <v>0</v>
      </c>
      <c r="AG121" s="15">
        <f t="shared" si="68"/>
        <v>0</v>
      </c>
      <c r="AJ121" s="33">
        <v>109</v>
      </c>
      <c r="AK121" s="35">
        <v>0.68046249999999997</v>
      </c>
      <c r="AL121" s="35">
        <v>0.63236824000000003</v>
      </c>
      <c r="AM121" s="34">
        <f t="shared" si="77"/>
        <v>0.63236824000000003</v>
      </c>
    </row>
    <row r="122" spans="1:39">
      <c r="AJ122" s="33">
        <v>110</v>
      </c>
      <c r="AK122" s="35">
        <v>0.71016776000000004</v>
      </c>
      <c r="AL122" s="35">
        <v>0.66234070999999994</v>
      </c>
      <c r="AM122" s="34">
        <f t="shared" si="77"/>
        <v>0.66234070999999994</v>
      </c>
    </row>
    <row r="123" spans="1:39">
      <c r="AJ123" s="33">
        <v>111</v>
      </c>
      <c r="AK123" s="35">
        <v>0.73837073999999991</v>
      </c>
      <c r="AL123" s="35">
        <v>0.69111386000000008</v>
      </c>
      <c r="AM123" s="34">
        <f t="shared" si="77"/>
        <v>0.69111386000000008</v>
      </c>
    </row>
    <row r="124" spans="1:39">
      <c r="AJ124" s="33">
        <v>112</v>
      </c>
      <c r="AK124" s="35">
        <v>0.76493447999999997</v>
      </c>
      <c r="AL124" s="35">
        <v>0.71854489999999993</v>
      </c>
      <c r="AM124" s="34">
        <f t="shared" si="77"/>
        <v>0.71854489999999993</v>
      </c>
    </row>
    <row r="125" spans="1:39">
      <c r="AJ125" s="33">
        <v>113</v>
      </c>
      <c r="AK125" s="35">
        <v>0.78975930000000005</v>
      </c>
      <c r="AL125" s="35">
        <v>0.74452484000000008</v>
      </c>
      <c r="AM125" s="34">
        <f t="shared" si="77"/>
        <v>0.74452484000000008</v>
      </c>
    </row>
    <row r="126" spans="1:39">
      <c r="AJ126" s="33">
        <v>114</v>
      </c>
      <c r="AK126" s="35">
        <v>0.81278686</v>
      </c>
      <c r="AL126" s="35">
        <v>0.76898069000000002</v>
      </c>
      <c r="AM126" s="34">
        <f t="shared" si="77"/>
        <v>0.76898069000000002</v>
      </c>
    </row>
    <row r="127" spans="1:39">
      <c r="AJ127" s="33">
        <v>115</v>
      </c>
      <c r="AK127" s="35">
        <v>0.83399314000000002</v>
      </c>
      <c r="AL127" s="35">
        <v>0.79187375999999998</v>
      </c>
      <c r="AM127" s="34">
        <f t="shared" si="77"/>
        <v>0.79187375999999998</v>
      </c>
    </row>
    <row r="128" spans="1:39">
      <c r="AJ128" s="33">
        <v>116</v>
      </c>
      <c r="AK128" s="35">
        <v>0.85338842000000004</v>
      </c>
      <c r="AL128" s="35">
        <v>0.81319595</v>
      </c>
      <c r="AM128" s="34">
        <f t="shared" si="77"/>
        <v>0.81319595</v>
      </c>
    </row>
    <row r="129" spans="36:39">
      <c r="AJ129" s="33">
        <v>117</v>
      </c>
      <c r="AK129" s="35">
        <v>0.87100827999999997</v>
      </c>
      <c r="AL129" s="35">
        <v>0.83296203000000002</v>
      </c>
      <c r="AM129" s="34">
        <f t="shared" si="77"/>
        <v>0.83296203000000002</v>
      </c>
    </row>
    <row r="130" spans="36:39">
      <c r="AJ130" s="33">
        <v>118</v>
      </c>
      <c r="AK130" s="35">
        <v>0.88691255000000002</v>
      </c>
      <c r="AL130" s="35">
        <v>0.85000279000000001</v>
      </c>
      <c r="AM130" s="34">
        <f t="shared" si="77"/>
        <v>0.85000279000000001</v>
      </c>
    </row>
    <row r="131" spans="36:39">
      <c r="AJ131" s="33">
        <v>119</v>
      </c>
      <c r="AK131" s="35">
        <v>0.90117727999999997</v>
      </c>
      <c r="AL131" s="35">
        <v>0.86665011999999997</v>
      </c>
      <c r="AM131" s="34">
        <f t="shared" si="77"/>
        <v>0.86665011999999997</v>
      </c>
    </row>
  </sheetData>
  <mergeCells count="10">
    <mergeCell ref="A1:L1"/>
    <mergeCell ref="A23:F23"/>
    <mergeCell ref="A32:F32"/>
    <mergeCell ref="A4:F4"/>
    <mergeCell ref="A50:L50"/>
    <mergeCell ref="A38:F38"/>
    <mergeCell ref="A2:L2"/>
    <mergeCell ref="A13:F13"/>
    <mergeCell ref="A3:G3"/>
    <mergeCell ref="A44:F44"/>
  </mergeCells>
  <dataValidations count="1">
    <dataValidation type="list" sqref="B5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2" customWidth="1"/>
    <col min="2" max="3" width="20" customWidth="1"/>
    <col min="4" max="5" width="18" customWidth="1"/>
    <col min="6" max="11" width="20" customWidth="1"/>
  </cols>
  <sheetData>
    <row r="1" spans="1:11" ht="24.95" customHeight="1">
      <c r="A1" s="47" t="s">
        <v>217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32.1" customHeight="1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ht="50.1" customHeight="1">
      <c r="A3" s="50" t="s">
        <v>218</v>
      </c>
      <c r="B3" s="46"/>
      <c r="C3" s="46"/>
      <c r="D3" s="46"/>
      <c r="E3" s="46"/>
      <c r="F3" s="46"/>
      <c r="G3" s="46"/>
      <c r="H3" s="46"/>
    </row>
    <row r="4" spans="1:11">
      <c r="A4" s="48" t="s">
        <v>219</v>
      </c>
      <c r="B4" s="46"/>
      <c r="C4" s="46"/>
      <c r="D4" s="46"/>
    </row>
    <row r="5" spans="1:11">
      <c r="A5" s="5" t="s">
        <v>220</v>
      </c>
      <c r="B5" s="24">
        <f>K_fondo</f>
        <v>150000</v>
      </c>
    </row>
    <row r="6" spans="1:11">
      <c r="A6" s="5" t="s">
        <v>221</v>
      </c>
      <c r="B6" s="6">
        <v>450000</v>
      </c>
    </row>
    <row r="7" spans="1:11" ht="90" customHeight="1">
      <c r="A7" s="5" t="s">
        <v>222</v>
      </c>
      <c r="B7" s="6">
        <v>280779</v>
      </c>
      <c r="C7" s="7" t="s">
        <v>223</v>
      </c>
    </row>
    <row r="8" spans="1:11">
      <c r="A8" s="5" t="s">
        <v>224</v>
      </c>
      <c r="B8" s="6">
        <v>30000</v>
      </c>
    </row>
    <row r="9" spans="1:11">
      <c r="A9" s="5" t="s">
        <v>65</v>
      </c>
      <c r="B9" s="24">
        <f>Spesa_ess</f>
        <v>21600</v>
      </c>
    </row>
    <row r="10" spans="1:11">
      <c r="A10" s="5" t="s">
        <v>225</v>
      </c>
      <c r="B10" s="24">
        <f>Pubblica</f>
        <v>15000</v>
      </c>
    </row>
    <row r="11" spans="1:11">
      <c r="A11" s="5" t="s">
        <v>226</v>
      </c>
      <c r="B11" s="12">
        <v>2E-3</v>
      </c>
    </row>
    <row r="12" spans="1:11">
      <c r="A12" s="5" t="s">
        <v>227</v>
      </c>
      <c r="B12" s="12">
        <v>0.26</v>
      </c>
    </row>
    <row r="13" spans="1:11" ht="60" customHeight="1">
      <c r="A13" s="5" t="s">
        <v>228</v>
      </c>
      <c r="B13" s="12">
        <v>0</v>
      </c>
      <c r="C13" s="7" t="s">
        <v>229</v>
      </c>
    </row>
    <row r="14" spans="1:11">
      <c r="A14" s="5" t="s">
        <v>230</v>
      </c>
      <c r="B14" s="36">
        <v>0.124</v>
      </c>
    </row>
    <row r="15" spans="1:11" ht="30">
      <c r="A15" s="5" t="s">
        <v>231</v>
      </c>
      <c r="B15" s="36">
        <v>0.5</v>
      </c>
    </row>
    <row r="16" spans="1:11">
      <c r="A16" s="5" t="s">
        <v>232</v>
      </c>
      <c r="B16" s="12">
        <v>2.1000000000000001E-2</v>
      </c>
    </row>
    <row r="17" spans="1:4">
      <c r="A17" s="5" t="s">
        <v>233</v>
      </c>
      <c r="B17" s="37">
        <v>546.24</v>
      </c>
    </row>
    <row r="18" spans="1:4">
      <c r="A18" s="5" t="s">
        <v>234</v>
      </c>
      <c r="B18" s="36">
        <v>0.7</v>
      </c>
    </row>
    <row r="20" spans="1:4">
      <c r="A20" s="48" t="s">
        <v>235</v>
      </c>
      <c r="B20" s="46"/>
      <c r="C20" s="46"/>
      <c r="D20" s="46"/>
    </row>
    <row r="21" spans="1:4">
      <c r="A21" s="5" t="s">
        <v>236</v>
      </c>
      <c r="B21" s="24">
        <f>P_spesa-Pubblica</f>
        <v>15000</v>
      </c>
    </row>
    <row r="22" spans="1:4">
      <c r="A22" s="5" t="s">
        <v>237</v>
      </c>
      <c r="B22" s="14">
        <f>(P_port-P_base)/P_port</f>
        <v>0.37604666666666664</v>
      </c>
    </row>
    <row r="23" spans="1:4">
      <c r="A23" s="5" t="s">
        <v>238</v>
      </c>
      <c r="B23" s="14">
        <f>P_cg*P_latente</f>
        <v>9.777213333333333E-2</v>
      </c>
    </row>
    <row r="24" spans="1:4">
      <c r="A24" s="5" t="s">
        <v>239</v>
      </c>
      <c r="B24" s="14">
        <f>(P_fondo*Aliq_eff+P_port*P_tp)/(P_fondo+P_port)</f>
        <v>9.7466783500000001E-2</v>
      </c>
    </row>
    <row r="25" spans="1:4">
      <c r="A25" s="5" t="s">
        <v>240</v>
      </c>
      <c r="B25" s="24">
        <f>P_quota_cap*P_fondo*(1-Aliq_eff)</f>
        <v>67758.694950000005</v>
      </c>
    </row>
    <row r="26" spans="1:4">
      <c r="A26" s="5" t="s">
        <v>241</v>
      </c>
      <c r="B26" s="24">
        <f>P_port+S2_cap_netto</f>
        <v>517758.69495000003</v>
      </c>
    </row>
    <row r="27" spans="1:4">
      <c r="A27" s="5" t="s">
        <v>242</v>
      </c>
      <c r="B27" s="14">
        <f>P_cg*(P_port-P_base)/S2_port</f>
        <v>8.4976767032852701E-2</v>
      </c>
    </row>
    <row r="28" spans="1:4">
      <c r="A28" s="5" t="s">
        <v>243</v>
      </c>
      <c r="B28" s="15">
        <f>(1-P_quota_cap)*Rata_netta1</f>
        <v>2594.4241899186909</v>
      </c>
    </row>
    <row r="29" spans="1:4">
      <c r="A29" s="5" t="s">
        <v>244</v>
      </c>
      <c r="B29" s="15">
        <f>MAX(0,Gap_ess-Rata_netta1)</f>
        <v>1411.1516201626182</v>
      </c>
    </row>
    <row r="30" spans="1:4">
      <c r="A30" s="5" t="s">
        <v>245</v>
      </c>
      <c r="B30" s="24">
        <f>S3_gap_res/(c_use*(1-P_load)*(1-P_cg*P_q))</f>
        <v>38082.904081301691</v>
      </c>
    </row>
    <row r="31" spans="1:4">
      <c r="A31" s="5" t="s">
        <v>246</v>
      </c>
      <c r="B31" s="24">
        <f>S3_premio/(1-P_tp)</f>
        <v>42209.851289565238</v>
      </c>
    </row>
    <row r="32" spans="1:4">
      <c r="A32" s="5" t="s">
        <v>247</v>
      </c>
      <c r="B32" s="24">
        <f>P_port-S3_vendita</f>
        <v>407790.14871043479</v>
      </c>
    </row>
    <row r="33" spans="1:11" ht="75" customHeight="1">
      <c r="A33" s="5" t="s">
        <v>248</v>
      </c>
      <c r="B33" s="24">
        <f>P_assegno*13/2/(P_quota_soglia*c_use)</f>
        <v>132471.62504250085</v>
      </c>
      <c r="C33" s="7" t="s">
        <v>249</v>
      </c>
    </row>
    <row r="35" spans="1:11">
      <c r="A35" s="48" t="s">
        <v>250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</row>
    <row r="36" spans="1:11" ht="62.1" customHeight="1">
      <c r="A36" s="20" t="s">
        <v>251</v>
      </c>
      <c r="B36" s="20" t="s">
        <v>252</v>
      </c>
      <c r="C36" s="20" t="s">
        <v>253</v>
      </c>
      <c r="D36" s="20" t="s">
        <v>254</v>
      </c>
      <c r="E36" s="20" t="s">
        <v>255</v>
      </c>
      <c r="F36" s="20" t="s">
        <v>256</v>
      </c>
      <c r="G36" s="20" t="s">
        <v>257</v>
      </c>
      <c r="H36" s="20" t="s">
        <v>258</v>
      </c>
      <c r="I36" s="20" t="s">
        <v>259</v>
      </c>
      <c r="J36" s="20" t="s">
        <v>260</v>
      </c>
      <c r="K36" s="20" t="s">
        <v>261</v>
      </c>
    </row>
    <row r="37" spans="1:11">
      <c r="A37" s="38" t="s">
        <v>262</v>
      </c>
      <c r="B37" s="24">
        <f>(P_gap+P_bollo*P_port)/(1-P_tmix)</f>
        <v>17617.080135465574</v>
      </c>
      <c r="C37" s="24">
        <f>P_fondo+P_port</f>
        <v>600000</v>
      </c>
      <c r="D37" s="14">
        <f>B37/C37</f>
        <v>2.9361800225775957E-2</v>
      </c>
      <c r="E37" s="39" t="str">
        <f>IF(D37&lt;r_reale,"sì","no")</f>
        <v>sì</v>
      </c>
      <c r="F37" s="14">
        <f>D37</f>
        <v>2.9361800225775957E-2</v>
      </c>
      <c r="G37" s="14">
        <f>D37</f>
        <v>2.9361800225775957E-2</v>
      </c>
      <c r="H37" s="14">
        <f>D37</f>
        <v>2.9361800225775957E-2</v>
      </c>
      <c r="I37" s="14">
        <f>D37</f>
        <v>2.9361800225775957E-2</v>
      </c>
      <c r="J37" s="24">
        <f>B37/SWR_studio</f>
        <v>762644.16170846648</v>
      </c>
      <c r="K37" s="24">
        <f>C37-J37</f>
        <v>-162644.16170846648</v>
      </c>
    </row>
    <row r="38" spans="1:11">
      <c r="A38" s="38" t="s">
        <v>263</v>
      </c>
      <c r="B38" s="24">
        <f>(P_gap-Rata_netta1+P_bollo*P_port)/(1-P_tp)</f>
        <v>11871.891809034441</v>
      </c>
      <c r="C38" s="24">
        <f>P_port</f>
        <v>450000</v>
      </c>
      <c r="D38" s="14">
        <f>B38/C38</f>
        <v>2.6381981797854313E-2</v>
      </c>
      <c r="E38" s="39" t="str">
        <f>IF(D38&lt;r_reale,"sì","no")</f>
        <v>sì</v>
      </c>
      <c r="F38" s="14">
        <f>((SUMPRODUCT($B$74:$B$113,$C$74:$C$113,F$74:F$113)/SUMPRODUCT($B$74:$B$113,$C$74:$C$113))+P_bollo*P_port)/(1-P_tp)/P_port</f>
        <v>2.8544340421185307E-2</v>
      </c>
      <c r="G38" s="14">
        <f>((SUMPRODUCT($B$74:$B$113,$C$74:$C$113,I$74:I$113)/SUMPRODUCT($B$74:$B$113,$C$74:$C$113))+P_bollo*P_port)/(1-P_tp)/P_port</f>
        <v>2.6670895491378962E-2</v>
      </c>
      <c r="H38" s="14">
        <f>(F84+P_bollo*P_port)/(1-P_tp)/P_port</f>
        <v>2.8677990667965895E-2</v>
      </c>
      <c r="I38" s="14">
        <f>(F94+P_bollo*P_port)/(1-P_tp)/P_port</f>
        <v>3.0561517641060208E-2</v>
      </c>
      <c r="J38" s="24">
        <f>B38/SWR_studio</f>
        <v>513934.71034781134</v>
      </c>
      <c r="K38" s="24">
        <f>C38-J38</f>
        <v>-63934.710347811342</v>
      </c>
    </row>
    <row r="39" spans="1:11">
      <c r="A39" s="38" t="s">
        <v>264</v>
      </c>
      <c r="B39" s="24">
        <f>(P_gap-S2_rata_netta+P_bollo*S2_port)/(1-P_tp2)</f>
        <v>14689.346363803086</v>
      </c>
      <c r="C39" s="24">
        <f>S2_port</f>
        <v>517758.69495000003</v>
      </c>
      <c r="D39" s="14">
        <f>B39/C39</f>
        <v>2.8371027868921907E-2</v>
      </c>
      <c r="E39" s="39" t="str">
        <f>IF(D39&lt;r_reale,"sì","no")</f>
        <v>sì</v>
      </c>
      <c r="F39" s="14">
        <f>((SUMPRODUCT($B$74:$B$113,$C$74:$C$113,G$74:G$113)/SUMPRODUCT($B$74:$B$113,$C$74:$C$113))+P_bollo*S2_port)/(1-P_tp2)/S2_port</f>
        <v>2.9297573804614539E-2</v>
      </c>
      <c r="G39" s="14">
        <f>((SUMPRODUCT($B$74:$B$113,$C$74:$C$113,J$74:J$113)/SUMPRODUCT($B$74:$B$113,$C$74:$C$113))+P_bollo*S2_port)/(1-P_tp2)/S2_port</f>
        <v>2.8494824081822454E-2</v>
      </c>
      <c r="H39" s="14">
        <f>(G84+P_bollo*S2_port)/(1-P_tp2)/S2_port</f>
        <v>2.9354841406585255E-2</v>
      </c>
      <c r="I39" s="14">
        <f>(G94+P_bollo*S2_port)/(1-P_tp2)/S2_port</f>
        <v>3.0161911169601541E-2</v>
      </c>
      <c r="J39" s="24">
        <f>B39/SWR_studio</f>
        <v>635902.43999147567</v>
      </c>
      <c r="K39" s="24">
        <f>C39-J39</f>
        <v>-118143.74504147563</v>
      </c>
    </row>
    <row r="40" spans="1:11">
      <c r="A40" s="38" t="s">
        <v>265</v>
      </c>
      <c r="B40" s="24">
        <f>(P_gap-Rata_netta1-S3_gap_res+P_bollo*S3_port)/(1-P_tp)</f>
        <v>10214.2492355821</v>
      </c>
      <c r="C40" s="24">
        <f>S3_port</f>
        <v>407790.14871043479</v>
      </c>
      <c r="D40" s="14">
        <f>B40/C40</f>
        <v>2.5047807721404945E-2</v>
      </c>
      <c r="E40" s="39" t="str">
        <f>IF(D40&lt;r_reale,"sì","no")</f>
        <v>sì</v>
      </c>
      <c r="F40" s="14">
        <f>((SUMPRODUCT($B$74:$B$113,$C$74:$C$113,H$74:H$113)/SUMPRODUCT($B$74:$B$113,$C$74:$C$113))+P_bollo*S3_port)/(1-P_tp)/S3_port</f>
        <v>2.808293187779377E-2</v>
      </c>
      <c r="G40" s="14">
        <f>((SUMPRODUCT($B$74:$B$113,$C$74:$C$113,K$74:K$113)/SUMPRODUCT($B$74:$B$113,$C$74:$C$113))+P_bollo*S3_port)/(1-P_tp)/S3_port</f>
        <v>2.6015568992547866E-2</v>
      </c>
      <c r="H40" s="14">
        <f>(H84+P_bollo*S3_port)/(1-P_tp)/S3_port</f>
        <v>2.8270525687689268E-2</v>
      </c>
      <c r="I40" s="14">
        <f>(H94+P_bollo*S3_port)/(1-P_tp)/S3_port</f>
        <v>3.0914276892307725E-2</v>
      </c>
      <c r="J40" s="24">
        <f>B40/SWR_studio</f>
        <v>442175.29158364068</v>
      </c>
      <c r="K40" s="24">
        <f>C40-J40</f>
        <v>-34385.142873205885</v>
      </c>
    </row>
    <row r="41" spans="1:11" ht="50.1" customHeight="1">
      <c r="A41" s="50" t="s">
        <v>266</v>
      </c>
      <c r="B41" s="46"/>
      <c r="C41" s="46"/>
      <c r="D41" s="46"/>
      <c r="E41" s="46"/>
      <c r="F41" s="46"/>
      <c r="G41" s="46"/>
      <c r="H41" s="46"/>
    </row>
    <row r="43" spans="1:11">
      <c r="A43" s="48" t="s">
        <v>267</v>
      </c>
      <c r="B43" s="46"/>
      <c r="C43" s="46"/>
      <c r="D43" s="46"/>
    </row>
    <row r="44" spans="1:11">
      <c r="A44" s="20" t="s">
        <v>268</v>
      </c>
      <c r="B44" s="20" t="s">
        <v>269</v>
      </c>
    </row>
    <row r="45" spans="1:11">
      <c r="A45" s="40">
        <v>0</v>
      </c>
      <c r="B45" s="24">
        <f>S3_gap_res/(c_use*(1-A45)*(1-P_cg*P_q))</f>
        <v>38082.904081301691</v>
      </c>
    </row>
    <row r="46" spans="1:11">
      <c r="A46" s="40">
        <v>0.05</v>
      </c>
      <c r="B46" s="24">
        <f>S3_gap_res/(c_use*(1-A46)*(1-P_cg*P_q))</f>
        <v>40087.267454001783</v>
      </c>
    </row>
    <row r="47" spans="1:11">
      <c r="A47" s="40">
        <v>0.1</v>
      </c>
      <c r="B47" s="24">
        <f>S3_gap_res/(c_use*(1-A47)*(1-P_cg*P_q))</f>
        <v>42314.337868112991</v>
      </c>
    </row>
    <row r="48" spans="1:11">
      <c r="A48" s="40">
        <v>0.15</v>
      </c>
      <c r="B48" s="24">
        <f>S3_gap_res/(c_use*(1-A48)*(1-P_cg*P_q))</f>
        <v>44803.416566237291</v>
      </c>
    </row>
    <row r="51" spans="1:4">
      <c r="A51" s="48" t="s">
        <v>270</v>
      </c>
      <c r="B51" s="46"/>
      <c r="C51" s="46"/>
      <c r="D51" s="46"/>
    </row>
    <row r="52" spans="1:4" ht="32.1" customHeight="1">
      <c r="A52" s="20" t="s">
        <v>107</v>
      </c>
      <c r="B52" s="20" t="s">
        <v>271</v>
      </c>
      <c r="C52" s="20" t="s">
        <v>272</v>
      </c>
      <c r="D52" s="20" t="s">
        <v>273</v>
      </c>
    </row>
    <row r="53" spans="1:4">
      <c r="A53" s="21">
        <v>10</v>
      </c>
      <c r="B53" s="24">
        <f>(Rata_base*(1-Aliq_eff)+Rata_base*((1+g_rata)^A53-1)*(1-Aliq_rend))/(1+Infl)^A53</f>
        <v>4256.6629467095499</v>
      </c>
      <c r="C53" s="24">
        <f>Gap_ess-B53</f>
        <v>2343.3370532904501</v>
      </c>
      <c r="D53" s="24">
        <f>Rata_netta1-B53</f>
        <v>932.18543312783186</v>
      </c>
    </row>
    <row r="54" spans="1:4">
      <c r="A54" s="21">
        <v>15</v>
      </c>
      <c r="B54" s="24">
        <f>(Rata_base*(1-Aliq_eff)+Rata_base*((1+g_rata)^A54-1)*(1-Aliq_rend))/(1+Infl)^A54</f>
        <v>3855.390777896238</v>
      </c>
      <c r="C54" s="24">
        <f>Gap_ess-B54</f>
        <v>2744.609222103762</v>
      </c>
      <c r="D54" s="24">
        <f>Rata_netta1-B54</f>
        <v>1333.4576019411438</v>
      </c>
    </row>
    <row r="55" spans="1:4">
      <c r="A55" s="21">
        <v>20</v>
      </c>
      <c r="B55" s="24">
        <f>(Rata_base*(1-Aliq_eff)+Rata_base*((1+g_rata)^A55-1)*(1-Aliq_rend))/(1+Infl)^A55</f>
        <v>3491.9462114747485</v>
      </c>
      <c r="C55" s="24">
        <f>Gap_ess-B55</f>
        <v>3108.0537885252515</v>
      </c>
      <c r="D55" s="24">
        <f>Rata_netta1-B55</f>
        <v>1696.9021683626333</v>
      </c>
    </row>
    <row r="57" spans="1:4">
      <c r="A57" s="5" t="s">
        <v>274</v>
      </c>
      <c r="B57" s="24">
        <f>Gap_res</f>
        <v>1411.1516201626182</v>
      </c>
    </row>
    <row r="71" spans="1:11">
      <c r="A71" s="48" t="s">
        <v>275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3" spans="1:11" ht="62.1" customHeight="1">
      <c r="A73" s="20" t="s">
        <v>276</v>
      </c>
      <c r="B73" s="20" t="s">
        <v>277</v>
      </c>
      <c r="C73" s="20" t="s">
        <v>278</v>
      </c>
      <c r="D73" s="20" t="s">
        <v>279</v>
      </c>
      <c r="E73" s="20" t="s">
        <v>280</v>
      </c>
      <c r="F73" s="20" t="s">
        <v>281</v>
      </c>
      <c r="G73" s="20" t="s">
        <v>282</v>
      </c>
      <c r="H73" s="20" t="s">
        <v>283</v>
      </c>
      <c r="I73" s="20" t="s">
        <v>284</v>
      </c>
      <c r="J73" s="20" t="s">
        <v>285</v>
      </c>
      <c r="K73" s="20" t="s">
        <v>286</v>
      </c>
    </row>
    <row r="74" spans="1:11">
      <c r="A74" s="33">
        <v>1</v>
      </c>
      <c r="B74" s="34">
        <f t="shared" ref="B74:B113" si="0">INDEX(Surv_k,A74)</f>
        <v>1</v>
      </c>
      <c r="C74" s="34">
        <f t="shared" ref="C74:C113" si="1">(1+r_reale)^-(A74-1)</f>
        <v>1</v>
      </c>
      <c r="D74" s="15">
        <f t="shared" ref="D74:D113" si="2">Rata_base*(1-Aliq_eff)+Rata_base*((1+g_rata)^(A74-1)-1)*(1-Aliq_rend)</f>
        <v>5188.8483798373818</v>
      </c>
      <c r="E74" s="15">
        <f t="shared" ref="E74:E113" si="3">Rata_base*(1-Aliq_eff)+Rata_base*((1+P_g2)^(A74-1)-1)*(1-Aliq_rend)</f>
        <v>5188.8483798373818</v>
      </c>
      <c r="F74" s="15">
        <f t="shared" ref="F74:F113" si="4">P_gap-D74/(1+Infl)^(A74-1)</f>
        <v>9811.1516201626182</v>
      </c>
      <c r="G74" s="15">
        <f t="shared" ref="G74:G113" si="5">P_gap-(1-P_quota_cap)*D74/(1+Infl)^(A74-1)</f>
        <v>12405.575810081309</v>
      </c>
      <c r="H74" s="15">
        <f t="shared" ref="H74:H113" si="6">P_gap-(D74+S3_gap_res)/(1+Infl)^(A74-1)</f>
        <v>8400</v>
      </c>
      <c r="I74" s="15">
        <f t="shared" ref="I74:I113" si="7">P_gap-E74/(1+Infl)^(A74-1)</f>
        <v>9811.1516201626182</v>
      </c>
      <c r="J74" s="15">
        <f t="shared" ref="J74:J113" si="8">P_gap-(1-P_quota_cap)*E74/(1+Infl)^(A74-1)</f>
        <v>12405.575810081309</v>
      </c>
      <c r="K74" s="15">
        <f t="shared" ref="K74:K113" si="9">P_gap-(E74+S3_gap_res)/(1+Infl)^(A74-1)</f>
        <v>8400</v>
      </c>
    </row>
    <row r="75" spans="1:11">
      <c r="A75" s="33">
        <v>2</v>
      </c>
      <c r="B75" s="34">
        <f t="shared" si="0"/>
        <v>0.99335881999999998</v>
      </c>
      <c r="C75" s="34">
        <f t="shared" si="1"/>
        <v>0.970873786407767</v>
      </c>
      <c r="D75" s="15">
        <f t="shared" si="2"/>
        <v>5188.8483798373818</v>
      </c>
      <c r="E75" s="15">
        <f t="shared" si="3"/>
        <v>5278.1004351073816</v>
      </c>
      <c r="F75" s="15">
        <f t="shared" si="4"/>
        <v>9912.8937452574683</v>
      </c>
      <c r="G75" s="15">
        <f t="shared" si="5"/>
        <v>12456.446872628734</v>
      </c>
      <c r="H75" s="15">
        <f t="shared" si="6"/>
        <v>8529.4117647058829</v>
      </c>
      <c r="I75" s="15">
        <f t="shared" si="7"/>
        <v>9825.3917302868813</v>
      </c>
      <c r="J75" s="15">
        <f t="shared" si="8"/>
        <v>12412.69586514344</v>
      </c>
      <c r="K75" s="15">
        <f t="shared" si="9"/>
        <v>8441.9097497352941</v>
      </c>
    </row>
    <row r="76" spans="1:11">
      <c r="A76" s="33">
        <v>3</v>
      </c>
      <c r="B76" s="34">
        <f t="shared" si="0"/>
        <v>0.9860574439348242</v>
      </c>
      <c r="C76" s="34">
        <f t="shared" si="1"/>
        <v>0.94259590913375435</v>
      </c>
      <c r="D76" s="15">
        <f t="shared" si="2"/>
        <v>5188.8483798373818</v>
      </c>
      <c r="E76" s="15">
        <f t="shared" si="3"/>
        <v>5369.2267835380508</v>
      </c>
      <c r="F76" s="15">
        <f t="shared" si="4"/>
        <v>10012.640926723008</v>
      </c>
      <c r="G76" s="15">
        <f t="shared" si="5"/>
        <v>12506.320463361504</v>
      </c>
      <c r="H76" s="15">
        <f t="shared" si="6"/>
        <v>8656.2860438292955</v>
      </c>
      <c r="I76" s="15">
        <f t="shared" si="7"/>
        <v>9839.2668362763834</v>
      </c>
      <c r="J76" s="15">
        <f t="shared" si="8"/>
        <v>12419.633418138192</v>
      </c>
      <c r="K76" s="15">
        <f t="shared" si="9"/>
        <v>8482.9119533826706</v>
      </c>
    </row>
    <row r="77" spans="1:11">
      <c r="A77" s="33">
        <v>4</v>
      </c>
      <c r="B77" s="34">
        <f t="shared" si="0"/>
        <v>0.97809818545887117</v>
      </c>
      <c r="C77" s="34">
        <f t="shared" si="1"/>
        <v>0.91514165935315961</v>
      </c>
      <c r="D77" s="15">
        <f t="shared" si="2"/>
        <v>5188.8483798373818</v>
      </c>
      <c r="E77" s="15">
        <f t="shared" si="3"/>
        <v>5462.2667852857649</v>
      </c>
      <c r="F77" s="15">
        <f t="shared" si="4"/>
        <v>10110.432281100988</v>
      </c>
      <c r="G77" s="15">
        <f t="shared" si="5"/>
        <v>12555.216140550494</v>
      </c>
      <c r="H77" s="15">
        <f t="shared" si="6"/>
        <v>8780.6725919895071</v>
      </c>
      <c r="I77" s="15">
        <f t="shared" si="7"/>
        <v>9852.7840109707377</v>
      </c>
      <c r="J77" s="15">
        <f t="shared" si="8"/>
        <v>12426.39200548537</v>
      </c>
      <c r="K77" s="15">
        <f t="shared" si="9"/>
        <v>8523.024321859255</v>
      </c>
    </row>
    <row r="78" spans="1:11">
      <c r="A78" s="33">
        <v>5</v>
      </c>
      <c r="B78" s="34">
        <f t="shared" si="0"/>
        <v>0.96935937700187069</v>
      </c>
      <c r="C78" s="34">
        <f t="shared" si="1"/>
        <v>0.888487047915689</v>
      </c>
      <c r="D78" s="15">
        <f t="shared" si="2"/>
        <v>5188.8483798373818</v>
      </c>
      <c r="E78" s="15">
        <f t="shared" si="3"/>
        <v>5557.2606270701799</v>
      </c>
      <c r="F78" s="15">
        <f t="shared" si="4"/>
        <v>10206.306157942145</v>
      </c>
      <c r="G78" s="15">
        <f t="shared" si="5"/>
        <v>12603.153078971072</v>
      </c>
      <c r="H78" s="15">
        <f t="shared" si="6"/>
        <v>8902.6201882250061</v>
      </c>
      <c r="I78" s="15">
        <f t="shared" si="7"/>
        <v>9865.950188443976</v>
      </c>
      <c r="J78" s="15">
        <f t="shared" si="8"/>
        <v>12432.975094221987</v>
      </c>
      <c r="K78" s="15">
        <f t="shared" si="9"/>
        <v>8562.2642187268357</v>
      </c>
    </row>
    <row r="79" spans="1:11">
      <c r="A79" s="33">
        <v>6</v>
      </c>
      <c r="B79" s="34">
        <f t="shared" si="0"/>
        <v>0.95971030590803763</v>
      </c>
      <c r="C79" s="34">
        <f t="shared" si="1"/>
        <v>0.86260878438416411</v>
      </c>
      <c r="D79" s="15">
        <f t="shared" si="2"/>
        <v>5188.8483798373818</v>
      </c>
      <c r="E79" s="15">
        <f t="shared" si="3"/>
        <v>5654.249339532068</v>
      </c>
      <c r="F79" s="15">
        <f t="shared" si="4"/>
        <v>10300.300154845241</v>
      </c>
      <c r="G79" s="15">
        <f t="shared" si="5"/>
        <v>12650.150077422621</v>
      </c>
      <c r="H79" s="15">
        <f t="shared" si="6"/>
        <v>9022.1766551225555</v>
      </c>
      <c r="I79" s="15">
        <f t="shared" si="7"/>
        <v>9878.7721667253536</v>
      </c>
      <c r="J79" s="15">
        <f t="shared" si="8"/>
        <v>12439.386083362677</v>
      </c>
      <c r="K79" s="15">
        <f t="shared" si="9"/>
        <v>8600.6486670026679</v>
      </c>
    </row>
    <row r="80" spans="1:11">
      <c r="A80" s="33">
        <v>7</v>
      </c>
      <c r="B80" s="34">
        <f t="shared" si="0"/>
        <v>0.94903987243993271</v>
      </c>
      <c r="C80" s="34">
        <f t="shared" si="1"/>
        <v>0.83748425668365445</v>
      </c>
      <c r="D80" s="15">
        <f t="shared" si="2"/>
        <v>5188.8483798373818</v>
      </c>
      <c r="E80" s="15">
        <f t="shared" si="3"/>
        <v>5753.2748149556555</v>
      </c>
      <c r="F80" s="15">
        <f t="shared" si="4"/>
        <v>10392.451132201217</v>
      </c>
      <c r="G80" s="15">
        <f t="shared" si="5"/>
        <v>12696.225566100609</v>
      </c>
      <c r="H80" s="15">
        <f t="shared" si="6"/>
        <v>9139.388877571133</v>
      </c>
      <c r="I80" s="15">
        <f t="shared" si="7"/>
        <v>9891.2566104668185</v>
      </c>
      <c r="J80" s="15">
        <f t="shared" si="8"/>
        <v>12445.628305233409</v>
      </c>
      <c r="K80" s="15">
        <f t="shared" si="9"/>
        <v>8638.1943558367348</v>
      </c>
    </row>
    <row r="81" spans="1:11">
      <c r="A81" s="33">
        <v>8</v>
      </c>
      <c r="B81" s="34">
        <f t="shared" si="0"/>
        <v>0.93711427536444747</v>
      </c>
      <c r="C81" s="34">
        <f t="shared" si="1"/>
        <v>0.81309151134335378</v>
      </c>
      <c r="D81" s="15">
        <f t="shared" si="2"/>
        <v>5188.8483798373818</v>
      </c>
      <c r="E81" s="15">
        <f t="shared" si="3"/>
        <v>5854.3798253631394</v>
      </c>
      <c r="F81" s="15">
        <f t="shared" si="4"/>
        <v>10482.79522764825</v>
      </c>
      <c r="G81" s="15">
        <f t="shared" si="5"/>
        <v>12741.397613824125</v>
      </c>
      <c r="H81" s="15">
        <f t="shared" si="6"/>
        <v>9254.3028211481687</v>
      </c>
      <c r="I81" s="15">
        <f t="shared" si="7"/>
        <v>9903.4100535581711</v>
      </c>
      <c r="J81" s="15">
        <f t="shared" si="8"/>
        <v>12451.705026779086</v>
      </c>
      <c r="K81" s="15">
        <f t="shared" si="9"/>
        <v>8674.9176470580896</v>
      </c>
    </row>
    <row r="82" spans="1:11">
      <c r="A82" s="33">
        <v>9</v>
      </c>
      <c r="B82" s="34">
        <f t="shared" si="0"/>
        <v>0.92395999291001396</v>
      </c>
      <c r="C82" s="34">
        <f t="shared" si="1"/>
        <v>0.78940923431393573</v>
      </c>
      <c r="D82" s="15">
        <f t="shared" si="2"/>
        <v>5188.8483798373818</v>
      </c>
      <c r="E82" s="15">
        <f t="shared" si="3"/>
        <v>5957.6080409891792</v>
      </c>
      <c r="F82" s="15">
        <f t="shared" si="4"/>
        <v>10571.367870243383</v>
      </c>
      <c r="G82" s="15">
        <f t="shared" si="5"/>
        <v>12785.683935121691</v>
      </c>
      <c r="H82" s="15">
        <f t="shared" si="6"/>
        <v>9366.9635501452631</v>
      </c>
      <c r="I82" s="15">
        <f t="shared" si="7"/>
        <v>9915.238901690951</v>
      </c>
      <c r="J82" s="15">
        <f t="shared" si="8"/>
        <v>12457.619450845476</v>
      </c>
      <c r="K82" s="15">
        <f t="shared" si="9"/>
        <v>8710.8345815928315</v>
      </c>
    </row>
    <row r="83" spans="1:11">
      <c r="A83" s="33">
        <v>10</v>
      </c>
      <c r="B83" s="34">
        <f t="shared" si="0"/>
        <v>0.90928735114940418</v>
      </c>
      <c r="C83" s="34">
        <f t="shared" si="1"/>
        <v>0.76641673234362695</v>
      </c>
      <c r="D83" s="15">
        <f t="shared" si="2"/>
        <v>5188.8483798373818</v>
      </c>
      <c r="E83" s="15">
        <f t="shared" si="3"/>
        <v>6063.0040491433656</v>
      </c>
      <c r="F83" s="15">
        <f t="shared" si="4"/>
        <v>10658.203794356257</v>
      </c>
      <c r="G83" s="15">
        <f t="shared" si="5"/>
        <v>12829.101897178129</v>
      </c>
      <c r="H83" s="15">
        <f t="shared" si="6"/>
        <v>9477.4152452404542</v>
      </c>
      <c r="I83" s="15">
        <f t="shared" si="7"/>
        <v>9926.7494348720393</v>
      </c>
      <c r="J83" s="15">
        <f t="shared" si="8"/>
        <v>12463.37471743602</v>
      </c>
      <c r="K83" s="15">
        <f t="shared" si="9"/>
        <v>8745.9608857562343</v>
      </c>
    </row>
    <row r="84" spans="1:11">
      <c r="A84" s="33">
        <v>11</v>
      </c>
      <c r="B84" s="34">
        <f t="shared" si="0"/>
        <v>0.89363451497177793</v>
      </c>
      <c r="C84" s="34">
        <f t="shared" si="1"/>
        <v>0.74409391489672516</v>
      </c>
      <c r="D84" s="15">
        <f t="shared" si="2"/>
        <v>5188.8483798373818</v>
      </c>
      <c r="E84" s="15">
        <f t="shared" si="3"/>
        <v>6170.613373468791</v>
      </c>
      <c r="F84" s="15">
        <f t="shared" si="4"/>
        <v>10743.33705329045</v>
      </c>
      <c r="G84" s="15">
        <f t="shared" si="5"/>
        <v>12871.668526645226</v>
      </c>
      <c r="H84" s="15">
        <f t="shared" si="6"/>
        <v>9585.7012208239757</v>
      </c>
      <c r="I84" s="15">
        <f t="shared" si="7"/>
        <v>9937.9478098879808</v>
      </c>
      <c r="J84" s="15">
        <f t="shared" si="8"/>
        <v>12468.97390494399</v>
      </c>
      <c r="K84" s="15">
        <f t="shared" si="9"/>
        <v>8780.3119774215047</v>
      </c>
    </row>
    <row r="85" spans="1:11">
      <c r="A85" s="33">
        <v>12</v>
      </c>
      <c r="B85" s="34">
        <f t="shared" si="0"/>
        <v>0.87662563860354947</v>
      </c>
      <c r="C85" s="34">
        <f t="shared" si="1"/>
        <v>0.72242127659876232</v>
      </c>
      <c r="D85" s="15">
        <f t="shared" si="2"/>
        <v>5188.8483798373818</v>
      </c>
      <c r="E85" s="15">
        <f t="shared" si="3"/>
        <v>6280.4824936050509</v>
      </c>
      <c r="F85" s="15">
        <f t="shared" si="4"/>
        <v>10826.801032637695</v>
      </c>
      <c r="G85" s="15">
        <f t="shared" si="5"/>
        <v>12913.400516318849</v>
      </c>
      <c r="H85" s="15">
        <f t="shared" si="6"/>
        <v>9691.8639419842875</v>
      </c>
      <c r="I85" s="15">
        <f t="shared" si="7"/>
        <v>9948.8400627209994</v>
      </c>
      <c r="J85" s="15">
        <f t="shared" si="8"/>
        <v>12474.4200313605</v>
      </c>
      <c r="K85" s="15">
        <f t="shared" si="9"/>
        <v>8813.9029720675935</v>
      </c>
    </row>
    <row r="86" spans="1:11">
      <c r="A86" s="33">
        <v>13</v>
      </c>
      <c r="B86" s="34">
        <f t="shared" si="0"/>
        <v>0.85738883409618738</v>
      </c>
      <c r="C86" s="34">
        <f t="shared" si="1"/>
        <v>0.70137988019297326</v>
      </c>
      <c r="D86" s="15">
        <f t="shared" si="2"/>
        <v>5188.8483798373818</v>
      </c>
      <c r="E86" s="15">
        <f t="shared" si="3"/>
        <v>6392.6588652641694</v>
      </c>
      <c r="F86" s="15">
        <f t="shared" si="4"/>
        <v>10908.628463370289</v>
      </c>
      <c r="G86" s="15">
        <f t="shared" si="5"/>
        <v>12954.314231685144</v>
      </c>
      <c r="H86" s="15">
        <f t="shared" si="6"/>
        <v>9795.9450411610669</v>
      </c>
      <c r="I86" s="15">
        <f t="shared" si="7"/>
        <v>9959.4321109176271</v>
      </c>
      <c r="J86" s="15">
        <f t="shared" si="8"/>
        <v>12479.716055458814</v>
      </c>
      <c r="K86" s="15">
        <f t="shared" si="9"/>
        <v>8846.7486887084051</v>
      </c>
    </row>
    <row r="87" spans="1:11">
      <c r="A87" s="33">
        <v>14</v>
      </c>
      <c r="B87" s="34">
        <f t="shared" si="0"/>
        <v>0.83541199485787199</v>
      </c>
      <c r="C87" s="34">
        <f t="shared" si="1"/>
        <v>0.68095133999317792</v>
      </c>
      <c r="D87" s="15">
        <f t="shared" si="2"/>
        <v>5188.8483798373818</v>
      </c>
      <c r="E87" s="15">
        <f t="shared" si="3"/>
        <v>6507.1909407281319</v>
      </c>
      <c r="F87" s="15">
        <f t="shared" si="4"/>
        <v>10988.851434676755</v>
      </c>
      <c r="G87" s="15">
        <f t="shared" si="5"/>
        <v>12994.425717338378</v>
      </c>
      <c r="H87" s="15">
        <f t="shared" si="6"/>
        <v>9897.9853344716357</v>
      </c>
      <c r="I87" s="15">
        <f t="shared" si="7"/>
        <v>9969.729755910872</v>
      </c>
      <c r="J87" s="15">
        <f t="shared" si="8"/>
        <v>12484.864877955435</v>
      </c>
      <c r="K87" s="15">
        <f t="shared" si="9"/>
        <v>8878.8636557057507</v>
      </c>
    </row>
    <row r="88" spans="1:11">
      <c r="A88" s="33">
        <v>15</v>
      </c>
      <c r="B88" s="34">
        <f t="shared" si="0"/>
        <v>0.81066814418929534</v>
      </c>
      <c r="C88" s="34">
        <f t="shared" si="1"/>
        <v>0.66111780581861923</v>
      </c>
      <c r="D88" s="15">
        <f t="shared" si="2"/>
        <v>5188.8483798373818</v>
      </c>
      <c r="E88" s="15">
        <f t="shared" si="3"/>
        <v>6624.1281897768376</v>
      </c>
      <c r="F88" s="15">
        <f t="shared" si="4"/>
        <v>11067.501406545838</v>
      </c>
      <c r="G88" s="15">
        <f t="shared" si="5"/>
        <v>13033.750703272919</v>
      </c>
      <c r="H88" s="15">
        <f t="shared" si="6"/>
        <v>9998.0248377172902</v>
      </c>
      <c r="I88" s="15">
        <f t="shared" si="7"/>
        <v>9979.7386852968975</v>
      </c>
      <c r="J88" s="15">
        <f t="shared" si="8"/>
        <v>12489.86934264845</v>
      </c>
      <c r="K88" s="15">
        <f t="shared" si="9"/>
        <v>8910.2621164683478</v>
      </c>
    </row>
    <row r="89" spans="1:11">
      <c r="A89" s="33">
        <v>16</v>
      </c>
      <c r="B89" s="34">
        <f t="shared" si="0"/>
        <v>0.78203155140961467</v>
      </c>
      <c r="C89" s="34">
        <f t="shared" si="1"/>
        <v>0.64186194739671765</v>
      </c>
      <c r="D89" s="15">
        <f t="shared" si="2"/>
        <v>5188.8483798373818</v>
      </c>
      <c r="E89" s="15">
        <f t="shared" si="3"/>
        <v>6743.5211210555644</v>
      </c>
      <c r="F89" s="15">
        <f t="shared" si="4"/>
        <v>11144.609222103762</v>
      </c>
      <c r="G89" s="15">
        <f t="shared" si="5"/>
        <v>13072.304611051881</v>
      </c>
      <c r="H89" s="15">
        <f t="shared" si="6"/>
        <v>10096.102782075774</v>
      </c>
      <c r="I89" s="15">
        <f t="shared" si="7"/>
        <v>9989.4644750670232</v>
      </c>
      <c r="J89" s="15">
        <f t="shared" si="8"/>
        <v>12494.732237533512</v>
      </c>
      <c r="K89" s="15">
        <f t="shared" si="9"/>
        <v>8940.9580350390333</v>
      </c>
    </row>
    <row r="90" spans="1:11">
      <c r="A90" s="33">
        <v>17</v>
      </c>
      <c r="B90" s="34">
        <f t="shared" si="0"/>
        <v>0.75059111465125616</v>
      </c>
      <c r="C90" s="34">
        <f t="shared" si="1"/>
        <v>0.62316693922011435</v>
      </c>
      <c r="D90" s="15">
        <f t="shared" si="2"/>
        <v>5188.8483798373818</v>
      </c>
      <c r="E90" s="15">
        <f t="shared" si="3"/>
        <v>6865.4213038911466</v>
      </c>
      <c r="F90" s="15">
        <f t="shared" si="4"/>
        <v>11220.205119709572</v>
      </c>
      <c r="G90" s="15">
        <f t="shared" si="5"/>
        <v>13110.102559854786</v>
      </c>
      <c r="H90" s="15">
        <f t="shared" si="6"/>
        <v>10192.257629486052</v>
      </c>
      <c r="I90" s="15">
        <f t="shared" si="7"/>
        <v>9998.9125917959718</v>
      </c>
      <c r="J90" s="15">
        <f t="shared" si="8"/>
        <v>12499.456295897986</v>
      </c>
      <c r="K90" s="15">
        <f t="shared" si="9"/>
        <v>8970.9651015724539</v>
      </c>
    </row>
    <row r="91" spans="1:11">
      <c r="A91" s="33">
        <v>18</v>
      </c>
      <c r="B91" s="34">
        <f t="shared" si="0"/>
        <v>0.71619520176325091</v>
      </c>
      <c r="C91" s="34">
        <f t="shared" si="1"/>
        <v>0.60501644584477121</v>
      </c>
      <c r="D91" s="15">
        <f t="shared" si="2"/>
        <v>5188.8483798373818</v>
      </c>
      <c r="E91" s="15">
        <f t="shared" si="3"/>
        <v>6989.8813905662755</v>
      </c>
      <c r="F91" s="15">
        <f t="shared" si="4"/>
        <v>11294.318744813305</v>
      </c>
      <c r="G91" s="15">
        <f t="shared" si="5"/>
        <v>13147.159372406653</v>
      </c>
      <c r="H91" s="15">
        <f t="shared" si="6"/>
        <v>10286.527087731425</v>
      </c>
      <c r="I91" s="15">
        <f t="shared" si="7"/>
        <v>10008.088394787221</v>
      </c>
      <c r="J91" s="15">
        <f t="shared" si="8"/>
        <v>12504.04419739361</v>
      </c>
      <c r="K91" s="15">
        <f t="shared" si="9"/>
        <v>9000.2967377053392</v>
      </c>
    </row>
    <row r="92" spans="1:11">
      <c r="A92" s="33">
        <v>19</v>
      </c>
      <c r="B92" s="34">
        <f t="shared" si="0"/>
        <v>0.67887899668769958</v>
      </c>
      <c r="C92" s="34">
        <f t="shared" si="1"/>
        <v>0.5873946076162827</v>
      </c>
      <c r="D92" s="15">
        <f t="shared" si="2"/>
        <v>5188.8483798373818</v>
      </c>
      <c r="E92" s="15">
        <f t="shared" si="3"/>
        <v>7116.9551390615807</v>
      </c>
      <c r="F92" s="15">
        <f t="shared" si="4"/>
        <v>11366.979161581672</v>
      </c>
      <c r="G92" s="15">
        <f t="shared" si="5"/>
        <v>13183.489580790836</v>
      </c>
      <c r="H92" s="15">
        <f t="shared" si="6"/>
        <v>10378.948125226885</v>
      </c>
      <c r="I92" s="15">
        <f t="shared" si="7"/>
        <v>10016.997138176263</v>
      </c>
      <c r="J92" s="15">
        <f t="shared" si="8"/>
        <v>12508.498569088131</v>
      </c>
      <c r="K92" s="15">
        <f t="shared" si="9"/>
        <v>9028.9661018214756</v>
      </c>
    </row>
    <row r="93" spans="1:11">
      <c r="A93" s="33">
        <v>20</v>
      </c>
      <c r="B93" s="34">
        <f t="shared" si="0"/>
        <v>0.63906630085790872</v>
      </c>
      <c r="C93" s="34">
        <f t="shared" si="1"/>
        <v>0.57028602681192497</v>
      </c>
      <c r="D93" s="15">
        <f t="shared" si="2"/>
        <v>5188.8483798373818</v>
      </c>
      <c r="E93" s="15">
        <f t="shared" si="3"/>
        <v>7246.6974362752881</v>
      </c>
      <c r="F93" s="15">
        <f t="shared" si="4"/>
        <v>11438.214864295756</v>
      </c>
      <c r="G93" s="15">
        <f t="shared" si="5"/>
        <v>13219.107432147877</v>
      </c>
      <c r="H93" s="15">
        <f t="shared" si="6"/>
        <v>10469.556985516556</v>
      </c>
      <c r="I93" s="15">
        <f t="shared" si="7"/>
        <v>10025.643972992657</v>
      </c>
      <c r="J93" s="15">
        <f t="shared" si="8"/>
        <v>12512.821986496328</v>
      </c>
      <c r="K93" s="15">
        <f t="shared" si="9"/>
        <v>9056.9860942134546</v>
      </c>
    </row>
    <row r="94" spans="1:11">
      <c r="A94" s="33">
        <v>21</v>
      </c>
      <c r="B94" s="34">
        <f t="shared" si="0"/>
        <v>0.59560489715170639</v>
      </c>
      <c r="C94" s="34">
        <f t="shared" si="1"/>
        <v>0.55367575418633497</v>
      </c>
      <c r="D94" s="15">
        <f t="shared" si="2"/>
        <v>5188.8483798373818</v>
      </c>
      <c r="E94" s="15">
        <f t="shared" si="3"/>
        <v>7379.1643217304836</v>
      </c>
      <c r="F94" s="15">
        <f t="shared" si="4"/>
        <v>11508.053788525252</v>
      </c>
      <c r="G94" s="15">
        <f t="shared" si="5"/>
        <v>13254.026894262626</v>
      </c>
      <c r="H94" s="15">
        <f t="shared" si="6"/>
        <v>10558.389201486818</v>
      </c>
      <c r="I94" s="15">
        <f t="shared" si="7"/>
        <v>10034.033949181619</v>
      </c>
      <c r="J94" s="15">
        <f t="shared" si="8"/>
        <v>12517.01697459081</v>
      </c>
      <c r="K94" s="15">
        <f t="shared" si="9"/>
        <v>9084.3693621431867</v>
      </c>
    </row>
    <row r="95" spans="1:11">
      <c r="A95" s="33">
        <v>22</v>
      </c>
      <c r="B95" s="34">
        <f t="shared" si="0"/>
        <v>0.54825009690152282</v>
      </c>
      <c r="C95" s="34">
        <f t="shared" si="1"/>
        <v>0.5375492759090631</v>
      </c>
      <c r="D95" s="15">
        <f t="shared" si="2"/>
        <v>5188.8483798373818</v>
      </c>
      <c r="E95" s="15">
        <f t="shared" si="3"/>
        <v>7514.4130117802379</v>
      </c>
      <c r="F95" s="15">
        <f t="shared" si="4"/>
        <v>11576.52332208358</v>
      </c>
      <c r="G95" s="15">
        <f t="shared" si="5"/>
        <v>13288.26166104179</v>
      </c>
      <c r="H95" s="15">
        <f t="shared" si="6"/>
        <v>10645.479609300803</v>
      </c>
      <c r="I95" s="15">
        <f t="shared" si="7"/>
        <v>10042.172017585999</v>
      </c>
      <c r="J95" s="15">
        <f t="shared" si="8"/>
        <v>12521.086008793</v>
      </c>
      <c r="K95" s="15">
        <f t="shared" si="9"/>
        <v>9111.1283048032201</v>
      </c>
    </row>
    <row r="96" spans="1:11">
      <c r="A96" s="33">
        <v>23</v>
      </c>
      <c r="B96" s="34">
        <f t="shared" si="0"/>
        <v>0.49755842144692469</v>
      </c>
      <c r="C96" s="34">
        <f t="shared" si="1"/>
        <v>0.52189250088258554</v>
      </c>
      <c r="D96" s="15">
        <f t="shared" si="2"/>
        <v>5188.8483798373818</v>
      </c>
      <c r="E96" s="15">
        <f t="shared" si="3"/>
        <v>7652.5019243210372</v>
      </c>
      <c r="F96" s="15">
        <f t="shared" si="4"/>
        <v>11643.650315768216</v>
      </c>
      <c r="G96" s="15">
        <f t="shared" si="5"/>
        <v>13321.825157884108</v>
      </c>
      <c r="H96" s="15">
        <f t="shared" si="6"/>
        <v>10730.862362059612</v>
      </c>
      <c r="I96" s="15">
        <f t="shared" si="7"/>
        <v>10050.063031889364</v>
      </c>
      <c r="J96" s="15">
        <f t="shared" si="8"/>
        <v>12525.031515944682</v>
      </c>
      <c r="K96" s="15">
        <f t="shared" si="9"/>
        <v>9137.275078180759</v>
      </c>
    </row>
    <row r="97" spans="1:11">
      <c r="A97" s="33">
        <v>24</v>
      </c>
      <c r="B97" s="34">
        <f t="shared" si="0"/>
        <v>0.44445219006207193</v>
      </c>
      <c r="C97" s="34">
        <f t="shared" si="1"/>
        <v>0.50669174842969467</v>
      </c>
      <c r="D97" s="15">
        <f t="shared" si="2"/>
        <v>5188.8483798373818</v>
      </c>
      <c r="E97" s="15">
        <f t="shared" si="3"/>
        <v>7793.4907040251928</v>
      </c>
      <c r="F97" s="15">
        <f t="shared" si="4"/>
        <v>11709.461093890408</v>
      </c>
      <c r="G97" s="15">
        <f t="shared" si="5"/>
        <v>13354.730546945204</v>
      </c>
      <c r="H97" s="15">
        <f t="shared" si="6"/>
        <v>10814.570943195697</v>
      </c>
      <c r="I97" s="15">
        <f t="shared" si="7"/>
        <v>10057.711750521019</v>
      </c>
      <c r="J97" s="15">
        <f t="shared" si="8"/>
        <v>12528.855875260509</v>
      </c>
      <c r="K97" s="15">
        <f t="shared" si="9"/>
        <v>9162.8215998263076</v>
      </c>
    </row>
    <row r="98" spans="1:11">
      <c r="A98" s="33">
        <v>25</v>
      </c>
      <c r="B98" s="34">
        <f t="shared" si="0"/>
        <v>0.39031865999219084</v>
      </c>
      <c r="C98" s="34">
        <f t="shared" si="1"/>
        <v>0.49193373633950943</v>
      </c>
      <c r="D98" s="15">
        <f t="shared" si="2"/>
        <v>5188.8483798373818</v>
      </c>
      <c r="E98" s="15">
        <f t="shared" si="3"/>
        <v>7937.4402481031357</v>
      </c>
      <c r="F98" s="15">
        <f t="shared" si="4"/>
        <v>11773.981464598439</v>
      </c>
      <c r="G98" s="15">
        <f t="shared" si="5"/>
        <v>13386.990732299219</v>
      </c>
      <c r="H98" s="15">
        <f t="shared" si="6"/>
        <v>10896.638179603624</v>
      </c>
      <c r="I98" s="15">
        <f t="shared" si="7"/>
        <v>10065.122838523645</v>
      </c>
      <c r="J98" s="15">
        <f t="shared" si="8"/>
        <v>12532.561419261823</v>
      </c>
      <c r="K98" s="15">
        <f t="shared" si="9"/>
        <v>9187.7795535288296</v>
      </c>
    </row>
    <row r="99" spans="1:11">
      <c r="A99" s="33">
        <v>26</v>
      </c>
      <c r="B99" s="34">
        <f t="shared" si="0"/>
        <v>0.33561485967168292</v>
      </c>
      <c r="C99" s="34">
        <f t="shared" si="1"/>
        <v>0.47760556926165965</v>
      </c>
      <c r="D99" s="15">
        <f t="shared" si="2"/>
        <v>5188.8483798373818</v>
      </c>
      <c r="E99" s="15">
        <f t="shared" si="3"/>
        <v>8084.4127326067155</v>
      </c>
      <c r="F99" s="15">
        <f t="shared" si="4"/>
        <v>11837.236729998469</v>
      </c>
      <c r="G99" s="15">
        <f t="shared" si="5"/>
        <v>13418.618364999234</v>
      </c>
      <c r="H99" s="15">
        <f t="shared" si="6"/>
        <v>10977.096254513357</v>
      </c>
      <c r="I99" s="15">
        <f t="shared" si="7"/>
        <v>10072.300869384322</v>
      </c>
      <c r="J99" s="15">
        <f t="shared" si="8"/>
        <v>12536.150434692161</v>
      </c>
      <c r="K99" s="15">
        <f t="shared" si="9"/>
        <v>9212.1603938992121</v>
      </c>
    </row>
    <row r="100" spans="1:11">
      <c r="A100" s="33">
        <v>27</v>
      </c>
      <c r="B100" s="34">
        <f t="shared" si="0"/>
        <v>0.28218457463026797</v>
      </c>
      <c r="C100" s="34">
        <f t="shared" si="1"/>
        <v>0.46369472743850448</v>
      </c>
      <c r="D100" s="15">
        <f t="shared" si="2"/>
        <v>5188.8483798373818</v>
      </c>
      <c r="E100" s="15">
        <f t="shared" si="3"/>
        <v>8234.4716392848713</v>
      </c>
      <c r="F100" s="15">
        <f t="shared" si="4"/>
        <v>11899.251696076932</v>
      </c>
      <c r="G100" s="15">
        <f t="shared" si="5"/>
        <v>13449.625848038466</v>
      </c>
      <c r="H100" s="15">
        <f t="shared" si="6"/>
        <v>11055.976720111135</v>
      </c>
      <c r="I100" s="15">
        <f t="shared" si="7"/>
        <v>10079.250326829671</v>
      </c>
      <c r="J100" s="15">
        <f t="shared" si="8"/>
        <v>12539.625163414836</v>
      </c>
      <c r="K100" s="15">
        <f t="shared" si="9"/>
        <v>9235.9753508638751</v>
      </c>
    </row>
    <row r="101" spans="1:11">
      <c r="A101" s="33">
        <v>28</v>
      </c>
      <c r="B101" s="34">
        <f t="shared" si="0"/>
        <v>0.23214196216533622</v>
      </c>
      <c r="C101" s="34">
        <f t="shared" si="1"/>
        <v>0.45018905576553836</v>
      </c>
      <c r="D101" s="15">
        <f t="shared" si="2"/>
        <v>5188.8483798373818</v>
      </c>
      <c r="E101" s="15">
        <f t="shared" si="3"/>
        <v>8387.6817830032687</v>
      </c>
      <c r="F101" s="15">
        <f t="shared" si="4"/>
        <v>11960.050682428362</v>
      </c>
      <c r="G101" s="15">
        <f t="shared" si="5"/>
        <v>13480.025341214181</v>
      </c>
      <c r="H101" s="15">
        <f t="shared" si="6"/>
        <v>11133.310509912877</v>
      </c>
      <c r="I101" s="15">
        <f t="shared" si="7"/>
        <v>10085.975606585762</v>
      </c>
      <c r="J101" s="15">
        <f t="shared" si="8"/>
        <v>12542.987803292881</v>
      </c>
      <c r="K101" s="15">
        <f t="shared" si="9"/>
        <v>9259.2354340702768</v>
      </c>
    </row>
    <row r="102" spans="1:11">
      <c r="A102" s="33">
        <v>29</v>
      </c>
      <c r="B102" s="34">
        <f t="shared" si="0"/>
        <v>0.18645402830614852</v>
      </c>
      <c r="C102" s="34">
        <f t="shared" si="1"/>
        <v>0.4370767531704256</v>
      </c>
      <c r="D102" s="15">
        <f t="shared" si="2"/>
        <v>5188.8483798373818</v>
      </c>
      <c r="E102" s="15">
        <f t="shared" si="3"/>
        <v>8544.109339739749</v>
      </c>
      <c r="F102" s="15">
        <f t="shared" si="4"/>
        <v>12019.657531792513</v>
      </c>
      <c r="G102" s="15">
        <f t="shared" si="5"/>
        <v>13509.828765896256</v>
      </c>
      <c r="H102" s="15">
        <f t="shared" si="6"/>
        <v>11209.127950894977</v>
      </c>
      <c r="I102" s="15">
        <f t="shared" si="7"/>
        <v>10092.481018103546</v>
      </c>
      <c r="J102" s="15">
        <f t="shared" si="8"/>
        <v>12546.240509051773</v>
      </c>
      <c r="K102" s="15">
        <f t="shared" si="9"/>
        <v>9281.9514372060112</v>
      </c>
    </row>
    <row r="103" spans="1:11">
      <c r="A103" s="33">
        <v>30</v>
      </c>
      <c r="B103" s="34">
        <f t="shared" si="0"/>
        <v>0.14593574816390617</v>
      </c>
      <c r="C103" s="34">
        <f t="shared" si="1"/>
        <v>0.42434636230138412</v>
      </c>
      <c r="D103" s="15">
        <f t="shared" si="2"/>
        <v>5188.8483798373818</v>
      </c>
      <c r="E103" s="15">
        <f t="shared" si="3"/>
        <v>8703.8218751676977</v>
      </c>
      <c r="F103" s="15">
        <f t="shared" si="4"/>
        <v>12078.095619404425</v>
      </c>
      <c r="G103" s="15">
        <f t="shared" si="5"/>
        <v>13539.047809702211</v>
      </c>
      <c r="H103" s="15">
        <f t="shared" si="6"/>
        <v>11283.458775387233</v>
      </c>
      <c r="I103" s="15">
        <f t="shared" si="7"/>
        <v>10098.770786250432</v>
      </c>
      <c r="J103" s="15">
        <f t="shared" si="8"/>
        <v>12549.385393125216</v>
      </c>
      <c r="K103" s="15">
        <f t="shared" si="9"/>
        <v>9304.1339422332385</v>
      </c>
    </row>
    <row r="104" spans="1:11">
      <c r="A104" s="33">
        <v>31</v>
      </c>
      <c r="B104" s="34">
        <f t="shared" si="0"/>
        <v>0.11094492792119144</v>
      </c>
      <c r="C104" s="34">
        <f t="shared" si="1"/>
        <v>0.41198675951590691</v>
      </c>
      <c r="D104" s="15">
        <f t="shared" si="2"/>
        <v>5188.8483798373818</v>
      </c>
      <c r="E104" s="15">
        <f t="shared" si="3"/>
        <v>8866.8883738396344</v>
      </c>
      <c r="F104" s="15">
        <f t="shared" si="4"/>
        <v>12135.3878621612</v>
      </c>
      <c r="G104" s="15">
        <f t="shared" si="5"/>
        <v>13567.693931080601</v>
      </c>
      <c r="H104" s="15">
        <f t="shared" si="6"/>
        <v>11356.332132732581</v>
      </c>
      <c r="I104" s="15">
        <f t="shared" si="7"/>
        <v>10104.849052968708</v>
      </c>
      <c r="J104" s="15">
        <f t="shared" si="8"/>
        <v>12552.424526484354</v>
      </c>
      <c r="K104" s="15">
        <f t="shared" si="9"/>
        <v>9325.7933235400869</v>
      </c>
    </row>
    <row r="105" spans="1:11">
      <c r="A105" s="33">
        <v>32</v>
      </c>
      <c r="B105" s="34">
        <f t="shared" si="0"/>
        <v>8.1786553929582187E-2</v>
      </c>
      <c r="C105" s="34">
        <f t="shared" si="1"/>
        <v>0.39998714516107459</v>
      </c>
      <c r="D105" s="15">
        <f t="shared" si="2"/>
        <v>5188.8483798373818</v>
      </c>
      <c r="E105" s="15">
        <f t="shared" si="3"/>
        <v>9033.379268983681</v>
      </c>
      <c r="F105" s="15">
        <f t="shared" si="4"/>
        <v>12191.556727609019</v>
      </c>
      <c r="G105" s="15">
        <f t="shared" si="5"/>
        <v>13595.778363804509</v>
      </c>
      <c r="H105" s="15">
        <f t="shared" si="6"/>
        <v>11427.776600718214</v>
      </c>
      <c r="I105" s="15">
        <f t="shared" si="7"/>
        <v>10110.719878901442</v>
      </c>
      <c r="J105" s="15">
        <f t="shared" si="8"/>
        <v>12555.359939450722</v>
      </c>
      <c r="K105" s="15">
        <f t="shared" si="9"/>
        <v>9346.9397520106377</v>
      </c>
    </row>
    <row r="106" spans="1:11">
      <c r="A106" s="33">
        <v>33</v>
      </c>
      <c r="B106" s="34">
        <f t="shared" si="0"/>
        <v>5.8255328204942593E-2</v>
      </c>
      <c r="C106" s="34">
        <f t="shared" si="1"/>
        <v>0.38833703413696569</v>
      </c>
      <c r="D106" s="15">
        <f t="shared" si="2"/>
        <v>5188.8483798373818</v>
      </c>
      <c r="E106" s="15">
        <f t="shared" si="3"/>
        <v>9203.3664729257525</v>
      </c>
      <c r="F106" s="15">
        <f t="shared" si="4"/>
        <v>12246.624242753942</v>
      </c>
      <c r="G106" s="15">
        <f t="shared" si="5"/>
        <v>13623.31212137697</v>
      </c>
      <c r="H106" s="15">
        <f t="shared" si="6"/>
        <v>11497.820196782564</v>
      </c>
      <c r="I106" s="15">
        <f t="shared" si="7"/>
        <v>10116.387244986508</v>
      </c>
      <c r="J106" s="15">
        <f t="shared" si="8"/>
        <v>12558.193622493254</v>
      </c>
      <c r="K106" s="15">
        <f t="shared" si="9"/>
        <v>9367.583199015131</v>
      </c>
    </row>
    <row r="107" spans="1:11">
      <c r="A107" s="33">
        <v>34</v>
      </c>
      <c r="B107" s="34">
        <f t="shared" si="0"/>
        <v>3.9907996673633053E-2</v>
      </c>
      <c r="C107" s="34">
        <f t="shared" si="1"/>
        <v>0.37702624673491814</v>
      </c>
      <c r="D107" s="15">
        <f t="shared" si="2"/>
        <v>5188.8483798373818</v>
      </c>
      <c r="E107" s="15">
        <f t="shared" si="3"/>
        <v>9376.9234081506074</v>
      </c>
      <c r="F107" s="15">
        <f t="shared" si="4"/>
        <v>12300.612002699942</v>
      </c>
      <c r="G107" s="15">
        <f t="shared" si="5"/>
        <v>13650.306001349971</v>
      </c>
      <c r="H107" s="15">
        <f t="shared" si="6"/>
        <v>11566.490389002514</v>
      </c>
      <c r="I107" s="15">
        <f t="shared" si="7"/>
        <v>10121.855054019332</v>
      </c>
      <c r="J107" s="15">
        <f t="shared" si="8"/>
        <v>12560.927527009666</v>
      </c>
      <c r="K107" s="15">
        <f t="shared" si="9"/>
        <v>9387.7334403219065</v>
      </c>
    </row>
    <row r="108" spans="1:11">
      <c r="A108" s="33">
        <v>35</v>
      </c>
      <c r="B108" s="34">
        <f t="shared" si="0"/>
        <v>2.6160628859328364E-2</v>
      </c>
      <c r="C108" s="34">
        <f t="shared" si="1"/>
        <v>0.36604489974263904</v>
      </c>
      <c r="D108" s="15">
        <f t="shared" si="2"/>
        <v>5188.8483798373818</v>
      </c>
      <c r="E108" s="15">
        <f t="shared" si="3"/>
        <v>9554.1250390151836</v>
      </c>
      <c r="F108" s="15">
        <f t="shared" si="4"/>
        <v>12353.54117911759</v>
      </c>
      <c r="G108" s="15">
        <f t="shared" si="5"/>
        <v>13676.770589558795</v>
      </c>
      <c r="H108" s="15">
        <f t="shared" si="6"/>
        <v>11633.814106865211</v>
      </c>
      <c r="I108" s="15">
        <f t="shared" si="7"/>
        <v>10127.127132185033</v>
      </c>
      <c r="J108" s="15">
        <f t="shared" si="8"/>
        <v>12563.563566092516</v>
      </c>
      <c r="K108" s="15">
        <f t="shared" si="9"/>
        <v>9407.4000599326537</v>
      </c>
    </row>
    <row r="109" spans="1:11">
      <c r="A109" s="33">
        <v>36</v>
      </c>
      <c r="B109" s="34">
        <f t="shared" si="0"/>
        <v>1.6321595940044457E-2</v>
      </c>
      <c r="C109" s="34">
        <f t="shared" si="1"/>
        <v>0.35538339780838735</v>
      </c>
      <c r="D109" s="15">
        <f t="shared" si="2"/>
        <v>5188.8483798373818</v>
      </c>
      <c r="E109" s="15">
        <f t="shared" si="3"/>
        <v>9735.0479041279177</v>
      </c>
      <c r="F109" s="15">
        <f t="shared" si="4"/>
        <v>12405.432528546657</v>
      </c>
      <c r="G109" s="15">
        <f t="shared" si="5"/>
        <v>13702.716264273329</v>
      </c>
      <c r="H109" s="15">
        <f t="shared" si="6"/>
        <v>11699.817751828637</v>
      </c>
      <c r="I109" s="15">
        <f t="shared" si="7"/>
        <v>10132.207230560489</v>
      </c>
      <c r="J109" s="15">
        <f t="shared" si="8"/>
        <v>12566.103615280244</v>
      </c>
      <c r="K109" s="15">
        <f t="shared" si="9"/>
        <v>9426.5924538424679</v>
      </c>
    </row>
    <row r="110" spans="1:11">
      <c r="A110" s="33">
        <v>37</v>
      </c>
      <c r="B110" s="34">
        <f t="shared" si="0"/>
        <v>9.6732616712567228E-3</v>
      </c>
      <c r="C110" s="34">
        <f t="shared" si="1"/>
        <v>0.34503242505668674</v>
      </c>
      <c r="D110" s="15">
        <f t="shared" si="2"/>
        <v>5188.8483798373818</v>
      </c>
      <c r="E110" s="15">
        <f t="shared" si="3"/>
        <v>9919.7701494080175</v>
      </c>
      <c r="F110" s="15">
        <f t="shared" si="4"/>
        <v>12456.306400535937</v>
      </c>
      <c r="G110" s="15">
        <f t="shared" si="5"/>
        <v>13728.153200267969</v>
      </c>
      <c r="H110" s="15">
        <f t="shared" si="6"/>
        <v>11764.527207675135</v>
      </c>
      <c r="I110" s="15">
        <f t="shared" si="7"/>
        <v>10137.09902658697</v>
      </c>
      <c r="J110" s="15">
        <f t="shared" si="8"/>
        <v>12568.549513293485</v>
      </c>
      <c r="K110" s="15">
        <f t="shared" si="9"/>
        <v>9445.3198337261656</v>
      </c>
    </row>
    <row r="111" spans="1:11">
      <c r="A111" s="33">
        <v>38</v>
      </c>
      <c r="B111" s="34">
        <f t="shared" si="0"/>
        <v>5.423606868888254E-3</v>
      </c>
      <c r="C111" s="34">
        <f t="shared" si="1"/>
        <v>0.33498293694823961</v>
      </c>
      <c r="D111" s="15">
        <f t="shared" si="2"/>
        <v>5188.8483798373818</v>
      </c>
      <c r="E111" s="15">
        <f t="shared" si="3"/>
        <v>10108.371561838998</v>
      </c>
      <c r="F111" s="15">
        <f t="shared" si="4"/>
        <v>12506.18274562347</v>
      </c>
      <c r="G111" s="15">
        <f t="shared" si="5"/>
        <v>13753.091372811734</v>
      </c>
      <c r="H111" s="15">
        <f t="shared" si="6"/>
        <v>11827.967850661897</v>
      </c>
      <c r="I111" s="15">
        <f t="shared" si="7"/>
        <v>10141.806125513893</v>
      </c>
      <c r="J111" s="15">
        <f t="shared" si="8"/>
        <v>12570.903062756946</v>
      </c>
      <c r="K111" s="15">
        <f t="shared" si="9"/>
        <v>9463.5912305523198</v>
      </c>
    </row>
    <row r="112" spans="1:11">
      <c r="A112" s="33">
        <v>39</v>
      </c>
      <c r="B112" s="34">
        <f t="shared" si="0"/>
        <v>2.8647127015086165E-3</v>
      </c>
      <c r="C112" s="34">
        <f t="shared" si="1"/>
        <v>0.3252261523769317</v>
      </c>
      <c r="D112" s="15">
        <f t="shared" si="2"/>
        <v>5188.8483798373818</v>
      </c>
      <c r="E112" s="15">
        <f t="shared" si="3"/>
        <v>10300.933603931033</v>
      </c>
      <c r="F112" s="15">
        <f t="shared" si="4"/>
        <v>12555.081123160264</v>
      </c>
      <c r="G112" s="15">
        <f t="shared" si="5"/>
        <v>13777.540561580132</v>
      </c>
      <c r="H112" s="15">
        <f t="shared" si="6"/>
        <v>11890.164559472449</v>
      </c>
      <c r="I112" s="15">
        <f t="shared" si="7"/>
        <v>10146.332061814253</v>
      </c>
      <c r="J112" s="15">
        <f t="shared" si="8"/>
        <v>12573.166030907127</v>
      </c>
      <c r="K112" s="15">
        <f t="shared" si="9"/>
        <v>9481.4154981264383</v>
      </c>
    </row>
    <row r="113" spans="1:11">
      <c r="A113" s="33">
        <v>40</v>
      </c>
      <c r="B113" s="34">
        <f t="shared" si="0"/>
        <v>1.4193883979442461E-3</v>
      </c>
      <c r="C113" s="34">
        <f t="shared" si="1"/>
        <v>0.31575354599702099</v>
      </c>
      <c r="D113" s="15">
        <f t="shared" si="2"/>
        <v>5188.8483798373818</v>
      </c>
      <c r="E113" s="15">
        <f t="shared" si="3"/>
        <v>10497.539448906997</v>
      </c>
      <c r="F113" s="15">
        <f t="shared" si="4"/>
        <v>12603.02070898065</v>
      </c>
      <c r="G113" s="15">
        <f t="shared" si="5"/>
        <v>13801.510354490325</v>
      </c>
      <c r="H113" s="15">
        <f t="shared" si="6"/>
        <v>11951.141724972988</v>
      </c>
      <c r="I113" s="15">
        <f t="shared" si="7"/>
        <v>10150.680300572334</v>
      </c>
      <c r="J113" s="15">
        <f t="shared" si="8"/>
        <v>12575.340150286167</v>
      </c>
      <c r="K113" s="15">
        <f t="shared" si="9"/>
        <v>9498.8013165646698</v>
      </c>
    </row>
  </sheetData>
  <mergeCells count="10">
    <mergeCell ref="A71:K71"/>
    <mergeCell ref="A41:H41"/>
    <mergeCell ref="A43:D43"/>
    <mergeCell ref="A51:D51"/>
    <mergeCell ref="A1:K1"/>
    <mergeCell ref="A3:H3"/>
    <mergeCell ref="A35:K35"/>
    <mergeCell ref="A4:D4"/>
    <mergeCell ref="A20:D20"/>
    <mergeCell ref="A2:K2"/>
  </mergeCells>
  <dataValidations count="1">
    <dataValidation type="decimal" error="Il tetto in capitale è il 50%" sqref="B15">
      <formula1>0</formula1>
      <formula2>0.5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"/>
  <sheetViews>
    <sheetView workbookViewId="0"/>
  </sheetViews>
  <sheetFormatPr defaultRowHeight="15"/>
  <cols>
    <col min="1" max="1" width="70" customWidth="1"/>
    <col min="2" max="3" width="22" customWidth="1"/>
    <col min="4" max="6" width="18" customWidth="1"/>
  </cols>
  <sheetData>
    <row r="1" spans="1:6" ht="24.95" customHeight="1">
      <c r="A1" s="47" t="s">
        <v>287</v>
      </c>
      <c r="B1" s="46"/>
      <c r="C1" s="46"/>
      <c r="D1" s="46"/>
      <c r="E1" s="46"/>
      <c r="F1" s="46"/>
    </row>
    <row r="2" spans="1:6" ht="32.1" customHeight="1">
      <c r="A2" s="45" t="s">
        <v>1</v>
      </c>
      <c r="B2" s="46"/>
      <c r="C2" s="46"/>
      <c r="D2" s="46"/>
      <c r="E2" s="46"/>
      <c r="F2" s="46"/>
    </row>
    <row r="3" spans="1:6" ht="62.1" customHeight="1">
      <c r="A3" s="50" t="s">
        <v>288</v>
      </c>
      <c r="B3" s="46"/>
      <c r="C3" s="46"/>
      <c r="D3" s="46"/>
      <c r="E3" s="46"/>
      <c r="F3" s="46"/>
    </row>
    <row r="4" spans="1:6">
      <c r="A4" s="48" t="s">
        <v>289</v>
      </c>
      <c r="B4" s="46"/>
      <c r="C4" s="46"/>
    </row>
    <row r="5" spans="1:6">
      <c r="A5" s="5" t="s">
        <v>290</v>
      </c>
      <c r="B5" s="9" t="s">
        <v>291</v>
      </c>
    </row>
    <row r="6" spans="1:6">
      <c r="A6" s="5" t="s">
        <v>292</v>
      </c>
      <c r="B6" s="11">
        <v>8</v>
      </c>
    </row>
    <row r="7" spans="1:6">
      <c r="A7" s="5" t="s">
        <v>293</v>
      </c>
      <c r="B7" s="11">
        <v>13</v>
      </c>
    </row>
    <row r="8" spans="1:6" ht="60" customHeight="1">
      <c r="A8" s="5" t="s">
        <v>294</v>
      </c>
      <c r="B8" s="12">
        <v>2.4500000000000001E-2</v>
      </c>
      <c r="C8" s="7" t="s">
        <v>295</v>
      </c>
    </row>
    <row r="9" spans="1:6">
      <c r="A9" s="5" t="s">
        <v>296</v>
      </c>
      <c r="B9" s="14">
        <f>R_nom_alt</f>
        <v>5.0599999999999978E-2</v>
      </c>
    </row>
    <row r="10" spans="1:6">
      <c r="A10" s="5" t="s">
        <v>297</v>
      </c>
      <c r="B10" s="36">
        <v>0.2</v>
      </c>
    </row>
    <row r="11" spans="1:6">
      <c r="A11" s="5" t="s">
        <v>298</v>
      </c>
      <c r="B11" s="14">
        <f>W_r_lordo*(1-W_imposta)</f>
        <v>4.0479999999999988E-2</v>
      </c>
    </row>
    <row r="12" spans="1:6">
      <c r="A12" s="5" t="s">
        <v>299</v>
      </c>
      <c r="B12" s="12">
        <v>4.1750000000000002E-2</v>
      </c>
    </row>
    <row r="13" spans="1:6">
      <c r="A13" s="5" t="s">
        <v>300</v>
      </c>
      <c r="B13" s="24">
        <f>K_fondo</f>
        <v>150000</v>
      </c>
    </row>
    <row r="15" spans="1:6">
      <c r="A15" s="48" t="s">
        <v>73</v>
      </c>
      <c r="B15" s="46"/>
      <c r="C15" s="46"/>
    </row>
    <row r="16" spans="1:6">
      <c r="A16" s="20"/>
      <c r="B16" s="41">
        <f>W_N1</f>
        <v>8</v>
      </c>
      <c r="C16" s="41">
        <f>W_N2</f>
        <v>13</v>
      </c>
    </row>
    <row r="17" spans="1:4">
      <c r="A17" s="5" t="s">
        <v>301</v>
      </c>
      <c r="B17" s="17">
        <f>Eta+W_N1</f>
        <v>75</v>
      </c>
      <c r="C17" s="17">
        <f>Eta+W_N2</f>
        <v>80</v>
      </c>
    </row>
    <row r="18" spans="1:4" ht="30" customHeight="1">
      <c r="A18" s="5" t="s">
        <v>302</v>
      </c>
      <c r="B18" s="13">
        <f>IF(W_fondo="Fondo B (pubblicato)",IF(Sesso="F",INDEX(B_vitF,MATCH(Eta,B_eta,0)),INDEX(B_vitM,MATCH(Eta,B_eta,0))),IFERROR(IF(Sesso="F",INDEX(A_vitF,MATCH(Eta,A_eta,0)),INDEX(A_vitM,MATCH(Eta,A_eta,0))),IF(Sesso="F",INDEX(S_F,MATCH(Eta,S_eta,0)),INDEX(S_M,MATCH(Eta,S_eta,0)))))</f>
        <v>4.2291200000000001E-2</v>
      </c>
      <c r="C18" s="13">
        <f>B18</f>
        <v>4.2291200000000001E-2</v>
      </c>
      <c r="D18" s="7" t="s">
        <v>303</v>
      </c>
    </row>
    <row r="19" spans="1:4">
      <c r="A19" s="5" t="s">
        <v>304</v>
      </c>
      <c r="B19" s="13">
        <f>IF(W_fondo="Fondo B (pubblicato)",IF(Sesso="F",INDEX(B_vitF,MATCH(Eta+W_N1,B_eta,0)),INDEX(B_vitM,MATCH(Eta+W_N1,B_eta,0))),IFERROR(IF(Sesso="F",INDEX(A_vitF,MATCH(Eta+W_N1,A_eta,0)),INDEX(A_vitM,MATCH(Eta+W_N1,A_eta,0))),IF(Sesso="F",INDEX(S_F,MATCH(Eta+W_N1,S_eta,0)),INDEX(S_M,MATCH(Eta+W_N1,S_eta,0)))))</f>
        <v>6.04033E-2</v>
      </c>
      <c r="C19" s="13">
        <f>IF(W_fondo="Fondo B (pubblicato)",IF(Sesso="F",INDEX(B_vitF,MATCH(Eta+W_N2,B_eta,0)),INDEX(B_vitM,MATCH(Eta+W_N2,B_eta,0))),IFERROR(IF(Sesso="F",INDEX(A_vitF,MATCH(Eta+W_N2,A_eta,0)),INDEX(A_vitM,MATCH(Eta+W_N2,A_eta,0))),IF(Sesso="F",INDEX(S_F,MATCH(Eta+W_N2,S_eta,0)),INDEX(S_M,MATCH(Eta+W_N2,S_eta,0)))))</f>
        <v>8.0286499999999997E-2</v>
      </c>
    </row>
    <row r="20" spans="1:4">
      <c r="A20" s="5" t="s">
        <v>305</v>
      </c>
      <c r="B20" s="42">
        <f>(1+W_r_netto)^W_N1-W_cx*IF(ABS(W_r_netto-W_g)&lt;0.000000001,W_N1*(1+W_r_netto)^(W_N1-1),((1+W_r_netto)^W_N1-(1+W_g)^W_N1)/(W_r_netto-W_g))</f>
        <v>0.9502575507794403</v>
      </c>
      <c r="C20" s="42">
        <f>(1+W_r_netto)^W_N2-W_cx*IF(ABS(W_r_netto-W_g)&lt;0.000000001,W_N2*(1+W_r_netto)^(W_N2-1),((1+W_r_netto)^W_N2-(1+W_g)^W_N2)/(W_r_netto-W_g))</f>
        <v>0.86712105440535392</v>
      </c>
    </row>
    <row r="21" spans="1:4">
      <c r="A21" s="5" t="s">
        <v>306</v>
      </c>
      <c r="B21" s="24">
        <f>B13*B20</f>
        <v>142538.63261691603</v>
      </c>
      <c r="C21" s="24">
        <f>B13*C20</f>
        <v>130068.15816080308</v>
      </c>
    </row>
    <row r="22" spans="1:4">
      <c r="A22" s="5" t="s">
        <v>307</v>
      </c>
      <c r="B22" s="24">
        <f>B13*W_cx*(1+W_g)^W_N1</f>
        <v>7699.04697156558</v>
      </c>
      <c r="C22" s="24">
        <f>B13*W_cx*(1+W_g)^W_N2</f>
        <v>8689.5399242983494</v>
      </c>
    </row>
    <row r="23" spans="1:4">
      <c r="A23" s="5" t="s">
        <v>308</v>
      </c>
      <c r="B23" s="24">
        <f>W_capE1*W_cy1</f>
        <v>8609.8037875493646</v>
      </c>
      <c r="C23" s="24">
        <f>W_capE2*W_cy2</f>
        <v>10442.717180177317</v>
      </c>
    </row>
    <row r="24" spans="1:4">
      <c r="A24" s="5" t="s">
        <v>309</v>
      </c>
      <c r="B24" s="32">
        <f>B23/B22</f>
        <v>1.1182947473041049</v>
      </c>
      <c r="C24" s="32">
        <f>C23/C22</f>
        <v>1.2017572013193243</v>
      </c>
    </row>
    <row r="25" spans="1:4">
      <c r="A25" s="5" t="s">
        <v>310</v>
      </c>
      <c r="B25" s="19">
        <f>IFERROR(INDEX(Surv_p,W_N1+1),0)</f>
        <v>0.92395999291001396</v>
      </c>
      <c r="C25" s="19">
        <f>IFERROR(INDEX(Surv_p,W_N2+1),0)</f>
        <v>0.83541199485787199</v>
      </c>
    </row>
    <row r="26" spans="1:4">
      <c r="A26" s="5" t="s">
        <v>311</v>
      </c>
      <c r="B26" s="24">
        <f>0</f>
        <v>0</v>
      </c>
      <c r="C26" s="24">
        <f>0</f>
        <v>0</v>
      </c>
    </row>
    <row r="27" spans="1:4">
      <c r="A27" s="5" t="s">
        <v>312</v>
      </c>
      <c r="B27" s="24">
        <f>B21</f>
        <v>142538.63261691603</v>
      </c>
      <c r="C27" s="24">
        <f>C21</f>
        <v>130068.15816080308</v>
      </c>
    </row>
    <row r="29" spans="1:4">
      <c r="A29" s="48" t="s">
        <v>313</v>
      </c>
      <c r="B29" s="46"/>
      <c r="C29" s="46"/>
    </row>
    <row r="30" spans="1:4">
      <c r="A30" s="20" t="s">
        <v>314</v>
      </c>
      <c r="B30" s="20" t="s">
        <v>315</v>
      </c>
      <c r="C30" s="20" t="s">
        <v>316</v>
      </c>
    </row>
    <row r="31" spans="1:4">
      <c r="A31" s="43">
        <v>0</v>
      </c>
      <c r="B31" s="32">
        <f>((1+$A31)^W_N1-W_cx*IF(ABS($A31-W_g)&lt;0.000000001,W_N1*(1+$A31)^(W_N1-1),((1+$A31)^W_N1-(1+W_g)^W_N1)/($A31-W_g)))*B19/(W_cx*(1+W_g)^W_N1)</f>
        <v>0.7428085538798076</v>
      </c>
      <c r="C31" s="32">
        <f>((1+$A31)^W_N2-W_cx*IF(ABS($A31-W_g)&lt;0.000000001,W_N2*(1+$A31)^(W_N2-1),((1+$A31)^W_N2-(1+W_g)^W_N2)/($A31-W_g)))*C19/(W_cx*(1+W_g)^W_N2)</f>
        <v>0.50124541299302516</v>
      </c>
    </row>
    <row r="32" spans="1:4">
      <c r="A32" s="43">
        <v>0.02</v>
      </c>
      <c r="B32" s="32">
        <f>((1+$A32)^W_N1-W_cx*IF(ABS($A32-W_g)&lt;0.000000001,W_N1*(1+$A32)^(W_N1-1),((1+$A32)^W_N1-(1+W_g)^W_N1)/($A32-W_g)))*B19/(W_cx*(1+W_g)^W_N1)</f>
        <v>0.91436512994638397</v>
      </c>
      <c r="C32" s="32">
        <f>((1+$A32)^W_N2-W_cx*IF(ABS($A32-W_g)&lt;0.000000001,W_N2*(1+$A32)^(W_N2-1),((1+$A32)^W_N2-(1+W_g)^W_N2)/($A32-W_g)))*C19/(W_cx*(1+W_g)^W_N2)</f>
        <v>0.80048689932954886</v>
      </c>
    </row>
    <row r="33" spans="1:5">
      <c r="A33" s="31">
        <f>W_r_netto</f>
        <v>4.0479999999999988E-2</v>
      </c>
      <c r="B33" s="32">
        <f>((1+$A33)^W_N1-W_cx*IF(ABS($A33-W_g)&lt;0.000000001,W_N1*(1+$A33)^(W_N1-1),((1+$A33)^W_N1-(1+W_g)^W_N1)/($A33-W_g)))*B19/(W_cx*(1+W_g)^W_N1)</f>
        <v>1.1182947473041049</v>
      </c>
      <c r="C33" s="32">
        <f>((1+$A33)^W_N2-W_cx*IF(ABS($A33-W_g)&lt;0.000000001,W_N2*(1+$A33)^(W_N2-1),((1+$A33)^W_N2-(1+W_g)^W_N2)/($A33-W_g)))*C19/(W_cx*(1+W_g)^W_N2)</f>
        <v>1.2017572013193241</v>
      </c>
    </row>
    <row r="34" spans="1:5">
      <c r="A34" s="31">
        <f>W_r_netto_alt</f>
        <v>4.1750000000000002E-2</v>
      </c>
      <c r="B34" s="32">
        <f>((1+$A34)^W_N1-W_cx*IF(ABS($A34-W_g)&lt;0.000000001,W_N1*(1+$A34)^(W_N1-1),((1+$A34)^W_N1-(1+W_g)^W_N1)/($A34-W_g)))*B19/(W_cx*(1+W_g)^W_N1)</f>
        <v>1.1319640545837286</v>
      </c>
      <c r="C34" s="32">
        <f>((1+$A34)^W_N2-W_cx*IF(ABS($A34-W_g)&lt;0.000000001,W_N2*(1+$A34)^(W_N2-1),((1+$A34)^W_N2-(1+W_g)^W_N2)/($A34-W_g)))*C19/(W_cx*(1+W_g)^W_N2)</f>
        <v>1.2303300476680721</v>
      </c>
    </row>
    <row r="35" spans="1:5">
      <c r="A35" s="31">
        <f>W_r_lordo</f>
        <v>5.0599999999999978E-2</v>
      </c>
      <c r="B35" s="32">
        <f>((1+$A35)^W_N1-W_cx*IF(ABS($A35-W_g)&lt;0.000000001,W_N1*(1+$A35)^(W_N1-1),((1+$A35)^W_N1-(1+W_g)^W_N1)/($A35-W_g)))*B19/(W_cx*(1+W_g)^W_N1)</f>
        <v>1.2307434478122048</v>
      </c>
      <c r="C35" s="32">
        <f>((1+$A35)^W_N2-W_cx*IF(ABS($A35-W_g)&lt;0.000000001,W_N2*(1+$A35)^(W_N2-1),((1+$A35)^W_N2-(1+W_g)^W_N2)/($A35-W_g)))*C19/(W_cx*(1+W_g)^W_N2)</f>
        <v>1.4428271925378806</v>
      </c>
    </row>
    <row r="37" spans="1:5">
      <c r="A37" s="48" t="s">
        <v>317</v>
      </c>
      <c r="B37" s="46"/>
      <c r="C37" s="46"/>
    </row>
    <row r="38" spans="1:5">
      <c r="A38" s="5" t="s">
        <v>318</v>
      </c>
      <c r="B38" s="14">
        <f>IF(COUNT(C44:C164)=0,"oltre 6%",MIN(C44:C164))</f>
        <v>2.9000000000000001E-2</v>
      </c>
      <c r="C38" s="14">
        <f>IF(COUNT(E44:E164)=0,"oltre 6%",MIN(E44:E164))</f>
        <v>3.1E-2</v>
      </c>
    </row>
    <row r="39" spans="1:5">
      <c r="A39" s="5" t="s">
        <v>319</v>
      </c>
      <c r="B39" s="14">
        <f>IF(ISNUMBER(B38),B38/(1-W_imposta),"")</f>
        <v>3.6249999999999998E-2</v>
      </c>
      <c r="C39" s="14">
        <f>IF(ISNUMBER(C38),C38/(1-W_imposta),"")</f>
        <v>3.875E-2</v>
      </c>
    </row>
    <row r="42" spans="1:5">
      <c r="A42" s="48" t="s">
        <v>320</v>
      </c>
      <c r="B42" s="46"/>
      <c r="C42" s="46"/>
      <c r="D42" s="46"/>
      <c r="E42" s="46"/>
    </row>
    <row r="43" spans="1:5" ht="32.1" customHeight="1">
      <c r="A43" s="20" t="s">
        <v>321</v>
      </c>
      <c r="B43" s="20" t="s">
        <v>322</v>
      </c>
      <c r="C43" s="20" t="s">
        <v>323</v>
      </c>
      <c r="D43" s="20" t="s">
        <v>324</v>
      </c>
      <c r="E43" s="20" t="s">
        <v>325</v>
      </c>
    </row>
    <row r="44" spans="1:5">
      <c r="A44" s="44">
        <v>0</v>
      </c>
      <c r="B44" s="32">
        <f t="shared" ref="B44:B75" si="0">((1+$A44)^W_N1-W_cx*IF(ABS($A44-W_g)&lt;0.000000001,W_N1*(1+$A44)^(W_N1-1),((1+$A44)^W_N1-(1+W_g)^W_N1)/($A44-W_g)))*$B$19/(W_cx*(1+W_g)^W_N1)</f>
        <v>0.7428085538798076</v>
      </c>
      <c r="C44" s="14" t="str">
        <f t="shared" ref="C44:C75" si="1">IF(B44&gt;=1,$A44,"")</f>
        <v/>
      </c>
      <c r="D44" s="32">
        <f t="shared" ref="D44:D75" si="2">((1+$A44)^W_N2-W_cx*IF(ABS($A44-W_g)&lt;0.000000001,W_N2*(1+$A44)^(W_N2-1),((1+$A44)^W_N2-(1+W_g)^W_N2)/($A44-W_g)))*$C$19/(W_cx*(1+W_g)^W_N2)</f>
        <v>0.50124541299302516</v>
      </c>
      <c r="E44" s="14" t="str">
        <f t="shared" ref="E44:E75" si="3">IF(D44&gt;=1,$A44,"")</f>
        <v/>
      </c>
    </row>
    <row r="45" spans="1:5">
      <c r="A45" s="44">
        <v>5.0000000000000001E-4</v>
      </c>
      <c r="B45" s="32">
        <f t="shared" si="0"/>
        <v>0.74679143018874106</v>
      </c>
      <c r="C45" s="14" t="str">
        <f t="shared" si="1"/>
        <v/>
      </c>
      <c r="D45" s="32">
        <f t="shared" si="2"/>
        <v>0.50777211067643191</v>
      </c>
      <c r="E45" s="14" t="str">
        <f t="shared" si="3"/>
        <v/>
      </c>
    </row>
    <row r="46" spans="1:5">
      <c r="A46" s="44">
        <v>1E-3</v>
      </c>
      <c r="B46" s="32">
        <f t="shared" si="0"/>
        <v>0.75078939192033467</v>
      </c>
      <c r="C46" s="14" t="str">
        <f t="shared" si="1"/>
        <v/>
      </c>
      <c r="D46" s="32">
        <f t="shared" si="2"/>
        <v>0.51434420602066522</v>
      </c>
      <c r="E46" s="14" t="str">
        <f t="shared" si="3"/>
        <v/>
      </c>
    </row>
    <row r="47" spans="1:5">
      <c r="A47" s="44">
        <v>1.5E-3</v>
      </c>
      <c r="B47" s="32">
        <f t="shared" si="0"/>
        <v>0.75480248601615085</v>
      </c>
      <c r="C47" s="14" t="str">
        <f t="shared" si="1"/>
        <v/>
      </c>
      <c r="D47" s="32">
        <f t="shared" si="2"/>
        <v>0.52096196550365059</v>
      </c>
      <c r="E47" s="14" t="str">
        <f t="shared" si="3"/>
        <v/>
      </c>
    </row>
    <row r="48" spans="1:5">
      <c r="A48" s="44">
        <v>2E-3</v>
      </c>
      <c r="B48" s="32">
        <f t="shared" si="0"/>
        <v>0.75883075953754087</v>
      </c>
      <c r="C48" s="14" t="str">
        <f t="shared" si="1"/>
        <v/>
      </c>
      <c r="D48" s="32">
        <f t="shared" si="2"/>
        <v>0.52762565698537267</v>
      </c>
      <c r="E48" s="14" t="str">
        <f t="shared" si="3"/>
        <v/>
      </c>
    </row>
    <row r="49" spans="1:5">
      <c r="A49" s="44">
        <v>2.5000000000000001E-3</v>
      </c>
      <c r="B49" s="32">
        <f t="shared" si="0"/>
        <v>0.76287425966595179</v>
      </c>
      <c r="C49" s="14" t="str">
        <f t="shared" si="1"/>
        <v/>
      </c>
      <c r="D49" s="32">
        <f t="shared" si="2"/>
        <v>0.5343355497143577</v>
      </c>
      <c r="E49" s="14" t="str">
        <f t="shared" si="3"/>
        <v/>
      </c>
    </row>
    <row r="50" spans="1:5">
      <c r="A50" s="44">
        <v>3.0000000000000001E-3</v>
      </c>
      <c r="B50" s="32">
        <f t="shared" si="0"/>
        <v>0.76693303370311883</v>
      </c>
      <c r="C50" s="14" t="str">
        <f t="shared" si="1"/>
        <v/>
      </c>
      <c r="D50" s="32">
        <f t="shared" si="2"/>
        <v>0.54109191433397597</v>
      </c>
      <c r="E50" s="14" t="str">
        <f t="shared" si="3"/>
        <v/>
      </c>
    </row>
    <row r="51" spans="1:5">
      <c r="A51" s="44">
        <v>3.5000000000000001E-3</v>
      </c>
      <c r="B51" s="32">
        <f t="shared" si="0"/>
        <v>0.77100712907133873</v>
      </c>
      <c r="C51" s="14" t="str">
        <f t="shared" si="1"/>
        <v/>
      </c>
      <c r="D51" s="32">
        <f t="shared" si="2"/>
        <v>0.54789502288891512</v>
      </c>
      <c r="E51" s="14" t="str">
        <f t="shared" si="3"/>
        <v/>
      </c>
    </row>
    <row r="52" spans="1:5">
      <c r="A52" s="44">
        <v>4.0000000000000001E-3</v>
      </c>
      <c r="B52" s="32">
        <f t="shared" si="0"/>
        <v>0.77509659331368141</v>
      </c>
      <c r="C52" s="14" t="str">
        <f t="shared" si="1"/>
        <v/>
      </c>
      <c r="D52" s="32">
        <f t="shared" si="2"/>
        <v>0.5547451488315629</v>
      </c>
      <c r="E52" s="14" t="str">
        <f t="shared" si="3"/>
        <v/>
      </c>
    </row>
    <row r="53" spans="1:5">
      <c r="A53" s="44">
        <v>4.4999999999999997E-3</v>
      </c>
      <c r="B53" s="32">
        <f t="shared" si="0"/>
        <v>0.77920147409426754</v>
      </c>
      <c r="C53" s="14" t="str">
        <f t="shared" si="1"/>
        <v/>
      </c>
      <c r="D53" s="32">
        <f t="shared" si="2"/>
        <v>0.56164256702853899</v>
      </c>
      <c r="E53" s="14" t="str">
        <f t="shared" si="3"/>
        <v/>
      </c>
    </row>
    <row r="54" spans="1:5">
      <c r="A54" s="44">
        <v>5.0000000000000001E-3</v>
      </c>
      <c r="B54" s="32">
        <f t="shared" si="0"/>
        <v>0.78332181919850541</v>
      </c>
      <c r="C54" s="14" t="str">
        <f t="shared" si="1"/>
        <v/>
      </c>
      <c r="D54" s="32">
        <f t="shared" si="2"/>
        <v>0.56858755376717751</v>
      </c>
      <c r="E54" s="14" t="str">
        <f t="shared" si="3"/>
        <v/>
      </c>
    </row>
    <row r="55" spans="1:5">
      <c r="A55" s="44">
        <v>5.4999999999999997E-3</v>
      </c>
      <c r="B55" s="32">
        <f t="shared" si="0"/>
        <v>0.7874576765333281</v>
      </c>
      <c r="C55" s="14" t="str">
        <f t="shared" si="1"/>
        <v/>
      </c>
      <c r="D55" s="32">
        <f t="shared" si="2"/>
        <v>0.57558038676204137</v>
      </c>
      <c r="E55" s="14" t="str">
        <f t="shared" si="3"/>
        <v/>
      </c>
    </row>
    <row r="56" spans="1:5">
      <c r="A56" s="44">
        <v>6.0000000000000001E-3</v>
      </c>
      <c r="B56" s="32">
        <f t="shared" si="0"/>
        <v>0.79160909412741964</v>
      </c>
      <c r="C56" s="14" t="str">
        <f t="shared" si="1"/>
        <v/>
      </c>
      <c r="D56" s="32">
        <f t="shared" si="2"/>
        <v>0.58262134516142572</v>
      </c>
      <c r="E56" s="14" t="str">
        <f t="shared" si="3"/>
        <v/>
      </c>
    </row>
    <row r="57" spans="1:5">
      <c r="A57" s="44">
        <v>6.4999999999999997E-3</v>
      </c>
      <c r="B57" s="32">
        <f t="shared" si="0"/>
        <v>0.79577612013150734</v>
      </c>
      <c r="C57" s="14" t="str">
        <f t="shared" si="1"/>
        <v/>
      </c>
      <c r="D57" s="32">
        <f t="shared" si="2"/>
        <v>0.5897107095540306</v>
      </c>
      <c r="E57" s="14" t="str">
        <f t="shared" si="3"/>
        <v/>
      </c>
    </row>
    <row r="58" spans="1:5">
      <c r="A58" s="44">
        <v>7.0000000000000001E-3</v>
      </c>
      <c r="B58" s="32">
        <f t="shared" si="0"/>
        <v>0.79995880281857734</v>
      </c>
      <c r="C58" s="14" t="str">
        <f t="shared" si="1"/>
        <v/>
      </c>
      <c r="D58" s="32">
        <f t="shared" si="2"/>
        <v>0.59684876197549952</v>
      </c>
      <c r="E58" s="14" t="str">
        <f t="shared" si="3"/>
        <v/>
      </c>
    </row>
    <row r="59" spans="1:5">
      <c r="A59" s="44">
        <v>7.4999999999999997E-3</v>
      </c>
      <c r="B59" s="32">
        <f t="shared" si="0"/>
        <v>0.80415719058412916</v>
      </c>
      <c r="C59" s="14" t="str">
        <f t="shared" si="1"/>
        <v/>
      </c>
      <c r="D59" s="32">
        <f t="shared" si="2"/>
        <v>0.60403578591507068</v>
      </c>
      <c r="E59" s="14" t="str">
        <f t="shared" si="3"/>
        <v/>
      </c>
    </row>
    <row r="60" spans="1:5">
      <c r="A60" s="44">
        <v>8.0000000000000002E-3</v>
      </c>
      <c r="B60" s="32">
        <f t="shared" si="0"/>
        <v>0.80837133194639854</v>
      </c>
      <c r="C60" s="14" t="str">
        <f t="shared" si="1"/>
        <v/>
      </c>
      <c r="D60" s="32">
        <f t="shared" si="2"/>
        <v>0.61127206632218067</v>
      </c>
      <c r="E60" s="14" t="str">
        <f t="shared" si="3"/>
        <v/>
      </c>
    </row>
    <row r="61" spans="1:5">
      <c r="A61" s="44">
        <v>8.5000000000000006E-3</v>
      </c>
      <c r="B61" s="32">
        <f t="shared" si="0"/>
        <v>0.81260127554664952</v>
      </c>
      <c r="C61" s="14" t="str">
        <f t="shared" si="1"/>
        <v/>
      </c>
      <c r="D61" s="32">
        <f t="shared" si="2"/>
        <v>0.61855788961323932</v>
      </c>
      <c r="E61" s="14" t="str">
        <f t="shared" si="3"/>
        <v/>
      </c>
    </row>
    <row r="62" spans="1:5">
      <c r="A62" s="44">
        <v>8.9999999999999993E-3</v>
      </c>
      <c r="B62" s="32">
        <f t="shared" si="0"/>
        <v>0.81684707014939162</v>
      </c>
      <c r="C62" s="14" t="str">
        <f t="shared" si="1"/>
        <v/>
      </c>
      <c r="D62" s="32">
        <f t="shared" si="2"/>
        <v>0.62589354367827477</v>
      </c>
      <c r="E62" s="14" t="str">
        <f t="shared" si="3"/>
        <v/>
      </c>
    </row>
    <row r="63" spans="1:5">
      <c r="A63" s="44">
        <v>9.4999999999999998E-3</v>
      </c>
      <c r="B63" s="32">
        <f t="shared" si="0"/>
        <v>0.82110876464264138</v>
      </c>
      <c r="C63" s="14" t="str">
        <f t="shared" si="1"/>
        <v/>
      </c>
      <c r="D63" s="32">
        <f t="shared" si="2"/>
        <v>0.6332793178877032</v>
      </c>
      <c r="E63" s="14" t="str">
        <f t="shared" si="3"/>
        <v/>
      </c>
    </row>
    <row r="64" spans="1:5">
      <c r="A64" s="44">
        <v>0.01</v>
      </c>
      <c r="B64" s="32">
        <f t="shared" si="0"/>
        <v>0.82538640803814434</v>
      </c>
      <c r="C64" s="14" t="str">
        <f t="shared" si="1"/>
        <v/>
      </c>
      <c r="D64" s="32">
        <f t="shared" si="2"/>
        <v>0.64071550309904002</v>
      </c>
      <c r="E64" s="14" t="str">
        <f t="shared" si="3"/>
        <v/>
      </c>
    </row>
    <row r="65" spans="1:5">
      <c r="A65" s="44">
        <v>1.0500000000000001E-2</v>
      </c>
      <c r="B65" s="32">
        <f t="shared" si="0"/>
        <v>0.82968004947166218</v>
      </c>
      <c r="C65" s="14" t="str">
        <f t="shared" si="1"/>
        <v/>
      </c>
      <c r="D65" s="32">
        <f t="shared" si="2"/>
        <v>0.64820239166376636</v>
      </c>
      <c r="E65" s="14" t="str">
        <f t="shared" si="3"/>
        <v/>
      </c>
    </row>
    <row r="66" spans="1:5">
      <c r="A66" s="44">
        <v>1.0999999999999999E-2</v>
      </c>
      <c r="B66" s="32">
        <f t="shared" si="0"/>
        <v>0.83398973820319255</v>
      </c>
      <c r="C66" s="14" t="str">
        <f t="shared" si="1"/>
        <v/>
      </c>
      <c r="D66" s="32">
        <f t="shared" si="2"/>
        <v>0.65574027743408836</v>
      </c>
      <c r="E66" s="14" t="str">
        <f t="shared" si="3"/>
        <v/>
      </c>
    </row>
    <row r="67" spans="1:5">
      <c r="A67" s="44">
        <v>1.15E-2</v>
      </c>
      <c r="B67" s="32">
        <f t="shared" si="0"/>
        <v>0.83831552361724682</v>
      </c>
      <c r="C67" s="14" t="str">
        <f t="shared" si="1"/>
        <v/>
      </c>
      <c r="D67" s="32">
        <f t="shared" si="2"/>
        <v>0.66332945576984292</v>
      </c>
      <c r="E67" s="14" t="str">
        <f t="shared" si="3"/>
        <v/>
      </c>
    </row>
    <row r="68" spans="1:5">
      <c r="A68" s="44">
        <v>1.2E-2</v>
      </c>
      <c r="B68" s="32">
        <f t="shared" si="0"/>
        <v>0.84265745522304825</v>
      </c>
      <c r="C68" s="14" t="str">
        <f t="shared" si="1"/>
        <v/>
      </c>
      <c r="D68" s="32">
        <f t="shared" si="2"/>
        <v>0.67097022354526759</v>
      </c>
      <c r="E68" s="14" t="str">
        <f t="shared" si="3"/>
        <v/>
      </c>
    </row>
    <row r="69" spans="1:5">
      <c r="A69" s="44">
        <v>1.2500000000000001E-2</v>
      </c>
      <c r="B69" s="32">
        <f t="shared" si="0"/>
        <v>0.84701558265485066</v>
      </c>
      <c r="C69" s="14" t="str">
        <f t="shared" si="1"/>
        <v/>
      </c>
      <c r="D69" s="32">
        <f t="shared" si="2"/>
        <v>0.67866287915603984</v>
      </c>
      <c r="E69" s="14" t="str">
        <f t="shared" si="3"/>
        <v/>
      </c>
    </row>
    <row r="70" spans="1:5">
      <c r="A70" s="44">
        <v>1.2999999999999999E-2</v>
      </c>
      <c r="B70" s="32">
        <f t="shared" si="0"/>
        <v>0.8513899556721366</v>
      </c>
      <c r="C70" s="14" t="str">
        <f t="shared" si="1"/>
        <v/>
      </c>
      <c r="D70" s="32">
        <f t="shared" si="2"/>
        <v>0.68640772252610105</v>
      </c>
      <c r="E70" s="14" t="str">
        <f t="shared" si="3"/>
        <v/>
      </c>
    </row>
    <row r="71" spans="1:5">
      <c r="A71" s="44">
        <v>1.35E-2</v>
      </c>
      <c r="B71" s="32">
        <f t="shared" si="0"/>
        <v>0.85578062415989409</v>
      </c>
      <c r="C71" s="14" t="str">
        <f t="shared" si="1"/>
        <v/>
      </c>
      <c r="D71" s="32">
        <f t="shared" si="2"/>
        <v>0.69420505511466568</v>
      </c>
      <c r="E71" s="14" t="str">
        <f t="shared" si="3"/>
        <v/>
      </c>
    </row>
    <row r="72" spans="1:5">
      <c r="A72" s="44">
        <v>1.4E-2</v>
      </c>
      <c r="B72" s="32">
        <f t="shared" si="0"/>
        <v>0.86018763812885113</v>
      </c>
      <c r="C72" s="14" t="str">
        <f t="shared" si="1"/>
        <v/>
      </c>
      <c r="D72" s="32">
        <f t="shared" si="2"/>
        <v>0.70205517992316779</v>
      </c>
      <c r="E72" s="14" t="str">
        <f t="shared" si="3"/>
        <v/>
      </c>
    </row>
    <row r="73" spans="1:5">
      <c r="A73" s="44">
        <v>1.4500000000000001E-2</v>
      </c>
      <c r="B73" s="32">
        <f t="shared" si="0"/>
        <v>0.86461104771573771</v>
      </c>
      <c r="C73" s="14" t="str">
        <f t="shared" si="1"/>
        <v/>
      </c>
      <c r="D73" s="32">
        <f t="shared" si="2"/>
        <v>0.70995840150230849</v>
      </c>
      <c r="E73" s="14" t="str">
        <f t="shared" si="3"/>
        <v/>
      </c>
    </row>
    <row r="74" spans="1:5">
      <c r="A74" s="44">
        <v>1.4999999999999999E-2</v>
      </c>
      <c r="B74" s="32">
        <f t="shared" si="0"/>
        <v>0.86905090318353762</v>
      </c>
      <c r="C74" s="14" t="str">
        <f t="shared" si="1"/>
        <v/>
      </c>
      <c r="D74" s="32">
        <f t="shared" si="2"/>
        <v>0.71791502595908285</v>
      </c>
      <c r="E74" s="14" t="str">
        <f t="shared" si="3"/>
        <v/>
      </c>
    </row>
    <row r="75" spans="1:5">
      <c r="A75" s="44">
        <v>1.55E-2</v>
      </c>
      <c r="B75" s="32">
        <f t="shared" si="0"/>
        <v>0.87350725492177272</v>
      </c>
      <c r="C75" s="14" t="str">
        <f t="shared" si="1"/>
        <v/>
      </c>
      <c r="D75" s="32">
        <f t="shared" si="2"/>
        <v>0.7259253609639208</v>
      </c>
      <c r="E75" s="14" t="str">
        <f t="shared" si="3"/>
        <v/>
      </c>
    </row>
    <row r="76" spans="1:5">
      <c r="A76" s="44">
        <v>1.6E-2</v>
      </c>
      <c r="B76" s="32">
        <f t="shared" ref="B76:B107" si="4">((1+$A76)^W_N1-W_cx*IF(ABS($A76-W_g)&lt;0.000000001,W_N1*(1+$A76)^(W_N1-1),((1+$A76)^W_N1-(1+W_g)^W_N1)/($A76-W_g)))*$B$19/(W_cx*(1+W_g)^W_N1)</f>
        <v>0.87798015344664693</v>
      </c>
      <c r="C76" s="14" t="str">
        <f t="shared" ref="C76:C107" si="5">IF(B76&gt;=1,$A76,"")</f>
        <v/>
      </c>
      <c r="D76" s="32">
        <f t="shared" ref="D76:D107" si="6">((1+$A76)^W_N2-W_cx*IF(ABS($A76-W_g)&lt;0.000000001,W_N2*(1+$A76)^(W_N2-1),((1+$A76)^W_N2-(1+W_g)^W_N2)/($A76-W_g)))*$C$19/(W_cx*(1+W_g)^W_N2)</f>
        <v>0.73398971575756444</v>
      </c>
      <c r="E76" s="14" t="str">
        <f t="shared" ref="E76:E107" si="7">IF(D76&gt;=1,$A76,"")</f>
        <v/>
      </c>
    </row>
    <row r="77" spans="1:5">
      <c r="A77" s="44">
        <v>1.6500000000000001E-2</v>
      </c>
      <c r="B77" s="32">
        <f t="shared" si="4"/>
        <v>0.8824696494014489</v>
      </c>
      <c r="C77" s="14" t="str">
        <f t="shared" si="5"/>
        <v/>
      </c>
      <c r="D77" s="32">
        <f t="shared" si="6"/>
        <v>0.74210840115849264</v>
      </c>
      <c r="E77" s="14" t="str">
        <f t="shared" si="7"/>
        <v/>
      </c>
    </row>
    <row r="78" spans="1:5">
      <c r="A78" s="44">
        <v>1.7000000000000001E-2</v>
      </c>
      <c r="B78" s="32">
        <f t="shared" si="4"/>
        <v>0.88697579355668754</v>
      </c>
      <c r="C78" s="14" t="str">
        <f t="shared" si="5"/>
        <v/>
      </c>
      <c r="D78" s="32">
        <f t="shared" si="6"/>
        <v>0.75028172956985184</v>
      </c>
      <c r="E78" s="14" t="str">
        <f t="shared" si="7"/>
        <v/>
      </c>
    </row>
    <row r="79" spans="1:5">
      <c r="A79" s="44">
        <v>1.7500000000000002E-2</v>
      </c>
      <c r="B79" s="32">
        <f t="shared" si="4"/>
        <v>0.89149863681043573</v>
      </c>
      <c r="C79" s="14" t="str">
        <f t="shared" si="5"/>
        <v/>
      </c>
      <c r="D79" s="32">
        <f t="shared" si="6"/>
        <v>0.75851001498679815</v>
      </c>
      <c r="E79" s="14" t="str">
        <f t="shared" si="7"/>
        <v/>
      </c>
    </row>
    <row r="80" spans="1:5">
      <c r="A80" s="44">
        <v>1.7999999999999999E-2</v>
      </c>
      <c r="B80" s="32">
        <f t="shared" si="4"/>
        <v>0.89603823018847462</v>
      </c>
      <c r="C80" s="14" t="str">
        <f t="shared" si="5"/>
        <v/>
      </c>
      <c r="D80" s="32">
        <f t="shared" si="6"/>
        <v>0.76679357300350681</v>
      </c>
      <c r="E80" s="14" t="str">
        <f t="shared" si="7"/>
        <v/>
      </c>
    </row>
    <row r="81" spans="1:5">
      <c r="A81" s="44">
        <v>1.8499999999999999E-2</v>
      </c>
      <c r="B81" s="32">
        <f t="shared" si="4"/>
        <v>0.90059462484467145</v>
      </c>
      <c r="C81" s="14" t="str">
        <f t="shared" si="5"/>
        <v/>
      </c>
      <c r="D81" s="32">
        <f t="shared" si="6"/>
        <v>0.77513272082064899</v>
      </c>
      <c r="E81" s="14" t="str">
        <f t="shared" si="7"/>
        <v/>
      </c>
    </row>
    <row r="82" spans="1:5">
      <c r="A82" s="44">
        <v>1.9E-2</v>
      </c>
      <c r="B82" s="32">
        <f t="shared" si="4"/>
        <v>0.90516787206113747</v>
      </c>
      <c r="C82" s="14" t="str">
        <f t="shared" si="5"/>
        <v/>
      </c>
      <c r="D82" s="32">
        <f t="shared" si="6"/>
        <v>0.7835277772524788</v>
      </c>
      <c r="E82" s="14" t="str">
        <f t="shared" si="7"/>
        <v/>
      </c>
    </row>
    <row r="83" spans="1:5">
      <c r="A83" s="44">
        <v>1.95E-2</v>
      </c>
      <c r="B83" s="32">
        <f t="shared" si="4"/>
        <v>0.90975802324857036</v>
      </c>
      <c r="C83" s="14" t="str">
        <f t="shared" si="5"/>
        <v/>
      </c>
      <c r="D83" s="32">
        <f t="shared" si="6"/>
        <v>0.7919790627343064</v>
      </c>
      <c r="E83" s="14" t="str">
        <f t="shared" si="7"/>
        <v/>
      </c>
    </row>
    <row r="84" spans="1:5">
      <c r="A84" s="44">
        <v>0.02</v>
      </c>
      <c r="B84" s="32">
        <f t="shared" si="4"/>
        <v>0.91436512994638397</v>
      </c>
      <c r="C84" s="14" t="str">
        <f t="shared" si="5"/>
        <v/>
      </c>
      <c r="D84" s="32">
        <f t="shared" si="6"/>
        <v>0.80048689932954886</v>
      </c>
      <c r="E84" s="14" t="str">
        <f t="shared" si="7"/>
        <v/>
      </c>
    </row>
    <row r="85" spans="1:5">
      <c r="A85" s="44">
        <v>2.0500000000000001E-2</v>
      </c>
      <c r="B85" s="32">
        <f t="shared" si="4"/>
        <v>0.91898924382311309</v>
      </c>
      <c r="C85" s="14" t="str">
        <f t="shared" si="5"/>
        <v/>
      </c>
      <c r="D85" s="32">
        <f t="shared" si="6"/>
        <v>0.80905161073742227</v>
      </c>
      <c r="E85" s="14" t="str">
        <f t="shared" si="7"/>
        <v/>
      </c>
    </row>
    <row r="86" spans="1:5">
      <c r="A86" s="44">
        <v>2.1000000000000001E-2</v>
      </c>
      <c r="B86" s="32">
        <f t="shared" si="4"/>
        <v>0.92363041667658374</v>
      </c>
      <c r="C86" s="14" t="str">
        <f t="shared" si="5"/>
        <v/>
      </c>
      <c r="D86" s="32">
        <f t="shared" si="6"/>
        <v>0.81767352230012602</v>
      </c>
      <c r="E86" s="14" t="str">
        <f t="shared" si="7"/>
        <v/>
      </c>
    </row>
    <row r="87" spans="1:5">
      <c r="A87" s="44">
        <v>2.1499999999999998E-2</v>
      </c>
      <c r="B87" s="32">
        <f t="shared" si="4"/>
        <v>0.92828870043421019</v>
      </c>
      <c r="C87" s="14" t="str">
        <f t="shared" si="5"/>
        <v/>
      </c>
      <c r="D87" s="32">
        <f t="shared" si="6"/>
        <v>0.82635296101037714</v>
      </c>
      <c r="E87" s="14" t="str">
        <f t="shared" si="7"/>
        <v/>
      </c>
    </row>
    <row r="88" spans="1:5">
      <c r="A88" s="44">
        <v>2.1999999999999999E-2</v>
      </c>
      <c r="B88" s="32">
        <f t="shared" si="4"/>
        <v>0.93296414715311204</v>
      </c>
      <c r="C88" s="14" t="str">
        <f t="shared" si="5"/>
        <v/>
      </c>
      <c r="D88" s="32">
        <f t="shared" si="6"/>
        <v>0.8350902555185028</v>
      </c>
      <c r="E88" s="14" t="str">
        <f t="shared" si="7"/>
        <v/>
      </c>
    </row>
    <row r="89" spans="1:5">
      <c r="A89" s="44">
        <v>2.2499999999999999E-2</v>
      </c>
      <c r="B89" s="32">
        <f t="shared" si="4"/>
        <v>0.93765680902061288</v>
      </c>
      <c r="C89" s="14" t="str">
        <f t="shared" si="5"/>
        <v/>
      </c>
      <c r="D89" s="32">
        <f t="shared" si="6"/>
        <v>0.84388573614049589</v>
      </c>
      <c r="E89" s="14" t="str">
        <f t="shared" si="7"/>
        <v/>
      </c>
    </row>
    <row r="90" spans="1:5">
      <c r="A90" s="44">
        <v>2.3E-2</v>
      </c>
      <c r="B90" s="32">
        <f t="shared" si="4"/>
        <v>0.94236673835433971</v>
      </c>
      <c r="C90" s="14" t="str">
        <f t="shared" si="5"/>
        <v/>
      </c>
      <c r="D90" s="32">
        <f t="shared" si="6"/>
        <v>0.85273973486511778</v>
      </c>
      <c r="E90" s="14" t="str">
        <f t="shared" si="7"/>
        <v/>
      </c>
    </row>
    <row r="91" spans="1:5">
      <c r="A91" s="44">
        <v>2.35E-2</v>
      </c>
      <c r="B91" s="32">
        <f t="shared" si="4"/>
        <v>0.94709398760259256</v>
      </c>
      <c r="C91" s="14" t="str">
        <f t="shared" si="5"/>
        <v/>
      </c>
      <c r="D91" s="32">
        <f t="shared" si="6"/>
        <v>0.86165258536171419</v>
      </c>
      <c r="E91" s="14" t="str">
        <f t="shared" si="7"/>
        <v/>
      </c>
    </row>
    <row r="92" spans="1:5">
      <c r="A92" s="44">
        <v>2.4E-2</v>
      </c>
      <c r="B92" s="32">
        <f t="shared" si="4"/>
        <v>0.95183860934426801</v>
      </c>
      <c r="C92" s="14" t="str">
        <f t="shared" si="5"/>
        <v/>
      </c>
      <c r="D92" s="32">
        <f t="shared" si="6"/>
        <v>0.87062462298708498</v>
      </c>
      <c r="E92" s="14" t="str">
        <f t="shared" si="7"/>
        <v/>
      </c>
    </row>
    <row r="93" spans="1:5">
      <c r="A93" s="44">
        <v>2.4500000000000001E-2</v>
      </c>
      <c r="B93" s="32">
        <f t="shared" si="4"/>
        <v>0.95660065628962376</v>
      </c>
      <c r="C93" s="14" t="str">
        <f t="shared" si="5"/>
        <v/>
      </c>
      <c r="D93" s="32">
        <f t="shared" si="6"/>
        <v>0.87965618479404994</v>
      </c>
      <c r="E93" s="14" t="str">
        <f t="shared" si="7"/>
        <v/>
      </c>
    </row>
    <row r="94" spans="1:5">
      <c r="A94" s="44">
        <v>2.5000000000000001E-2</v>
      </c>
      <c r="B94" s="32">
        <f t="shared" si="4"/>
        <v>0.96138018128028024</v>
      </c>
      <c r="C94" s="14" t="str">
        <f t="shared" si="5"/>
        <v/>
      </c>
      <c r="D94" s="32">
        <f t="shared" si="6"/>
        <v>0.88874760953867449</v>
      </c>
      <c r="E94" s="14" t="str">
        <f t="shared" si="7"/>
        <v/>
      </c>
    </row>
    <row r="95" spans="1:5">
      <c r="A95" s="44">
        <v>2.5499999999999998E-2</v>
      </c>
      <c r="B95" s="32">
        <f t="shared" si="4"/>
        <v>0.96617723728929639</v>
      </c>
      <c r="C95" s="14" t="str">
        <f t="shared" si="5"/>
        <v/>
      </c>
      <c r="D95" s="32">
        <f t="shared" si="6"/>
        <v>0.89789923768739754</v>
      </c>
      <c r="E95" s="14" t="str">
        <f t="shared" si="7"/>
        <v/>
      </c>
    </row>
    <row r="96" spans="1:5">
      <c r="A96" s="44">
        <v>2.5999999999999999E-2</v>
      </c>
      <c r="B96" s="32">
        <f t="shared" si="4"/>
        <v>0.97099187742201021</v>
      </c>
      <c r="C96" s="14" t="str">
        <f t="shared" si="5"/>
        <v/>
      </c>
      <c r="D96" s="32">
        <f t="shared" si="6"/>
        <v>0.90711141142602858</v>
      </c>
      <c r="E96" s="14" t="str">
        <f t="shared" si="7"/>
        <v/>
      </c>
    </row>
    <row r="97" spans="1:5">
      <c r="A97" s="44">
        <v>2.6499999999999999E-2</v>
      </c>
      <c r="B97" s="32">
        <f t="shared" si="4"/>
        <v>0.97582415491544239</v>
      </c>
      <c r="C97" s="14" t="str">
        <f t="shared" si="5"/>
        <v/>
      </c>
      <c r="D97" s="32">
        <f t="shared" si="6"/>
        <v>0.91638447466567474</v>
      </c>
      <c r="E97" s="14" t="str">
        <f t="shared" si="7"/>
        <v/>
      </c>
    </row>
    <row r="98" spans="1:5">
      <c r="A98" s="44">
        <v>2.7E-2</v>
      </c>
      <c r="B98" s="32">
        <f t="shared" si="4"/>
        <v>0.98067412313932112</v>
      </c>
      <c r="C98" s="14" t="str">
        <f t="shared" si="5"/>
        <v/>
      </c>
      <c r="D98" s="32">
        <f t="shared" si="6"/>
        <v>0.92571877305199879</v>
      </c>
      <c r="E98" s="14" t="str">
        <f t="shared" si="7"/>
        <v/>
      </c>
    </row>
    <row r="99" spans="1:5">
      <c r="A99" s="44">
        <v>2.75E-2</v>
      </c>
      <c r="B99" s="32">
        <f t="shared" si="4"/>
        <v>0.98554183559594888</v>
      </c>
      <c r="C99" s="14" t="str">
        <f t="shared" si="5"/>
        <v/>
      </c>
      <c r="D99" s="32">
        <f t="shared" si="6"/>
        <v>0.93511465397223226</v>
      </c>
      <c r="E99" s="14" t="str">
        <f t="shared" si="7"/>
        <v/>
      </c>
    </row>
    <row r="100" spans="1:5">
      <c r="A100" s="44">
        <v>2.8000000000000001E-2</v>
      </c>
      <c r="B100" s="32">
        <f t="shared" si="4"/>
        <v>0.99042734592066717</v>
      </c>
      <c r="C100" s="14" t="str">
        <f t="shared" si="5"/>
        <v/>
      </c>
      <c r="D100" s="32">
        <f t="shared" si="6"/>
        <v>0.94457246656343707</v>
      </c>
      <c r="E100" s="14" t="str">
        <f t="shared" si="7"/>
        <v/>
      </c>
    </row>
    <row r="101" spans="1:5">
      <c r="A101" s="44">
        <v>2.8500000000000001E-2</v>
      </c>
      <c r="B101" s="32">
        <f t="shared" si="4"/>
        <v>0.9953307078819198</v>
      </c>
      <c r="C101" s="14" t="str">
        <f t="shared" si="5"/>
        <v/>
      </c>
      <c r="D101" s="32">
        <f t="shared" si="6"/>
        <v>0.95409256171984902</v>
      </c>
      <c r="E101" s="14" t="str">
        <f t="shared" si="7"/>
        <v/>
      </c>
    </row>
    <row r="102" spans="1:5">
      <c r="A102" s="44">
        <v>2.9000000000000001E-2</v>
      </c>
      <c r="B102" s="32">
        <f t="shared" si="4"/>
        <v>1.0002519753816603</v>
      </c>
      <c r="C102" s="14">
        <f t="shared" si="5"/>
        <v>2.9000000000000001E-2</v>
      </c>
      <c r="D102" s="32">
        <f t="shared" si="6"/>
        <v>0.96367529210112002</v>
      </c>
      <c r="E102" s="14" t="str">
        <f t="shared" si="7"/>
        <v/>
      </c>
    </row>
    <row r="103" spans="1:5">
      <c r="A103" s="44">
        <v>2.9499999999999998E-2</v>
      </c>
      <c r="B103" s="32">
        <f t="shared" si="4"/>
        <v>1.0051912024555487</v>
      </c>
      <c r="C103" s="14">
        <f t="shared" si="5"/>
        <v>2.9499999999999998E-2</v>
      </c>
      <c r="D103" s="32">
        <f t="shared" si="6"/>
        <v>0.9733210121400433</v>
      </c>
      <c r="E103" s="14" t="str">
        <f t="shared" si="7"/>
        <v/>
      </c>
    </row>
    <row r="104" spans="1:5">
      <c r="A104" s="44">
        <v>0.03</v>
      </c>
      <c r="B104" s="32">
        <f t="shared" si="4"/>
        <v>1.0101484432732826</v>
      </c>
      <c r="C104" s="14">
        <f t="shared" si="5"/>
        <v>0.03</v>
      </c>
      <c r="D104" s="32">
        <f t="shared" si="6"/>
        <v>0.98303007805064613</v>
      </c>
      <c r="E104" s="14" t="str">
        <f t="shared" si="7"/>
        <v/>
      </c>
    </row>
    <row r="105" spans="1:5">
      <c r="A105" s="44">
        <v>3.0499999999999999E-2</v>
      </c>
      <c r="B105" s="32">
        <f t="shared" si="4"/>
        <v>1.0151237521387604</v>
      </c>
      <c r="C105" s="14">
        <f t="shared" si="5"/>
        <v>3.0499999999999999E-2</v>
      </c>
      <c r="D105" s="32">
        <f t="shared" si="6"/>
        <v>0.99280284783593653</v>
      </c>
      <c r="E105" s="14" t="str">
        <f t="shared" si="7"/>
        <v/>
      </c>
    </row>
    <row r="106" spans="1:5">
      <c r="A106" s="44">
        <v>3.1E-2</v>
      </c>
      <c r="B106" s="32">
        <f t="shared" si="4"/>
        <v>1.020117183490429</v>
      </c>
      <c r="C106" s="14">
        <f t="shared" si="5"/>
        <v>3.1E-2</v>
      </c>
      <c r="D106" s="32">
        <f t="shared" si="6"/>
        <v>1.0026396812960767</v>
      </c>
      <c r="E106" s="14">
        <f t="shared" si="7"/>
        <v>3.1E-2</v>
      </c>
    </row>
    <row r="107" spans="1:5">
      <c r="A107" s="44">
        <v>3.15E-2</v>
      </c>
      <c r="B107" s="32">
        <f t="shared" si="4"/>
        <v>1.0251287919015102</v>
      </c>
      <c r="C107" s="14">
        <f t="shared" si="5"/>
        <v>3.15E-2</v>
      </c>
      <c r="D107" s="32">
        <f t="shared" si="6"/>
        <v>1.0125409400363246</v>
      </c>
      <c r="E107" s="14">
        <f t="shared" si="7"/>
        <v>3.15E-2</v>
      </c>
    </row>
    <row r="108" spans="1:5">
      <c r="A108" s="44">
        <v>3.2000000000000001E-2</v>
      </c>
      <c r="B108" s="32">
        <f t="shared" ref="B108:B139" si="8">((1+$A108)^W_N1-W_cx*IF(ABS($A108-W_g)&lt;0.000000001,W_N1*(1+$A108)^(W_N1-1),((1+$A108)^W_N1-(1+W_g)^W_N1)/($A108-W_g)))*$B$19/(W_cx*(1+W_g)^W_N1)</f>
        <v>1.0301586320802996</v>
      </c>
      <c r="C108" s="14">
        <f t="shared" ref="C108:C139" si="9">IF(B108&gt;=1,$A108,"")</f>
        <v>3.2000000000000001E-2</v>
      </c>
      <c r="D108" s="32">
        <f t="shared" ref="D108:D139" si="10">((1+$A108)^W_N2-W_cx*IF(ABS($A108-W_g)&lt;0.000000001,W_N2*(1+$A108)^(W_N2-1),((1+$A108)^W_N2-(1+W_g)^W_N2)/($A108-W_g)))*$C$19/(W_cx*(1+W_g)^W_N2)</f>
        <v>1.0225069874751684</v>
      </c>
      <c r="E108" s="14">
        <f t="shared" ref="E108:E139" si="11">IF(D108&gt;=1,$A108,"")</f>
        <v>3.2000000000000001E-2</v>
      </c>
    </row>
    <row r="109" spans="1:5">
      <c r="A109" s="44">
        <v>3.2500000000000001E-2</v>
      </c>
      <c r="B109" s="32">
        <f t="shared" si="8"/>
        <v>1.0352067588703759</v>
      </c>
      <c r="C109" s="14">
        <f t="shared" si="9"/>
        <v>3.2500000000000001E-2</v>
      </c>
      <c r="D109" s="32">
        <f t="shared" si="10"/>
        <v>1.0325381888523069</v>
      </c>
      <c r="E109" s="14">
        <f t="shared" si="11"/>
        <v>3.2500000000000001E-2</v>
      </c>
    </row>
    <row r="110" spans="1:5">
      <c r="A110" s="44">
        <v>3.3000000000000002E-2</v>
      </c>
      <c r="B110" s="32">
        <f t="shared" si="8"/>
        <v>1.0402732272509223</v>
      </c>
      <c r="C110" s="14">
        <f t="shared" si="9"/>
        <v>3.3000000000000002E-2</v>
      </c>
      <c r="D110" s="32">
        <f t="shared" si="10"/>
        <v>1.042634911236866</v>
      </c>
      <c r="E110" s="14">
        <f t="shared" si="11"/>
        <v>3.3000000000000002E-2</v>
      </c>
    </row>
    <row r="111" spans="1:5">
      <c r="A111" s="44">
        <v>3.3500000000000002E-2</v>
      </c>
      <c r="B111" s="32">
        <f t="shared" si="8"/>
        <v>1.0453580923369392</v>
      </c>
      <c r="C111" s="14">
        <f t="shared" si="9"/>
        <v>3.3500000000000002E-2</v>
      </c>
      <c r="D111" s="32">
        <f t="shared" si="10"/>
        <v>1.0527975235354712</v>
      </c>
      <c r="E111" s="14">
        <f t="shared" si="11"/>
        <v>3.3500000000000002E-2</v>
      </c>
    </row>
    <row r="112" spans="1:5">
      <c r="A112" s="44">
        <v>3.4000000000000002E-2</v>
      </c>
      <c r="B112" s="32">
        <f t="shared" si="8"/>
        <v>1.0504614093795996</v>
      </c>
      <c r="C112" s="14">
        <f t="shared" si="9"/>
        <v>3.4000000000000002E-2</v>
      </c>
      <c r="D112" s="32">
        <f t="shared" si="10"/>
        <v>1.0630263965006008</v>
      </c>
      <c r="E112" s="14">
        <f t="shared" si="11"/>
        <v>3.4000000000000002E-2</v>
      </c>
    </row>
    <row r="113" spans="1:5">
      <c r="A113" s="44">
        <v>3.4500000000000003E-2</v>
      </c>
      <c r="B113" s="32">
        <f t="shared" si="8"/>
        <v>1.0555832337663942</v>
      </c>
      <c r="C113" s="14">
        <f t="shared" si="9"/>
        <v>3.4500000000000003E-2</v>
      </c>
      <c r="D113" s="32">
        <f t="shared" si="10"/>
        <v>1.0733219027385505</v>
      </c>
      <c r="E113" s="14">
        <f t="shared" si="11"/>
        <v>3.4500000000000003E-2</v>
      </c>
    </row>
    <row r="114" spans="1:5">
      <c r="A114" s="44">
        <v>3.5000000000000003E-2</v>
      </c>
      <c r="B114" s="32">
        <f t="shared" si="8"/>
        <v>1.0607236210215005</v>
      </c>
      <c r="C114" s="14">
        <f t="shared" si="9"/>
        <v>3.5000000000000003E-2</v>
      </c>
      <c r="D114" s="32">
        <f t="shared" si="10"/>
        <v>1.0836844167179076</v>
      </c>
      <c r="E114" s="14">
        <f t="shared" si="11"/>
        <v>3.5000000000000003E-2</v>
      </c>
    </row>
    <row r="115" spans="1:5">
      <c r="A115" s="44">
        <v>3.5499999999999997E-2</v>
      </c>
      <c r="B115" s="32">
        <f t="shared" si="8"/>
        <v>1.0658826268059898</v>
      </c>
      <c r="C115" s="14">
        <f t="shared" si="9"/>
        <v>3.5499999999999997E-2</v>
      </c>
      <c r="D115" s="32">
        <f t="shared" si="10"/>
        <v>1.0941143147776966</v>
      </c>
      <c r="E115" s="14">
        <f t="shared" si="11"/>
        <v>3.5499999999999997E-2</v>
      </c>
    </row>
    <row r="116" spans="1:5">
      <c r="A116" s="44">
        <v>3.5999999999999997E-2</v>
      </c>
      <c r="B116" s="32">
        <f t="shared" si="8"/>
        <v>1.0710603069181492</v>
      </c>
      <c r="C116" s="14">
        <f t="shared" si="9"/>
        <v>3.5999999999999997E-2</v>
      </c>
      <c r="D116" s="32">
        <f t="shared" si="10"/>
        <v>1.1046119751358228</v>
      </c>
      <c r="E116" s="14">
        <f t="shared" si="11"/>
        <v>3.5999999999999997E-2</v>
      </c>
    </row>
    <row r="117" spans="1:5">
      <c r="A117" s="44">
        <v>3.6499999999999998E-2</v>
      </c>
      <c r="B117" s="32">
        <f t="shared" si="8"/>
        <v>1.0762567172936903</v>
      </c>
      <c r="C117" s="14">
        <f t="shared" si="9"/>
        <v>3.6499999999999998E-2</v>
      </c>
      <c r="D117" s="32">
        <f t="shared" si="10"/>
        <v>1.1151777778972785</v>
      </c>
      <c r="E117" s="14">
        <f t="shared" si="11"/>
        <v>3.6499999999999998E-2</v>
      </c>
    </row>
    <row r="118" spans="1:5">
      <c r="A118" s="44">
        <v>3.6999999999999998E-2</v>
      </c>
      <c r="B118" s="32">
        <f t="shared" si="8"/>
        <v>1.0814719140060574</v>
      </c>
      <c r="C118" s="14">
        <f t="shared" si="9"/>
        <v>3.6999999999999998E-2</v>
      </c>
      <c r="D118" s="32">
        <f t="shared" si="10"/>
        <v>1.1258121050626149</v>
      </c>
      <c r="E118" s="14">
        <f t="shared" si="11"/>
        <v>3.6999999999999998E-2</v>
      </c>
    </row>
    <row r="119" spans="1:5">
      <c r="A119" s="44">
        <v>3.7499999999999999E-2</v>
      </c>
      <c r="B119" s="32">
        <f t="shared" si="8"/>
        <v>1.0867059532666803</v>
      </c>
      <c r="C119" s="14">
        <f t="shared" si="9"/>
        <v>3.7499999999999999E-2</v>
      </c>
      <c r="D119" s="32">
        <f t="shared" si="10"/>
        <v>1.1365153405363295</v>
      </c>
      <c r="E119" s="14">
        <f t="shared" si="11"/>
        <v>3.7499999999999999E-2</v>
      </c>
    </row>
    <row r="120" spans="1:5">
      <c r="A120" s="44">
        <v>3.7999999999999999E-2</v>
      </c>
      <c r="B120" s="32">
        <f t="shared" si="8"/>
        <v>1.0919588914252731</v>
      </c>
      <c r="C120" s="14">
        <f t="shared" si="9"/>
        <v>3.7999999999999999E-2</v>
      </c>
      <c r="D120" s="32">
        <f t="shared" si="10"/>
        <v>1.1472878701353633</v>
      </c>
      <c r="E120" s="14">
        <f t="shared" si="11"/>
        <v>3.7999999999999999E-2</v>
      </c>
    </row>
    <row r="121" spans="1:5">
      <c r="A121" s="44">
        <v>3.85E-2</v>
      </c>
      <c r="B121" s="32">
        <f t="shared" si="8"/>
        <v>1.0972307849700549</v>
      </c>
      <c r="C121" s="14">
        <f t="shared" si="9"/>
        <v>3.85E-2</v>
      </c>
      <c r="D121" s="32">
        <f t="shared" si="10"/>
        <v>1.1581300815974831</v>
      </c>
      <c r="E121" s="14">
        <f t="shared" si="11"/>
        <v>3.85E-2</v>
      </c>
    </row>
    <row r="122" spans="1:5">
      <c r="A122" s="44">
        <v>3.9E-2</v>
      </c>
      <c r="B122" s="32">
        <f t="shared" si="8"/>
        <v>1.1025216905280633</v>
      </c>
      <c r="C122" s="14">
        <f t="shared" si="9"/>
        <v>3.9E-2</v>
      </c>
      <c r="D122" s="32">
        <f t="shared" si="10"/>
        <v>1.1690423645898858</v>
      </c>
      <c r="E122" s="14">
        <f t="shared" si="11"/>
        <v>3.9E-2</v>
      </c>
    </row>
    <row r="123" spans="1:5">
      <c r="A123" s="44">
        <v>3.95E-2</v>
      </c>
      <c r="B123" s="32">
        <f t="shared" si="8"/>
        <v>1.1078316648653916</v>
      </c>
      <c r="C123" s="14">
        <f t="shared" si="9"/>
        <v>3.95E-2</v>
      </c>
      <c r="D123" s="32">
        <f t="shared" si="10"/>
        <v>1.1800251107176742</v>
      </c>
      <c r="E123" s="14">
        <f t="shared" si="11"/>
        <v>3.95E-2</v>
      </c>
    </row>
    <row r="124" spans="1:5">
      <c r="A124" s="44">
        <v>0.04</v>
      </c>
      <c r="B124" s="32">
        <f t="shared" si="8"/>
        <v>1.113160764887507</v>
      </c>
      <c r="C124" s="14">
        <f t="shared" si="9"/>
        <v>0.04</v>
      </c>
      <c r="D124" s="32">
        <f t="shared" si="10"/>
        <v>1.1910787135325354</v>
      </c>
      <c r="E124" s="14">
        <f t="shared" si="11"/>
        <v>0.04</v>
      </c>
    </row>
    <row r="125" spans="1:5">
      <c r="A125" s="44">
        <v>4.0500000000000001E-2</v>
      </c>
      <c r="B125" s="32">
        <f t="shared" si="8"/>
        <v>1.1185090476394712</v>
      </c>
      <c r="C125" s="14">
        <f t="shared" si="9"/>
        <v>4.0500000000000001E-2</v>
      </c>
      <c r="D125" s="32">
        <f t="shared" si="10"/>
        <v>1.2022035685412518</v>
      </c>
      <c r="E125" s="14">
        <f t="shared" si="11"/>
        <v>4.0500000000000001E-2</v>
      </c>
    </row>
    <row r="126" spans="1:5">
      <c r="A126" s="44">
        <v>4.1000000000000002E-2</v>
      </c>
      <c r="B126" s="32">
        <f t="shared" si="8"/>
        <v>1.1238765703062357</v>
      </c>
      <c r="C126" s="14">
        <f t="shared" si="9"/>
        <v>4.1000000000000002E-2</v>
      </c>
      <c r="D126" s="32">
        <f t="shared" si="10"/>
        <v>1.2134000732143917</v>
      </c>
      <c r="E126" s="14">
        <f t="shared" si="11"/>
        <v>4.1000000000000002E-2</v>
      </c>
    </row>
    <row r="127" spans="1:5">
      <c r="A127" s="44">
        <v>4.1500000000000002E-2</v>
      </c>
      <c r="B127" s="32">
        <f t="shared" si="8"/>
        <v>1.1292633902129197</v>
      </c>
      <c r="C127" s="14">
        <f t="shared" si="9"/>
        <v>4.1500000000000002E-2</v>
      </c>
      <c r="D127" s="32">
        <f t="shared" si="10"/>
        <v>1.2246686269950058</v>
      </c>
      <c r="E127" s="14">
        <f t="shared" si="11"/>
        <v>4.1500000000000002E-2</v>
      </c>
    </row>
    <row r="128" spans="1:5">
      <c r="A128" s="44">
        <v>4.2000000000000003E-2</v>
      </c>
      <c r="B128" s="32">
        <f t="shared" si="8"/>
        <v>1.1346695648250791</v>
      </c>
      <c r="C128" s="14">
        <f t="shared" si="9"/>
        <v>4.2000000000000003E-2</v>
      </c>
      <c r="D128" s="32">
        <f t="shared" si="10"/>
        <v>1.2360096313073374</v>
      </c>
      <c r="E128" s="14">
        <f t="shared" si="11"/>
        <v>4.2000000000000003E-2</v>
      </c>
    </row>
    <row r="129" spans="1:5">
      <c r="A129" s="44">
        <v>4.2500000000000003E-2</v>
      </c>
      <c r="B129" s="32">
        <f t="shared" si="8"/>
        <v>1.1400951517489726</v>
      </c>
      <c r="C129" s="14">
        <f t="shared" si="9"/>
        <v>4.2500000000000003E-2</v>
      </c>
      <c r="D129" s="32">
        <f t="shared" si="10"/>
        <v>1.2474234895655536</v>
      </c>
      <c r="E129" s="14">
        <f t="shared" si="11"/>
        <v>4.2500000000000003E-2</v>
      </c>
    </row>
    <row r="130" spans="1:5">
      <c r="A130" s="44">
        <v>4.2999999999999997E-2</v>
      </c>
      <c r="B130" s="32">
        <f t="shared" si="8"/>
        <v>1.1455402087318383</v>
      </c>
      <c r="C130" s="14">
        <f t="shared" si="9"/>
        <v>4.2999999999999997E-2</v>
      </c>
      <c r="D130" s="32">
        <f t="shared" si="10"/>
        <v>1.2589106071825333</v>
      </c>
      <c r="E130" s="14">
        <f t="shared" si="11"/>
        <v>4.2999999999999997E-2</v>
      </c>
    </row>
    <row r="131" spans="1:5">
      <c r="A131" s="44">
        <v>4.3499999999999997E-2</v>
      </c>
      <c r="B131" s="32">
        <f t="shared" si="8"/>
        <v>1.1510047936621699</v>
      </c>
      <c r="C131" s="14">
        <f t="shared" si="9"/>
        <v>4.3499999999999997E-2</v>
      </c>
      <c r="D131" s="32">
        <f t="shared" si="10"/>
        <v>1.2704713915786954</v>
      </c>
      <c r="E131" s="14">
        <f t="shared" si="11"/>
        <v>4.3499999999999997E-2</v>
      </c>
    </row>
    <row r="132" spans="1:5">
      <c r="A132" s="44">
        <v>4.3999999999999997E-2</v>
      </c>
      <c r="B132" s="32">
        <f t="shared" si="8"/>
        <v>1.1564889645700029</v>
      </c>
      <c r="C132" s="14">
        <f t="shared" si="9"/>
        <v>4.3999999999999997E-2</v>
      </c>
      <c r="D132" s="32">
        <f t="shared" si="10"/>
        <v>1.2821062521908717</v>
      </c>
      <c r="E132" s="14">
        <f t="shared" si="11"/>
        <v>4.3999999999999997E-2</v>
      </c>
    </row>
    <row r="133" spans="1:5">
      <c r="A133" s="44">
        <v>4.4499999999999998E-2</v>
      </c>
      <c r="B133" s="32">
        <f t="shared" si="8"/>
        <v>1.1619927796271634</v>
      </c>
      <c r="C133" s="14">
        <f t="shared" si="9"/>
        <v>4.4499999999999998E-2</v>
      </c>
      <c r="D133" s="32">
        <f t="shared" si="10"/>
        <v>1.2938156004811421</v>
      </c>
      <c r="E133" s="14">
        <f t="shared" si="11"/>
        <v>4.4499999999999998E-2</v>
      </c>
    </row>
    <row r="134" spans="1:5">
      <c r="A134" s="44">
        <v>4.4999999999999998E-2</v>
      </c>
      <c r="B134" s="32">
        <f t="shared" si="8"/>
        <v>1.1675162971475641</v>
      </c>
      <c r="C134" s="14">
        <f t="shared" si="9"/>
        <v>4.4999999999999998E-2</v>
      </c>
      <c r="D134" s="32">
        <f t="shared" si="10"/>
        <v>1.3055998499457959</v>
      </c>
      <c r="E134" s="14">
        <f t="shared" si="11"/>
        <v>4.4999999999999998E-2</v>
      </c>
    </row>
    <row r="135" spans="1:5">
      <c r="A135" s="44">
        <v>4.5499999999999999E-2</v>
      </c>
      <c r="B135" s="32">
        <f t="shared" si="8"/>
        <v>1.1730595755874695</v>
      </c>
      <c r="C135" s="14">
        <f t="shared" si="9"/>
        <v>4.5499999999999999E-2</v>
      </c>
      <c r="D135" s="32">
        <f t="shared" si="10"/>
        <v>1.3174594161242701</v>
      </c>
      <c r="E135" s="14">
        <f t="shared" si="11"/>
        <v>4.5499999999999999E-2</v>
      </c>
    </row>
    <row r="136" spans="1:5">
      <c r="A136" s="44">
        <v>4.5999999999999999E-2</v>
      </c>
      <c r="B136" s="32">
        <f t="shared" si="8"/>
        <v>1.1786226735457879</v>
      </c>
      <c r="C136" s="14">
        <f t="shared" si="9"/>
        <v>4.5999999999999999E-2</v>
      </c>
      <c r="D136" s="32">
        <f t="shared" si="10"/>
        <v>1.3293947166081721</v>
      </c>
      <c r="E136" s="14">
        <f t="shared" si="11"/>
        <v>4.5999999999999999E-2</v>
      </c>
    </row>
    <row r="137" spans="1:5">
      <c r="A137" s="44">
        <v>4.65E-2</v>
      </c>
      <c r="B137" s="32">
        <f t="shared" si="8"/>
        <v>1.1842056497643245</v>
      </c>
      <c r="C137" s="14">
        <f t="shared" si="9"/>
        <v>4.65E-2</v>
      </c>
      <c r="D137" s="32">
        <f t="shared" si="10"/>
        <v>1.3414061710502572</v>
      </c>
      <c r="E137" s="14">
        <f t="shared" si="11"/>
        <v>4.65E-2</v>
      </c>
    </row>
    <row r="138" spans="1:5">
      <c r="A138" s="44">
        <v>4.7E-2</v>
      </c>
      <c r="B138" s="32">
        <f t="shared" si="8"/>
        <v>1.1898085631280757</v>
      </c>
      <c r="C138" s="14">
        <f t="shared" si="9"/>
        <v>4.7E-2</v>
      </c>
      <c r="D138" s="32">
        <f t="shared" si="10"/>
        <v>1.3534942011735249</v>
      </c>
      <c r="E138" s="14">
        <f t="shared" si="11"/>
        <v>4.7E-2</v>
      </c>
    </row>
    <row r="139" spans="1:5">
      <c r="A139" s="44">
        <v>4.7500000000000001E-2</v>
      </c>
      <c r="B139" s="32">
        <f t="shared" si="8"/>
        <v>1.1954314726654958</v>
      </c>
      <c r="C139" s="14">
        <f t="shared" si="9"/>
        <v>4.7500000000000001E-2</v>
      </c>
      <c r="D139" s="32">
        <f t="shared" si="10"/>
        <v>1.3656592307802946</v>
      </c>
      <c r="E139" s="14">
        <f t="shared" si="11"/>
        <v>4.7500000000000001E-2</v>
      </c>
    </row>
    <row r="140" spans="1:5">
      <c r="A140" s="44">
        <v>4.8000000000000001E-2</v>
      </c>
      <c r="B140" s="32">
        <f t="shared" ref="B140:B164" si="12">((1+$A140)^W_N1-W_cx*IF(ABS($A140-W_g)&lt;0.000000001,W_N1*(1+$A140)^(W_N1-1),((1+$A140)^W_N1-(1+W_g)^W_N1)/($A140-W_g)))*$B$19/(W_cx*(1+W_g)^W_N1)</f>
        <v>1.2010744375487903</v>
      </c>
      <c r="C140" s="14">
        <f t="shared" ref="C140:C171" si="13">IF(B140&gt;=1,$A140,"")</f>
        <v>4.8000000000000001E-2</v>
      </c>
      <c r="D140" s="32">
        <f t="shared" ref="D140:D164" si="14">((1+$A140)^W_N2-W_cx*IF(ABS($A140-W_g)&lt;0.000000001,W_N2*(1+$A140)^(W_N2-1),((1+$A140)^W_N2-(1+W_g)^W_N2)/($A140-W_g)))*$C$19/(W_cx*(1+W_g)^W_N2)</f>
        <v>1.377901685761372</v>
      </c>
      <c r="E140" s="14">
        <f t="shared" ref="E140:E171" si="15">IF(D140&gt;=1,$A140,"")</f>
        <v>4.8000000000000001E-2</v>
      </c>
    </row>
    <row r="141" spans="1:5">
      <c r="A141" s="44">
        <v>4.8500000000000001E-2</v>
      </c>
      <c r="B141" s="32">
        <f t="shared" si="12"/>
        <v>1.2067375170941763</v>
      </c>
      <c r="C141" s="14">
        <f t="shared" si="13"/>
        <v>4.8500000000000001E-2</v>
      </c>
      <c r="D141" s="32">
        <f t="shared" si="14"/>
        <v>1.3902219941051746</v>
      </c>
      <c r="E141" s="14">
        <f t="shared" si="15"/>
        <v>4.8500000000000001E-2</v>
      </c>
    </row>
    <row r="142" spans="1:5">
      <c r="A142" s="44">
        <v>4.9000000000000002E-2</v>
      </c>
      <c r="B142" s="32">
        <f t="shared" si="12"/>
        <v>1.2124207707621664</v>
      </c>
      <c r="C142" s="14">
        <f t="shared" si="13"/>
        <v>4.9000000000000002E-2</v>
      </c>
      <c r="D142" s="32">
        <f t="shared" si="14"/>
        <v>1.4026205859069498</v>
      </c>
      <c r="E142" s="14">
        <f t="shared" si="15"/>
        <v>4.9000000000000002E-2</v>
      </c>
    </row>
    <row r="143" spans="1:5">
      <c r="A143" s="44">
        <v>4.9500000000000002E-2</v>
      </c>
      <c r="B143" s="32">
        <f t="shared" si="12"/>
        <v>1.2181242581578544</v>
      </c>
      <c r="C143" s="14">
        <f t="shared" si="13"/>
        <v>4.9500000000000002E-2</v>
      </c>
      <c r="D143" s="32">
        <f t="shared" si="14"/>
        <v>1.4150978933780234</v>
      </c>
      <c r="E143" s="14">
        <f t="shared" si="15"/>
        <v>4.9500000000000002E-2</v>
      </c>
    </row>
    <row r="144" spans="1:5">
      <c r="A144" s="44">
        <v>0.05</v>
      </c>
      <c r="B144" s="32">
        <f t="shared" si="12"/>
        <v>1.223848039031193</v>
      </c>
      <c r="C144" s="14">
        <f t="shared" si="13"/>
        <v>0.05</v>
      </c>
      <c r="D144" s="32">
        <f t="shared" si="14"/>
        <v>1.4276543508550765</v>
      </c>
      <c r="E144" s="14">
        <f t="shared" si="15"/>
        <v>0.05</v>
      </c>
    </row>
    <row r="145" spans="1:5">
      <c r="A145" s="44">
        <v>5.0500000000000003E-2</v>
      </c>
      <c r="B145" s="32">
        <f t="shared" si="12"/>
        <v>1.2295921732772617</v>
      </c>
      <c r="C145" s="14">
        <f t="shared" si="13"/>
        <v>5.0500000000000003E-2</v>
      </c>
      <c r="D145" s="32">
        <f t="shared" si="14"/>
        <v>1.4402903948094254</v>
      </c>
      <c r="E145" s="14">
        <f t="shared" si="15"/>
        <v>5.0500000000000003E-2</v>
      </c>
    </row>
    <row r="146" spans="1:5">
      <c r="A146" s="44">
        <v>5.0999999999999997E-2</v>
      </c>
      <c r="B146" s="32">
        <f t="shared" si="12"/>
        <v>1.2353567209365628</v>
      </c>
      <c r="C146" s="14">
        <f t="shared" si="13"/>
        <v>5.0999999999999997E-2</v>
      </c>
      <c r="D146" s="32">
        <f t="shared" si="14"/>
        <v>1.4530064638564031</v>
      </c>
      <c r="E146" s="14">
        <f t="shared" si="15"/>
        <v>5.0999999999999997E-2</v>
      </c>
    </row>
    <row r="147" spans="1:5">
      <c r="A147" s="44">
        <v>5.1499999999999997E-2</v>
      </c>
      <c r="B147" s="32">
        <f t="shared" si="12"/>
        <v>1.2411417421952911</v>
      </c>
      <c r="C147" s="14">
        <f t="shared" si="13"/>
        <v>5.1499999999999997E-2</v>
      </c>
      <c r="D147" s="32">
        <f t="shared" si="14"/>
        <v>1.4658029987647194</v>
      </c>
      <c r="E147" s="14">
        <f t="shared" si="15"/>
        <v>5.1499999999999997E-2</v>
      </c>
    </row>
    <row r="148" spans="1:5">
      <c r="A148" s="44">
        <v>5.1999999999999998E-2</v>
      </c>
      <c r="B148" s="32">
        <f t="shared" si="12"/>
        <v>1.2469472973856226</v>
      </c>
      <c r="C148" s="14">
        <f t="shared" si="13"/>
        <v>5.1999999999999998E-2</v>
      </c>
      <c r="D148" s="32">
        <f t="shared" si="14"/>
        <v>1.478680442465895</v>
      </c>
      <c r="E148" s="14">
        <f t="shared" si="15"/>
        <v>5.1999999999999998E-2</v>
      </c>
    </row>
    <row r="149" spans="1:5">
      <c r="A149" s="44">
        <v>5.2499999999999998E-2</v>
      </c>
      <c r="B149" s="32">
        <f t="shared" si="12"/>
        <v>1.2527734469859899</v>
      </c>
      <c r="C149" s="14">
        <f t="shared" si="13"/>
        <v>5.2499999999999998E-2</v>
      </c>
      <c r="D149" s="32">
        <f t="shared" si="14"/>
        <v>1.4916392400637044</v>
      </c>
      <c r="E149" s="14">
        <f t="shared" si="15"/>
        <v>5.2499999999999998E-2</v>
      </c>
    </row>
    <row r="150" spans="1:5">
      <c r="A150" s="44">
        <v>5.2999999999999999E-2</v>
      </c>
      <c r="B150" s="32">
        <f t="shared" si="12"/>
        <v>1.2586202516213656</v>
      </c>
      <c r="C150" s="14">
        <f t="shared" si="13"/>
        <v>5.2999999999999999E-2</v>
      </c>
      <c r="D150" s="32">
        <f t="shared" si="14"/>
        <v>1.5046798388436708</v>
      </c>
      <c r="E150" s="14">
        <f t="shared" si="15"/>
        <v>5.2999999999999999E-2</v>
      </c>
    </row>
    <row r="151" spans="1:5">
      <c r="A151" s="44">
        <v>5.3499999999999999E-2</v>
      </c>
      <c r="B151" s="32">
        <f t="shared" si="12"/>
        <v>1.2644877720635448</v>
      </c>
      <c r="C151" s="14">
        <f t="shared" si="13"/>
        <v>5.3499999999999999E-2</v>
      </c>
      <c r="D151" s="32">
        <f t="shared" si="14"/>
        <v>1.5178026882825955</v>
      </c>
      <c r="E151" s="14">
        <f t="shared" si="15"/>
        <v>5.3499999999999999E-2</v>
      </c>
    </row>
    <row r="152" spans="1:5">
      <c r="A152" s="44">
        <v>5.3999999999999999E-2</v>
      </c>
      <c r="B152" s="32">
        <f t="shared" si="12"/>
        <v>1.2703760692314308</v>
      </c>
      <c r="C152" s="14">
        <f t="shared" si="13"/>
        <v>5.3999999999999999E-2</v>
      </c>
      <c r="D152" s="32">
        <f t="shared" si="14"/>
        <v>1.5310082400581297</v>
      </c>
      <c r="E152" s="14">
        <f t="shared" si="15"/>
        <v>5.3999999999999999E-2</v>
      </c>
    </row>
    <row r="153" spans="1:5">
      <c r="A153" s="44">
        <v>5.45E-2</v>
      </c>
      <c r="B153" s="32">
        <f t="shared" si="12"/>
        <v>1.2762852041913129</v>
      </c>
      <c r="C153" s="14">
        <f t="shared" si="13"/>
        <v>5.45E-2</v>
      </c>
      <c r="D153" s="32">
        <f t="shared" si="14"/>
        <v>1.5442969480583637</v>
      </c>
      <c r="E153" s="14">
        <f t="shared" si="15"/>
        <v>5.45E-2</v>
      </c>
    </row>
    <row r="154" spans="1:5">
      <c r="A154" s="44">
        <v>5.5E-2</v>
      </c>
      <c r="B154" s="32">
        <f t="shared" si="12"/>
        <v>1.2822152381571523</v>
      </c>
      <c r="C154" s="14">
        <f t="shared" si="13"/>
        <v>5.5E-2</v>
      </c>
      <c r="D154" s="32">
        <f t="shared" si="14"/>
        <v>1.5576692683914732</v>
      </c>
      <c r="E154" s="14">
        <f t="shared" si="15"/>
        <v>5.5E-2</v>
      </c>
    </row>
    <row r="155" spans="1:5">
      <c r="A155" s="44">
        <v>5.5500000000000001E-2</v>
      </c>
      <c r="B155" s="32">
        <f t="shared" si="12"/>
        <v>1.2881662324908658</v>
      </c>
      <c r="C155" s="14">
        <f t="shared" si="13"/>
        <v>5.5500000000000001E-2</v>
      </c>
      <c r="D155" s="32">
        <f t="shared" si="14"/>
        <v>1.5711256593953924</v>
      </c>
      <c r="E155" s="14">
        <f t="shared" si="15"/>
        <v>5.5500000000000001E-2</v>
      </c>
    </row>
    <row r="156" spans="1:5">
      <c r="A156" s="44">
        <v>5.6000000000000001E-2</v>
      </c>
      <c r="B156" s="32">
        <f t="shared" si="12"/>
        <v>1.2941382487026116</v>
      </c>
      <c r="C156" s="14">
        <f t="shared" si="13"/>
        <v>5.6000000000000001E-2</v>
      </c>
      <c r="D156" s="32">
        <f t="shared" si="14"/>
        <v>1.5846665816475372</v>
      </c>
      <c r="E156" s="14">
        <f t="shared" si="15"/>
        <v>5.6000000000000001E-2</v>
      </c>
    </row>
    <row r="157" spans="1:5">
      <c r="A157" s="44">
        <v>5.6500000000000002E-2</v>
      </c>
      <c r="B157" s="32">
        <f t="shared" si="12"/>
        <v>1.300131348451071</v>
      </c>
      <c r="C157" s="14">
        <f t="shared" si="13"/>
        <v>5.6500000000000002E-2</v>
      </c>
      <c r="D157" s="32">
        <f t="shared" si="14"/>
        <v>1.5982924979745403</v>
      </c>
      <c r="E157" s="14">
        <f t="shared" si="15"/>
        <v>5.6500000000000002E-2</v>
      </c>
    </row>
    <row r="158" spans="1:5">
      <c r="A158" s="44">
        <v>5.7000000000000002E-2</v>
      </c>
      <c r="B158" s="32">
        <f t="shared" si="12"/>
        <v>1.3061455935437334</v>
      </c>
      <c r="C158" s="14">
        <f t="shared" si="13"/>
        <v>5.7000000000000002E-2</v>
      </c>
      <c r="D158" s="32">
        <f t="shared" si="14"/>
        <v>1.6120038734620481</v>
      </c>
      <c r="E158" s="14">
        <f t="shared" si="15"/>
        <v>5.7000000000000002E-2</v>
      </c>
    </row>
    <row r="159" spans="1:5">
      <c r="A159" s="44">
        <v>5.7500000000000002E-2</v>
      </c>
      <c r="B159" s="32">
        <f t="shared" si="12"/>
        <v>1.3121810459371857</v>
      </c>
      <c r="C159" s="14">
        <f t="shared" si="13"/>
        <v>5.7500000000000002E-2</v>
      </c>
      <c r="D159" s="32">
        <f t="shared" si="14"/>
        <v>1.6258011754645476</v>
      </c>
      <c r="E159" s="14">
        <f t="shared" si="15"/>
        <v>5.7500000000000002E-2</v>
      </c>
    </row>
    <row r="160" spans="1:5">
      <c r="A160" s="44">
        <v>5.8000000000000003E-2</v>
      </c>
      <c r="B160" s="32">
        <f t="shared" si="12"/>
        <v>1.3182377677373958</v>
      </c>
      <c r="C160" s="14">
        <f t="shared" si="13"/>
        <v>5.8000000000000003E-2</v>
      </c>
      <c r="D160" s="32">
        <f t="shared" si="14"/>
        <v>1.6396848736152321</v>
      </c>
      <c r="E160" s="14">
        <f t="shared" si="15"/>
        <v>5.8000000000000003E-2</v>
      </c>
    </row>
    <row r="161" spans="1:5">
      <c r="A161" s="44">
        <v>5.8500000000000003E-2</v>
      </c>
      <c r="B161" s="32">
        <f t="shared" si="12"/>
        <v>1.3243158211999948</v>
      </c>
      <c r="C161" s="14">
        <f t="shared" si="13"/>
        <v>5.8500000000000003E-2</v>
      </c>
      <c r="D161" s="32">
        <f t="shared" si="14"/>
        <v>1.6536554398358909</v>
      </c>
      <c r="E161" s="14">
        <f t="shared" si="15"/>
        <v>5.8500000000000003E-2</v>
      </c>
    </row>
    <row r="162" spans="1:5">
      <c r="A162" s="44">
        <v>5.8999999999999997E-2</v>
      </c>
      <c r="B162" s="32">
        <f t="shared" si="12"/>
        <v>1.3304152687305721</v>
      </c>
      <c r="C162" s="14">
        <f t="shared" si="13"/>
        <v>5.8999999999999997E-2</v>
      </c>
      <c r="D162" s="32">
        <f t="shared" si="14"/>
        <v>1.6677133483468629</v>
      </c>
      <c r="E162" s="14">
        <f t="shared" si="15"/>
        <v>5.8999999999999997E-2</v>
      </c>
    </row>
    <row r="163" spans="1:5">
      <c r="A163" s="44">
        <v>5.9499999999999997E-2</v>
      </c>
      <c r="B163" s="32">
        <f t="shared" si="12"/>
        <v>1.3365361728849554</v>
      </c>
      <c r="C163" s="14">
        <f t="shared" si="13"/>
        <v>5.9499999999999997E-2</v>
      </c>
      <c r="D163" s="32">
        <f t="shared" si="14"/>
        <v>1.6818590756770084</v>
      </c>
      <c r="E163" s="14">
        <f t="shared" si="15"/>
        <v>5.9499999999999997E-2</v>
      </c>
    </row>
    <row r="164" spans="1:5">
      <c r="A164" s="44">
        <v>0.06</v>
      </c>
      <c r="B164" s="32">
        <f t="shared" si="12"/>
        <v>1.3426785963695</v>
      </c>
      <c r="C164" s="14">
        <f t="shared" si="13"/>
        <v>0.06</v>
      </c>
      <c r="D164" s="32">
        <f t="shared" si="14"/>
        <v>1.6960931006737197</v>
      </c>
      <c r="E164" s="14">
        <f t="shared" si="15"/>
        <v>0.06</v>
      </c>
    </row>
  </sheetData>
  <mergeCells count="8">
    <mergeCell ref="A2:F2"/>
    <mergeCell ref="A37:C37"/>
    <mergeCell ref="A1:F1"/>
    <mergeCell ref="A42:E42"/>
    <mergeCell ref="A3:F3"/>
    <mergeCell ref="A4:C4"/>
    <mergeCell ref="A29:C29"/>
    <mergeCell ref="A15:C15"/>
  </mergeCells>
  <dataValidations count="1">
    <dataValidation type="list" sqref="B5">
      <formula1>"Fondo B (pubblicato),Fondo A (stima oltre 70 anni)"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231</vt:i4>
      </vt:variant>
    </vt:vector>
  </HeadingPairs>
  <TitlesOfParts>
    <vt:vector size="237" baseType="lpstr">
      <vt:lpstr>0 - Indice</vt:lpstr>
      <vt:lpstr>1 - Rendita</vt:lpstr>
      <vt:lpstr>2 - Coefficienti</vt:lpstr>
      <vt:lpstr>3 - Mortalità e IRR</vt:lpstr>
      <vt:lpstr>4 - Pavimento</vt:lpstr>
      <vt:lpstr>5 - Aspettare</vt:lpstr>
      <vt:lpstr>A_eta</vt:lpstr>
      <vt:lpstr>A_vitF</vt:lpstr>
      <vt:lpstr>A_vitM</vt:lpstr>
      <vt:lpstr>Aliq_eff</vt:lpstr>
      <vt:lpstr>Aliq_eff_10</vt:lpstr>
      <vt:lpstr>Aliq_eff_20</vt:lpstr>
      <vt:lpstr>Aliq_rend</vt:lpstr>
      <vt:lpstr>Anni_part</vt:lpstr>
      <vt:lpstr>B_eta</vt:lpstr>
      <vt:lpstr>B_vitF</vt:lpstr>
      <vt:lpstr>B_vitM</vt:lpstr>
      <vt:lpstr>B1_eta</vt:lpstr>
      <vt:lpstr>B1_F</vt:lpstr>
      <vt:lpstr>B1_M</vt:lpstr>
      <vt:lpstr>c_pers</vt:lpstr>
      <vt:lpstr>c_use</vt:lpstr>
      <vt:lpstr>Caricamento</vt:lpstr>
      <vt:lpstr>Copertura</vt:lpstr>
      <vt:lpstr>Eros_gap_0</vt:lpstr>
      <vt:lpstr>Eros_gap_10</vt:lpstr>
      <vt:lpstr>Eros_gap_15</vt:lpstr>
      <vt:lpstr>Eros_gap_20</vt:lpstr>
      <vt:lpstr>Eros_persa_10</vt:lpstr>
      <vt:lpstr>Eros_persa_15</vt:lpstr>
      <vt:lpstr>Eros_persa_20</vt:lpstr>
      <vt:lpstr>Eros_rata_10</vt:lpstr>
      <vt:lpstr>Eros_rata_15</vt:lpstr>
      <vt:lpstr>Eros_rata_20</vt:lpstr>
      <vt:lpstr>Eta</vt:lpstr>
      <vt:lpstr>Eta_fine</vt:lpstr>
      <vt:lpstr>Eta_pareggio_lordo</vt:lpstr>
      <vt:lpstr>g_att_1</vt:lpstr>
      <vt:lpstr>g_att_2</vt:lpstr>
      <vt:lpstr>g_att_3</vt:lpstr>
      <vt:lpstr>g_due</vt:lpstr>
      <vt:lpstr>g_rata</vt:lpstr>
      <vt:lpstr>Gap_ess</vt:lpstr>
      <vt:lpstr>Gap_res</vt:lpstr>
      <vt:lpstr>Infl</vt:lpstr>
      <vt:lpstr>IRR_L_100</vt:lpstr>
      <vt:lpstr>IRR_L_75</vt:lpstr>
      <vt:lpstr>IRR_L_80</vt:lpstr>
      <vt:lpstr>IRR_L_85</vt:lpstr>
      <vt:lpstr>IRR_L_90</vt:lpstr>
      <vt:lpstr>IRR_L_95</vt:lpstr>
      <vt:lpstr>IRR_N_100</vt:lpstr>
      <vt:lpstr>IRR_N_75</vt:lpstr>
      <vt:lpstr>IRR_N_80</vt:lpstr>
      <vt:lpstr>IRR_N_85</vt:lpstr>
      <vt:lpstr>IRR_N_90</vt:lpstr>
      <vt:lpstr>IRR_N_95</vt:lpstr>
      <vt:lpstr>IRRatt_g1_eq</vt:lpstr>
      <vt:lpstr>IRRatt_g1_m3</vt:lpstr>
      <vt:lpstr>IRRatt_g1_p</vt:lpstr>
      <vt:lpstr>IRRatt_g2_eq</vt:lpstr>
      <vt:lpstr>IRRatt_g2_m3</vt:lpstr>
      <vt:lpstr>IRRatt_g2_p</vt:lpstr>
      <vt:lpstr>IRRatt_g3_eq</vt:lpstr>
      <vt:lpstr>IRRatt_g3_m3</vt:lpstr>
      <vt:lpstr>IRRatt_g3_p</vt:lpstr>
      <vt:lpstr>K_fondo</vt:lpstr>
      <vt:lpstr>MW_g1_eq</vt:lpstr>
      <vt:lpstr>MW_g1_m3</vt:lpstr>
      <vt:lpstr>MW_g1_p</vt:lpstr>
      <vt:lpstr>MW_g2_eq</vt:lpstr>
      <vt:lpstr>MW_g2_m3</vt:lpstr>
      <vt:lpstr>MW_g2_p</vt:lpstr>
      <vt:lpstr>P_assegno</vt:lpstr>
      <vt:lpstr>P_base</vt:lpstr>
      <vt:lpstr>P_bollo</vt:lpstr>
      <vt:lpstr>P_cg</vt:lpstr>
      <vt:lpstr>P_fondo</vt:lpstr>
      <vt:lpstr>P_g2</vt:lpstr>
      <vt:lpstr>P_gap</vt:lpstr>
      <vt:lpstr>P_latente</vt:lpstr>
      <vt:lpstr>P_load</vt:lpstr>
      <vt:lpstr>P_port</vt:lpstr>
      <vt:lpstr>P_q</vt:lpstr>
      <vt:lpstr>P_quota_cap</vt:lpstr>
      <vt:lpstr>P_quota_soglia</vt:lpstr>
      <vt:lpstr>P_spesa</vt:lpstr>
      <vt:lpstr>P_tmix</vt:lpstr>
      <vt:lpstr>P_tp</vt:lpstr>
      <vt:lpstr>P_tp2</vt:lpstr>
      <vt:lpstr>Pareggio_lordo</vt:lpstr>
      <vt:lpstr>Pareggio_lordo_cont</vt:lpstr>
      <vt:lpstr>Pareggio_netto</vt:lpstr>
      <vt:lpstr>Pareggio_netto_cont</vt:lpstr>
      <vt:lpstr>Prelievo_se</vt:lpstr>
      <vt:lpstr>Prelievo_semplice</vt:lpstr>
      <vt:lpstr>Prelievo_studio</vt:lpstr>
      <vt:lpstr>Premio_banda_0</vt:lpstr>
      <vt:lpstr>Premio_banda_10</vt:lpstr>
      <vt:lpstr>Premio_banda_15</vt:lpstr>
      <vt:lpstr>Premio_banda_5</vt:lpstr>
      <vt:lpstr>Pubblica</vt:lpstr>
      <vt:lpstr>Quota_imp</vt:lpstr>
      <vt:lpstr>Quota_non_imp</vt:lpstr>
      <vt:lpstr>R_nom_alt</vt:lpstr>
      <vt:lpstr>r_reale</vt:lpstr>
      <vt:lpstr>Rata_base</vt:lpstr>
      <vt:lpstr>Rata_lorda_10</vt:lpstr>
      <vt:lpstr>Rata_lorda1</vt:lpstr>
      <vt:lpstr>Rata_netta_10</vt:lpstr>
      <vt:lpstr>Rata_netta_20</vt:lpstr>
      <vt:lpstr>Rata_netta_mese</vt:lpstr>
      <vt:lpstr>Rata_netta1</vt:lpstr>
      <vt:lpstr>Reale_euro_10</vt:lpstr>
      <vt:lpstr>Reale_euro_15</vt:lpstr>
      <vt:lpstr>Reale_euro_20</vt:lpstr>
      <vt:lpstr>Reale_euro_25</vt:lpstr>
      <vt:lpstr>Reale_euro_30</vt:lpstr>
      <vt:lpstr>Reale_euro_5</vt:lpstr>
      <vt:lpstr>Reale_pct_10</vt:lpstr>
      <vt:lpstr>Reale_pct_15</vt:lpstr>
      <vt:lpstr>Reale_pct_20</vt:lpstr>
      <vt:lpstr>Reale_pct_25</vt:lpstr>
      <vt:lpstr>Reale_pct_30</vt:lpstr>
      <vt:lpstr>Reale_pct_5</vt:lpstr>
      <vt:lpstr>Ritenuta</vt:lpstr>
      <vt:lpstr>S_eta</vt:lpstr>
      <vt:lpstr>S_F</vt:lpstr>
      <vt:lpstr>S_M</vt:lpstr>
      <vt:lpstr>S0_a10</vt:lpstr>
      <vt:lpstr>S0_a20</vt:lpstr>
      <vt:lpstr>S0_base</vt:lpstr>
      <vt:lpstr>S0_eq_g1</vt:lpstr>
      <vt:lpstr>S0_eq_g2</vt:lpstr>
      <vt:lpstr>S0_lordo</vt:lpstr>
      <vt:lpstr>S0_margine</vt:lpstr>
      <vt:lpstr>S0_richiesto</vt:lpstr>
      <vt:lpstr>S0_tasso</vt:lpstr>
      <vt:lpstr>S1_a10</vt:lpstr>
      <vt:lpstr>S1_a20</vt:lpstr>
      <vt:lpstr>S1_base</vt:lpstr>
      <vt:lpstr>S1_eq_g1</vt:lpstr>
      <vt:lpstr>S1_eq_g2</vt:lpstr>
      <vt:lpstr>S1_lordo</vt:lpstr>
      <vt:lpstr>S1_margine</vt:lpstr>
      <vt:lpstr>S1_richiesto</vt:lpstr>
      <vt:lpstr>S1_tasso</vt:lpstr>
      <vt:lpstr>S2_a10</vt:lpstr>
      <vt:lpstr>S2_a20</vt:lpstr>
      <vt:lpstr>S2_base</vt:lpstr>
      <vt:lpstr>S2_cap_netto</vt:lpstr>
      <vt:lpstr>S2_eq_g1</vt:lpstr>
      <vt:lpstr>S2_eq_g2</vt:lpstr>
      <vt:lpstr>S2_lordo</vt:lpstr>
      <vt:lpstr>S2_margine</vt:lpstr>
      <vt:lpstr>S2_port</vt:lpstr>
      <vt:lpstr>S2_rata_netta</vt:lpstr>
      <vt:lpstr>S2_richiesto</vt:lpstr>
      <vt:lpstr>S2_tasso</vt:lpstr>
      <vt:lpstr>S3_a10</vt:lpstr>
      <vt:lpstr>S3_a20</vt:lpstr>
      <vt:lpstr>S3_base</vt:lpstr>
      <vt:lpstr>S3_eq_g1</vt:lpstr>
      <vt:lpstr>S3_eq_g2</vt:lpstr>
      <vt:lpstr>S3_gap_res</vt:lpstr>
      <vt:lpstr>S3_lordo</vt:lpstr>
      <vt:lpstr>S3_margine</vt:lpstr>
      <vt:lpstr>S3_port</vt:lpstr>
      <vt:lpstr>S3_premio</vt:lpstr>
      <vt:lpstr>S3_richiesto</vt:lpstr>
      <vt:lpstr>S3_tasso</vt:lpstr>
      <vt:lpstr>S3_vendita</vt:lpstr>
      <vt:lpstr>Scelta_coeff</vt:lpstr>
      <vt:lpstr>Sconto_d</vt:lpstr>
      <vt:lpstr>Sesso</vt:lpstr>
      <vt:lpstr>Soglia_cap</vt:lpstr>
      <vt:lpstr>Speranza_coeff</vt:lpstr>
      <vt:lpstr>Speranza_eq</vt:lpstr>
      <vt:lpstr>Speranza_periodo</vt:lpstr>
      <vt:lpstr>Speranza_scarto</vt:lpstr>
      <vt:lpstr>Spesa_ess</vt:lpstr>
      <vt:lpstr>Surv_k</vt:lpstr>
      <vt:lpstr>Surv_p</vt:lpstr>
      <vt:lpstr>SWR_studio</vt:lpstr>
      <vt:lpstr>Tav_anni_meno</vt:lpstr>
      <vt:lpstr>Tav_f</vt:lpstr>
      <vt:lpstr>Tav_sel</vt:lpstr>
      <vt:lpstr>Viva_75</vt:lpstr>
      <vt:lpstr>Viva_80</vt:lpstr>
      <vt:lpstr>Viva_85</vt:lpstr>
      <vt:lpstr>Viva_86</vt:lpstr>
      <vt:lpstr>Viva_88</vt:lpstr>
      <vt:lpstr>Viva_90</vt:lpstr>
      <vt:lpstr>Viva_95</vt:lpstr>
      <vt:lpstr>W_cap1</vt:lpstr>
      <vt:lpstr>W_cap2</vt:lpstr>
      <vt:lpstr>W_capE1</vt:lpstr>
      <vt:lpstr>W_capE2</vt:lpstr>
      <vt:lpstr>W_cx</vt:lpstr>
      <vt:lpstr>W_cy1</vt:lpstr>
      <vt:lpstr>W_cy2</vt:lpstr>
      <vt:lpstr>W_ered_A1</vt:lpstr>
      <vt:lpstr>W_ered_A2</vt:lpstr>
      <vt:lpstr>W_ered_B1</vt:lpstr>
      <vt:lpstr>W_ered_B2</vt:lpstr>
      <vt:lpstr>W_eta1</vt:lpstr>
      <vt:lpstr>W_eta2</vt:lpstr>
      <vt:lpstr>W_fondo</vt:lpstr>
      <vt:lpstr>W_g</vt:lpstr>
      <vt:lpstr>W_imposta</vt:lpstr>
      <vt:lpstr>W_N1</vt:lpstr>
      <vt:lpstr>W_N2</vt:lpstr>
      <vt:lpstr>W_pareggio_1</vt:lpstr>
      <vt:lpstr>W_pareggio_2</vt:lpstr>
      <vt:lpstr>W_pareggio_lordo_1</vt:lpstr>
      <vt:lpstr>W_pareggio_lordo_2</vt:lpstr>
      <vt:lpstr>W_r_lordo</vt:lpstr>
      <vt:lpstr>W_r_netto</vt:lpstr>
      <vt:lpstr>W_r_netto_alt</vt:lpstr>
      <vt:lpstr>W_rapp_r0_1</vt:lpstr>
      <vt:lpstr>W_rapp_r0_2</vt:lpstr>
      <vt:lpstr>W_rapp_r2_1</vt:lpstr>
      <vt:lpstr>W_rapp_r2_2</vt:lpstr>
      <vt:lpstr>W_rapp_ralt_1</vt:lpstr>
      <vt:lpstr>W_rapp_ralt_2</vt:lpstr>
      <vt:lpstr>W_rapp_rlordo_1</vt:lpstr>
      <vt:lpstr>W_rapp_rlordo_2</vt:lpstr>
      <vt:lpstr>W_rapp_rnet_1</vt:lpstr>
      <vt:lpstr>W_rapp_rnet_2</vt:lpstr>
      <vt:lpstr>W_rapp1</vt:lpstr>
      <vt:lpstr>W_rapp2</vt:lpstr>
      <vt:lpstr>W_rataA1</vt:lpstr>
      <vt:lpstr>W_rataA2</vt:lpstr>
      <vt:lpstr>W_rataB1</vt:lpstr>
      <vt:lpstr>W_rataB2</vt:lpstr>
      <vt:lpstr>W_viva1</vt:lpstr>
      <vt:lpstr>W_viva2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2026-10-17T21:14:49Z</dcterms:created>
  <dcterms:modified xsi:type="dcterms:W3CDTF">2026-10-17T21:14:55Z</dcterms:modified>
</cp:coreProperties>
</file>